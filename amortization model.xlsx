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zhang\Documents\"/>
    </mc:Choice>
  </mc:AlternateContent>
  <xr:revisionPtr revIDLastSave="0" documentId="13_ncr:1_{83ECE6DD-540A-4818-860B-E4BC1A9094C3}" xr6:coauthVersionLast="47" xr6:coauthVersionMax="47" xr10:uidLastSave="{00000000-0000-0000-0000-000000000000}"/>
  <bookViews>
    <workbookView xWindow="3030" yWindow="885" windowWidth="24945" windowHeight="13155" firstSheet="2" activeTab="7" xr2:uid="{CD19DDE5-0CE3-4232-896C-0AA52AF381CF}"/>
  </bookViews>
  <sheets>
    <sheet name="TIE TO INTEX" sheetId="1" r:id="rId1"/>
    <sheet name="AmortizationModel (2)" sheetId="2" r:id="rId2"/>
    <sheet name="Sheet2" sheetId="3" r:id="rId3"/>
    <sheet name="Sheet4" sheetId="6" r:id="rId4"/>
    <sheet name="AmortizationModel (3)" sheetId="5" r:id="rId5"/>
    <sheet name="TIE TO INTEX (2)" sheetId="7" r:id="rId6"/>
    <sheet name="CDR" sheetId="8" r:id="rId7"/>
    <sheet name="bullet proof" sheetId="9" r:id="rId8"/>
  </sheets>
  <definedNames>
    <definedName name="ActiveBalance">#REF!</definedName>
    <definedName name="ActiveCDR">#REF!</definedName>
    <definedName name="ActiveCPR">#REF!</definedName>
    <definedName name="ActiveLag">#REF!</definedName>
    <definedName name="ActiveRate">#REF!</definedName>
    <definedName name="ActiveRepline">#REF!</definedName>
    <definedName name="ActiveScenario">#REF!</definedName>
    <definedName name="ActiveSchedPmt" localSheetId="1">'AmortizationModel (2)'!#REF!</definedName>
    <definedName name="ActiveSchedPmt" localSheetId="4">'AmortizationModel (3)'!#REF!</definedName>
    <definedName name="ActiveSchedPmt" localSheetId="7">'bullet proof'!#REF!</definedName>
    <definedName name="ActiveSchedPmt" localSheetId="6">CDR!#REF!</definedName>
    <definedName name="ActiveSchedPmt" localSheetId="0">'TIE TO INTEX'!#REF!</definedName>
    <definedName name="ActiveSchedPmt" localSheetId="5">'TIE TO INTEX (2)'!#REF!</definedName>
    <definedName name="ActiveSchedPmt">#REF!</definedName>
    <definedName name="ActiveSenSvcFee">#REF!</definedName>
    <definedName name="ActiveSeverity">#REF!</definedName>
    <definedName name="ActiveSubSvcFee">#REF!</definedName>
    <definedName name="ActiveTerm">#REF!</definedName>
    <definedName name="ActiveTerminalMonth">#REF!</definedName>
    <definedName name="BaseCGL">#REF!</definedName>
    <definedName name="BaseCNL">#REF!</definedName>
    <definedName name="CutOffDate">#REF!</definedName>
    <definedName name="FinancingWAL">#REF!</definedName>
    <definedName name="FirstPayDate">#REF!</definedName>
    <definedName name="FirstPeriodCollatFactor">#REF!</definedName>
    <definedName name="ImpliedMezzYield">#REF!</definedName>
    <definedName name="LossCurvePaste">#REF!</definedName>
    <definedName name="LossCurveStart">#REF!</definedName>
    <definedName name="Mezz_Delta">#REF!</definedName>
    <definedName name="MezzWAL">#REF!</definedName>
    <definedName name="OutputCopyStart">#REF!</definedName>
    <definedName name="OutputPaste">#REF!</definedName>
    <definedName name="Pool_CF_Period_Start">#REF!</definedName>
    <definedName name="Pool_CFs_End">#REF!</definedName>
    <definedName name="PoolCGL">#REF!</definedName>
    <definedName name="PoolCNL">#REF!</definedName>
    <definedName name="PoolWAL">#REF!</definedName>
    <definedName name="Repline_CF_Copy_End" localSheetId="1">'AmortizationModel (2)'!#REF!</definedName>
    <definedName name="Repline_CF_Copy_End" localSheetId="4">'AmortizationModel (3)'!#REF!</definedName>
    <definedName name="Repline_CF_Copy_End" localSheetId="7">'bullet proof'!#REF!</definedName>
    <definedName name="Repline_CF_Copy_End" localSheetId="6">CDR!#REF!</definedName>
    <definedName name="Repline_CF_Copy_End" localSheetId="0">'TIE TO INTEX'!#REF!</definedName>
    <definedName name="Repline_CF_Copy_End" localSheetId="5">'TIE TO INTEX (2)'!#REF!</definedName>
    <definedName name="Repline_CF_Copy_End">#REF!</definedName>
    <definedName name="Repline_CF_Copy_Start" localSheetId="1">'AmortizationModel (2)'!#REF!</definedName>
    <definedName name="Repline_CF_Copy_Start" localSheetId="4">'AmortizationModel (3)'!#REF!</definedName>
    <definedName name="Repline_CF_Copy_Start" localSheetId="7">'bullet proof'!#REF!</definedName>
    <definedName name="Repline_CF_Copy_Start" localSheetId="6">CDR!#REF!</definedName>
    <definedName name="Repline_CF_Copy_Start" localSheetId="0">'TIE TO INTEX'!#REF!</definedName>
    <definedName name="Repline_CF_Copy_Start" localSheetId="5">'TIE TO INTEX (2)'!#REF!</definedName>
    <definedName name="Repline_CF_Copy_Start">#REF!</definedName>
    <definedName name="Repline_CF_Paste_Start">#REF!</definedName>
    <definedName name="Repline_Start">#REF!</definedName>
    <definedName name="ResidCash">#REF!</definedName>
    <definedName name="ResidMVDelta">#REF!</definedName>
    <definedName name="ResidYield">#REF!</definedName>
    <definedName name="Scenario_Start">#REF!</definedName>
    <definedName name="SOFR">#REF!</definedName>
    <definedName name="SrWAL">#REF!</definedName>
    <definedName name="Sub_Svc_To_SoFi">#REF!</definedName>
    <definedName name="XIRR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2" i="9" l="1"/>
  <c r="J16" i="9"/>
  <c r="D16" i="9" s="1"/>
  <c r="K16" i="9" s="1"/>
  <c r="W19" i="9" s="1"/>
  <c r="K13" i="9"/>
  <c r="I16" i="9"/>
  <c r="O12" i="9"/>
  <c r="W18" i="9"/>
  <c r="M16" i="9"/>
  <c r="L16" i="9"/>
  <c r="O13" i="9"/>
  <c r="O14" i="9"/>
  <c r="O15" i="9"/>
  <c r="O222" i="9"/>
  <c r="O223" i="9"/>
  <c r="O224" i="9"/>
  <c r="O225" i="9"/>
  <c r="O226" i="9"/>
  <c r="O227" i="9"/>
  <c r="O228" i="9"/>
  <c r="O229" i="9"/>
  <c r="O230" i="9"/>
  <c r="O231" i="9"/>
  <c r="O232" i="9"/>
  <c r="K14" i="9"/>
  <c r="K15" i="9"/>
  <c r="K222" i="9"/>
  <c r="K223" i="9"/>
  <c r="K224" i="9"/>
  <c r="K225" i="9"/>
  <c r="K226" i="9"/>
  <c r="K227" i="9"/>
  <c r="K228" i="9"/>
  <c r="K229" i="9"/>
  <c r="K230" i="9"/>
  <c r="K231" i="9"/>
  <c r="K232" i="9"/>
  <c r="K12" i="9"/>
  <c r="O16" i="9" l="1"/>
  <c r="C15" i="5" l="1"/>
  <c r="C13" i="1"/>
  <c r="T16" i="9" l="1"/>
  <c r="N13" i="9" l="1"/>
  <c r="N14" i="9"/>
  <c r="M13" i="9"/>
  <c r="L232" i="9"/>
  <c r="I232" i="9"/>
  <c r="J232" i="9" s="1"/>
  <c r="L231" i="9"/>
  <c r="I231" i="9"/>
  <c r="J231" i="9" s="1"/>
  <c r="L230" i="9"/>
  <c r="I230" i="9"/>
  <c r="L229" i="9"/>
  <c r="J229" i="9"/>
  <c r="I229" i="9"/>
  <c r="N228" i="9"/>
  <c r="L228" i="9"/>
  <c r="N232" i="9" s="1"/>
  <c r="I228" i="9"/>
  <c r="J228" i="9" s="1"/>
  <c r="L227" i="9"/>
  <c r="M231" i="9" s="1"/>
  <c r="I227" i="9"/>
  <c r="J227" i="9" s="1"/>
  <c r="L226" i="9"/>
  <c r="I226" i="9"/>
  <c r="J226" i="9" s="1"/>
  <c r="L225" i="9"/>
  <c r="J225" i="9"/>
  <c r="I225" i="9"/>
  <c r="L224" i="9"/>
  <c r="M228" i="9" s="1"/>
  <c r="I224" i="9"/>
  <c r="J224" i="9" s="1"/>
  <c r="L223" i="9"/>
  <c r="N227" i="9" s="1"/>
  <c r="I223" i="9"/>
  <c r="J223" i="9" s="1"/>
  <c r="L222" i="9"/>
  <c r="I222" i="9"/>
  <c r="J222" i="9" s="1"/>
  <c r="R221" i="9"/>
  <c r="S221" i="9" s="1"/>
  <c r="L221" i="9"/>
  <c r="N225" i="9" s="1"/>
  <c r="R220" i="9"/>
  <c r="S220" i="9" s="1"/>
  <c r="R219" i="9"/>
  <c r="S219" i="9" s="1"/>
  <c r="R218" i="9"/>
  <c r="S218" i="9" s="1"/>
  <c r="T216" i="9"/>
  <c r="U216" i="9" s="1"/>
  <c r="R216" i="9"/>
  <c r="S216" i="9" s="1"/>
  <c r="T215" i="9"/>
  <c r="U215" i="9" s="1"/>
  <c r="R215" i="9"/>
  <c r="S215" i="9" s="1"/>
  <c r="T214" i="9"/>
  <c r="U214" i="9" s="1"/>
  <c r="R214" i="9"/>
  <c r="S214" i="9" s="1"/>
  <c r="T213" i="9"/>
  <c r="U213" i="9" s="1"/>
  <c r="R213" i="9"/>
  <c r="S213" i="9" s="1"/>
  <c r="T212" i="9"/>
  <c r="U212" i="9" s="1"/>
  <c r="R212" i="9"/>
  <c r="S212" i="9" s="1"/>
  <c r="T211" i="9"/>
  <c r="U211" i="9" s="1"/>
  <c r="R211" i="9"/>
  <c r="S211" i="9" s="1"/>
  <c r="T210" i="9"/>
  <c r="U210" i="9" s="1"/>
  <c r="R210" i="9"/>
  <c r="S210" i="9" s="1"/>
  <c r="T209" i="9"/>
  <c r="U209" i="9" s="1"/>
  <c r="R209" i="9"/>
  <c r="S209" i="9" s="1"/>
  <c r="T208" i="9"/>
  <c r="U208" i="9" s="1"/>
  <c r="R208" i="9"/>
  <c r="S208" i="9" s="1"/>
  <c r="T207" i="9"/>
  <c r="U207" i="9" s="1"/>
  <c r="R207" i="9"/>
  <c r="S207" i="9" s="1"/>
  <c r="T206" i="9"/>
  <c r="U206" i="9" s="1"/>
  <c r="S206" i="9"/>
  <c r="R206" i="9"/>
  <c r="T205" i="9"/>
  <c r="U205" i="9" s="1"/>
  <c r="R205" i="9"/>
  <c r="S205" i="9" s="1"/>
  <c r="T204" i="9"/>
  <c r="U204" i="9" s="1"/>
  <c r="S204" i="9"/>
  <c r="R204" i="9"/>
  <c r="T203" i="9"/>
  <c r="U203" i="9" s="1"/>
  <c r="R203" i="9"/>
  <c r="S203" i="9" s="1"/>
  <c r="T202" i="9"/>
  <c r="U202" i="9" s="1"/>
  <c r="R202" i="9"/>
  <c r="S202" i="9" s="1"/>
  <c r="T201" i="9"/>
  <c r="U201" i="9" s="1"/>
  <c r="R201" i="9"/>
  <c r="S201" i="9" s="1"/>
  <c r="T200" i="9"/>
  <c r="U200" i="9" s="1"/>
  <c r="R200" i="9"/>
  <c r="S200" i="9" s="1"/>
  <c r="T199" i="9"/>
  <c r="U199" i="9" s="1"/>
  <c r="R199" i="9"/>
  <c r="S199" i="9" s="1"/>
  <c r="T198" i="9"/>
  <c r="U198" i="9" s="1"/>
  <c r="R198" i="9"/>
  <c r="S198" i="9" s="1"/>
  <c r="T197" i="9"/>
  <c r="U197" i="9" s="1"/>
  <c r="R197" i="9"/>
  <c r="S197" i="9" s="1"/>
  <c r="T196" i="9"/>
  <c r="U196" i="9" s="1"/>
  <c r="R196" i="9"/>
  <c r="S196" i="9" s="1"/>
  <c r="T195" i="9"/>
  <c r="U195" i="9" s="1"/>
  <c r="S195" i="9"/>
  <c r="R195" i="9"/>
  <c r="T194" i="9"/>
  <c r="U194" i="9" s="1"/>
  <c r="S194" i="9"/>
  <c r="R194" i="9"/>
  <c r="T193" i="9"/>
  <c r="U193" i="9" s="1"/>
  <c r="R193" i="9"/>
  <c r="S193" i="9" s="1"/>
  <c r="T192" i="9"/>
  <c r="U192" i="9" s="1"/>
  <c r="R192" i="9"/>
  <c r="S192" i="9" s="1"/>
  <c r="T191" i="9"/>
  <c r="U191" i="9" s="1"/>
  <c r="R191" i="9"/>
  <c r="S191" i="9" s="1"/>
  <c r="T190" i="9"/>
  <c r="U190" i="9" s="1"/>
  <c r="R190" i="9"/>
  <c r="S190" i="9" s="1"/>
  <c r="T189" i="9"/>
  <c r="U189" i="9" s="1"/>
  <c r="R189" i="9"/>
  <c r="S189" i="9" s="1"/>
  <c r="T188" i="9"/>
  <c r="U188" i="9" s="1"/>
  <c r="R188" i="9"/>
  <c r="S188" i="9" s="1"/>
  <c r="T187" i="9"/>
  <c r="U187" i="9" s="1"/>
  <c r="R187" i="9"/>
  <c r="S187" i="9" s="1"/>
  <c r="T186" i="9"/>
  <c r="U186" i="9" s="1"/>
  <c r="R186" i="9"/>
  <c r="S186" i="9" s="1"/>
  <c r="T185" i="9"/>
  <c r="U185" i="9" s="1"/>
  <c r="S185" i="9"/>
  <c r="R185" i="9"/>
  <c r="T184" i="9"/>
  <c r="U184" i="9" s="1"/>
  <c r="R184" i="9"/>
  <c r="S184" i="9" s="1"/>
  <c r="T183" i="9"/>
  <c r="U183" i="9" s="1"/>
  <c r="S183" i="9"/>
  <c r="R183" i="9"/>
  <c r="T182" i="9"/>
  <c r="U182" i="9" s="1"/>
  <c r="R182" i="9"/>
  <c r="S182" i="9" s="1"/>
  <c r="T181" i="9"/>
  <c r="U181" i="9" s="1"/>
  <c r="S181" i="9"/>
  <c r="R181" i="9"/>
  <c r="T180" i="9"/>
  <c r="U180" i="9" s="1"/>
  <c r="R180" i="9"/>
  <c r="S180" i="9" s="1"/>
  <c r="T179" i="9"/>
  <c r="U179" i="9" s="1"/>
  <c r="R179" i="9"/>
  <c r="S179" i="9" s="1"/>
  <c r="T178" i="9"/>
  <c r="U178" i="9" s="1"/>
  <c r="R178" i="9"/>
  <c r="S178" i="9" s="1"/>
  <c r="T177" i="9"/>
  <c r="U177" i="9" s="1"/>
  <c r="R177" i="9"/>
  <c r="S177" i="9" s="1"/>
  <c r="T176" i="9"/>
  <c r="U176" i="9" s="1"/>
  <c r="S176" i="9"/>
  <c r="R176" i="9"/>
  <c r="T175" i="9"/>
  <c r="U175" i="9" s="1"/>
  <c r="R175" i="9"/>
  <c r="S175" i="9" s="1"/>
  <c r="T174" i="9"/>
  <c r="U174" i="9" s="1"/>
  <c r="S174" i="9"/>
  <c r="R174" i="9"/>
  <c r="T173" i="9"/>
  <c r="U173" i="9" s="1"/>
  <c r="R173" i="9"/>
  <c r="S173" i="9" s="1"/>
  <c r="T172" i="9"/>
  <c r="U172" i="9" s="1"/>
  <c r="R172" i="9"/>
  <c r="S172" i="9" s="1"/>
  <c r="T171" i="9"/>
  <c r="U171" i="9" s="1"/>
  <c r="R171" i="9"/>
  <c r="S171" i="9" s="1"/>
  <c r="T170" i="9"/>
  <c r="U170" i="9" s="1"/>
  <c r="R170" i="9"/>
  <c r="S170" i="9" s="1"/>
  <c r="T169" i="9"/>
  <c r="U169" i="9" s="1"/>
  <c r="S169" i="9"/>
  <c r="R169" i="9"/>
  <c r="T168" i="9"/>
  <c r="U168" i="9" s="1"/>
  <c r="S168" i="9"/>
  <c r="R168" i="9"/>
  <c r="T167" i="9"/>
  <c r="U167" i="9" s="1"/>
  <c r="R167" i="9"/>
  <c r="S167" i="9" s="1"/>
  <c r="T166" i="9"/>
  <c r="U166" i="9" s="1"/>
  <c r="R166" i="9"/>
  <c r="S166" i="9" s="1"/>
  <c r="T165" i="9"/>
  <c r="U165" i="9" s="1"/>
  <c r="R165" i="9"/>
  <c r="S165" i="9" s="1"/>
  <c r="T164" i="9"/>
  <c r="U164" i="9" s="1"/>
  <c r="R164" i="9"/>
  <c r="S164" i="9" s="1"/>
  <c r="T163" i="9"/>
  <c r="U163" i="9" s="1"/>
  <c r="R163" i="9"/>
  <c r="S163" i="9" s="1"/>
  <c r="T162" i="9"/>
  <c r="U162" i="9" s="1"/>
  <c r="S162" i="9"/>
  <c r="R162" i="9"/>
  <c r="T161" i="9"/>
  <c r="U161" i="9" s="1"/>
  <c r="R161" i="9"/>
  <c r="S161" i="9" s="1"/>
  <c r="T160" i="9"/>
  <c r="U160" i="9" s="1"/>
  <c r="R160" i="9"/>
  <c r="S160" i="9" s="1"/>
  <c r="T159" i="9"/>
  <c r="U159" i="9" s="1"/>
  <c r="R159" i="9"/>
  <c r="S159" i="9" s="1"/>
  <c r="T158" i="9"/>
  <c r="U158" i="9" s="1"/>
  <c r="R158" i="9"/>
  <c r="S158" i="9" s="1"/>
  <c r="T157" i="9"/>
  <c r="U157" i="9" s="1"/>
  <c r="R157" i="9"/>
  <c r="S157" i="9" s="1"/>
  <c r="T156" i="9"/>
  <c r="U156" i="9" s="1"/>
  <c r="R156" i="9"/>
  <c r="S156" i="9" s="1"/>
  <c r="T155" i="9"/>
  <c r="U155" i="9" s="1"/>
  <c r="R155" i="9"/>
  <c r="S155" i="9" s="1"/>
  <c r="T154" i="9"/>
  <c r="U154" i="9" s="1"/>
  <c r="R154" i="9"/>
  <c r="S154" i="9" s="1"/>
  <c r="T153" i="9"/>
  <c r="U153" i="9" s="1"/>
  <c r="R153" i="9"/>
  <c r="S153" i="9" s="1"/>
  <c r="T152" i="9"/>
  <c r="U152" i="9" s="1"/>
  <c r="R152" i="9"/>
  <c r="S152" i="9" s="1"/>
  <c r="T151" i="9"/>
  <c r="U151" i="9" s="1"/>
  <c r="R151" i="9"/>
  <c r="S151" i="9" s="1"/>
  <c r="T150" i="9"/>
  <c r="U150" i="9" s="1"/>
  <c r="R150" i="9"/>
  <c r="S150" i="9" s="1"/>
  <c r="T149" i="9"/>
  <c r="U149" i="9" s="1"/>
  <c r="R149" i="9"/>
  <c r="S149" i="9" s="1"/>
  <c r="T148" i="9"/>
  <c r="U148" i="9" s="1"/>
  <c r="S148" i="9"/>
  <c r="R148" i="9"/>
  <c r="T147" i="9"/>
  <c r="U147" i="9" s="1"/>
  <c r="R147" i="9"/>
  <c r="S147" i="9" s="1"/>
  <c r="T146" i="9"/>
  <c r="U146" i="9" s="1"/>
  <c r="R146" i="9"/>
  <c r="S146" i="9" s="1"/>
  <c r="T145" i="9"/>
  <c r="U145" i="9" s="1"/>
  <c r="R145" i="9"/>
  <c r="S145" i="9" s="1"/>
  <c r="T144" i="9"/>
  <c r="U144" i="9" s="1"/>
  <c r="R144" i="9"/>
  <c r="S144" i="9" s="1"/>
  <c r="T143" i="9"/>
  <c r="U143" i="9" s="1"/>
  <c r="R143" i="9"/>
  <c r="S143" i="9" s="1"/>
  <c r="T142" i="9"/>
  <c r="U142" i="9" s="1"/>
  <c r="R142" i="9"/>
  <c r="S142" i="9" s="1"/>
  <c r="T141" i="9"/>
  <c r="U141" i="9" s="1"/>
  <c r="R141" i="9"/>
  <c r="S141" i="9" s="1"/>
  <c r="T140" i="9"/>
  <c r="U140" i="9" s="1"/>
  <c r="R140" i="9"/>
  <c r="S140" i="9" s="1"/>
  <c r="T139" i="9"/>
  <c r="U139" i="9" s="1"/>
  <c r="R139" i="9"/>
  <c r="S139" i="9" s="1"/>
  <c r="T138" i="9"/>
  <c r="U138" i="9" s="1"/>
  <c r="R138" i="9"/>
  <c r="S138" i="9" s="1"/>
  <c r="T137" i="9"/>
  <c r="U137" i="9" s="1"/>
  <c r="S137" i="9"/>
  <c r="R137" i="9"/>
  <c r="T136" i="9"/>
  <c r="U136" i="9" s="1"/>
  <c r="R136" i="9"/>
  <c r="S136" i="9" s="1"/>
  <c r="T135" i="9"/>
  <c r="U135" i="9" s="1"/>
  <c r="R135" i="9"/>
  <c r="S135" i="9" s="1"/>
  <c r="T134" i="9"/>
  <c r="U134" i="9" s="1"/>
  <c r="R134" i="9"/>
  <c r="S134" i="9" s="1"/>
  <c r="T133" i="9"/>
  <c r="U133" i="9" s="1"/>
  <c r="R133" i="9"/>
  <c r="S133" i="9" s="1"/>
  <c r="T132" i="9"/>
  <c r="U132" i="9" s="1"/>
  <c r="R132" i="9"/>
  <c r="S132" i="9" s="1"/>
  <c r="T131" i="9"/>
  <c r="U131" i="9" s="1"/>
  <c r="R131" i="9"/>
  <c r="S131" i="9" s="1"/>
  <c r="T130" i="9"/>
  <c r="U130" i="9" s="1"/>
  <c r="R130" i="9"/>
  <c r="S130" i="9" s="1"/>
  <c r="T129" i="9"/>
  <c r="U129" i="9" s="1"/>
  <c r="R129" i="9"/>
  <c r="S129" i="9" s="1"/>
  <c r="T128" i="9"/>
  <c r="U128" i="9" s="1"/>
  <c r="R128" i="9"/>
  <c r="S128" i="9" s="1"/>
  <c r="T127" i="9"/>
  <c r="U127" i="9" s="1"/>
  <c r="R127" i="9"/>
  <c r="S127" i="9" s="1"/>
  <c r="T126" i="9"/>
  <c r="U126" i="9" s="1"/>
  <c r="R126" i="9"/>
  <c r="S126" i="9" s="1"/>
  <c r="T125" i="9"/>
  <c r="U125" i="9" s="1"/>
  <c r="S125" i="9"/>
  <c r="R125" i="9"/>
  <c r="T124" i="9"/>
  <c r="U124" i="9" s="1"/>
  <c r="S124" i="9"/>
  <c r="R124" i="9"/>
  <c r="T123" i="9"/>
  <c r="U123" i="9" s="1"/>
  <c r="R123" i="9"/>
  <c r="S123" i="9" s="1"/>
  <c r="T122" i="9"/>
  <c r="U122" i="9" s="1"/>
  <c r="S122" i="9"/>
  <c r="R122" i="9"/>
  <c r="T121" i="9"/>
  <c r="U121" i="9" s="1"/>
  <c r="S121" i="9"/>
  <c r="R121" i="9"/>
  <c r="T120" i="9"/>
  <c r="U120" i="9" s="1"/>
  <c r="S120" i="9"/>
  <c r="R120" i="9"/>
  <c r="T119" i="9"/>
  <c r="U119" i="9" s="1"/>
  <c r="R119" i="9"/>
  <c r="S119" i="9" s="1"/>
  <c r="T118" i="9"/>
  <c r="U118" i="9" s="1"/>
  <c r="R118" i="9"/>
  <c r="S118" i="9" s="1"/>
  <c r="T117" i="9"/>
  <c r="U117" i="9" s="1"/>
  <c r="R117" i="9"/>
  <c r="S117" i="9" s="1"/>
  <c r="T116" i="9"/>
  <c r="U116" i="9" s="1"/>
  <c r="R116" i="9"/>
  <c r="S116" i="9" s="1"/>
  <c r="T115" i="9"/>
  <c r="U115" i="9" s="1"/>
  <c r="R115" i="9"/>
  <c r="S115" i="9" s="1"/>
  <c r="T114" i="9"/>
  <c r="U114" i="9" s="1"/>
  <c r="R114" i="9"/>
  <c r="S114" i="9" s="1"/>
  <c r="T113" i="9"/>
  <c r="U113" i="9" s="1"/>
  <c r="R113" i="9"/>
  <c r="S113" i="9" s="1"/>
  <c r="T112" i="9"/>
  <c r="U112" i="9" s="1"/>
  <c r="R112" i="9"/>
  <c r="S112" i="9" s="1"/>
  <c r="T111" i="9"/>
  <c r="U111" i="9" s="1"/>
  <c r="S111" i="9"/>
  <c r="R111" i="9"/>
  <c r="U110" i="9"/>
  <c r="T110" i="9"/>
  <c r="S110" i="9"/>
  <c r="R110" i="9"/>
  <c r="T109" i="9"/>
  <c r="U109" i="9" s="1"/>
  <c r="R109" i="9"/>
  <c r="S109" i="9" s="1"/>
  <c r="T108" i="9"/>
  <c r="U108" i="9" s="1"/>
  <c r="R108" i="9"/>
  <c r="S108" i="9" s="1"/>
  <c r="T107" i="9"/>
  <c r="U107" i="9" s="1"/>
  <c r="R107" i="9"/>
  <c r="S107" i="9" s="1"/>
  <c r="T106" i="9"/>
  <c r="U106" i="9" s="1"/>
  <c r="R106" i="9"/>
  <c r="S106" i="9" s="1"/>
  <c r="T105" i="9"/>
  <c r="U105" i="9" s="1"/>
  <c r="R105" i="9"/>
  <c r="S105" i="9" s="1"/>
  <c r="T104" i="9"/>
  <c r="U104" i="9" s="1"/>
  <c r="R104" i="9"/>
  <c r="S104" i="9" s="1"/>
  <c r="T103" i="9"/>
  <c r="U103" i="9" s="1"/>
  <c r="R103" i="9"/>
  <c r="S103" i="9" s="1"/>
  <c r="T102" i="9"/>
  <c r="U102" i="9" s="1"/>
  <c r="R102" i="9"/>
  <c r="S102" i="9" s="1"/>
  <c r="T101" i="9"/>
  <c r="U101" i="9" s="1"/>
  <c r="R101" i="9"/>
  <c r="S101" i="9" s="1"/>
  <c r="T100" i="9"/>
  <c r="U100" i="9" s="1"/>
  <c r="R100" i="9"/>
  <c r="S100" i="9" s="1"/>
  <c r="T99" i="9"/>
  <c r="U99" i="9" s="1"/>
  <c r="R99" i="9"/>
  <c r="S99" i="9" s="1"/>
  <c r="T98" i="9"/>
  <c r="U98" i="9" s="1"/>
  <c r="S98" i="9"/>
  <c r="R98" i="9"/>
  <c r="T97" i="9"/>
  <c r="U97" i="9" s="1"/>
  <c r="S97" i="9"/>
  <c r="R97" i="9"/>
  <c r="T96" i="9"/>
  <c r="U96" i="9" s="1"/>
  <c r="R96" i="9"/>
  <c r="S96" i="9" s="1"/>
  <c r="T95" i="9"/>
  <c r="U95" i="9" s="1"/>
  <c r="R95" i="9"/>
  <c r="S95" i="9" s="1"/>
  <c r="T94" i="9"/>
  <c r="U94" i="9" s="1"/>
  <c r="R94" i="9"/>
  <c r="S94" i="9" s="1"/>
  <c r="T93" i="9"/>
  <c r="U93" i="9" s="1"/>
  <c r="R93" i="9"/>
  <c r="S93" i="9" s="1"/>
  <c r="U92" i="9"/>
  <c r="T92" i="9"/>
  <c r="R92" i="9"/>
  <c r="S92" i="9" s="1"/>
  <c r="T91" i="9"/>
  <c r="U91" i="9" s="1"/>
  <c r="R91" i="9"/>
  <c r="S91" i="9" s="1"/>
  <c r="T90" i="9"/>
  <c r="U90" i="9" s="1"/>
  <c r="R90" i="9"/>
  <c r="S90" i="9" s="1"/>
  <c r="T89" i="9"/>
  <c r="U89" i="9" s="1"/>
  <c r="R89" i="9"/>
  <c r="S89" i="9" s="1"/>
  <c r="T88" i="9"/>
  <c r="U88" i="9" s="1"/>
  <c r="S88" i="9"/>
  <c r="R88" i="9"/>
  <c r="T87" i="9"/>
  <c r="U87" i="9" s="1"/>
  <c r="R87" i="9"/>
  <c r="S87" i="9" s="1"/>
  <c r="T86" i="9"/>
  <c r="U86" i="9" s="1"/>
  <c r="S86" i="9"/>
  <c r="R86" i="9"/>
  <c r="T85" i="9"/>
  <c r="U85" i="9" s="1"/>
  <c r="R85" i="9"/>
  <c r="S85" i="9" s="1"/>
  <c r="T84" i="9"/>
  <c r="U84" i="9" s="1"/>
  <c r="R84" i="9"/>
  <c r="S84" i="9" s="1"/>
  <c r="T83" i="9"/>
  <c r="U83" i="9" s="1"/>
  <c r="R83" i="9"/>
  <c r="S83" i="9" s="1"/>
  <c r="T82" i="9"/>
  <c r="U82" i="9" s="1"/>
  <c r="R82" i="9"/>
  <c r="S82" i="9" s="1"/>
  <c r="T81" i="9"/>
  <c r="U81" i="9" s="1"/>
  <c r="R81" i="9"/>
  <c r="S81" i="9" s="1"/>
  <c r="T80" i="9"/>
  <c r="U80" i="9" s="1"/>
  <c r="R80" i="9"/>
  <c r="S80" i="9" s="1"/>
  <c r="T79" i="9"/>
  <c r="U79" i="9" s="1"/>
  <c r="R79" i="9"/>
  <c r="S79" i="9" s="1"/>
  <c r="T78" i="9"/>
  <c r="U78" i="9" s="1"/>
  <c r="S78" i="9"/>
  <c r="R78" i="9"/>
  <c r="T77" i="9"/>
  <c r="U77" i="9" s="1"/>
  <c r="R77" i="9"/>
  <c r="S77" i="9" s="1"/>
  <c r="T76" i="9"/>
  <c r="U76" i="9" s="1"/>
  <c r="R76" i="9"/>
  <c r="S76" i="9" s="1"/>
  <c r="T75" i="9"/>
  <c r="U75" i="9" s="1"/>
  <c r="R75" i="9"/>
  <c r="S75" i="9" s="1"/>
  <c r="T74" i="9"/>
  <c r="U74" i="9" s="1"/>
  <c r="R74" i="9"/>
  <c r="S74" i="9" s="1"/>
  <c r="T73" i="9"/>
  <c r="U73" i="9" s="1"/>
  <c r="R73" i="9"/>
  <c r="S73" i="9" s="1"/>
  <c r="T72" i="9"/>
  <c r="U72" i="9" s="1"/>
  <c r="R72" i="9"/>
  <c r="S72" i="9" s="1"/>
  <c r="T71" i="9"/>
  <c r="U71" i="9" s="1"/>
  <c r="S71" i="9"/>
  <c r="R71" i="9"/>
  <c r="T70" i="9"/>
  <c r="U70" i="9" s="1"/>
  <c r="R70" i="9"/>
  <c r="S70" i="9" s="1"/>
  <c r="T69" i="9"/>
  <c r="U69" i="9" s="1"/>
  <c r="R69" i="9"/>
  <c r="S69" i="9" s="1"/>
  <c r="T68" i="9"/>
  <c r="U68" i="9" s="1"/>
  <c r="R68" i="9"/>
  <c r="S68" i="9" s="1"/>
  <c r="T67" i="9"/>
  <c r="U67" i="9" s="1"/>
  <c r="R67" i="9"/>
  <c r="S67" i="9" s="1"/>
  <c r="T66" i="9"/>
  <c r="U66" i="9" s="1"/>
  <c r="R66" i="9"/>
  <c r="S66" i="9" s="1"/>
  <c r="T65" i="9"/>
  <c r="U65" i="9" s="1"/>
  <c r="R65" i="9"/>
  <c r="S65" i="9" s="1"/>
  <c r="T64" i="9"/>
  <c r="U64" i="9" s="1"/>
  <c r="R64" i="9"/>
  <c r="S64" i="9" s="1"/>
  <c r="T63" i="9"/>
  <c r="U63" i="9" s="1"/>
  <c r="R63" i="9"/>
  <c r="S63" i="9" s="1"/>
  <c r="T62" i="9"/>
  <c r="U62" i="9" s="1"/>
  <c r="R62" i="9"/>
  <c r="S62" i="9" s="1"/>
  <c r="T61" i="9"/>
  <c r="U61" i="9" s="1"/>
  <c r="R61" i="9"/>
  <c r="S61" i="9" s="1"/>
  <c r="T60" i="9"/>
  <c r="U60" i="9" s="1"/>
  <c r="R60" i="9"/>
  <c r="S60" i="9" s="1"/>
  <c r="T59" i="9"/>
  <c r="U59" i="9" s="1"/>
  <c r="R59" i="9"/>
  <c r="S59" i="9" s="1"/>
  <c r="T58" i="9"/>
  <c r="U58" i="9" s="1"/>
  <c r="R58" i="9"/>
  <c r="S58" i="9" s="1"/>
  <c r="T57" i="9"/>
  <c r="U57" i="9" s="1"/>
  <c r="R57" i="9"/>
  <c r="S57" i="9" s="1"/>
  <c r="T56" i="9"/>
  <c r="U56" i="9" s="1"/>
  <c r="R56" i="9"/>
  <c r="S56" i="9" s="1"/>
  <c r="T55" i="9"/>
  <c r="U55" i="9" s="1"/>
  <c r="R55" i="9"/>
  <c r="S55" i="9" s="1"/>
  <c r="T54" i="9"/>
  <c r="U54" i="9" s="1"/>
  <c r="R54" i="9"/>
  <c r="S54" i="9" s="1"/>
  <c r="T53" i="9"/>
  <c r="U53" i="9" s="1"/>
  <c r="R53" i="9"/>
  <c r="S53" i="9" s="1"/>
  <c r="T52" i="9"/>
  <c r="U52" i="9" s="1"/>
  <c r="R52" i="9"/>
  <c r="S52" i="9" s="1"/>
  <c r="T51" i="9"/>
  <c r="U51" i="9" s="1"/>
  <c r="R51" i="9"/>
  <c r="S51" i="9" s="1"/>
  <c r="T50" i="9"/>
  <c r="U50" i="9" s="1"/>
  <c r="R50" i="9"/>
  <c r="S50" i="9" s="1"/>
  <c r="T49" i="9"/>
  <c r="U49" i="9" s="1"/>
  <c r="R49" i="9"/>
  <c r="S49" i="9" s="1"/>
  <c r="T48" i="9"/>
  <c r="U48" i="9" s="1"/>
  <c r="R48" i="9"/>
  <c r="S48" i="9" s="1"/>
  <c r="T47" i="9"/>
  <c r="U47" i="9" s="1"/>
  <c r="R47" i="9"/>
  <c r="S47" i="9" s="1"/>
  <c r="T46" i="9"/>
  <c r="U46" i="9" s="1"/>
  <c r="R46" i="9"/>
  <c r="S46" i="9" s="1"/>
  <c r="T45" i="9"/>
  <c r="U45" i="9" s="1"/>
  <c r="R45" i="9"/>
  <c r="S45" i="9" s="1"/>
  <c r="T44" i="9"/>
  <c r="U44" i="9" s="1"/>
  <c r="R44" i="9"/>
  <c r="S44" i="9" s="1"/>
  <c r="T43" i="9"/>
  <c r="U43" i="9" s="1"/>
  <c r="R43" i="9"/>
  <c r="S43" i="9" s="1"/>
  <c r="T42" i="9"/>
  <c r="U42" i="9" s="1"/>
  <c r="R42" i="9"/>
  <c r="S42" i="9" s="1"/>
  <c r="T41" i="9"/>
  <c r="U41" i="9" s="1"/>
  <c r="S41" i="9"/>
  <c r="R41" i="9"/>
  <c r="T40" i="9"/>
  <c r="U40" i="9" s="1"/>
  <c r="R40" i="9"/>
  <c r="S40" i="9" s="1"/>
  <c r="T39" i="9"/>
  <c r="U39" i="9" s="1"/>
  <c r="R39" i="9"/>
  <c r="S39" i="9" s="1"/>
  <c r="T38" i="9"/>
  <c r="U38" i="9" s="1"/>
  <c r="R38" i="9"/>
  <c r="S38" i="9" s="1"/>
  <c r="T37" i="9"/>
  <c r="U37" i="9" s="1"/>
  <c r="R37" i="9"/>
  <c r="S37" i="9" s="1"/>
  <c r="T36" i="9"/>
  <c r="U36" i="9" s="1"/>
  <c r="R36" i="9"/>
  <c r="S36" i="9" s="1"/>
  <c r="T35" i="9"/>
  <c r="U35" i="9" s="1"/>
  <c r="R35" i="9"/>
  <c r="S35" i="9" s="1"/>
  <c r="T34" i="9"/>
  <c r="U34" i="9" s="1"/>
  <c r="R34" i="9"/>
  <c r="S34" i="9" s="1"/>
  <c r="T33" i="9"/>
  <c r="U33" i="9" s="1"/>
  <c r="S33" i="9"/>
  <c r="R33" i="9"/>
  <c r="T32" i="9"/>
  <c r="U32" i="9" s="1"/>
  <c r="R32" i="9"/>
  <c r="S32" i="9" s="1"/>
  <c r="T31" i="9"/>
  <c r="U31" i="9" s="1"/>
  <c r="R31" i="9"/>
  <c r="S31" i="9" s="1"/>
  <c r="T30" i="9"/>
  <c r="U30" i="9" s="1"/>
  <c r="R30" i="9"/>
  <c r="S30" i="9" s="1"/>
  <c r="T29" i="9"/>
  <c r="U29" i="9" s="1"/>
  <c r="S29" i="9"/>
  <c r="R29" i="9"/>
  <c r="T28" i="9"/>
  <c r="U28" i="9" s="1"/>
  <c r="R28" i="9"/>
  <c r="S28" i="9" s="1"/>
  <c r="T27" i="9"/>
  <c r="U27" i="9" s="1"/>
  <c r="S27" i="9"/>
  <c r="R27" i="9"/>
  <c r="T26" i="9"/>
  <c r="U26" i="9" s="1"/>
  <c r="R26" i="9"/>
  <c r="S26" i="9" s="1"/>
  <c r="T25" i="9"/>
  <c r="U25" i="9" s="1"/>
  <c r="S25" i="9"/>
  <c r="R25" i="9"/>
  <c r="T24" i="9"/>
  <c r="U24" i="9" s="1"/>
  <c r="R24" i="9"/>
  <c r="S24" i="9" s="1"/>
  <c r="T23" i="9"/>
  <c r="U23" i="9" s="1"/>
  <c r="S23" i="9"/>
  <c r="R23" i="9"/>
  <c r="T22" i="9"/>
  <c r="U22" i="9" s="1"/>
  <c r="R22" i="9"/>
  <c r="S22" i="9" s="1"/>
  <c r="T21" i="9"/>
  <c r="U21" i="9" s="1"/>
  <c r="R21" i="9"/>
  <c r="S21" i="9" s="1"/>
  <c r="T20" i="9"/>
  <c r="U20" i="9" s="1"/>
  <c r="R20" i="9"/>
  <c r="S20" i="9" s="1"/>
  <c r="T19" i="9"/>
  <c r="U19" i="9" s="1"/>
  <c r="R19" i="9"/>
  <c r="S19" i="9" s="1"/>
  <c r="T18" i="9"/>
  <c r="U18" i="9" s="1"/>
  <c r="R18" i="9"/>
  <c r="S18" i="9" s="1"/>
  <c r="T17" i="9"/>
  <c r="U17" i="9" s="1"/>
  <c r="R17" i="9"/>
  <c r="S17" i="9" s="1"/>
  <c r="U16" i="9"/>
  <c r="R16" i="9"/>
  <c r="S16" i="9" s="1"/>
  <c r="T15" i="9"/>
  <c r="U15" i="9" s="1"/>
  <c r="R15" i="9"/>
  <c r="S15" i="9" s="1"/>
  <c r="N15" i="9"/>
  <c r="M15" i="9"/>
  <c r="T14" i="9"/>
  <c r="U14" i="9" s="1"/>
  <c r="R14" i="9"/>
  <c r="S14" i="9" s="1"/>
  <c r="M14" i="9"/>
  <c r="T13" i="9"/>
  <c r="U13" i="9" s="1"/>
  <c r="L3" i="9" s="1"/>
  <c r="R13" i="9"/>
  <c r="S13" i="9" s="1"/>
  <c r="T12" i="9"/>
  <c r="U12" i="9" s="1"/>
  <c r="I12" i="9" s="1"/>
  <c r="R12" i="9"/>
  <c r="S12" i="9" s="1"/>
  <c r="N12" i="9"/>
  <c r="M12" i="9"/>
  <c r="F12" i="9"/>
  <c r="B12" i="9"/>
  <c r="O11" i="9"/>
  <c r="P11" i="9" s="1"/>
  <c r="F11" i="9"/>
  <c r="E11" i="9"/>
  <c r="D11" i="9"/>
  <c r="C11" i="9"/>
  <c r="I3" i="9"/>
  <c r="H15" i="8"/>
  <c r="J15" i="8" s="1"/>
  <c r="L235" i="8"/>
  <c r="I235" i="8"/>
  <c r="J235" i="8" s="1"/>
  <c r="K235" i="8" s="1"/>
  <c r="A235" i="8"/>
  <c r="L234" i="8"/>
  <c r="I234" i="8"/>
  <c r="J234" i="8" s="1"/>
  <c r="K234" i="8" s="1"/>
  <c r="A234" i="8"/>
  <c r="L233" i="8"/>
  <c r="I233" i="8"/>
  <c r="J233" i="8" s="1"/>
  <c r="K233" i="8" s="1"/>
  <c r="O233" i="8" s="1"/>
  <c r="P233" i="8" s="1"/>
  <c r="A233" i="8"/>
  <c r="L232" i="8"/>
  <c r="J232" i="8"/>
  <c r="K232" i="8" s="1"/>
  <c r="I232" i="8"/>
  <c r="A232" i="8"/>
  <c r="M231" i="8"/>
  <c r="L231" i="8"/>
  <c r="K231" i="8"/>
  <c r="J231" i="8"/>
  <c r="I231" i="8"/>
  <c r="A231" i="8"/>
  <c r="N230" i="8"/>
  <c r="L230" i="8"/>
  <c r="N234" i="8" s="1"/>
  <c r="K230" i="8"/>
  <c r="O230" i="8" s="1"/>
  <c r="P230" i="8" s="1"/>
  <c r="J230" i="8"/>
  <c r="I230" i="8"/>
  <c r="A230" i="8"/>
  <c r="P229" i="8"/>
  <c r="N229" i="8"/>
  <c r="L229" i="8"/>
  <c r="N233" i="8" s="1"/>
  <c r="I229" i="8"/>
  <c r="J229" i="8" s="1"/>
  <c r="K229" i="8" s="1"/>
  <c r="O229" i="8" s="1"/>
  <c r="A229" i="8"/>
  <c r="L228" i="8"/>
  <c r="J228" i="8"/>
  <c r="K228" i="8" s="1"/>
  <c r="I228" i="8"/>
  <c r="A228" i="8"/>
  <c r="L227" i="8"/>
  <c r="N231" i="8" s="1"/>
  <c r="K227" i="8"/>
  <c r="J227" i="8"/>
  <c r="I227" i="8"/>
  <c r="A227" i="8"/>
  <c r="L226" i="8"/>
  <c r="M230" i="8" s="1"/>
  <c r="I226" i="8"/>
  <c r="J226" i="8" s="1"/>
  <c r="K226" i="8" s="1"/>
  <c r="A226" i="8"/>
  <c r="L225" i="8"/>
  <c r="M229" i="8" s="1"/>
  <c r="J225" i="8"/>
  <c r="K225" i="8" s="1"/>
  <c r="I225" i="8"/>
  <c r="A225" i="8"/>
  <c r="R224" i="8"/>
  <c r="S224" i="8" s="1"/>
  <c r="L224" i="8"/>
  <c r="A224" i="8"/>
  <c r="R223" i="8"/>
  <c r="S223" i="8" s="1"/>
  <c r="A223" i="8"/>
  <c r="R222" i="8"/>
  <c r="S222" i="8" s="1"/>
  <c r="A222" i="8"/>
  <c r="R221" i="8"/>
  <c r="S221" i="8" s="1"/>
  <c r="A221" i="8"/>
  <c r="A220" i="8"/>
  <c r="U219" i="8"/>
  <c r="T219" i="8"/>
  <c r="R219" i="8"/>
  <c r="S219" i="8" s="1"/>
  <c r="T218" i="8"/>
  <c r="U218" i="8" s="1"/>
  <c r="R218" i="8"/>
  <c r="S218" i="8" s="1"/>
  <c r="T217" i="8"/>
  <c r="U217" i="8" s="1"/>
  <c r="S217" i="8"/>
  <c r="R217" i="8"/>
  <c r="T216" i="8"/>
  <c r="U216" i="8" s="1"/>
  <c r="S216" i="8"/>
  <c r="R216" i="8"/>
  <c r="T215" i="8"/>
  <c r="U215" i="8" s="1"/>
  <c r="R215" i="8"/>
  <c r="S215" i="8" s="1"/>
  <c r="U214" i="8"/>
  <c r="T214" i="8"/>
  <c r="R214" i="8"/>
  <c r="S214" i="8" s="1"/>
  <c r="T213" i="8"/>
  <c r="U213" i="8" s="1"/>
  <c r="R213" i="8"/>
  <c r="S213" i="8" s="1"/>
  <c r="T212" i="8"/>
  <c r="U212" i="8" s="1"/>
  <c r="S212" i="8"/>
  <c r="R212" i="8"/>
  <c r="T211" i="8"/>
  <c r="U211" i="8" s="1"/>
  <c r="S211" i="8"/>
  <c r="R211" i="8"/>
  <c r="T210" i="8"/>
  <c r="U210" i="8" s="1"/>
  <c r="R210" i="8"/>
  <c r="S210" i="8" s="1"/>
  <c r="U209" i="8"/>
  <c r="T209" i="8"/>
  <c r="S209" i="8"/>
  <c r="R209" i="8"/>
  <c r="T208" i="8"/>
  <c r="U208" i="8" s="1"/>
  <c r="R208" i="8"/>
  <c r="S208" i="8" s="1"/>
  <c r="U207" i="8"/>
  <c r="T207" i="8"/>
  <c r="R207" i="8"/>
  <c r="S207" i="8" s="1"/>
  <c r="T206" i="8"/>
  <c r="U206" i="8" s="1"/>
  <c r="R206" i="8"/>
  <c r="S206" i="8" s="1"/>
  <c r="U205" i="8"/>
  <c r="T205" i="8"/>
  <c r="S205" i="8"/>
  <c r="R205" i="8"/>
  <c r="T204" i="8"/>
  <c r="U204" i="8" s="1"/>
  <c r="R204" i="8"/>
  <c r="S204" i="8" s="1"/>
  <c r="T203" i="8"/>
  <c r="U203" i="8" s="1"/>
  <c r="R203" i="8"/>
  <c r="S203" i="8" s="1"/>
  <c r="T202" i="8"/>
  <c r="U202" i="8" s="1"/>
  <c r="R202" i="8"/>
  <c r="S202" i="8" s="1"/>
  <c r="T201" i="8"/>
  <c r="U201" i="8" s="1"/>
  <c r="R201" i="8"/>
  <c r="S201" i="8" s="1"/>
  <c r="U200" i="8"/>
  <c r="T200" i="8"/>
  <c r="R200" i="8"/>
  <c r="S200" i="8" s="1"/>
  <c r="T199" i="8"/>
  <c r="U199" i="8" s="1"/>
  <c r="R199" i="8"/>
  <c r="S199" i="8" s="1"/>
  <c r="T198" i="8"/>
  <c r="U198" i="8" s="1"/>
  <c r="R198" i="8"/>
  <c r="S198" i="8" s="1"/>
  <c r="U197" i="8"/>
  <c r="T197" i="8"/>
  <c r="R197" i="8"/>
  <c r="S197" i="8" s="1"/>
  <c r="T196" i="8"/>
  <c r="U196" i="8" s="1"/>
  <c r="S196" i="8"/>
  <c r="R196" i="8"/>
  <c r="U195" i="8"/>
  <c r="T195" i="8"/>
  <c r="R195" i="8"/>
  <c r="S195" i="8" s="1"/>
  <c r="T194" i="8"/>
  <c r="U194" i="8" s="1"/>
  <c r="R194" i="8"/>
  <c r="S194" i="8" s="1"/>
  <c r="T193" i="8"/>
  <c r="U193" i="8" s="1"/>
  <c r="R193" i="8"/>
  <c r="S193" i="8" s="1"/>
  <c r="T192" i="8"/>
  <c r="U192" i="8" s="1"/>
  <c r="R192" i="8"/>
  <c r="S192" i="8" s="1"/>
  <c r="T191" i="8"/>
  <c r="U191" i="8" s="1"/>
  <c r="R191" i="8"/>
  <c r="S191" i="8" s="1"/>
  <c r="T190" i="8"/>
  <c r="U190" i="8" s="1"/>
  <c r="R190" i="8"/>
  <c r="S190" i="8" s="1"/>
  <c r="U189" i="8"/>
  <c r="T189" i="8"/>
  <c r="R189" i="8"/>
  <c r="S189" i="8" s="1"/>
  <c r="T188" i="8"/>
  <c r="U188" i="8" s="1"/>
  <c r="R188" i="8"/>
  <c r="S188" i="8" s="1"/>
  <c r="T187" i="8"/>
  <c r="U187" i="8" s="1"/>
  <c r="R187" i="8"/>
  <c r="S187" i="8" s="1"/>
  <c r="T186" i="8"/>
  <c r="U186" i="8" s="1"/>
  <c r="R186" i="8"/>
  <c r="S186" i="8" s="1"/>
  <c r="U185" i="8"/>
  <c r="T185" i="8"/>
  <c r="R185" i="8"/>
  <c r="S185" i="8" s="1"/>
  <c r="T184" i="8"/>
  <c r="U184" i="8" s="1"/>
  <c r="R184" i="8"/>
  <c r="S184" i="8" s="1"/>
  <c r="T183" i="8"/>
  <c r="U183" i="8" s="1"/>
  <c r="R183" i="8"/>
  <c r="S183" i="8" s="1"/>
  <c r="T182" i="8"/>
  <c r="U182" i="8" s="1"/>
  <c r="R182" i="8"/>
  <c r="S182" i="8" s="1"/>
  <c r="T181" i="8"/>
  <c r="U181" i="8" s="1"/>
  <c r="R181" i="8"/>
  <c r="S181" i="8" s="1"/>
  <c r="T180" i="8"/>
  <c r="U180" i="8" s="1"/>
  <c r="R180" i="8"/>
  <c r="S180" i="8" s="1"/>
  <c r="U179" i="8"/>
  <c r="T179" i="8"/>
  <c r="R179" i="8"/>
  <c r="S179" i="8" s="1"/>
  <c r="T178" i="8"/>
  <c r="U178" i="8" s="1"/>
  <c r="R178" i="8"/>
  <c r="S178" i="8" s="1"/>
  <c r="T177" i="8"/>
  <c r="U177" i="8" s="1"/>
  <c r="R177" i="8"/>
  <c r="S177" i="8" s="1"/>
  <c r="T176" i="8"/>
  <c r="U176" i="8" s="1"/>
  <c r="R176" i="8"/>
  <c r="S176" i="8" s="1"/>
  <c r="U175" i="8"/>
  <c r="T175" i="8"/>
  <c r="R175" i="8"/>
  <c r="S175" i="8" s="1"/>
  <c r="T174" i="8"/>
  <c r="U174" i="8" s="1"/>
  <c r="R174" i="8"/>
  <c r="S174" i="8" s="1"/>
  <c r="T173" i="8"/>
  <c r="U173" i="8" s="1"/>
  <c r="R173" i="8"/>
  <c r="S173" i="8" s="1"/>
  <c r="T172" i="8"/>
  <c r="U172" i="8" s="1"/>
  <c r="R172" i="8"/>
  <c r="S172" i="8" s="1"/>
  <c r="T171" i="8"/>
  <c r="U171" i="8" s="1"/>
  <c r="R171" i="8"/>
  <c r="S171" i="8" s="1"/>
  <c r="T170" i="8"/>
  <c r="U170" i="8" s="1"/>
  <c r="S170" i="8"/>
  <c r="R170" i="8"/>
  <c r="T169" i="8"/>
  <c r="U169" i="8" s="1"/>
  <c r="R169" i="8"/>
  <c r="S169" i="8" s="1"/>
  <c r="T168" i="8"/>
  <c r="U168" i="8" s="1"/>
  <c r="R168" i="8"/>
  <c r="S168" i="8" s="1"/>
  <c r="T167" i="8"/>
  <c r="U167" i="8" s="1"/>
  <c r="R167" i="8"/>
  <c r="S167" i="8" s="1"/>
  <c r="U166" i="8"/>
  <c r="T166" i="8"/>
  <c r="R166" i="8"/>
  <c r="S166" i="8" s="1"/>
  <c r="T165" i="8"/>
  <c r="U165" i="8" s="1"/>
  <c r="R165" i="8"/>
  <c r="S165" i="8" s="1"/>
  <c r="T164" i="8"/>
  <c r="U164" i="8" s="1"/>
  <c r="R164" i="8"/>
  <c r="S164" i="8" s="1"/>
  <c r="T163" i="8"/>
  <c r="U163" i="8" s="1"/>
  <c r="R163" i="8"/>
  <c r="S163" i="8" s="1"/>
  <c r="T162" i="8"/>
  <c r="U162" i="8" s="1"/>
  <c r="R162" i="8"/>
  <c r="S162" i="8" s="1"/>
  <c r="T161" i="8"/>
  <c r="U161" i="8" s="1"/>
  <c r="R161" i="8"/>
  <c r="S161" i="8" s="1"/>
  <c r="T160" i="8"/>
  <c r="U160" i="8" s="1"/>
  <c r="R160" i="8"/>
  <c r="S160" i="8" s="1"/>
  <c r="T159" i="8"/>
  <c r="U159" i="8" s="1"/>
  <c r="R159" i="8"/>
  <c r="S159" i="8" s="1"/>
  <c r="U158" i="8"/>
  <c r="T158" i="8"/>
  <c r="R158" i="8"/>
  <c r="S158" i="8" s="1"/>
  <c r="T157" i="8"/>
  <c r="U157" i="8" s="1"/>
  <c r="R157" i="8"/>
  <c r="S157" i="8" s="1"/>
  <c r="T156" i="8"/>
  <c r="U156" i="8" s="1"/>
  <c r="R156" i="8"/>
  <c r="S156" i="8" s="1"/>
  <c r="T155" i="8"/>
  <c r="U155" i="8" s="1"/>
  <c r="R155" i="8"/>
  <c r="S155" i="8" s="1"/>
  <c r="U154" i="8"/>
  <c r="T154" i="8"/>
  <c r="R154" i="8"/>
  <c r="S154" i="8" s="1"/>
  <c r="T153" i="8"/>
  <c r="U153" i="8" s="1"/>
  <c r="R153" i="8"/>
  <c r="S153" i="8" s="1"/>
  <c r="T152" i="8"/>
  <c r="U152" i="8" s="1"/>
  <c r="R152" i="8"/>
  <c r="S152" i="8" s="1"/>
  <c r="T151" i="8"/>
  <c r="U151" i="8" s="1"/>
  <c r="R151" i="8"/>
  <c r="S151" i="8" s="1"/>
  <c r="T150" i="8"/>
  <c r="U150" i="8" s="1"/>
  <c r="R150" i="8"/>
  <c r="S150" i="8" s="1"/>
  <c r="T149" i="8"/>
  <c r="U149" i="8" s="1"/>
  <c r="R149" i="8"/>
  <c r="S149" i="8" s="1"/>
  <c r="T148" i="8"/>
  <c r="U148" i="8" s="1"/>
  <c r="R148" i="8"/>
  <c r="S148" i="8" s="1"/>
  <c r="T147" i="8"/>
  <c r="U147" i="8" s="1"/>
  <c r="R147" i="8"/>
  <c r="S147" i="8" s="1"/>
  <c r="U146" i="8"/>
  <c r="T146" i="8"/>
  <c r="R146" i="8"/>
  <c r="S146" i="8" s="1"/>
  <c r="T145" i="8"/>
  <c r="U145" i="8" s="1"/>
  <c r="R145" i="8"/>
  <c r="S145" i="8" s="1"/>
  <c r="T144" i="8"/>
  <c r="U144" i="8" s="1"/>
  <c r="R144" i="8"/>
  <c r="S144" i="8" s="1"/>
  <c r="T143" i="8"/>
  <c r="U143" i="8" s="1"/>
  <c r="R143" i="8"/>
  <c r="S143" i="8" s="1"/>
  <c r="U142" i="8"/>
  <c r="T142" i="8"/>
  <c r="R142" i="8"/>
  <c r="S142" i="8" s="1"/>
  <c r="T141" i="8"/>
  <c r="U141" i="8" s="1"/>
  <c r="R141" i="8"/>
  <c r="S141" i="8" s="1"/>
  <c r="T140" i="8"/>
  <c r="U140" i="8" s="1"/>
  <c r="R140" i="8"/>
  <c r="S140" i="8" s="1"/>
  <c r="T139" i="8"/>
  <c r="U139" i="8" s="1"/>
  <c r="R139" i="8"/>
  <c r="S139" i="8" s="1"/>
  <c r="U138" i="8"/>
  <c r="T138" i="8"/>
  <c r="R138" i="8"/>
  <c r="S138" i="8" s="1"/>
  <c r="T137" i="8"/>
  <c r="U137" i="8" s="1"/>
  <c r="R137" i="8"/>
  <c r="S137" i="8" s="1"/>
  <c r="T136" i="8"/>
  <c r="U136" i="8" s="1"/>
  <c r="R136" i="8"/>
  <c r="S136" i="8" s="1"/>
  <c r="T135" i="8"/>
  <c r="U135" i="8" s="1"/>
  <c r="R135" i="8"/>
  <c r="S135" i="8" s="1"/>
  <c r="T134" i="8"/>
  <c r="U134" i="8" s="1"/>
  <c r="R134" i="8"/>
  <c r="S134" i="8" s="1"/>
  <c r="T133" i="8"/>
  <c r="U133" i="8" s="1"/>
  <c r="R133" i="8"/>
  <c r="S133" i="8" s="1"/>
  <c r="U132" i="8"/>
  <c r="T132" i="8"/>
  <c r="R132" i="8"/>
  <c r="S132" i="8" s="1"/>
  <c r="T131" i="8"/>
  <c r="U131" i="8" s="1"/>
  <c r="R131" i="8"/>
  <c r="S131" i="8" s="1"/>
  <c r="T130" i="8"/>
  <c r="U130" i="8" s="1"/>
  <c r="R130" i="8"/>
  <c r="S130" i="8" s="1"/>
  <c r="T129" i="8"/>
  <c r="U129" i="8" s="1"/>
  <c r="R129" i="8"/>
  <c r="S129" i="8" s="1"/>
  <c r="T128" i="8"/>
  <c r="U128" i="8" s="1"/>
  <c r="R128" i="8"/>
  <c r="S128" i="8" s="1"/>
  <c r="T127" i="8"/>
  <c r="U127" i="8" s="1"/>
  <c r="S127" i="8"/>
  <c r="R127" i="8"/>
  <c r="U126" i="8"/>
  <c r="T126" i="8"/>
  <c r="R126" i="8"/>
  <c r="S126" i="8" s="1"/>
  <c r="T125" i="8"/>
  <c r="U125" i="8" s="1"/>
  <c r="R125" i="8"/>
  <c r="S125" i="8" s="1"/>
  <c r="T124" i="8"/>
  <c r="U124" i="8" s="1"/>
  <c r="R124" i="8"/>
  <c r="S124" i="8" s="1"/>
  <c r="T123" i="8"/>
  <c r="U123" i="8" s="1"/>
  <c r="S123" i="8"/>
  <c r="R123" i="8"/>
  <c r="T122" i="8"/>
  <c r="U122" i="8" s="1"/>
  <c r="R122" i="8"/>
  <c r="S122" i="8" s="1"/>
  <c r="T121" i="8"/>
  <c r="U121" i="8" s="1"/>
  <c r="S121" i="8"/>
  <c r="R121" i="8"/>
  <c r="T120" i="8"/>
  <c r="U120" i="8" s="1"/>
  <c r="R120" i="8"/>
  <c r="S120" i="8" s="1"/>
  <c r="T119" i="8"/>
  <c r="U119" i="8" s="1"/>
  <c r="S119" i="8"/>
  <c r="R119" i="8"/>
  <c r="T118" i="8"/>
  <c r="U118" i="8" s="1"/>
  <c r="R118" i="8"/>
  <c r="S118" i="8" s="1"/>
  <c r="T117" i="8"/>
  <c r="U117" i="8" s="1"/>
  <c r="R117" i="8"/>
  <c r="S117" i="8" s="1"/>
  <c r="U116" i="8"/>
  <c r="T116" i="8"/>
  <c r="R116" i="8"/>
  <c r="S116" i="8" s="1"/>
  <c r="T115" i="8"/>
  <c r="U115" i="8" s="1"/>
  <c r="R115" i="8"/>
  <c r="S115" i="8" s="1"/>
  <c r="T114" i="8"/>
  <c r="U114" i="8" s="1"/>
  <c r="R114" i="8"/>
  <c r="S114" i="8" s="1"/>
  <c r="T113" i="8"/>
  <c r="U113" i="8" s="1"/>
  <c r="S113" i="8"/>
  <c r="R113" i="8"/>
  <c r="T112" i="8"/>
  <c r="U112" i="8" s="1"/>
  <c r="R112" i="8"/>
  <c r="S112" i="8" s="1"/>
  <c r="T111" i="8"/>
  <c r="U111" i="8" s="1"/>
  <c r="R111" i="8"/>
  <c r="S111" i="8" s="1"/>
  <c r="U110" i="8"/>
  <c r="T110" i="8"/>
  <c r="R110" i="8"/>
  <c r="S110" i="8" s="1"/>
  <c r="T109" i="8"/>
  <c r="U109" i="8" s="1"/>
  <c r="S109" i="8"/>
  <c r="R109" i="8"/>
  <c r="T108" i="8"/>
  <c r="U108" i="8" s="1"/>
  <c r="R108" i="8"/>
  <c r="S108" i="8" s="1"/>
  <c r="T107" i="8"/>
  <c r="U107" i="8" s="1"/>
  <c r="S107" i="8"/>
  <c r="R107" i="8"/>
  <c r="U106" i="8"/>
  <c r="T106" i="8"/>
  <c r="R106" i="8"/>
  <c r="S106" i="8" s="1"/>
  <c r="T105" i="8"/>
  <c r="U105" i="8" s="1"/>
  <c r="S105" i="8"/>
  <c r="R105" i="8"/>
  <c r="U104" i="8"/>
  <c r="T104" i="8"/>
  <c r="R104" i="8"/>
  <c r="S104" i="8" s="1"/>
  <c r="T103" i="8"/>
  <c r="U103" i="8" s="1"/>
  <c r="R103" i="8"/>
  <c r="S103" i="8" s="1"/>
  <c r="T102" i="8"/>
  <c r="U102" i="8" s="1"/>
  <c r="R102" i="8"/>
  <c r="S102" i="8" s="1"/>
  <c r="T101" i="8"/>
  <c r="U101" i="8" s="1"/>
  <c r="R101" i="8"/>
  <c r="S101" i="8" s="1"/>
  <c r="T100" i="8"/>
  <c r="U100" i="8" s="1"/>
  <c r="R100" i="8"/>
  <c r="S100" i="8" s="1"/>
  <c r="T99" i="8"/>
  <c r="U99" i="8" s="1"/>
  <c r="R99" i="8"/>
  <c r="S99" i="8" s="1"/>
  <c r="T98" i="8"/>
  <c r="U98" i="8" s="1"/>
  <c r="R98" i="8"/>
  <c r="S98" i="8" s="1"/>
  <c r="T97" i="8"/>
  <c r="U97" i="8" s="1"/>
  <c r="R97" i="8"/>
  <c r="S97" i="8" s="1"/>
  <c r="U96" i="8"/>
  <c r="T96" i="8"/>
  <c r="R96" i="8"/>
  <c r="S96" i="8" s="1"/>
  <c r="T95" i="8"/>
  <c r="U95" i="8" s="1"/>
  <c r="R95" i="8"/>
  <c r="S95" i="8" s="1"/>
  <c r="U94" i="8"/>
  <c r="T94" i="8"/>
  <c r="R94" i="8"/>
  <c r="S94" i="8" s="1"/>
  <c r="U93" i="8"/>
  <c r="T93" i="8"/>
  <c r="R93" i="8"/>
  <c r="S93" i="8" s="1"/>
  <c r="T92" i="8"/>
  <c r="U92" i="8" s="1"/>
  <c r="R92" i="8"/>
  <c r="S92" i="8" s="1"/>
  <c r="T91" i="8"/>
  <c r="U91" i="8" s="1"/>
  <c r="R91" i="8"/>
  <c r="S91" i="8" s="1"/>
  <c r="U90" i="8"/>
  <c r="T90" i="8"/>
  <c r="R90" i="8"/>
  <c r="S90" i="8" s="1"/>
  <c r="T89" i="8"/>
  <c r="U89" i="8" s="1"/>
  <c r="R89" i="8"/>
  <c r="S89" i="8" s="1"/>
  <c r="U88" i="8"/>
  <c r="T88" i="8"/>
  <c r="R88" i="8"/>
  <c r="S88" i="8" s="1"/>
  <c r="T87" i="8"/>
  <c r="U87" i="8" s="1"/>
  <c r="R87" i="8"/>
  <c r="S87" i="8" s="1"/>
  <c r="U86" i="8"/>
  <c r="T86" i="8"/>
  <c r="R86" i="8"/>
  <c r="S86" i="8" s="1"/>
  <c r="T85" i="8"/>
  <c r="U85" i="8" s="1"/>
  <c r="R85" i="8"/>
  <c r="S85" i="8" s="1"/>
  <c r="U84" i="8"/>
  <c r="T84" i="8"/>
  <c r="R84" i="8"/>
  <c r="S84" i="8" s="1"/>
  <c r="U83" i="8"/>
  <c r="T83" i="8"/>
  <c r="R83" i="8"/>
  <c r="S83" i="8" s="1"/>
  <c r="T82" i="8"/>
  <c r="U82" i="8" s="1"/>
  <c r="R82" i="8"/>
  <c r="S82" i="8" s="1"/>
  <c r="T81" i="8"/>
  <c r="U81" i="8" s="1"/>
  <c r="R81" i="8"/>
  <c r="S81" i="8" s="1"/>
  <c r="T80" i="8"/>
  <c r="U80" i="8" s="1"/>
  <c r="R80" i="8"/>
  <c r="S80" i="8" s="1"/>
  <c r="T79" i="8"/>
  <c r="U79" i="8" s="1"/>
  <c r="R79" i="8"/>
  <c r="S79" i="8" s="1"/>
  <c r="T78" i="8"/>
  <c r="U78" i="8" s="1"/>
  <c r="R78" i="8"/>
  <c r="S78" i="8" s="1"/>
  <c r="T77" i="8"/>
  <c r="U77" i="8" s="1"/>
  <c r="R77" i="8"/>
  <c r="S77" i="8" s="1"/>
  <c r="T76" i="8"/>
  <c r="U76" i="8" s="1"/>
  <c r="R76" i="8"/>
  <c r="S76" i="8" s="1"/>
  <c r="T75" i="8"/>
  <c r="U75" i="8" s="1"/>
  <c r="R75" i="8"/>
  <c r="S75" i="8" s="1"/>
  <c r="T74" i="8"/>
  <c r="U74" i="8" s="1"/>
  <c r="R74" i="8"/>
  <c r="S74" i="8" s="1"/>
  <c r="T73" i="8"/>
  <c r="U73" i="8" s="1"/>
  <c r="R73" i="8"/>
  <c r="S73" i="8" s="1"/>
  <c r="T72" i="8"/>
  <c r="U72" i="8" s="1"/>
  <c r="R72" i="8"/>
  <c r="S72" i="8" s="1"/>
  <c r="T71" i="8"/>
  <c r="U71" i="8" s="1"/>
  <c r="R71" i="8"/>
  <c r="S71" i="8" s="1"/>
  <c r="T70" i="8"/>
  <c r="U70" i="8" s="1"/>
  <c r="R70" i="8"/>
  <c r="S70" i="8" s="1"/>
  <c r="T69" i="8"/>
  <c r="U69" i="8" s="1"/>
  <c r="R69" i="8"/>
  <c r="S69" i="8" s="1"/>
  <c r="T68" i="8"/>
  <c r="U68" i="8" s="1"/>
  <c r="R68" i="8"/>
  <c r="S68" i="8" s="1"/>
  <c r="T67" i="8"/>
  <c r="U67" i="8" s="1"/>
  <c r="R67" i="8"/>
  <c r="S67" i="8" s="1"/>
  <c r="T66" i="8"/>
  <c r="U66" i="8" s="1"/>
  <c r="R66" i="8"/>
  <c r="S66" i="8" s="1"/>
  <c r="T65" i="8"/>
  <c r="U65" i="8" s="1"/>
  <c r="R65" i="8"/>
  <c r="S65" i="8" s="1"/>
  <c r="T64" i="8"/>
  <c r="U64" i="8" s="1"/>
  <c r="R64" i="8"/>
  <c r="S64" i="8" s="1"/>
  <c r="T63" i="8"/>
  <c r="U63" i="8" s="1"/>
  <c r="R63" i="8"/>
  <c r="S63" i="8" s="1"/>
  <c r="T62" i="8"/>
  <c r="U62" i="8" s="1"/>
  <c r="R62" i="8"/>
  <c r="S62" i="8" s="1"/>
  <c r="T61" i="8"/>
  <c r="U61" i="8" s="1"/>
  <c r="R61" i="8"/>
  <c r="S61" i="8" s="1"/>
  <c r="T60" i="8"/>
  <c r="U60" i="8" s="1"/>
  <c r="R60" i="8"/>
  <c r="S60" i="8" s="1"/>
  <c r="T59" i="8"/>
  <c r="U59" i="8" s="1"/>
  <c r="R59" i="8"/>
  <c r="S59" i="8" s="1"/>
  <c r="T58" i="8"/>
  <c r="U58" i="8" s="1"/>
  <c r="R58" i="8"/>
  <c r="S58" i="8" s="1"/>
  <c r="T57" i="8"/>
  <c r="U57" i="8" s="1"/>
  <c r="R57" i="8"/>
  <c r="S57" i="8" s="1"/>
  <c r="U56" i="8"/>
  <c r="T56" i="8"/>
  <c r="R56" i="8"/>
  <c r="S56" i="8" s="1"/>
  <c r="T55" i="8"/>
  <c r="U55" i="8" s="1"/>
  <c r="R55" i="8"/>
  <c r="S55" i="8" s="1"/>
  <c r="T54" i="8"/>
  <c r="U54" i="8" s="1"/>
  <c r="R54" i="8"/>
  <c r="S54" i="8" s="1"/>
  <c r="T53" i="8"/>
  <c r="U53" i="8" s="1"/>
  <c r="R53" i="8"/>
  <c r="S53" i="8" s="1"/>
  <c r="T52" i="8"/>
  <c r="U52" i="8" s="1"/>
  <c r="R52" i="8"/>
  <c r="S52" i="8" s="1"/>
  <c r="T51" i="8"/>
  <c r="U51" i="8" s="1"/>
  <c r="R51" i="8"/>
  <c r="S51" i="8" s="1"/>
  <c r="T50" i="8"/>
  <c r="U50" i="8" s="1"/>
  <c r="R50" i="8"/>
  <c r="S50" i="8" s="1"/>
  <c r="T49" i="8"/>
  <c r="U49" i="8" s="1"/>
  <c r="S49" i="8"/>
  <c r="R49" i="8"/>
  <c r="T48" i="8"/>
  <c r="U48" i="8" s="1"/>
  <c r="R48" i="8"/>
  <c r="S48" i="8" s="1"/>
  <c r="T47" i="8"/>
  <c r="U47" i="8" s="1"/>
  <c r="S47" i="8"/>
  <c r="R47" i="8"/>
  <c r="T46" i="8"/>
  <c r="U46" i="8" s="1"/>
  <c r="R46" i="8"/>
  <c r="S46" i="8" s="1"/>
  <c r="U45" i="8"/>
  <c r="T45" i="8"/>
  <c r="S45" i="8"/>
  <c r="R45" i="8"/>
  <c r="T44" i="8"/>
  <c r="U44" i="8" s="1"/>
  <c r="R44" i="8"/>
  <c r="S44" i="8" s="1"/>
  <c r="T43" i="8"/>
  <c r="U43" i="8" s="1"/>
  <c r="R43" i="8"/>
  <c r="S43" i="8" s="1"/>
  <c r="T42" i="8"/>
  <c r="U42" i="8" s="1"/>
  <c r="R42" i="8"/>
  <c r="S42" i="8" s="1"/>
  <c r="T41" i="8"/>
  <c r="U41" i="8" s="1"/>
  <c r="R41" i="8"/>
  <c r="S41" i="8" s="1"/>
  <c r="T40" i="8"/>
  <c r="U40" i="8" s="1"/>
  <c r="R40" i="8"/>
  <c r="S40" i="8" s="1"/>
  <c r="U39" i="8"/>
  <c r="T39" i="8"/>
  <c r="S39" i="8"/>
  <c r="R39" i="8"/>
  <c r="T38" i="8"/>
  <c r="U38" i="8" s="1"/>
  <c r="R38" i="8"/>
  <c r="S38" i="8" s="1"/>
  <c r="T37" i="8"/>
  <c r="U37" i="8" s="1"/>
  <c r="S37" i="8"/>
  <c r="R37" i="8"/>
  <c r="T36" i="8"/>
  <c r="U36" i="8" s="1"/>
  <c r="R36" i="8"/>
  <c r="S36" i="8" s="1"/>
  <c r="T35" i="8"/>
  <c r="U35" i="8" s="1"/>
  <c r="R35" i="8"/>
  <c r="S35" i="8" s="1"/>
  <c r="T34" i="8"/>
  <c r="U34" i="8" s="1"/>
  <c r="R34" i="8"/>
  <c r="S34" i="8" s="1"/>
  <c r="T33" i="8"/>
  <c r="U33" i="8" s="1"/>
  <c r="S33" i="8"/>
  <c r="R33" i="8"/>
  <c r="T32" i="8"/>
  <c r="U32" i="8" s="1"/>
  <c r="R32" i="8"/>
  <c r="S32" i="8" s="1"/>
  <c r="T31" i="8"/>
  <c r="U31" i="8" s="1"/>
  <c r="R31" i="8"/>
  <c r="S31" i="8" s="1"/>
  <c r="T30" i="8"/>
  <c r="U30" i="8" s="1"/>
  <c r="R30" i="8"/>
  <c r="S30" i="8" s="1"/>
  <c r="T29" i="8"/>
  <c r="U29" i="8" s="1"/>
  <c r="R29" i="8"/>
  <c r="S29" i="8" s="1"/>
  <c r="U28" i="8"/>
  <c r="T28" i="8"/>
  <c r="R28" i="8"/>
  <c r="S28" i="8" s="1"/>
  <c r="T27" i="8"/>
  <c r="U27" i="8" s="1"/>
  <c r="S27" i="8"/>
  <c r="R27" i="8"/>
  <c r="U26" i="8"/>
  <c r="T26" i="8"/>
  <c r="R26" i="8"/>
  <c r="S26" i="8" s="1"/>
  <c r="T25" i="8"/>
  <c r="U25" i="8" s="1"/>
  <c r="S25" i="8"/>
  <c r="R25" i="8"/>
  <c r="T24" i="8"/>
  <c r="U24" i="8" s="1"/>
  <c r="R24" i="8"/>
  <c r="S24" i="8" s="1"/>
  <c r="T23" i="8"/>
  <c r="U23" i="8" s="1"/>
  <c r="R23" i="8"/>
  <c r="S23" i="8" s="1"/>
  <c r="T22" i="8"/>
  <c r="U22" i="8" s="1"/>
  <c r="R22" i="8"/>
  <c r="S22" i="8" s="1"/>
  <c r="U21" i="8"/>
  <c r="T21" i="8"/>
  <c r="R21" i="8"/>
  <c r="S21" i="8" s="1"/>
  <c r="U20" i="8"/>
  <c r="T20" i="8"/>
  <c r="R20" i="8"/>
  <c r="S20" i="8" s="1"/>
  <c r="T19" i="8"/>
  <c r="U19" i="8" s="1"/>
  <c r="R19" i="8"/>
  <c r="S19" i="8" s="1"/>
  <c r="T18" i="8"/>
  <c r="U18" i="8" s="1"/>
  <c r="R18" i="8"/>
  <c r="S18" i="8" s="1"/>
  <c r="N18" i="8"/>
  <c r="M18" i="8"/>
  <c r="T17" i="8"/>
  <c r="U17" i="8" s="1"/>
  <c r="R17" i="8"/>
  <c r="S17" i="8" s="1"/>
  <c r="N17" i="8"/>
  <c r="M17" i="8"/>
  <c r="T16" i="8"/>
  <c r="U16" i="8" s="1"/>
  <c r="R16" i="8"/>
  <c r="S16" i="8" s="1"/>
  <c r="T15" i="8"/>
  <c r="U15" i="8" s="1"/>
  <c r="R15" i="8"/>
  <c r="S15" i="8" s="1"/>
  <c r="N15" i="8"/>
  <c r="M15" i="8"/>
  <c r="I15" i="8"/>
  <c r="G15" i="8"/>
  <c r="F15" i="8"/>
  <c r="E15" i="8"/>
  <c r="B15" i="8"/>
  <c r="L15" i="8" s="1"/>
  <c r="P14" i="8"/>
  <c r="O14" i="8"/>
  <c r="F14" i="8"/>
  <c r="E14" i="8"/>
  <c r="D14" i="8"/>
  <c r="A14" i="8" s="1"/>
  <c r="C14" i="8"/>
  <c r="B12" i="8"/>
  <c r="Q8" i="8"/>
  <c r="T7" i="8"/>
  <c r="I3" i="8"/>
  <c r="I1" i="8"/>
  <c r="J12" i="9" l="1"/>
  <c r="J230" i="9"/>
  <c r="P232" i="9"/>
  <c r="M230" i="9"/>
  <c r="M227" i="9"/>
  <c r="N230" i="9"/>
  <c r="P227" i="9"/>
  <c r="P228" i="9"/>
  <c r="L12" i="9"/>
  <c r="H12" i="9"/>
  <c r="P230" i="9"/>
  <c r="C12" i="9"/>
  <c r="E12" i="9"/>
  <c r="G12" i="9"/>
  <c r="B13" i="9"/>
  <c r="P225" i="9"/>
  <c r="N226" i="9"/>
  <c r="M226" i="9"/>
  <c r="N231" i="9"/>
  <c r="N229" i="9"/>
  <c r="P229" i="9" s="1"/>
  <c r="M229" i="9"/>
  <c r="M225" i="9"/>
  <c r="M232" i="9"/>
  <c r="J5" i="8"/>
  <c r="F12" i="8"/>
  <c r="G11" i="8"/>
  <c r="W16" i="8"/>
  <c r="L3" i="8"/>
  <c r="L12" i="8"/>
  <c r="M16" i="8" s="1"/>
  <c r="C15" i="8"/>
  <c r="E12" i="8"/>
  <c r="D10" i="8"/>
  <c r="F10" i="8" s="1"/>
  <c r="G10" i="8" s="1"/>
  <c r="H10" i="8" s="1"/>
  <c r="I10" i="8" s="1"/>
  <c r="I11" i="8"/>
  <c r="J12" i="8"/>
  <c r="K12" i="8" s="1"/>
  <c r="V15" i="8"/>
  <c r="N19" i="8"/>
  <c r="M19" i="8"/>
  <c r="W15" i="8"/>
  <c r="A11" i="8"/>
  <c r="B16" i="8"/>
  <c r="C12" i="8"/>
  <c r="B11" i="8" s="1"/>
  <c r="O232" i="8"/>
  <c r="P232" i="8" s="1"/>
  <c r="N232" i="8"/>
  <c r="M232" i="8"/>
  <c r="O234" i="8"/>
  <c r="P234" i="8" s="1"/>
  <c r="N228" i="8"/>
  <c r="O228" i="8" s="1"/>
  <c r="P228" i="8" s="1"/>
  <c r="M228" i="8"/>
  <c r="O231" i="8"/>
  <c r="P231" i="8" s="1"/>
  <c r="M234" i="8"/>
  <c r="N235" i="8"/>
  <c r="M235" i="8"/>
  <c r="O235" i="8"/>
  <c r="P235" i="8" s="1"/>
  <c r="M233" i="8"/>
  <c r="P226" i="9" l="1"/>
  <c r="N16" i="9"/>
  <c r="P231" i="9"/>
  <c r="H13" i="9"/>
  <c r="I13" i="9"/>
  <c r="E13" i="9"/>
  <c r="F13" i="9"/>
  <c r="B14" i="9"/>
  <c r="G13" i="9"/>
  <c r="J5" i="9"/>
  <c r="K15" i="8"/>
  <c r="O15" i="8" s="1"/>
  <c r="P15" i="8" s="1"/>
  <c r="G12" i="8"/>
  <c r="E11" i="8"/>
  <c r="K11" i="8"/>
  <c r="B17" i="8"/>
  <c r="G16" i="8"/>
  <c r="F16" i="8"/>
  <c r="E16" i="8"/>
  <c r="D15" i="8" a="1"/>
  <c r="D15" i="8" s="1"/>
  <c r="J13" i="9" l="1"/>
  <c r="D13" i="9" s="1"/>
  <c r="P12" i="9"/>
  <c r="B15" i="9"/>
  <c r="G14" i="9"/>
  <c r="F14" i="9"/>
  <c r="E14" i="9"/>
  <c r="A15" i="8"/>
  <c r="D12" i="8"/>
  <c r="K8" i="8"/>
  <c r="N16" i="8" s="1"/>
  <c r="G17" i="8"/>
  <c r="F17" i="8"/>
  <c r="E17" i="8"/>
  <c r="B18" i="8"/>
  <c r="L4" i="8"/>
  <c r="L16" i="8"/>
  <c r="C16" i="8" s="1"/>
  <c r="I16" i="8"/>
  <c r="G15" i="9" l="1"/>
  <c r="B16" i="9"/>
  <c r="F15" i="9"/>
  <c r="E15" i="9"/>
  <c r="H16" i="8"/>
  <c r="J16" i="8" s="1"/>
  <c r="B19" i="8"/>
  <c r="G18" i="8"/>
  <c r="F18" i="8"/>
  <c r="E18" i="8"/>
  <c r="N20" i="8"/>
  <c r="M20" i="8"/>
  <c r="K16" i="8"/>
  <c r="O16" i="8" s="1"/>
  <c r="F16" i="9" l="1"/>
  <c r="E16" i="9"/>
  <c r="B17" i="9"/>
  <c r="G16" i="9"/>
  <c r="D16" i="8" a="1"/>
  <c r="D16" i="8" s="1"/>
  <c r="A16" i="8" s="1"/>
  <c r="G19" i="8"/>
  <c r="E19" i="8"/>
  <c r="B20" i="8"/>
  <c r="F19" i="8"/>
  <c r="P16" i="8"/>
  <c r="B18" i="9" l="1"/>
  <c r="G17" i="9"/>
  <c r="F17" i="9"/>
  <c r="E17" i="9"/>
  <c r="I17" i="8"/>
  <c r="L17" i="8"/>
  <c r="N21" i="8" s="1"/>
  <c r="B21" i="8"/>
  <c r="G20" i="8"/>
  <c r="F20" i="8"/>
  <c r="E20" i="8"/>
  <c r="B19" i="9" l="1"/>
  <c r="G18" i="9"/>
  <c r="E18" i="9"/>
  <c r="F18" i="9"/>
  <c r="C17" i="8"/>
  <c r="H17" i="8"/>
  <c r="J17" i="8" s="1"/>
  <c r="K17" i="8" s="1"/>
  <c r="O17" i="8" s="1"/>
  <c r="M21" i="8"/>
  <c r="G21" i="8"/>
  <c r="E21" i="8"/>
  <c r="B22" i="8"/>
  <c r="F21" i="8"/>
  <c r="B20" i="9" l="1"/>
  <c r="G19" i="9"/>
  <c r="F19" i="9"/>
  <c r="E19" i="9"/>
  <c r="D17" i="8" a="1"/>
  <c r="D17" i="8" s="1"/>
  <c r="L18" i="8" s="1"/>
  <c r="C18" i="8" s="1"/>
  <c r="B23" i="8"/>
  <c r="G22" i="8"/>
  <c r="F22" i="8"/>
  <c r="E22" i="8"/>
  <c r="P17" i="8"/>
  <c r="E20" i="9" l="1"/>
  <c r="F20" i="9"/>
  <c r="G20" i="9"/>
  <c r="B21" i="9"/>
  <c r="I18" i="8"/>
  <c r="A17" i="8"/>
  <c r="H18" i="8"/>
  <c r="J18" i="8" s="1"/>
  <c r="G23" i="8"/>
  <c r="F23" i="8"/>
  <c r="B24" i="8"/>
  <c r="E23" i="8"/>
  <c r="N22" i="8"/>
  <c r="M22" i="8"/>
  <c r="B22" i="9" l="1"/>
  <c r="G21" i="9"/>
  <c r="F21" i="9"/>
  <c r="E21" i="9"/>
  <c r="B25" i="8"/>
  <c r="G24" i="8"/>
  <c r="F24" i="8"/>
  <c r="E24" i="8"/>
  <c r="K18" i="8"/>
  <c r="O18" i="8" s="1"/>
  <c r="F22" i="9" l="1"/>
  <c r="G22" i="9"/>
  <c r="E22" i="9"/>
  <c r="B23" i="9"/>
  <c r="P18" i="8"/>
  <c r="G25" i="8"/>
  <c r="B26" i="8"/>
  <c r="F25" i="8"/>
  <c r="E25" i="8"/>
  <c r="D18" i="8" a="1"/>
  <c r="D18" i="8" s="1"/>
  <c r="B24" i="9" l="1"/>
  <c r="F23" i="9"/>
  <c r="E23" i="9"/>
  <c r="G23" i="9"/>
  <c r="A18" i="8"/>
  <c r="I19" i="8"/>
  <c r="L19" i="8"/>
  <c r="C19" i="8" s="1"/>
  <c r="B27" i="8"/>
  <c r="G26" i="8"/>
  <c r="F26" i="8"/>
  <c r="E26" i="8"/>
  <c r="F24" i="9" l="1"/>
  <c r="E24" i="9"/>
  <c r="G24" i="9"/>
  <c r="B25" i="9"/>
  <c r="H19" i="8"/>
  <c r="J19" i="8" s="1"/>
  <c r="K19" i="8"/>
  <c r="O19" i="8" s="1"/>
  <c r="P19" i="8" s="1"/>
  <c r="G27" i="8"/>
  <c r="F27" i="8"/>
  <c r="E27" i="8"/>
  <c r="B28" i="8"/>
  <c r="N23" i="8"/>
  <c r="M23" i="8"/>
  <c r="B26" i="9" l="1"/>
  <c r="G25" i="9"/>
  <c r="E25" i="9"/>
  <c r="F25" i="9"/>
  <c r="D19" i="8" a="1"/>
  <c r="D19" i="8" s="1"/>
  <c r="A19" i="8" s="1"/>
  <c r="B29" i="8"/>
  <c r="G28" i="8"/>
  <c r="F28" i="8"/>
  <c r="E28" i="8"/>
  <c r="B27" i="9" l="1"/>
  <c r="F26" i="9"/>
  <c r="G26" i="9"/>
  <c r="E26" i="9"/>
  <c r="L20" i="8"/>
  <c r="C20" i="8" s="1"/>
  <c r="I20" i="8"/>
  <c r="G29" i="8"/>
  <c r="F29" i="8"/>
  <c r="E29" i="8"/>
  <c r="B30" i="8"/>
  <c r="B28" i="9" l="1"/>
  <c r="F27" i="9"/>
  <c r="G27" i="9"/>
  <c r="E27" i="9"/>
  <c r="N24" i="8"/>
  <c r="M24" i="8"/>
  <c r="H20" i="8"/>
  <c r="J20" i="8" s="1"/>
  <c r="B31" i="8"/>
  <c r="G30" i="8"/>
  <c r="F30" i="8"/>
  <c r="E30" i="8"/>
  <c r="B29" i="9" l="1"/>
  <c r="G28" i="9"/>
  <c r="F28" i="9"/>
  <c r="E28" i="9"/>
  <c r="K20" i="8"/>
  <c r="O20" i="8" s="1"/>
  <c r="P20" i="8" s="1"/>
  <c r="G31" i="8"/>
  <c r="F31" i="8"/>
  <c r="E31" i="8"/>
  <c r="B32" i="8"/>
  <c r="B30" i="9" l="1"/>
  <c r="G29" i="9"/>
  <c r="F29" i="9"/>
  <c r="E29" i="9"/>
  <c r="D20" i="8" a="1"/>
  <c r="D20" i="8" s="1"/>
  <c r="B33" i="8"/>
  <c r="G32" i="8"/>
  <c r="F32" i="8"/>
  <c r="E32" i="8"/>
  <c r="B31" i="9" l="1"/>
  <c r="G30" i="9"/>
  <c r="F30" i="9"/>
  <c r="E30" i="9"/>
  <c r="I21" i="8"/>
  <c r="L21" i="8"/>
  <c r="H21" i="8" s="1"/>
  <c r="J21" i="8" s="1"/>
  <c r="A20" i="8"/>
  <c r="G33" i="8"/>
  <c r="F33" i="8"/>
  <c r="E33" i="8"/>
  <c r="B34" i="8"/>
  <c r="B32" i="9" l="1"/>
  <c r="E31" i="9"/>
  <c r="G31" i="9"/>
  <c r="F31" i="9"/>
  <c r="C21" i="8"/>
  <c r="K21" i="8" s="1"/>
  <c r="O21" i="8" s="1"/>
  <c r="P21" i="8" s="1"/>
  <c r="M25" i="8"/>
  <c r="N25" i="8"/>
  <c r="B35" i="8"/>
  <c r="G34" i="8"/>
  <c r="F34" i="8"/>
  <c r="E34" i="8"/>
  <c r="B33" i="9" l="1"/>
  <c r="G32" i="9"/>
  <c r="F32" i="9"/>
  <c r="E32" i="9"/>
  <c r="D21" i="8" a="1"/>
  <c r="D21" i="8" s="1"/>
  <c r="G35" i="8"/>
  <c r="F35" i="8"/>
  <c r="E35" i="8"/>
  <c r="B36" i="8"/>
  <c r="B34" i="9" l="1"/>
  <c r="E33" i="9"/>
  <c r="F33" i="9"/>
  <c r="G33" i="9"/>
  <c r="L22" i="8"/>
  <c r="I22" i="8"/>
  <c r="A21" i="8"/>
  <c r="B37" i="8"/>
  <c r="G36" i="8"/>
  <c r="F36" i="8"/>
  <c r="E36" i="8"/>
  <c r="B35" i="9" l="1"/>
  <c r="G34" i="9"/>
  <c r="F34" i="9"/>
  <c r="E34" i="9"/>
  <c r="M26" i="8"/>
  <c r="N26" i="8"/>
  <c r="C22" i="8"/>
  <c r="H22" i="8"/>
  <c r="J22" i="8" s="1"/>
  <c r="B38" i="8"/>
  <c r="G37" i="8"/>
  <c r="F37" i="8"/>
  <c r="E37" i="8"/>
  <c r="B36" i="9" l="1"/>
  <c r="G35" i="9"/>
  <c r="F35" i="9"/>
  <c r="E35" i="9"/>
  <c r="K22" i="8"/>
  <c r="O22" i="8" s="1"/>
  <c r="P22" i="8" s="1"/>
  <c r="B39" i="8"/>
  <c r="G38" i="8"/>
  <c r="F38" i="8"/>
  <c r="E38" i="8"/>
  <c r="B37" i="9" l="1"/>
  <c r="G36" i="9"/>
  <c r="F36" i="9"/>
  <c r="E36" i="9"/>
  <c r="D22" i="8" a="1"/>
  <c r="D22" i="8" s="1"/>
  <c r="B40" i="8"/>
  <c r="G39" i="8"/>
  <c r="F39" i="8"/>
  <c r="E39" i="8"/>
  <c r="B38" i="9" l="1"/>
  <c r="G37" i="9"/>
  <c r="F37" i="9"/>
  <c r="E37" i="9"/>
  <c r="A22" i="8"/>
  <c r="L23" i="8"/>
  <c r="I23" i="8"/>
  <c r="H23" i="8"/>
  <c r="J23" i="8" s="1"/>
  <c r="B41" i="8"/>
  <c r="G40" i="8"/>
  <c r="F40" i="8"/>
  <c r="E40" i="8"/>
  <c r="B39" i="9" l="1"/>
  <c r="G38" i="9"/>
  <c r="F38" i="9"/>
  <c r="E38" i="9"/>
  <c r="C23" i="8"/>
  <c r="K23" i="8" s="1"/>
  <c r="O23" i="8" s="1"/>
  <c r="P23" i="8" s="1"/>
  <c r="N27" i="8"/>
  <c r="M27" i="8"/>
  <c r="B42" i="8"/>
  <c r="G41" i="8"/>
  <c r="F41" i="8"/>
  <c r="E41" i="8"/>
  <c r="B40" i="9" l="1"/>
  <c r="G39" i="9"/>
  <c r="F39" i="9"/>
  <c r="E39" i="9"/>
  <c r="D23" i="8" a="1"/>
  <c r="D23" i="8" s="1"/>
  <c r="B43" i="8"/>
  <c r="G42" i="8"/>
  <c r="F42" i="8"/>
  <c r="E42" i="8"/>
  <c r="B41" i="9" l="1"/>
  <c r="G40" i="9"/>
  <c r="F40" i="9"/>
  <c r="E40" i="9"/>
  <c r="I24" i="8"/>
  <c r="A23" i="8"/>
  <c r="L24" i="8"/>
  <c r="B44" i="8"/>
  <c r="G43" i="8"/>
  <c r="F43" i="8"/>
  <c r="E43" i="8"/>
  <c r="B42" i="9" l="1"/>
  <c r="F41" i="9"/>
  <c r="G41" i="9"/>
  <c r="E41" i="9"/>
  <c r="C24" i="8"/>
  <c r="M28" i="8"/>
  <c r="N28" i="8"/>
  <c r="H24" i="8"/>
  <c r="J24" i="8" s="1"/>
  <c r="B45" i="8"/>
  <c r="G44" i="8"/>
  <c r="F44" i="8"/>
  <c r="E44" i="8"/>
  <c r="B43" i="9" l="1"/>
  <c r="G42" i="9"/>
  <c r="F42" i="9"/>
  <c r="E42" i="9"/>
  <c r="K24" i="8"/>
  <c r="O24" i="8" s="1"/>
  <c r="P24" i="8" s="1"/>
  <c r="B46" i="8"/>
  <c r="G45" i="8"/>
  <c r="F45" i="8"/>
  <c r="E45" i="8"/>
  <c r="B44" i="9" l="1"/>
  <c r="G43" i="9"/>
  <c r="F43" i="9"/>
  <c r="E43" i="9"/>
  <c r="D24" i="8" a="1"/>
  <c r="D24" i="8" s="1"/>
  <c r="B47" i="8"/>
  <c r="G46" i="8"/>
  <c r="F46" i="8"/>
  <c r="E46" i="8"/>
  <c r="B45" i="9" l="1"/>
  <c r="G44" i="9"/>
  <c r="E44" i="9"/>
  <c r="F44" i="9"/>
  <c r="I25" i="8"/>
  <c r="L25" i="8"/>
  <c r="A24" i="8"/>
  <c r="H25" i="8"/>
  <c r="J25" i="8" s="1"/>
  <c r="C25" i="8"/>
  <c r="B48" i="8"/>
  <c r="G47" i="8"/>
  <c r="F47" i="8"/>
  <c r="E47" i="8"/>
  <c r="E45" i="9" l="1"/>
  <c r="G45" i="9"/>
  <c r="F45" i="9"/>
  <c r="B46" i="9"/>
  <c r="K25" i="8"/>
  <c r="N29" i="8"/>
  <c r="M29" i="8"/>
  <c r="B49" i="8"/>
  <c r="G48" i="8"/>
  <c r="F48" i="8"/>
  <c r="E48" i="8"/>
  <c r="B47" i="9" l="1"/>
  <c r="G46" i="9"/>
  <c r="E46" i="9"/>
  <c r="F46" i="9"/>
  <c r="O25" i="8"/>
  <c r="P25" i="8" s="1"/>
  <c r="D25" i="8" a="1"/>
  <c r="D25" i="8" s="1"/>
  <c r="B50" i="8"/>
  <c r="G49" i="8"/>
  <c r="E49" i="8"/>
  <c r="F49" i="8"/>
  <c r="B48" i="9" l="1"/>
  <c r="G47" i="9"/>
  <c r="F47" i="9"/>
  <c r="E47" i="9"/>
  <c r="L26" i="8"/>
  <c r="C26" i="8" s="1"/>
  <c r="I26" i="8"/>
  <c r="A25" i="8"/>
  <c r="B51" i="8"/>
  <c r="G50" i="8"/>
  <c r="F50" i="8"/>
  <c r="E50" i="8"/>
  <c r="B49" i="9" l="1"/>
  <c r="G48" i="9"/>
  <c r="F48" i="9"/>
  <c r="E48" i="9"/>
  <c r="H26" i="8"/>
  <c r="J26" i="8" s="1"/>
  <c r="N30" i="8"/>
  <c r="M30" i="8"/>
  <c r="B52" i="8"/>
  <c r="G51" i="8"/>
  <c r="F51" i="8"/>
  <c r="E51" i="8"/>
  <c r="B50" i="9" l="1"/>
  <c r="G49" i="9"/>
  <c r="E49" i="9"/>
  <c r="F49" i="9"/>
  <c r="K26" i="8"/>
  <c r="O26" i="8" s="1"/>
  <c r="P26" i="8" s="1"/>
  <c r="B53" i="8"/>
  <c r="G52" i="8"/>
  <c r="F52" i="8"/>
  <c r="E52" i="8"/>
  <c r="F50" i="9" l="1"/>
  <c r="E50" i="9"/>
  <c r="G50" i="9"/>
  <c r="B51" i="9"/>
  <c r="D26" i="8" a="1"/>
  <c r="D26" i="8" s="1"/>
  <c r="B54" i="8"/>
  <c r="G53" i="8"/>
  <c r="F53" i="8"/>
  <c r="E53" i="8"/>
  <c r="G51" i="9" l="1"/>
  <c r="E51" i="9"/>
  <c r="B52" i="9"/>
  <c r="F51" i="9"/>
  <c r="A26" i="8"/>
  <c r="I27" i="8"/>
  <c r="L27" i="8"/>
  <c r="H27" i="8" s="1"/>
  <c r="J27" i="8" s="1"/>
  <c r="B55" i="8"/>
  <c r="G54" i="8"/>
  <c r="F54" i="8"/>
  <c r="E54" i="8"/>
  <c r="G52" i="9" l="1"/>
  <c r="B53" i="9"/>
  <c r="F52" i="9"/>
  <c r="E52" i="9"/>
  <c r="N31" i="8"/>
  <c r="M31" i="8"/>
  <c r="C27" i="8"/>
  <c r="K27" i="8" s="1"/>
  <c r="O27" i="8" s="1"/>
  <c r="P27" i="8" s="1"/>
  <c r="B56" i="8"/>
  <c r="G55" i="8"/>
  <c r="F55" i="8"/>
  <c r="E55" i="8"/>
  <c r="B54" i="9" l="1"/>
  <c r="F53" i="9"/>
  <c r="E53" i="9"/>
  <c r="G53" i="9"/>
  <c r="D27" i="8" a="1"/>
  <c r="D27" i="8" s="1"/>
  <c r="B57" i="8"/>
  <c r="G56" i="8"/>
  <c r="F56" i="8"/>
  <c r="E56" i="8"/>
  <c r="B55" i="9" l="1"/>
  <c r="G54" i="9"/>
  <c r="F54" i="9"/>
  <c r="E54" i="9"/>
  <c r="A27" i="8"/>
  <c r="I28" i="8"/>
  <c r="L28" i="8"/>
  <c r="B58" i="8"/>
  <c r="G57" i="8"/>
  <c r="F57" i="8"/>
  <c r="E57" i="8"/>
  <c r="G55" i="9" l="1"/>
  <c r="B56" i="9"/>
  <c r="E55" i="9"/>
  <c r="F55" i="9"/>
  <c r="H28" i="8"/>
  <c r="J28" i="8" s="1"/>
  <c r="N32" i="8"/>
  <c r="M32" i="8"/>
  <c r="C28" i="8"/>
  <c r="B59" i="8"/>
  <c r="G58" i="8"/>
  <c r="F58" i="8"/>
  <c r="E58" i="8"/>
  <c r="B57" i="9" l="1"/>
  <c r="G56" i="9"/>
  <c r="F56" i="9"/>
  <c r="E56" i="9"/>
  <c r="K28" i="8"/>
  <c r="O28" i="8" s="1"/>
  <c r="P28" i="8" s="1"/>
  <c r="D28" i="8" a="1"/>
  <c r="D28" i="8" s="1"/>
  <c r="B60" i="8"/>
  <c r="G59" i="8"/>
  <c r="F59" i="8"/>
  <c r="E59" i="8"/>
  <c r="G57" i="9" l="1"/>
  <c r="F57" i="9"/>
  <c r="B58" i="9"/>
  <c r="E57" i="9"/>
  <c r="L29" i="8"/>
  <c r="A28" i="8"/>
  <c r="I29" i="8"/>
  <c r="H29" i="8"/>
  <c r="B61" i="8"/>
  <c r="G60" i="8"/>
  <c r="F60" i="8"/>
  <c r="E60" i="8"/>
  <c r="B59" i="9" l="1"/>
  <c r="F58" i="9"/>
  <c r="E58" i="9"/>
  <c r="G58" i="9"/>
  <c r="J29" i="8"/>
  <c r="C29" i="8"/>
  <c r="K29" i="8" s="1"/>
  <c r="N33" i="8"/>
  <c r="M33" i="8"/>
  <c r="B62" i="8"/>
  <c r="G61" i="8"/>
  <c r="F61" i="8"/>
  <c r="E61" i="8"/>
  <c r="F59" i="9" l="1"/>
  <c r="G59" i="9"/>
  <c r="E59" i="9"/>
  <c r="B60" i="9"/>
  <c r="O29" i="8"/>
  <c r="P29" i="8" s="1"/>
  <c r="D29" i="8" a="1"/>
  <c r="D29" i="8" s="1"/>
  <c r="B63" i="8"/>
  <c r="G62" i="8"/>
  <c r="F62" i="8"/>
  <c r="E62" i="8"/>
  <c r="B61" i="9" l="1"/>
  <c r="F60" i="9"/>
  <c r="G60" i="9"/>
  <c r="E60" i="9"/>
  <c r="A29" i="8"/>
  <c r="L30" i="8"/>
  <c r="I30" i="8"/>
  <c r="H30" i="8"/>
  <c r="C30" i="8"/>
  <c r="B64" i="8"/>
  <c r="G63" i="8"/>
  <c r="F63" i="8"/>
  <c r="E63" i="8"/>
  <c r="G61" i="9" l="1"/>
  <c r="F61" i="9"/>
  <c r="E61" i="9"/>
  <c r="B62" i="9"/>
  <c r="J30" i="8"/>
  <c r="N34" i="8"/>
  <c r="M34" i="8"/>
  <c r="B65" i="8"/>
  <c r="G64" i="8"/>
  <c r="F64" i="8"/>
  <c r="E64" i="8"/>
  <c r="B63" i="9" l="1"/>
  <c r="G62" i="9"/>
  <c r="F62" i="9"/>
  <c r="E62" i="9"/>
  <c r="K30" i="8"/>
  <c r="O30" i="8" s="1"/>
  <c r="P30" i="8" s="1"/>
  <c r="B66" i="8"/>
  <c r="G65" i="8"/>
  <c r="F65" i="8"/>
  <c r="E65" i="8"/>
  <c r="G63" i="9" l="1"/>
  <c r="F63" i="9"/>
  <c r="B64" i="9"/>
  <c r="E63" i="9"/>
  <c r="D30" i="8" a="1"/>
  <c r="D30" i="8" s="1"/>
  <c r="B67" i="8"/>
  <c r="G66" i="8"/>
  <c r="F66" i="8"/>
  <c r="E66" i="8"/>
  <c r="B65" i="9" l="1"/>
  <c r="E64" i="9"/>
  <c r="G64" i="9"/>
  <c r="F64" i="9"/>
  <c r="L31" i="8"/>
  <c r="A30" i="8"/>
  <c r="I31" i="8"/>
  <c r="C31" i="8"/>
  <c r="H31" i="8"/>
  <c r="J31" i="8" s="1"/>
  <c r="B68" i="8"/>
  <c r="G67" i="8"/>
  <c r="F67" i="8"/>
  <c r="E67" i="8"/>
  <c r="B66" i="9" l="1"/>
  <c r="E65" i="9"/>
  <c r="F65" i="9"/>
  <c r="G65" i="9"/>
  <c r="K31" i="8"/>
  <c r="O31" i="8" s="1"/>
  <c r="P31" i="8" s="1"/>
  <c r="D31" i="8" a="1"/>
  <c r="D31" i="8" s="1"/>
  <c r="A31" i="8" s="1"/>
  <c r="I32" i="8"/>
  <c r="N35" i="8"/>
  <c r="M35" i="8"/>
  <c r="B69" i="8"/>
  <c r="G68" i="8"/>
  <c r="F68" i="8"/>
  <c r="E68" i="8"/>
  <c r="B67" i="9" l="1"/>
  <c r="G66" i="9"/>
  <c r="E66" i="9"/>
  <c r="F66" i="9"/>
  <c r="L32" i="8"/>
  <c r="C32" i="8" s="1"/>
  <c r="B70" i="8"/>
  <c r="G69" i="8"/>
  <c r="F69" i="8"/>
  <c r="E69" i="8"/>
  <c r="G67" i="9" l="1"/>
  <c r="E67" i="9"/>
  <c r="B68" i="9"/>
  <c r="F67" i="9"/>
  <c r="M36" i="8"/>
  <c r="N36" i="8"/>
  <c r="H32" i="8"/>
  <c r="J32" i="8" s="1"/>
  <c r="K32" i="8" s="1"/>
  <c r="O32" i="8" s="1"/>
  <c r="P32" i="8" s="1"/>
  <c r="B71" i="8"/>
  <c r="G70" i="8"/>
  <c r="F70" i="8"/>
  <c r="E70" i="8"/>
  <c r="B69" i="9" l="1"/>
  <c r="G68" i="9"/>
  <c r="F68" i="9"/>
  <c r="E68" i="9"/>
  <c r="D32" i="8" a="1"/>
  <c r="D32" i="8" s="1"/>
  <c r="A32" i="8" s="1"/>
  <c r="I33" i="8"/>
  <c r="L33" i="8"/>
  <c r="H33" i="8" s="1"/>
  <c r="J33" i="8" s="1"/>
  <c r="B72" i="8"/>
  <c r="G71" i="8"/>
  <c r="F71" i="8"/>
  <c r="E71" i="8"/>
  <c r="B70" i="9" l="1"/>
  <c r="G69" i="9"/>
  <c r="F69" i="9"/>
  <c r="E69" i="9"/>
  <c r="M37" i="8"/>
  <c r="N37" i="8"/>
  <c r="C33" i="8"/>
  <c r="K33" i="8" s="1"/>
  <c r="O33" i="8" s="1"/>
  <c r="P33" i="8" s="1"/>
  <c r="B73" i="8"/>
  <c r="G72" i="8"/>
  <c r="F72" i="8"/>
  <c r="E72" i="8"/>
  <c r="B71" i="9" l="1"/>
  <c r="G70" i="9"/>
  <c r="F70" i="9"/>
  <c r="E70" i="9"/>
  <c r="D33" i="8" a="1"/>
  <c r="D33" i="8" s="1"/>
  <c r="B74" i="8"/>
  <c r="G73" i="8"/>
  <c r="F73" i="8"/>
  <c r="E73" i="8"/>
  <c r="B72" i="9" l="1"/>
  <c r="G71" i="9"/>
  <c r="F71" i="9"/>
  <c r="E71" i="9"/>
  <c r="I34" i="8"/>
  <c r="A33" i="8"/>
  <c r="L34" i="8"/>
  <c r="B75" i="8"/>
  <c r="G74" i="8"/>
  <c r="F74" i="8"/>
  <c r="E74" i="8"/>
  <c r="B73" i="9" l="1"/>
  <c r="G72" i="9"/>
  <c r="F72" i="9"/>
  <c r="E72" i="9"/>
  <c r="H34" i="8"/>
  <c r="J34" i="8" s="1"/>
  <c r="N38" i="8"/>
  <c r="M38" i="8"/>
  <c r="C34" i="8"/>
  <c r="B76" i="8"/>
  <c r="G75" i="8"/>
  <c r="F75" i="8"/>
  <c r="E75" i="8"/>
  <c r="B74" i="9" l="1"/>
  <c r="G73" i="9"/>
  <c r="F73" i="9"/>
  <c r="E73" i="9"/>
  <c r="K34" i="8"/>
  <c r="O34" i="8" s="1"/>
  <c r="P34" i="8" s="1"/>
  <c r="B77" i="8"/>
  <c r="G76" i="8"/>
  <c r="F76" i="8"/>
  <c r="E76" i="8"/>
  <c r="B75" i="9" l="1"/>
  <c r="G74" i="9"/>
  <c r="F74" i="9"/>
  <c r="E74" i="9"/>
  <c r="D34" i="8" a="1"/>
  <c r="D34" i="8" s="1"/>
  <c r="B78" i="8"/>
  <c r="G77" i="8"/>
  <c r="F77" i="8"/>
  <c r="E77" i="8"/>
  <c r="B76" i="9" l="1"/>
  <c r="G75" i="9"/>
  <c r="E75" i="9"/>
  <c r="F75" i="9"/>
  <c r="A34" i="8"/>
  <c r="L35" i="8"/>
  <c r="I35" i="8"/>
  <c r="H35" i="8"/>
  <c r="J35" i="8" s="1"/>
  <c r="C35" i="8"/>
  <c r="K35" i="8" s="1"/>
  <c r="O35" i="8" s="1"/>
  <c r="P35" i="8" s="1"/>
  <c r="B79" i="8"/>
  <c r="G78" i="8"/>
  <c r="F78" i="8"/>
  <c r="E78" i="8"/>
  <c r="B77" i="9" l="1"/>
  <c r="G76" i="9"/>
  <c r="E76" i="9"/>
  <c r="F76" i="9"/>
  <c r="D35" i="8" a="1"/>
  <c r="D35" i="8" s="1"/>
  <c r="L36" i="8" s="1"/>
  <c r="I36" i="8"/>
  <c r="M39" i="8"/>
  <c r="N39" i="8"/>
  <c r="B80" i="8"/>
  <c r="G79" i="8"/>
  <c r="F79" i="8"/>
  <c r="E79" i="8"/>
  <c r="B78" i="9" l="1"/>
  <c r="G77" i="9"/>
  <c r="F77" i="9"/>
  <c r="E77" i="9"/>
  <c r="C36" i="8"/>
  <c r="H36" i="8"/>
  <c r="J36" i="8" s="1"/>
  <c r="A35" i="8"/>
  <c r="K36" i="8"/>
  <c r="O36" i="8" s="1"/>
  <c r="P36" i="8" s="1"/>
  <c r="N40" i="8"/>
  <c r="M40" i="8"/>
  <c r="B81" i="8"/>
  <c r="G80" i="8"/>
  <c r="F80" i="8"/>
  <c r="E80" i="8"/>
  <c r="E78" i="9" l="1"/>
  <c r="B79" i="9"/>
  <c r="G78" i="9"/>
  <c r="F78" i="9"/>
  <c r="D36" i="8" a="1"/>
  <c r="D36" i="8" s="1"/>
  <c r="A36" i="8" s="1"/>
  <c r="I37" i="8"/>
  <c r="B82" i="8"/>
  <c r="G81" i="8"/>
  <c r="F81" i="8"/>
  <c r="E81" i="8"/>
  <c r="F79" i="9" l="1"/>
  <c r="E79" i="9"/>
  <c r="B80" i="9"/>
  <c r="G79" i="9"/>
  <c r="L37" i="8"/>
  <c r="H37" i="8" s="1"/>
  <c r="J37" i="8" s="1"/>
  <c r="M41" i="8"/>
  <c r="C37" i="8"/>
  <c r="K37" i="8" s="1"/>
  <c r="O37" i="8" s="1"/>
  <c r="P37" i="8" s="1"/>
  <c r="B83" i="8"/>
  <c r="G82" i="8"/>
  <c r="F82" i="8"/>
  <c r="E82" i="8"/>
  <c r="E80" i="9" l="1"/>
  <c r="G80" i="9"/>
  <c r="F80" i="9"/>
  <c r="B81" i="9"/>
  <c r="N41" i="8"/>
  <c r="D37" i="8" a="1"/>
  <c r="D37" i="8" s="1"/>
  <c r="B84" i="8"/>
  <c r="G83" i="8"/>
  <c r="F83" i="8"/>
  <c r="E83" i="8"/>
  <c r="G81" i="9" l="1"/>
  <c r="F81" i="9"/>
  <c r="B82" i="9"/>
  <c r="E81" i="9"/>
  <c r="I38" i="8"/>
  <c r="A37" i="8"/>
  <c r="L38" i="8"/>
  <c r="H38" i="8" s="1"/>
  <c r="J38" i="8" s="1"/>
  <c r="E84" i="8"/>
  <c r="B85" i="8"/>
  <c r="G84" i="8"/>
  <c r="F84" i="8"/>
  <c r="E82" i="9" l="1"/>
  <c r="B83" i="9"/>
  <c r="G82" i="9"/>
  <c r="F82" i="9"/>
  <c r="M42" i="8"/>
  <c r="N42" i="8"/>
  <c r="C38" i="8"/>
  <c r="K38" i="8" s="1"/>
  <c r="O38" i="8" s="1"/>
  <c r="P38" i="8" s="1"/>
  <c r="B86" i="8"/>
  <c r="G85" i="8"/>
  <c r="F85" i="8"/>
  <c r="E85" i="8"/>
  <c r="E83" i="9" l="1"/>
  <c r="B84" i="9"/>
  <c r="G83" i="9"/>
  <c r="F83" i="9"/>
  <c r="D38" i="8" a="1"/>
  <c r="D38" i="8" s="1"/>
  <c r="E86" i="8"/>
  <c r="F86" i="8"/>
  <c r="G86" i="8"/>
  <c r="B87" i="8"/>
  <c r="E84" i="9" l="1"/>
  <c r="B85" i="9"/>
  <c r="G84" i="9"/>
  <c r="F84" i="9"/>
  <c r="I39" i="8"/>
  <c r="A38" i="8"/>
  <c r="L39" i="8"/>
  <c r="C39" i="8" s="1"/>
  <c r="B88" i="8"/>
  <c r="G87" i="8"/>
  <c r="F87" i="8"/>
  <c r="E87" i="8"/>
  <c r="E85" i="9" l="1"/>
  <c r="B86" i="9"/>
  <c r="G85" i="9"/>
  <c r="F85" i="9"/>
  <c r="H39" i="8"/>
  <c r="J39" i="8" s="1"/>
  <c r="K39" i="8" s="1"/>
  <c r="O39" i="8" s="1"/>
  <c r="P39" i="8" s="1"/>
  <c r="M43" i="8"/>
  <c r="N43" i="8"/>
  <c r="E88" i="8"/>
  <c r="B89" i="8"/>
  <c r="G88" i="8"/>
  <c r="F88" i="8"/>
  <c r="F86" i="9" l="1"/>
  <c r="E86" i="9"/>
  <c r="B87" i="9"/>
  <c r="G86" i="9"/>
  <c r="D39" i="8" a="1"/>
  <c r="D39" i="8" s="1"/>
  <c r="B90" i="8"/>
  <c r="G89" i="8"/>
  <c r="F89" i="8"/>
  <c r="E89" i="8"/>
  <c r="E87" i="9" l="1"/>
  <c r="F87" i="9"/>
  <c r="B88" i="9"/>
  <c r="G87" i="9"/>
  <c r="L40" i="8"/>
  <c r="H40" i="8" s="1"/>
  <c r="J40" i="8" s="1"/>
  <c r="A39" i="8"/>
  <c r="I40" i="8"/>
  <c r="E90" i="8"/>
  <c r="B91" i="8"/>
  <c r="G90" i="8"/>
  <c r="F90" i="8"/>
  <c r="F88" i="9" l="1"/>
  <c r="E88" i="9"/>
  <c r="B89" i="9"/>
  <c r="G88" i="9"/>
  <c r="N44" i="8"/>
  <c r="M44" i="8"/>
  <c r="C40" i="8"/>
  <c r="K40" i="8" s="1"/>
  <c r="O40" i="8" s="1"/>
  <c r="P40" i="8" s="1"/>
  <c r="D40" i="8" a="1"/>
  <c r="D40" i="8" s="1"/>
  <c r="B92" i="8"/>
  <c r="G91" i="8"/>
  <c r="F91" i="8"/>
  <c r="E91" i="8"/>
  <c r="E89" i="9" l="1"/>
  <c r="G89" i="9"/>
  <c r="F89" i="9"/>
  <c r="B90" i="9"/>
  <c r="E92" i="8"/>
  <c r="B93" i="8"/>
  <c r="G92" i="8"/>
  <c r="F92" i="8"/>
  <c r="A40" i="8"/>
  <c r="I41" i="8"/>
  <c r="L41" i="8"/>
  <c r="H41" i="8"/>
  <c r="E90" i="9" l="1"/>
  <c r="G90" i="9"/>
  <c r="F90" i="9"/>
  <c r="B91" i="9"/>
  <c r="B94" i="8"/>
  <c r="F93" i="8"/>
  <c r="E93" i="8"/>
  <c r="G93" i="8"/>
  <c r="J41" i="8"/>
  <c r="N45" i="8"/>
  <c r="M45" i="8"/>
  <c r="C41" i="8"/>
  <c r="G91" i="9" l="1"/>
  <c r="B92" i="9"/>
  <c r="F91" i="9"/>
  <c r="E91" i="9"/>
  <c r="E94" i="8"/>
  <c r="B95" i="8"/>
  <c r="G94" i="8"/>
  <c r="F94" i="8"/>
  <c r="K41" i="8"/>
  <c r="O41" i="8" s="1"/>
  <c r="P41" i="8" s="1"/>
  <c r="E92" i="9" l="1"/>
  <c r="F92" i="9"/>
  <c r="B93" i="9"/>
  <c r="G92" i="9"/>
  <c r="D41" i="8" a="1"/>
  <c r="D41" i="8" s="1"/>
  <c r="G95" i="8"/>
  <c r="F95" i="8"/>
  <c r="E95" i="8"/>
  <c r="B96" i="8"/>
  <c r="G93" i="9" l="1"/>
  <c r="B94" i="9"/>
  <c r="F93" i="9"/>
  <c r="E93" i="9"/>
  <c r="E96" i="8"/>
  <c r="G96" i="8"/>
  <c r="F96" i="8"/>
  <c r="B97" i="8"/>
  <c r="A41" i="8"/>
  <c r="L42" i="8"/>
  <c r="I42" i="8"/>
  <c r="E94" i="9" l="1"/>
  <c r="B95" i="9"/>
  <c r="G94" i="9"/>
  <c r="F94" i="9"/>
  <c r="N46" i="8"/>
  <c r="M46" i="8"/>
  <c r="B98" i="8"/>
  <c r="G97" i="8"/>
  <c r="F97" i="8"/>
  <c r="E97" i="8"/>
  <c r="C42" i="8"/>
  <c r="H42" i="8"/>
  <c r="J42" i="8" s="1"/>
  <c r="G95" i="9" l="1"/>
  <c r="F95" i="9"/>
  <c r="B96" i="9"/>
  <c r="E95" i="9"/>
  <c r="K42" i="8"/>
  <c r="O42" i="8" s="1"/>
  <c r="P42" i="8" s="1"/>
  <c r="E98" i="8"/>
  <c r="G98" i="8"/>
  <c r="F98" i="8"/>
  <c r="B99" i="8"/>
  <c r="D42" i="8" a="1"/>
  <c r="D42" i="8" s="1"/>
  <c r="E96" i="9" l="1"/>
  <c r="G96" i="9"/>
  <c r="B97" i="9"/>
  <c r="F96" i="9"/>
  <c r="A42" i="8"/>
  <c r="L43" i="8"/>
  <c r="C43" i="8" s="1"/>
  <c r="I43" i="8"/>
  <c r="H43" i="8"/>
  <c r="J43" i="8" s="1"/>
  <c r="B100" i="8"/>
  <c r="G99" i="8"/>
  <c r="F99" i="8"/>
  <c r="E99" i="8"/>
  <c r="G97" i="9" l="1"/>
  <c r="F97" i="9"/>
  <c r="B98" i="9"/>
  <c r="E97" i="9"/>
  <c r="K43" i="8"/>
  <c r="O43" i="8" s="1"/>
  <c r="P43" i="8" s="1"/>
  <c r="N47" i="8"/>
  <c r="M47" i="8"/>
  <c r="E100" i="8"/>
  <c r="G100" i="8"/>
  <c r="F100" i="8"/>
  <c r="B101" i="8"/>
  <c r="E98" i="9" l="1"/>
  <c r="B99" i="9"/>
  <c r="G98" i="9"/>
  <c r="F98" i="9"/>
  <c r="D43" i="8" a="1"/>
  <c r="D43" i="8" s="1"/>
  <c r="L44" i="8" s="1"/>
  <c r="H44" i="8" s="1"/>
  <c r="B102" i="8"/>
  <c r="G101" i="8"/>
  <c r="F101" i="8"/>
  <c r="E101" i="8"/>
  <c r="F99" i="9" l="1"/>
  <c r="G99" i="9"/>
  <c r="E99" i="9"/>
  <c r="B100" i="9"/>
  <c r="I44" i="8"/>
  <c r="J44" i="8" s="1"/>
  <c r="A43" i="8"/>
  <c r="E102" i="8"/>
  <c r="G102" i="8"/>
  <c r="F102" i="8"/>
  <c r="B103" i="8"/>
  <c r="N48" i="8"/>
  <c r="M48" i="8"/>
  <c r="C44" i="8"/>
  <c r="E100" i="9" l="1"/>
  <c r="B101" i="9"/>
  <c r="G100" i="9"/>
  <c r="F100" i="9"/>
  <c r="K44" i="8"/>
  <c r="O44" i="8" s="1"/>
  <c r="P44" i="8" s="1"/>
  <c r="B104" i="8"/>
  <c r="G103" i="8"/>
  <c r="F103" i="8"/>
  <c r="E103" i="8"/>
  <c r="D44" i="8" a="1"/>
  <c r="D44" i="8" s="1"/>
  <c r="G101" i="9" l="1"/>
  <c r="F101" i="9"/>
  <c r="B102" i="9"/>
  <c r="E101" i="9"/>
  <c r="E104" i="8"/>
  <c r="B105" i="8"/>
  <c r="G104" i="8"/>
  <c r="F104" i="8"/>
  <c r="A44" i="8"/>
  <c r="I45" i="8"/>
  <c r="L45" i="8"/>
  <c r="E102" i="9" l="1"/>
  <c r="F102" i="9"/>
  <c r="G102" i="9"/>
  <c r="B103" i="9"/>
  <c r="N49" i="8"/>
  <c r="M49" i="8"/>
  <c r="H45" i="8"/>
  <c r="J45" i="8" s="1"/>
  <c r="B106" i="8"/>
  <c r="G105" i="8"/>
  <c r="F105" i="8"/>
  <c r="E105" i="8"/>
  <c r="C45" i="8"/>
  <c r="G103" i="9" l="1"/>
  <c r="F103" i="9"/>
  <c r="E103" i="9"/>
  <c r="B104" i="9"/>
  <c r="E106" i="8"/>
  <c r="G106" i="8"/>
  <c r="F106" i="8"/>
  <c r="B107" i="8"/>
  <c r="K45" i="8"/>
  <c r="O45" i="8" s="1"/>
  <c r="P45" i="8" s="1"/>
  <c r="E104" i="9" l="1"/>
  <c r="F104" i="9"/>
  <c r="B105" i="9"/>
  <c r="G104" i="9"/>
  <c r="B108" i="8"/>
  <c r="G107" i="8"/>
  <c r="F107" i="8"/>
  <c r="E107" i="8"/>
  <c r="D45" i="8" a="1"/>
  <c r="D45" i="8" s="1"/>
  <c r="B106" i="9" l="1"/>
  <c r="E105" i="9"/>
  <c r="F105" i="9"/>
  <c r="G105" i="9"/>
  <c r="A45" i="8"/>
  <c r="L46" i="8"/>
  <c r="C46" i="8" s="1"/>
  <c r="I46" i="8"/>
  <c r="E108" i="8"/>
  <c r="B109" i="8"/>
  <c r="G108" i="8"/>
  <c r="F108" i="8"/>
  <c r="E106" i="9" l="1"/>
  <c r="F106" i="9"/>
  <c r="B107" i="9"/>
  <c r="G106" i="9"/>
  <c r="H46" i="8"/>
  <c r="J46" i="8" s="1"/>
  <c r="K46" i="8" s="1"/>
  <c r="O46" i="8" s="1"/>
  <c r="P46" i="8" s="1"/>
  <c r="B110" i="8"/>
  <c r="G109" i="8"/>
  <c r="F109" i="8"/>
  <c r="E109" i="8"/>
  <c r="N50" i="8"/>
  <c r="M50" i="8"/>
  <c r="B108" i="9" l="1"/>
  <c r="E107" i="9"/>
  <c r="G107" i="9"/>
  <c r="F107" i="9"/>
  <c r="D46" i="8" a="1"/>
  <c r="D46" i="8" s="1"/>
  <c r="E110" i="8"/>
  <c r="B111" i="8"/>
  <c r="G110" i="8"/>
  <c r="F110" i="8"/>
  <c r="E108" i="9" l="1"/>
  <c r="B109" i="9"/>
  <c r="G108" i="9"/>
  <c r="F108" i="9"/>
  <c r="A46" i="8"/>
  <c r="I47" i="8"/>
  <c r="L47" i="8"/>
  <c r="B112" i="8"/>
  <c r="G111" i="8"/>
  <c r="F111" i="8"/>
  <c r="E111" i="8"/>
  <c r="B110" i="9" l="1"/>
  <c r="E109" i="9"/>
  <c r="G109" i="9"/>
  <c r="F109" i="9"/>
  <c r="C47" i="8"/>
  <c r="N51" i="8"/>
  <c r="M51" i="8"/>
  <c r="H47" i="8"/>
  <c r="J47" i="8" s="1"/>
  <c r="E112" i="8"/>
  <c r="G112" i="8"/>
  <c r="F112" i="8"/>
  <c r="B113" i="8"/>
  <c r="E110" i="9" l="1"/>
  <c r="G110" i="9"/>
  <c r="B111" i="9"/>
  <c r="F110" i="9"/>
  <c r="K47" i="8"/>
  <c r="O47" i="8" s="1"/>
  <c r="P47" i="8" s="1"/>
  <c r="B114" i="8"/>
  <c r="G113" i="8"/>
  <c r="F113" i="8"/>
  <c r="E113" i="8"/>
  <c r="G111" i="9" l="1"/>
  <c r="F111" i="9"/>
  <c r="E111" i="9"/>
  <c r="B112" i="9"/>
  <c r="D47" i="8" a="1"/>
  <c r="D47" i="8" s="1"/>
  <c r="E114" i="8"/>
  <c r="G114" i="8"/>
  <c r="F114" i="8"/>
  <c r="B115" i="8"/>
  <c r="E112" i="9" l="1"/>
  <c r="B113" i="9"/>
  <c r="G112" i="9"/>
  <c r="F112" i="9"/>
  <c r="A47" i="8"/>
  <c r="L48" i="8"/>
  <c r="H48" i="8" s="1"/>
  <c r="I48" i="8"/>
  <c r="B116" i="8"/>
  <c r="G115" i="8"/>
  <c r="F115" i="8"/>
  <c r="E115" i="8"/>
  <c r="F113" i="9" l="1"/>
  <c r="G113" i="9"/>
  <c r="E113" i="9"/>
  <c r="B114" i="9"/>
  <c r="J48" i="8"/>
  <c r="M52" i="8"/>
  <c r="N52" i="8"/>
  <c r="C48" i="8"/>
  <c r="E116" i="8"/>
  <c r="B117" i="8"/>
  <c r="G116" i="8"/>
  <c r="F116" i="8"/>
  <c r="E114" i="9" l="1"/>
  <c r="B115" i="9"/>
  <c r="G114" i="9"/>
  <c r="F114" i="9"/>
  <c r="K48" i="8"/>
  <c r="O48" i="8" s="1"/>
  <c r="P48" i="8" s="1"/>
  <c r="B118" i="8"/>
  <c r="G117" i="8"/>
  <c r="F117" i="8"/>
  <c r="E117" i="8"/>
  <c r="G115" i="9" l="1"/>
  <c r="F115" i="9"/>
  <c r="B116" i="9"/>
  <c r="E115" i="9"/>
  <c r="D48" i="8" a="1"/>
  <c r="D48" i="8" s="1"/>
  <c r="E118" i="8"/>
  <c r="B119" i="8"/>
  <c r="G118" i="8"/>
  <c r="F118" i="8"/>
  <c r="E116" i="9" l="1"/>
  <c r="F116" i="9"/>
  <c r="G116" i="9"/>
  <c r="B117" i="9"/>
  <c r="A48" i="8"/>
  <c r="L49" i="8"/>
  <c r="C49" i="8" s="1"/>
  <c r="I49" i="8"/>
  <c r="B120" i="8"/>
  <c r="G119" i="8"/>
  <c r="F119" i="8"/>
  <c r="E119" i="8"/>
  <c r="G117" i="9" l="1"/>
  <c r="F117" i="9"/>
  <c r="E117" i="9"/>
  <c r="B118" i="9"/>
  <c r="M53" i="8"/>
  <c r="N53" i="8"/>
  <c r="H49" i="8"/>
  <c r="J49" i="8" s="1"/>
  <c r="E120" i="8"/>
  <c r="G120" i="8"/>
  <c r="F120" i="8"/>
  <c r="B121" i="8"/>
  <c r="E118" i="9" l="1"/>
  <c r="F118" i="9"/>
  <c r="B119" i="9"/>
  <c r="G118" i="9"/>
  <c r="K49" i="8"/>
  <c r="O49" i="8" s="1"/>
  <c r="P49" i="8" s="1"/>
  <c r="D49" i="8" a="1"/>
  <c r="D49" i="8" s="1"/>
  <c r="B122" i="8"/>
  <c r="G121" i="8"/>
  <c r="F121" i="8"/>
  <c r="E121" i="8"/>
  <c r="B120" i="9" l="1"/>
  <c r="E119" i="9"/>
  <c r="G119" i="9"/>
  <c r="F119" i="9"/>
  <c r="A49" i="8"/>
  <c r="L50" i="8"/>
  <c r="H50" i="8" s="1"/>
  <c r="I50" i="8"/>
  <c r="E122" i="8"/>
  <c r="G122" i="8"/>
  <c r="F122" i="8"/>
  <c r="B123" i="8"/>
  <c r="E120" i="9" l="1"/>
  <c r="F120" i="9"/>
  <c r="G120" i="9"/>
  <c r="B121" i="9"/>
  <c r="J50" i="8"/>
  <c r="N54" i="8"/>
  <c r="M54" i="8"/>
  <c r="C50" i="8"/>
  <c r="K50" i="8" s="1"/>
  <c r="O50" i="8" s="1"/>
  <c r="P50" i="8" s="1"/>
  <c r="B124" i="8"/>
  <c r="G123" i="8"/>
  <c r="F123" i="8"/>
  <c r="E123" i="8"/>
  <c r="G121" i="9" l="1"/>
  <c r="E121" i="9"/>
  <c r="B122" i="9"/>
  <c r="F121" i="9"/>
  <c r="D50" i="8" a="1"/>
  <c r="D50" i="8" s="1"/>
  <c r="E124" i="8"/>
  <c r="G124" i="8"/>
  <c r="F124" i="8"/>
  <c r="B125" i="8"/>
  <c r="E122" i="9" l="1"/>
  <c r="G122" i="9"/>
  <c r="F122" i="9"/>
  <c r="B123" i="9"/>
  <c r="A50" i="8"/>
  <c r="I51" i="8"/>
  <c r="L51" i="8"/>
  <c r="H51" i="8" s="1"/>
  <c r="J51" i="8" s="1"/>
  <c r="B126" i="8"/>
  <c r="G125" i="8"/>
  <c r="F125" i="8"/>
  <c r="E125" i="8"/>
  <c r="F123" i="9" l="1"/>
  <c r="E123" i="9"/>
  <c r="B124" i="9"/>
  <c r="G123" i="9"/>
  <c r="C51" i="8"/>
  <c r="K51" i="8" s="1"/>
  <c r="N55" i="8"/>
  <c r="M55" i="8"/>
  <c r="E126" i="8"/>
  <c r="B127" i="8"/>
  <c r="F126" i="8"/>
  <c r="G126" i="8"/>
  <c r="E124" i="9" l="1"/>
  <c r="G124" i="9"/>
  <c r="B125" i="9"/>
  <c r="F124" i="9"/>
  <c r="O51" i="8"/>
  <c r="P51" i="8" s="1"/>
  <c r="D51" i="8" a="1"/>
  <c r="D51" i="8" s="1"/>
  <c r="B128" i="8"/>
  <c r="G127" i="8"/>
  <c r="F127" i="8"/>
  <c r="E127" i="8"/>
  <c r="F125" i="9" l="1"/>
  <c r="G125" i="9"/>
  <c r="E125" i="9"/>
  <c r="B126" i="9"/>
  <c r="A51" i="8"/>
  <c r="L52" i="8"/>
  <c r="H52" i="8" s="1"/>
  <c r="I52" i="8"/>
  <c r="E128" i="8"/>
  <c r="B129" i="8"/>
  <c r="G128" i="8"/>
  <c r="F128" i="8"/>
  <c r="E126" i="9" l="1"/>
  <c r="G126" i="9"/>
  <c r="B127" i="9"/>
  <c r="F126" i="9"/>
  <c r="C52" i="8"/>
  <c r="J52" i="8"/>
  <c r="K52" i="8" s="1"/>
  <c r="O52" i="8" s="1"/>
  <c r="P52" i="8" s="1"/>
  <c r="M56" i="8"/>
  <c r="N56" i="8"/>
  <c r="B130" i="8"/>
  <c r="G129" i="8"/>
  <c r="F129" i="8"/>
  <c r="E129" i="8"/>
  <c r="G127" i="9" l="1"/>
  <c r="F127" i="9"/>
  <c r="B128" i="9"/>
  <c r="E127" i="9"/>
  <c r="D52" i="8" a="1"/>
  <c r="D52" i="8" s="1"/>
  <c r="E130" i="8"/>
  <c r="G130" i="8"/>
  <c r="F130" i="8"/>
  <c r="B131" i="8"/>
  <c r="E128" i="9" l="1"/>
  <c r="G128" i="9"/>
  <c r="B129" i="9"/>
  <c r="F128" i="9"/>
  <c r="L53" i="8"/>
  <c r="A52" i="8"/>
  <c r="I53" i="8"/>
  <c r="H53" i="8"/>
  <c r="C53" i="8"/>
  <c r="B132" i="8"/>
  <c r="G131" i="8"/>
  <c r="F131" i="8"/>
  <c r="E131" i="8"/>
  <c r="E129" i="9" l="1"/>
  <c r="B130" i="9"/>
  <c r="G129" i="9"/>
  <c r="F129" i="9"/>
  <c r="J53" i="8"/>
  <c r="K53" i="8" s="1"/>
  <c r="O53" i="8" s="1"/>
  <c r="P53" i="8" s="1"/>
  <c r="N57" i="8"/>
  <c r="M57" i="8"/>
  <c r="E132" i="8"/>
  <c r="G132" i="8"/>
  <c r="F132" i="8"/>
  <c r="B133" i="8"/>
  <c r="E130" i="9" l="1"/>
  <c r="G130" i="9"/>
  <c r="B131" i="9"/>
  <c r="F130" i="9"/>
  <c r="D53" i="8" a="1"/>
  <c r="D53" i="8" s="1"/>
  <c r="A53" i="8" s="1"/>
  <c r="B134" i="8"/>
  <c r="G133" i="8"/>
  <c r="F133" i="8"/>
  <c r="E133" i="8"/>
  <c r="G131" i="9" l="1"/>
  <c r="E131" i="9"/>
  <c r="B132" i="9"/>
  <c r="F131" i="9"/>
  <c r="I54" i="8"/>
  <c r="L54" i="8"/>
  <c r="C54" i="8" s="1"/>
  <c r="M58" i="8"/>
  <c r="B135" i="8"/>
  <c r="G134" i="8"/>
  <c r="F134" i="8"/>
  <c r="E134" i="8"/>
  <c r="E132" i="9" l="1"/>
  <c r="G132" i="9"/>
  <c r="B133" i="9"/>
  <c r="F132" i="9"/>
  <c r="N58" i="8"/>
  <c r="H54" i="8"/>
  <c r="J54" i="8" s="1"/>
  <c r="B136" i="8"/>
  <c r="G135" i="8"/>
  <c r="F135" i="8"/>
  <c r="E135" i="8"/>
  <c r="G133" i="9" l="1"/>
  <c r="F133" i="9"/>
  <c r="E133" i="9"/>
  <c r="B134" i="9"/>
  <c r="K54" i="8"/>
  <c r="O54" i="8" s="1"/>
  <c r="P54" i="8" s="1"/>
  <c r="E136" i="8"/>
  <c r="G136" i="8"/>
  <c r="F136" i="8"/>
  <c r="B137" i="8"/>
  <c r="E134" i="9" l="1"/>
  <c r="G134" i="9"/>
  <c r="B135" i="9"/>
  <c r="F134" i="9"/>
  <c r="D54" i="8" a="1"/>
  <c r="D54" i="8" s="1"/>
  <c r="A54" i="8" s="1"/>
  <c r="L55" i="8"/>
  <c r="C55" i="8" s="1"/>
  <c r="I55" i="8"/>
  <c r="B138" i="8"/>
  <c r="G137" i="8"/>
  <c r="F137" i="8"/>
  <c r="E137" i="8"/>
  <c r="B136" i="9" l="1"/>
  <c r="F135" i="9"/>
  <c r="G135" i="9"/>
  <c r="E135" i="9"/>
  <c r="H55" i="8"/>
  <c r="J55" i="8" s="1"/>
  <c r="M59" i="8"/>
  <c r="N59" i="8"/>
  <c r="E138" i="8"/>
  <c r="B139" i="8"/>
  <c r="G138" i="8"/>
  <c r="F138" i="8"/>
  <c r="E136" i="9" l="1"/>
  <c r="G136" i="9"/>
  <c r="B137" i="9"/>
  <c r="F136" i="9"/>
  <c r="K55" i="8"/>
  <c r="O55" i="8" s="1"/>
  <c r="P55" i="8" s="1"/>
  <c r="B140" i="8"/>
  <c r="G139" i="8"/>
  <c r="F139" i="8"/>
  <c r="E139" i="8"/>
  <c r="G137" i="9" l="1"/>
  <c r="F137" i="9"/>
  <c r="B138" i="9"/>
  <c r="E137" i="9"/>
  <c r="D55" i="8" a="1"/>
  <c r="D55" i="8" s="1"/>
  <c r="I56" i="8"/>
  <c r="L56" i="8"/>
  <c r="A55" i="8"/>
  <c r="H56" i="8"/>
  <c r="J56" i="8" s="1"/>
  <c r="E140" i="8"/>
  <c r="G140" i="8"/>
  <c r="F140" i="8"/>
  <c r="B141" i="8"/>
  <c r="E138" i="9" l="1"/>
  <c r="G138" i="9"/>
  <c r="B139" i="9"/>
  <c r="F138" i="9"/>
  <c r="C56" i="8"/>
  <c r="K56" i="8" s="1"/>
  <c r="O56" i="8" s="1"/>
  <c r="P56" i="8" s="1"/>
  <c r="N60" i="8"/>
  <c r="M60" i="8"/>
  <c r="B142" i="8"/>
  <c r="G141" i="8"/>
  <c r="F141" i="8"/>
  <c r="E141" i="8"/>
  <c r="G139" i="9" l="1"/>
  <c r="F139" i="9"/>
  <c r="E139" i="9"/>
  <c r="B140" i="9"/>
  <c r="D56" i="8" a="1"/>
  <c r="D56" i="8" s="1"/>
  <c r="E142" i="8"/>
  <c r="G142" i="8"/>
  <c r="F142" i="8"/>
  <c r="B143" i="8"/>
  <c r="E140" i="9" l="1"/>
  <c r="G140" i="9"/>
  <c r="B141" i="9"/>
  <c r="F140" i="9"/>
  <c r="I57" i="8"/>
  <c r="A56" i="8"/>
  <c r="L57" i="8"/>
  <c r="B144" i="8"/>
  <c r="G143" i="8"/>
  <c r="F143" i="8"/>
  <c r="E143" i="8"/>
  <c r="B142" i="9" l="1"/>
  <c r="E141" i="9"/>
  <c r="G141" i="9"/>
  <c r="F141" i="9"/>
  <c r="N61" i="8"/>
  <c r="M61" i="8"/>
  <c r="C57" i="8"/>
  <c r="H57" i="8"/>
  <c r="J57" i="8" s="1"/>
  <c r="E144" i="8"/>
  <c r="B145" i="8"/>
  <c r="G144" i="8"/>
  <c r="F144" i="8"/>
  <c r="B143" i="9" l="1"/>
  <c r="G142" i="9"/>
  <c r="F142" i="9"/>
  <c r="E142" i="9"/>
  <c r="K57" i="8"/>
  <c r="B146" i="8"/>
  <c r="G145" i="8"/>
  <c r="F145" i="8"/>
  <c r="E145" i="8"/>
  <c r="B144" i="9" l="1"/>
  <c r="G143" i="9"/>
  <c r="E143" i="9"/>
  <c r="F143" i="9"/>
  <c r="O57" i="8"/>
  <c r="P57" i="8" s="1"/>
  <c r="D57" i="8" a="1"/>
  <c r="D57" i="8" s="1"/>
  <c r="E146" i="8"/>
  <c r="G146" i="8"/>
  <c r="F146" i="8"/>
  <c r="B147" i="8"/>
  <c r="B145" i="9" l="1"/>
  <c r="G144" i="9"/>
  <c r="F144" i="9"/>
  <c r="E144" i="9"/>
  <c r="I58" i="8"/>
  <c r="A57" i="8"/>
  <c r="L58" i="8"/>
  <c r="B148" i="8"/>
  <c r="G147" i="8"/>
  <c r="F147" i="8"/>
  <c r="E147" i="8"/>
  <c r="B146" i="9" l="1"/>
  <c r="G145" i="9"/>
  <c r="E145" i="9"/>
  <c r="F145" i="9"/>
  <c r="M62" i="8"/>
  <c r="N62" i="8"/>
  <c r="H58" i="8"/>
  <c r="J58" i="8" s="1"/>
  <c r="C58" i="8"/>
  <c r="E148" i="8"/>
  <c r="G148" i="8"/>
  <c r="F148" i="8"/>
  <c r="B149" i="8"/>
  <c r="B147" i="9" l="1"/>
  <c r="G146" i="9"/>
  <c r="F146" i="9"/>
  <c r="E146" i="9"/>
  <c r="K58" i="8"/>
  <c r="O58" i="8" s="1"/>
  <c r="P58" i="8" s="1"/>
  <c r="D58" i="8" a="1"/>
  <c r="D58" i="8" s="1"/>
  <c r="B150" i="8"/>
  <c r="G149" i="8"/>
  <c r="F149" i="8"/>
  <c r="E149" i="8"/>
  <c r="B148" i="9" l="1"/>
  <c r="G147" i="9"/>
  <c r="F147" i="9"/>
  <c r="E147" i="9"/>
  <c r="L59" i="8"/>
  <c r="C59" i="8" s="1"/>
  <c r="A58" i="8"/>
  <c r="I59" i="8"/>
  <c r="E150" i="8"/>
  <c r="G150" i="8"/>
  <c r="F150" i="8"/>
  <c r="B151" i="8"/>
  <c r="B149" i="9" l="1"/>
  <c r="F148" i="9"/>
  <c r="E148" i="9"/>
  <c r="G148" i="9"/>
  <c r="H59" i="8"/>
  <c r="J59" i="8" s="1"/>
  <c r="M63" i="8"/>
  <c r="N63" i="8"/>
  <c r="B152" i="8"/>
  <c r="G151" i="8"/>
  <c r="F151" i="8"/>
  <c r="E151" i="8"/>
  <c r="B150" i="9" l="1"/>
  <c r="G149" i="9"/>
  <c r="F149" i="9"/>
  <c r="E149" i="9"/>
  <c r="K59" i="8"/>
  <c r="O59" i="8" s="1"/>
  <c r="P59" i="8" s="1"/>
  <c r="E152" i="8"/>
  <c r="B153" i="8"/>
  <c r="G152" i="8"/>
  <c r="F152" i="8"/>
  <c r="B151" i="9" l="1"/>
  <c r="G150" i="9"/>
  <c r="F150" i="9"/>
  <c r="E150" i="9"/>
  <c r="D59" i="8" a="1"/>
  <c r="D59" i="8" s="1"/>
  <c r="B154" i="8"/>
  <c r="G153" i="8"/>
  <c r="F153" i="8"/>
  <c r="E153" i="8"/>
  <c r="B152" i="9" l="1"/>
  <c r="G151" i="9"/>
  <c r="F151" i="9"/>
  <c r="E151" i="9"/>
  <c r="I60" i="8"/>
  <c r="L60" i="8"/>
  <c r="C60" i="8" s="1"/>
  <c r="A59" i="8"/>
  <c r="E154" i="8"/>
  <c r="B155" i="8"/>
  <c r="G154" i="8"/>
  <c r="F154" i="8"/>
  <c r="B153" i="9" l="1"/>
  <c r="F152" i="9"/>
  <c r="G152" i="9"/>
  <c r="E152" i="9"/>
  <c r="H60" i="8"/>
  <c r="J60" i="8" s="1"/>
  <c r="N64" i="8"/>
  <c r="M64" i="8"/>
  <c r="B156" i="8"/>
  <c r="G155" i="8"/>
  <c r="F155" i="8"/>
  <c r="E155" i="8"/>
  <c r="B154" i="9" l="1"/>
  <c r="G153" i="9"/>
  <c r="F153" i="9"/>
  <c r="E153" i="9"/>
  <c r="K60" i="8"/>
  <c r="O60" i="8" s="1"/>
  <c r="P60" i="8" s="1"/>
  <c r="E156" i="8"/>
  <c r="B157" i="8"/>
  <c r="G156" i="8"/>
  <c r="F156" i="8"/>
  <c r="B155" i="9" l="1"/>
  <c r="G154" i="9"/>
  <c r="F154" i="9"/>
  <c r="E154" i="9"/>
  <c r="D60" i="8" a="1"/>
  <c r="D60" i="8" s="1"/>
  <c r="B158" i="8"/>
  <c r="G157" i="8"/>
  <c r="F157" i="8"/>
  <c r="E157" i="8"/>
  <c r="B156" i="9" l="1"/>
  <c r="G155" i="9"/>
  <c r="F155" i="9"/>
  <c r="E155" i="9"/>
  <c r="A60" i="8"/>
  <c r="I61" i="8"/>
  <c r="L61" i="8"/>
  <c r="E158" i="8"/>
  <c r="G158" i="8"/>
  <c r="F158" i="8"/>
  <c r="B159" i="8"/>
  <c r="B157" i="9" l="1"/>
  <c r="F156" i="9"/>
  <c r="G156" i="9"/>
  <c r="E156" i="9"/>
  <c r="H61" i="8"/>
  <c r="J61" i="8" s="1"/>
  <c r="M65" i="8"/>
  <c r="N65" i="8"/>
  <c r="C61" i="8"/>
  <c r="B160" i="8"/>
  <c r="G159" i="8"/>
  <c r="F159" i="8"/>
  <c r="E159" i="8"/>
  <c r="B158" i="9" l="1"/>
  <c r="G157" i="9"/>
  <c r="F157" i="9"/>
  <c r="E157" i="9"/>
  <c r="K61" i="8"/>
  <c r="O61" i="8" s="1"/>
  <c r="P61" i="8" s="1"/>
  <c r="D61" i="8" a="1"/>
  <c r="D61" i="8" s="1"/>
  <c r="E160" i="8"/>
  <c r="G160" i="8"/>
  <c r="F160" i="8"/>
  <c r="B161" i="8"/>
  <c r="B159" i="9" l="1"/>
  <c r="F158" i="9"/>
  <c r="G158" i="9"/>
  <c r="E158" i="9"/>
  <c r="A61" i="8"/>
  <c r="L62" i="8"/>
  <c r="I62" i="8"/>
  <c r="H62" i="8"/>
  <c r="B162" i="8"/>
  <c r="G161" i="8"/>
  <c r="F161" i="8"/>
  <c r="E161" i="8"/>
  <c r="B160" i="9" l="1"/>
  <c r="G159" i="9"/>
  <c r="F159" i="9"/>
  <c r="E159" i="9"/>
  <c r="J62" i="8"/>
  <c r="C62" i="8"/>
  <c r="M66" i="8"/>
  <c r="N66" i="8"/>
  <c r="E162" i="8"/>
  <c r="G162" i="8"/>
  <c r="F162" i="8"/>
  <c r="B163" i="8"/>
  <c r="B161" i="9" l="1"/>
  <c r="F160" i="9"/>
  <c r="G160" i="9"/>
  <c r="E160" i="9"/>
  <c r="K62" i="8"/>
  <c r="O62" i="8" s="1"/>
  <c r="P62" i="8" s="1"/>
  <c r="D62" i="8" a="1"/>
  <c r="D62" i="8" s="1"/>
  <c r="B164" i="8"/>
  <c r="G163" i="8"/>
  <c r="F163" i="8"/>
  <c r="E163" i="8"/>
  <c r="G161" i="9" l="1"/>
  <c r="B162" i="9"/>
  <c r="F161" i="9"/>
  <c r="E161" i="9"/>
  <c r="I63" i="8"/>
  <c r="A62" i="8"/>
  <c r="L63" i="8"/>
  <c r="C63" i="8" s="1"/>
  <c r="E164" i="8"/>
  <c r="G164" i="8"/>
  <c r="F164" i="8"/>
  <c r="B165" i="8"/>
  <c r="E162" i="9" l="1"/>
  <c r="B163" i="9"/>
  <c r="G162" i="9"/>
  <c r="F162" i="9"/>
  <c r="H63" i="8"/>
  <c r="J63" i="8" s="1"/>
  <c r="N67" i="8"/>
  <c r="M67" i="8"/>
  <c r="B166" i="8"/>
  <c r="G165" i="8"/>
  <c r="F165" i="8"/>
  <c r="E165" i="8"/>
  <c r="G163" i="9" l="1"/>
  <c r="B164" i="9"/>
  <c r="F163" i="9"/>
  <c r="E163" i="9"/>
  <c r="K63" i="8"/>
  <c r="O63" i="8" s="1"/>
  <c r="P63" i="8" s="1"/>
  <c r="E166" i="8"/>
  <c r="B167" i="8"/>
  <c r="G166" i="8"/>
  <c r="F166" i="8"/>
  <c r="E164" i="9" l="1"/>
  <c r="B165" i="9"/>
  <c r="G164" i="9"/>
  <c r="F164" i="9"/>
  <c r="D63" i="8" a="1"/>
  <c r="D63" i="8" s="1"/>
  <c r="B168" i="8"/>
  <c r="G167" i="8"/>
  <c r="F167" i="8"/>
  <c r="E167" i="8"/>
  <c r="B166" i="9" l="1"/>
  <c r="E165" i="9"/>
  <c r="F165" i="9"/>
  <c r="G165" i="9"/>
  <c r="L64" i="8"/>
  <c r="C64" i="8" s="1"/>
  <c r="I64" i="8"/>
  <c r="A63" i="8"/>
  <c r="H64" i="8"/>
  <c r="J64" i="8" s="1"/>
  <c r="B169" i="8"/>
  <c r="E168" i="8"/>
  <c r="G168" i="8"/>
  <c r="F168" i="8"/>
  <c r="F166" i="9" l="1"/>
  <c r="E166" i="9"/>
  <c r="B167" i="9"/>
  <c r="G166" i="9"/>
  <c r="K64" i="8"/>
  <c r="O64" i="8" s="1"/>
  <c r="P64" i="8" s="1"/>
  <c r="N68" i="8"/>
  <c r="M68" i="8"/>
  <c r="E169" i="8"/>
  <c r="B170" i="8"/>
  <c r="G169" i="8"/>
  <c r="F169" i="8"/>
  <c r="G167" i="9" l="1"/>
  <c r="F167" i="9"/>
  <c r="E167" i="9"/>
  <c r="B168" i="9"/>
  <c r="D64" i="8" a="1"/>
  <c r="D64" i="8" s="1"/>
  <c r="G170" i="8"/>
  <c r="B171" i="8"/>
  <c r="F170" i="8"/>
  <c r="E170" i="8"/>
  <c r="F168" i="9" l="1"/>
  <c r="E168" i="9"/>
  <c r="B169" i="9"/>
  <c r="G168" i="9"/>
  <c r="A64" i="8"/>
  <c r="L65" i="8"/>
  <c r="I65" i="8"/>
  <c r="E171" i="8"/>
  <c r="B172" i="8"/>
  <c r="G171" i="8"/>
  <c r="F171" i="8"/>
  <c r="G169" i="9" l="1"/>
  <c r="F169" i="9"/>
  <c r="E169" i="9"/>
  <c r="B170" i="9"/>
  <c r="C65" i="8"/>
  <c r="N69" i="8"/>
  <c r="M69" i="8"/>
  <c r="H65" i="8"/>
  <c r="J65" i="8" s="1"/>
  <c r="G172" i="8"/>
  <c r="B173" i="8"/>
  <c r="F172" i="8"/>
  <c r="E172" i="8"/>
  <c r="F170" i="9" l="1"/>
  <c r="E170" i="9"/>
  <c r="B171" i="9"/>
  <c r="G170" i="9"/>
  <c r="K65" i="8"/>
  <c r="E173" i="8"/>
  <c r="F173" i="8"/>
  <c r="B174" i="8"/>
  <c r="G173" i="8"/>
  <c r="E171" i="9" l="1"/>
  <c r="B172" i="9"/>
  <c r="G171" i="9"/>
  <c r="F171" i="9"/>
  <c r="O65" i="8"/>
  <c r="P65" i="8" s="1"/>
  <c r="D65" i="8" a="1"/>
  <c r="D65" i="8" s="1"/>
  <c r="G174" i="8"/>
  <c r="B175" i="8"/>
  <c r="F174" i="8"/>
  <c r="E174" i="8"/>
  <c r="F172" i="9" l="1"/>
  <c r="E172" i="9"/>
  <c r="B173" i="9"/>
  <c r="G172" i="9"/>
  <c r="I66" i="8"/>
  <c r="A65" i="8"/>
  <c r="L66" i="8"/>
  <c r="E175" i="8"/>
  <c r="G175" i="8"/>
  <c r="F175" i="8"/>
  <c r="B176" i="8"/>
  <c r="F173" i="9" l="1"/>
  <c r="B174" i="9"/>
  <c r="G173" i="9"/>
  <c r="E173" i="9"/>
  <c r="N70" i="8"/>
  <c r="M70" i="8"/>
  <c r="C66" i="8"/>
  <c r="H66" i="8"/>
  <c r="J66" i="8" s="1"/>
  <c r="G176" i="8"/>
  <c r="E176" i="8"/>
  <c r="B177" i="8"/>
  <c r="F176" i="8"/>
  <c r="F174" i="9" l="1"/>
  <c r="E174" i="9"/>
  <c r="B175" i="9"/>
  <c r="G174" i="9"/>
  <c r="K66" i="8"/>
  <c r="O66" i="8" s="1"/>
  <c r="P66" i="8" s="1"/>
  <c r="E177" i="8"/>
  <c r="G177" i="8"/>
  <c r="F177" i="8"/>
  <c r="B178" i="8"/>
  <c r="G175" i="9" l="1"/>
  <c r="F175" i="9"/>
  <c r="E175" i="9"/>
  <c r="B176" i="9"/>
  <c r="D66" i="8" a="1"/>
  <c r="D66" i="8" s="1"/>
  <c r="G178" i="8"/>
  <c r="F178" i="8"/>
  <c r="E178" i="8"/>
  <c r="B179" i="8"/>
  <c r="F176" i="9" l="1"/>
  <c r="E176" i="9"/>
  <c r="B177" i="9"/>
  <c r="G176" i="9"/>
  <c r="I67" i="8"/>
  <c r="A66" i="8"/>
  <c r="L67" i="8"/>
  <c r="H67" i="8"/>
  <c r="J67" i="8" s="1"/>
  <c r="C67" i="8"/>
  <c r="E179" i="8"/>
  <c r="G179" i="8"/>
  <c r="F179" i="8"/>
  <c r="B180" i="8"/>
  <c r="G177" i="9" l="1"/>
  <c r="F177" i="9"/>
  <c r="E177" i="9"/>
  <c r="B178" i="9"/>
  <c r="K67" i="8"/>
  <c r="O67" i="8" s="1"/>
  <c r="P67" i="8" s="1"/>
  <c r="M71" i="8"/>
  <c r="N71" i="8"/>
  <c r="G180" i="8"/>
  <c r="F180" i="8"/>
  <c r="E180" i="8"/>
  <c r="B181" i="8"/>
  <c r="F178" i="9" l="1"/>
  <c r="E178" i="9"/>
  <c r="B179" i="9"/>
  <c r="G178" i="9"/>
  <c r="D67" i="8" a="1"/>
  <c r="D67" i="8" s="1"/>
  <c r="E181" i="8"/>
  <c r="G181" i="8"/>
  <c r="F181" i="8"/>
  <c r="B182" i="8"/>
  <c r="G179" i="9" l="1"/>
  <c r="F179" i="9"/>
  <c r="E179" i="9"/>
  <c r="B180" i="9"/>
  <c r="A67" i="8"/>
  <c r="I68" i="8"/>
  <c r="L68" i="8"/>
  <c r="C68" i="8" s="1"/>
  <c r="G182" i="8"/>
  <c r="F182" i="8"/>
  <c r="E182" i="8"/>
  <c r="B183" i="8"/>
  <c r="F180" i="9" l="1"/>
  <c r="E180" i="9"/>
  <c r="B181" i="9"/>
  <c r="G180" i="9"/>
  <c r="H68" i="8"/>
  <c r="J68" i="8" s="1"/>
  <c r="N72" i="8"/>
  <c r="M72" i="8"/>
  <c r="E183" i="8"/>
  <c r="G183" i="8"/>
  <c r="F183" i="8"/>
  <c r="B184" i="8"/>
  <c r="B182" i="9" l="1"/>
  <c r="E181" i="9"/>
  <c r="G181" i="9"/>
  <c r="F181" i="9"/>
  <c r="K68" i="8"/>
  <c r="O68" i="8" s="1"/>
  <c r="P68" i="8" s="1"/>
  <c r="G184" i="8"/>
  <c r="F184" i="8"/>
  <c r="E184" i="8"/>
  <c r="B185" i="8"/>
  <c r="F182" i="9" l="1"/>
  <c r="E182" i="9"/>
  <c r="B183" i="9"/>
  <c r="G182" i="9"/>
  <c r="D68" i="8" a="1"/>
  <c r="D68" i="8" s="1"/>
  <c r="E185" i="8"/>
  <c r="G185" i="8"/>
  <c r="F185" i="8"/>
  <c r="B186" i="8"/>
  <c r="G183" i="9" l="1"/>
  <c r="B184" i="9"/>
  <c r="F183" i="9"/>
  <c r="E183" i="9"/>
  <c r="A68" i="8"/>
  <c r="I69" i="8"/>
  <c r="L69" i="8"/>
  <c r="C69" i="8" s="1"/>
  <c r="K69" i="8" s="1"/>
  <c r="O69" i="8" s="1"/>
  <c r="P69" i="8" s="1"/>
  <c r="H69" i="8"/>
  <c r="J69" i="8" s="1"/>
  <c r="D69" i="8" s="1" a="1"/>
  <c r="D69" i="8" s="1"/>
  <c r="G186" i="8"/>
  <c r="F186" i="8"/>
  <c r="E186" i="8"/>
  <c r="B187" i="8"/>
  <c r="F184" i="9" l="1"/>
  <c r="E184" i="9"/>
  <c r="G184" i="9"/>
  <c r="B185" i="9"/>
  <c r="L70" i="8"/>
  <c r="C70" i="8" s="1"/>
  <c r="K70" i="8" s="1"/>
  <c r="O70" i="8" s="1"/>
  <c r="P70" i="8" s="1"/>
  <c r="A69" i="8"/>
  <c r="I70" i="8"/>
  <c r="H70" i="8"/>
  <c r="J70" i="8" s="1"/>
  <c r="N73" i="8"/>
  <c r="M73" i="8"/>
  <c r="E187" i="8"/>
  <c r="G187" i="8"/>
  <c r="F187" i="8"/>
  <c r="B188" i="8"/>
  <c r="G185" i="9" l="1"/>
  <c r="F185" i="9"/>
  <c r="E185" i="9"/>
  <c r="B186" i="9"/>
  <c r="N74" i="8"/>
  <c r="M74" i="8"/>
  <c r="D70" i="8" a="1"/>
  <c r="D70" i="8" s="1"/>
  <c r="G188" i="8"/>
  <c r="F188" i="8"/>
  <c r="E188" i="8"/>
  <c r="B189" i="8"/>
  <c r="F186" i="9" l="1"/>
  <c r="E186" i="9"/>
  <c r="B187" i="9"/>
  <c r="G186" i="9"/>
  <c r="I71" i="8"/>
  <c r="L71" i="8"/>
  <c r="C71" i="8" s="1"/>
  <c r="A70" i="8"/>
  <c r="E189" i="8"/>
  <c r="G189" i="8"/>
  <c r="F189" i="8"/>
  <c r="B190" i="8"/>
  <c r="G187" i="9" l="1"/>
  <c r="F187" i="9"/>
  <c r="E187" i="9"/>
  <c r="B188" i="9"/>
  <c r="H71" i="8"/>
  <c r="J71" i="8" s="1"/>
  <c r="N75" i="8"/>
  <c r="M75" i="8"/>
  <c r="G190" i="8"/>
  <c r="F190" i="8"/>
  <c r="E190" i="8"/>
  <c r="B191" i="8"/>
  <c r="F188" i="9" l="1"/>
  <c r="E188" i="9"/>
  <c r="B189" i="9"/>
  <c r="G188" i="9"/>
  <c r="K71" i="8"/>
  <c r="O71" i="8" s="1"/>
  <c r="P71" i="8" s="1"/>
  <c r="E191" i="8"/>
  <c r="G191" i="8"/>
  <c r="F191" i="8"/>
  <c r="B192" i="8"/>
  <c r="F189" i="9" l="1"/>
  <c r="E189" i="9"/>
  <c r="B190" i="9"/>
  <c r="G189" i="9"/>
  <c r="D71" i="8" a="1"/>
  <c r="D71" i="8" s="1"/>
  <c r="G192" i="8"/>
  <c r="F192" i="8"/>
  <c r="E192" i="8"/>
  <c r="B193" i="8"/>
  <c r="F190" i="9" l="1"/>
  <c r="E190" i="9"/>
  <c r="B191" i="9"/>
  <c r="G190" i="9"/>
  <c r="A71" i="8"/>
  <c r="L72" i="8"/>
  <c r="I72" i="8"/>
  <c r="H72" i="8"/>
  <c r="J72" i="8" s="1"/>
  <c r="E193" i="8"/>
  <c r="B194" i="8"/>
  <c r="G193" i="8"/>
  <c r="F193" i="8"/>
  <c r="B192" i="9" l="1"/>
  <c r="G191" i="9"/>
  <c r="F191" i="9"/>
  <c r="E191" i="9"/>
  <c r="C72" i="8"/>
  <c r="K72" i="8" s="1"/>
  <c r="O72" i="8" s="1"/>
  <c r="P72" i="8" s="1"/>
  <c r="M76" i="8"/>
  <c r="N76" i="8"/>
  <c r="G194" i="8"/>
  <c r="B195" i="8"/>
  <c r="F194" i="8"/>
  <c r="E194" i="8"/>
  <c r="F192" i="9" l="1"/>
  <c r="E192" i="9"/>
  <c r="B193" i="9"/>
  <c r="G192" i="9"/>
  <c r="D72" i="8" a="1"/>
  <c r="D72" i="8" s="1"/>
  <c r="E195" i="8"/>
  <c r="G195" i="8"/>
  <c r="F195" i="8"/>
  <c r="B196" i="8"/>
  <c r="G193" i="9" l="1"/>
  <c r="F193" i="9"/>
  <c r="B194" i="9"/>
  <c r="E193" i="9"/>
  <c r="A72" i="8"/>
  <c r="I73" i="8"/>
  <c r="L73" i="8"/>
  <c r="H73" i="8" s="1"/>
  <c r="J73" i="8" s="1"/>
  <c r="B197" i="8"/>
  <c r="G196" i="8"/>
  <c r="F196" i="8"/>
  <c r="E196" i="8"/>
  <c r="F194" i="9" l="1"/>
  <c r="E194" i="9"/>
  <c r="B195" i="9"/>
  <c r="G194" i="9"/>
  <c r="C73" i="8"/>
  <c r="K73" i="8" s="1"/>
  <c r="O73" i="8" s="1"/>
  <c r="P73" i="8" s="1"/>
  <c r="M77" i="8"/>
  <c r="N77" i="8"/>
  <c r="E197" i="8"/>
  <c r="G197" i="8"/>
  <c r="F197" i="8"/>
  <c r="B198" i="8"/>
  <c r="G195" i="9" l="1"/>
  <c r="F195" i="9"/>
  <c r="E195" i="9"/>
  <c r="B196" i="9"/>
  <c r="D73" i="8" a="1"/>
  <c r="D73" i="8" s="1"/>
  <c r="B199" i="8"/>
  <c r="G198" i="8"/>
  <c r="F198" i="8"/>
  <c r="E198" i="8"/>
  <c r="F196" i="9" l="1"/>
  <c r="E196" i="9"/>
  <c r="B197" i="9"/>
  <c r="G196" i="9"/>
  <c r="A73" i="8"/>
  <c r="I74" i="8"/>
  <c r="L74" i="8"/>
  <c r="E199" i="8"/>
  <c r="B200" i="8"/>
  <c r="G199" i="8"/>
  <c r="F199" i="8"/>
  <c r="G197" i="9" l="1"/>
  <c r="F197" i="9"/>
  <c r="E197" i="9"/>
  <c r="B198" i="9"/>
  <c r="H74" i="8"/>
  <c r="J74" i="8" s="1"/>
  <c r="M78" i="8"/>
  <c r="N78" i="8"/>
  <c r="C74" i="8"/>
  <c r="B201" i="8"/>
  <c r="G200" i="8"/>
  <c r="E200" i="8"/>
  <c r="F200" i="8"/>
  <c r="F198" i="9" l="1"/>
  <c r="E198" i="9"/>
  <c r="B199" i="9"/>
  <c r="G198" i="9"/>
  <c r="K74" i="8"/>
  <c r="O74" i="8" s="1"/>
  <c r="P74" i="8" s="1"/>
  <c r="D74" i="8" a="1"/>
  <c r="D74" i="8" s="1"/>
  <c r="E201" i="8"/>
  <c r="G201" i="8"/>
  <c r="F201" i="8"/>
  <c r="B202" i="8"/>
  <c r="E199" i="9" l="1"/>
  <c r="B200" i="9"/>
  <c r="F199" i="9"/>
  <c r="G199" i="9"/>
  <c r="A74" i="8"/>
  <c r="I75" i="8"/>
  <c r="L75" i="8"/>
  <c r="C75" i="8" s="1"/>
  <c r="H75" i="8"/>
  <c r="J75" i="8" s="1"/>
  <c r="B203" i="8"/>
  <c r="G202" i="8"/>
  <c r="F202" i="8"/>
  <c r="E202" i="8"/>
  <c r="F200" i="9" l="1"/>
  <c r="E200" i="9"/>
  <c r="B201" i="9"/>
  <c r="G200" i="9"/>
  <c r="K75" i="8"/>
  <c r="O75" i="8" s="1"/>
  <c r="P75" i="8" s="1"/>
  <c r="N79" i="8"/>
  <c r="M79" i="8"/>
  <c r="E203" i="8"/>
  <c r="G203" i="8"/>
  <c r="F203" i="8"/>
  <c r="B204" i="8"/>
  <c r="G201" i="9" l="1"/>
  <c r="F201" i="9"/>
  <c r="E201" i="9"/>
  <c r="B202" i="9"/>
  <c r="D75" i="8" a="1"/>
  <c r="D75" i="8" s="1"/>
  <c r="B205" i="8"/>
  <c r="G204" i="8"/>
  <c r="F204" i="8"/>
  <c r="E204" i="8"/>
  <c r="F202" i="9" l="1"/>
  <c r="E202" i="9"/>
  <c r="B203" i="9"/>
  <c r="G202" i="9"/>
  <c r="A75" i="8"/>
  <c r="I76" i="8"/>
  <c r="L76" i="8"/>
  <c r="H76" i="8"/>
  <c r="J76" i="8" s="1"/>
  <c r="E205" i="8"/>
  <c r="F205" i="8"/>
  <c r="B206" i="8"/>
  <c r="G205" i="8"/>
  <c r="G203" i="9" l="1"/>
  <c r="F203" i="9"/>
  <c r="E203" i="9"/>
  <c r="B204" i="9"/>
  <c r="N80" i="8"/>
  <c r="M80" i="8"/>
  <c r="C76" i="8"/>
  <c r="K76" i="8" s="1"/>
  <c r="O76" i="8" s="1"/>
  <c r="P76" i="8" s="1"/>
  <c r="B207" i="8"/>
  <c r="G206" i="8"/>
  <c r="F206" i="8"/>
  <c r="E206" i="8"/>
  <c r="F204" i="9" l="1"/>
  <c r="E204" i="9"/>
  <c r="G204" i="9"/>
  <c r="B205" i="9"/>
  <c r="D76" i="8" a="1"/>
  <c r="D76" i="8" s="1"/>
  <c r="F207" i="8"/>
  <c r="E207" i="8"/>
  <c r="G207" i="8"/>
  <c r="B208" i="8"/>
  <c r="G205" i="9" l="1"/>
  <c r="F205" i="9"/>
  <c r="E205" i="9"/>
  <c r="B206" i="9"/>
  <c r="A76" i="8"/>
  <c r="I77" i="8"/>
  <c r="L77" i="8"/>
  <c r="B209" i="8"/>
  <c r="G208" i="8"/>
  <c r="F208" i="8"/>
  <c r="E208" i="8"/>
  <c r="F206" i="9" l="1"/>
  <c r="E206" i="9"/>
  <c r="B207" i="9"/>
  <c r="G206" i="9"/>
  <c r="C77" i="8"/>
  <c r="M81" i="8"/>
  <c r="N81" i="8"/>
  <c r="H77" i="8"/>
  <c r="J77" i="8" s="1"/>
  <c r="F209" i="8"/>
  <c r="E209" i="8"/>
  <c r="B210" i="8"/>
  <c r="G209" i="8"/>
  <c r="G207" i="9" l="1"/>
  <c r="F207" i="9"/>
  <c r="E207" i="9"/>
  <c r="B208" i="9"/>
  <c r="K77" i="8"/>
  <c r="O77" i="8" s="1"/>
  <c r="P77" i="8" s="1"/>
  <c r="B211" i="8"/>
  <c r="G210" i="8"/>
  <c r="F210" i="8"/>
  <c r="E210" i="8"/>
  <c r="F208" i="9" l="1"/>
  <c r="E208" i="9"/>
  <c r="B209" i="9"/>
  <c r="G208" i="9"/>
  <c r="D77" i="8" a="1"/>
  <c r="D77" i="8" s="1"/>
  <c r="F211" i="8"/>
  <c r="E211" i="8"/>
  <c r="G211" i="8"/>
  <c r="B212" i="8"/>
  <c r="B210" i="9" l="1"/>
  <c r="G209" i="9"/>
  <c r="F209" i="9"/>
  <c r="E209" i="9"/>
  <c r="A77" i="8"/>
  <c r="L78" i="8"/>
  <c r="C78" i="8" s="1"/>
  <c r="I78" i="8"/>
  <c r="B213" i="8"/>
  <c r="G212" i="8"/>
  <c r="F212" i="8"/>
  <c r="E212" i="8"/>
  <c r="F210" i="9" l="1"/>
  <c r="E210" i="9"/>
  <c r="B211" i="9"/>
  <c r="G210" i="9"/>
  <c r="H78" i="8"/>
  <c r="J78" i="8" s="1"/>
  <c r="K78" i="8" s="1"/>
  <c r="O78" i="8" s="1"/>
  <c r="P78" i="8" s="1"/>
  <c r="N82" i="8"/>
  <c r="M82" i="8"/>
  <c r="F213" i="8"/>
  <c r="E213" i="8"/>
  <c r="B214" i="8"/>
  <c r="G213" i="8"/>
  <c r="B212" i="9" l="1"/>
  <c r="G211" i="9"/>
  <c r="F211" i="9"/>
  <c r="E211" i="9"/>
  <c r="D78" i="8" a="1"/>
  <c r="D78" i="8" s="1"/>
  <c r="B215" i="8"/>
  <c r="G214" i="8"/>
  <c r="F214" i="8"/>
  <c r="E214" i="8"/>
  <c r="F212" i="9" l="1"/>
  <c r="E212" i="9"/>
  <c r="B213" i="9"/>
  <c r="G212" i="9"/>
  <c r="I79" i="8"/>
  <c r="A78" i="8"/>
  <c r="L79" i="8"/>
  <c r="F215" i="8"/>
  <c r="E215" i="8"/>
  <c r="G215" i="8"/>
  <c r="B216" i="8"/>
  <c r="B214" i="9" l="1"/>
  <c r="F213" i="9"/>
  <c r="E213" i="9"/>
  <c r="G213" i="9"/>
  <c r="M83" i="8"/>
  <c r="N83" i="8"/>
  <c r="H79" i="8"/>
  <c r="J79" i="8" s="1"/>
  <c r="C79" i="8"/>
  <c r="B217" i="8"/>
  <c r="G216" i="8"/>
  <c r="F216" i="8"/>
  <c r="E216" i="8"/>
  <c r="F214" i="9" l="1"/>
  <c r="E214" i="9"/>
  <c r="B215" i="9"/>
  <c r="G214" i="9"/>
  <c r="K79" i="8"/>
  <c r="O79" i="8" s="1"/>
  <c r="P79" i="8" s="1"/>
  <c r="F217" i="8"/>
  <c r="E217" i="8"/>
  <c r="B218" i="8"/>
  <c r="G217" i="8"/>
  <c r="B216" i="9" l="1"/>
  <c r="F215" i="9"/>
  <c r="E215" i="9"/>
  <c r="G215" i="9"/>
  <c r="D79" i="8" a="1"/>
  <c r="D79" i="8" s="1"/>
  <c r="B219" i="8"/>
  <c r="G218" i="8"/>
  <c r="F218" i="8"/>
  <c r="E218" i="8"/>
  <c r="F216" i="9" l="1"/>
  <c r="E216" i="9"/>
  <c r="B217" i="9"/>
  <c r="G216" i="9"/>
  <c r="A79" i="8"/>
  <c r="I80" i="8"/>
  <c r="L80" i="8"/>
  <c r="H80" i="8" s="1"/>
  <c r="J80" i="8" s="1"/>
  <c r="F219" i="8"/>
  <c r="E219" i="8"/>
  <c r="G219" i="8"/>
  <c r="B220" i="8"/>
  <c r="I218" i="9" l="1"/>
  <c r="B218" i="9"/>
  <c r="N84" i="8"/>
  <c r="M84" i="8"/>
  <c r="C80" i="8"/>
  <c r="K80" i="8" s="1"/>
  <c r="O80" i="8" s="1"/>
  <c r="P80" i="8" s="1"/>
  <c r="I221" i="8"/>
  <c r="J221" i="8" s="1"/>
  <c r="B221" i="8"/>
  <c r="K220" i="8"/>
  <c r="J218" i="9" l="1"/>
  <c r="L218" i="9"/>
  <c r="I219" i="9"/>
  <c r="B219" i="9"/>
  <c r="D80" i="8" a="1"/>
  <c r="D80" i="8" s="1"/>
  <c r="L221" i="8"/>
  <c r="K221" i="8"/>
  <c r="I222" i="8"/>
  <c r="J222" i="8" s="1"/>
  <c r="B222" i="8"/>
  <c r="J219" i="9" l="1"/>
  <c r="L219" i="9"/>
  <c r="I220" i="9"/>
  <c r="B220" i="9"/>
  <c r="N222" i="9"/>
  <c r="P222" i="9" s="1"/>
  <c r="M222" i="9"/>
  <c r="A80" i="8"/>
  <c r="I81" i="8"/>
  <c r="L81" i="8"/>
  <c r="H81" i="8"/>
  <c r="J81" i="8" s="1"/>
  <c r="L222" i="8"/>
  <c r="K222" i="8"/>
  <c r="I223" i="8"/>
  <c r="J223" i="8" s="1"/>
  <c r="B223" i="8"/>
  <c r="M225" i="8"/>
  <c r="N225" i="8"/>
  <c r="O225" i="8" s="1"/>
  <c r="P225" i="8" s="1"/>
  <c r="J220" i="9" l="1"/>
  <c r="M223" i="9"/>
  <c r="N223" i="9"/>
  <c r="P223" i="9" s="1"/>
  <c r="L220" i="9"/>
  <c r="I221" i="9"/>
  <c r="C81" i="8"/>
  <c r="N85" i="8"/>
  <c r="M85" i="8"/>
  <c r="K81" i="8"/>
  <c r="O81" i="8" s="1"/>
  <c r="P81" i="8" s="1"/>
  <c r="L223" i="8"/>
  <c r="K223" i="8"/>
  <c r="I224" i="8"/>
  <c r="J224" i="8" s="1"/>
  <c r="M226" i="8"/>
  <c r="N226" i="8"/>
  <c r="O226" i="8" s="1"/>
  <c r="P226" i="8" s="1"/>
  <c r="J221" i="9" l="1"/>
  <c r="N224" i="9"/>
  <c r="M224" i="9"/>
  <c r="D81" i="8" a="1"/>
  <c r="D81" i="8" s="1"/>
  <c r="K224" i="8"/>
  <c r="N227" i="8"/>
  <c r="M227" i="8"/>
  <c r="A81" i="8" l="1"/>
  <c r="L82" i="8"/>
  <c r="I82" i="8"/>
  <c r="C82" i="8"/>
  <c r="O227" i="8"/>
  <c r="P224" i="9" l="1"/>
  <c r="H82" i="8"/>
  <c r="J82" i="8" s="1"/>
  <c r="N86" i="8"/>
  <c r="M86" i="8"/>
  <c r="P227" i="8"/>
  <c r="K82" i="8" l="1"/>
  <c r="O82" i="8" s="1"/>
  <c r="P82" i="8" s="1"/>
  <c r="D82" i="8" l="1" a="1"/>
  <c r="D82" i="8" s="1"/>
  <c r="A82" i="8" l="1"/>
  <c r="I83" i="8"/>
  <c r="L83" i="8"/>
  <c r="C83" i="8" l="1"/>
  <c r="N87" i="8"/>
  <c r="M87" i="8"/>
  <c r="H83" i="8"/>
  <c r="J83" i="8" s="1"/>
  <c r="D83" i="8" l="1" a="1"/>
  <c r="D83" i="8" s="1"/>
  <c r="K83" i="8"/>
  <c r="O83" i="8" s="1"/>
  <c r="P83" i="8" s="1"/>
  <c r="A83" i="8" l="1"/>
  <c r="L84" i="8"/>
  <c r="C84" i="8" s="1"/>
  <c r="I84" i="8"/>
  <c r="H84" i="8" l="1"/>
  <c r="J84" i="8" s="1"/>
  <c r="M88" i="8"/>
  <c r="N88" i="8"/>
  <c r="K84" i="8" l="1"/>
  <c r="O84" i="8" s="1"/>
  <c r="P84" i="8" s="1"/>
  <c r="D84" i="8" l="1" a="1"/>
  <c r="D84" i="8" s="1"/>
  <c r="A84" i="8" l="1"/>
  <c r="L85" i="8"/>
  <c r="I85" i="8"/>
  <c r="C85" i="8"/>
  <c r="H85" i="8"/>
  <c r="J85" i="8" s="1"/>
  <c r="K85" i="8" l="1"/>
  <c r="O85" i="8" s="1"/>
  <c r="P85" i="8" s="1"/>
  <c r="N89" i="8"/>
  <c r="M89" i="8"/>
  <c r="D85" i="8" l="1" a="1"/>
  <c r="D85" i="8" s="1"/>
  <c r="A85" i="8" l="1"/>
  <c r="I86" i="8"/>
  <c r="L86" i="8"/>
  <c r="C86" i="8" l="1"/>
  <c r="M90" i="8"/>
  <c r="N90" i="8"/>
  <c r="H86" i="8"/>
  <c r="J86" i="8" s="1"/>
  <c r="K86" i="8" l="1"/>
  <c r="O86" i="8" s="1"/>
  <c r="P86" i="8" s="1"/>
  <c r="D86" i="8" a="1"/>
  <c r="D86" i="8" s="1"/>
  <c r="A86" i="8" l="1"/>
  <c r="L87" i="8"/>
  <c r="C87" i="8" s="1"/>
  <c r="I87" i="8"/>
  <c r="H87" i="8"/>
  <c r="J87" i="8" s="1"/>
  <c r="K87" i="8" l="1"/>
  <c r="O87" i="8" s="1"/>
  <c r="P87" i="8" s="1"/>
  <c r="N91" i="8"/>
  <c r="M91" i="8"/>
  <c r="D87" i="8" l="1" a="1"/>
  <c r="D87" i="8" s="1"/>
  <c r="L88" i="8" l="1"/>
  <c r="I88" i="8"/>
  <c r="A87" i="8"/>
  <c r="H88" i="8"/>
  <c r="J88" i="8" s="1"/>
  <c r="C88" i="8" l="1"/>
  <c r="K88" i="8" s="1"/>
  <c r="O88" i="8" s="1"/>
  <c r="P88" i="8" s="1"/>
  <c r="M92" i="8"/>
  <c r="N92" i="8"/>
  <c r="D88" i="8" l="1" a="1"/>
  <c r="D88" i="8" s="1"/>
  <c r="L89" i="8" l="1"/>
  <c r="A88" i="8"/>
  <c r="I89" i="8"/>
  <c r="C89" i="8"/>
  <c r="H89" i="8" l="1"/>
  <c r="J89" i="8" s="1"/>
  <c r="M93" i="8"/>
  <c r="N93" i="8"/>
  <c r="K89" i="8" l="1"/>
  <c r="O89" i="8" s="1"/>
  <c r="P89" i="8" s="1"/>
  <c r="D89" i="8" l="1" a="1"/>
  <c r="D89" i="8" s="1"/>
  <c r="L90" i="8" l="1"/>
  <c r="C90" i="8" s="1"/>
  <c r="I90" i="8"/>
  <c r="A89" i="8"/>
  <c r="H90" i="8"/>
  <c r="J90" i="8" s="1"/>
  <c r="K90" i="8" l="1"/>
  <c r="O90" i="8" s="1"/>
  <c r="P90" i="8" s="1"/>
  <c r="M94" i="8"/>
  <c r="N94" i="8"/>
  <c r="D90" i="8" l="1" a="1"/>
  <c r="D90" i="8" s="1"/>
  <c r="L91" i="8" l="1"/>
  <c r="I91" i="8"/>
  <c r="A90" i="8"/>
  <c r="C91" i="8" l="1"/>
  <c r="H91" i="8"/>
  <c r="J91" i="8" s="1"/>
  <c r="N95" i="8"/>
  <c r="M95" i="8"/>
  <c r="K91" i="8" l="1"/>
  <c r="O91" i="8" s="1"/>
  <c r="P91" i="8" s="1"/>
  <c r="D91" i="8" l="1" a="1"/>
  <c r="D91" i="8" s="1"/>
  <c r="C92" i="8" l="1"/>
  <c r="L92" i="8"/>
  <c r="I92" i="8"/>
  <c r="A91" i="8"/>
  <c r="N96" i="8" l="1"/>
  <c r="M96" i="8"/>
  <c r="H92" i="8"/>
  <c r="J92" i="8" s="1"/>
  <c r="K92" i="8" l="1"/>
  <c r="O92" i="8" s="1"/>
  <c r="P92" i="8" s="1"/>
  <c r="D92" i="8" l="1" a="1"/>
  <c r="D92" i="8" s="1"/>
  <c r="L93" i="8" l="1"/>
  <c r="H93" i="8" s="1"/>
  <c r="J93" i="8" s="1"/>
  <c r="A92" i="8"/>
  <c r="I93" i="8"/>
  <c r="C93" i="8" l="1"/>
  <c r="K93" i="8" s="1"/>
  <c r="O93" i="8" s="1"/>
  <c r="P93" i="8" s="1"/>
  <c r="M97" i="8"/>
  <c r="N97" i="8"/>
  <c r="D93" i="8" l="1" a="1"/>
  <c r="D93" i="8" s="1"/>
  <c r="I94" i="8" l="1"/>
  <c r="H94" i="8"/>
  <c r="J94" i="8" s="1"/>
  <c r="D94" i="8" s="1" a="1"/>
  <c r="D94" i="8" s="1"/>
  <c r="L94" i="8"/>
  <c r="A93" i="8"/>
  <c r="C94" i="8"/>
  <c r="K94" i="8" s="1"/>
  <c r="O94" i="8" s="1"/>
  <c r="P94" i="8" s="1"/>
  <c r="L95" i="8" l="1"/>
  <c r="I95" i="8"/>
  <c r="A94" i="8"/>
  <c r="H95" i="8"/>
  <c r="J95" i="8" s="1"/>
  <c r="C95" i="8"/>
  <c r="K95" i="8" s="1"/>
  <c r="O95" i="8" s="1"/>
  <c r="P95" i="8" s="1"/>
  <c r="M98" i="8"/>
  <c r="N98" i="8"/>
  <c r="D95" i="8" a="1"/>
  <c r="D95" i="8" s="1"/>
  <c r="M99" i="8" l="1"/>
  <c r="N99" i="8"/>
  <c r="I96" i="8"/>
  <c r="A95" i="8"/>
  <c r="L96" i="8"/>
  <c r="N100" i="8" l="1"/>
  <c r="M100" i="8"/>
  <c r="H96" i="8"/>
  <c r="J96" i="8" s="1"/>
  <c r="C96" i="8"/>
  <c r="K96" i="8" l="1"/>
  <c r="O96" i="8" s="1"/>
  <c r="P96" i="8" s="1"/>
  <c r="D96" i="8" a="1"/>
  <c r="D96" i="8" s="1"/>
  <c r="I97" i="8" s="1"/>
  <c r="L97" i="8" l="1"/>
  <c r="H97" i="8" s="1"/>
  <c r="J97" i="8" s="1"/>
  <c r="A96" i="8"/>
  <c r="C97" i="8"/>
  <c r="N101" i="8"/>
  <c r="M101" i="8"/>
  <c r="K97" i="8" l="1"/>
  <c r="O97" i="8" s="1"/>
  <c r="P97" i="8" s="1"/>
  <c r="D97" i="8" a="1"/>
  <c r="D97" i="8" s="1"/>
  <c r="L98" i="8" l="1"/>
  <c r="H98" i="8"/>
  <c r="A97" i="8"/>
  <c r="I98" i="8"/>
  <c r="C98" i="8"/>
  <c r="J98" i="8" l="1"/>
  <c r="K98" i="8" s="1"/>
  <c r="M102" i="8"/>
  <c r="N102" i="8"/>
  <c r="O98" i="8" l="1"/>
  <c r="P98" i="8" s="1"/>
  <c r="D98" i="8" a="1"/>
  <c r="D98" i="8" s="1"/>
  <c r="A98" i="8" l="1"/>
  <c r="L99" i="8"/>
  <c r="H99" i="8" s="1"/>
  <c r="I99" i="8"/>
  <c r="J99" i="8" l="1"/>
  <c r="K99" i="8" s="1"/>
  <c r="O99" i="8" s="1"/>
  <c r="P99" i="8" s="1"/>
  <c r="C99" i="8"/>
  <c r="N103" i="8"/>
  <c r="M103" i="8"/>
  <c r="D99" i="8" l="1" a="1"/>
  <c r="D99" i="8" s="1"/>
  <c r="A99" i="8" l="1"/>
  <c r="I100" i="8"/>
  <c r="L100" i="8"/>
  <c r="N104" i="8" l="1"/>
  <c r="M104" i="8"/>
  <c r="C100" i="8"/>
  <c r="H100" i="8"/>
  <c r="J100" i="8" s="1"/>
  <c r="K100" i="8" l="1"/>
  <c r="O100" i="8" s="1"/>
  <c r="P100" i="8" s="1"/>
  <c r="D100" i="8" l="1" a="1"/>
  <c r="D100" i="8" s="1"/>
  <c r="A100" i="8" l="1"/>
  <c r="L101" i="8"/>
  <c r="C101" i="8" s="1"/>
  <c r="I101" i="8"/>
  <c r="H101" i="8"/>
  <c r="J101" i="8" s="1"/>
  <c r="K101" i="8" l="1"/>
  <c r="O101" i="8" s="1"/>
  <c r="P101" i="8" s="1"/>
  <c r="N105" i="8"/>
  <c r="M105" i="8"/>
  <c r="D101" i="8" l="1" a="1"/>
  <c r="D101" i="8" s="1"/>
  <c r="A101" i="8" l="1"/>
  <c r="L102" i="8"/>
  <c r="C102" i="8" s="1"/>
  <c r="I102" i="8"/>
  <c r="H102" i="8"/>
  <c r="J102" i="8" s="1"/>
  <c r="K102" i="8" l="1"/>
  <c r="O102" i="8" s="1"/>
  <c r="P102" i="8" s="1"/>
  <c r="M106" i="8"/>
  <c r="N106" i="8"/>
  <c r="D102" i="8" l="1" a="1"/>
  <c r="D102" i="8" s="1"/>
  <c r="L103" i="8" l="1"/>
  <c r="H103" i="8" s="1"/>
  <c r="A102" i="8"/>
  <c r="I103" i="8"/>
  <c r="J103" i="8" l="1"/>
  <c r="C103" i="8"/>
  <c r="K103" i="8" s="1"/>
  <c r="O103" i="8" s="1"/>
  <c r="P103" i="8" s="1"/>
  <c r="N107" i="8"/>
  <c r="M107" i="8"/>
  <c r="D103" i="8" l="1" a="1"/>
  <c r="D103" i="8" s="1"/>
  <c r="A103" i="8" l="1"/>
  <c r="L104" i="8"/>
  <c r="C104" i="8" s="1"/>
  <c r="H104" i="8"/>
  <c r="I104" i="8"/>
  <c r="J104" i="8" l="1"/>
  <c r="N108" i="8"/>
  <c r="M108" i="8"/>
  <c r="K104" i="8" l="1"/>
  <c r="O104" i="8" s="1"/>
  <c r="P104" i="8" s="1"/>
  <c r="D104" i="8" l="1" a="1"/>
  <c r="D104" i="8" s="1"/>
  <c r="A104" i="8" l="1"/>
  <c r="L105" i="8"/>
  <c r="I105" i="8"/>
  <c r="C105" i="8"/>
  <c r="H105" i="8"/>
  <c r="J105" i="8" s="1"/>
  <c r="K105" i="8" l="1"/>
  <c r="O105" i="8" s="1"/>
  <c r="P105" i="8" s="1"/>
  <c r="N109" i="8"/>
  <c r="M109" i="8"/>
  <c r="D105" i="8" l="1" a="1"/>
  <c r="D105" i="8" s="1"/>
  <c r="A105" i="8" l="1"/>
  <c r="L106" i="8"/>
  <c r="I106" i="8"/>
  <c r="H106" i="8"/>
  <c r="C106" i="8"/>
  <c r="J106" i="8" l="1"/>
  <c r="K106" i="8" s="1"/>
  <c r="N110" i="8"/>
  <c r="M110" i="8"/>
  <c r="O106" i="8" l="1"/>
  <c r="P106" i="8" s="1"/>
  <c r="D106" i="8" a="1"/>
  <c r="D106" i="8" s="1"/>
  <c r="A106" i="8" l="1"/>
  <c r="L107" i="8"/>
  <c r="I107" i="8"/>
  <c r="H107" i="8"/>
  <c r="J107" i="8" s="1"/>
  <c r="N111" i="8" l="1"/>
  <c r="M111" i="8"/>
  <c r="C107" i="8"/>
  <c r="K107" i="8" s="1"/>
  <c r="O107" i="8" s="1"/>
  <c r="P107" i="8" s="1"/>
  <c r="D107" i="8" l="1" a="1"/>
  <c r="D107" i="8" s="1"/>
  <c r="L108" i="8" l="1"/>
  <c r="A107" i="8"/>
  <c r="I108" i="8"/>
  <c r="H108" i="8"/>
  <c r="J108" i="8" s="1"/>
  <c r="C108" i="8" l="1"/>
  <c r="K108" i="8" s="1"/>
  <c r="O108" i="8" s="1"/>
  <c r="P108" i="8" s="1"/>
  <c r="M112" i="8"/>
  <c r="N112" i="8"/>
  <c r="D108" i="8" l="1" a="1"/>
  <c r="D108" i="8" s="1"/>
  <c r="A108" i="8" s="1"/>
  <c r="L109" i="8" l="1"/>
  <c r="H109" i="8" s="1"/>
  <c r="J109" i="8" s="1"/>
  <c r="I109" i="8"/>
  <c r="N113" i="8" l="1"/>
  <c r="M113" i="8"/>
  <c r="C109" i="8"/>
  <c r="K109" i="8" s="1"/>
  <c r="O109" i="8" s="1"/>
  <c r="P109" i="8" s="1"/>
  <c r="D109" i="8" l="1" a="1"/>
  <c r="D109" i="8" s="1"/>
  <c r="A109" i="8" l="1"/>
  <c r="L110" i="8"/>
  <c r="H110" i="8" s="1"/>
  <c r="J110" i="8" s="1"/>
  <c r="I110" i="8"/>
  <c r="M114" i="8" l="1"/>
  <c r="N114" i="8"/>
  <c r="C110" i="8"/>
  <c r="K110" i="8" s="1"/>
  <c r="O110" i="8" s="1"/>
  <c r="P110" i="8" s="1"/>
  <c r="D110" i="8" l="1" a="1"/>
  <c r="D110" i="8" s="1"/>
  <c r="A110" i="8" l="1"/>
  <c r="L111" i="8"/>
  <c r="I111" i="8"/>
  <c r="H111" i="8"/>
  <c r="J111" i="8" s="1"/>
  <c r="C111" i="8" l="1"/>
  <c r="K111" i="8" s="1"/>
  <c r="O111" i="8" s="1"/>
  <c r="P111" i="8" s="1"/>
  <c r="M115" i="8"/>
  <c r="N115" i="8"/>
  <c r="D111" i="8" l="1" a="1"/>
  <c r="D111" i="8" s="1"/>
  <c r="A111" i="8" l="1"/>
  <c r="L112" i="8"/>
  <c r="H112" i="8"/>
  <c r="I112" i="8"/>
  <c r="C112" i="8"/>
  <c r="J112" i="8" l="1"/>
  <c r="M116" i="8"/>
  <c r="N116" i="8"/>
  <c r="K112" i="8"/>
  <c r="O112" i="8" s="1"/>
  <c r="P112" i="8" s="1"/>
  <c r="D112" i="8" l="1" a="1"/>
  <c r="D112" i="8" s="1"/>
  <c r="I113" i="8" l="1"/>
  <c r="A112" i="8"/>
  <c r="L113" i="8"/>
  <c r="H113" i="8" l="1"/>
  <c r="J113" i="8" s="1"/>
  <c r="M117" i="8"/>
  <c r="N117" i="8"/>
  <c r="C113" i="8"/>
  <c r="K113" i="8" l="1"/>
  <c r="O113" i="8" s="1"/>
  <c r="P113" i="8" s="1"/>
  <c r="D113" i="8" l="1" a="1"/>
  <c r="D113" i="8" s="1"/>
  <c r="A113" i="8" s="1"/>
  <c r="I114" i="8" l="1"/>
  <c r="L114" i="8"/>
  <c r="C114" i="8" s="1"/>
  <c r="N118" i="8"/>
  <c r="M118" i="8" l="1"/>
  <c r="H114" i="8"/>
  <c r="J114" i="8" s="1"/>
  <c r="K114" i="8" l="1"/>
  <c r="O114" i="8" s="1"/>
  <c r="P114" i="8" s="1"/>
  <c r="D114" i="8" l="1" a="1"/>
  <c r="D114" i="8" s="1"/>
  <c r="A114" i="8" s="1"/>
  <c r="I115" i="8"/>
  <c r="L115" i="8"/>
  <c r="H115" i="8" s="1"/>
  <c r="C115" i="8" l="1"/>
  <c r="J115" i="8"/>
  <c r="K115" i="8"/>
  <c r="O115" i="8" s="1"/>
  <c r="P115" i="8" s="1"/>
  <c r="N119" i="8"/>
  <c r="M119" i="8"/>
  <c r="D115" i="8" l="1" a="1"/>
  <c r="D115" i="8" s="1"/>
  <c r="A115" i="8" l="1"/>
  <c r="I116" i="8"/>
  <c r="L116" i="8"/>
  <c r="H116" i="8" s="1"/>
  <c r="J116" i="8" s="1"/>
  <c r="C116" i="8" l="1"/>
  <c r="K116" i="8" s="1"/>
  <c r="O116" i="8" s="1"/>
  <c r="P116" i="8" s="1"/>
  <c r="M120" i="8"/>
  <c r="N120" i="8"/>
  <c r="D116" i="8" l="1" a="1"/>
  <c r="D116" i="8" s="1"/>
  <c r="I117" i="8" l="1"/>
  <c r="A116" i="8"/>
  <c r="L117" i="8"/>
  <c r="C117" i="8" s="1"/>
  <c r="N121" i="8" l="1"/>
  <c r="M121" i="8"/>
  <c r="H117" i="8"/>
  <c r="J117" i="8" s="1"/>
  <c r="K117" i="8" l="1"/>
  <c r="O117" i="8" s="1"/>
  <c r="P117" i="8" s="1"/>
  <c r="D117" i="8" l="1" a="1"/>
  <c r="D117" i="8" s="1"/>
  <c r="I118" i="8" l="1"/>
  <c r="L118" i="8"/>
  <c r="C118" i="8" s="1"/>
  <c r="A117" i="8"/>
  <c r="H118" i="8" l="1"/>
  <c r="J118" i="8" s="1"/>
  <c r="N122" i="8"/>
  <c r="M122" i="8"/>
  <c r="K118" i="8" l="1"/>
  <c r="O118" i="8" s="1"/>
  <c r="P118" i="8" s="1"/>
  <c r="D118" i="8" l="1" a="1"/>
  <c r="D118" i="8" s="1"/>
  <c r="L119" i="8" s="1"/>
  <c r="A118" i="8"/>
  <c r="I119" i="8"/>
  <c r="H119" i="8" l="1"/>
  <c r="J119" i="8" s="1"/>
  <c r="C119" i="8"/>
  <c r="K119" i="8"/>
  <c r="M123" i="8"/>
  <c r="N123" i="8"/>
  <c r="O119" i="8" l="1"/>
  <c r="P119" i="8" s="1"/>
  <c r="D119" i="8" a="1"/>
  <c r="D119" i="8" s="1"/>
  <c r="L120" i="8" l="1"/>
  <c r="C120" i="8" s="1"/>
  <c r="I120" i="8"/>
  <c r="A119" i="8"/>
  <c r="H120" i="8"/>
  <c r="J120" i="8" s="1"/>
  <c r="K120" i="8" l="1"/>
  <c r="O120" i="8" s="1"/>
  <c r="P120" i="8" s="1"/>
  <c r="D120" i="8" a="1"/>
  <c r="D120" i="8" s="1"/>
  <c r="N124" i="8"/>
  <c r="M124" i="8"/>
  <c r="A120" i="8" l="1"/>
  <c r="I121" i="8"/>
  <c r="L121" i="8"/>
  <c r="N125" i="8" l="1"/>
  <c r="M125" i="8"/>
  <c r="H121" i="8"/>
  <c r="J121" i="8" s="1"/>
  <c r="C121" i="8"/>
  <c r="K121" i="8" l="1"/>
  <c r="O121" i="8" s="1"/>
  <c r="P121" i="8" s="1"/>
  <c r="D121" i="8" a="1"/>
  <c r="D121" i="8" s="1"/>
  <c r="L122" i="8" l="1"/>
  <c r="A121" i="8"/>
  <c r="H122" i="8"/>
  <c r="J122" i="8" s="1"/>
  <c r="I122" i="8"/>
  <c r="M126" i="8" l="1"/>
  <c r="N126" i="8"/>
  <c r="C122" i="8"/>
  <c r="K122" i="8" s="1"/>
  <c r="O122" i="8" s="1"/>
  <c r="P122" i="8" s="1"/>
  <c r="D122" i="8" l="1" a="1"/>
  <c r="D122" i="8" s="1"/>
  <c r="L123" i="8" l="1"/>
  <c r="I123" i="8"/>
  <c r="A122" i="8"/>
  <c r="H123" i="8"/>
  <c r="J123" i="8" s="1"/>
  <c r="M127" i="8" l="1"/>
  <c r="N127" i="8"/>
  <c r="K123" i="8"/>
  <c r="O123" i="8" s="1"/>
  <c r="P123" i="8" s="1"/>
  <c r="C123" i="8"/>
  <c r="D123" i="8" a="1"/>
  <c r="D123" i="8" s="1"/>
  <c r="A123" i="8" l="1"/>
  <c r="L124" i="8"/>
  <c r="I124" i="8"/>
  <c r="C124" i="8"/>
  <c r="H124" i="8" l="1"/>
  <c r="J124" i="8" s="1"/>
  <c r="M128" i="8"/>
  <c r="N128" i="8"/>
  <c r="K124" i="8" l="1"/>
  <c r="O124" i="8" s="1"/>
  <c r="P124" i="8" s="1"/>
  <c r="D124" i="8" l="1" a="1"/>
  <c r="D124" i="8" s="1"/>
  <c r="L125" i="8" l="1"/>
  <c r="A124" i="8"/>
  <c r="I125" i="8"/>
  <c r="C125" i="8"/>
  <c r="H125" i="8" l="1"/>
  <c r="J125" i="8" s="1"/>
  <c r="M129" i="8"/>
  <c r="N129" i="8"/>
  <c r="K125" i="8" l="1"/>
  <c r="O125" i="8" s="1"/>
  <c r="P125" i="8" s="1"/>
  <c r="D125" i="8" l="1" a="1"/>
  <c r="D125" i="8" s="1"/>
  <c r="A125" i="8" l="1"/>
  <c r="I126" i="8"/>
  <c r="L126" i="8"/>
  <c r="C126" i="8" s="1"/>
  <c r="N130" i="8" l="1"/>
  <c r="M130" i="8"/>
  <c r="H126" i="8"/>
  <c r="J126" i="8" s="1"/>
  <c r="K126" i="8" l="1"/>
  <c r="O126" i="8" s="1"/>
  <c r="P126" i="8" s="1"/>
  <c r="D126" i="8" l="1" a="1"/>
  <c r="D126" i="8" s="1"/>
  <c r="I127" i="8" l="1"/>
  <c r="L127" i="8"/>
  <c r="A126" i="8"/>
  <c r="H127" i="8"/>
  <c r="J127" i="8" s="1"/>
  <c r="N131" i="8" l="1"/>
  <c r="M131" i="8"/>
  <c r="C127" i="8"/>
  <c r="K127" i="8" s="1"/>
  <c r="O127" i="8" s="1"/>
  <c r="P127" i="8" s="1"/>
  <c r="D127" i="8" l="1" a="1"/>
  <c r="D127" i="8" s="1"/>
  <c r="I128" i="8" l="1"/>
  <c r="A127" i="8"/>
  <c r="L128" i="8"/>
  <c r="H128" i="8" l="1"/>
  <c r="J128" i="8" s="1"/>
  <c r="N132" i="8"/>
  <c r="M132" i="8"/>
  <c r="C128" i="8"/>
  <c r="K128" i="8" l="1"/>
  <c r="O128" i="8" s="1"/>
  <c r="P128" i="8" s="1"/>
  <c r="D128" i="8" a="1"/>
  <c r="D128" i="8" s="1"/>
  <c r="L129" i="8" l="1"/>
  <c r="A128" i="8"/>
  <c r="I129" i="8"/>
  <c r="C129" i="8"/>
  <c r="H129" i="8"/>
  <c r="K129" i="8" l="1"/>
  <c r="O129" i="8" s="1"/>
  <c r="P129" i="8" s="1"/>
  <c r="J129" i="8"/>
  <c r="D129" i="8" s="1" a="1"/>
  <c r="D129" i="8" s="1"/>
  <c r="A129" i="8" s="1"/>
  <c r="I130" i="8"/>
  <c r="M133" i="8"/>
  <c r="N133" i="8"/>
  <c r="L130" i="8" l="1"/>
  <c r="H130" i="8" s="1"/>
  <c r="J130" i="8" s="1"/>
  <c r="M134" i="8" l="1"/>
  <c r="N134" i="8"/>
  <c r="C130" i="8"/>
  <c r="K130" i="8" s="1"/>
  <c r="O130" i="8" s="1"/>
  <c r="P130" i="8" s="1"/>
  <c r="D130" i="8" a="1"/>
  <c r="D130" i="8" s="1"/>
  <c r="I131" i="8" l="1"/>
  <c r="A130" i="8"/>
  <c r="L131" i="8"/>
  <c r="M135" i="8" l="1"/>
  <c r="N135" i="8"/>
  <c r="C131" i="8"/>
  <c r="H131" i="8"/>
  <c r="J131" i="8" s="1"/>
  <c r="K131" i="8" l="1"/>
  <c r="O131" i="8" s="1"/>
  <c r="P131" i="8" s="1"/>
  <c r="D131" i="8" l="1" a="1"/>
  <c r="D131" i="8" s="1"/>
  <c r="L132" i="8" l="1"/>
  <c r="H132" i="8" s="1"/>
  <c r="A131" i="8"/>
  <c r="I132" i="8"/>
  <c r="C132" i="8"/>
  <c r="J132" i="8" l="1"/>
  <c r="N136" i="8"/>
  <c r="M136" i="8"/>
  <c r="K132" i="8" l="1"/>
  <c r="O132" i="8" s="1"/>
  <c r="P132" i="8" s="1"/>
  <c r="D132" i="8" l="1" a="1"/>
  <c r="D132" i="8" s="1"/>
  <c r="A132" i="8" l="1"/>
  <c r="L133" i="8"/>
  <c r="I133" i="8"/>
  <c r="N137" i="8" l="1"/>
  <c r="M137" i="8"/>
  <c r="H133" i="8"/>
  <c r="J133" i="8" s="1"/>
  <c r="C133" i="8"/>
  <c r="K133" i="8" l="1"/>
  <c r="O133" i="8" s="1"/>
  <c r="P133" i="8" s="1"/>
  <c r="D133" i="8" a="1"/>
  <c r="D133" i="8" s="1"/>
  <c r="I134" i="8" l="1"/>
  <c r="A133" i="8"/>
  <c r="L134" i="8"/>
  <c r="H134" i="8" s="1"/>
  <c r="J134" i="8" s="1"/>
  <c r="M138" i="8" l="1"/>
  <c r="N138" i="8"/>
  <c r="C134" i="8"/>
  <c r="K134" i="8" s="1"/>
  <c r="O134" i="8" s="1"/>
  <c r="P134" i="8" s="1"/>
  <c r="D134" i="8" l="1" a="1"/>
  <c r="D134" i="8" s="1"/>
  <c r="A134" i="8" l="1"/>
  <c r="I135" i="8"/>
  <c r="L135" i="8"/>
  <c r="M139" i="8" l="1"/>
  <c r="N139" i="8"/>
  <c r="H135" i="8"/>
  <c r="J135" i="8" s="1"/>
  <c r="C135" i="8"/>
  <c r="K135" i="8" l="1"/>
  <c r="O135" i="8" l="1"/>
  <c r="P135" i="8" s="1"/>
  <c r="D135" i="8" a="1"/>
  <c r="D135" i="8" s="1"/>
  <c r="A135" i="8" l="1"/>
  <c r="I136" i="8"/>
  <c r="L136" i="8"/>
  <c r="C136" i="8" s="1"/>
  <c r="M140" i="8" l="1"/>
  <c r="N140" i="8"/>
  <c r="H136" i="8"/>
  <c r="J136" i="8" s="1"/>
  <c r="K136" i="8" l="1"/>
  <c r="O136" i="8" s="1"/>
  <c r="P136" i="8" s="1"/>
  <c r="D136" i="8" l="1" a="1"/>
  <c r="D136" i="8" s="1"/>
  <c r="A136" i="8" l="1"/>
  <c r="I137" i="8"/>
  <c r="L137" i="8"/>
  <c r="C137" i="8" s="1"/>
  <c r="H137" i="8" l="1"/>
  <c r="J137" i="8" s="1"/>
  <c r="N141" i="8"/>
  <c r="M141" i="8"/>
  <c r="K137" i="8" l="1"/>
  <c r="O137" i="8" s="1"/>
  <c r="P137" i="8" s="1"/>
  <c r="D137" i="8" l="1" a="1"/>
  <c r="D137" i="8" s="1"/>
  <c r="L138" i="8" l="1"/>
  <c r="C138" i="8" s="1"/>
  <c r="I138" i="8"/>
  <c r="A137" i="8"/>
  <c r="H138" i="8"/>
  <c r="J138" i="8" s="1"/>
  <c r="K138" i="8" l="1"/>
  <c r="O138" i="8" s="1"/>
  <c r="P138" i="8" s="1"/>
  <c r="D138" i="8" a="1"/>
  <c r="D138" i="8" s="1"/>
  <c r="N142" i="8"/>
  <c r="M142" i="8"/>
  <c r="L139" i="8" l="1"/>
  <c r="I139" i="8"/>
  <c r="A138" i="8"/>
  <c r="H139" i="8"/>
  <c r="J139" i="8" s="1"/>
  <c r="C139" i="8"/>
  <c r="K139" i="8" l="1"/>
  <c r="O139" i="8" s="1"/>
  <c r="P139" i="8" s="1"/>
  <c r="M143" i="8"/>
  <c r="N143" i="8"/>
  <c r="D139" i="8" l="1" a="1"/>
  <c r="D139" i="8" s="1"/>
  <c r="I140" i="8" l="1"/>
  <c r="A139" i="8"/>
  <c r="L140" i="8"/>
  <c r="C140" i="8" s="1"/>
  <c r="H140" i="8" l="1"/>
  <c r="J140" i="8" s="1"/>
  <c r="N144" i="8"/>
  <c r="M144" i="8"/>
  <c r="K140" i="8" l="1"/>
  <c r="O140" i="8" s="1"/>
  <c r="P140" i="8" s="1"/>
  <c r="D140" i="8" l="1" a="1"/>
  <c r="D140" i="8" s="1"/>
  <c r="I141" i="8" s="1"/>
  <c r="L141" i="8"/>
  <c r="H141" i="8" s="1"/>
  <c r="A140" i="8"/>
  <c r="J141" i="8" l="1"/>
  <c r="C141" i="8"/>
  <c r="K141" i="8" s="1"/>
  <c r="O141" i="8" s="1"/>
  <c r="P141" i="8" s="1"/>
  <c r="N145" i="8"/>
  <c r="M145" i="8"/>
  <c r="D141" i="8" l="1" a="1"/>
  <c r="D141" i="8" s="1"/>
  <c r="A141" i="8" l="1"/>
  <c r="I142" i="8"/>
  <c r="L142" i="8"/>
  <c r="N146" i="8" l="1"/>
  <c r="M146" i="8"/>
  <c r="H142" i="8"/>
  <c r="J142" i="8" s="1"/>
  <c r="C142" i="8"/>
  <c r="K142" i="8" l="1"/>
  <c r="O142" i="8" s="1"/>
  <c r="P142" i="8" s="1"/>
  <c r="D142" i="8" a="1"/>
  <c r="D142" i="8" s="1"/>
  <c r="A142" i="8" l="1"/>
  <c r="I143" i="8"/>
  <c r="L143" i="8"/>
  <c r="H143" i="8" l="1"/>
  <c r="J143" i="8" s="1"/>
  <c r="N147" i="8"/>
  <c r="M147" i="8"/>
  <c r="C143" i="8"/>
  <c r="K143" i="8" s="1"/>
  <c r="O143" i="8" s="1"/>
  <c r="P143" i="8" s="1"/>
  <c r="D143" i="8" l="1" a="1"/>
  <c r="D143" i="8" s="1"/>
  <c r="A143" i="8" l="1"/>
  <c r="L144" i="8"/>
  <c r="H144" i="8" s="1"/>
  <c r="J144" i="8" s="1"/>
  <c r="I144" i="8"/>
  <c r="C144" i="8" l="1"/>
  <c r="K144" i="8" s="1"/>
  <c r="O144" i="8" s="1"/>
  <c r="P144" i="8" s="1"/>
  <c r="N148" i="8"/>
  <c r="M148" i="8"/>
  <c r="D144" i="8" l="1" a="1"/>
  <c r="D144" i="8" s="1"/>
  <c r="A144" i="8" l="1"/>
  <c r="I145" i="8"/>
  <c r="L145" i="8"/>
  <c r="C145" i="8" s="1"/>
  <c r="H145" i="8" l="1"/>
  <c r="J145" i="8" s="1"/>
  <c r="N149" i="8"/>
  <c r="M149" i="8"/>
  <c r="K145" i="8" l="1"/>
  <c r="O145" i="8" s="1"/>
  <c r="P145" i="8" s="1"/>
  <c r="D145" i="8" l="1" a="1"/>
  <c r="D145" i="8" s="1"/>
  <c r="I146" i="8" l="1"/>
  <c r="A145" i="8"/>
  <c r="L146" i="8"/>
  <c r="H146" i="8" s="1"/>
  <c r="J146" i="8" s="1"/>
  <c r="C146" i="8" l="1"/>
  <c r="K146" i="8" s="1"/>
  <c r="O146" i="8" s="1"/>
  <c r="P146" i="8" s="1"/>
  <c r="N150" i="8"/>
  <c r="M150" i="8"/>
  <c r="D146" i="8" l="1" a="1"/>
  <c r="D146" i="8" s="1"/>
  <c r="A146" i="8" l="1"/>
  <c r="I147" i="8"/>
  <c r="L147" i="8"/>
  <c r="H147" i="8" s="1"/>
  <c r="J147" i="8" l="1"/>
  <c r="C147" i="8"/>
  <c r="N151" i="8"/>
  <c r="M151" i="8"/>
  <c r="K147" i="8" l="1"/>
  <c r="O147" i="8" s="1"/>
  <c r="P147" i="8" s="1"/>
  <c r="D147" i="8" a="1"/>
  <c r="D147" i="8" s="1"/>
  <c r="L148" i="8" l="1"/>
  <c r="H148" i="8" s="1"/>
  <c r="A147" i="8"/>
  <c r="I148" i="8"/>
  <c r="J148" i="8" l="1"/>
  <c r="C148" i="8"/>
  <c r="K148" i="8" s="1"/>
  <c r="O148" i="8" s="1"/>
  <c r="P148" i="8" s="1"/>
  <c r="M152" i="8"/>
  <c r="N152" i="8"/>
  <c r="D148" i="8" l="1" a="1"/>
  <c r="D148" i="8" s="1"/>
  <c r="L149" i="8" l="1"/>
  <c r="C149" i="8" s="1"/>
  <c r="A148" i="8"/>
  <c r="I149" i="8"/>
  <c r="N153" i="8" l="1"/>
  <c r="M153" i="8"/>
  <c r="H149" i="8"/>
  <c r="J149" i="8" s="1"/>
  <c r="K149" i="8" s="1"/>
  <c r="O149" i="8" s="1"/>
  <c r="P149" i="8" s="1"/>
  <c r="D149" i="8" l="1" a="1"/>
  <c r="D149" i="8" s="1"/>
  <c r="I150" i="8" l="1"/>
  <c r="L150" i="8"/>
  <c r="C150" i="8" s="1"/>
  <c r="A149" i="8"/>
  <c r="H150" i="8" l="1"/>
  <c r="J150" i="8" s="1"/>
  <c r="N154" i="8"/>
  <c r="M154" i="8"/>
  <c r="K150" i="8" l="1"/>
  <c r="O150" i="8" s="1"/>
  <c r="P150" i="8" s="1"/>
  <c r="D150" i="8" l="1" a="1"/>
  <c r="D150" i="8" s="1"/>
  <c r="A150" i="8" s="1"/>
  <c r="L151" i="8" l="1"/>
  <c r="H151" i="8" s="1"/>
  <c r="I151" i="8"/>
  <c r="M155" i="8"/>
  <c r="N155" i="8"/>
  <c r="C151" i="8"/>
  <c r="J151" i="8" l="1"/>
  <c r="K151" i="8" s="1"/>
  <c r="O151" i="8" s="1"/>
  <c r="P151" i="8" s="1"/>
  <c r="D151" i="8" l="1" a="1"/>
  <c r="D151" i="8" s="1"/>
  <c r="A151" i="8" s="1"/>
  <c r="I152" i="8"/>
  <c r="L152" i="8"/>
  <c r="H152" i="8" s="1"/>
  <c r="J152" i="8" s="1"/>
  <c r="C152" i="8" l="1"/>
  <c r="K152" i="8" s="1"/>
  <c r="O152" i="8" s="1"/>
  <c r="P152" i="8" s="1"/>
  <c r="N156" i="8"/>
  <c r="M156" i="8"/>
  <c r="D152" i="8" l="1" a="1"/>
  <c r="D152" i="8" s="1"/>
  <c r="L153" i="8" l="1"/>
  <c r="I153" i="8"/>
  <c r="A152" i="8"/>
  <c r="N157" i="8" l="1"/>
  <c r="M157" i="8"/>
  <c r="H153" i="8"/>
  <c r="J153" i="8" s="1"/>
  <c r="C153" i="8"/>
  <c r="K153" i="8" l="1"/>
  <c r="O153" i="8" s="1"/>
  <c r="P153" i="8" s="1"/>
  <c r="D153" i="8" l="1" a="1"/>
  <c r="D153" i="8" s="1"/>
  <c r="A153" i="8" l="1"/>
  <c r="L154" i="8"/>
  <c r="H154" i="8" s="1"/>
  <c r="J154" i="8" s="1"/>
  <c r="I154" i="8"/>
  <c r="C154" i="8"/>
  <c r="K154" i="8" l="1"/>
  <c r="O154" i="8" s="1"/>
  <c r="P154" i="8" s="1"/>
  <c r="N158" i="8"/>
  <c r="M158" i="8"/>
  <c r="D154" i="8" l="1" a="1"/>
  <c r="D154" i="8" s="1"/>
  <c r="A154" i="8" l="1"/>
  <c r="L155" i="8"/>
  <c r="I155" i="8"/>
  <c r="M159" i="8" l="1"/>
  <c r="N159" i="8"/>
  <c r="H155" i="8"/>
  <c r="J155" i="8" s="1"/>
  <c r="C155" i="8"/>
  <c r="K155" i="8" l="1"/>
  <c r="O155" i="8" l="1"/>
  <c r="P155" i="8" s="1"/>
  <c r="D155" i="8" a="1"/>
  <c r="D155" i="8" s="1"/>
  <c r="A155" i="8" l="1"/>
  <c r="L156" i="8"/>
  <c r="H156" i="8" s="1"/>
  <c r="J156" i="8" s="1"/>
  <c r="I156" i="8"/>
  <c r="C156" i="8" l="1"/>
  <c r="K156" i="8" s="1"/>
  <c r="O156" i="8" s="1"/>
  <c r="P156" i="8" s="1"/>
  <c r="M160" i="8"/>
  <c r="N160" i="8"/>
  <c r="D156" i="8" l="1" a="1"/>
  <c r="D156" i="8" s="1"/>
  <c r="I157" i="8"/>
  <c r="L157" i="8"/>
  <c r="C157" i="8" s="1"/>
  <c r="A156" i="8"/>
  <c r="H157" i="8" l="1"/>
  <c r="J157" i="8" s="1"/>
  <c r="M161" i="8"/>
  <c r="N161" i="8"/>
  <c r="K157" i="8"/>
  <c r="O157" i="8" s="1"/>
  <c r="P157" i="8" s="1"/>
  <c r="D157" i="8" l="1" a="1"/>
  <c r="D157" i="8" s="1"/>
  <c r="L158" i="8" l="1"/>
  <c r="H158" i="8" s="1"/>
  <c r="J158" i="8" s="1"/>
  <c r="A157" i="8"/>
  <c r="I158" i="8"/>
  <c r="C158" i="8" l="1"/>
  <c r="K158" i="8" s="1"/>
  <c r="O158" i="8" s="1"/>
  <c r="P158" i="8" s="1"/>
  <c r="M162" i="8"/>
  <c r="N162" i="8"/>
  <c r="D158" i="8" l="1" a="1"/>
  <c r="D158" i="8" s="1"/>
  <c r="A158" i="8" l="1"/>
  <c r="I159" i="8"/>
  <c r="L159" i="8"/>
  <c r="C159" i="8" s="1"/>
  <c r="H159" i="8" l="1"/>
  <c r="J159" i="8" s="1"/>
  <c r="M163" i="8"/>
  <c r="N163" i="8"/>
  <c r="K159" i="8" l="1"/>
  <c r="O159" i="8" s="1"/>
  <c r="P159" i="8" s="1"/>
  <c r="D159" i="8" l="1" a="1"/>
  <c r="D159" i="8" s="1"/>
  <c r="A159" i="8" l="1"/>
  <c r="L160" i="8"/>
  <c r="C160" i="8" s="1"/>
  <c r="I160" i="8"/>
  <c r="H160" i="8"/>
  <c r="J160" i="8" l="1"/>
  <c r="K160" i="8"/>
  <c r="O160" i="8" s="1"/>
  <c r="P160" i="8" s="1"/>
  <c r="M164" i="8"/>
  <c r="N164" i="8"/>
  <c r="D160" i="8" l="1" a="1"/>
  <c r="D160" i="8" s="1"/>
  <c r="A160" i="8" s="1"/>
  <c r="L161" i="8" l="1"/>
  <c r="I161" i="8"/>
  <c r="M165" i="8"/>
  <c r="C161" i="8" l="1"/>
  <c r="N165" i="8"/>
  <c r="H161" i="8"/>
  <c r="J161" i="8" s="1"/>
  <c r="K161" i="8" l="1"/>
  <c r="O161" i="8" s="1"/>
  <c r="P161" i="8" s="1"/>
  <c r="D161" i="8" l="1" a="1"/>
  <c r="D161" i="8" s="1"/>
  <c r="A161" i="8" l="1"/>
  <c r="I162" i="8"/>
  <c r="L162" i="8"/>
  <c r="C162" i="8" l="1"/>
  <c r="M166" i="8"/>
  <c r="N166" i="8"/>
  <c r="H162" i="8"/>
  <c r="J162" i="8" s="1"/>
  <c r="K162" i="8" l="1"/>
  <c r="O162" i="8" s="1"/>
  <c r="P162" i="8" s="1"/>
  <c r="D162" i="8" l="1" a="1"/>
  <c r="D162" i="8" s="1"/>
  <c r="I163" i="8" l="1"/>
  <c r="A162" i="8"/>
  <c r="L163" i="8"/>
  <c r="C163" i="8" s="1"/>
  <c r="M167" i="8" l="1"/>
  <c r="N167" i="8"/>
  <c r="H163" i="8"/>
  <c r="J163" i="8" s="1"/>
  <c r="K163" i="8" l="1"/>
  <c r="O163" i="8" s="1"/>
  <c r="P163" i="8" s="1"/>
  <c r="D163" i="8" l="1" a="1"/>
  <c r="D163" i="8" s="1"/>
  <c r="L164" i="8" l="1"/>
  <c r="I164" i="8"/>
  <c r="A163" i="8"/>
  <c r="H164" i="8"/>
  <c r="J164" i="8" s="1"/>
  <c r="D164" i="8" l="1" a="1"/>
  <c r="D164" i="8" s="1"/>
  <c r="C164" i="8"/>
  <c r="K164" i="8" s="1"/>
  <c r="O164" i="8" s="1"/>
  <c r="P164" i="8" s="1"/>
  <c r="M168" i="8"/>
  <c r="N168" i="8"/>
  <c r="I165" i="8" l="1"/>
  <c r="A164" i="8"/>
  <c r="L165" i="8"/>
  <c r="H165" i="8" l="1"/>
  <c r="J165" i="8" s="1"/>
  <c r="D165" i="8" s="1" a="1"/>
  <c r="D165" i="8" s="1"/>
  <c r="N169" i="8"/>
  <c r="M169" i="8"/>
  <c r="C165" i="8"/>
  <c r="K165" i="8" s="1"/>
  <c r="O165" i="8" s="1"/>
  <c r="P165" i="8" s="1"/>
  <c r="A165" i="8" l="1"/>
  <c r="L166" i="8"/>
  <c r="I166" i="8"/>
  <c r="N170" i="8" l="1"/>
  <c r="M170" i="8"/>
  <c r="H166" i="8"/>
  <c r="J166" i="8" s="1"/>
  <c r="C166" i="8"/>
  <c r="K166" i="8" l="1"/>
  <c r="O166" i="8" s="1"/>
  <c r="P166" i="8" s="1"/>
  <c r="D166" i="8" l="1" a="1"/>
  <c r="D166" i="8" s="1"/>
  <c r="I167" i="8" l="1"/>
  <c r="L167" i="8"/>
  <c r="A166" i="8"/>
  <c r="H167" i="8"/>
  <c r="J167" i="8" s="1"/>
  <c r="C167" i="8" l="1"/>
  <c r="K167" i="8" s="1"/>
  <c r="O167" i="8" s="1"/>
  <c r="P167" i="8" s="1"/>
  <c r="M171" i="8"/>
  <c r="N171" i="8"/>
  <c r="D167" i="8" l="1" a="1"/>
  <c r="D167" i="8" s="1"/>
  <c r="I168" i="8" l="1"/>
  <c r="A167" i="8"/>
  <c r="L168" i="8"/>
  <c r="C168" i="8"/>
  <c r="M172" i="8" l="1"/>
  <c r="N172" i="8"/>
  <c r="H168" i="8"/>
  <c r="J168" i="8" s="1"/>
  <c r="K168" i="8" l="1"/>
  <c r="O168" i="8" s="1"/>
  <c r="P168" i="8" s="1"/>
  <c r="D168" i="8" l="1" a="1"/>
  <c r="D168" i="8" s="1"/>
  <c r="A168" i="8" l="1"/>
  <c r="L169" i="8"/>
  <c r="I169" i="8"/>
  <c r="M173" i="8" l="1"/>
  <c r="N173" i="8"/>
  <c r="C169" i="8"/>
  <c r="H169" i="8"/>
  <c r="J169" i="8" s="1"/>
  <c r="K169" i="8" l="1"/>
  <c r="O169" i="8" s="1"/>
  <c r="P169" i="8" s="1"/>
  <c r="D169" i="8" l="1" a="1"/>
  <c r="D169" i="8" s="1"/>
  <c r="A169" i="8" l="1"/>
  <c r="L170" i="8"/>
  <c r="I170" i="8"/>
  <c r="H170" i="8"/>
  <c r="M174" i="8" l="1"/>
  <c r="N174" i="8"/>
  <c r="J170" i="8"/>
  <c r="C170" i="8"/>
  <c r="K170" i="8" s="1"/>
  <c r="O170" i="8" s="1"/>
  <c r="P170" i="8" s="1"/>
  <c r="D170" i="8" l="1" a="1"/>
  <c r="D170" i="8" s="1"/>
  <c r="L171" i="8" l="1"/>
  <c r="C171" i="8" s="1"/>
  <c r="K171" i="8" s="1"/>
  <c r="O171" i="8" s="1"/>
  <c r="P171" i="8" s="1"/>
  <c r="I171" i="8"/>
  <c r="H171" i="8"/>
  <c r="J171" i="8" s="1"/>
  <c r="A170" i="8"/>
  <c r="D171" i="8" l="1" a="1"/>
  <c r="D171" i="8" s="1"/>
  <c r="N175" i="8"/>
  <c r="M175" i="8"/>
  <c r="L172" i="8" l="1"/>
  <c r="H172" i="8"/>
  <c r="A171" i="8"/>
  <c r="I172" i="8"/>
  <c r="C172" i="8"/>
  <c r="J172" i="8" l="1"/>
  <c r="K172" i="8"/>
  <c r="O172" i="8" s="1"/>
  <c r="P172" i="8" s="1"/>
  <c r="N176" i="8"/>
  <c r="M176" i="8"/>
  <c r="D172" i="8" l="1" a="1"/>
  <c r="D172" i="8" s="1"/>
  <c r="A172" i="8" l="1"/>
  <c r="L173" i="8"/>
  <c r="I173" i="8"/>
  <c r="H173" i="8"/>
  <c r="J173" i="8" s="1"/>
  <c r="D173" i="8" s="1" a="1"/>
  <c r="D173" i="8" s="1"/>
  <c r="C173" i="8"/>
  <c r="K173" i="8" s="1"/>
  <c r="O173" i="8" s="1"/>
  <c r="P173" i="8" s="1"/>
  <c r="I174" i="8" l="1"/>
  <c r="A173" i="8"/>
  <c r="L174" i="8"/>
  <c r="C174" i="8" s="1"/>
  <c r="K174" i="8" s="1"/>
  <c r="O174" i="8" s="1"/>
  <c r="P174" i="8" s="1"/>
  <c r="H174" i="8"/>
  <c r="J174" i="8" s="1"/>
  <c r="D174" i="8" s="1" a="1"/>
  <c r="D174" i="8" s="1"/>
  <c r="N177" i="8"/>
  <c r="M177" i="8"/>
  <c r="I175" i="8" l="1"/>
  <c r="L175" i="8"/>
  <c r="A174" i="8"/>
  <c r="H175" i="8"/>
  <c r="J175" i="8" s="1"/>
  <c r="N178" i="8"/>
  <c r="M178" i="8"/>
  <c r="N179" i="8"/>
  <c r="M179" i="8"/>
  <c r="C175" i="8"/>
  <c r="K175" i="8" l="1"/>
  <c r="O175" i="8" s="1"/>
  <c r="P175" i="8" s="1"/>
  <c r="D175" i="8" a="1"/>
  <c r="D175" i="8" s="1"/>
  <c r="L176" i="8" l="1"/>
  <c r="C176" i="8" s="1"/>
  <c r="A175" i="8"/>
  <c r="I176" i="8"/>
  <c r="H176" i="8"/>
  <c r="J176" i="8" s="1"/>
  <c r="K176" i="8" l="1"/>
  <c r="O176" i="8" s="1"/>
  <c r="P176" i="8" s="1"/>
  <c r="M180" i="8"/>
  <c r="N180" i="8"/>
  <c r="D176" i="8" l="1" a="1"/>
  <c r="D176" i="8" s="1"/>
  <c r="L177" i="8" s="1"/>
  <c r="H177" i="8" s="1"/>
  <c r="I177" i="8"/>
  <c r="N181" i="8" l="1"/>
  <c r="M181" i="8"/>
  <c r="A176" i="8"/>
  <c r="J177" i="8"/>
  <c r="K177" i="8" s="1"/>
  <c r="O177" i="8" s="1"/>
  <c r="P177" i="8" s="1"/>
  <c r="C177" i="8"/>
  <c r="D177" i="8" l="1" a="1"/>
  <c r="D177" i="8" s="1"/>
  <c r="I178" i="8"/>
  <c r="A177" i="8"/>
  <c r="L178" i="8"/>
  <c r="M182" i="8" l="1"/>
  <c r="N182" i="8"/>
  <c r="H178" i="8"/>
  <c r="J178" i="8" s="1"/>
  <c r="C178" i="8"/>
  <c r="K178" i="8" l="1"/>
  <c r="O178" i="8" s="1"/>
  <c r="P178" i="8" s="1"/>
  <c r="D178" i="8" l="1" a="1"/>
  <c r="D178" i="8" s="1"/>
  <c r="A178" i="8" s="1"/>
  <c r="L179" i="8" l="1"/>
  <c r="H179" i="8" s="1"/>
  <c r="J179" i="8" s="1"/>
  <c r="I179" i="8"/>
  <c r="C179" i="8"/>
  <c r="M183" i="8"/>
  <c r="N183" i="8"/>
  <c r="K179" i="8" l="1"/>
  <c r="O179" i="8" s="1"/>
  <c r="P179" i="8" s="1"/>
  <c r="D179" i="8" a="1"/>
  <c r="D179" i="8" s="1"/>
  <c r="A179" i="8" l="1"/>
  <c r="L180" i="8"/>
  <c r="I180" i="8"/>
  <c r="H180" i="8"/>
  <c r="C180" i="8"/>
  <c r="J180" i="8" l="1"/>
  <c r="K180" i="8" s="1"/>
  <c r="O180" i="8" s="1"/>
  <c r="P180" i="8" s="1"/>
  <c r="N184" i="8"/>
  <c r="M184" i="8"/>
  <c r="D180" i="8" l="1" a="1"/>
  <c r="D180" i="8" s="1"/>
  <c r="A180" i="8" l="1"/>
  <c r="I181" i="8"/>
  <c r="L181" i="8"/>
  <c r="H181" i="8" s="1"/>
  <c r="J181" i="8" s="1"/>
  <c r="C181" i="8" l="1"/>
  <c r="K181" i="8" s="1"/>
  <c r="O181" i="8" s="1"/>
  <c r="P181" i="8" s="1"/>
  <c r="N185" i="8"/>
  <c r="M185" i="8"/>
  <c r="D181" i="8" l="1" a="1"/>
  <c r="D181" i="8" s="1"/>
  <c r="A181" i="8" l="1"/>
  <c r="L182" i="8"/>
  <c r="C182" i="8" s="1"/>
  <c r="I182" i="8"/>
  <c r="M186" i="8" l="1"/>
  <c r="N186" i="8"/>
  <c r="H182" i="8"/>
  <c r="J182" i="8" s="1"/>
  <c r="K182" i="8" l="1"/>
  <c r="O182" i="8" s="1"/>
  <c r="P182" i="8" s="1"/>
  <c r="D182" i="8" l="1" a="1"/>
  <c r="D182" i="8" s="1"/>
  <c r="L183" i="8" l="1"/>
  <c r="H183" i="8"/>
  <c r="A182" i="8"/>
  <c r="I183" i="8"/>
  <c r="C183" i="8"/>
  <c r="J183" i="8" l="1"/>
  <c r="K183" i="8" s="1"/>
  <c r="N187" i="8"/>
  <c r="M187" i="8"/>
  <c r="O183" i="8" l="1"/>
  <c r="P183" i="8" s="1"/>
  <c r="D183" i="8" a="1"/>
  <c r="D183" i="8" s="1"/>
  <c r="A183" i="8" l="1"/>
  <c r="L184" i="8"/>
  <c r="C184" i="8" s="1"/>
  <c r="I184" i="8"/>
  <c r="H184" i="8" l="1"/>
  <c r="J184" i="8" s="1"/>
  <c r="K184" i="8" s="1"/>
  <c r="N188" i="8"/>
  <c r="M188" i="8"/>
  <c r="O184" i="8" l="1"/>
  <c r="P184" i="8" s="1"/>
  <c r="D184" i="8" a="1"/>
  <c r="D184" i="8" s="1"/>
  <c r="A184" i="8" l="1"/>
  <c r="L185" i="8"/>
  <c r="C185" i="8" s="1"/>
  <c r="I185" i="8"/>
  <c r="H185" i="8" l="1"/>
  <c r="J185" i="8" s="1"/>
  <c r="N189" i="8"/>
  <c r="M189" i="8"/>
  <c r="K185" i="8" l="1"/>
  <c r="O185" i="8" s="1"/>
  <c r="P185" i="8" s="1"/>
  <c r="D185" i="8" l="1" a="1"/>
  <c r="D185" i="8" s="1"/>
  <c r="I186" i="8" l="1"/>
  <c r="L186" i="8"/>
  <c r="A185" i="8"/>
  <c r="H186" i="8"/>
  <c r="J186" i="8" s="1"/>
  <c r="C186" i="8" l="1"/>
  <c r="K186" i="8" s="1"/>
  <c r="O186" i="8" s="1"/>
  <c r="P186" i="8" s="1"/>
  <c r="N190" i="8"/>
  <c r="M190" i="8"/>
  <c r="D186" i="8" l="1" a="1"/>
  <c r="D186" i="8" s="1"/>
  <c r="L187" i="8" l="1"/>
  <c r="A186" i="8"/>
  <c r="I187" i="8"/>
  <c r="N191" i="8" l="1"/>
  <c r="H187" i="8"/>
  <c r="J187" i="8" s="1"/>
  <c r="M191" i="8"/>
  <c r="C187" i="8"/>
  <c r="K187" i="8" l="1"/>
  <c r="O187" i="8" s="1"/>
  <c r="P187" i="8" s="1"/>
  <c r="D187" i="8" l="1" a="1"/>
  <c r="D187" i="8" s="1"/>
  <c r="A187" i="8" l="1"/>
  <c r="I188" i="8"/>
  <c r="L188" i="8"/>
  <c r="C188" i="8" l="1"/>
  <c r="M192" i="8"/>
  <c r="H188" i="8"/>
  <c r="J188" i="8" s="1"/>
  <c r="N192" i="8"/>
  <c r="K188" i="8" l="1"/>
  <c r="O188" i="8" s="1"/>
  <c r="P188" i="8" s="1"/>
  <c r="D188" i="8" l="1" a="1"/>
  <c r="D188" i="8" s="1"/>
  <c r="A188" i="8" l="1"/>
  <c r="I189" i="8"/>
  <c r="L189" i="8"/>
  <c r="C189" i="8" s="1"/>
  <c r="N193" i="8" l="1"/>
  <c r="M193" i="8"/>
  <c r="H189" i="8"/>
  <c r="J189" i="8" s="1"/>
  <c r="K189" i="8" l="1"/>
  <c r="O189" i="8" s="1"/>
  <c r="P189" i="8" s="1"/>
  <c r="D189" i="8" l="1" a="1"/>
  <c r="D189" i="8" s="1"/>
  <c r="L190" i="8" l="1"/>
  <c r="A189" i="8"/>
  <c r="I190" i="8"/>
  <c r="C190" i="8"/>
  <c r="H190" i="8"/>
  <c r="J190" i="8" s="1"/>
  <c r="K190" i="8" l="1"/>
  <c r="M194" i="8"/>
  <c r="N194" i="8"/>
  <c r="O190" i="8" l="1"/>
  <c r="P190" i="8" s="1"/>
  <c r="D190" i="8" a="1"/>
  <c r="D190" i="8" s="1"/>
  <c r="I191" i="8" l="1"/>
  <c r="A190" i="8"/>
  <c r="L191" i="8"/>
  <c r="M195" i="8" l="1"/>
  <c r="N195" i="8"/>
  <c r="H191" i="8"/>
  <c r="J191" i="8" s="1"/>
  <c r="C191" i="8"/>
  <c r="K191" i="8" l="1"/>
  <c r="O191" i="8" s="1"/>
  <c r="P191" i="8" s="1"/>
  <c r="D191" i="8" a="1"/>
  <c r="D191" i="8" s="1"/>
  <c r="A191" i="8" l="1"/>
  <c r="I192" i="8"/>
  <c r="L192" i="8"/>
  <c r="H192" i="8" s="1"/>
  <c r="J192" i="8" s="1"/>
  <c r="C192" i="8" l="1"/>
  <c r="K192" i="8" s="1"/>
  <c r="O192" i="8" s="1"/>
  <c r="P192" i="8" s="1"/>
  <c r="M196" i="8"/>
  <c r="N196" i="8"/>
  <c r="D192" i="8" l="1" a="1"/>
  <c r="D192" i="8" s="1"/>
  <c r="A192" i="8" l="1"/>
  <c r="L193" i="8"/>
  <c r="I193" i="8"/>
  <c r="H193" i="8"/>
  <c r="C193" i="8"/>
  <c r="J193" i="8" l="1"/>
  <c r="K193" i="8"/>
  <c r="O193" i="8" s="1"/>
  <c r="P193" i="8" s="1"/>
  <c r="M197" i="8"/>
  <c r="N197" i="8"/>
  <c r="D193" i="8" l="1" a="1"/>
  <c r="D193" i="8" s="1"/>
  <c r="A193" i="8" l="1"/>
  <c r="I194" i="8"/>
  <c r="L194" i="8"/>
  <c r="C194" i="8" l="1"/>
  <c r="M198" i="8"/>
  <c r="N198" i="8"/>
  <c r="H194" i="8"/>
  <c r="J194" i="8" s="1"/>
  <c r="K194" i="8" l="1"/>
  <c r="O194" i="8" s="1"/>
  <c r="P194" i="8" s="1"/>
  <c r="D194" i="8" a="1"/>
  <c r="D194" i="8" s="1"/>
  <c r="L195" i="8" l="1"/>
  <c r="C195" i="8" s="1"/>
  <c r="A194" i="8"/>
  <c r="I195" i="8"/>
  <c r="M199" i="8" l="1"/>
  <c r="N199" i="8"/>
  <c r="H195" i="8"/>
  <c r="J195" i="8" s="1"/>
  <c r="K195" i="8" l="1"/>
  <c r="O195" i="8" s="1"/>
  <c r="P195" i="8" s="1"/>
  <c r="D195" i="8" l="1" a="1"/>
  <c r="D195" i="8" s="1"/>
  <c r="L196" i="8" l="1"/>
  <c r="A195" i="8"/>
  <c r="I196" i="8"/>
  <c r="H196" i="8"/>
  <c r="C196" i="8"/>
  <c r="J196" i="8" l="1"/>
  <c r="M200" i="8"/>
  <c r="N200" i="8"/>
  <c r="K196" i="8" l="1"/>
  <c r="O196" i="8" s="1"/>
  <c r="P196" i="8" s="1"/>
  <c r="D196" i="8" l="1" a="1"/>
  <c r="D196" i="8" s="1"/>
  <c r="I197" i="8" l="1"/>
  <c r="A196" i="8"/>
  <c r="L197" i="8"/>
  <c r="H197" i="8"/>
  <c r="J197" i="8" s="1"/>
  <c r="C197" i="8" l="1"/>
  <c r="K197" i="8" s="1"/>
  <c r="O197" i="8" s="1"/>
  <c r="P197" i="8" s="1"/>
  <c r="M201" i="8"/>
  <c r="N201" i="8"/>
  <c r="D197" i="8" l="1" a="1"/>
  <c r="D197" i="8" s="1"/>
  <c r="L198" i="8" l="1"/>
  <c r="I198" i="8"/>
  <c r="A197" i="8"/>
  <c r="C198" i="8"/>
  <c r="H198" i="8" l="1"/>
  <c r="J198" i="8" s="1"/>
  <c r="N202" i="8"/>
  <c r="M202" i="8"/>
  <c r="K198" i="8" l="1"/>
  <c r="O198" i="8" s="1"/>
  <c r="P198" i="8" s="1"/>
  <c r="D198" i="8" l="1" a="1"/>
  <c r="D198" i="8" s="1"/>
  <c r="A198" i="8" l="1"/>
  <c r="L199" i="8"/>
  <c r="I199" i="8"/>
  <c r="C199" i="8"/>
  <c r="H199" i="8" l="1"/>
  <c r="J199" i="8" s="1"/>
  <c r="N203" i="8"/>
  <c r="M203" i="8"/>
  <c r="K199" i="8" l="1"/>
  <c r="O199" i="8" s="1"/>
  <c r="P199" i="8" s="1"/>
  <c r="D199" i="8" l="1" a="1"/>
  <c r="D199" i="8" s="1"/>
  <c r="A199" i="8" l="1"/>
  <c r="L200" i="8"/>
  <c r="I200" i="8"/>
  <c r="H200" i="8"/>
  <c r="J200" i="8" s="1"/>
  <c r="C200" i="8" l="1"/>
  <c r="K200" i="8" s="1"/>
  <c r="N204" i="8"/>
  <c r="M204" i="8"/>
  <c r="O200" i="8" l="1"/>
  <c r="P200" i="8" s="1"/>
  <c r="D200" i="8" a="1"/>
  <c r="D200" i="8" s="1"/>
  <c r="I201" i="8" l="1"/>
  <c r="A200" i="8"/>
  <c r="L201" i="8"/>
  <c r="H201" i="8"/>
  <c r="J201" i="8" s="1"/>
  <c r="C201" i="8"/>
  <c r="K201" i="8" l="1"/>
  <c r="O201" i="8" s="1"/>
  <c r="P201" i="8" s="1"/>
  <c r="N205" i="8"/>
  <c r="M205" i="8"/>
  <c r="D201" i="8" l="1" a="1"/>
  <c r="D201" i="8" s="1"/>
  <c r="A201" i="8" l="1"/>
  <c r="L202" i="8"/>
  <c r="I202" i="8"/>
  <c r="C202" i="8"/>
  <c r="K202" i="8" s="1"/>
  <c r="O202" i="8" s="1"/>
  <c r="P202" i="8" s="1"/>
  <c r="H202" i="8"/>
  <c r="J202" i="8" s="1"/>
  <c r="D202" i="8" s="1" a="1"/>
  <c r="D202" i="8" s="1"/>
  <c r="A202" i="8" l="1"/>
  <c r="L203" i="8"/>
  <c r="I203" i="8"/>
  <c r="H203" i="8"/>
  <c r="J203" i="8" s="1"/>
  <c r="C203" i="8"/>
  <c r="M206" i="8"/>
  <c r="N206" i="8"/>
  <c r="D203" i="8" l="1" a="1"/>
  <c r="D203" i="8" s="1"/>
  <c r="M207" i="8"/>
  <c r="N207" i="8"/>
  <c r="K203" i="8"/>
  <c r="O203" i="8" s="1"/>
  <c r="P203" i="8" s="1"/>
  <c r="L204" i="8" l="1"/>
  <c r="A203" i="8"/>
  <c r="I204" i="8"/>
  <c r="H204" i="8"/>
  <c r="J204" i="8" s="1"/>
  <c r="C204" i="8"/>
  <c r="K204" i="8" l="1"/>
  <c r="O204" i="8" s="1"/>
  <c r="P204" i="8" s="1"/>
  <c r="N208" i="8"/>
  <c r="M208" i="8"/>
  <c r="D204" i="8" l="1" a="1"/>
  <c r="D204" i="8" s="1"/>
  <c r="A204" i="8" l="1"/>
  <c r="I205" i="8"/>
  <c r="L205" i="8"/>
  <c r="C205" i="8" l="1"/>
  <c r="M209" i="8"/>
  <c r="N209" i="8"/>
  <c r="H205" i="8"/>
  <c r="J205" i="8" s="1"/>
  <c r="K205" i="8" l="1"/>
  <c r="O205" i="8" s="1"/>
  <c r="P205" i="8" s="1"/>
  <c r="D205" i="8" l="1" a="1"/>
  <c r="D205" i="8" s="1"/>
  <c r="I206" i="8" l="1"/>
  <c r="A205" i="8"/>
  <c r="L206" i="8"/>
  <c r="H206" i="8"/>
  <c r="J206" i="8" s="1"/>
  <c r="C206" i="8" l="1"/>
  <c r="K206" i="8" s="1"/>
  <c r="M210" i="8"/>
  <c r="N210" i="8"/>
  <c r="O206" i="8" l="1"/>
  <c r="P206" i="8" s="1"/>
  <c r="D206" i="8" a="1"/>
  <c r="D206" i="8" s="1"/>
  <c r="A206" i="8" l="1"/>
  <c r="I207" i="8"/>
  <c r="L207" i="8"/>
  <c r="H207" i="8" l="1"/>
  <c r="J207" i="8" s="1"/>
  <c r="M211" i="8"/>
  <c r="N211" i="8"/>
  <c r="C207" i="8"/>
  <c r="K207" i="8" l="1"/>
  <c r="O207" i="8" s="1"/>
  <c r="P207" i="8" s="1"/>
  <c r="D207" i="8" a="1"/>
  <c r="D207" i="8" s="1"/>
  <c r="L208" i="8" l="1"/>
  <c r="A207" i="8"/>
  <c r="I208" i="8"/>
  <c r="C208" i="8"/>
  <c r="H208" i="8"/>
  <c r="J208" i="8" s="1"/>
  <c r="K208" i="8" l="1"/>
  <c r="O208" i="8" s="1"/>
  <c r="P208" i="8" s="1"/>
  <c r="M212" i="8"/>
  <c r="N212" i="8"/>
  <c r="D208" i="8" l="1" a="1"/>
  <c r="D208" i="8" s="1"/>
  <c r="I209" i="8" l="1"/>
  <c r="L209" i="8"/>
  <c r="A208" i="8"/>
  <c r="H209" i="8"/>
  <c r="J209" i="8" s="1"/>
  <c r="D209" i="8" s="1" a="1"/>
  <c r="D209" i="8" s="1"/>
  <c r="C209" i="8"/>
  <c r="K209" i="8" s="1"/>
  <c r="O209" i="8" s="1"/>
  <c r="P209" i="8" s="1"/>
  <c r="I210" i="8" l="1"/>
  <c r="A209" i="8"/>
  <c r="L210" i="8"/>
  <c r="H210" i="8" s="1"/>
  <c r="J210" i="8" s="1"/>
  <c r="M213" i="8"/>
  <c r="N213" i="8"/>
  <c r="C210" i="8" l="1"/>
  <c r="K210" i="8" s="1"/>
  <c r="O210" i="8" s="1"/>
  <c r="P210" i="8" s="1"/>
  <c r="N214" i="8"/>
  <c r="M214" i="8"/>
  <c r="D210" i="8" l="1" a="1"/>
  <c r="D210" i="8" s="1"/>
  <c r="I211" i="8" l="1"/>
  <c r="A210" i="8"/>
  <c r="L211" i="8"/>
  <c r="H211" i="8"/>
  <c r="J211" i="8" s="1"/>
  <c r="N215" i="8" l="1"/>
  <c r="M215" i="8"/>
  <c r="C211" i="8"/>
  <c r="K211" i="8" s="1"/>
  <c r="O211" i="8" s="1"/>
  <c r="P211" i="8" s="1"/>
  <c r="D211" i="8" l="1" a="1"/>
  <c r="D211" i="8" s="1"/>
  <c r="A211" i="8" l="1"/>
  <c r="I212" i="8"/>
  <c r="L212" i="8"/>
  <c r="H212" i="8"/>
  <c r="J212" i="8" s="1"/>
  <c r="M216" i="8" l="1"/>
  <c r="N216" i="8"/>
  <c r="C212" i="8"/>
  <c r="K212" i="8" s="1"/>
  <c r="O212" i="8" l="1"/>
  <c r="P212" i="8" s="1"/>
  <c r="D212" i="8" a="1"/>
  <c r="D212" i="8" s="1"/>
  <c r="A212" i="8" l="1"/>
  <c r="I213" i="8"/>
  <c r="L213" i="8"/>
  <c r="M217" i="8" l="1"/>
  <c r="N217" i="8"/>
  <c r="H213" i="8"/>
  <c r="J213" i="8" s="1"/>
  <c r="C213" i="8"/>
  <c r="K213" i="8" l="1"/>
  <c r="O213" i="8" s="1"/>
  <c r="P213" i="8" s="1"/>
  <c r="D213" i="8" l="1" a="1"/>
  <c r="D213" i="8" s="1"/>
  <c r="L214" i="8" l="1"/>
  <c r="I214" i="8"/>
  <c r="A213" i="8"/>
  <c r="C214" i="8"/>
  <c r="H214" i="8"/>
  <c r="J214" i="8" s="1"/>
  <c r="K214" i="8" l="1"/>
  <c r="O214" i="8" s="1"/>
  <c r="P214" i="8" s="1"/>
  <c r="N218" i="8"/>
  <c r="M218" i="8"/>
  <c r="D214" i="8" l="1" a="1"/>
  <c r="D214" i="8" s="1"/>
  <c r="L215" i="8" l="1"/>
  <c r="C215" i="8"/>
  <c r="I215" i="8"/>
  <c r="H215" i="8"/>
  <c r="A214" i="8"/>
  <c r="K215" i="8" l="1"/>
  <c r="O215" i="8" s="1"/>
  <c r="P215" i="8" s="1"/>
  <c r="J215" i="8"/>
  <c r="N219" i="8"/>
  <c r="M219" i="8"/>
  <c r="D215" i="8" l="1" a="1"/>
  <c r="D215" i="8" s="1"/>
  <c r="A215" i="8" l="1"/>
  <c r="I216" i="8"/>
  <c r="L216" i="8"/>
  <c r="H216" i="8" s="1"/>
  <c r="J216" i="8" s="1"/>
  <c r="C216" i="8"/>
  <c r="D216" i="8" l="1" a="1"/>
  <c r="D216" i="8" s="1"/>
  <c r="K216" i="8"/>
  <c r="O216" i="8" s="1"/>
  <c r="P216" i="8" s="1"/>
  <c r="M220" i="8"/>
  <c r="N220" i="8"/>
  <c r="A216" i="8" l="1"/>
  <c r="I217" i="8"/>
  <c r="L217" i="8"/>
  <c r="H217" i="8" l="1"/>
  <c r="J217" i="8" s="1"/>
  <c r="D217" i="8" s="1" a="1"/>
  <c r="D217" i="8" s="1"/>
  <c r="N221" i="8"/>
  <c r="O221" i="8" s="1"/>
  <c r="P221" i="8" s="1"/>
  <c r="M221" i="8"/>
  <c r="C217" i="8"/>
  <c r="K217" i="8" s="1"/>
  <c r="O217" i="8" s="1"/>
  <c r="P217" i="8" s="1"/>
  <c r="L218" i="8" l="1"/>
  <c r="A217" i="8"/>
  <c r="I218" i="8"/>
  <c r="C218" i="8"/>
  <c r="H218" i="8" l="1"/>
  <c r="J218" i="8" s="1"/>
  <c r="M222" i="8"/>
  <c r="N222" i="8"/>
  <c r="O222" i="8" s="1"/>
  <c r="P222" i="8" s="1"/>
  <c r="K218" i="8" l="1"/>
  <c r="O218" i="8" s="1"/>
  <c r="P218" i="8" s="1"/>
  <c r="D218" i="8" l="1" a="1"/>
  <c r="D218" i="8" s="1"/>
  <c r="I219" i="8" l="1"/>
  <c r="A218" i="8"/>
  <c r="L219" i="8"/>
  <c r="H219" i="8" l="1"/>
  <c r="J219" i="8" s="1"/>
  <c r="N223" i="8"/>
  <c r="M223" i="8"/>
  <c r="C219" i="8"/>
  <c r="K219" i="8" s="1"/>
  <c r="O219" i="8" s="1"/>
  <c r="P219" i="8" l="1"/>
  <c r="O223" i="8"/>
  <c r="P223" i="8" s="1"/>
  <c r="J8" i="8"/>
  <c r="D219" i="8" a="1"/>
  <c r="D219" i="8" s="1"/>
  <c r="A219" i="8" l="1"/>
  <c r="L220" i="8"/>
  <c r="N224" i="8" l="1"/>
  <c r="O220" i="8"/>
  <c r="M224" i="8"/>
  <c r="M8" i="8" s="1"/>
  <c r="N1" i="8" s="1"/>
  <c r="L8" i="8"/>
  <c r="P220" i="8" l="1"/>
  <c r="O224" i="8"/>
  <c r="P224" i="8" s="1"/>
  <c r="P8" i="8" s="1"/>
  <c r="N8" i="8"/>
  <c r="M2" i="8" s="1"/>
  <c r="O8" i="8" l="1"/>
  <c r="H18" i="7" l="1"/>
  <c r="C18" i="7"/>
  <c r="D17" i="7" a="1"/>
  <c r="D17" i="7" s="1"/>
  <c r="H16" i="7"/>
  <c r="D15" i="7" a="1"/>
  <c r="D15" i="7" s="1"/>
  <c r="L235" i="7"/>
  <c r="J235" i="7"/>
  <c r="K235" i="7" s="1"/>
  <c r="O235" i="7" s="1"/>
  <c r="P235" i="7" s="1"/>
  <c r="I235" i="7"/>
  <c r="A235" i="7"/>
  <c r="L234" i="7"/>
  <c r="I234" i="7"/>
  <c r="J234" i="7" s="1"/>
  <c r="K234" i="7" s="1"/>
  <c r="A234" i="7"/>
  <c r="L233" i="7"/>
  <c r="I233" i="7"/>
  <c r="J233" i="7" s="1"/>
  <c r="K233" i="7" s="1"/>
  <c r="O233" i="7" s="1"/>
  <c r="P233" i="7" s="1"/>
  <c r="A233" i="7"/>
  <c r="L232" i="7"/>
  <c r="J232" i="7"/>
  <c r="K232" i="7" s="1"/>
  <c r="I232" i="7"/>
  <c r="A232" i="7"/>
  <c r="M231" i="7"/>
  <c r="L231" i="7"/>
  <c r="N235" i="7" s="1"/>
  <c r="J231" i="7"/>
  <c r="K231" i="7" s="1"/>
  <c r="I231" i="7"/>
  <c r="A231" i="7"/>
  <c r="N230" i="7"/>
  <c r="M230" i="7"/>
  <c r="L230" i="7"/>
  <c r="K230" i="7"/>
  <c r="J230" i="7"/>
  <c r="I230" i="7"/>
  <c r="A230" i="7"/>
  <c r="N229" i="7"/>
  <c r="L229" i="7"/>
  <c r="N233" i="7" s="1"/>
  <c r="I229" i="7"/>
  <c r="J229" i="7" s="1"/>
  <c r="K229" i="7" s="1"/>
  <c r="O229" i="7" s="1"/>
  <c r="P229" i="7" s="1"/>
  <c r="A229" i="7"/>
  <c r="L228" i="7"/>
  <c r="I228" i="7"/>
  <c r="J228" i="7" s="1"/>
  <c r="K228" i="7" s="1"/>
  <c r="A228" i="7"/>
  <c r="L227" i="7"/>
  <c r="N231" i="7" s="1"/>
  <c r="K227" i="7"/>
  <c r="J227" i="7"/>
  <c r="I227" i="7"/>
  <c r="A227" i="7"/>
  <c r="L226" i="7"/>
  <c r="J226" i="7"/>
  <c r="K226" i="7" s="1"/>
  <c r="I226" i="7"/>
  <c r="A226" i="7"/>
  <c r="L225" i="7"/>
  <c r="M229" i="7" s="1"/>
  <c r="K225" i="7"/>
  <c r="I225" i="7"/>
  <c r="J225" i="7" s="1"/>
  <c r="A225" i="7"/>
  <c r="R224" i="7"/>
  <c r="S224" i="7" s="1"/>
  <c r="L224" i="7"/>
  <c r="A224" i="7"/>
  <c r="R223" i="7"/>
  <c r="S223" i="7" s="1"/>
  <c r="A223" i="7"/>
  <c r="R222" i="7"/>
  <c r="S222" i="7" s="1"/>
  <c r="A222" i="7"/>
  <c r="R221" i="7"/>
  <c r="S221" i="7" s="1"/>
  <c r="A221" i="7"/>
  <c r="A220" i="7"/>
  <c r="U219" i="7"/>
  <c r="T219" i="7"/>
  <c r="R219" i="7"/>
  <c r="S219" i="7" s="1"/>
  <c r="U218" i="7"/>
  <c r="T218" i="7"/>
  <c r="S218" i="7"/>
  <c r="R218" i="7"/>
  <c r="T217" i="7"/>
  <c r="U217" i="7" s="1"/>
  <c r="R217" i="7"/>
  <c r="S217" i="7" s="1"/>
  <c r="T216" i="7"/>
  <c r="U216" i="7" s="1"/>
  <c r="S216" i="7"/>
  <c r="R216" i="7"/>
  <c r="U215" i="7"/>
  <c r="T215" i="7"/>
  <c r="R215" i="7"/>
  <c r="S215" i="7" s="1"/>
  <c r="U214" i="7"/>
  <c r="T214" i="7"/>
  <c r="S214" i="7"/>
  <c r="R214" i="7"/>
  <c r="U213" i="7"/>
  <c r="T213" i="7"/>
  <c r="R213" i="7"/>
  <c r="S213" i="7" s="1"/>
  <c r="T212" i="7"/>
  <c r="U212" i="7" s="1"/>
  <c r="S212" i="7"/>
  <c r="R212" i="7"/>
  <c r="U211" i="7"/>
  <c r="T211" i="7"/>
  <c r="R211" i="7"/>
  <c r="S211" i="7" s="1"/>
  <c r="U210" i="7"/>
  <c r="T210" i="7"/>
  <c r="S210" i="7"/>
  <c r="R210" i="7"/>
  <c r="U209" i="7"/>
  <c r="T209" i="7"/>
  <c r="R209" i="7"/>
  <c r="S209" i="7" s="1"/>
  <c r="T208" i="7"/>
  <c r="U208" i="7" s="1"/>
  <c r="S208" i="7"/>
  <c r="R208" i="7"/>
  <c r="U207" i="7"/>
  <c r="T207" i="7"/>
  <c r="R207" i="7"/>
  <c r="S207" i="7" s="1"/>
  <c r="U206" i="7"/>
  <c r="T206" i="7"/>
  <c r="S206" i="7"/>
  <c r="R206" i="7"/>
  <c r="U205" i="7"/>
  <c r="T205" i="7"/>
  <c r="R205" i="7"/>
  <c r="S205" i="7" s="1"/>
  <c r="T204" i="7"/>
  <c r="U204" i="7" s="1"/>
  <c r="S204" i="7"/>
  <c r="R204" i="7"/>
  <c r="U203" i="7"/>
  <c r="T203" i="7"/>
  <c r="R203" i="7"/>
  <c r="S203" i="7" s="1"/>
  <c r="U202" i="7"/>
  <c r="T202" i="7"/>
  <c r="S202" i="7"/>
  <c r="R202" i="7"/>
  <c r="U201" i="7"/>
  <c r="T201" i="7"/>
  <c r="S201" i="7"/>
  <c r="R201" i="7"/>
  <c r="T200" i="7"/>
  <c r="U200" i="7" s="1"/>
  <c r="S200" i="7"/>
  <c r="R200" i="7"/>
  <c r="U199" i="7"/>
  <c r="T199" i="7"/>
  <c r="R199" i="7"/>
  <c r="S199" i="7" s="1"/>
  <c r="U198" i="7"/>
  <c r="T198" i="7"/>
  <c r="S198" i="7"/>
  <c r="R198" i="7"/>
  <c r="T197" i="7"/>
  <c r="U197" i="7" s="1"/>
  <c r="S197" i="7"/>
  <c r="R197" i="7"/>
  <c r="U196" i="7"/>
  <c r="T196" i="7"/>
  <c r="S196" i="7"/>
  <c r="R196" i="7"/>
  <c r="T195" i="7"/>
  <c r="U195" i="7" s="1"/>
  <c r="R195" i="7"/>
  <c r="S195" i="7" s="1"/>
  <c r="T194" i="7"/>
  <c r="U194" i="7" s="1"/>
  <c r="R194" i="7"/>
  <c r="S194" i="7" s="1"/>
  <c r="T193" i="7"/>
  <c r="U193" i="7" s="1"/>
  <c r="R193" i="7"/>
  <c r="S193" i="7" s="1"/>
  <c r="T192" i="7"/>
  <c r="U192" i="7" s="1"/>
  <c r="R192" i="7"/>
  <c r="S192" i="7" s="1"/>
  <c r="U191" i="7"/>
  <c r="T191" i="7"/>
  <c r="R191" i="7"/>
  <c r="S191" i="7" s="1"/>
  <c r="U190" i="7"/>
  <c r="T190" i="7"/>
  <c r="R190" i="7"/>
  <c r="S190" i="7" s="1"/>
  <c r="U189" i="7"/>
  <c r="T189" i="7"/>
  <c r="S189" i="7"/>
  <c r="R189" i="7"/>
  <c r="T188" i="7"/>
  <c r="U188" i="7" s="1"/>
  <c r="R188" i="7"/>
  <c r="S188" i="7" s="1"/>
  <c r="T187" i="7"/>
  <c r="U187" i="7" s="1"/>
  <c r="R187" i="7"/>
  <c r="S187" i="7" s="1"/>
  <c r="T186" i="7"/>
  <c r="U186" i="7" s="1"/>
  <c r="R186" i="7"/>
  <c r="S186" i="7" s="1"/>
  <c r="T185" i="7"/>
  <c r="U185" i="7" s="1"/>
  <c r="R185" i="7"/>
  <c r="S185" i="7" s="1"/>
  <c r="U184" i="7"/>
  <c r="T184" i="7"/>
  <c r="R184" i="7"/>
  <c r="S184" i="7" s="1"/>
  <c r="T183" i="7"/>
  <c r="U183" i="7" s="1"/>
  <c r="R183" i="7"/>
  <c r="S183" i="7" s="1"/>
  <c r="T182" i="7"/>
  <c r="U182" i="7" s="1"/>
  <c r="R182" i="7"/>
  <c r="S182" i="7" s="1"/>
  <c r="T181" i="7"/>
  <c r="U181" i="7" s="1"/>
  <c r="R181" i="7"/>
  <c r="S181" i="7" s="1"/>
  <c r="T180" i="7"/>
  <c r="U180" i="7" s="1"/>
  <c r="R180" i="7"/>
  <c r="S180" i="7" s="1"/>
  <c r="U179" i="7"/>
  <c r="T179" i="7"/>
  <c r="R179" i="7"/>
  <c r="S179" i="7" s="1"/>
  <c r="T178" i="7"/>
  <c r="U178" i="7" s="1"/>
  <c r="R178" i="7"/>
  <c r="S178" i="7" s="1"/>
  <c r="U177" i="7"/>
  <c r="T177" i="7"/>
  <c r="S177" i="7"/>
  <c r="R177" i="7"/>
  <c r="T176" i="7"/>
  <c r="U176" i="7" s="1"/>
  <c r="R176" i="7"/>
  <c r="S176" i="7" s="1"/>
  <c r="T175" i="7"/>
  <c r="U175" i="7" s="1"/>
  <c r="S175" i="7"/>
  <c r="R175" i="7"/>
  <c r="T174" i="7"/>
  <c r="U174" i="7" s="1"/>
  <c r="R174" i="7"/>
  <c r="S174" i="7" s="1"/>
  <c r="U173" i="7"/>
  <c r="T173" i="7"/>
  <c r="S173" i="7"/>
  <c r="R173" i="7"/>
  <c r="T172" i="7"/>
  <c r="U172" i="7" s="1"/>
  <c r="R172" i="7"/>
  <c r="S172" i="7" s="1"/>
  <c r="U171" i="7"/>
  <c r="T171" i="7"/>
  <c r="R171" i="7"/>
  <c r="S171" i="7" s="1"/>
  <c r="U170" i="7"/>
  <c r="T170" i="7"/>
  <c r="R170" i="7"/>
  <c r="S170" i="7" s="1"/>
  <c r="T169" i="7"/>
  <c r="U169" i="7" s="1"/>
  <c r="R169" i="7"/>
  <c r="S169" i="7" s="1"/>
  <c r="T168" i="7"/>
  <c r="U168" i="7" s="1"/>
  <c r="S168" i="7"/>
  <c r="R168" i="7"/>
  <c r="T167" i="7"/>
  <c r="U167" i="7" s="1"/>
  <c r="R167" i="7"/>
  <c r="S167" i="7" s="1"/>
  <c r="T166" i="7"/>
  <c r="U166" i="7" s="1"/>
  <c r="R166" i="7"/>
  <c r="S166" i="7" s="1"/>
  <c r="U165" i="7"/>
  <c r="T165" i="7"/>
  <c r="S165" i="7"/>
  <c r="R165" i="7"/>
  <c r="T164" i="7"/>
  <c r="U164" i="7" s="1"/>
  <c r="S164" i="7"/>
  <c r="R164" i="7"/>
  <c r="U163" i="7"/>
  <c r="T163" i="7"/>
  <c r="S163" i="7"/>
  <c r="R163" i="7"/>
  <c r="T162" i="7"/>
  <c r="U162" i="7" s="1"/>
  <c r="S162" i="7"/>
  <c r="R162" i="7"/>
  <c r="U161" i="7"/>
  <c r="T161" i="7"/>
  <c r="S161" i="7"/>
  <c r="R161" i="7"/>
  <c r="T160" i="7"/>
  <c r="U160" i="7" s="1"/>
  <c r="S160" i="7"/>
  <c r="R160" i="7"/>
  <c r="U159" i="7"/>
  <c r="T159" i="7"/>
  <c r="S159" i="7"/>
  <c r="R159" i="7"/>
  <c r="T158" i="7"/>
  <c r="U158" i="7" s="1"/>
  <c r="S158" i="7"/>
  <c r="R158" i="7"/>
  <c r="U157" i="7"/>
  <c r="T157" i="7"/>
  <c r="S157" i="7"/>
  <c r="R157" i="7"/>
  <c r="T156" i="7"/>
  <c r="U156" i="7" s="1"/>
  <c r="S156" i="7"/>
  <c r="R156" i="7"/>
  <c r="U155" i="7"/>
  <c r="T155" i="7"/>
  <c r="S155" i="7"/>
  <c r="R155" i="7"/>
  <c r="T154" i="7"/>
  <c r="U154" i="7" s="1"/>
  <c r="S154" i="7"/>
  <c r="R154" i="7"/>
  <c r="U153" i="7"/>
  <c r="T153" i="7"/>
  <c r="S153" i="7"/>
  <c r="R153" i="7"/>
  <c r="T152" i="7"/>
  <c r="U152" i="7" s="1"/>
  <c r="S152" i="7"/>
  <c r="R152" i="7"/>
  <c r="U151" i="7"/>
  <c r="T151" i="7"/>
  <c r="S151" i="7"/>
  <c r="R151" i="7"/>
  <c r="T150" i="7"/>
  <c r="U150" i="7" s="1"/>
  <c r="S150" i="7"/>
  <c r="R150" i="7"/>
  <c r="U149" i="7"/>
  <c r="T149" i="7"/>
  <c r="S149" i="7"/>
  <c r="R149" i="7"/>
  <c r="T148" i="7"/>
  <c r="U148" i="7" s="1"/>
  <c r="S148" i="7"/>
  <c r="R148" i="7"/>
  <c r="U147" i="7"/>
  <c r="T147" i="7"/>
  <c r="S147" i="7"/>
  <c r="R147" i="7"/>
  <c r="T146" i="7"/>
  <c r="U146" i="7" s="1"/>
  <c r="S146" i="7"/>
  <c r="R146" i="7"/>
  <c r="U145" i="7"/>
  <c r="T145" i="7"/>
  <c r="S145" i="7"/>
  <c r="R145" i="7"/>
  <c r="T144" i="7"/>
  <c r="U144" i="7" s="1"/>
  <c r="S144" i="7"/>
  <c r="R144" i="7"/>
  <c r="T143" i="7"/>
  <c r="U143" i="7" s="1"/>
  <c r="S143" i="7"/>
  <c r="R143" i="7"/>
  <c r="T142" i="7"/>
  <c r="U142" i="7" s="1"/>
  <c r="S142" i="7"/>
  <c r="R142" i="7"/>
  <c r="U141" i="7"/>
  <c r="T141" i="7"/>
  <c r="R141" i="7"/>
  <c r="S141" i="7" s="1"/>
  <c r="T140" i="7"/>
  <c r="U140" i="7" s="1"/>
  <c r="R140" i="7"/>
  <c r="S140" i="7" s="1"/>
  <c r="T139" i="7"/>
  <c r="U139" i="7" s="1"/>
  <c r="S139" i="7"/>
  <c r="R139" i="7"/>
  <c r="T138" i="7"/>
  <c r="U138" i="7" s="1"/>
  <c r="S138" i="7"/>
  <c r="R138" i="7"/>
  <c r="U137" i="7"/>
  <c r="T137" i="7"/>
  <c r="R137" i="7"/>
  <c r="S137" i="7" s="1"/>
  <c r="T136" i="7"/>
  <c r="U136" i="7" s="1"/>
  <c r="S136" i="7"/>
  <c r="R136" i="7"/>
  <c r="T135" i="7"/>
  <c r="U135" i="7" s="1"/>
  <c r="R135" i="7"/>
  <c r="S135" i="7" s="1"/>
  <c r="T134" i="7"/>
  <c r="U134" i="7" s="1"/>
  <c r="R134" i="7"/>
  <c r="S134" i="7" s="1"/>
  <c r="T133" i="7"/>
  <c r="U133" i="7" s="1"/>
  <c r="S133" i="7"/>
  <c r="R133" i="7"/>
  <c r="T132" i="7"/>
  <c r="U132" i="7" s="1"/>
  <c r="R132" i="7"/>
  <c r="S132" i="7" s="1"/>
  <c r="U131" i="7"/>
  <c r="T131" i="7"/>
  <c r="S131" i="7"/>
  <c r="R131" i="7"/>
  <c r="T130" i="7"/>
  <c r="U130" i="7" s="1"/>
  <c r="R130" i="7"/>
  <c r="S130" i="7" s="1"/>
  <c r="T129" i="7"/>
  <c r="U129" i="7" s="1"/>
  <c r="S129" i="7"/>
  <c r="R129" i="7"/>
  <c r="T128" i="7"/>
  <c r="U128" i="7" s="1"/>
  <c r="S128" i="7"/>
  <c r="R128" i="7"/>
  <c r="T127" i="7"/>
  <c r="U127" i="7" s="1"/>
  <c r="S127" i="7"/>
  <c r="R127" i="7"/>
  <c r="T126" i="7"/>
  <c r="U126" i="7" s="1"/>
  <c r="R126" i="7"/>
  <c r="S126" i="7" s="1"/>
  <c r="T125" i="7"/>
  <c r="U125" i="7" s="1"/>
  <c r="S125" i="7"/>
  <c r="R125" i="7"/>
  <c r="T124" i="7"/>
  <c r="U124" i="7" s="1"/>
  <c r="R124" i="7"/>
  <c r="S124" i="7" s="1"/>
  <c r="T123" i="7"/>
  <c r="U123" i="7" s="1"/>
  <c r="S123" i="7"/>
  <c r="R123" i="7"/>
  <c r="T122" i="7"/>
  <c r="U122" i="7" s="1"/>
  <c r="R122" i="7"/>
  <c r="S122" i="7" s="1"/>
  <c r="T121" i="7"/>
  <c r="U121" i="7" s="1"/>
  <c r="S121" i="7"/>
  <c r="R121" i="7"/>
  <c r="T120" i="7"/>
  <c r="U120" i="7" s="1"/>
  <c r="R120" i="7"/>
  <c r="S120" i="7" s="1"/>
  <c r="T119" i="7"/>
  <c r="U119" i="7" s="1"/>
  <c r="S119" i="7"/>
  <c r="R119" i="7"/>
  <c r="T118" i="7"/>
  <c r="U118" i="7" s="1"/>
  <c r="R118" i="7"/>
  <c r="S118" i="7" s="1"/>
  <c r="T117" i="7"/>
  <c r="U117" i="7" s="1"/>
  <c r="S117" i="7"/>
  <c r="R117" i="7"/>
  <c r="T116" i="7"/>
  <c r="U116" i="7" s="1"/>
  <c r="R116" i="7"/>
  <c r="S116" i="7" s="1"/>
  <c r="T115" i="7"/>
  <c r="U115" i="7" s="1"/>
  <c r="S115" i="7"/>
  <c r="R115" i="7"/>
  <c r="T114" i="7"/>
  <c r="U114" i="7" s="1"/>
  <c r="R114" i="7"/>
  <c r="S114" i="7" s="1"/>
  <c r="T113" i="7"/>
  <c r="U113" i="7" s="1"/>
  <c r="S113" i="7"/>
  <c r="R113" i="7"/>
  <c r="U112" i="7"/>
  <c r="T112" i="7"/>
  <c r="R112" i="7"/>
  <c r="S112" i="7" s="1"/>
  <c r="T111" i="7"/>
  <c r="U111" i="7" s="1"/>
  <c r="S111" i="7"/>
  <c r="R111" i="7"/>
  <c r="U110" i="7"/>
  <c r="T110" i="7"/>
  <c r="R110" i="7"/>
  <c r="S110" i="7" s="1"/>
  <c r="T109" i="7"/>
  <c r="U109" i="7" s="1"/>
  <c r="S109" i="7"/>
  <c r="R109" i="7"/>
  <c r="T108" i="7"/>
  <c r="U108" i="7" s="1"/>
  <c r="R108" i="7"/>
  <c r="S108" i="7" s="1"/>
  <c r="T107" i="7"/>
  <c r="U107" i="7" s="1"/>
  <c r="S107" i="7"/>
  <c r="R107" i="7"/>
  <c r="U106" i="7"/>
  <c r="T106" i="7"/>
  <c r="R106" i="7"/>
  <c r="S106" i="7" s="1"/>
  <c r="U105" i="7"/>
  <c r="T105" i="7"/>
  <c r="S105" i="7"/>
  <c r="R105" i="7"/>
  <c r="U104" i="7"/>
  <c r="T104" i="7"/>
  <c r="R104" i="7"/>
  <c r="S104" i="7" s="1"/>
  <c r="U103" i="7"/>
  <c r="T103" i="7"/>
  <c r="S103" i="7"/>
  <c r="R103" i="7"/>
  <c r="U102" i="7"/>
  <c r="T102" i="7"/>
  <c r="R102" i="7"/>
  <c r="S102" i="7" s="1"/>
  <c r="T101" i="7"/>
  <c r="U101" i="7" s="1"/>
  <c r="S101" i="7"/>
  <c r="R101" i="7"/>
  <c r="T100" i="7"/>
  <c r="U100" i="7" s="1"/>
  <c r="R100" i="7"/>
  <c r="S100" i="7" s="1"/>
  <c r="U99" i="7"/>
  <c r="T99" i="7"/>
  <c r="S99" i="7"/>
  <c r="R99" i="7"/>
  <c r="U98" i="7"/>
  <c r="T98" i="7"/>
  <c r="R98" i="7"/>
  <c r="S98" i="7" s="1"/>
  <c r="T97" i="7"/>
  <c r="U97" i="7" s="1"/>
  <c r="R97" i="7"/>
  <c r="S97" i="7" s="1"/>
  <c r="T96" i="7"/>
  <c r="U96" i="7" s="1"/>
  <c r="R96" i="7"/>
  <c r="S96" i="7" s="1"/>
  <c r="U95" i="7"/>
  <c r="T95" i="7"/>
  <c r="S95" i="7"/>
  <c r="R95" i="7"/>
  <c r="U94" i="7"/>
  <c r="T94" i="7"/>
  <c r="S94" i="7"/>
  <c r="R94" i="7"/>
  <c r="U93" i="7"/>
  <c r="T93" i="7"/>
  <c r="S93" i="7"/>
  <c r="R93" i="7"/>
  <c r="T92" i="7"/>
  <c r="U92" i="7" s="1"/>
  <c r="R92" i="7"/>
  <c r="S92" i="7" s="1"/>
  <c r="U91" i="7"/>
  <c r="T91" i="7"/>
  <c r="S91" i="7"/>
  <c r="R91" i="7"/>
  <c r="U90" i="7"/>
  <c r="T90" i="7"/>
  <c r="R90" i="7"/>
  <c r="S90" i="7" s="1"/>
  <c r="U89" i="7"/>
  <c r="T89" i="7"/>
  <c r="S89" i="7"/>
  <c r="R89" i="7"/>
  <c r="T88" i="7"/>
  <c r="U88" i="7" s="1"/>
  <c r="R88" i="7"/>
  <c r="S88" i="7" s="1"/>
  <c r="U87" i="7"/>
  <c r="T87" i="7"/>
  <c r="R87" i="7"/>
  <c r="S87" i="7" s="1"/>
  <c r="T86" i="7"/>
  <c r="U86" i="7" s="1"/>
  <c r="R86" i="7"/>
  <c r="S86" i="7" s="1"/>
  <c r="U85" i="7"/>
  <c r="T85" i="7"/>
  <c r="R85" i="7"/>
  <c r="S85" i="7" s="1"/>
  <c r="T84" i="7"/>
  <c r="U84" i="7" s="1"/>
  <c r="R84" i="7"/>
  <c r="S84" i="7" s="1"/>
  <c r="T83" i="7"/>
  <c r="U83" i="7" s="1"/>
  <c r="R83" i="7"/>
  <c r="S83" i="7" s="1"/>
  <c r="U82" i="7"/>
  <c r="T82" i="7"/>
  <c r="R82" i="7"/>
  <c r="S82" i="7" s="1"/>
  <c r="U81" i="7"/>
  <c r="T81" i="7"/>
  <c r="R81" i="7"/>
  <c r="S81" i="7" s="1"/>
  <c r="U80" i="7"/>
  <c r="T80" i="7"/>
  <c r="S80" i="7"/>
  <c r="R80" i="7"/>
  <c r="T79" i="7"/>
  <c r="U79" i="7" s="1"/>
  <c r="R79" i="7"/>
  <c r="S79" i="7" s="1"/>
  <c r="T78" i="7"/>
  <c r="U78" i="7" s="1"/>
  <c r="S78" i="7"/>
  <c r="R78" i="7"/>
  <c r="T77" i="7"/>
  <c r="U77" i="7" s="1"/>
  <c r="R77" i="7"/>
  <c r="S77" i="7" s="1"/>
  <c r="U76" i="7"/>
  <c r="T76" i="7"/>
  <c r="R76" i="7"/>
  <c r="S76" i="7" s="1"/>
  <c r="T75" i="7"/>
  <c r="U75" i="7" s="1"/>
  <c r="R75" i="7"/>
  <c r="S75" i="7" s="1"/>
  <c r="U74" i="7"/>
  <c r="T74" i="7"/>
  <c r="R74" i="7"/>
  <c r="S74" i="7" s="1"/>
  <c r="U73" i="7"/>
  <c r="T73" i="7"/>
  <c r="R73" i="7"/>
  <c r="S73" i="7" s="1"/>
  <c r="U72" i="7"/>
  <c r="T72" i="7"/>
  <c r="R72" i="7"/>
  <c r="S72" i="7" s="1"/>
  <c r="U71" i="7"/>
  <c r="T71" i="7"/>
  <c r="R71" i="7"/>
  <c r="S71" i="7" s="1"/>
  <c r="T70" i="7"/>
  <c r="U70" i="7" s="1"/>
  <c r="R70" i="7"/>
  <c r="S70" i="7" s="1"/>
  <c r="U69" i="7"/>
  <c r="T69" i="7"/>
  <c r="R69" i="7"/>
  <c r="S69" i="7" s="1"/>
  <c r="U68" i="7"/>
  <c r="T68" i="7"/>
  <c r="S68" i="7"/>
  <c r="R68" i="7"/>
  <c r="U67" i="7"/>
  <c r="T67" i="7"/>
  <c r="S67" i="7"/>
  <c r="R67" i="7"/>
  <c r="T66" i="7"/>
  <c r="U66" i="7" s="1"/>
  <c r="R66" i="7"/>
  <c r="S66" i="7" s="1"/>
  <c r="U65" i="7"/>
  <c r="T65" i="7"/>
  <c r="S65" i="7"/>
  <c r="R65" i="7"/>
  <c r="U64" i="7"/>
  <c r="T64" i="7"/>
  <c r="R64" i="7"/>
  <c r="S64" i="7" s="1"/>
  <c r="U63" i="7"/>
  <c r="T63" i="7"/>
  <c r="R63" i="7"/>
  <c r="S63" i="7" s="1"/>
  <c r="T62" i="7"/>
  <c r="U62" i="7" s="1"/>
  <c r="R62" i="7"/>
  <c r="S62" i="7" s="1"/>
  <c r="U61" i="7"/>
  <c r="T61" i="7"/>
  <c r="R61" i="7"/>
  <c r="S61" i="7" s="1"/>
  <c r="U60" i="7"/>
  <c r="T60" i="7"/>
  <c r="S60" i="7"/>
  <c r="R60" i="7"/>
  <c r="U59" i="7"/>
  <c r="T59" i="7"/>
  <c r="R59" i="7"/>
  <c r="S59" i="7" s="1"/>
  <c r="U58" i="7"/>
  <c r="T58" i="7"/>
  <c r="R58" i="7"/>
  <c r="S58" i="7" s="1"/>
  <c r="T57" i="7"/>
  <c r="U57" i="7" s="1"/>
  <c r="R57" i="7"/>
  <c r="S57" i="7" s="1"/>
  <c r="T56" i="7"/>
  <c r="U56" i="7" s="1"/>
  <c r="R56" i="7"/>
  <c r="S56" i="7" s="1"/>
  <c r="U55" i="7"/>
  <c r="T55" i="7"/>
  <c r="R55" i="7"/>
  <c r="S55" i="7" s="1"/>
  <c r="U54" i="7"/>
  <c r="T54" i="7"/>
  <c r="R54" i="7"/>
  <c r="S54" i="7" s="1"/>
  <c r="T53" i="7"/>
  <c r="U53" i="7" s="1"/>
  <c r="R53" i="7"/>
  <c r="S53" i="7" s="1"/>
  <c r="U52" i="7"/>
  <c r="T52" i="7"/>
  <c r="S52" i="7"/>
  <c r="R52" i="7"/>
  <c r="U51" i="7"/>
  <c r="T51" i="7"/>
  <c r="R51" i="7"/>
  <c r="S51" i="7" s="1"/>
  <c r="T50" i="7"/>
  <c r="U50" i="7" s="1"/>
  <c r="S50" i="7"/>
  <c r="R50" i="7"/>
  <c r="T49" i="7"/>
  <c r="U49" i="7" s="1"/>
  <c r="R49" i="7"/>
  <c r="S49" i="7" s="1"/>
  <c r="T48" i="7"/>
  <c r="U48" i="7" s="1"/>
  <c r="S48" i="7"/>
  <c r="R48" i="7"/>
  <c r="T47" i="7"/>
  <c r="U47" i="7" s="1"/>
  <c r="R47" i="7"/>
  <c r="S47" i="7" s="1"/>
  <c r="U46" i="7"/>
  <c r="T46" i="7"/>
  <c r="S46" i="7"/>
  <c r="R46" i="7"/>
  <c r="T45" i="7"/>
  <c r="U45" i="7" s="1"/>
  <c r="R45" i="7"/>
  <c r="S45" i="7" s="1"/>
  <c r="T44" i="7"/>
  <c r="U44" i="7" s="1"/>
  <c r="S44" i="7"/>
  <c r="R44" i="7"/>
  <c r="T43" i="7"/>
  <c r="U43" i="7" s="1"/>
  <c r="R43" i="7"/>
  <c r="S43" i="7" s="1"/>
  <c r="T42" i="7"/>
  <c r="U42" i="7" s="1"/>
  <c r="S42" i="7"/>
  <c r="R42" i="7"/>
  <c r="T41" i="7"/>
  <c r="U41" i="7" s="1"/>
  <c r="R41" i="7"/>
  <c r="S41" i="7" s="1"/>
  <c r="U40" i="7"/>
  <c r="T40" i="7"/>
  <c r="S40" i="7"/>
  <c r="R40" i="7"/>
  <c r="T39" i="7"/>
  <c r="U39" i="7" s="1"/>
  <c r="R39" i="7"/>
  <c r="S39" i="7" s="1"/>
  <c r="U38" i="7"/>
  <c r="T38" i="7"/>
  <c r="S38" i="7"/>
  <c r="R38" i="7"/>
  <c r="T37" i="7"/>
  <c r="U37" i="7" s="1"/>
  <c r="R37" i="7"/>
  <c r="S37" i="7" s="1"/>
  <c r="U36" i="7"/>
  <c r="T36" i="7"/>
  <c r="S36" i="7"/>
  <c r="R36" i="7"/>
  <c r="T35" i="7"/>
  <c r="U35" i="7" s="1"/>
  <c r="R35" i="7"/>
  <c r="S35" i="7" s="1"/>
  <c r="U34" i="7"/>
  <c r="T34" i="7"/>
  <c r="S34" i="7"/>
  <c r="R34" i="7"/>
  <c r="T33" i="7"/>
  <c r="U33" i="7" s="1"/>
  <c r="R33" i="7"/>
  <c r="S33" i="7" s="1"/>
  <c r="U32" i="7"/>
  <c r="T32" i="7"/>
  <c r="S32" i="7"/>
  <c r="R32" i="7"/>
  <c r="T31" i="7"/>
  <c r="U31" i="7" s="1"/>
  <c r="R31" i="7"/>
  <c r="S31" i="7" s="1"/>
  <c r="T30" i="7"/>
  <c r="U30" i="7" s="1"/>
  <c r="S30" i="7"/>
  <c r="R30" i="7"/>
  <c r="T29" i="7"/>
  <c r="U29" i="7" s="1"/>
  <c r="R29" i="7"/>
  <c r="S29" i="7" s="1"/>
  <c r="U28" i="7"/>
  <c r="T28" i="7"/>
  <c r="S28" i="7"/>
  <c r="R28" i="7"/>
  <c r="T27" i="7"/>
  <c r="U27" i="7" s="1"/>
  <c r="R27" i="7"/>
  <c r="S27" i="7" s="1"/>
  <c r="T26" i="7"/>
  <c r="U26" i="7" s="1"/>
  <c r="S26" i="7"/>
  <c r="R26" i="7"/>
  <c r="T25" i="7"/>
  <c r="U25" i="7" s="1"/>
  <c r="R25" i="7"/>
  <c r="S25" i="7" s="1"/>
  <c r="U24" i="7"/>
  <c r="T24" i="7"/>
  <c r="S24" i="7"/>
  <c r="R24" i="7"/>
  <c r="U23" i="7"/>
  <c r="T23" i="7"/>
  <c r="R23" i="7"/>
  <c r="S23" i="7" s="1"/>
  <c r="U22" i="7"/>
  <c r="T22" i="7"/>
  <c r="S22" i="7"/>
  <c r="R22" i="7"/>
  <c r="T21" i="7"/>
  <c r="U21" i="7" s="1"/>
  <c r="R21" i="7"/>
  <c r="S21" i="7" s="1"/>
  <c r="T20" i="7"/>
  <c r="U20" i="7" s="1"/>
  <c r="S20" i="7"/>
  <c r="R20" i="7"/>
  <c r="T19" i="7"/>
  <c r="U19" i="7" s="1"/>
  <c r="R19" i="7"/>
  <c r="S19" i="7" s="1"/>
  <c r="U18" i="7"/>
  <c r="T18" i="7"/>
  <c r="S18" i="7"/>
  <c r="R18" i="7"/>
  <c r="N18" i="7"/>
  <c r="M18" i="7"/>
  <c r="T17" i="7"/>
  <c r="U17" i="7" s="1"/>
  <c r="R17" i="7"/>
  <c r="S17" i="7" s="1"/>
  <c r="N17" i="7"/>
  <c r="M17" i="7"/>
  <c r="T16" i="7"/>
  <c r="U16" i="7" s="1"/>
  <c r="W16" i="7" s="1"/>
  <c r="R16" i="7"/>
  <c r="S16" i="7" s="1"/>
  <c r="G16" i="7"/>
  <c r="E16" i="7"/>
  <c r="B16" i="7"/>
  <c r="U15" i="7"/>
  <c r="I15" i="7" s="1"/>
  <c r="T15" i="7"/>
  <c r="R15" i="7"/>
  <c r="S15" i="7" s="1"/>
  <c r="N15" i="7"/>
  <c r="M15" i="7"/>
  <c r="L15" i="7"/>
  <c r="M19" i="7" s="1"/>
  <c r="G15" i="7"/>
  <c r="F15" i="7"/>
  <c r="E15" i="7"/>
  <c r="B15" i="7"/>
  <c r="O14" i="7"/>
  <c r="P14" i="7" s="1"/>
  <c r="F14" i="7"/>
  <c r="E14" i="7"/>
  <c r="D14" i="7"/>
  <c r="C14" i="7"/>
  <c r="B12" i="7"/>
  <c r="C12" i="7" s="1"/>
  <c r="B11" i="7" s="1"/>
  <c r="I11" i="7"/>
  <c r="Q8" i="7"/>
  <c r="T7" i="7"/>
  <c r="L3" i="7"/>
  <c r="I3" i="7"/>
  <c r="I1" i="7"/>
  <c r="D10" i="7" l="1"/>
  <c r="F10" i="7" s="1"/>
  <c r="G10" i="7" s="1"/>
  <c r="H10" i="7" s="1"/>
  <c r="I10" i="7" s="1"/>
  <c r="G11" i="7"/>
  <c r="N19" i="7"/>
  <c r="K12" i="7"/>
  <c r="W15" i="7"/>
  <c r="C15" i="7"/>
  <c r="V15" i="7"/>
  <c r="L12" i="7"/>
  <c r="M16" i="7" s="1"/>
  <c r="J12" i="7"/>
  <c r="A14" i="7"/>
  <c r="H15" i="7"/>
  <c r="B17" i="7"/>
  <c r="F16" i="7"/>
  <c r="A11" i="7"/>
  <c r="N228" i="7"/>
  <c r="O228" i="7" s="1"/>
  <c r="P228" i="7" s="1"/>
  <c r="M228" i="7"/>
  <c r="O230" i="7"/>
  <c r="P230" i="7" s="1"/>
  <c r="N234" i="7"/>
  <c r="M234" i="7"/>
  <c r="O234" i="7"/>
  <c r="P234" i="7" s="1"/>
  <c r="N232" i="7"/>
  <c r="O232" i="7" s="1"/>
  <c r="P232" i="7" s="1"/>
  <c r="M232" i="7"/>
  <c r="O231" i="7"/>
  <c r="P231" i="7" s="1"/>
  <c r="M233" i="7"/>
  <c r="M235" i="7"/>
  <c r="M13" i="1"/>
  <c r="M15" i="1"/>
  <c r="M14" i="1"/>
  <c r="D11" i="1"/>
  <c r="F12" i="7" l="1"/>
  <c r="E12" i="7" s="1"/>
  <c r="J15" i="7"/>
  <c r="K15" i="7" s="1"/>
  <c r="O15" i="7" s="1"/>
  <c r="J5" i="7"/>
  <c r="G17" i="7"/>
  <c r="E17" i="7"/>
  <c r="F17" i="7"/>
  <c r="B18" i="7"/>
  <c r="K11" i="7"/>
  <c r="P15" i="7" l="1"/>
  <c r="B19" i="7"/>
  <c r="E18" i="7"/>
  <c r="F18" i="7"/>
  <c r="G18" i="7"/>
  <c r="E11" i="7"/>
  <c r="G12" i="7"/>
  <c r="G19" i="7" l="1"/>
  <c r="E19" i="7"/>
  <c r="F19" i="7"/>
  <c r="B20" i="7"/>
  <c r="D12" i="7"/>
  <c r="K8" i="7"/>
  <c r="N16" i="7" s="1"/>
  <c r="A15" i="7"/>
  <c r="L4" i="7"/>
  <c r="I16" i="7"/>
  <c r="L16" i="7"/>
  <c r="J16" i="7" s="1"/>
  <c r="N20" i="7" l="1"/>
  <c r="M20" i="7"/>
  <c r="B21" i="7"/>
  <c r="F20" i="7"/>
  <c r="E20" i="7"/>
  <c r="G20" i="7"/>
  <c r="C16" i="7"/>
  <c r="K16" i="7" s="1"/>
  <c r="O16" i="7" s="1"/>
  <c r="D16" i="7" a="1"/>
  <c r="D16" i="7" s="1"/>
  <c r="A16" i="7" l="1"/>
  <c r="L17" i="7"/>
  <c r="C17" i="7" s="1"/>
  <c r="I17" i="7"/>
  <c r="H17" i="7"/>
  <c r="J17" i="7" s="1"/>
  <c r="B22" i="7"/>
  <c r="G21" i="7"/>
  <c r="F21" i="7"/>
  <c r="E21" i="7"/>
  <c r="P16" i="7"/>
  <c r="M21" i="7" l="1"/>
  <c r="N21" i="7"/>
  <c r="B23" i="7"/>
  <c r="F22" i="7"/>
  <c r="E22" i="7"/>
  <c r="G22" i="7"/>
  <c r="K17" i="7"/>
  <c r="O17" i="7" s="1"/>
  <c r="F23" i="7" l="1"/>
  <c r="E23" i="7"/>
  <c r="B24" i="7"/>
  <c r="G23" i="7"/>
  <c r="A17" i="7"/>
  <c r="I18" i="7"/>
  <c r="L18" i="7"/>
  <c r="P17" i="7"/>
  <c r="J18" i="7" l="1"/>
  <c r="K18" i="7" s="1"/>
  <c r="O18" i="7" s="1"/>
  <c r="B25" i="7"/>
  <c r="F24" i="7"/>
  <c r="E24" i="7"/>
  <c r="G24" i="7"/>
  <c r="M22" i="7"/>
  <c r="N22" i="7"/>
  <c r="D18" i="7" l="1" a="1"/>
  <c r="D18" i="7" s="1"/>
  <c r="G25" i="7"/>
  <c r="F25" i="7"/>
  <c r="E25" i="7"/>
  <c r="B26" i="7"/>
  <c r="P18" i="7"/>
  <c r="A18" i="7" l="1"/>
  <c r="L19" i="7"/>
  <c r="H19" i="7" s="1"/>
  <c r="I19" i="7"/>
  <c r="B27" i="7"/>
  <c r="F26" i="7"/>
  <c r="E26" i="7"/>
  <c r="G26" i="7"/>
  <c r="F59" i="6"/>
  <c r="H41" i="6"/>
  <c r="H39" i="6"/>
  <c r="H40" i="6"/>
  <c r="H38" i="6"/>
  <c r="I46" i="6"/>
  <c r="L38" i="6"/>
  <c r="I39" i="6"/>
  <c r="J40" i="6"/>
  <c r="J39" i="6"/>
  <c r="I40" i="6"/>
  <c r="Q8" i="6"/>
  <c r="O8" i="6"/>
  <c r="J19" i="7" l="1"/>
  <c r="G27" i="7"/>
  <c r="F27" i="7"/>
  <c r="E27" i="7"/>
  <c r="B28" i="7"/>
  <c r="M23" i="7"/>
  <c r="N23" i="7"/>
  <c r="C19" i="7"/>
  <c r="K19" i="7" s="1"/>
  <c r="O19" i="7" s="1"/>
  <c r="P19" i="7" s="1"/>
  <c r="B29" i="7" l="1"/>
  <c r="G28" i="7"/>
  <c r="F28" i="7"/>
  <c r="E28" i="7"/>
  <c r="D19" i="7" a="1"/>
  <c r="D19" i="7" s="1"/>
  <c r="A19" i="7" l="1"/>
  <c r="I20" i="7"/>
  <c r="L20" i="7"/>
  <c r="H20" i="7" s="1"/>
  <c r="F29" i="7"/>
  <c r="E29" i="7"/>
  <c r="B30" i="7"/>
  <c r="G29" i="7"/>
  <c r="J20" i="7" l="1"/>
  <c r="M24" i="7"/>
  <c r="N24" i="7"/>
  <c r="C20" i="7"/>
  <c r="B31" i="7"/>
  <c r="G30" i="7"/>
  <c r="F30" i="7"/>
  <c r="E30" i="7"/>
  <c r="K20" i="7" l="1"/>
  <c r="O20" i="7" s="1"/>
  <c r="P20" i="7" s="1"/>
  <c r="B32" i="7"/>
  <c r="G31" i="7"/>
  <c r="F31" i="7"/>
  <c r="E31" i="7"/>
  <c r="D20" i="7" l="1" a="1"/>
  <c r="D20" i="7" s="1"/>
  <c r="I21" i="7" s="1"/>
  <c r="B33" i="7"/>
  <c r="G32" i="7"/>
  <c r="F32" i="7"/>
  <c r="E32" i="7"/>
  <c r="L21" i="7" l="1"/>
  <c r="H21" i="7" s="1"/>
  <c r="J21" i="7" s="1"/>
  <c r="A20" i="7"/>
  <c r="C21" i="7"/>
  <c r="G33" i="7"/>
  <c r="F33" i="7"/>
  <c r="E33" i="7"/>
  <c r="B34" i="7"/>
  <c r="M25" i="7"/>
  <c r="N25" i="7"/>
  <c r="K21" i="7" l="1"/>
  <c r="O21" i="7" s="1"/>
  <c r="P21" i="7" s="1"/>
  <c r="B35" i="7"/>
  <c r="G34" i="7"/>
  <c r="F34" i="7"/>
  <c r="E34" i="7"/>
  <c r="D21" i="7" a="1"/>
  <c r="D21" i="7" s="1"/>
  <c r="A21" i="7" l="1"/>
  <c r="I22" i="7"/>
  <c r="L22" i="7"/>
  <c r="H22" i="7" s="1"/>
  <c r="B36" i="7"/>
  <c r="G35" i="7"/>
  <c r="F35" i="7"/>
  <c r="E35" i="7"/>
  <c r="J22" i="7" l="1"/>
  <c r="B37" i="7"/>
  <c r="G36" i="7"/>
  <c r="F36" i="7"/>
  <c r="E36" i="7"/>
  <c r="N26" i="7"/>
  <c r="M26" i="7"/>
  <c r="C22" i="7"/>
  <c r="E31" i="6"/>
  <c r="F31" i="6"/>
  <c r="F30" i="6"/>
  <c r="F29" i="6"/>
  <c r="G21" i="6"/>
  <c r="G23" i="6"/>
  <c r="O23" i="6"/>
  <c r="G22" i="6"/>
  <c r="E16" i="6"/>
  <c r="E15" i="6"/>
  <c r="E14" i="6"/>
  <c r="H15" i="5"/>
  <c r="F36" i="2"/>
  <c r="E16" i="2"/>
  <c r="F13" i="2"/>
  <c r="F12" i="2"/>
  <c r="E11" i="2"/>
  <c r="E12" i="2"/>
  <c r="L15" i="5"/>
  <c r="D14" i="5" s="1"/>
  <c r="I15" i="5"/>
  <c r="C11" i="5"/>
  <c r="B12" i="5"/>
  <c r="B9" i="1"/>
  <c r="I6" i="6"/>
  <c r="I5" i="6"/>
  <c r="K22" i="7" l="1"/>
  <c r="O22" i="7" s="1"/>
  <c r="P22" i="7" s="1"/>
  <c r="D22" i="7" a="1"/>
  <c r="D22" i="7" s="1"/>
  <c r="G37" i="7"/>
  <c r="F37" i="7"/>
  <c r="E37" i="7"/>
  <c r="B38" i="7"/>
  <c r="J15" i="5"/>
  <c r="I16" i="5" s="1"/>
  <c r="B39" i="7" l="1"/>
  <c r="G38" i="7"/>
  <c r="F38" i="7"/>
  <c r="E38" i="7"/>
  <c r="A22" i="7"/>
  <c r="L23" i="7"/>
  <c r="C23" i="7" s="1"/>
  <c r="I23" i="7"/>
  <c r="K15" i="5"/>
  <c r="N27" i="7" l="1"/>
  <c r="M27" i="7"/>
  <c r="H23" i="7"/>
  <c r="J23" i="7" s="1"/>
  <c r="B40" i="7"/>
  <c r="G39" i="7"/>
  <c r="F39" i="7"/>
  <c r="E39" i="7"/>
  <c r="F5" i="6"/>
  <c r="B41" i="7" l="1"/>
  <c r="G40" i="7"/>
  <c r="F40" i="7"/>
  <c r="E40" i="7"/>
  <c r="K23" i="7"/>
  <c r="O23" i="7" s="1"/>
  <c r="P23" i="7" s="1"/>
  <c r="C9" i="1"/>
  <c r="L235" i="5"/>
  <c r="I235" i="5"/>
  <c r="J235" i="5" s="1"/>
  <c r="K235" i="5" s="1"/>
  <c r="A235" i="5"/>
  <c r="L234" i="5"/>
  <c r="I234" i="5"/>
  <c r="J234" i="5" s="1"/>
  <c r="K234" i="5" s="1"/>
  <c r="A234" i="5"/>
  <c r="L233" i="5"/>
  <c r="I233" i="5"/>
  <c r="J233" i="5" s="1"/>
  <c r="K233" i="5" s="1"/>
  <c r="A233" i="5"/>
  <c r="L232" i="5"/>
  <c r="K232" i="5"/>
  <c r="I232" i="5"/>
  <c r="J232" i="5" s="1"/>
  <c r="A232" i="5"/>
  <c r="L231" i="5"/>
  <c r="N235" i="5" s="1"/>
  <c r="I231" i="5"/>
  <c r="J231" i="5" s="1"/>
  <c r="K231" i="5" s="1"/>
  <c r="O231" i="5" s="1"/>
  <c r="P231" i="5" s="1"/>
  <c r="A231" i="5"/>
  <c r="L230" i="5"/>
  <c r="N234" i="5" s="1"/>
  <c r="I230" i="5"/>
  <c r="J230" i="5" s="1"/>
  <c r="K230" i="5" s="1"/>
  <c r="A230" i="5"/>
  <c r="L229" i="5"/>
  <c r="N233" i="5" s="1"/>
  <c r="I229" i="5"/>
  <c r="J229" i="5" s="1"/>
  <c r="K229" i="5" s="1"/>
  <c r="A229" i="5"/>
  <c r="L228" i="5"/>
  <c r="I228" i="5"/>
  <c r="J228" i="5" s="1"/>
  <c r="K228" i="5" s="1"/>
  <c r="A228" i="5"/>
  <c r="L227" i="5"/>
  <c r="N231" i="5" s="1"/>
  <c r="I227" i="5"/>
  <c r="J227" i="5" s="1"/>
  <c r="K227" i="5" s="1"/>
  <c r="A227" i="5"/>
  <c r="L226" i="5"/>
  <c r="N230" i="5" s="1"/>
  <c r="I226" i="5"/>
  <c r="J226" i="5" s="1"/>
  <c r="K226" i="5" s="1"/>
  <c r="A226" i="5"/>
  <c r="L225" i="5"/>
  <c r="I225" i="5"/>
  <c r="J225" i="5" s="1"/>
  <c r="K225" i="5" s="1"/>
  <c r="A225" i="5"/>
  <c r="R224" i="5"/>
  <c r="S224" i="5" s="1"/>
  <c r="L224" i="5"/>
  <c r="N228" i="5" s="1"/>
  <c r="A224" i="5"/>
  <c r="R223" i="5"/>
  <c r="S223" i="5" s="1"/>
  <c r="A223" i="5"/>
  <c r="R222" i="5"/>
  <c r="S222" i="5" s="1"/>
  <c r="A222" i="5"/>
  <c r="R221" i="5"/>
  <c r="S221" i="5" s="1"/>
  <c r="A221" i="5"/>
  <c r="A220" i="5"/>
  <c r="T219" i="5"/>
  <c r="U219" i="5" s="1"/>
  <c r="R219" i="5"/>
  <c r="S219" i="5" s="1"/>
  <c r="T218" i="5"/>
  <c r="U218" i="5" s="1"/>
  <c r="R218" i="5"/>
  <c r="S218" i="5" s="1"/>
  <c r="U217" i="5"/>
  <c r="T217" i="5"/>
  <c r="R217" i="5"/>
  <c r="S217" i="5" s="1"/>
  <c r="T216" i="5"/>
  <c r="U216" i="5" s="1"/>
  <c r="R216" i="5"/>
  <c r="S216" i="5" s="1"/>
  <c r="U215" i="5"/>
  <c r="T215" i="5"/>
  <c r="R215" i="5"/>
  <c r="S215" i="5" s="1"/>
  <c r="T214" i="5"/>
  <c r="U214" i="5" s="1"/>
  <c r="R214" i="5"/>
  <c r="S214" i="5" s="1"/>
  <c r="T213" i="5"/>
  <c r="U213" i="5" s="1"/>
  <c r="R213" i="5"/>
  <c r="S213" i="5" s="1"/>
  <c r="T212" i="5"/>
  <c r="U212" i="5" s="1"/>
  <c r="R212" i="5"/>
  <c r="S212" i="5" s="1"/>
  <c r="T211" i="5"/>
  <c r="U211" i="5" s="1"/>
  <c r="R211" i="5"/>
  <c r="S211" i="5" s="1"/>
  <c r="T210" i="5"/>
  <c r="U210" i="5" s="1"/>
  <c r="R210" i="5"/>
  <c r="S210" i="5" s="1"/>
  <c r="T209" i="5"/>
  <c r="U209" i="5" s="1"/>
  <c r="R209" i="5"/>
  <c r="S209" i="5" s="1"/>
  <c r="T208" i="5"/>
  <c r="U208" i="5" s="1"/>
  <c r="R208" i="5"/>
  <c r="S208" i="5" s="1"/>
  <c r="T207" i="5"/>
  <c r="U207" i="5" s="1"/>
  <c r="R207" i="5"/>
  <c r="S207" i="5" s="1"/>
  <c r="T206" i="5"/>
  <c r="U206" i="5" s="1"/>
  <c r="R206" i="5"/>
  <c r="S206" i="5" s="1"/>
  <c r="T205" i="5"/>
  <c r="U205" i="5" s="1"/>
  <c r="R205" i="5"/>
  <c r="S205" i="5" s="1"/>
  <c r="T204" i="5"/>
  <c r="U204" i="5" s="1"/>
  <c r="R204" i="5"/>
  <c r="S204" i="5" s="1"/>
  <c r="T203" i="5"/>
  <c r="U203" i="5" s="1"/>
  <c r="R203" i="5"/>
  <c r="S203" i="5" s="1"/>
  <c r="T202" i="5"/>
  <c r="U202" i="5" s="1"/>
  <c r="R202" i="5"/>
  <c r="S202" i="5" s="1"/>
  <c r="T201" i="5"/>
  <c r="U201" i="5" s="1"/>
  <c r="R201" i="5"/>
  <c r="S201" i="5" s="1"/>
  <c r="T200" i="5"/>
  <c r="U200" i="5" s="1"/>
  <c r="R200" i="5"/>
  <c r="S200" i="5" s="1"/>
  <c r="T199" i="5"/>
  <c r="U199" i="5" s="1"/>
  <c r="R199" i="5"/>
  <c r="S199" i="5" s="1"/>
  <c r="T198" i="5"/>
  <c r="U198" i="5" s="1"/>
  <c r="R198" i="5"/>
  <c r="S198" i="5" s="1"/>
  <c r="T197" i="5"/>
  <c r="U197" i="5" s="1"/>
  <c r="R197" i="5"/>
  <c r="S197" i="5" s="1"/>
  <c r="T196" i="5"/>
  <c r="U196" i="5" s="1"/>
  <c r="R196" i="5"/>
  <c r="S196" i="5" s="1"/>
  <c r="T195" i="5"/>
  <c r="U195" i="5" s="1"/>
  <c r="R195" i="5"/>
  <c r="S195" i="5" s="1"/>
  <c r="T194" i="5"/>
  <c r="U194" i="5" s="1"/>
  <c r="R194" i="5"/>
  <c r="S194" i="5" s="1"/>
  <c r="T193" i="5"/>
  <c r="U193" i="5" s="1"/>
  <c r="R193" i="5"/>
  <c r="S193" i="5" s="1"/>
  <c r="T192" i="5"/>
  <c r="U192" i="5" s="1"/>
  <c r="R192" i="5"/>
  <c r="S192" i="5" s="1"/>
  <c r="U191" i="5"/>
  <c r="T191" i="5"/>
  <c r="R191" i="5"/>
  <c r="S191" i="5" s="1"/>
  <c r="T190" i="5"/>
  <c r="U190" i="5" s="1"/>
  <c r="R190" i="5"/>
  <c r="S190" i="5" s="1"/>
  <c r="T189" i="5"/>
  <c r="U189" i="5" s="1"/>
  <c r="R189" i="5"/>
  <c r="S189" i="5" s="1"/>
  <c r="T188" i="5"/>
  <c r="U188" i="5" s="1"/>
  <c r="R188" i="5"/>
  <c r="S188" i="5" s="1"/>
  <c r="T187" i="5"/>
  <c r="U187" i="5" s="1"/>
  <c r="R187" i="5"/>
  <c r="S187" i="5" s="1"/>
  <c r="T186" i="5"/>
  <c r="U186" i="5" s="1"/>
  <c r="R186" i="5"/>
  <c r="S186" i="5" s="1"/>
  <c r="T185" i="5"/>
  <c r="U185" i="5" s="1"/>
  <c r="R185" i="5"/>
  <c r="S185" i="5" s="1"/>
  <c r="T184" i="5"/>
  <c r="U184" i="5" s="1"/>
  <c r="R184" i="5"/>
  <c r="S184" i="5" s="1"/>
  <c r="T183" i="5"/>
  <c r="U183" i="5" s="1"/>
  <c r="R183" i="5"/>
  <c r="S183" i="5" s="1"/>
  <c r="T182" i="5"/>
  <c r="U182" i="5" s="1"/>
  <c r="R182" i="5"/>
  <c r="S182" i="5" s="1"/>
  <c r="T181" i="5"/>
  <c r="U181" i="5" s="1"/>
  <c r="R181" i="5"/>
  <c r="S181" i="5" s="1"/>
  <c r="T180" i="5"/>
  <c r="U180" i="5" s="1"/>
  <c r="R180" i="5"/>
  <c r="S180" i="5" s="1"/>
  <c r="T179" i="5"/>
  <c r="U179" i="5" s="1"/>
  <c r="R179" i="5"/>
  <c r="S179" i="5" s="1"/>
  <c r="T178" i="5"/>
  <c r="U178" i="5" s="1"/>
  <c r="R178" i="5"/>
  <c r="S178" i="5" s="1"/>
  <c r="T177" i="5"/>
  <c r="U177" i="5" s="1"/>
  <c r="R177" i="5"/>
  <c r="S177" i="5" s="1"/>
  <c r="T176" i="5"/>
  <c r="U176" i="5" s="1"/>
  <c r="R176" i="5"/>
  <c r="S176" i="5" s="1"/>
  <c r="T175" i="5"/>
  <c r="U175" i="5" s="1"/>
  <c r="R175" i="5"/>
  <c r="S175" i="5" s="1"/>
  <c r="T174" i="5"/>
  <c r="U174" i="5" s="1"/>
  <c r="R174" i="5"/>
  <c r="S174" i="5" s="1"/>
  <c r="U173" i="5"/>
  <c r="T173" i="5"/>
  <c r="R173" i="5"/>
  <c r="S173" i="5" s="1"/>
  <c r="T172" i="5"/>
  <c r="U172" i="5" s="1"/>
  <c r="R172" i="5"/>
  <c r="S172" i="5" s="1"/>
  <c r="T171" i="5"/>
  <c r="U171" i="5" s="1"/>
  <c r="R171" i="5"/>
  <c r="S171" i="5" s="1"/>
  <c r="T170" i="5"/>
  <c r="U170" i="5" s="1"/>
  <c r="R170" i="5"/>
  <c r="S170" i="5" s="1"/>
  <c r="T169" i="5"/>
  <c r="U169" i="5" s="1"/>
  <c r="R169" i="5"/>
  <c r="S169" i="5" s="1"/>
  <c r="T168" i="5"/>
  <c r="U168" i="5" s="1"/>
  <c r="R168" i="5"/>
  <c r="S168" i="5" s="1"/>
  <c r="U167" i="5"/>
  <c r="T167" i="5"/>
  <c r="R167" i="5"/>
  <c r="S167" i="5" s="1"/>
  <c r="T166" i="5"/>
  <c r="U166" i="5" s="1"/>
  <c r="R166" i="5"/>
  <c r="S166" i="5" s="1"/>
  <c r="T165" i="5"/>
  <c r="U165" i="5" s="1"/>
  <c r="R165" i="5"/>
  <c r="S165" i="5" s="1"/>
  <c r="T164" i="5"/>
  <c r="U164" i="5" s="1"/>
  <c r="R164" i="5"/>
  <c r="S164" i="5" s="1"/>
  <c r="T163" i="5"/>
  <c r="U163" i="5" s="1"/>
  <c r="R163" i="5"/>
  <c r="S163" i="5" s="1"/>
  <c r="T162" i="5"/>
  <c r="U162" i="5" s="1"/>
  <c r="R162" i="5"/>
  <c r="S162" i="5" s="1"/>
  <c r="T161" i="5"/>
  <c r="U161" i="5" s="1"/>
  <c r="R161" i="5"/>
  <c r="S161" i="5" s="1"/>
  <c r="T160" i="5"/>
  <c r="U160" i="5" s="1"/>
  <c r="R160" i="5"/>
  <c r="S160" i="5" s="1"/>
  <c r="T159" i="5"/>
  <c r="U159" i="5" s="1"/>
  <c r="R159" i="5"/>
  <c r="S159" i="5" s="1"/>
  <c r="T158" i="5"/>
  <c r="U158" i="5" s="1"/>
  <c r="R158" i="5"/>
  <c r="S158" i="5" s="1"/>
  <c r="T157" i="5"/>
  <c r="U157" i="5" s="1"/>
  <c r="R157" i="5"/>
  <c r="S157" i="5" s="1"/>
  <c r="T156" i="5"/>
  <c r="U156" i="5" s="1"/>
  <c r="R156" i="5"/>
  <c r="S156" i="5" s="1"/>
  <c r="T155" i="5"/>
  <c r="U155" i="5" s="1"/>
  <c r="R155" i="5"/>
  <c r="S155" i="5" s="1"/>
  <c r="T154" i="5"/>
  <c r="U154" i="5" s="1"/>
  <c r="R154" i="5"/>
  <c r="S154" i="5" s="1"/>
  <c r="T153" i="5"/>
  <c r="U153" i="5" s="1"/>
  <c r="R153" i="5"/>
  <c r="S153" i="5" s="1"/>
  <c r="T152" i="5"/>
  <c r="U152" i="5" s="1"/>
  <c r="R152" i="5"/>
  <c r="S152" i="5" s="1"/>
  <c r="T151" i="5"/>
  <c r="U151" i="5" s="1"/>
  <c r="R151" i="5"/>
  <c r="S151" i="5" s="1"/>
  <c r="T150" i="5"/>
  <c r="U150" i="5" s="1"/>
  <c r="R150" i="5"/>
  <c r="S150" i="5" s="1"/>
  <c r="T149" i="5"/>
  <c r="U149" i="5" s="1"/>
  <c r="R149" i="5"/>
  <c r="S149" i="5" s="1"/>
  <c r="T148" i="5"/>
  <c r="U148" i="5" s="1"/>
  <c r="R148" i="5"/>
  <c r="S148" i="5" s="1"/>
  <c r="T147" i="5"/>
  <c r="U147" i="5" s="1"/>
  <c r="R147" i="5"/>
  <c r="S147" i="5" s="1"/>
  <c r="T146" i="5"/>
  <c r="U146" i="5" s="1"/>
  <c r="S146" i="5"/>
  <c r="R146" i="5"/>
  <c r="T145" i="5"/>
  <c r="U145" i="5" s="1"/>
  <c r="R145" i="5"/>
  <c r="S145" i="5" s="1"/>
  <c r="T144" i="5"/>
  <c r="U144" i="5" s="1"/>
  <c r="R144" i="5"/>
  <c r="S144" i="5" s="1"/>
  <c r="T143" i="5"/>
  <c r="U143" i="5" s="1"/>
  <c r="R143" i="5"/>
  <c r="S143" i="5" s="1"/>
  <c r="T142" i="5"/>
  <c r="U142" i="5" s="1"/>
  <c r="R142" i="5"/>
  <c r="S142" i="5" s="1"/>
  <c r="T141" i="5"/>
  <c r="U141" i="5" s="1"/>
  <c r="R141" i="5"/>
  <c r="S141" i="5" s="1"/>
  <c r="U140" i="5"/>
  <c r="T140" i="5"/>
  <c r="R140" i="5"/>
  <c r="S140" i="5" s="1"/>
  <c r="T139" i="5"/>
  <c r="U139" i="5" s="1"/>
  <c r="R139" i="5"/>
  <c r="S139" i="5" s="1"/>
  <c r="T138" i="5"/>
  <c r="U138" i="5" s="1"/>
  <c r="R138" i="5"/>
  <c r="S138" i="5" s="1"/>
  <c r="T137" i="5"/>
  <c r="U137" i="5" s="1"/>
  <c r="R137" i="5"/>
  <c r="S137" i="5" s="1"/>
  <c r="T136" i="5"/>
  <c r="U136" i="5" s="1"/>
  <c r="R136" i="5"/>
  <c r="S136" i="5" s="1"/>
  <c r="T135" i="5"/>
  <c r="U135" i="5" s="1"/>
  <c r="R135" i="5"/>
  <c r="S135" i="5" s="1"/>
  <c r="U134" i="5"/>
  <c r="T134" i="5"/>
  <c r="R134" i="5"/>
  <c r="S134" i="5" s="1"/>
  <c r="T133" i="5"/>
  <c r="U133" i="5" s="1"/>
  <c r="R133" i="5"/>
  <c r="S133" i="5" s="1"/>
  <c r="T132" i="5"/>
  <c r="U132" i="5" s="1"/>
  <c r="R132" i="5"/>
  <c r="S132" i="5" s="1"/>
  <c r="T131" i="5"/>
  <c r="U131" i="5" s="1"/>
  <c r="R131" i="5"/>
  <c r="S131" i="5" s="1"/>
  <c r="T130" i="5"/>
  <c r="U130" i="5" s="1"/>
  <c r="R130" i="5"/>
  <c r="S130" i="5" s="1"/>
  <c r="T129" i="5"/>
  <c r="U129" i="5" s="1"/>
  <c r="R129" i="5"/>
  <c r="S129" i="5" s="1"/>
  <c r="T128" i="5"/>
  <c r="U128" i="5" s="1"/>
  <c r="R128" i="5"/>
  <c r="S128" i="5" s="1"/>
  <c r="T127" i="5"/>
  <c r="U127" i="5" s="1"/>
  <c r="R127" i="5"/>
  <c r="S127" i="5" s="1"/>
  <c r="T126" i="5"/>
  <c r="U126" i="5" s="1"/>
  <c r="R126" i="5"/>
  <c r="S126" i="5" s="1"/>
  <c r="T125" i="5"/>
  <c r="U125" i="5" s="1"/>
  <c r="R125" i="5"/>
  <c r="S125" i="5" s="1"/>
  <c r="T124" i="5"/>
  <c r="U124" i="5" s="1"/>
  <c r="R124" i="5"/>
  <c r="S124" i="5" s="1"/>
  <c r="T123" i="5"/>
  <c r="U123" i="5" s="1"/>
  <c r="R123" i="5"/>
  <c r="S123" i="5" s="1"/>
  <c r="T122" i="5"/>
  <c r="U122" i="5" s="1"/>
  <c r="R122" i="5"/>
  <c r="S122" i="5" s="1"/>
  <c r="T121" i="5"/>
  <c r="U121" i="5" s="1"/>
  <c r="R121" i="5"/>
  <c r="S121" i="5" s="1"/>
  <c r="T120" i="5"/>
  <c r="U120" i="5" s="1"/>
  <c r="R120" i="5"/>
  <c r="S120" i="5" s="1"/>
  <c r="T119" i="5"/>
  <c r="U119" i="5" s="1"/>
  <c r="R119" i="5"/>
  <c r="S119" i="5" s="1"/>
  <c r="T118" i="5"/>
  <c r="U118" i="5" s="1"/>
  <c r="R118" i="5"/>
  <c r="S118" i="5" s="1"/>
  <c r="T117" i="5"/>
  <c r="U117" i="5" s="1"/>
  <c r="R117" i="5"/>
  <c r="S117" i="5" s="1"/>
  <c r="T116" i="5"/>
  <c r="U116" i="5" s="1"/>
  <c r="R116" i="5"/>
  <c r="S116" i="5" s="1"/>
  <c r="T115" i="5"/>
  <c r="U115" i="5" s="1"/>
  <c r="R115" i="5"/>
  <c r="S115" i="5" s="1"/>
  <c r="T114" i="5"/>
  <c r="U114" i="5" s="1"/>
  <c r="R114" i="5"/>
  <c r="S114" i="5" s="1"/>
  <c r="U113" i="5"/>
  <c r="T113" i="5"/>
  <c r="R113" i="5"/>
  <c r="S113" i="5" s="1"/>
  <c r="T112" i="5"/>
  <c r="U112" i="5" s="1"/>
  <c r="R112" i="5"/>
  <c r="S112" i="5" s="1"/>
  <c r="T111" i="5"/>
  <c r="U111" i="5" s="1"/>
  <c r="R111" i="5"/>
  <c r="S111" i="5" s="1"/>
  <c r="T110" i="5"/>
  <c r="U110" i="5" s="1"/>
  <c r="R110" i="5"/>
  <c r="S110" i="5" s="1"/>
  <c r="T109" i="5"/>
  <c r="U109" i="5" s="1"/>
  <c r="R109" i="5"/>
  <c r="S109" i="5" s="1"/>
  <c r="T108" i="5"/>
  <c r="U108" i="5" s="1"/>
  <c r="R108" i="5"/>
  <c r="S108" i="5" s="1"/>
  <c r="T107" i="5"/>
  <c r="U107" i="5" s="1"/>
  <c r="R107" i="5"/>
  <c r="S107" i="5" s="1"/>
  <c r="T106" i="5"/>
  <c r="U106" i="5" s="1"/>
  <c r="R106" i="5"/>
  <c r="S106" i="5" s="1"/>
  <c r="T105" i="5"/>
  <c r="U105" i="5" s="1"/>
  <c r="R105" i="5"/>
  <c r="S105" i="5" s="1"/>
  <c r="T104" i="5"/>
  <c r="U104" i="5" s="1"/>
  <c r="R104" i="5"/>
  <c r="S104" i="5" s="1"/>
  <c r="T103" i="5"/>
  <c r="U103" i="5" s="1"/>
  <c r="R103" i="5"/>
  <c r="S103" i="5" s="1"/>
  <c r="T102" i="5"/>
  <c r="U102" i="5" s="1"/>
  <c r="R102" i="5"/>
  <c r="S102" i="5" s="1"/>
  <c r="T101" i="5"/>
  <c r="U101" i="5" s="1"/>
  <c r="R101" i="5"/>
  <c r="S101" i="5" s="1"/>
  <c r="T100" i="5"/>
  <c r="U100" i="5" s="1"/>
  <c r="R100" i="5"/>
  <c r="S100" i="5" s="1"/>
  <c r="T99" i="5"/>
  <c r="U99" i="5" s="1"/>
  <c r="R99" i="5"/>
  <c r="S99" i="5" s="1"/>
  <c r="T98" i="5"/>
  <c r="U98" i="5" s="1"/>
  <c r="R98" i="5"/>
  <c r="S98" i="5" s="1"/>
  <c r="T97" i="5"/>
  <c r="U97" i="5" s="1"/>
  <c r="R97" i="5"/>
  <c r="S97" i="5" s="1"/>
  <c r="T96" i="5"/>
  <c r="U96" i="5" s="1"/>
  <c r="R96" i="5"/>
  <c r="S96" i="5" s="1"/>
  <c r="T95" i="5"/>
  <c r="U95" i="5" s="1"/>
  <c r="R95" i="5"/>
  <c r="S95" i="5" s="1"/>
  <c r="T94" i="5"/>
  <c r="U94" i="5" s="1"/>
  <c r="R94" i="5"/>
  <c r="S94" i="5" s="1"/>
  <c r="T93" i="5"/>
  <c r="U93" i="5" s="1"/>
  <c r="R93" i="5"/>
  <c r="S93" i="5" s="1"/>
  <c r="T92" i="5"/>
  <c r="U92" i="5" s="1"/>
  <c r="R92" i="5"/>
  <c r="S92" i="5" s="1"/>
  <c r="T91" i="5"/>
  <c r="U91" i="5" s="1"/>
  <c r="R91" i="5"/>
  <c r="S91" i="5" s="1"/>
  <c r="T90" i="5"/>
  <c r="U90" i="5" s="1"/>
  <c r="R90" i="5"/>
  <c r="S90" i="5" s="1"/>
  <c r="U89" i="5"/>
  <c r="T89" i="5"/>
  <c r="R89" i="5"/>
  <c r="S89" i="5" s="1"/>
  <c r="T88" i="5"/>
  <c r="U88" i="5" s="1"/>
  <c r="R88" i="5"/>
  <c r="S88" i="5" s="1"/>
  <c r="T87" i="5"/>
  <c r="U87" i="5" s="1"/>
  <c r="R87" i="5"/>
  <c r="S87" i="5" s="1"/>
  <c r="T86" i="5"/>
  <c r="U86" i="5" s="1"/>
  <c r="R86" i="5"/>
  <c r="S86" i="5" s="1"/>
  <c r="T85" i="5"/>
  <c r="U85" i="5" s="1"/>
  <c r="R85" i="5"/>
  <c r="S85" i="5" s="1"/>
  <c r="T84" i="5"/>
  <c r="U84" i="5" s="1"/>
  <c r="R84" i="5"/>
  <c r="S84" i="5" s="1"/>
  <c r="T83" i="5"/>
  <c r="U83" i="5" s="1"/>
  <c r="R83" i="5"/>
  <c r="S83" i="5" s="1"/>
  <c r="T82" i="5"/>
  <c r="U82" i="5" s="1"/>
  <c r="R82" i="5"/>
  <c r="S82" i="5" s="1"/>
  <c r="T81" i="5"/>
  <c r="U81" i="5" s="1"/>
  <c r="R81" i="5"/>
  <c r="S81" i="5" s="1"/>
  <c r="T80" i="5"/>
  <c r="U80" i="5" s="1"/>
  <c r="R80" i="5"/>
  <c r="S80" i="5" s="1"/>
  <c r="T79" i="5"/>
  <c r="U79" i="5" s="1"/>
  <c r="R79" i="5"/>
  <c r="S79" i="5" s="1"/>
  <c r="T78" i="5"/>
  <c r="U78" i="5" s="1"/>
  <c r="R78" i="5"/>
  <c r="S78" i="5" s="1"/>
  <c r="T77" i="5"/>
  <c r="U77" i="5" s="1"/>
  <c r="R77" i="5"/>
  <c r="S77" i="5" s="1"/>
  <c r="T76" i="5"/>
  <c r="U76" i="5" s="1"/>
  <c r="R76" i="5"/>
  <c r="S76" i="5" s="1"/>
  <c r="T75" i="5"/>
  <c r="U75" i="5" s="1"/>
  <c r="R75" i="5"/>
  <c r="S75" i="5" s="1"/>
  <c r="T74" i="5"/>
  <c r="U74" i="5" s="1"/>
  <c r="R74" i="5"/>
  <c r="S74" i="5" s="1"/>
  <c r="T73" i="5"/>
  <c r="U73" i="5" s="1"/>
  <c r="R73" i="5"/>
  <c r="S73" i="5" s="1"/>
  <c r="T72" i="5"/>
  <c r="U72" i="5" s="1"/>
  <c r="R72" i="5"/>
  <c r="S72" i="5" s="1"/>
  <c r="T71" i="5"/>
  <c r="U71" i="5" s="1"/>
  <c r="R71" i="5"/>
  <c r="S71" i="5" s="1"/>
  <c r="T70" i="5"/>
  <c r="U70" i="5" s="1"/>
  <c r="R70" i="5"/>
  <c r="S70" i="5" s="1"/>
  <c r="T69" i="5"/>
  <c r="U69" i="5" s="1"/>
  <c r="R69" i="5"/>
  <c r="S69" i="5" s="1"/>
  <c r="T68" i="5"/>
  <c r="U68" i="5" s="1"/>
  <c r="R68" i="5"/>
  <c r="S68" i="5" s="1"/>
  <c r="T67" i="5"/>
  <c r="U67" i="5" s="1"/>
  <c r="R67" i="5"/>
  <c r="S67" i="5" s="1"/>
  <c r="T66" i="5"/>
  <c r="U66" i="5" s="1"/>
  <c r="R66" i="5"/>
  <c r="S66" i="5" s="1"/>
  <c r="T65" i="5"/>
  <c r="U65" i="5" s="1"/>
  <c r="R65" i="5"/>
  <c r="S65" i="5" s="1"/>
  <c r="T64" i="5"/>
  <c r="U64" i="5" s="1"/>
  <c r="R64" i="5"/>
  <c r="S64" i="5" s="1"/>
  <c r="T63" i="5"/>
  <c r="U63" i="5" s="1"/>
  <c r="R63" i="5"/>
  <c r="S63" i="5" s="1"/>
  <c r="T62" i="5"/>
  <c r="U62" i="5" s="1"/>
  <c r="R62" i="5"/>
  <c r="S62" i="5" s="1"/>
  <c r="T61" i="5"/>
  <c r="U61" i="5" s="1"/>
  <c r="R61" i="5"/>
  <c r="S61" i="5" s="1"/>
  <c r="T60" i="5"/>
  <c r="U60" i="5" s="1"/>
  <c r="R60" i="5"/>
  <c r="S60" i="5" s="1"/>
  <c r="T59" i="5"/>
  <c r="U59" i="5" s="1"/>
  <c r="R59" i="5"/>
  <c r="S59" i="5" s="1"/>
  <c r="T58" i="5"/>
  <c r="U58" i="5" s="1"/>
  <c r="R58" i="5"/>
  <c r="S58" i="5" s="1"/>
  <c r="T57" i="5"/>
  <c r="U57" i="5" s="1"/>
  <c r="R57" i="5"/>
  <c r="S57" i="5" s="1"/>
  <c r="T56" i="5"/>
  <c r="U56" i="5" s="1"/>
  <c r="R56" i="5"/>
  <c r="S56" i="5" s="1"/>
  <c r="T55" i="5"/>
  <c r="U55" i="5" s="1"/>
  <c r="R55" i="5"/>
  <c r="S55" i="5" s="1"/>
  <c r="T54" i="5"/>
  <c r="U54" i="5" s="1"/>
  <c r="R54" i="5"/>
  <c r="S54" i="5" s="1"/>
  <c r="T53" i="5"/>
  <c r="U53" i="5" s="1"/>
  <c r="R53" i="5"/>
  <c r="S53" i="5" s="1"/>
  <c r="T52" i="5"/>
  <c r="U52" i="5" s="1"/>
  <c r="R52" i="5"/>
  <c r="S52" i="5" s="1"/>
  <c r="T51" i="5"/>
  <c r="U51" i="5" s="1"/>
  <c r="R51" i="5"/>
  <c r="S51" i="5" s="1"/>
  <c r="T50" i="5"/>
  <c r="U50" i="5" s="1"/>
  <c r="R50" i="5"/>
  <c r="S50" i="5" s="1"/>
  <c r="T49" i="5"/>
  <c r="U49" i="5" s="1"/>
  <c r="R49" i="5"/>
  <c r="S49" i="5" s="1"/>
  <c r="T48" i="5"/>
  <c r="U48" i="5" s="1"/>
  <c r="R48" i="5"/>
  <c r="S48" i="5" s="1"/>
  <c r="T47" i="5"/>
  <c r="U47" i="5" s="1"/>
  <c r="R47" i="5"/>
  <c r="S47" i="5" s="1"/>
  <c r="T46" i="5"/>
  <c r="U46" i="5" s="1"/>
  <c r="R46" i="5"/>
  <c r="S46" i="5" s="1"/>
  <c r="T45" i="5"/>
  <c r="U45" i="5" s="1"/>
  <c r="R45" i="5"/>
  <c r="S45" i="5" s="1"/>
  <c r="T44" i="5"/>
  <c r="U44" i="5" s="1"/>
  <c r="R44" i="5"/>
  <c r="S44" i="5" s="1"/>
  <c r="T43" i="5"/>
  <c r="U43" i="5" s="1"/>
  <c r="R43" i="5"/>
  <c r="S43" i="5" s="1"/>
  <c r="T42" i="5"/>
  <c r="U42" i="5" s="1"/>
  <c r="R42" i="5"/>
  <c r="S42" i="5" s="1"/>
  <c r="T41" i="5"/>
  <c r="U41" i="5" s="1"/>
  <c r="R41" i="5"/>
  <c r="S41" i="5" s="1"/>
  <c r="T40" i="5"/>
  <c r="U40" i="5" s="1"/>
  <c r="R40" i="5"/>
  <c r="S40" i="5" s="1"/>
  <c r="T39" i="5"/>
  <c r="U39" i="5" s="1"/>
  <c r="R39" i="5"/>
  <c r="S39" i="5" s="1"/>
  <c r="T38" i="5"/>
  <c r="U38" i="5" s="1"/>
  <c r="R38" i="5"/>
  <c r="S38" i="5" s="1"/>
  <c r="T37" i="5"/>
  <c r="U37" i="5" s="1"/>
  <c r="R37" i="5"/>
  <c r="S37" i="5" s="1"/>
  <c r="T36" i="5"/>
  <c r="U36" i="5" s="1"/>
  <c r="R36" i="5"/>
  <c r="S36" i="5" s="1"/>
  <c r="T35" i="5"/>
  <c r="U35" i="5" s="1"/>
  <c r="R35" i="5"/>
  <c r="S35" i="5" s="1"/>
  <c r="T34" i="5"/>
  <c r="U34" i="5" s="1"/>
  <c r="R34" i="5"/>
  <c r="S34" i="5" s="1"/>
  <c r="T33" i="5"/>
  <c r="U33" i="5" s="1"/>
  <c r="R33" i="5"/>
  <c r="S33" i="5" s="1"/>
  <c r="T32" i="5"/>
  <c r="U32" i="5" s="1"/>
  <c r="R32" i="5"/>
  <c r="S32" i="5" s="1"/>
  <c r="T31" i="5"/>
  <c r="U31" i="5" s="1"/>
  <c r="R31" i="5"/>
  <c r="S31" i="5" s="1"/>
  <c r="T30" i="5"/>
  <c r="U30" i="5" s="1"/>
  <c r="R30" i="5"/>
  <c r="S30" i="5" s="1"/>
  <c r="U29" i="5"/>
  <c r="T29" i="5"/>
  <c r="R29" i="5"/>
  <c r="S29" i="5" s="1"/>
  <c r="T28" i="5"/>
  <c r="U28" i="5" s="1"/>
  <c r="R28" i="5"/>
  <c r="S28" i="5" s="1"/>
  <c r="T27" i="5"/>
  <c r="U27" i="5" s="1"/>
  <c r="R27" i="5"/>
  <c r="S27" i="5" s="1"/>
  <c r="T26" i="5"/>
  <c r="U26" i="5" s="1"/>
  <c r="R26" i="5"/>
  <c r="S26" i="5" s="1"/>
  <c r="T25" i="5"/>
  <c r="U25" i="5" s="1"/>
  <c r="R25" i="5"/>
  <c r="S25" i="5" s="1"/>
  <c r="T24" i="5"/>
  <c r="U24" i="5" s="1"/>
  <c r="R24" i="5"/>
  <c r="S24" i="5" s="1"/>
  <c r="T23" i="5"/>
  <c r="U23" i="5" s="1"/>
  <c r="R23" i="5"/>
  <c r="S23" i="5" s="1"/>
  <c r="T22" i="5"/>
  <c r="U22" i="5" s="1"/>
  <c r="R22" i="5"/>
  <c r="S22" i="5" s="1"/>
  <c r="T21" i="5"/>
  <c r="U21" i="5" s="1"/>
  <c r="R21" i="5"/>
  <c r="S21" i="5" s="1"/>
  <c r="U20" i="5"/>
  <c r="T20" i="5"/>
  <c r="R20" i="5"/>
  <c r="S20" i="5" s="1"/>
  <c r="T19" i="5"/>
  <c r="U19" i="5" s="1"/>
  <c r="R19" i="5"/>
  <c r="S19" i="5" s="1"/>
  <c r="T18" i="5"/>
  <c r="U18" i="5" s="1"/>
  <c r="R18" i="5"/>
  <c r="S18" i="5" s="1"/>
  <c r="N18" i="5"/>
  <c r="M18" i="5"/>
  <c r="T17" i="5"/>
  <c r="U17" i="5" s="1"/>
  <c r="R17" i="5"/>
  <c r="S17" i="5" s="1"/>
  <c r="N17" i="5"/>
  <c r="M17" i="5"/>
  <c r="T16" i="5"/>
  <c r="U16" i="5" s="1"/>
  <c r="W16" i="5" s="1"/>
  <c r="R16" i="5"/>
  <c r="S16" i="5" s="1"/>
  <c r="M16" i="5"/>
  <c r="T15" i="5"/>
  <c r="U15" i="5" s="1"/>
  <c r="R15" i="5"/>
  <c r="S15" i="5" s="1"/>
  <c r="N15" i="5"/>
  <c r="M15" i="5"/>
  <c r="B15" i="5"/>
  <c r="E15" i="5" s="1"/>
  <c r="O14" i="5"/>
  <c r="P14" i="5" s="1"/>
  <c r="F14" i="5"/>
  <c r="E14" i="5"/>
  <c r="C14" i="5"/>
  <c r="Q8" i="5"/>
  <c r="T7" i="5"/>
  <c r="I3" i="5"/>
  <c r="I1" i="5"/>
  <c r="G41" i="7" l="1"/>
  <c r="F41" i="7"/>
  <c r="E41" i="7"/>
  <c r="B42" i="7"/>
  <c r="D23" i="7" a="1"/>
  <c r="D23" i="7" s="1"/>
  <c r="M233" i="5"/>
  <c r="M231" i="5"/>
  <c r="M228" i="5"/>
  <c r="O234" i="5"/>
  <c r="P234" i="5" s="1"/>
  <c r="M234" i="5"/>
  <c r="O230" i="5"/>
  <c r="P230" i="5" s="1"/>
  <c r="M230" i="5"/>
  <c r="O228" i="5"/>
  <c r="P228" i="5" s="1"/>
  <c r="L3" i="5"/>
  <c r="G15" i="5"/>
  <c r="B16" i="5"/>
  <c r="F15" i="5"/>
  <c r="D15" i="5" s="1" a="1"/>
  <c r="D15" i="5" s="1"/>
  <c r="H16" i="5" s="1"/>
  <c r="N229" i="5"/>
  <c r="O229" i="5" s="1"/>
  <c r="P229" i="5" s="1"/>
  <c r="M229" i="5"/>
  <c r="N232" i="5"/>
  <c r="O232" i="5" s="1"/>
  <c r="P232" i="5" s="1"/>
  <c r="M232" i="5"/>
  <c r="O235" i="5"/>
  <c r="P235" i="5" s="1"/>
  <c r="O233" i="5"/>
  <c r="P233" i="5" s="1"/>
  <c r="M235" i="5"/>
  <c r="A23" i="7" l="1"/>
  <c r="I24" i="7"/>
  <c r="L24" i="7"/>
  <c r="B43" i="7"/>
  <c r="G42" i="7"/>
  <c r="F42" i="7"/>
  <c r="E42" i="7"/>
  <c r="G16" i="5"/>
  <c r="E16" i="5"/>
  <c r="F16" i="5"/>
  <c r="B17" i="5"/>
  <c r="M28" i="7" l="1"/>
  <c r="N28" i="7"/>
  <c r="C24" i="7"/>
  <c r="F43" i="7"/>
  <c r="E43" i="7"/>
  <c r="B44" i="7"/>
  <c r="G43" i="7"/>
  <c r="H24" i="7"/>
  <c r="J24" i="7" s="1"/>
  <c r="E17" i="5"/>
  <c r="F17" i="5"/>
  <c r="G17" i="5"/>
  <c r="B18" i="5"/>
  <c r="K24" i="7" l="1"/>
  <c r="O24" i="7" s="1"/>
  <c r="P24" i="7" s="1"/>
  <c r="B45" i="7"/>
  <c r="G44" i="7"/>
  <c r="F44" i="7"/>
  <c r="E44" i="7"/>
  <c r="B19" i="5"/>
  <c r="F18" i="5"/>
  <c r="E18" i="5"/>
  <c r="G18" i="5"/>
  <c r="D24" i="7" l="1" a="1"/>
  <c r="D24" i="7" s="1"/>
  <c r="A24" i="7" s="1"/>
  <c r="B46" i="7"/>
  <c r="E45" i="7"/>
  <c r="G45" i="7"/>
  <c r="F45" i="7"/>
  <c r="E19" i="5"/>
  <c r="G19" i="5"/>
  <c r="F19" i="5"/>
  <c r="B20" i="5"/>
  <c r="I25" i="7" l="1"/>
  <c r="L25" i="7"/>
  <c r="C25" i="7" s="1"/>
  <c r="B47" i="7"/>
  <c r="G46" i="7"/>
  <c r="F46" i="7"/>
  <c r="E46" i="7"/>
  <c r="B21" i="5"/>
  <c r="F20" i="5"/>
  <c r="E20" i="5"/>
  <c r="G20" i="5"/>
  <c r="H25" i="7" l="1"/>
  <c r="J25" i="7" s="1"/>
  <c r="M29" i="7"/>
  <c r="N29" i="7"/>
  <c r="G47" i="7"/>
  <c r="F47" i="7"/>
  <c r="E47" i="7"/>
  <c r="B48" i="7"/>
  <c r="K25" i="7"/>
  <c r="O25" i="7" s="1"/>
  <c r="P25" i="7" s="1"/>
  <c r="B22" i="5"/>
  <c r="G21" i="5"/>
  <c r="F21" i="5"/>
  <c r="E21" i="5"/>
  <c r="D25" i="7" l="1" a="1"/>
  <c r="D25" i="7" s="1"/>
  <c r="B49" i="7"/>
  <c r="G48" i="7"/>
  <c r="F48" i="7"/>
  <c r="E48" i="7"/>
  <c r="G22" i="5"/>
  <c r="B23" i="5"/>
  <c r="F22" i="5"/>
  <c r="E22" i="5"/>
  <c r="E49" i="7" l="1"/>
  <c r="B50" i="7"/>
  <c r="G49" i="7"/>
  <c r="F49" i="7"/>
  <c r="A25" i="7"/>
  <c r="I26" i="7"/>
  <c r="L26" i="7"/>
  <c r="F23" i="5"/>
  <c r="G23" i="5"/>
  <c r="B24" i="5"/>
  <c r="E23" i="5"/>
  <c r="B51" i="7" l="1"/>
  <c r="G50" i="7"/>
  <c r="F50" i="7"/>
  <c r="E50" i="7"/>
  <c r="N30" i="7"/>
  <c r="M30" i="7"/>
  <c r="H26" i="7"/>
  <c r="J26" i="7" s="1"/>
  <c r="C26" i="7"/>
  <c r="B25" i="5"/>
  <c r="E24" i="5"/>
  <c r="G24" i="5"/>
  <c r="F24" i="5"/>
  <c r="G51" i="7" l="1"/>
  <c r="F51" i="7"/>
  <c r="E51" i="7"/>
  <c r="B52" i="7"/>
  <c r="K26" i="7"/>
  <c r="O26" i="7" s="1"/>
  <c r="P26" i="7" s="1"/>
  <c r="G25" i="5"/>
  <c r="B26" i="5"/>
  <c r="E25" i="5"/>
  <c r="F25" i="5"/>
  <c r="G52" i="7" l="1"/>
  <c r="E52" i="7"/>
  <c r="F52" i="7"/>
  <c r="B53" i="7"/>
  <c r="D26" i="7" a="1"/>
  <c r="D26" i="7" s="1"/>
  <c r="F26" i="5"/>
  <c r="E26" i="5"/>
  <c r="B27" i="5"/>
  <c r="G26" i="5"/>
  <c r="A26" i="7" l="1"/>
  <c r="L27" i="7"/>
  <c r="H27" i="7" s="1"/>
  <c r="I27" i="7"/>
  <c r="E53" i="7"/>
  <c r="G53" i="7"/>
  <c r="F53" i="7"/>
  <c r="B54" i="7"/>
  <c r="B28" i="5"/>
  <c r="E27" i="5"/>
  <c r="G27" i="5"/>
  <c r="F27" i="5"/>
  <c r="J27" i="7" l="1"/>
  <c r="G54" i="7"/>
  <c r="E54" i="7"/>
  <c r="F54" i="7"/>
  <c r="B55" i="7"/>
  <c r="N31" i="7"/>
  <c r="M31" i="7"/>
  <c r="C27" i="7"/>
  <c r="K27" i="7" s="1"/>
  <c r="O27" i="7" s="1"/>
  <c r="P27" i="7" s="1"/>
  <c r="B29" i="5"/>
  <c r="G28" i="5"/>
  <c r="E28" i="5"/>
  <c r="F28" i="5"/>
  <c r="E55" i="7" l="1"/>
  <c r="G55" i="7"/>
  <c r="F55" i="7"/>
  <c r="B56" i="7"/>
  <c r="D27" i="7" a="1"/>
  <c r="D27" i="7" s="1"/>
  <c r="G29" i="5"/>
  <c r="F29" i="5"/>
  <c r="B30" i="5"/>
  <c r="E29" i="5"/>
  <c r="G56" i="7" l="1"/>
  <c r="E56" i="7"/>
  <c r="F56" i="7"/>
  <c r="B57" i="7"/>
  <c r="A27" i="7"/>
  <c r="I28" i="7"/>
  <c r="L28" i="7"/>
  <c r="C28" i="7" s="1"/>
  <c r="B31" i="5"/>
  <c r="F30" i="5"/>
  <c r="E30" i="5"/>
  <c r="G30" i="5"/>
  <c r="E57" i="7" l="1"/>
  <c r="G57" i="7"/>
  <c r="F57" i="7"/>
  <c r="B58" i="7"/>
  <c r="N32" i="7"/>
  <c r="M32" i="7"/>
  <c r="H28" i="7"/>
  <c r="J28" i="7" s="1"/>
  <c r="G31" i="5"/>
  <c r="F31" i="5"/>
  <c r="B32" i="5"/>
  <c r="E31" i="5"/>
  <c r="G58" i="7" l="1"/>
  <c r="E58" i="7"/>
  <c r="B59" i="7"/>
  <c r="F58" i="7"/>
  <c r="K28" i="7"/>
  <c r="O28" i="7" s="1"/>
  <c r="P28" i="7" s="1"/>
  <c r="B33" i="5"/>
  <c r="F32" i="5"/>
  <c r="E32" i="5"/>
  <c r="G32" i="5"/>
  <c r="E59" i="7" l="1"/>
  <c r="G59" i="7"/>
  <c r="F59" i="7"/>
  <c r="B60" i="7"/>
  <c r="D28" i="7" a="1"/>
  <c r="D28" i="7" s="1"/>
  <c r="E33" i="5"/>
  <c r="G33" i="5"/>
  <c r="B34" i="5"/>
  <c r="F33" i="5"/>
  <c r="A28" i="7" l="1"/>
  <c r="L29" i="7"/>
  <c r="H29" i="7" s="1"/>
  <c r="I29" i="7"/>
  <c r="G60" i="7"/>
  <c r="E60" i="7"/>
  <c r="F60" i="7"/>
  <c r="B61" i="7"/>
  <c r="B35" i="5"/>
  <c r="F34" i="5"/>
  <c r="E34" i="5"/>
  <c r="G34" i="5"/>
  <c r="J29" i="7" l="1"/>
  <c r="N33" i="7"/>
  <c r="M33" i="7"/>
  <c r="E61" i="7"/>
  <c r="G61" i="7"/>
  <c r="F61" i="7"/>
  <c r="B62" i="7"/>
  <c r="C29" i="7"/>
  <c r="B36" i="5"/>
  <c r="G35" i="5"/>
  <c r="F35" i="5"/>
  <c r="E35" i="5"/>
  <c r="K29" i="7" l="1"/>
  <c r="O29" i="7" s="1"/>
  <c r="P29" i="7" s="1"/>
  <c r="G62" i="7"/>
  <c r="E62" i="7"/>
  <c r="B63" i="7"/>
  <c r="F62" i="7"/>
  <c r="G36" i="5"/>
  <c r="B37" i="5"/>
  <c r="F36" i="5"/>
  <c r="E36" i="5"/>
  <c r="D29" i="7" l="1" a="1"/>
  <c r="D29" i="7" s="1"/>
  <c r="A29" i="7" s="1"/>
  <c r="E63" i="7"/>
  <c r="G63" i="7"/>
  <c r="B64" i="7"/>
  <c r="F63" i="7"/>
  <c r="E37" i="5"/>
  <c r="G37" i="5"/>
  <c r="F37" i="5"/>
  <c r="B38" i="5"/>
  <c r="L30" i="7" l="1"/>
  <c r="C30" i="7" s="1"/>
  <c r="I30" i="7"/>
  <c r="G64" i="7"/>
  <c r="E64" i="7"/>
  <c r="B65" i="7"/>
  <c r="F64" i="7"/>
  <c r="B39" i="5"/>
  <c r="G38" i="5"/>
  <c r="F38" i="5"/>
  <c r="E38" i="5"/>
  <c r="H30" i="7" l="1"/>
  <c r="J30" i="7" s="1"/>
  <c r="N34" i="7"/>
  <c r="M34" i="7"/>
  <c r="E65" i="7"/>
  <c r="G65" i="7"/>
  <c r="F65" i="7"/>
  <c r="B66" i="7"/>
  <c r="K30" i="7"/>
  <c r="O30" i="7" s="1"/>
  <c r="P30" i="7" s="1"/>
  <c r="B40" i="5"/>
  <c r="G39" i="5"/>
  <c r="F39" i="5"/>
  <c r="E39" i="5"/>
  <c r="D30" i="7" l="1" a="1"/>
  <c r="D30" i="7" s="1"/>
  <c r="G66" i="7"/>
  <c r="E66" i="7"/>
  <c r="F66" i="7"/>
  <c r="B67" i="7"/>
  <c r="F40" i="5"/>
  <c r="E40" i="5"/>
  <c r="G40" i="5"/>
  <c r="B41" i="5"/>
  <c r="E67" i="7" l="1"/>
  <c r="G67" i="7"/>
  <c r="F67" i="7"/>
  <c r="B68" i="7"/>
  <c r="A30" i="7"/>
  <c r="L31" i="7"/>
  <c r="I31" i="7"/>
  <c r="G41" i="5"/>
  <c r="F41" i="5"/>
  <c r="B42" i="5"/>
  <c r="E41" i="5"/>
  <c r="N35" i="7" l="1"/>
  <c r="M35" i="7"/>
  <c r="C31" i="7"/>
  <c r="G68" i="7"/>
  <c r="E68" i="7"/>
  <c r="F68" i="7"/>
  <c r="B69" i="7"/>
  <c r="H31" i="7"/>
  <c r="J31" i="7" s="1"/>
  <c r="B43" i="5"/>
  <c r="G42" i="5"/>
  <c r="F42" i="5"/>
  <c r="E42" i="5"/>
  <c r="K31" i="7" l="1"/>
  <c r="O31" i="7" s="1"/>
  <c r="P31" i="7" s="1"/>
  <c r="E69" i="7"/>
  <c r="G69" i="7"/>
  <c r="F69" i="7"/>
  <c r="B70" i="7"/>
  <c r="D31" i="7" a="1"/>
  <c r="D31" i="7" s="1"/>
  <c r="G43" i="5"/>
  <c r="F43" i="5"/>
  <c r="B44" i="5"/>
  <c r="E43" i="5"/>
  <c r="G70" i="7" l="1"/>
  <c r="E70" i="7"/>
  <c r="B71" i="7"/>
  <c r="F70" i="7"/>
  <c r="A31" i="7"/>
  <c r="L32" i="7"/>
  <c r="C32" i="7" s="1"/>
  <c r="I32" i="7"/>
  <c r="F44" i="5"/>
  <c r="G44" i="5"/>
  <c r="E44" i="5"/>
  <c r="B45" i="5"/>
  <c r="E71" i="7" l="1"/>
  <c r="G71" i="7"/>
  <c r="B72" i="7"/>
  <c r="F71" i="7"/>
  <c r="N36" i="7"/>
  <c r="M36" i="7"/>
  <c r="H32" i="7"/>
  <c r="J32" i="7" s="1"/>
  <c r="G45" i="5"/>
  <c r="F45" i="5"/>
  <c r="B46" i="5"/>
  <c r="E45" i="5"/>
  <c r="G72" i="7" l="1"/>
  <c r="E72" i="7"/>
  <c r="B73" i="7"/>
  <c r="F72" i="7"/>
  <c r="K32" i="7"/>
  <c r="O32" i="7" s="1"/>
  <c r="P32" i="7" s="1"/>
  <c r="B47" i="5"/>
  <c r="E46" i="5"/>
  <c r="G46" i="5"/>
  <c r="F46" i="5"/>
  <c r="D32" i="7" l="1" a="1"/>
  <c r="D32" i="7" s="1"/>
  <c r="E73" i="7"/>
  <c r="G73" i="7"/>
  <c r="F73" i="7"/>
  <c r="B74" i="7"/>
  <c r="E47" i="5"/>
  <c r="G47" i="5"/>
  <c r="F47" i="5"/>
  <c r="B48" i="5"/>
  <c r="G74" i="7" l="1"/>
  <c r="E74" i="7"/>
  <c r="F74" i="7"/>
  <c r="B75" i="7"/>
  <c r="A32" i="7"/>
  <c r="L33" i="7"/>
  <c r="C33" i="7" s="1"/>
  <c r="I33" i="7"/>
  <c r="B49" i="5"/>
  <c r="G48" i="5"/>
  <c r="F48" i="5"/>
  <c r="E48" i="5"/>
  <c r="H33" i="7" l="1"/>
  <c r="J33" i="7" s="1"/>
  <c r="E75" i="7"/>
  <c r="G75" i="7"/>
  <c r="F75" i="7"/>
  <c r="B76" i="7"/>
  <c r="N37" i="7"/>
  <c r="M37" i="7"/>
  <c r="B50" i="5"/>
  <c r="G49" i="5"/>
  <c r="F49" i="5"/>
  <c r="E49" i="5"/>
  <c r="G76" i="7" l="1"/>
  <c r="E76" i="7"/>
  <c r="B77" i="7"/>
  <c r="F76" i="7"/>
  <c r="K33" i="7"/>
  <c r="O33" i="7" s="1"/>
  <c r="P33" i="7" s="1"/>
  <c r="F50" i="5"/>
  <c r="E50" i="5"/>
  <c r="B51" i="5"/>
  <c r="G50" i="5"/>
  <c r="E77" i="7" l="1"/>
  <c r="G77" i="7"/>
  <c r="F77" i="7"/>
  <c r="B78" i="7"/>
  <c r="D33" i="7" a="1"/>
  <c r="D33" i="7" s="1"/>
  <c r="E51" i="5"/>
  <c r="G51" i="5"/>
  <c r="F51" i="5"/>
  <c r="B52" i="5"/>
  <c r="G78" i="7" l="1"/>
  <c r="E78" i="7"/>
  <c r="F78" i="7"/>
  <c r="B79" i="7"/>
  <c r="A33" i="7"/>
  <c r="I34" i="7"/>
  <c r="L34" i="7"/>
  <c r="H34" i="7" s="1"/>
  <c r="B53" i="5"/>
  <c r="F52" i="5"/>
  <c r="E52" i="5"/>
  <c r="G52" i="5"/>
  <c r="J34" i="7" l="1"/>
  <c r="N38" i="7"/>
  <c r="M38" i="7"/>
  <c r="E79" i="7"/>
  <c r="G79" i="7"/>
  <c r="F79" i="7"/>
  <c r="B80" i="7"/>
  <c r="C34" i="7"/>
  <c r="K34" i="7" s="1"/>
  <c r="O34" i="7" s="1"/>
  <c r="P34" i="7" s="1"/>
  <c r="B54" i="5"/>
  <c r="G53" i="5"/>
  <c r="E53" i="5"/>
  <c r="F53" i="5"/>
  <c r="G80" i="7" l="1"/>
  <c r="E80" i="7"/>
  <c r="B81" i="7"/>
  <c r="F80" i="7"/>
  <c r="D34" i="7" a="1"/>
  <c r="D34" i="7" s="1"/>
  <c r="F54" i="5"/>
  <c r="E54" i="5"/>
  <c r="G54" i="5"/>
  <c r="B55" i="5"/>
  <c r="A34" i="7" l="1"/>
  <c r="I35" i="7"/>
  <c r="L35" i="7"/>
  <c r="C35" i="7" s="1"/>
  <c r="E81" i="7"/>
  <c r="G81" i="7"/>
  <c r="F81" i="7"/>
  <c r="B82" i="7"/>
  <c r="B56" i="5"/>
  <c r="G55" i="5"/>
  <c r="F55" i="5"/>
  <c r="E55" i="5"/>
  <c r="G82" i="7" l="1"/>
  <c r="E82" i="7"/>
  <c r="B83" i="7"/>
  <c r="F82" i="7"/>
  <c r="N39" i="7"/>
  <c r="M39" i="7"/>
  <c r="H35" i="7"/>
  <c r="J35" i="7" s="1"/>
  <c r="B57" i="5"/>
  <c r="G56" i="5"/>
  <c r="F56" i="5"/>
  <c r="E56" i="5"/>
  <c r="E83" i="7" l="1"/>
  <c r="G83" i="7"/>
  <c r="F83" i="7"/>
  <c r="B84" i="7"/>
  <c r="K35" i="7"/>
  <c r="O35" i="7" s="1"/>
  <c r="P35" i="7" s="1"/>
  <c r="F57" i="5"/>
  <c r="E57" i="5"/>
  <c r="B58" i="5"/>
  <c r="G57" i="5"/>
  <c r="D35" i="7" l="1" a="1"/>
  <c r="D35" i="7" s="1"/>
  <c r="G84" i="7"/>
  <c r="E84" i="7"/>
  <c r="F84" i="7"/>
  <c r="B85" i="7"/>
  <c r="F58" i="5"/>
  <c r="G58" i="5"/>
  <c r="E58" i="5"/>
  <c r="B59" i="5"/>
  <c r="E85" i="7" l="1"/>
  <c r="G85" i="7"/>
  <c r="F85" i="7"/>
  <c r="B86" i="7"/>
  <c r="A35" i="7"/>
  <c r="I36" i="7"/>
  <c r="L36" i="7"/>
  <c r="C36" i="7" s="1"/>
  <c r="E59" i="5"/>
  <c r="B60" i="5"/>
  <c r="G59" i="5"/>
  <c r="F59" i="5"/>
  <c r="G86" i="7" l="1"/>
  <c r="E86" i="7"/>
  <c r="B87" i="7"/>
  <c r="F86" i="7"/>
  <c r="N40" i="7"/>
  <c r="M40" i="7"/>
  <c r="H36" i="7"/>
  <c r="J36" i="7" s="1"/>
  <c r="B61" i="5"/>
  <c r="F60" i="5"/>
  <c r="G60" i="5"/>
  <c r="E60" i="5"/>
  <c r="E87" i="7" l="1"/>
  <c r="G87" i="7"/>
  <c r="F87" i="7"/>
  <c r="B88" i="7"/>
  <c r="K36" i="7"/>
  <c r="O36" i="7" s="1"/>
  <c r="P36" i="7" s="1"/>
  <c r="B62" i="5"/>
  <c r="E61" i="5"/>
  <c r="G61" i="5"/>
  <c r="F61" i="5"/>
  <c r="D36" i="7" l="1" a="1"/>
  <c r="D36" i="7" s="1"/>
  <c r="G88" i="7"/>
  <c r="E88" i="7"/>
  <c r="F88" i="7"/>
  <c r="B89" i="7"/>
  <c r="B63" i="5"/>
  <c r="G62" i="5"/>
  <c r="F62" i="5"/>
  <c r="E62" i="5"/>
  <c r="E89" i="7" l="1"/>
  <c r="G89" i="7"/>
  <c r="F89" i="7"/>
  <c r="B90" i="7"/>
  <c r="A36" i="7"/>
  <c r="L37" i="7"/>
  <c r="H37" i="7" s="1"/>
  <c r="I37" i="7"/>
  <c r="B64" i="5"/>
  <c r="E63" i="5"/>
  <c r="G63" i="5"/>
  <c r="F63" i="5"/>
  <c r="J37" i="7" l="1"/>
  <c r="N41" i="7"/>
  <c r="M41" i="7"/>
  <c r="G90" i="7"/>
  <c r="E90" i="7"/>
  <c r="B91" i="7"/>
  <c r="F90" i="7"/>
  <c r="C37" i="7"/>
  <c r="K37" i="7" s="1"/>
  <c r="O37" i="7" s="1"/>
  <c r="P37" i="7" s="1"/>
  <c r="F64" i="5"/>
  <c r="E64" i="5"/>
  <c r="B65" i="5"/>
  <c r="G64" i="5"/>
  <c r="E91" i="7" l="1"/>
  <c r="G91" i="7"/>
  <c r="F91" i="7"/>
  <c r="B92" i="7"/>
  <c r="D37" i="7" a="1"/>
  <c r="D37" i="7" s="1"/>
  <c r="B66" i="5"/>
  <c r="G65" i="5"/>
  <c r="F65" i="5"/>
  <c r="E65" i="5"/>
  <c r="G92" i="7" l="1"/>
  <c r="E92" i="7"/>
  <c r="B93" i="7"/>
  <c r="F92" i="7"/>
  <c r="A37" i="7"/>
  <c r="I38" i="7"/>
  <c r="L38" i="7"/>
  <c r="H38" i="7" s="1"/>
  <c r="B67" i="5"/>
  <c r="G66" i="5"/>
  <c r="E66" i="5"/>
  <c r="F66" i="5"/>
  <c r="J38" i="7" l="1"/>
  <c r="E93" i="7"/>
  <c r="G93" i="7"/>
  <c r="F93" i="7"/>
  <c r="B94" i="7"/>
  <c r="N42" i="7"/>
  <c r="M42" i="7"/>
  <c r="C38" i="7"/>
  <c r="B68" i="5"/>
  <c r="E67" i="5"/>
  <c r="G67" i="5"/>
  <c r="F67" i="5"/>
  <c r="K38" i="7" l="1"/>
  <c r="O38" i="7" s="1"/>
  <c r="P38" i="7" s="1"/>
  <c r="G94" i="7"/>
  <c r="E94" i="7"/>
  <c r="F94" i="7"/>
  <c r="B95" i="7"/>
  <c r="D38" i="7" a="1"/>
  <c r="D38" i="7" s="1"/>
  <c r="E68" i="5"/>
  <c r="B69" i="5"/>
  <c r="G68" i="5"/>
  <c r="F68" i="5"/>
  <c r="A38" i="7" l="1"/>
  <c r="L39" i="7"/>
  <c r="H39" i="7" s="1"/>
  <c r="I39" i="7"/>
  <c r="E95" i="7"/>
  <c r="G95" i="7"/>
  <c r="F95" i="7"/>
  <c r="B96" i="7"/>
  <c r="B70" i="5"/>
  <c r="F69" i="5"/>
  <c r="G69" i="5"/>
  <c r="E69" i="5"/>
  <c r="J39" i="7" l="1"/>
  <c r="C39" i="7"/>
  <c r="N43" i="7"/>
  <c r="M43" i="7"/>
  <c r="B97" i="7"/>
  <c r="G96" i="7"/>
  <c r="E96" i="7"/>
  <c r="F96" i="7"/>
  <c r="B71" i="5"/>
  <c r="G70" i="5"/>
  <c r="F70" i="5"/>
  <c r="E70" i="5"/>
  <c r="K39" i="7" l="1"/>
  <c r="O39" i="7" s="1"/>
  <c r="P39" i="7" s="1"/>
  <c r="B98" i="7"/>
  <c r="G97" i="7"/>
  <c r="F97" i="7"/>
  <c r="E97" i="7"/>
  <c r="B72" i="5"/>
  <c r="G71" i="5"/>
  <c r="F71" i="5"/>
  <c r="E71" i="5"/>
  <c r="D39" i="7" l="1" a="1"/>
  <c r="D39" i="7" s="1"/>
  <c r="A39" i="7" s="1"/>
  <c r="B99" i="7"/>
  <c r="E98" i="7"/>
  <c r="G98" i="7"/>
  <c r="F98" i="7"/>
  <c r="F72" i="5"/>
  <c r="B73" i="5"/>
  <c r="E72" i="5"/>
  <c r="G72" i="5"/>
  <c r="L40" i="7" l="1"/>
  <c r="I40" i="7"/>
  <c r="N44" i="7"/>
  <c r="M44" i="7"/>
  <c r="B100" i="7"/>
  <c r="G99" i="7"/>
  <c r="F99" i="7"/>
  <c r="E99" i="7"/>
  <c r="C40" i="7"/>
  <c r="H40" i="7"/>
  <c r="J40" i="7" s="1"/>
  <c r="E73" i="5"/>
  <c r="F73" i="5"/>
  <c r="B74" i="5"/>
  <c r="G73" i="5"/>
  <c r="K40" i="7" l="1"/>
  <c r="O40" i="7" s="1"/>
  <c r="P40" i="7" s="1"/>
  <c r="B101" i="7"/>
  <c r="G100" i="7"/>
  <c r="F100" i="7"/>
  <c r="E100" i="7"/>
  <c r="D40" i="7" a="1"/>
  <c r="D40" i="7" s="1"/>
  <c r="E74" i="5"/>
  <c r="G74" i="5"/>
  <c r="F74" i="5"/>
  <c r="B75" i="5"/>
  <c r="A40" i="7" l="1"/>
  <c r="L41" i="7"/>
  <c r="H41" i="7" s="1"/>
  <c r="I41" i="7"/>
  <c r="B102" i="7"/>
  <c r="G101" i="7"/>
  <c r="F101" i="7"/>
  <c r="E101" i="7"/>
  <c r="E75" i="5"/>
  <c r="B76" i="5"/>
  <c r="G75" i="5"/>
  <c r="F75" i="5"/>
  <c r="J41" i="7" l="1"/>
  <c r="B103" i="7"/>
  <c r="G102" i="7"/>
  <c r="F102" i="7"/>
  <c r="E102" i="7"/>
  <c r="N45" i="7"/>
  <c r="M45" i="7"/>
  <c r="C41" i="7"/>
  <c r="K41" i="7" s="1"/>
  <c r="O41" i="7" s="1"/>
  <c r="P41" i="7" s="1"/>
  <c r="B77" i="5"/>
  <c r="G76" i="5"/>
  <c r="E76" i="5"/>
  <c r="F76" i="5"/>
  <c r="B104" i="7" l="1"/>
  <c r="G103" i="7"/>
  <c r="F103" i="7"/>
  <c r="E103" i="7"/>
  <c r="D41" i="7" a="1"/>
  <c r="D41" i="7" s="1"/>
  <c r="E77" i="5"/>
  <c r="G77" i="5"/>
  <c r="F77" i="5"/>
  <c r="B78" i="5"/>
  <c r="A41" i="7" l="1"/>
  <c r="L42" i="7"/>
  <c r="I42" i="7"/>
  <c r="B105" i="7"/>
  <c r="G104" i="7"/>
  <c r="F104" i="7"/>
  <c r="E104" i="7"/>
  <c r="B79" i="5"/>
  <c r="G78" i="5"/>
  <c r="F78" i="5"/>
  <c r="E78" i="5"/>
  <c r="N46" i="7" l="1"/>
  <c r="M46" i="7"/>
  <c r="B106" i="7"/>
  <c r="G105" i="7"/>
  <c r="E105" i="7"/>
  <c r="F105" i="7"/>
  <c r="C42" i="7"/>
  <c r="H42" i="7"/>
  <c r="J42" i="7" s="1"/>
  <c r="E79" i="5"/>
  <c r="G79" i="5"/>
  <c r="B80" i="5"/>
  <c r="F79" i="5"/>
  <c r="K42" i="7" l="1"/>
  <c r="O42" i="7" s="1"/>
  <c r="P42" i="7" s="1"/>
  <c r="B107" i="7"/>
  <c r="G106" i="7"/>
  <c r="F106" i="7"/>
  <c r="E106" i="7"/>
  <c r="D42" i="7" a="1"/>
  <c r="D42" i="7" s="1"/>
  <c r="E80" i="5"/>
  <c r="F80" i="5"/>
  <c r="B81" i="5"/>
  <c r="G80" i="5"/>
  <c r="A42" i="7" l="1"/>
  <c r="I43" i="7"/>
  <c r="L43" i="7"/>
  <c r="B108" i="7"/>
  <c r="G107" i="7"/>
  <c r="F107" i="7"/>
  <c r="E107" i="7"/>
  <c r="E81" i="5"/>
  <c r="F81" i="5"/>
  <c r="G81" i="5"/>
  <c r="B82" i="5"/>
  <c r="N47" i="7" l="1"/>
  <c r="M47" i="7"/>
  <c r="B109" i="7"/>
  <c r="G108" i="7"/>
  <c r="F108" i="7"/>
  <c r="E108" i="7"/>
  <c r="H43" i="7"/>
  <c r="J43" i="7" s="1"/>
  <c r="C43" i="7"/>
  <c r="B83" i="5"/>
  <c r="G82" i="5"/>
  <c r="E82" i="5"/>
  <c r="F82" i="5"/>
  <c r="B110" i="7" l="1"/>
  <c r="G109" i="7"/>
  <c r="E109" i="7"/>
  <c r="F109" i="7"/>
  <c r="K43" i="7"/>
  <c r="O43" i="7" s="1"/>
  <c r="P43" i="7" s="1"/>
  <c r="E83" i="5"/>
  <c r="B84" i="5"/>
  <c r="F83" i="5"/>
  <c r="G83" i="5"/>
  <c r="B111" i="7" l="1"/>
  <c r="G110" i="7"/>
  <c r="F110" i="7"/>
  <c r="E110" i="7"/>
  <c r="D43" i="7" a="1"/>
  <c r="D43" i="7" s="1"/>
  <c r="B85" i="5"/>
  <c r="G84" i="5"/>
  <c r="F84" i="5"/>
  <c r="E84" i="5"/>
  <c r="A43" i="7" l="1"/>
  <c r="I44" i="7"/>
  <c r="L44" i="7"/>
  <c r="H44" i="7" s="1"/>
  <c r="J44" i="7" s="1"/>
  <c r="B112" i="7"/>
  <c r="G111" i="7"/>
  <c r="F111" i="7"/>
  <c r="E111" i="7"/>
  <c r="E85" i="5"/>
  <c r="B86" i="5"/>
  <c r="G85" i="5"/>
  <c r="F85" i="5"/>
  <c r="C44" i="7" l="1"/>
  <c r="K44" i="7" s="1"/>
  <c r="O44" i="7" s="1"/>
  <c r="P44" i="7" s="1"/>
  <c r="B113" i="7"/>
  <c r="G112" i="7"/>
  <c r="F112" i="7"/>
  <c r="E112" i="7"/>
  <c r="N48" i="7"/>
  <c r="M48" i="7"/>
  <c r="F86" i="5"/>
  <c r="G86" i="5"/>
  <c r="E86" i="5"/>
  <c r="B87" i="5"/>
  <c r="B114" i="7" l="1"/>
  <c r="G113" i="7"/>
  <c r="E113" i="7"/>
  <c r="F113" i="7"/>
  <c r="D44" i="7" a="1"/>
  <c r="D44" i="7" s="1"/>
  <c r="E87" i="5"/>
  <c r="G87" i="5"/>
  <c r="F87" i="5"/>
  <c r="B88" i="5"/>
  <c r="A44" i="7" l="1"/>
  <c r="I45" i="7"/>
  <c r="L45" i="7"/>
  <c r="B115" i="7"/>
  <c r="G114" i="7"/>
  <c r="F114" i="7"/>
  <c r="E114" i="7"/>
  <c r="E88" i="5"/>
  <c r="F88" i="5"/>
  <c r="B89" i="5"/>
  <c r="G88" i="5"/>
  <c r="B116" i="7" l="1"/>
  <c r="G115" i="7"/>
  <c r="F115" i="7"/>
  <c r="E115" i="7"/>
  <c r="N49" i="7"/>
  <c r="M49" i="7"/>
  <c r="C45" i="7"/>
  <c r="H45" i="7"/>
  <c r="J45" i="7" s="1"/>
  <c r="E89" i="5"/>
  <c r="B90" i="5"/>
  <c r="G89" i="5"/>
  <c r="F89" i="5"/>
  <c r="K45" i="7" l="1"/>
  <c r="O45" i="7" s="1"/>
  <c r="P45" i="7" s="1"/>
  <c r="B117" i="7"/>
  <c r="G116" i="7"/>
  <c r="F116" i="7"/>
  <c r="E116" i="7"/>
  <c r="B91" i="5"/>
  <c r="G90" i="5"/>
  <c r="F90" i="5"/>
  <c r="E90" i="5"/>
  <c r="D45" i="7" l="1" a="1"/>
  <c r="D45" i="7" s="1"/>
  <c r="A45" i="7" s="1"/>
  <c r="B118" i="7"/>
  <c r="G117" i="7"/>
  <c r="E117" i="7"/>
  <c r="F117" i="7"/>
  <c r="E91" i="5"/>
  <c r="B92" i="5"/>
  <c r="G91" i="5"/>
  <c r="F91" i="5"/>
  <c r="L46" i="7" l="1"/>
  <c r="M50" i="7" s="1"/>
  <c r="I46" i="7"/>
  <c r="B119" i="7"/>
  <c r="G118" i="7"/>
  <c r="F118" i="7"/>
  <c r="E118" i="7"/>
  <c r="H46" i="7"/>
  <c r="J46" i="7" s="1"/>
  <c r="C46" i="7"/>
  <c r="B93" i="5"/>
  <c r="G92" i="5"/>
  <c r="F92" i="5"/>
  <c r="E92" i="5"/>
  <c r="N50" i="7" l="1"/>
  <c r="K46" i="7"/>
  <c r="O46" i="7" s="1"/>
  <c r="P46" i="7" s="1"/>
  <c r="B120" i="7"/>
  <c r="G119" i="7"/>
  <c r="F119" i="7"/>
  <c r="E119" i="7"/>
  <c r="E93" i="5"/>
  <c r="B94" i="5"/>
  <c r="G93" i="5"/>
  <c r="F93" i="5"/>
  <c r="B121" i="7" l="1"/>
  <c r="G120" i="7"/>
  <c r="F120" i="7"/>
  <c r="E120" i="7"/>
  <c r="D46" i="7" a="1"/>
  <c r="D46" i="7" s="1"/>
  <c r="F94" i="5"/>
  <c r="E94" i="5"/>
  <c r="B95" i="5"/>
  <c r="G94" i="5"/>
  <c r="A46" i="7" l="1"/>
  <c r="L47" i="7"/>
  <c r="I47" i="7"/>
  <c r="H47" i="7"/>
  <c r="B122" i="7"/>
  <c r="G121" i="7"/>
  <c r="F121" i="7"/>
  <c r="E121" i="7"/>
  <c r="E95" i="5"/>
  <c r="F95" i="5"/>
  <c r="G95" i="5"/>
  <c r="B96" i="5"/>
  <c r="J47" i="7" l="1"/>
  <c r="B123" i="7"/>
  <c r="G122" i="7"/>
  <c r="F122" i="7"/>
  <c r="E122" i="7"/>
  <c r="N51" i="7"/>
  <c r="M51" i="7"/>
  <c r="C47" i="7"/>
  <c r="K47" i="7" s="1"/>
  <c r="O47" i="7" s="1"/>
  <c r="P47" i="7" s="1"/>
  <c r="B97" i="5"/>
  <c r="G96" i="5"/>
  <c r="E96" i="5"/>
  <c r="F96" i="5"/>
  <c r="B124" i="7" l="1"/>
  <c r="G123" i="7"/>
  <c r="F123" i="7"/>
  <c r="E123" i="7"/>
  <c r="D47" i="7" a="1"/>
  <c r="D47" i="7" s="1"/>
  <c r="E97" i="5"/>
  <c r="B98" i="5"/>
  <c r="G97" i="5"/>
  <c r="F97" i="5"/>
  <c r="B125" i="7" l="1"/>
  <c r="G124" i="7"/>
  <c r="F124" i="7"/>
  <c r="E124" i="7"/>
  <c r="A47" i="7"/>
  <c r="L48" i="7"/>
  <c r="I48" i="7"/>
  <c r="B99" i="5"/>
  <c r="G98" i="5"/>
  <c r="F98" i="5"/>
  <c r="E98" i="5"/>
  <c r="N52" i="7" l="1"/>
  <c r="M52" i="7"/>
  <c r="H48" i="7"/>
  <c r="J48" i="7" s="1"/>
  <c r="C48" i="7"/>
  <c r="B126" i="7"/>
  <c r="G125" i="7"/>
  <c r="E125" i="7"/>
  <c r="F125" i="7"/>
  <c r="E99" i="5"/>
  <c r="B100" i="5"/>
  <c r="G99" i="5"/>
  <c r="F99" i="5"/>
  <c r="B127" i="7" l="1"/>
  <c r="G126" i="7"/>
  <c r="F126" i="7"/>
  <c r="E126" i="7"/>
  <c r="K48" i="7"/>
  <c r="O48" i="7" s="1"/>
  <c r="P48" i="7" s="1"/>
  <c r="E100" i="5"/>
  <c r="B101" i="5"/>
  <c r="G100" i="5"/>
  <c r="F100" i="5"/>
  <c r="D48" i="7" l="1" a="1"/>
  <c r="D48" i="7" s="1"/>
  <c r="A48" i="7" s="1"/>
  <c r="B128" i="7"/>
  <c r="G127" i="7"/>
  <c r="E127" i="7"/>
  <c r="F127" i="7"/>
  <c r="E101" i="5"/>
  <c r="G101" i="5"/>
  <c r="F101" i="5"/>
  <c r="B102" i="5"/>
  <c r="L49" i="7" l="1"/>
  <c r="N53" i="7" s="1"/>
  <c r="I49" i="7"/>
  <c r="B129" i="7"/>
  <c r="G128" i="7"/>
  <c r="F128" i="7"/>
  <c r="E128" i="7"/>
  <c r="C49" i="7"/>
  <c r="H49" i="7"/>
  <c r="J49" i="7" s="1"/>
  <c r="E102" i="5"/>
  <c r="G102" i="5"/>
  <c r="F102" i="5"/>
  <c r="B103" i="5"/>
  <c r="M53" i="7" l="1"/>
  <c r="K49" i="7"/>
  <c r="O49" i="7" s="1"/>
  <c r="P49" i="7" s="1"/>
  <c r="B130" i="7"/>
  <c r="G129" i="7"/>
  <c r="F129" i="7"/>
  <c r="E129" i="7"/>
  <c r="D49" i="7" a="1"/>
  <c r="D49" i="7" s="1"/>
  <c r="E103" i="5"/>
  <c r="F103" i="5"/>
  <c r="G103" i="5"/>
  <c r="B104" i="5"/>
  <c r="B131" i="7" l="1"/>
  <c r="G130" i="7"/>
  <c r="F130" i="7"/>
  <c r="E130" i="7"/>
  <c r="A49" i="7"/>
  <c r="I50" i="7"/>
  <c r="L50" i="7"/>
  <c r="C50" i="7" s="1"/>
  <c r="G104" i="5"/>
  <c r="B105" i="5"/>
  <c r="F104" i="5"/>
  <c r="E104" i="5"/>
  <c r="H50" i="7" l="1"/>
  <c r="J50" i="7" s="1"/>
  <c r="M54" i="7"/>
  <c r="N54" i="7"/>
  <c r="B132" i="7"/>
  <c r="G131" i="7"/>
  <c r="E131" i="7"/>
  <c r="F131" i="7"/>
  <c r="E105" i="5"/>
  <c r="G105" i="5"/>
  <c r="F105" i="5"/>
  <c r="B106" i="5"/>
  <c r="K50" i="7" l="1"/>
  <c r="O50" i="7" s="1"/>
  <c r="P50" i="7" s="1"/>
  <c r="B133" i="7"/>
  <c r="G132" i="7"/>
  <c r="F132" i="7"/>
  <c r="E132" i="7"/>
  <c r="G106" i="5"/>
  <c r="B107" i="5"/>
  <c r="E106" i="5"/>
  <c r="F106" i="5"/>
  <c r="D50" i="7" l="1" a="1"/>
  <c r="D50" i="7" s="1"/>
  <c r="B134" i="7"/>
  <c r="G133" i="7"/>
  <c r="F133" i="7"/>
  <c r="E133" i="7"/>
  <c r="E107" i="5"/>
  <c r="B108" i="5"/>
  <c r="G107" i="5"/>
  <c r="F107" i="5"/>
  <c r="I51" i="7" l="1"/>
  <c r="A50" i="7"/>
  <c r="L51" i="7"/>
  <c r="C51" i="7" s="1"/>
  <c r="B135" i="7"/>
  <c r="G134" i="7"/>
  <c r="F134" i="7"/>
  <c r="E134" i="7"/>
  <c r="B109" i="5"/>
  <c r="E108" i="5"/>
  <c r="G108" i="5"/>
  <c r="F108" i="5"/>
  <c r="H51" i="7" l="1"/>
  <c r="J51" i="7" s="1"/>
  <c r="K51" i="7" s="1"/>
  <c r="O51" i="7" s="1"/>
  <c r="P51" i="7" s="1"/>
  <c r="N55" i="7"/>
  <c r="M55" i="7"/>
  <c r="B136" i="7"/>
  <c r="G135" i="7"/>
  <c r="F135" i="7"/>
  <c r="E135" i="7"/>
  <c r="E109" i="5"/>
  <c r="B110" i="5"/>
  <c r="G109" i="5"/>
  <c r="F109" i="5"/>
  <c r="D51" i="7" l="1" a="1"/>
  <c r="D51" i="7" s="1"/>
  <c r="F136" i="7"/>
  <c r="B137" i="7"/>
  <c r="G136" i="7"/>
  <c r="E136" i="7"/>
  <c r="G110" i="5"/>
  <c r="F110" i="5"/>
  <c r="B111" i="5"/>
  <c r="E110" i="5"/>
  <c r="A51" i="7" l="1"/>
  <c r="L52" i="7"/>
  <c r="C52" i="7" s="1"/>
  <c r="I52" i="7"/>
  <c r="B138" i="7"/>
  <c r="F137" i="7"/>
  <c r="E137" i="7"/>
  <c r="G137" i="7"/>
  <c r="E111" i="5"/>
  <c r="B112" i="5"/>
  <c r="G111" i="5"/>
  <c r="F111" i="5"/>
  <c r="H52" i="7" l="1"/>
  <c r="J52" i="7" s="1"/>
  <c r="M56" i="7"/>
  <c r="N56" i="7"/>
  <c r="F138" i="7"/>
  <c r="E138" i="7"/>
  <c r="B139" i="7"/>
  <c r="G138" i="7"/>
  <c r="G112" i="5"/>
  <c r="F112" i="5"/>
  <c r="E112" i="5"/>
  <c r="B113" i="5"/>
  <c r="K52" i="7" l="1"/>
  <c r="O52" i="7" s="1"/>
  <c r="P52" i="7" s="1"/>
  <c r="G139" i="7"/>
  <c r="F139" i="7"/>
  <c r="E139" i="7"/>
  <c r="B140" i="7"/>
  <c r="E113" i="5"/>
  <c r="B114" i="5"/>
  <c r="G113" i="5"/>
  <c r="F113" i="5"/>
  <c r="D52" i="7" l="1" a="1"/>
  <c r="D52" i="7" s="1"/>
  <c r="B141" i="7"/>
  <c r="F140" i="7"/>
  <c r="E140" i="7"/>
  <c r="G140" i="7"/>
  <c r="G114" i="5"/>
  <c r="F114" i="5"/>
  <c r="B115" i="5"/>
  <c r="E114" i="5"/>
  <c r="A52" i="7" l="1"/>
  <c r="I53" i="7"/>
  <c r="L53" i="7"/>
  <c r="C53" i="7" s="1"/>
  <c r="G141" i="7"/>
  <c r="F141" i="7"/>
  <c r="E141" i="7"/>
  <c r="B142" i="7"/>
  <c r="E115" i="5"/>
  <c r="B116" i="5"/>
  <c r="G115" i="5"/>
  <c r="F115" i="5"/>
  <c r="H53" i="7" l="1"/>
  <c r="J53" i="7" s="1"/>
  <c r="N57" i="7"/>
  <c r="M57" i="7"/>
  <c r="B143" i="7"/>
  <c r="G142" i="7"/>
  <c r="F142" i="7"/>
  <c r="E142" i="7"/>
  <c r="E116" i="5"/>
  <c r="B117" i="5"/>
  <c r="F116" i="5"/>
  <c r="G116" i="5"/>
  <c r="K53" i="7" l="1"/>
  <c r="O53" i="7" s="1"/>
  <c r="P53" i="7" s="1"/>
  <c r="G143" i="7"/>
  <c r="F143" i="7"/>
  <c r="E143" i="7"/>
  <c r="B144" i="7"/>
  <c r="E117" i="5"/>
  <c r="B118" i="5"/>
  <c r="G117" i="5"/>
  <c r="F117" i="5"/>
  <c r="D53" i="7" l="1" a="1"/>
  <c r="D53" i="7" s="1"/>
  <c r="B145" i="7"/>
  <c r="G144" i="7"/>
  <c r="F144" i="7"/>
  <c r="E144" i="7"/>
  <c r="G118" i="5"/>
  <c r="F118" i="5"/>
  <c r="B119" i="5"/>
  <c r="E118" i="5"/>
  <c r="A53" i="7" l="1"/>
  <c r="L54" i="7"/>
  <c r="C54" i="7" s="1"/>
  <c r="I54" i="7"/>
  <c r="H54" i="7"/>
  <c r="E145" i="7"/>
  <c r="B146" i="7"/>
  <c r="G145" i="7"/>
  <c r="F145" i="7"/>
  <c r="E119" i="5"/>
  <c r="G119" i="5"/>
  <c r="F119" i="5"/>
  <c r="B120" i="5"/>
  <c r="J54" i="7" l="1"/>
  <c r="K54" i="7"/>
  <c r="O54" i="7" s="1"/>
  <c r="P54" i="7" s="1"/>
  <c r="M58" i="7"/>
  <c r="N58" i="7"/>
  <c r="B147" i="7"/>
  <c r="G146" i="7"/>
  <c r="F146" i="7"/>
  <c r="E146" i="7"/>
  <c r="E120" i="5"/>
  <c r="F120" i="5"/>
  <c r="B121" i="5"/>
  <c r="G120" i="5"/>
  <c r="D54" i="7" l="1" a="1"/>
  <c r="D54" i="7" s="1"/>
  <c r="E147" i="7"/>
  <c r="B148" i="7"/>
  <c r="F147" i="7"/>
  <c r="G147" i="7"/>
  <c r="G121" i="5"/>
  <c r="B122" i="5"/>
  <c r="F121" i="5"/>
  <c r="E121" i="5"/>
  <c r="A54" i="7" l="1"/>
  <c r="L55" i="7"/>
  <c r="I55" i="7"/>
  <c r="B149" i="7"/>
  <c r="G148" i="7"/>
  <c r="F148" i="7"/>
  <c r="E148" i="7"/>
  <c r="E122" i="5"/>
  <c r="F122" i="5"/>
  <c r="B123" i="5"/>
  <c r="G122" i="5"/>
  <c r="C55" i="7" l="1"/>
  <c r="N59" i="7"/>
  <c r="M59" i="7"/>
  <c r="H55" i="7"/>
  <c r="J55" i="7" s="1"/>
  <c r="E149" i="7"/>
  <c r="G149" i="7"/>
  <c r="F149" i="7"/>
  <c r="B150" i="7"/>
  <c r="E123" i="5"/>
  <c r="G123" i="5"/>
  <c r="F123" i="5"/>
  <c r="B124" i="5"/>
  <c r="K55" i="7" l="1"/>
  <c r="B151" i="7"/>
  <c r="G150" i="7"/>
  <c r="F150" i="7"/>
  <c r="E150" i="7"/>
  <c r="E124" i="5"/>
  <c r="G124" i="5"/>
  <c r="F124" i="5"/>
  <c r="B125" i="5"/>
  <c r="O55" i="7" l="1"/>
  <c r="P55" i="7" s="1"/>
  <c r="D55" i="7" a="1"/>
  <c r="D55" i="7" s="1"/>
  <c r="E151" i="7"/>
  <c r="G151" i="7"/>
  <c r="F151" i="7"/>
  <c r="B152" i="7"/>
  <c r="E125" i="5"/>
  <c r="G125" i="5"/>
  <c r="B126" i="5"/>
  <c r="F125" i="5"/>
  <c r="A55" i="7" l="1"/>
  <c r="I56" i="7"/>
  <c r="L56" i="7"/>
  <c r="B153" i="7"/>
  <c r="G152" i="7"/>
  <c r="F152" i="7"/>
  <c r="E152" i="7"/>
  <c r="E126" i="5"/>
  <c r="B127" i="5"/>
  <c r="G126" i="5"/>
  <c r="F126" i="5"/>
  <c r="N60" i="7" l="1"/>
  <c r="M60" i="7"/>
  <c r="H56" i="7"/>
  <c r="J56" i="7" s="1"/>
  <c r="C56" i="7"/>
  <c r="E153" i="7"/>
  <c r="G153" i="7"/>
  <c r="F153" i="7"/>
  <c r="B154" i="7"/>
  <c r="E127" i="5"/>
  <c r="G127" i="5"/>
  <c r="F127" i="5"/>
  <c r="B128" i="5"/>
  <c r="K56" i="7" l="1"/>
  <c r="O56" i="7" s="1"/>
  <c r="P56" i="7" s="1"/>
  <c r="D56" i="7" a="1"/>
  <c r="D56" i="7" s="1"/>
  <c r="B155" i="7"/>
  <c r="G154" i="7"/>
  <c r="F154" i="7"/>
  <c r="E154" i="7"/>
  <c r="E128" i="5"/>
  <c r="G128" i="5"/>
  <c r="F128" i="5"/>
  <c r="B129" i="5"/>
  <c r="L57" i="7" l="1"/>
  <c r="C57" i="7" s="1"/>
  <c r="A56" i="7"/>
  <c r="I57" i="7"/>
  <c r="E155" i="7"/>
  <c r="B156" i="7"/>
  <c r="F155" i="7"/>
  <c r="G155" i="7"/>
  <c r="B130" i="5"/>
  <c r="E129" i="5"/>
  <c r="G129" i="5"/>
  <c r="F129" i="5"/>
  <c r="H57" i="7" l="1"/>
  <c r="J57" i="7" s="1"/>
  <c r="K57" i="7" s="1"/>
  <c r="O57" i="7" s="1"/>
  <c r="P57" i="7" s="1"/>
  <c r="M61" i="7"/>
  <c r="N61" i="7"/>
  <c r="B157" i="7"/>
  <c r="G156" i="7"/>
  <c r="F156" i="7"/>
  <c r="E156" i="7"/>
  <c r="E130" i="5"/>
  <c r="F130" i="5"/>
  <c r="B131" i="5"/>
  <c r="G130" i="5"/>
  <c r="D57" i="7" l="1" a="1"/>
  <c r="D57" i="7" s="1"/>
  <c r="E157" i="7"/>
  <c r="B158" i="7"/>
  <c r="G157" i="7"/>
  <c r="F157" i="7"/>
  <c r="B132" i="5"/>
  <c r="E131" i="5"/>
  <c r="G131" i="5"/>
  <c r="F131" i="5"/>
  <c r="A57" i="7" l="1"/>
  <c r="L58" i="7"/>
  <c r="C58" i="7" s="1"/>
  <c r="I58" i="7"/>
  <c r="B159" i="7"/>
  <c r="G158" i="7"/>
  <c r="F158" i="7"/>
  <c r="E158" i="7"/>
  <c r="E132" i="5"/>
  <c r="B133" i="5"/>
  <c r="G132" i="5"/>
  <c r="F132" i="5"/>
  <c r="N62" i="7" l="1"/>
  <c r="H58" i="7"/>
  <c r="J58" i="7" s="1"/>
  <c r="K58" i="7" s="1"/>
  <c r="O58" i="7" s="1"/>
  <c r="P58" i="7" s="1"/>
  <c r="M62" i="7"/>
  <c r="E159" i="7"/>
  <c r="B160" i="7"/>
  <c r="G159" i="7"/>
  <c r="F159" i="7"/>
  <c r="B134" i="5"/>
  <c r="E133" i="5"/>
  <c r="G133" i="5"/>
  <c r="F133" i="5"/>
  <c r="D58" i="7" l="1" a="1"/>
  <c r="D58" i="7" s="1"/>
  <c r="A58" i="7" s="1"/>
  <c r="B161" i="7"/>
  <c r="G160" i="7"/>
  <c r="F160" i="7"/>
  <c r="E160" i="7"/>
  <c r="E134" i="5"/>
  <c r="G134" i="5"/>
  <c r="F134" i="5"/>
  <c r="B135" i="5"/>
  <c r="L59" i="7" l="1"/>
  <c r="N63" i="7" s="1"/>
  <c r="I59" i="7"/>
  <c r="M63" i="7"/>
  <c r="E161" i="7"/>
  <c r="B162" i="7"/>
  <c r="G161" i="7"/>
  <c r="F161" i="7"/>
  <c r="B136" i="5"/>
  <c r="G135" i="5"/>
  <c r="E135" i="5"/>
  <c r="F135" i="5"/>
  <c r="C59" i="7" l="1"/>
  <c r="H59" i="7"/>
  <c r="J59" i="7" s="1"/>
  <c r="B163" i="7"/>
  <c r="G162" i="7"/>
  <c r="F162" i="7"/>
  <c r="E162" i="7"/>
  <c r="E136" i="5"/>
  <c r="F136" i="5"/>
  <c r="G136" i="5"/>
  <c r="B137" i="5"/>
  <c r="K59" i="7" l="1"/>
  <c r="O59" i="7" s="1"/>
  <c r="P59" i="7" s="1"/>
  <c r="E163" i="7"/>
  <c r="B164" i="7"/>
  <c r="G163" i="7"/>
  <c r="F163" i="7"/>
  <c r="B138" i="5"/>
  <c r="G137" i="5"/>
  <c r="E137" i="5"/>
  <c r="F137" i="5"/>
  <c r="D59" i="7" l="1" a="1"/>
  <c r="D59" i="7" s="1"/>
  <c r="B165" i="7"/>
  <c r="G164" i="7"/>
  <c r="F164" i="7"/>
  <c r="E164" i="7"/>
  <c r="E138" i="5"/>
  <c r="F138" i="5"/>
  <c r="G138" i="5"/>
  <c r="B139" i="5"/>
  <c r="I60" i="7" l="1"/>
  <c r="A59" i="7"/>
  <c r="L60" i="7"/>
  <c r="C60" i="7" s="1"/>
  <c r="E165" i="7"/>
  <c r="G165" i="7"/>
  <c r="F165" i="7"/>
  <c r="B166" i="7"/>
  <c r="B140" i="5"/>
  <c r="G139" i="5"/>
  <c r="E139" i="5"/>
  <c r="F139" i="5"/>
  <c r="N64" i="7" l="1"/>
  <c r="M64" i="7"/>
  <c r="H60" i="7"/>
  <c r="J60" i="7" s="1"/>
  <c r="B167" i="7"/>
  <c r="G166" i="7"/>
  <c r="F166" i="7"/>
  <c r="E166" i="7"/>
  <c r="E140" i="5"/>
  <c r="G140" i="5"/>
  <c r="F140" i="5"/>
  <c r="B141" i="5"/>
  <c r="K60" i="7" l="1"/>
  <c r="O60" i="7" s="1"/>
  <c r="P60" i="7" s="1"/>
  <c r="E167" i="7"/>
  <c r="B168" i="7"/>
  <c r="G167" i="7"/>
  <c r="F167" i="7"/>
  <c r="B142" i="5"/>
  <c r="G141" i="5"/>
  <c r="E141" i="5"/>
  <c r="F141" i="5"/>
  <c r="D60" i="7" l="1" a="1"/>
  <c r="D60" i="7" s="1"/>
  <c r="G168" i="7"/>
  <c r="F168" i="7"/>
  <c r="B169" i="7"/>
  <c r="E168" i="7"/>
  <c r="E142" i="5"/>
  <c r="B143" i="5"/>
  <c r="G142" i="5"/>
  <c r="F142" i="5"/>
  <c r="A60" i="7" l="1"/>
  <c r="I61" i="7"/>
  <c r="L61" i="7"/>
  <c r="H61" i="7"/>
  <c r="J61" i="7" s="1"/>
  <c r="E169" i="7"/>
  <c r="B170" i="7"/>
  <c r="G169" i="7"/>
  <c r="F169" i="7"/>
  <c r="B144" i="5"/>
  <c r="G143" i="5"/>
  <c r="E143" i="5"/>
  <c r="F143" i="5"/>
  <c r="N65" i="7" l="1"/>
  <c r="M65" i="7"/>
  <c r="C61" i="7"/>
  <c r="K61" i="7" s="1"/>
  <c r="O61" i="7" s="1"/>
  <c r="P61" i="7" s="1"/>
  <c r="G170" i="7"/>
  <c r="F170" i="7"/>
  <c r="B171" i="7"/>
  <c r="E170" i="7"/>
  <c r="E144" i="5"/>
  <c r="G144" i="5"/>
  <c r="F144" i="5"/>
  <c r="B145" i="5"/>
  <c r="D61" i="7" l="1" a="1"/>
  <c r="D61" i="7" s="1"/>
  <c r="E171" i="7"/>
  <c r="B172" i="7"/>
  <c r="G171" i="7"/>
  <c r="F171" i="7"/>
  <c r="G145" i="5"/>
  <c r="B146" i="5"/>
  <c r="F145" i="5"/>
  <c r="E145" i="5"/>
  <c r="I62" i="7" l="1"/>
  <c r="L62" i="7"/>
  <c r="A61" i="7"/>
  <c r="G172" i="7"/>
  <c r="F172" i="7"/>
  <c r="B173" i="7"/>
  <c r="E172" i="7"/>
  <c r="B147" i="5"/>
  <c r="G146" i="5"/>
  <c r="F146" i="5"/>
  <c r="E146" i="5"/>
  <c r="N66" i="7" l="1"/>
  <c r="M66" i="7"/>
  <c r="H62" i="7"/>
  <c r="J62" i="7" s="1"/>
  <c r="C62" i="7"/>
  <c r="E173" i="7"/>
  <c r="F173" i="7"/>
  <c r="B174" i="7"/>
  <c r="G173" i="7"/>
  <c r="F147" i="5"/>
  <c r="B148" i="5"/>
  <c r="E147" i="5"/>
  <c r="G147" i="5"/>
  <c r="K62" i="7" l="1"/>
  <c r="O62" i="7" s="1"/>
  <c r="P62" i="7" s="1"/>
  <c r="G174" i="7"/>
  <c r="F174" i="7"/>
  <c r="E174" i="7"/>
  <c r="B175" i="7"/>
  <c r="B149" i="5"/>
  <c r="G148" i="5"/>
  <c r="F148" i="5"/>
  <c r="E148" i="5"/>
  <c r="D62" i="7" l="1" a="1"/>
  <c r="D62" i="7" s="1"/>
  <c r="A62" i="7" s="1"/>
  <c r="E175" i="7"/>
  <c r="G175" i="7"/>
  <c r="F175" i="7"/>
  <c r="B176" i="7"/>
  <c r="G149" i="5"/>
  <c r="B150" i="5"/>
  <c r="F149" i="5"/>
  <c r="E149" i="5"/>
  <c r="L63" i="7" l="1"/>
  <c r="C63" i="7" s="1"/>
  <c r="I63" i="7"/>
  <c r="H63" i="7"/>
  <c r="J63" i="7" s="1"/>
  <c r="N67" i="7"/>
  <c r="M67" i="7"/>
  <c r="G176" i="7"/>
  <c r="F176" i="7"/>
  <c r="E176" i="7"/>
  <c r="B177" i="7"/>
  <c r="B151" i="5"/>
  <c r="G150" i="5"/>
  <c r="F150" i="5"/>
  <c r="E150" i="5"/>
  <c r="K63" i="7" l="1"/>
  <c r="O63" i="7" s="1"/>
  <c r="P63" i="7" s="1"/>
  <c r="E177" i="7"/>
  <c r="G177" i="7"/>
  <c r="F177" i="7"/>
  <c r="B178" i="7"/>
  <c r="G151" i="5"/>
  <c r="F151" i="5"/>
  <c r="B152" i="5"/>
  <c r="E151" i="5"/>
  <c r="D63" i="7" l="1" a="1"/>
  <c r="D63" i="7" s="1"/>
  <c r="G178" i="7"/>
  <c r="E178" i="7"/>
  <c r="B179" i="7"/>
  <c r="F178" i="7"/>
  <c r="B153" i="5"/>
  <c r="G152" i="5"/>
  <c r="F152" i="5"/>
  <c r="E152" i="5"/>
  <c r="I64" i="7" l="1"/>
  <c r="A63" i="7"/>
  <c r="L64" i="7"/>
  <c r="C64" i="7" s="1"/>
  <c r="E179" i="7"/>
  <c r="B180" i="7"/>
  <c r="G179" i="7"/>
  <c r="F179" i="7"/>
  <c r="B154" i="5"/>
  <c r="E153" i="5"/>
  <c r="G153" i="5"/>
  <c r="F153" i="5"/>
  <c r="N68" i="7" l="1"/>
  <c r="M68" i="7"/>
  <c r="H64" i="7"/>
  <c r="J64" i="7" s="1"/>
  <c r="G180" i="7"/>
  <c r="F180" i="7"/>
  <c r="E180" i="7"/>
  <c r="B181" i="7"/>
  <c r="B155" i="5"/>
  <c r="G154" i="5"/>
  <c r="F154" i="5"/>
  <c r="E154" i="5"/>
  <c r="K64" i="7" l="1"/>
  <c r="O64" i="7" s="1"/>
  <c r="P64" i="7" s="1"/>
  <c r="E181" i="7"/>
  <c r="B182" i="7"/>
  <c r="G181" i="7"/>
  <c r="F181" i="7"/>
  <c r="G155" i="5"/>
  <c r="F155" i="5"/>
  <c r="B156" i="5"/>
  <c r="E155" i="5"/>
  <c r="D64" i="7" l="1" a="1"/>
  <c r="D64" i="7" s="1"/>
  <c r="G182" i="7"/>
  <c r="F182" i="7"/>
  <c r="E182" i="7"/>
  <c r="B183" i="7"/>
  <c r="B157" i="5"/>
  <c r="G156" i="5"/>
  <c r="F156" i="5"/>
  <c r="E156" i="5"/>
  <c r="I65" i="7" l="1"/>
  <c r="L65" i="7"/>
  <c r="C65" i="7" s="1"/>
  <c r="A64" i="7"/>
  <c r="H65" i="7"/>
  <c r="J65" i="7" s="1"/>
  <c r="E183" i="7"/>
  <c r="B184" i="7"/>
  <c r="G183" i="7"/>
  <c r="F183" i="7"/>
  <c r="G157" i="5"/>
  <c r="F157" i="5"/>
  <c r="B158" i="5"/>
  <c r="E157" i="5"/>
  <c r="K65" i="7" l="1"/>
  <c r="O65" i="7" s="1"/>
  <c r="P65" i="7" s="1"/>
  <c r="M69" i="7"/>
  <c r="N69" i="7"/>
  <c r="G184" i="7"/>
  <c r="F184" i="7"/>
  <c r="E184" i="7"/>
  <c r="B185" i="7"/>
  <c r="B159" i="5"/>
  <c r="G158" i="5"/>
  <c r="F158" i="5"/>
  <c r="E158" i="5"/>
  <c r="D65" i="7" l="1" a="1"/>
  <c r="D65" i="7" s="1"/>
  <c r="E185" i="7"/>
  <c r="B186" i="7"/>
  <c r="G185" i="7"/>
  <c r="F185" i="7"/>
  <c r="E159" i="5"/>
  <c r="B160" i="5"/>
  <c r="G159" i="5"/>
  <c r="F159" i="5"/>
  <c r="L66" i="7" l="1"/>
  <c r="A65" i="7"/>
  <c r="I66" i="7"/>
  <c r="H66" i="7"/>
  <c r="C66" i="7"/>
  <c r="G186" i="7"/>
  <c r="E186" i="7"/>
  <c r="F186" i="7"/>
  <c r="B187" i="7"/>
  <c r="B161" i="5"/>
  <c r="G160" i="5"/>
  <c r="F160" i="5"/>
  <c r="E160" i="5"/>
  <c r="J66" i="7" l="1"/>
  <c r="M70" i="7"/>
  <c r="N70" i="7"/>
  <c r="E187" i="7"/>
  <c r="B188" i="7"/>
  <c r="G187" i="7"/>
  <c r="F187" i="7"/>
  <c r="G161" i="5"/>
  <c r="F161" i="5"/>
  <c r="E161" i="5"/>
  <c r="B162" i="5"/>
  <c r="K66" i="7" l="1"/>
  <c r="O66" i="7" s="1"/>
  <c r="P66" i="7" s="1"/>
  <c r="G188" i="7"/>
  <c r="E188" i="7"/>
  <c r="B189" i="7"/>
  <c r="F188" i="7"/>
  <c r="B163" i="5"/>
  <c r="G162" i="5"/>
  <c r="F162" i="5"/>
  <c r="E162" i="5"/>
  <c r="D66" i="7" l="1" a="1"/>
  <c r="D66" i="7" s="1"/>
  <c r="E189" i="7"/>
  <c r="B190" i="7"/>
  <c r="G189" i="7"/>
  <c r="F189" i="7"/>
  <c r="B164" i="5"/>
  <c r="F163" i="5"/>
  <c r="E163" i="5"/>
  <c r="G163" i="5"/>
  <c r="L67" i="7" l="1"/>
  <c r="A66" i="7"/>
  <c r="C67" i="7"/>
  <c r="I67" i="7"/>
  <c r="H67" i="7"/>
  <c r="G190" i="7"/>
  <c r="E190" i="7"/>
  <c r="F190" i="7"/>
  <c r="B191" i="7"/>
  <c r="B165" i="5"/>
  <c r="G164" i="5"/>
  <c r="F164" i="5"/>
  <c r="E164" i="5"/>
  <c r="J67" i="7" l="1"/>
  <c r="K67" i="7" s="1"/>
  <c r="O67" i="7" s="1"/>
  <c r="P67" i="7" s="1"/>
  <c r="N71" i="7"/>
  <c r="M71" i="7"/>
  <c r="F191" i="7"/>
  <c r="E191" i="7"/>
  <c r="B192" i="7"/>
  <c r="G191" i="7"/>
  <c r="B166" i="5"/>
  <c r="G165" i="5"/>
  <c r="F165" i="5"/>
  <c r="E165" i="5"/>
  <c r="D67" i="7" l="1" a="1"/>
  <c r="D67" i="7" s="1"/>
  <c r="G192" i="7"/>
  <c r="E192" i="7"/>
  <c r="F192" i="7"/>
  <c r="B193" i="7"/>
  <c r="B167" i="5"/>
  <c r="G166" i="5"/>
  <c r="F166" i="5"/>
  <c r="E166" i="5"/>
  <c r="A67" i="7" l="1"/>
  <c r="I68" i="7"/>
  <c r="L68" i="7"/>
  <c r="H68" i="7"/>
  <c r="J68" i="7" s="1"/>
  <c r="F193" i="7"/>
  <c r="E193" i="7"/>
  <c r="B194" i="7"/>
  <c r="G193" i="7"/>
  <c r="E167" i="5"/>
  <c r="G167" i="5"/>
  <c r="F167" i="5"/>
  <c r="B168" i="5"/>
  <c r="M72" i="7" l="1"/>
  <c r="N72" i="7"/>
  <c r="C68" i="7"/>
  <c r="K68" i="7" s="1"/>
  <c r="O68" i="7" s="1"/>
  <c r="P68" i="7" s="1"/>
  <c r="G194" i="7"/>
  <c r="E194" i="7"/>
  <c r="F194" i="7"/>
  <c r="B195" i="7"/>
  <c r="G168" i="5"/>
  <c r="E168" i="5"/>
  <c r="F168" i="5"/>
  <c r="B169" i="5"/>
  <c r="D68" i="7" l="1" a="1"/>
  <c r="D68" i="7" s="1"/>
  <c r="F195" i="7"/>
  <c r="E195" i="7"/>
  <c r="B196" i="7"/>
  <c r="G195" i="7"/>
  <c r="E169" i="5"/>
  <c r="B170" i="5"/>
  <c r="G169" i="5"/>
  <c r="F169" i="5"/>
  <c r="A68" i="7" l="1"/>
  <c r="I69" i="7"/>
  <c r="L69" i="7"/>
  <c r="G196" i="7"/>
  <c r="E196" i="7"/>
  <c r="F196" i="7"/>
  <c r="B197" i="7"/>
  <c r="G170" i="5"/>
  <c r="F170" i="5"/>
  <c r="E170" i="5"/>
  <c r="B171" i="5"/>
  <c r="H69" i="7" l="1"/>
  <c r="J69" i="7" s="1"/>
  <c r="N73" i="7"/>
  <c r="M73" i="7"/>
  <c r="C69" i="7"/>
  <c r="K69" i="7" s="1"/>
  <c r="O69" i="7" s="1"/>
  <c r="P69" i="7" s="1"/>
  <c r="F197" i="7"/>
  <c r="E197" i="7"/>
  <c r="B198" i="7"/>
  <c r="G197" i="7"/>
  <c r="F171" i="5"/>
  <c r="E171" i="5"/>
  <c r="B172" i="5"/>
  <c r="G171" i="5"/>
  <c r="D69" i="7" l="1" a="1"/>
  <c r="D69" i="7" s="1"/>
  <c r="L70" i="7" s="1"/>
  <c r="H70" i="7" s="1"/>
  <c r="G198" i="7"/>
  <c r="E198" i="7"/>
  <c r="B199" i="7"/>
  <c r="F198" i="7"/>
  <c r="G172" i="5"/>
  <c r="F172" i="5"/>
  <c r="B173" i="5"/>
  <c r="E172" i="5"/>
  <c r="A69" i="7" l="1"/>
  <c r="C70" i="7"/>
  <c r="I70" i="7"/>
  <c r="J70" i="7" s="1"/>
  <c r="K70" i="7" s="1"/>
  <c r="M74" i="7"/>
  <c r="N74" i="7"/>
  <c r="F199" i="7"/>
  <c r="E199" i="7"/>
  <c r="B200" i="7"/>
  <c r="G199" i="7"/>
  <c r="F173" i="5"/>
  <c r="E173" i="5"/>
  <c r="B174" i="5"/>
  <c r="G173" i="5"/>
  <c r="O70" i="7" l="1"/>
  <c r="P70" i="7" s="1"/>
  <c r="D70" i="7" a="1"/>
  <c r="D70" i="7" s="1"/>
  <c r="G200" i="7"/>
  <c r="E200" i="7"/>
  <c r="F200" i="7"/>
  <c r="B201" i="7"/>
  <c r="G174" i="5"/>
  <c r="F174" i="5"/>
  <c r="E174" i="5"/>
  <c r="B175" i="5"/>
  <c r="L71" i="7" l="1"/>
  <c r="H71" i="7" s="1"/>
  <c r="A70" i="7"/>
  <c r="I71" i="7"/>
  <c r="F201" i="7"/>
  <c r="E201" i="7"/>
  <c r="B202" i="7"/>
  <c r="G201" i="7"/>
  <c r="F175" i="5"/>
  <c r="E175" i="5"/>
  <c r="G175" i="5"/>
  <c r="B176" i="5"/>
  <c r="J71" i="7" l="1"/>
  <c r="C71" i="7"/>
  <c r="K71" i="7"/>
  <c r="O71" i="7" s="1"/>
  <c r="P71" i="7" s="1"/>
  <c r="M75" i="7"/>
  <c r="N75" i="7"/>
  <c r="G202" i="7"/>
  <c r="E202" i="7"/>
  <c r="B203" i="7"/>
  <c r="F202" i="7"/>
  <c r="G176" i="5"/>
  <c r="F176" i="5"/>
  <c r="B177" i="5"/>
  <c r="E176" i="5"/>
  <c r="D71" i="7" l="1" a="1"/>
  <c r="D71" i="7" s="1"/>
  <c r="A71" i="7" s="1"/>
  <c r="F203" i="7"/>
  <c r="E203" i="7"/>
  <c r="B204" i="7"/>
  <c r="G203" i="7"/>
  <c r="F177" i="5"/>
  <c r="E177" i="5"/>
  <c r="B178" i="5"/>
  <c r="G177" i="5"/>
  <c r="I72" i="7" l="1"/>
  <c r="L72" i="7"/>
  <c r="H72" i="7" s="1"/>
  <c r="J72" i="7" s="1"/>
  <c r="G204" i="7"/>
  <c r="E204" i="7"/>
  <c r="F204" i="7"/>
  <c r="B205" i="7"/>
  <c r="E178" i="5"/>
  <c r="B179" i="5"/>
  <c r="G178" i="5"/>
  <c r="F178" i="5"/>
  <c r="M76" i="7" l="1"/>
  <c r="N76" i="7"/>
  <c r="C72" i="7"/>
  <c r="K72" i="7"/>
  <c r="O72" i="7" s="1"/>
  <c r="P72" i="7" s="1"/>
  <c r="F205" i="7"/>
  <c r="E205" i="7"/>
  <c r="B206" i="7"/>
  <c r="G205" i="7"/>
  <c r="F179" i="5"/>
  <c r="E179" i="5"/>
  <c r="G179" i="5"/>
  <c r="B180" i="5"/>
  <c r="D72" i="7" l="1" a="1"/>
  <c r="D72" i="7" s="1"/>
  <c r="G206" i="7"/>
  <c r="E206" i="7"/>
  <c r="F206" i="7"/>
  <c r="B207" i="7"/>
  <c r="G180" i="5"/>
  <c r="F180" i="5"/>
  <c r="B181" i="5"/>
  <c r="E180" i="5"/>
  <c r="L73" i="7" l="1"/>
  <c r="C73" i="7" s="1"/>
  <c r="A72" i="7"/>
  <c r="I73" i="7"/>
  <c r="F207" i="7"/>
  <c r="E207" i="7"/>
  <c r="B208" i="7"/>
  <c r="G207" i="7"/>
  <c r="F181" i="5"/>
  <c r="E181" i="5"/>
  <c r="B182" i="5"/>
  <c r="G181" i="5"/>
  <c r="H73" i="7" l="1"/>
  <c r="J73" i="7" s="1"/>
  <c r="K73" i="7" s="1"/>
  <c r="O73" i="7" s="1"/>
  <c r="P73" i="7" s="1"/>
  <c r="N77" i="7"/>
  <c r="M77" i="7"/>
  <c r="G208" i="7"/>
  <c r="E208" i="7"/>
  <c r="B209" i="7"/>
  <c r="F208" i="7"/>
  <c r="B183" i="5"/>
  <c r="F182" i="5"/>
  <c r="G182" i="5"/>
  <c r="E182" i="5"/>
  <c r="D73" i="7" l="1" a="1"/>
  <c r="D73" i="7" s="1"/>
  <c r="F209" i="7"/>
  <c r="E209" i="7"/>
  <c r="B210" i="7"/>
  <c r="G209" i="7"/>
  <c r="F183" i="5"/>
  <c r="E183" i="5"/>
  <c r="B184" i="5"/>
  <c r="G183" i="5"/>
  <c r="L74" i="7" l="1"/>
  <c r="A73" i="7"/>
  <c r="H74" i="7"/>
  <c r="I74" i="7"/>
  <c r="C74" i="7"/>
  <c r="G210" i="7"/>
  <c r="E210" i="7"/>
  <c r="B211" i="7"/>
  <c r="F210" i="7"/>
  <c r="G184" i="5"/>
  <c r="F184" i="5"/>
  <c r="B185" i="5"/>
  <c r="E184" i="5"/>
  <c r="J74" i="7" l="1"/>
  <c r="M78" i="7"/>
  <c r="N78" i="7"/>
  <c r="F211" i="7"/>
  <c r="E211" i="7"/>
  <c r="B212" i="7"/>
  <c r="G211" i="7"/>
  <c r="F185" i="5"/>
  <c r="E185" i="5"/>
  <c r="B186" i="5"/>
  <c r="G185" i="5"/>
  <c r="K74" i="7" l="1"/>
  <c r="O74" i="7" s="1"/>
  <c r="P74" i="7" s="1"/>
  <c r="G212" i="7"/>
  <c r="E212" i="7"/>
  <c r="F212" i="7"/>
  <c r="B213" i="7"/>
  <c r="E186" i="5"/>
  <c r="B187" i="5"/>
  <c r="G186" i="5"/>
  <c r="F186" i="5"/>
  <c r="D74" i="7" l="1" a="1"/>
  <c r="D74" i="7" s="1"/>
  <c r="F213" i="7"/>
  <c r="E213" i="7"/>
  <c r="B214" i="7"/>
  <c r="G213" i="7"/>
  <c r="F187" i="5"/>
  <c r="E187" i="5"/>
  <c r="B188" i="5"/>
  <c r="G187" i="5"/>
  <c r="A74" i="7" l="1"/>
  <c r="I75" i="7"/>
  <c r="L75" i="7"/>
  <c r="C75" i="7" s="1"/>
  <c r="G214" i="7"/>
  <c r="E214" i="7"/>
  <c r="F214" i="7"/>
  <c r="B215" i="7"/>
  <c r="G188" i="5"/>
  <c r="F188" i="5"/>
  <c r="B189" i="5"/>
  <c r="E188" i="5"/>
  <c r="N79" i="7" l="1"/>
  <c r="M79" i="7"/>
  <c r="H75" i="7"/>
  <c r="J75" i="7" s="1"/>
  <c r="F215" i="7"/>
  <c r="E215" i="7"/>
  <c r="B216" i="7"/>
  <c r="G215" i="7"/>
  <c r="F189" i="5"/>
  <c r="E189" i="5"/>
  <c r="B190" i="5"/>
  <c r="G189" i="5"/>
  <c r="K75" i="7" l="1"/>
  <c r="O75" i="7" s="1"/>
  <c r="P75" i="7" s="1"/>
  <c r="G216" i="7"/>
  <c r="E216" i="7"/>
  <c r="F216" i="7"/>
  <c r="B217" i="7"/>
  <c r="G190" i="5"/>
  <c r="F190" i="5"/>
  <c r="E190" i="5"/>
  <c r="B191" i="5"/>
  <c r="D75" i="7" l="1" a="1"/>
  <c r="D75" i="7" s="1"/>
  <c r="F217" i="7"/>
  <c r="E217" i="7"/>
  <c r="B218" i="7"/>
  <c r="G217" i="7"/>
  <c r="F191" i="5"/>
  <c r="E191" i="5"/>
  <c r="B192" i="5"/>
  <c r="G191" i="5"/>
  <c r="I76" i="7" l="1"/>
  <c r="A75" i="7"/>
  <c r="L76" i="7"/>
  <c r="H76" i="7" s="1"/>
  <c r="J76" i="7" s="1"/>
  <c r="G218" i="7"/>
  <c r="E218" i="7"/>
  <c r="B219" i="7"/>
  <c r="F218" i="7"/>
  <c r="G192" i="5"/>
  <c r="F192" i="5"/>
  <c r="B193" i="5"/>
  <c r="E192" i="5"/>
  <c r="C76" i="7" l="1"/>
  <c r="K76" i="7" s="1"/>
  <c r="O76" i="7" s="1"/>
  <c r="P76" i="7" s="1"/>
  <c r="N80" i="7"/>
  <c r="M80" i="7"/>
  <c r="F219" i="7"/>
  <c r="E219" i="7"/>
  <c r="B220" i="7"/>
  <c r="G219" i="7"/>
  <c r="F193" i="5"/>
  <c r="E193" i="5"/>
  <c r="B194" i="5"/>
  <c r="G193" i="5"/>
  <c r="D76" i="7" l="1" a="1"/>
  <c r="D76" i="7" s="1"/>
  <c r="I221" i="7"/>
  <c r="J221" i="7" s="1"/>
  <c r="B221" i="7"/>
  <c r="K220" i="7"/>
  <c r="G194" i="5"/>
  <c r="F194" i="5"/>
  <c r="E194" i="5"/>
  <c r="B195" i="5"/>
  <c r="I77" i="7" l="1"/>
  <c r="A76" i="7"/>
  <c r="L77" i="7"/>
  <c r="L221" i="7"/>
  <c r="K221" i="7"/>
  <c r="B222" i="7"/>
  <c r="I222" i="7"/>
  <c r="J222" i="7" s="1"/>
  <c r="F195" i="5"/>
  <c r="E195" i="5"/>
  <c r="B196" i="5"/>
  <c r="G195" i="5"/>
  <c r="M81" i="7" l="1"/>
  <c r="N81" i="7"/>
  <c r="H77" i="7"/>
  <c r="J77" i="7" s="1"/>
  <c r="C77" i="7"/>
  <c r="L222" i="7"/>
  <c r="K222" i="7"/>
  <c r="B223" i="7"/>
  <c r="I223" i="7"/>
  <c r="J223" i="7" s="1"/>
  <c r="N225" i="7"/>
  <c r="O225" i="7" s="1"/>
  <c r="P225" i="7" s="1"/>
  <c r="M225" i="7"/>
  <c r="G196" i="5"/>
  <c r="F196" i="5"/>
  <c r="B197" i="5"/>
  <c r="E196" i="5"/>
  <c r="K77" i="7" l="1"/>
  <c r="O77" i="7" s="1"/>
  <c r="P77" i="7" s="1"/>
  <c r="L223" i="7"/>
  <c r="I224" i="7"/>
  <c r="J224" i="7" s="1"/>
  <c r="K223" i="7"/>
  <c r="M226" i="7"/>
  <c r="N226" i="7"/>
  <c r="O226" i="7" s="1"/>
  <c r="P226" i="7" s="1"/>
  <c r="F197" i="5"/>
  <c r="E197" i="5"/>
  <c r="B198" i="5"/>
  <c r="G197" i="5"/>
  <c r="D77" i="7" l="1" a="1"/>
  <c r="D77" i="7" s="1"/>
  <c r="A77" i="7" s="1"/>
  <c r="K224" i="7"/>
  <c r="N227" i="7"/>
  <c r="M227" i="7"/>
  <c r="B199" i="5"/>
  <c r="F198" i="5"/>
  <c r="E198" i="5"/>
  <c r="G198" i="5"/>
  <c r="L78" i="7" l="1"/>
  <c r="M82" i="7" s="1"/>
  <c r="I78" i="7"/>
  <c r="N82" i="7"/>
  <c r="C78" i="7"/>
  <c r="H78" i="7"/>
  <c r="J78" i="7" s="1"/>
  <c r="O227" i="7"/>
  <c r="F199" i="5"/>
  <c r="E199" i="5"/>
  <c r="G199" i="5"/>
  <c r="B200" i="5"/>
  <c r="K78" i="7" l="1"/>
  <c r="O78" i="7" s="1"/>
  <c r="P78" i="7" s="1"/>
  <c r="P227" i="7"/>
  <c r="B201" i="5"/>
  <c r="F200" i="5"/>
  <c r="E200" i="5"/>
  <c r="G200" i="5"/>
  <c r="D78" i="7" l="1" a="1"/>
  <c r="D78" i="7" s="1"/>
  <c r="F201" i="5"/>
  <c r="E201" i="5"/>
  <c r="G201" i="5"/>
  <c r="B202" i="5"/>
  <c r="A78" i="7" l="1"/>
  <c r="L79" i="7"/>
  <c r="H79" i="7" s="1"/>
  <c r="J79" i="7" s="1"/>
  <c r="I79" i="7"/>
  <c r="B203" i="5"/>
  <c r="G202" i="5"/>
  <c r="F202" i="5"/>
  <c r="E202" i="5"/>
  <c r="C79" i="7" l="1"/>
  <c r="K79" i="7" s="1"/>
  <c r="O79" i="7" s="1"/>
  <c r="P79" i="7" s="1"/>
  <c r="M83" i="7"/>
  <c r="N83" i="7"/>
  <c r="F203" i="5"/>
  <c r="E203" i="5"/>
  <c r="G203" i="5"/>
  <c r="B204" i="5"/>
  <c r="D79" i="7" l="1" a="1"/>
  <c r="D79" i="7" s="1"/>
  <c r="B205" i="5"/>
  <c r="G204" i="5"/>
  <c r="E204" i="5"/>
  <c r="F204" i="5"/>
  <c r="I80" i="7" l="1"/>
  <c r="A79" i="7"/>
  <c r="L80" i="7"/>
  <c r="F205" i="5"/>
  <c r="E205" i="5"/>
  <c r="G205" i="5"/>
  <c r="B206" i="5"/>
  <c r="N84" i="7" l="1"/>
  <c r="M84" i="7"/>
  <c r="C80" i="7"/>
  <c r="H80" i="7"/>
  <c r="J80" i="7" s="1"/>
  <c r="B207" i="5"/>
  <c r="G206" i="5"/>
  <c r="F206" i="5"/>
  <c r="E206" i="5"/>
  <c r="K80" i="7" l="1"/>
  <c r="O80" i="7" s="1"/>
  <c r="P80" i="7" s="1"/>
  <c r="F207" i="5"/>
  <c r="E207" i="5"/>
  <c r="G207" i="5"/>
  <c r="B208" i="5"/>
  <c r="D80" i="7" l="1" a="1"/>
  <c r="D80" i="7" s="1"/>
  <c r="B209" i="5"/>
  <c r="G208" i="5"/>
  <c r="F208" i="5"/>
  <c r="E208" i="5"/>
  <c r="I81" i="7" l="1"/>
  <c r="L81" i="7"/>
  <c r="A80" i="7"/>
  <c r="F209" i="5"/>
  <c r="E209" i="5"/>
  <c r="G209" i="5"/>
  <c r="B210" i="5"/>
  <c r="N85" i="7" l="1"/>
  <c r="M85" i="7"/>
  <c r="C81" i="7"/>
  <c r="H81" i="7"/>
  <c r="J81" i="7" s="1"/>
  <c r="B211" i="5"/>
  <c r="G210" i="5"/>
  <c r="F210" i="5"/>
  <c r="E210" i="5"/>
  <c r="K81" i="7" l="1"/>
  <c r="O81" i="7" s="1"/>
  <c r="P81" i="7" s="1"/>
  <c r="F211" i="5"/>
  <c r="E211" i="5"/>
  <c r="B212" i="5"/>
  <c r="G211" i="5"/>
  <c r="D81" i="7" l="1" a="1"/>
  <c r="D81" i="7" s="1"/>
  <c r="A81" i="7" s="1"/>
  <c r="B213" i="5"/>
  <c r="G212" i="5"/>
  <c r="F212" i="5"/>
  <c r="E212" i="5"/>
  <c r="I82" i="7" l="1"/>
  <c r="L82" i="7"/>
  <c r="C82" i="7" s="1"/>
  <c r="H82" i="7"/>
  <c r="J82" i="7" s="1"/>
  <c r="M86" i="7"/>
  <c r="N86" i="7"/>
  <c r="F213" i="5"/>
  <c r="E213" i="5"/>
  <c r="G213" i="5"/>
  <c r="B214" i="5"/>
  <c r="K82" i="7" l="1"/>
  <c r="O82" i="7" s="1"/>
  <c r="P82" i="7" s="1"/>
  <c r="B215" i="5"/>
  <c r="G214" i="5"/>
  <c r="F214" i="5"/>
  <c r="E214" i="5"/>
  <c r="D82" i="7" l="1" a="1"/>
  <c r="D82" i="7" s="1"/>
  <c r="F215" i="5"/>
  <c r="E215" i="5"/>
  <c r="G215" i="5"/>
  <c r="B216" i="5"/>
  <c r="A82" i="7" l="1"/>
  <c r="I83" i="7"/>
  <c r="L83" i="7"/>
  <c r="C83" i="7" s="1"/>
  <c r="B217" i="5"/>
  <c r="G216" i="5"/>
  <c r="F216" i="5"/>
  <c r="E216" i="5"/>
  <c r="H83" i="7" l="1"/>
  <c r="J83" i="7" s="1"/>
  <c r="M87" i="7"/>
  <c r="N87" i="7"/>
  <c r="F217" i="5"/>
  <c r="E217" i="5"/>
  <c r="B218" i="5"/>
  <c r="G217" i="5"/>
  <c r="K83" i="7" l="1"/>
  <c r="O83" i="7" s="1"/>
  <c r="P83" i="7" s="1"/>
  <c r="B219" i="5"/>
  <c r="G218" i="5"/>
  <c r="F218" i="5"/>
  <c r="E218" i="5"/>
  <c r="D83" i="7" l="1" a="1"/>
  <c r="D83" i="7" s="1"/>
  <c r="F219" i="5"/>
  <c r="E219" i="5"/>
  <c r="G219" i="5"/>
  <c r="B220" i="5"/>
  <c r="I84" i="7" l="1"/>
  <c r="A83" i="7"/>
  <c r="L84" i="7"/>
  <c r="C84" i="7" s="1"/>
  <c r="I221" i="5"/>
  <c r="J221" i="5" s="1"/>
  <c r="K220" i="5"/>
  <c r="B221" i="5"/>
  <c r="H84" i="7" l="1"/>
  <c r="J84" i="7" s="1"/>
  <c r="K84" i="7" s="1"/>
  <c r="O84" i="7" s="1"/>
  <c r="P84" i="7" s="1"/>
  <c r="M88" i="7"/>
  <c r="N88" i="7"/>
  <c r="L221" i="5"/>
  <c r="K221" i="5"/>
  <c r="I222" i="5"/>
  <c r="J222" i="5" s="1"/>
  <c r="B222" i="5"/>
  <c r="D84" i="7" l="1" a="1"/>
  <c r="D84" i="7" s="1"/>
  <c r="L222" i="5"/>
  <c r="K222" i="5"/>
  <c r="I223" i="5"/>
  <c r="J223" i="5" s="1"/>
  <c r="B223" i="5"/>
  <c r="N225" i="5"/>
  <c r="O225" i="5" s="1"/>
  <c r="P225" i="5" s="1"/>
  <c r="M225" i="5"/>
  <c r="I85" i="7" l="1"/>
  <c r="A84" i="7"/>
  <c r="L85" i="7"/>
  <c r="H85" i="7" s="1"/>
  <c r="J85" i="7" s="1"/>
  <c r="K223" i="5"/>
  <c r="I224" i="5"/>
  <c r="J224" i="5" s="1"/>
  <c r="L223" i="5"/>
  <c r="M226" i="5"/>
  <c r="N226" i="5"/>
  <c r="O226" i="5" s="1"/>
  <c r="P226" i="5" s="1"/>
  <c r="M89" i="7" l="1"/>
  <c r="N89" i="7"/>
  <c r="C85" i="7"/>
  <c r="K85" i="7" s="1"/>
  <c r="O85" i="7" s="1"/>
  <c r="P85" i="7" s="1"/>
  <c r="K224" i="5"/>
  <c r="M227" i="5"/>
  <c r="N227" i="5"/>
  <c r="D85" i="7" l="1" a="1"/>
  <c r="D85" i="7" s="1"/>
  <c r="O227" i="5"/>
  <c r="I86" i="7" l="1"/>
  <c r="A85" i="7"/>
  <c r="L86" i="7"/>
  <c r="C86" i="7" s="1"/>
  <c r="H86" i="7"/>
  <c r="J86" i="7" s="1"/>
  <c r="P227" i="5"/>
  <c r="K86" i="7" l="1"/>
  <c r="O86" i="7" s="1"/>
  <c r="P86" i="7" s="1"/>
  <c r="D86" i="7" a="1"/>
  <c r="D86" i="7" s="1"/>
  <c r="N90" i="7"/>
  <c r="M90" i="7"/>
  <c r="I87" i="7" l="1"/>
  <c r="L87" i="7"/>
  <c r="A86" i="7"/>
  <c r="M91" i="7" l="1"/>
  <c r="N91" i="7"/>
  <c r="C87" i="7"/>
  <c r="H87" i="7"/>
  <c r="J87" i="7" s="1"/>
  <c r="K87" i="7" l="1"/>
  <c r="O87" i="7" s="1"/>
  <c r="P87" i="7" s="1"/>
  <c r="D87" i="7" l="1" a="1"/>
  <c r="D87" i="7" s="1"/>
  <c r="A87" i="7" s="1"/>
  <c r="I88" i="7" l="1"/>
  <c r="L88" i="7"/>
  <c r="H88" i="7" s="1"/>
  <c r="J88" i="7" s="1"/>
  <c r="N92" i="7"/>
  <c r="M92" i="7" l="1"/>
  <c r="C88" i="7"/>
  <c r="K88" i="7" s="1"/>
  <c r="O88" i="7" s="1"/>
  <c r="P88" i="7" s="1"/>
  <c r="D88" i="7" l="1" a="1"/>
  <c r="D88" i="7" s="1"/>
  <c r="I89" i="7" s="1"/>
  <c r="A88" i="7"/>
  <c r="L89" i="7"/>
  <c r="H89" i="7" l="1"/>
  <c r="J89" i="7" s="1"/>
  <c r="M93" i="7"/>
  <c r="N93" i="7"/>
  <c r="C89" i="7"/>
  <c r="K89" i="7" l="1"/>
  <c r="O89" i="7" s="1"/>
  <c r="P89" i="7" s="1"/>
  <c r="D89" i="7" a="1"/>
  <c r="D89" i="7" s="1"/>
  <c r="I90" i="7" l="1"/>
  <c r="A89" i="7"/>
  <c r="L90" i="7"/>
  <c r="H90" i="7" s="1"/>
  <c r="J90" i="7" s="1"/>
  <c r="M94" i="7" l="1"/>
  <c r="N94" i="7"/>
  <c r="C90" i="7"/>
  <c r="K90" i="7" s="1"/>
  <c r="O90" i="7" s="1"/>
  <c r="P90" i="7" s="1"/>
  <c r="D90" i="7" l="1" a="1"/>
  <c r="D90" i="7" s="1"/>
  <c r="A90" i="7" s="1"/>
  <c r="I91" i="7"/>
  <c r="L91" i="7"/>
  <c r="H91" i="7" s="1"/>
  <c r="J91" i="7" s="1"/>
  <c r="C91" i="7" l="1"/>
  <c r="K91" i="7" s="1"/>
  <c r="N95" i="7"/>
  <c r="M95" i="7"/>
  <c r="O91" i="7" l="1"/>
  <c r="P91" i="7" s="1"/>
  <c r="D91" i="7" a="1"/>
  <c r="D91" i="7" s="1"/>
  <c r="L92" i="7" l="1"/>
  <c r="C92" i="7" s="1"/>
  <c r="I92" i="7"/>
  <c r="H92" i="7"/>
  <c r="A91" i="7"/>
  <c r="J92" i="7" l="1"/>
  <c r="K92" i="7"/>
  <c r="N96" i="7"/>
  <c r="M96" i="7"/>
  <c r="O92" i="7" l="1"/>
  <c r="P92" i="7" s="1"/>
  <c r="D92" i="7" a="1"/>
  <c r="D92" i="7" s="1"/>
  <c r="A92" i="7" l="1"/>
  <c r="L93" i="7"/>
  <c r="C93" i="7" s="1"/>
  <c r="I93" i="7"/>
  <c r="H93" i="7" l="1"/>
  <c r="J93" i="7" s="1"/>
  <c r="K93" i="7" s="1"/>
  <c r="O93" i="7" s="1"/>
  <c r="P93" i="7" s="1"/>
  <c r="N97" i="7"/>
  <c r="M97" i="7"/>
  <c r="D93" i="7" l="1" a="1"/>
  <c r="D93" i="7" s="1"/>
  <c r="I94" i="7" l="1"/>
  <c r="A93" i="7"/>
  <c r="L94" i="7"/>
  <c r="H94" i="7" s="1"/>
  <c r="J94" i="7" s="1"/>
  <c r="C94" i="7" l="1"/>
  <c r="K94" i="7" s="1"/>
  <c r="N98" i="7"/>
  <c r="M98" i="7"/>
  <c r="O94" i="7" l="1"/>
  <c r="P94" i="7" s="1"/>
  <c r="D94" i="7" a="1"/>
  <c r="D94" i="7" s="1"/>
  <c r="L95" i="7" l="1"/>
  <c r="H95" i="7" s="1"/>
  <c r="A94" i="7"/>
  <c r="I95" i="7"/>
  <c r="C95" i="7"/>
  <c r="J95" i="7" l="1"/>
  <c r="N99" i="7"/>
  <c r="M99" i="7"/>
  <c r="K95" i="7" l="1"/>
  <c r="O95" i="7" s="1"/>
  <c r="P95" i="7" s="1"/>
  <c r="D95" i="7" l="1" a="1"/>
  <c r="D95" i="7" s="1"/>
  <c r="A95" i="7" l="1"/>
  <c r="I96" i="7"/>
  <c r="L96" i="7"/>
  <c r="C96" i="7" s="1"/>
  <c r="H96" i="7" l="1"/>
  <c r="J96" i="7" s="1"/>
  <c r="M100" i="7"/>
  <c r="N100" i="7"/>
  <c r="K96" i="7" l="1"/>
  <c r="O96" i="7" s="1"/>
  <c r="P96" i="7" s="1"/>
  <c r="D96" i="7" l="1" a="1"/>
  <c r="D96" i="7" s="1"/>
  <c r="A96" i="7" l="1"/>
  <c r="I97" i="7"/>
  <c r="L97" i="7"/>
  <c r="C97" i="7" s="1"/>
  <c r="H97" i="7"/>
  <c r="J97" i="7" s="1"/>
  <c r="K97" i="7" l="1"/>
  <c r="O97" i="7" s="1"/>
  <c r="P97" i="7" s="1"/>
  <c r="M101" i="7"/>
  <c r="N101" i="7"/>
  <c r="D97" i="7" l="1" a="1"/>
  <c r="D97" i="7" s="1"/>
  <c r="A97" i="7" l="1"/>
  <c r="I98" i="7"/>
  <c r="L98" i="7"/>
  <c r="H98" i="7" l="1"/>
  <c r="J98" i="7" s="1"/>
  <c r="C98" i="7"/>
  <c r="M102" i="7"/>
  <c r="N102" i="7"/>
  <c r="K98" i="7" l="1"/>
  <c r="O98" i="7" s="1"/>
  <c r="P98" i="7" s="1"/>
  <c r="D98" i="7" a="1"/>
  <c r="D98" i="7" s="1"/>
  <c r="A98" i="7" l="1"/>
  <c r="L99" i="7"/>
  <c r="C99" i="7" s="1"/>
  <c r="I99" i="7"/>
  <c r="H99" i="7" l="1"/>
  <c r="J99" i="7"/>
  <c r="K99" i="7"/>
  <c r="O99" i="7" s="1"/>
  <c r="P99" i="7" s="1"/>
  <c r="M103" i="7"/>
  <c r="N103" i="7"/>
  <c r="D99" i="7" l="1" a="1"/>
  <c r="D99" i="7" s="1"/>
  <c r="A99" i="7" l="1"/>
  <c r="L100" i="7"/>
  <c r="I100" i="7"/>
  <c r="N104" i="7" l="1"/>
  <c r="M104" i="7"/>
  <c r="C100" i="7"/>
  <c r="H100" i="7"/>
  <c r="J100" i="7" s="1"/>
  <c r="K100" i="7" l="1"/>
  <c r="O100" i="7" s="1"/>
  <c r="P100" i="7" s="1"/>
  <c r="D100" i="7" l="1" a="1"/>
  <c r="D100" i="7" s="1"/>
  <c r="A100" i="7" l="1"/>
  <c r="I101" i="7"/>
  <c r="L101" i="7"/>
  <c r="H101" i="7" s="1"/>
  <c r="J101" i="7" s="1"/>
  <c r="C101" i="7" l="1"/>
  <c r="K101" i="7" s="1"/>
  <c r="O101" i="7" s="1"/>
  <c r="P101" i="7" s="1"/>
  <c r="N105" i="7"/>
  <c r="M105" i="7"/>
  <c r="D101" i="7" l="1" a="1"/>
  <c r="D101" i="7" s="1"/>
  <c r="L102" i="7" l="1"/>
  <c r="H102" i="7" s="1"/>
  <c r="A101" i="7"/>
  <c r="I102" i="7"/>
  <c r="J102" i="7" l="1"/>
  <c r="C102" i="7"/>
  <c r="K102" i="7" s="1"/>
  <c r="O102" i="7" s="1"/>
  <c r="P102" i="7" s="1"/>
  <c r="M106" i="7"/>
  <c r="N106" i="7"/>
  <c r="D102" i="7" l="1" a="1"/>
  <c r="D102" i="7" s="1"/>
  <c r="A102" i="7" l="1"/>
  <c r="L103" i="7"/>
  <c r="C103" i="7" s="1"/>
  <c r="I103" i="7"/>
  <c r="H103" i="7" l="1"/>
  <c r="J103" i="7" s="1"/>
  <c r="N107" i="7"/>
  <c r="M107" i="7"/>
  <c r="K103" i="7" l="1"/>
  <c r="O103" i="7" s="1"/>
  <c r="P103" i="7" s="1"/>
  <c r="D103" i="7" l="1" a="1"/>
  <c r="D103" i="7" s="1"/>
  <c r="L104" i="7" l="1"/>
  <c r="H104" i="7" s="1"/>
  <c r="A103" i="7"/>
  <c r="I104" i="7"/>
  <c r="J104" i="7" l="1"/>
  <c r="N108" i="7"/>
  <c r="M108" i="7"/>
  <c r="C104" i="7"/>
  <c r="K104" i="7" s="1"/>
  <c r="O104" i="7" s="1"/>
  <c r="P104" i="7" s="1"/>
  <c r="D104" i="7" l="1" a="1"/>
  <c r="D104" i="7" s="1"/>
  <c r="L105" i="7" l="1"/>
  <c r="C105" i="7" s="1"/>
  <c r="I105" i="7"/>
  <c r="A104" i="7"/>
  <c r="H105" i="7" l="1"/>
  <c r="J105" i="7"/>
  <c r="K105" i="7"/>
  <c r="O105" i="7" s="1"/>
  <c r="P105" i="7" s="1"/>
  <c r="N109" i="7"/>
  <c r="M109" i="7"/>
  <c r="D105" i="7" l="1" a="1"/>
  <c r="D105" i="7" s="1"/>
  <c r="L106" i="7" s="1"/>
  <c r="H106" i="7" s="1"/>
  <c r="I106" i="7"/>
  <c r="A105" i="7" l="1"/>
  <c r="J106" i="7"/>
  <c r="C106" i="7"/>
  <c r="K106" i="7" s="1"/>
  <c r="N110" i="7"/>
  <c r="M110" i="7"/>
  <c r="O106" i="7" l="1"/>
  <c r="P106" i="7" s="1"/>
  <c r="D106" i="7" a="1"/>
  <c r="D106" i="7" s="1"/>
  <c r="A106" i="7" l="1"/>
  <c r="I107" i="7"/>
  <c r="L107" i="7"/>
  <c r="C107" i="7" s="1"/>
  <c r="N111" i="7" l="1"/>
  <c r="H107" i="7"/>
  <c r="J107" i="7" s="1"/>
  <c r="K107" i="7" s="1"/>
  <c r="O107" i="7" s="1"/>
  <c r="P107" i="7" s="1"/>
  <c r="M111" i="7"/>
  <c r="D107" i="7" l="1" a="1"/>
  <c r="D107" i="7" s="1"/>
  <c r="A107" i="7" s="1"/>
  <c r="L108" i="7" l="1"/>
  <c r="H108" i="7" s="1"/>
  <c r="I108" i="7"/>
  <c r="N112" i="7"/>
  <c r="M112" i="7"/>
  <c r="C108" i="7"/>
  <c r="J108" i="7" l="1"/>
  <c r="K108" i="7" s="1"/>
  <c r="O108" i="7" l="1"/>
  <c r="P108" i="7" s="1"/>
  <c r="D108" i="7" a="1"/>
  <c r="D108" i="7" s="1"/>
  <c r="A108" i="7" s="1"/>
  <c r="L109" i="7"/>
  <c r="I109" i="7"/>
  <c r="H109" i="7"/>
  <c r="J109" i="7" s="1"/>
  <c r="C109" i="7" l="1"/>
  <c r="K109" i="7" s="1"/>
  <c r="N113" i="7"/>
  <c r="M113" i="7"/>
  <c r="O109" i="7" l="1"/>
  <c r="P109" i="7" s="1"/>
  <c r="D109" i="7" a="1"/>
  <c r="D109" i="7" s="1"/>
  <c r="I110" i="7" l="1"/>
  <c r="A109" i="7"/>
  <c r="L110" i="7"/>
  <c r="H110" i="7"/>
  <c r="J110" i="7" s="1"/>
  <c r="C110" i="7" l="1"/>
  <c r="K110" i="7" s="1"/>
  <c r="N114" i="7"/>
  <c r="M114" i="7"/>
  <c r="O110" i="7" l="1"/>
  <c r="P110" i="7" s="1"/>
  <c r="D110" i="7" a="1"/>
  <c r="D110" i="7" s="1"/>
  <c r="A110" i="7" l="1"/>
  <c r="L111" i="7"/>
  <c r="I111" i="7"/>
  <c r="H111" i="7"/>
  <c r="J111" i="7" l="1"/>
  <c r="C111" i="7"/>
  <c r="K111" i="7" s="1"/>
  <c r="N115" i="7"/>
  <c r="M115" i="7"/>
  <c r="O111" i="7" l="1"/>
  <c r="P111" i="7" s="1"/>
  <c r="D111" i="7" a="1"/>
  <c r="D111" i="7" s="1"/>
  <c r="A111" i="7" l="1"/>
  <c r="L112" i="7"/>
  <c r="H112" i="7" s="1"/>
  <c r="I112" i="7"/>
  <c r="J112" i="7" l="1"/>
  <c r="C112" i="7"/>
  <c r="K112" i="7" s="1"/>
  <c r="M116" i="7"/>
  <c r="N116" i="7"/>
  <c r="O112" i="7" l="1"/>
  <c r="P112" i="7" s="1"/>
  <c r="D112" i="7" a="1"/>
  <c r="D112" i="7" s="1"/>
  <c r="A112" i="7" l="1"/>
  <c r="I113" i="7"/>
  <c r="L113" i="7"/>
  <c r="C113" i="7" s="1"/>
  <c r="N117" i="7" l="1"/>
  <c r="M117" i="7"/>
  <c r="H113" i="7"/>
  <c r="J113" i="7" s="1"/>
  <c r="K113" i="7" s="1"/>
  <c r="O113" i="7" s="1"/>
  <c r="P113" i="7" s="1"/>
  <c r="D113" i="7" l="1" a="1"/>
  <c r="D113" i="7" s="1"/>
  <c r="A113" i="7" l="1"/>
  <c r="L114" i="7"/>
  <c r="H114" i="7"/>
  <c r="I114" i="7"/>
  <c r="C114" i="7"/>
  <c r="J114" i="7" l="1"/>
  <c r="K114" i="7" s="1"/>
  <c r="O114" i="7" s="1"/>
  <c r="P114" i="7" s="1"/>
  <c r="M118" i="7"/>
  <c r="N118" i="7"/>
  <c r="D114" i="7" l="1" a="1"/>
  <c r="D114" i="7" s="1"/>
  <c r="A114" i="7" l="1"/>
  <c r="L115" i="7"/>
  <c r="I115" i="7"/>
  <c r="H115" i="7"/>
  <c r="J115" i="7" l="1"/>
  <c r="C115" i="7"/>
  <c r="K115" i="7" s="1"/>
  <c r="O115" i="7" s="1"/>
  <c r="P115" i="7" s="1"/>
  <c r="M119" i="7"/>
  <c r="N119" i="7"/>
  <c r="D115" i="7" l="1" a="1"/>
  <c r="D115" i="7" s="1"/>
  <c r="I116" i="7" l="1"/>
  <c r="A115" i="7"/>
  <c r="L116" i="7"/>
  <c r="N120" i="7" l="1"/>
  <c r="M120" i="7"/>
  <c r="C116" i="7"/>
  <c r="H116" i="7"/>
  <c r="J116" i="7" s="1"/>
  <c r="K116" i="7" l="1"/>
  <c r="O116" i="7" s="1"/>
  <c r="P116" i="7" s="1"/>
  <c r="D116" i="7" l="1" a="1"/>
  <c r="D116" i="7" s="1"/>
  <c r="L117" i="7" l="1"/>
  <c r="I117" i="7"/>
  <c r="A116" i="7"/>
  <c r="H117" i="7"/>
  <c r="J117" i="7" s="1"/>
  <c r="C117" i="7" l="1"/>
  <c r="K117" i="7" s="1"/>
  <c r="N121" i="7"/>
  <c r="M121" i="7"/>
  <c r="O117" i="7" l="1"/>
  <c r="P117" i="7" s="1"/>
  <c r="D117" i="7" a="1"/>
  <c r="D117" i="7" s="1"/>
  <c r="I118" i="7" l="1"/>
  <c r="A117" i="7"/>
  <c r="L118" i="7"/>
  <c r="C118" i="7" s="1"/>
  <c r="H118" i="7"/>
  <c r="J118" i="7" s="1"/>
  <c r="K118" i="7" l="1"/>
  <c r="N122" i="7"/>
  <c r="M122" i="7"/>
  <c r="O118" i="7" l="1"/>
  <c r="P118" i="7" s="1"/>
  <c r="D118" i="7" a="1"/>
  <c r="D118" i="7" s="1"/>
  <c r="A118" i="7" l="1"/>
  <c r="I119" i="7"/>
  <c r="L119" i="7"/>
  <c r="C119" i="7" l="1"/>
  <c r="N123" i="7"/>
  <c r="M123" i="7"/>
  <c r="H119" i="7"/>
  <c r="J119" i="7" s="1"/>
  <c r="K119" i="7" l="1"/>
  <c r="O119" i="7" s="1"/>
  <c r="P119" i="7" s="1"/>
  <c r="D119" i="7" l="1" a="1"/>
  <c r="D119" i="7" s="1"/>
  <c r="A119" i="7" l="1"/>
  <c r="L120" i="7"/>
  <c r="H120" i="7" s="1"/>
  <c r="I120" i="7"/>
  <c r="J120" i="7" l="1"/>
  <c r="C120" i="7"/>
  <c r="K120" i="7" s="1"/>
  <c r="O120" i="7" s="1"/>
  <c r="P120" i="7" s="1"/>
  <c r="M124" i="7"/>
  <c r="N124" i="7"/>
  <c r="D120" i="7" l="1" a="1"/>
  <c r="D120" i="7" s="1"/>
  <c r="A120" i="7" l="1"/>
  <c r="L121" i="7"/>
  <c r="I121" i="7"/>
  <c r="H121" i="7" l="1"/>
  <c r="J121" i="7" s="1"/>
  <c r="N125" i="7"/>
  <c r="M125" i="7"/>
  <c r="C121" i="7"/>
  <c r="K121" i="7" l="1"/>
  <c r="O121" i="7" s="1"/>
  <c r="P121" i="7" s="1"/>
  <c r="D121" i="7" a="1"/>
  <c r="D121" i="7" s="1"/>
  <c r="A121" i="7" l="1"/>
  <c r="L122" i="7"/>
  <c r="H122" i="7" s="1"/>
  <c r="I122" i="7"/>
  <c r="J122" i="7" l="1"/>
  <c r="N126" i="7"/>
  <c r="M126" i="7"/>
  <c r="C122" i="7"/>
  <c r="K122" i="7" s="1"/>
  <c r="O122" i="7" s="1"/>
  <c r="P122" i="7" s="1"/>
  <c r="D122" i="7" l="1" a="1"/>
  <c r="D122" i="7" s="1"/>
  <c r="A122" i="7" l="1"/>
  <c r="I123" i="7"/>
  <c r="L123" i="7"/>
  <c r="H123" i="7" s="1"/>
  <c r="J123" i="7" s="1"/>
  <c r="N127" i="7" l="1"/>
  <c r="M127" i="7"/>
  <c r="C123" i="7"/>
  <c r="K123" i="7" s="1"/>
  <c r="O123" i="7" s="1"/>
  <c r="P123" i="7" s="1"/>
  <c r="D123" i="7" l="1" a="1"/>
  <c r="D123" i="7" s="1"/>
  <c r="A123" i="7" l="1"/>
  <c r="L124" i="7"/>
  <c r="I124" i="7"/>
  <c r="N128" i="7" l="1"/>
  <c r="M128" i="7"/>
  <c r="C124" i="7"/>
  <c r="H124" i="7"/>
  <c r="J124" i="7" s="1"/>
  <c r="K124" i="7" l="1"/>
  <c r="O124" i="7" s="1"/>
  <c r="P124" i="7" s="1"/>
  <c r="D124" i="7" l="1" a="1"/>
  <c r="D124" i="7" s="1"/>
  <c r="I125" i="7" l="1"/>
  <c r="L125" i="7"/>
  <c r="A124" i="7"/>
  <c r="H125" i="7" l="1"/>
  <c r="J125" i="7" s="1"/>
  <c r="N129" i="7"/>
  <c r="M129" i="7"/>
  <c r="C125" i="7"/>
  <c r="K125" i="7" l="1"/>
  <c r="O125" i="7" s="1"/>
  <c r="P125" i="7" s="1"/>
  <c r="D125" i="7" a="1"/>
  <c r="D125" i="7" s="1"/>
  <c r="L126" i="7" l="1"/>
  <c r="A125" i="7"/>
  <c r="H126" i="7"/>
  <c r="I126" i="7"/>
  <c r="J126" i="7" l="1"/>
  <c r="M130" i="7"/>
  <c r="N130" i="7"/>
  <c r="C126" i="7"/>
  <c r="K126" i="7" s="1"/>
  <c r="O126" i="7" s="1"/>
  <c r="P126" i="7" s="1"/>
  <c r="D126" i="7" l="1" a="1"/>
  <c r="D126" i="7" s="1"/>
  <c r="L127" i="7" l="1"/>
  <c r="I127" i="7"/>
  <c r="A126" i="7"/>
  <c r="C127" i="7"/>
  <c r="H127" i="7" l="1"/>
  <c r="J127" i="7" s="1"/>
  <c r="N131" i="7"/>
  <c r="M131" i="7"/>
  <c r="K127" i="7" l="1"/>
  <c r="O127" i="7" s="1"/>
  <c r="P127" i="7" s="1"/>
  <c r="D127" i="7" l="1" a="1"/>
  <c r="D127" i="7" s="1"/>
  <c r="L128" i="7" s="1"/>
  <c r="I128" i="7"/>
  <c r="C128" i="7" l="1"/>
  <c r="H128" i="7"/>
  <c r="A127" i="7"/>
  <c r="J128" i="7"/>
  <c r="N132" i="7"/>
  <c r="M132" i="7"/>
  <c r="K128" i="7" l="1"/>
  <c r="O128" i="7" s="1"/>
  <c r="P128" i="7" s="1"/>
  <c r="D128" i="7" l="1" a="1"/>
  <c r="D128" i="7" s="1"/>
  <c r="L129" i="7" l="1"/>
  <c r="I129" i="7"/>
  <c r="C129" i="7"/>
  <c r="A128" i="7"/>
  <c r="H129" i="7"/>
  <c r="J129" i="7" s="1"/>
  <c r="K129" i="7" s="1"/>
  <c r="O129" i="7" s="1"/>
  <c r="P129" i="7" s="1"/>
  <c r="D129" i="7" l="1" a="1"/>
  <c r="D129" i="7" s="1"/>
  <c r="M133" i="7"/>
  <c r="N133" i="7"/>
  <c r="L130" i="7" l="1"/>
  <c r="I130" i="7"/>
  <c r="A129" i="7"/>
  <c r="C130" i="7" l="1"/>
  <c r="M134" i="7"/>
  <c r="N134" i="7"/>
  <c r="H130" i="7"/>
  <c r="J130" i="7" s="1"/>
  <c r="K130" i="7" l="1"/>
  <c r="O130" i="7" s="1"/>
  <c r="P130" i="7" s="1"/>
  <c r="D130" i="7" l="1" a="1"/>
  <c r="D130" i="7" s="1"/>
  <c r="I131" i="7" l="1"/>
  <c r="L131" i="7"/>
  <c r="C131" i="7" s="1"/>
  <c r="A130" i="7"/>
  <c r="H131" i="7"/>
  <c r="J131" i="7" s="1"/>
  <c r="K131" i="7" l="1"/>
  <c r="O131" i="7" s="1"/>
  <c r="P131" i="7" s="1"/>
  <c r="M135" i="7"/>
  <c r="N135" i="7"/>
  <c r="D131" i="7" l="1" a="1"/>
  <c r="D131" i="7" s="1"/>
  <c r="A131" i="7" l="1"/>
  <c r="L132" i="7"/>
  <c r="I132" i="7"/>
  <c r="H132" i="7"/>
  <c r="J132" i="7" s="1"/>
  <c r="K132" i="7" l="1"/>
  <c r="C132" i="7"/>
  <c r="N136" i="7"/>
  <c r="M136" i="7"/>
  <c r="O132" i="7" l="1"/>
  <c r="P132" i="7" s="1"/>
  <c r="D132" i="7" a="1"/>
  <c r="D132" i="7" s="1"/>
  <c r="I133" i="7" l="1"/>
  <c r="L133" i="7"/>
  <c r="H133" i="7"/>
  <c r="J133" i="7" s="1"/>
  <c r="A132" i="7"/>
  <c r="C133" i="7" l="1"/>
  <c r="K133" i="7" s="1"/>
  <c r="O133" i="7" s="1"/>
  <c r="P133" i="7" s="1"/>
  <c r="M137" i="7"/>
  <c r="N137" i="7"/>
  <c r="D133" i="7" l="1" a="1"/>
  <c r="D133" i="7" s="1"/>
  <c r="A133" i="7" l="1"/>
  <c r="I134" i="7"/>
  <c r="L134" i="7"/>
  <c r="C134" i="7" s="1"/>
  <c r="H134" i="7"/>
  <c r="J134" i="7" s="1"/>
  <c r="K134" i="7" l="1"/>
  <c r="O134" i="7" s="1"/>
  <c r="P134" i="7" s="1"/>
  <c r="N138" i="7"/>
  <c r="M138" i="7"/>
  <c r="D134" i="7" l="1" a="1"/>
  <c r="D134" i="7" s="1"/>
  <c r="A134" i="7" l="1"/>
  <c r="I135" i="7"/>
  <c r="L135" i="7"/>
  <c r="H135" i="7" l="1"/>
  <c r="J135" i="7" s="1"/>
  <c r="C135" i="7"/>
  <c r="K135" i="7" s="1"/>
  <c r="O135" i="7" s="1"/>
  <c r="P135" i="7" s="1"/>
  <c r="M139" i="7"/>
  <c r="N139" i="7"/>
  <c r="D135" i="7" l="1" a="1"/>
  <c r="D135" i="7" s="1"/>
  <c r="I136" i="7" l="1"/>
  <c r="L136" i="7"/>
  <c r="A135" i="7"/>
  <c r="N140" i="7" l="1"/>
  <c r="M140" i="7"/>
  <c r="H136" i="7"/>
  <c r="J136" i="7" s="1"/>
  <c r="C136" i="7"/>
  <c r="K136" i="7" l="1"/>
  <c r="O136" i="7" s="1"/>
  <c r="P136" i="7" s="1"/>
  <c r="D136" i="7" a="1"/>
  <c r="D136" i="7" s="1"/>
  <c r="L137" i="7" l="1"/>
  <c r="A136" i="7"/>
  <c r="H137" i="7"/>
  <c r="I137" i="7"/>
  <c r="J137" i="7" l="1"/>
  <c r="C137" i="7"/>
  <c r="K137" i="7" s="1"/>
  <c r="O137" i="7" s="1"/>
  <c r="P137" i="7" s="1"/>
  <c r="M141" i="7"/>
  <c r="N141" i="7"/>
  <c r="D137" i="7" l="1" a="1"/>
  <c r="D137" i="7" s="1"/>
  <c r="A137" i="7" l="1"/>
  <c r="I138" i="7"/>
  <c r="L138" i="7"/>
  <c r="H138" i="7" l="1"/>
  <c r="J138" i="7" s="1"/>
  <c r="N142" i="7"/>
  <c r="M142" i="7"/>
  <c r="C138" i="7"/>
  <c r="K138" i="7" s="1"/>
  <c r="O138" i="7" s="1"/>
  <c r="P138" i="7" s="1"/>
  <c r="D138" i="7" l="1" a="1"/>
  <c r="D138" i="7" s="1"/>
  <c r="L139" i="7" l="1"/>
  <c r="I139" i="7"/>
  <c r="A138" i="7"/>
  <c r="H139" i="7"/>
  <c r="J139" i="7" s="1"/>
  <c r="C139" i="7" l="1"/>
  <c r="K139" i="7" s="1"/>
  <c r="N143" i="7"/>
  <c r="M143" i="7"/>
  <c r="O139" i="7" l="1"/>
  <c r="P139" i="7" s="1"/>
  <c r="D139" i="7" a="1"/>
  <c r="D139" i="7" s="1"/>
  <c r="A139" i="7" l="1"/>
  <c r="I140" i="7"/>
  <c r="L140" i="7"/>
  <c r="H140" i="7"/>
  <c r="J140" i="7" s="1"/>
  <c r="C140" i="7" l="1"/>
  <c r="K140" i="7" s="1"/>
  <c r="O140" i="7" s="1"/>
  <c r="P140" i="7" s="1"/>
  <c r="N144" i="7"/>
  <c r="M144" i="7"/>
  <c r="D140" i="7" l="1" a="1"/>
  <c r="D140" i="7" s="1"/>
  <c r="I141" i="7" l="1"/>
  <c r="A140" i="7"/>
  <c r="L141" i="7"/>
  <c r="C141" i="7" s="1"/>
  <c r="H141" i="7"/>
  <c r="J141" i="7" s="1"/>
  <c r="K141" i="7" l="1"/>
  <c r="O141" i="7" s="1"/>
  <c r="P141" i="7" s="1"/>
  <c r="M145" i="7"/>
  <c r="N145" i="7"/>
  <c r="D141" i="7" l="1" a="1"/>
  <c r="D141" i="7" s="1"/>
  <c r="I142" i="7" l="1"/>
  <c r="A141" i="7"/>
  <c r="L142" i="7"/>
  <c r="C142" i="7" l="1"/>
  <c r="N146" i="7"/>
  <c r="M146" i="7"/>
  <c r="H142" i="7"/>
  <c r="J142" i="7" s="1"/>
  <c r="K142" i="7" l="1"/>
  <c r="O142" i="7" l="1"/>
  <c r="P142" i="7" s="1"/>
  <c r="D142" i="7" a="1"/>
  <c r="D142" i="7" s="1"/>
  <c r="L143" i="7" l="1"/>
  <c r="H143" i="7" s="1"/>
  <c r="J143" i="7" s="1"/>
  <c r="A142" i="7"/>
  <c r="I143" i="7"/>
  <c r="C143" i="7" l="1"/>
  <c r="K143" i="7" s="1"/>
  <c r="N147" i="7"/>
  <c r="M147" i="7"/>
  <c r="O143" i="7" l="1"/>
  <c r="P143" i="7" s="1"/>
  <c r="D143" i="7" a="1"/>
  <c r="D143" i="7" s="1"/>
  <c r="A143" i="7" l="1"/>
  <c r="I144" i="7"/>
  <c r="L144" i="7"/>
  <c r="C144" i="7" s="1"/>
  <c r="H144" i="7" l="1"/>
  <c r="J144" i="7" s="1"/>
  <c r="M148" i="7"/>
  <c r="N148" i="7"/>
  <c r="K144" i="7" l="1"/>
  <c r="O144" i="7" s="1"/>
  <c r="P144" i="7" s="1"/>
  <c r="D144" i="7" l="1" a="1"/>
  <c r="D144" i="7" s="1"/>
  <c r="I145" i="7" l="1"/>
  <c r="L145" i="7"/>
  <c r="A144" i="7"/>
  <c r="C145" i="7"/>
  <c r="H145" i="7"/>
  <c r="J145" i="7" s="1"/>
  <c r="K145" i="7" l="1"/>
  <c r="N149" i="7"/>
  <c r="M149" i="7"/>
  <c r="O145" i="7" l="1"/>
  <c r="P145" i="7" s="1"/>
  <c r="D145" i="7" a="1"/>
  <c r="D145" i="7" s="1"/>
  <c r="I146" i="7" l="1"/>
  <c r="A145" i="7"/>
  <c r="L146" i="7"/>
  <c r="H146" i="7" s="1"/>
  <c r="J146" i="7" s="1"/>
  <c r="C146" i="7" l="1"/>
  <c r="K146" i="7" s="1"/>
  <c r="O146" i="7" s="1"/>
  <c r="P146" i="7" s="1"/>
  <c r="M150" i="7"/>
  <c r="N150" i="7"/>
  <c r="D146" i="7" l="1" a="1"/>
  <c r="D146" i="7" s="1"/>
  <c r="A146" i="7" l="1"/>
  <c r="L147" i="7"/>
  <c r="I147" i="7"/>
  <c r="C147" i="7" l="1"/>
  <c r="N151" i="7"/>
  <c r="M151" i="7"/>
  <c r="H147" i="7"/>
  <c r="J147" i="7" s="1"/>
  <c r="K147" i="7" l="1"/>
  <c r="O147" i="7" s="1"/>
  <c r="P147" i="7" s="1"/>
  <c r="D147" i="7" l="1" a="1"/>
  <c r="D147" i="7" s="1"/>
  <c r="A147" i="7" l="1"/>
  <c r="L148" i="7"/>
  <c r="I148" i="7"/>
  <c r="H148" i="7"/>
  <c r="J148" i="7" s="1"/>
  <c r="M152" i="7" l="1"/>
  <c r="N152" i="7"/>
  <c r="C148" i="7"/>
  <c r="K148" i="7" s="1"/>
  <c r="O148" i="7" s="1"/>
  <c r="P148" i="7" s="1"/>
  <c r="D148" i="7" l="1" a="1"/>
  <c r="D148" i="7" s="1"/>
  <c r="I149" i="7" l="1"/>
  <c r="L149" i="7"/>
  <c r="C149" i="7" s="1"/>
  <c r="A148" i="7"/>
  <c r="N153" i="7" l="1"/>
  <c r="M153" i="7"/>
  <c r="H149" i="7"/>
  <c r="J149" i="7" s="1"/>
  <c r="K149" i="7" l="1"/>
  <c r="O149" i="7" s="1"/>
  <c r="P149" i="7" s="1"/>
  <c r="D149" i="7" l="1" a="1"/>
  <c r="D149" i="7" s="1"/>
  <c r="I150" i="7" l="1"/>
  <c r="A149" i="7"/>
  <c r="L150" i="7"/>
  <c r="C150" i="7" s="1"/>
  <c r="H150" i="7" l="1"/>
  <c r="J150" i="7" s="1"/>
  <c r="M154" i="7"/>
  <c r="N154" i="7"/>
  <c r="D150" i="7" l="1" a="1"/>
  <c r="D150" i="7" s="1"/>
  <c r="K150" i="7"/>
  <c r="O150" i="7" s="1"/>
  <c r="P150" i="7" s="1"/>
  <c r="I151" i="7" l="1"/>
  <c r="L151" i="7"/>
  <c r="A150" i="7"/>
  <c r="C151" i="7"/>
  <c r="H151" i="7" l="1"/>
  <c r="J151" i="7" s="1"/>
  <c r="N155" i="7"/>
  <c r="M155" i="7"/>
  <c r="K151" i="7" l="1"/>
  <c r="O151" i="7" s="1"/>
  <c r="P151" i="7" s="1"/>
  <c r="D151" i="7" l="1" a="1"/>
  <c r="D151" i="7" s="1"/>
  <c r="L152" i="7" l="1"/>
  <c r="I152" i="7"/>
  <c r="A151" i="7"/>
  <c r="H152" i="7"/>
  <c r="J152" i="7" s="1"/>
  <c r="C152" i="7" l="1"/>
  <c r="K152" i="7" s="1"/>
  <c r="O152" i="7" s="1"/>
  <c r="P152" i="7" s="1"/>
  <c r="N156" i="7"/>
  <c r="M156" i="7"/>
  <c r="D152" i="7" l="1" a="1"/>
  <c r="D152" i="7" s="1"/>
  <c r="L153" i="7" l="1"/>
  <c r="A152" i="7"/>
  <c r="I153" i="7"/>
  <c r="C153" i="7"/>
  <c r="H153" i="7" l="1"/>
  <c r="J153" i="7" s="1"/>
  <c r="N157" i="7"/>
  <c r="M157" i="7"/>
  <c r="K153" i="7" l="1"/>
  <c r="O153" i="7" s="1"/>
  <c r="P153" i="7" s="1"/>
  <c r="D153" i="7" l="1" a="1"/>
  <c r="D153" i="7" s="1"/>
  <c r="A153" i="7" l="1"/>
  <c r="L154" i="7"/>
  <c r="I154" i="7"/>
  <c r="C154" i="7" l="1"/>
  <c r="N158" i="7"/>
  <c r="M158" i="7"/>
  <c r="H154" i="7"/>
  <c r="J154" i="7" s="1"/>
  <c r="K154" i="7" l="1"/>
  <c r="O154" i="7" s="1"/>
  <c r="P154" i="7" s="1"/>
  <c r="D154" i="7" l="1" a="1"/>
  <c r="D154" i="7" s="1"/>
  <c r="A154" i="7" l="1"/>
  <c r="I155" i="7"/>
  <c r="L155" i="7"/>
  <c r="C155" i="7" s="1"/>
  <c r="H155" i="7" l="1"/>
  <c r="J155" i="7" s="1"/>
  <c r="N159" i="7"/>
  <c r="M159" i="7"/>
  <c r="K155" i="7" l="1"/>
  <c r="O155" i="7" s="1"/>
  <c r="P155" i="7" s="1"/>
  <c r="D155" i="7" l="1" a="1"/>
  <c r="D155" i="7" s="1"/>
  <c r="I156" i="7" l="1"/>
  <c r="L156" i="7"/>
  <c r="A155" i="7"/>
  <c r="C156" i="7"/>
  <c r="H156" i="7" l="1"/>
  <c r="J156" i="7" s="1"/>
  <c r="N160" i="7"/>
  <c r="M160" i="7"/>
  <c r="D156" i="7" l="1" a="1"/>
  <c r="D156" i="7" s="1"/>
  <c r="K156" i="7"/>
  <c r="O156" i="7" s="1"/>
  <c r="P156" i="7" s="1"/>
  <c r="L157" i="7" l="1"/>
  <c r="I157" i="7"/>
  <c r="A156" i="7"/>
  <c r="C157" i="7"/>
  <c r="K157" i="7" l="1"/>
  <c r="O157" i="7" s="1"/>
  <c r="P157" i="7" s="1"/>
  <c r="H157" i="7"/>
  <c r="J157" i="7" s="1"/>
  <c r="N161" i="7"/>
  <c r="M161" i="7"/>
  <c r="D157" i="7" l="1" a="1"/>
  <c r="D157" i="7" s="1"/>
  <c r="A157" i="7" l="1"/>
  <c r="L158" i="7"/>
  <c r="I158" i="7"/>
  <c r="C158" i="7"/>
  <c r="H158" i="7" l="1"/>
  <c r="J158" i="7" s="1"/>
  <c r="M162" i="7"/>
  <c r="N162" i="7"/>
  <c r="K158" i="7" l="1"/>
  <c r="O158" i="7" s="1"/>
  <c r="P158" i="7" s="1"/>
  <c r="D158" i="7" l="1" a="1"/>
  <c r="D158" i="7" s="1"/>
  <c r="I159" i="7" l="1"/>
  <c r="A158" i="7"/>
  <c r="L159" i="7"/>
  <c r="H159" i="7" s="1"/>
  <c r="J159" i="7" s="1"/>
  <c r="M163" i="7" l="1"/>
  <c r="N163" i="7"/>
  <c r="C159" i="7"/>
  <c r="K159" i="7" s="1"/>
  <c r="O159" i="7" s="1"/>
  <c r="P159" i="7" s="1"/>
  <c r="D159" i="7" l="1" a="1"/>
  <c r="D159" i="7" s="1"/>
  <c r="I160" i="7" l="1"/>
  <c r="A159" i="7"/>
  <c r="L160" i="7"/>
  <c r="H160" i="7"/>
  <c r="J160" i="7" s="1"/>
  <c r="C160" i="7" l="1"/>
  <c r="K160" i="7" s="1"/>
  <c r="O160" i="7" s="1"/>
  <c r="P160" i="7" s="1"/>
  <c r="M164" i="7"/>
  <c r="N164" i="7"/>
  <c r="D160" i="7" l="1" a="1"/>
  <c r="D160" i="7" s="1"/>
  <c r="A160" i="7" l="1"/>
  <c r="L161" i="7"/>
  <c r="I161" i="7"/>
  <c r="H161" i="7"/>
  <c r="J161" i="7" s="1"/>
  <c r="C161" i="7"/>
  <c r="K161" i="7" l="1"/>
  <c r="O161" i="7" s="1"/>
  <c r="P161" i="7" s="1"/>
  <c r="N165" i="7"/>
  <c r="M165" i="7"/>
  <c r="D161" i="7" l="1" a="1"/>
  <c r="D161" i="7" s="1"/>
  <c r="L162" i="7" l="1"/>
  <c r="A161" i="7"/>
  <c r="I162" i="7"/>
  <c r="H162" i="7"/>
  <c r="J162" i="7" s="1"/>
  <c r="C162" i="7"/>
  <c r="K162" i="7" s="1"/>
  <c r="O162" i="7" s="1"/>
  <c r="P162" i="7" s="1"/>
  <c r="D162" i="7" l="1" a="1"/>
  <c r="D162" i="7" s="1"/>
  <c r="M166" i="7"/>
  <c r="N166" i="7"/>
  <c r="A162" i="7" l="1"/>
  <c r="L163" i="7"/>
  <c r="I163" i="7"/>
  <c r="H163" i="7"/>
  <c r="J163" i="7" s="1"/>
  <c r="C163" i="7" l="1"/>
  <c r="K163" i="7" s="1"/>
  <c r="O163" i="7" s="1"/>
  <c r="P163" i="7" s="1"/>
  <c r="N167" i="7"/>
  <c r="M167" i="7"/>
  <c r="D163" i="7" l="1" a="1"/>
  <c r="D163" i="7" s="1"/>
  <c r="I164" i="7" l="1"/>
  <c r="A163" i="7"/>
  <c r="L164" i="7"/>
  <c r="H164" i="7"/>
  <c r="J164" i="7" s="1"/>
  <c r="C164" i="7" l="1"/>
  <c r="K164" i="7" s="1"/>
  <c r="O164" i="7" s="1"/>
  <c r="P164" i="7" s="1"/>
  <c r="N168" i="7"/>
  <c r="M168" i="7"/>
  <c r="D164" i="7" l="1" a="1"/>
  <c r="D164" i="7" s="1"/>
  <c r="A164" i="7" l="1"/>
  <c r="L165" i="7"/>
  <c r="I165" i="7"/>
  <c r="H165" i="7"/>
  <c r="J165" i="7" s="1"/>
  <c r="N169" i="7" l="1"/>
  <c r="M169" i="7"/>
  <c r="C165" i="7"/>
  <c r="K165" i="7" s="1"/>
  <c r="O165" i="7" s="1"/>
  <c r="P165" i="7" s="1"/>
  <c r="D165" i="7" l="1" a="1"/>
  <c r="D165" i="7" s="1"/>
  <c r="A165" i="7" l="1"/>
  <c r="I166" i="7"/>
  <c r="L166" i="7"/>
  <c r="C166" i="7" s="1"/>
  <c r="K166" i="7" s="1"/>
  <c r="O166" i="7" s="1"/>
  <c r="P166" i="7" s="1"/>
  <c r="H166" i="7"/>
  <c r="J166" i="7" s="1"/>
  <c r="D166" i="7" s="1" a="1"/>
  <c r="D166" i="7" s="1"/>
  <c r="L167" i="7" l="1"/>
  <c r="I167" i="7"/>
  <c r="H167" i="7"/>
  <c r="J167" i="7" s="1"/>
  <c r="A166" i="7"/>
  <c r="N170" i="7"/>
  <c r="M170" i="7"/>
  <c r="C167" i="7" l="1"/>
  <c r="K167" i="7" s="1"/>
  <c r="O167" i="7" s="1"/>
  <c r="P167" i="7" s="1"/>
  <c r="N171" i="7"/>
  <c r="M171" i="7"/>
  <c r="D167" i="7" l="1" a="1"/>
  <c r="D167" i="7" s="1"/>
  <c r="L168" i="7" l="1"/>
  <c r="A167" i="7"/>
  <c r="I168" i="7"/>
  <c r="C168" i="7"/>
  <c r="H168" i="7" l="1"/>
  <c r="J168" i="7" s="1"/>
  <c r="N172" i="7"/>
  <c r="M172" i="7"/>
  <c r="D168" i="7" l="1" a="1"/>
  <c r="D168" i="7" s="1"/>
  <c r="K168" i="7"/>
  <c r="O168" i="7" s="1"/>
  <c r="P168" i="7" s="1"/>
  <c r="L169" i="7" l="1"/>
  <c r="C169" i="7" s="1"/>
  <c r="K169" i="7" s="1"/>
  <c r="O169" i="7" s="1"/>
  <c r="P169" i="7" s="1"/>
  <c r="I169" i="7"/>
  <c r="H169" i="7"/>
  <c r="J169" i="7" s="1"/>
  <c r="A168" i="7"/>
  <c r="N173" i="7" l="1"/>
  <c r="M173" i="7"/>
  <c r="D169" i="7" a="1"/>
  <c r="D169" i="7" s="1"/>
  <c r="L170" i="7" l="1"/>
  <c r="I170" i="7"/>
  <c r="A169" i="7"/>
  <c r="C170" i="7"/>
  <c r="H170" i="7" l="1"/>
  <c r="J170" i="7" s="1"/>
  <c r="M174" i="7"/>
  <c r="N174" i="7"/>
  <c r="K170" i="7" l="1"/>
  <c r="O170" i="7" s="1"/>
  <c r="P170" i="7" s="1"/>
  <c r="D170" i="7" l="1" a="1"/>
  <c r="D170" i="7" s="1"/>
  <c r="I171" i="7" l="1"/>
  <c r="A170" i="7"/>
  <c r="L171" i="7"/>
  <c r="C171" i="7" s="1"/>
  <c r="H171" i="7" l="1"/>
  <c r="J171" i="7" s="1"/>
  <c r="K171" i="7" s="1"/>
  <c r="M175" i="7"/>
  <c r="N175" i="7"/>
  <c r="O171" i="7" l="1"/>
  <c r="P171" i="7" s="1"/>
  <c r="D171" i="7" a="1"/>
  <c r="D171" i="7" s="1"/>
  <c r="I172" i="7" l="1"/>
  <c r="A171" i="7"/>
  <c r="L172" i="7"/>
  <c r="N176" i="7" l="1"/>
  <c r="M176" i="7"/>
  <c r="H172" i="7"/>
  <c r="J172" i="7" s="1"/>
  <c r="C172" i="7"/>
  <c r="K172" i="7" l="1"/>
  <c r="O172" i="7" s="1"/>
  <c r="P172" i="7" s="1"/>
  <c r="D172" i="7" a="1"/>
  <c r="D172" i="7" s="1"/>
  <c r="I173" i="7" l="1"/>
  <c r="L173" i="7"/>
  <c r="C173" i="7" s="1"/>
  <c r="A172" i="7"/>
  <c r="H173" i="7" l="1"/>
  <c r="J173" i="7" s="1"/>
  <c r="M177" i="7"/>
  <c r="N177" i="7"/>
  <c r="K173" i="7" l="1"/>
  <c r="O173" i="7" s="1"/>
  <c r="P173" i="7" s="1"/>
  <c r="D173" i="7" l="1" a="1"/>
  <c r="D173" i="7" s="1"/>
  <c r="I174" i="7" l="1"/>
  <c r="A173" i="7"/>
  <c r="L174" i="7"/>
  <c r="H174" i="7" s="1"/>
  <c r="J174" i="7" s="1"/>
  <c r="C174" i="7" l="1"/>
  <c r="K174" i="7" s="1"/>
  <c r="N178" i="7"/>
  <c r="M178" i="7"/>
  <c r="O174" i="7" l="1"/>
  <c r="P174" i="7" s="1"/>
  <c r="D174" i="7" a="1"/>
  <c r="D174" i="7" s="1"/>
  <c r="L175" i="7" l="1"/>
  <c r="H175" i="7" s="1"/>
  <c r="I175" i="7"/>
  <c r="A174" i="7"/>
  <c r="C175" i="7" l="1"/>
  <c r="J175" i="7"/>
  <c r="M179" i="7"/>
  <c r="N179" i="7"/>
  <c r="K175" i="7" l="1"/>
  <c r="O175" i="7" s="1"/>
  <c r="P175" i="7" s="1"/>
  <c r="D175" i="7" l="1" a="1"/>
  <c r="D175" i="7" s="1"/>
  <c r="L176" i="7" l="1"/>
  <c r="C176" i="7" s="1"/>
  <c r="H176" i="7"/>
  <c r="I176" i="7"/>
  <c r="A175" i="7"/>
  <c r="J176" i="7" l="1"/>
  <c r="K176" i="7" s="1"/>
  <c r="O176" i="7" s="1"/>
  <c r="P176" i="7" s="1"/>
  <c r="M180" i="7"/>
  <c r="N180" i="7"/>
  <c r="D176" i="7" l="1" a="1"/>
  <c r="D176" i="7" s="1"/>
  <c r="A176" i="7" l="1"/>
  <c r="I177" i="7"/>
  <c r="L177" i="7"/>
  <c r="H177" i="7"/>
  <c r="J177" i="7" s="1"/>
  <c r="C177" i="7" l="1"/>
  <c r="K177" i="7" s="1"/>
  <c r="O177" i="7" s="1"/>
  <c r="P177" i="7" s="1"/>
  <c r="M181" i="7"/>
  <c r="N181" i="7"/>
  <c r="D177" i="7" l="1" a="1"/>
  <c r="D177" i="7" s="1"/>
  <c r="L178" i="7" l="1"/>
  <c r="A177" i="7"/>
  <c r="I178" i="7"/>
  <c r="H178" i="7"/>
  <c r="C178" i="7"/>
  <c r="J178" i="7" l="1"/>
  <c r="K178" i="7"/>
  <c r="O178" i="7" s="1"/>
  <c r="P178" i="7" s="1"/>
  <c r="D178" i="7" a="1"/>
  <c r="D178" i="7" s="1"/>
  <c r="M182" i="7"/>
  <c r="N182" i="7"/>
  <c r="I179" i="7" l="1"/>
  <c r="A178" i="7"/>
  <c r="L179" i="7"/>
  <c r="C179" i="7" l="1"/>
  <c r="H179" i="7"/>
  <c r="J179" i="7" s="1"/>
  <c r="M183" i="7"/>
  <c r="N183" i="7"/>
  <c r="K179" i="7" l="1"/>
  <c r="O179" i="7" l="1"/>
  <c r="P179" i="7" s="1"/>
  <c r="D179" i="7" a="1"/>
  <c r="D179" i="7" s="1"/>
  <c r="A179" i="7" l="1"/>
  <c r="I180" i="7"/>
  <c r="L180" i="7"/>
  <c r="H180" i="7" s="1"/>
  <c r="J180" i="7" s="1"/>
  <c r="N184" i="7" l="1"/>
  <c r="C180" i="7"/>
  <c r="K180" i="7" s="1"/>
  <c r="M184" i="7"/>
  <c r="O180" i="7" l="1"/>
  <c r="P180" i="7" s="1"/>
  <c r="D180" i="7" a="1"/>
  <c r="D180" i="7" s="1"/>
  <c r="L181" i="7" l="1"/>
  <c r="A180" i="7"/>
  <c r="I181" i="7"/>
  <c r="H181" i="7"/>
  <c r="N185" i="7" l="1"/>
  <c r="M185" i="7"/>
  <c r="J181" i="7"/>
  <c r="C181" i="7"/>
  <c r="K181" i="7" l="1"/>
  <c r="O181" i="7" s="1"/>
  <c r="P181" i="7" s="1"/>
  <c r="D181" i="7" a="1"/>
  <c r="D181" i="7" s="1"/>
  <c r="A181" i="7" l="1"/>
  <c r="L182" i="7"/>
  <c r="H182" i="7" s="1"/>
  <c r="I182" i="7"/>
  <c r="J182" i="7" l="1"/>
  <c r="M186" i="7"/>
  <c r="N186" i="7"/>
  <c r="C182" i="7"/>
  <c r="K182" i="7" s="1"/>
  <c r="D182" i="7" l="1" a="1"/>
  <c r="D182" i="7" s="1"/>
  <c r="O182" i="7"/>
  <c r="P182" i="7" s="1"/>
  <c r="I183" i="7" l="1"/>
  <c r="A182" i="7"/>
  <c r="L183" i="7"/>
  <c r="M187" i="7" l="1"/>
  <c r="N187" i="7"/>
  <c r="H183" i="7"/>
  <c r="J183" i="7" s="1"/>
  <c r="C183" i="7"/>
  <c r="K183" i="7" l="1"/>
  <c r="O183" i="7" s="1"/>
  <c r="P183" i="7" s="1"/>
  <c r="D183" i="7" a="1"/>
  <c r="D183" i="7" s="1"/>
  <c r="I184" i="7" l="1"/>
  <c r="A183" i="7"/>
  <c r="L184" i="7"/>
  <c r="C184" i="7" l="1"/>
  <c r="N188" i="7"/>
  <c r="M188" i="7"/>
  <c r="H184" i="7"/>
  <c r="J184" i="7" s="1"/>
  <c r="K184" i="7" l="1"/>
  <c r="O184" i="7" s="1"/>
  <c r="P184" i="7" s="1"/>
  <c r="D184" i="7" l="1" a="1"/>
  <c r="D184" i="7" s="1"/>
  <c r="A184" i="7" l="1"/>
  <c r="I185" i="7"/>
  <c r="L185" i="7"/>
  <c r="C185" i="7" s="1"/>
  <c r="N189" i="7" l="1"/>
  <c r="M189" i="7"/>
  <c r="H185" i="7"/>
  <c r="J185" i="7" s="1"/>
  <c r="K185" i="7" l="1"/>
  <c r="O185" i="7" s="1"/>
  <c r="P185" i="7" s="1"/>
  <c r="D185" i="7" l="1" a="1"/>
  <c r="D185" i="7" s="1"/>
  <c r="I186" i="7" l="1"/>
  <c r="L186" i="7"/>
  <c r="C186" i="7" s="1"/>
  <c r="A185" i="7"/>
  <c r="M190" i="7" l="1"/>
  <c r="N190" i="7"/>
  <c r="H186" i="7"/>
  <c r="J186" i="7" s="1"/>
  <c r="K186" i="7" l="1"/>
  <c r="O186" i="7" s="1"/>
  <c r="P186" i="7" s="1"/>
  <c r="D186" i="7" l="1" a="1"/>
  <c r="D186" i="7" s="1"/>
  <c r="A186" i="7" l="1"/>
  <c r="L187" i="7"/>
  <c r="H187" i="7" s="1"/>
  <c r="I187" i="7"/>
  <c r="C187" i="7" l="1"/>
  <c r="J187" i="7"/>
  <c r="N191" i="7"/>
  <c r="M191" i="7"/>
  <c r="K187" i="7" l="1"/>
  <c r="O187" i="7" s="1"/>
  <c r="P187" i="7" s="1"/>
  <c r="D187" i="7" l="1" a="1"/>
  <c r="D187" i="7" s="1"/>
  <c r="L188" i="7" l="1"/>
  <c r="C188" i="7" s="1"/>
  <c r="A187" i="7"/>
  <c r="I188" i="7"/>
  <c r="H188" i="7"/>
  <c r="J188" i="7" s="1"/>
  <c r="K188" i="7" l="1"/>
  <c r="O188" i="7" s="1"/>
  <c r="P188" i="7" s="1"/>
  <c r="M192" i="7"/>
  <c r="N192" i="7"/>
  <c r="D188" i="7" l="1" a="1"/>
  <c r="D188" i="7" s="1"/>
  <c r="I189" i="7" l="1"/>
  <c r="L189" i="7"/>
  <c r="C189" i="7" s="1"/>
  <c r="A188" i="7"/>
  <c r="H189" i="7" l="1"/>
  <c r="J189" i="7" s="1"/>
  <c r="K189" i="7" s="1"/>
  <c r="N193" i="7"/>
  <c r="M193" i="7"/>
  <c r="O189" i="7" l="1"/>
  <c r="P189" i="7" s="1"/>
  <c r="D189" i="7" a="1"/>
  <c r="D189" i="7" s="1"/>
  <c r="A189" i="7" l="1"/>
  <c r="L190" i="7"/>
  <c r="I190" i="7"/>
  <c r="H190" i="7" l="1"/>
  <c r="J190" i="7" s="1"/>
  <c r="M194" i="7"/>
  <c r="N194" i="7"/>
  <c r="C190" i="7"/>
  <c r="K190" i="7" l="1"/>
  <c r="O190" i="7" s="1"/>
  <c r="P190" i="7" s="1"/>
  <c r="D190" i="7" l="1" a="1"/>
  <c r="D190" i="7" s="1"/>
  <c r="L191" i="7" s="1"/>
  <c r="H191" i="7" s="1"/>
  <c r="I191" i="7"/>
  <c r="J191" i="7" l="1"/>
  <c r="A190" i="7"/>
  <c r="C191" i="7"/>
  <c r="K191" i="7"/>
  <c r="M195" i="7"/>
  <c r="N195" i="7"/>
  <c r="O191" i="7" l="1"/>
  <c r="P191" i="7" s="1"/>
  <c r="D191" i="7" a="1"/>
  <c r="D191" i="7" s="1"/>
  <c r="I192" i="7" l="1"/>
  <c r="L192" i="7"/>
  <c r="H192" i="7" s="1"/>
  <c r="J192" i="7" s="1"/>
  <c r="A191" i="7"/>
  <c r="C192" i="7" l="1"/>
  <c r="K192" i="7" s="1"/>
  <c r="M196" i="7"/>
  <c r="N196" i="7"/>
  <c r="O192" i="7" l="1"/>
  <c r="P192" i="7" s="1"/>
  <c r="D192" i="7" a="1"/>
  <c r="D192" i="7" s="1"/>
  <c r="A192" i="7" l="1"/>
  <c r="L193" i="7"/>
  <c r="H193" i="7"/>
  <c r="I193" i="7"/>
  <c r="J193" i="7" l="1"/>
  <c r="M197" i="7"/>
  <c r="N197" i="7"/>
  <c r="C193" i="7"/>
  <c r="K193" i="7" s="1"/>
  <c r="O193" i="7" s="1"/>
  <c r="P193" i="7" s="1"/>
  <c r="D193" i="7" l="1" a="1"/>
  <c r="D193" i="7" s="1"/>
  <c r="A193" i="7" l="1"/>
  <c r="L194" i="7"/>
  <c r="H194" i="7" s="1"/>
  <c r="J194" i="7" s="1"/>
  <c r="I194" i="7"/>
  <c r="C194" i="7" l="1"/>
  <c r="K194" i="7" s="1"/>
  <c r="O194" i="7" s="1"/>
  <c r="P194" i="7" s="1"/>
  <c r="N198" i="7"/>
  <c r="M198" i="7"/>
  <c r="D194" i="7" l="1" a="1"/>
  <c r="D194" i="7" s="1"/>
  <c r="L195" i="7" l="1"/>
  <c r="A194" i="7"/>
  <c r="I195" i="7"/>
  <c r="C195" i="7"/>
  <c r="H195" i="7" l="1"/>
  <c r="J195" i="7" s="1"/>
  <c r="M199" i="7"/>
  <c r="N199" i="7"/>
  <c r="K195" i="7" l="1"/>
  <c r="O195" i="7" s="1"/>
  <c r="P195" i="7" s="1"/>
  <c r="D195" i="7" l="1" a="1"/>
  <c r="D195" i="7" s="1"/>
  <c r="A195" i="7" l="1"/>
  <c r="L196" i="7"/>
  <c r="I196" i="7"/>
  <c r="N200" i="7" l="1"/>
  <c r="M200" i="7"/>
  <c r="C196" i="7"/>
  <c r="H196" i="7"/>
  <c r="J196" i="7" s="1"/>
  <c r="K196" i="7" l="1"/>
  <c r="O196" i="7" s="1"/>
  <c r="P196" i="7" s="1"/>
  <c r="D196" i="7" l="1" a="1"/>
  <c r="D196" i="7" s="1"/>
  <c r="L197" i="7" l="1"/>
  <c r="C197" i="7" s="1"/>
  <c r="I197" i="7"/>
  <c r="A196" i="7"/>
  <c r="H197" i="7" l="1"/>
  <c r="J197" i="7" s="1"/>
  <c r="K197" i="7" s="1"/>
  <c r="O197" i="7" s="1"/>
  <c r="P197" i="7" s="1"/>
  <c r="M201" i="7"/>
  <c r="N201" i="7"/>
  <c r="D197" i="7" l="1" a="1"/>
  <c r="D197" i="7" s="1"/>
  <c r="L198" i="7" l="1"/>
  <c r="C198" i="7" s="1"/>
  <c r="I198" i="7"/>
  <c r="A197" i="7"/>
  <c r="H198" i="7" l="1"/>
  <c r="J198" i="7" s="1"/>
  <c r="M202" i="7"/>
  <c r="N202" i="7"/>
  <c r="K198" i="7" l="1"/>
  <c r="O198" i="7" s="1"/>
  <c r="P198" i="7" s="1"/>
  <c r="D198" i="7" l="1" a="1"/>
  <c r="D198" i="7" s="1"/>
  <c r="L199" i="7" l="1"/>
  <c r="C199" i="7" s="1"/>
  <c r="A198" i="7"/>
  <c r="I199" i="7"/>
  <c r="H199" i="7" l="1"/>
  <c r="J199" i="7" s="1"/>
  <c r="K199" i="7" s="1"/>
  <c r="M203" i="7"/>
  <c r="N203" i="7"/>
  <c r="O199" i="7" l="1"/>
  <c r="P199" i="7" s="1"/>
  <c r="D199" i="7" a="1"/>
  <c r="D199" i="7" s="1"/>
  <c r="L200" i="7" s="1"/>
  <c r="I200" i="7" l="1"/>
  <c r="C200" i="7"/>
  <c r="H200" i="7"/>
  <c r="J200" i="7" s="1"/>
  <c r="K200" i="7" s="1"/>
  <c r="O200" i="7" s="1"/>
  <c r="P200" i="7" s="1"/>
  <c r="A199" i="7"/>
  <c r="N204" i="7"/>
  <c r="M204" i="7"/>
  <c r="D200" i="7" l="1" a="1"/>
  <c r="D200" i="7" s="1"/>
  <c r="A200" i="7" s="1"/>
  <c r="I201" i="7"/>
  <c r="L201" i="7"/>
  <c r="C201" i="7" l="1"/>
  <c r="M205" i="7"/>
  <c r="N205" i="7"/>
  <c r="H201" i="7"/>
  <c r="J201" i="7" s="1"/>
  <c r="K201" i="7" l="1"/>
  <c r="O201" i="7" s="1"/>
  <c r="P201" i="7" s="1"/>
  <c r="D201" i="7" l="1" a="1"/>
  <c r="D201" i="7" s="1"/>
  <c r="I202" i="7" l="1"/>
  <c r="A201" i="7"/>
  <c r="L202" i="7"/>
  <c r="H202" i="7" s="1"/>
  <c r="J202" i="7" s="1"/>
  <c r="N206" i="7" l="1"/>
  <c r="M206" i="7"/>
  <c r="C202" i="7"/>
  <c r="K202" i="7" s="1"/>
  <c r="O202" i="7" l="1"/>
  <c r="P202" i="7" s="1"/>
  <c r="D202" i="7" a="1"/>
  <c r="D202" i="7" s="1"/>
  <c r="A202" i="7" l="1"/>
  <c r="L203" i="7"/>
  <c r="I203" i="7"/>
  <c r="H203" i="7" l="1"/>
  <c r="J203" i="7" s="1"/>
  <c r="N207" i="7"/>
  <c r="M207" i="7"/>
  <c r="C203" i="7"/>
  <c r="K203" i="7" l="1"/>
  <c r="O203" i="7" s="1"/>
  <c r="P203" i="7" s="1"/>
  <c r="D203" i="7" a="1"/>
  <c r="D203" i="7" s="1"/>
  <c r="I204" i="7" l="1"/>
  <c r="A203" i="7"/>
  <c r="L204" i="7"/>
  <c r="M208" i="7" l="1"/>
  <c r="N208" i="7"/>
  <c r="C204" i="7"/>
  <c r="H204" i="7"/>
  <c r="J204" i="7" s="1"/>
  <c r="K204" i="7" l="1"/>
  <c r="O204" i="7" l="1"/>
  <c r="P204" i="7" s="1"/>
  <c r="D204" i="7" a="1"/>
  <c r="D204" i="7" s="1"/>
  <c r="A204" i="7" l="1"/>
  <c r="L205" i="7"/>
  <c r="I205" i="7"/>
  <c r="C205" i="7" l="1"/>
  <c r="N209" i="7"/>
  <c r="M209" i="7"/>
  <c r="H205" i="7"/>
  <c r="J205" i="7" s="1"/>
  <c r="K205" i="7" l="1"/>
  <c r="O205" i="7" s="1"/>
  <c r="P205" i="7" s="1"/>
  <c r="D205" i="7" l="1" a="1"/>
  <c r="D205" i="7" s="1"/>
  <c r="A205" i="7" l="1"/>
  <c r="L206" i="7"/>
  <c r="I206" i="7"/>
  <c r="H206" i="7"/>
  <c r="J206" i="7" s="1"/>
  <c r="C206" i="7" l="1"/>
  <c r="K206" i="7" s="1"/>
  <c r="O206" i="7" s="1"/>
  <c r="P206" i="7" s="1"/>
  <c r="N210" i="7"/>
  <c r="M210" i="7"/>
  <c r="D206" i="7" l="1" a="1"/>
  <c r="D206" i="7" s="1"/>
  <c r="I207" i="7" l="1"/>
  <c r="L207" i="7"/>
  <c r="C207" i="7" s="1"/>
  <c r="A206" i="7"/>
  <c r="M211" i="7" l="1"/>
  <c r="H207" i="7"/>
  <c r="J207" i="7" s="1"/>
  <c r="K207" i="7" s="1"/>
  <c r="N211" i="7"/>
  <c r="O207" i="7" l="1"/>
  <c r="P207" i="7" s="1"/>
  <c r="D207" i="7" a="1"/>
  <c r="D207" i="7" s="1"/>
  <c r="L208" i="7" s="1"/>
  <c r="H208" i="7" s="1"/>
  <c r="I208" i="7" l="1"/>
  <c r="J208" i="7"/>
  <c r="A207" i="7"/>
  <c r="C208" i="7"/>
  <c r="K208" i="7" s="1"/>
  <c r="N212" i="7"/>
  <c r="M212" i="7"/>
  <c r="O208" i="7" l="1"/>
  <c r="P208" i="7" s="1"/>
  <c r="D208" i="7" a="1"/>
  <c r="D208" i="7" s="1"/>
  <c r="A208" i="7" l="1"/>
  <c r="I209" i="7"/>
  <c r="L209" i="7"/>
  <c r="C209" i="7" s="1"/>
  <c r="H209" i="7" l="1"/>
  <c r="J209" i="7" s="1"/>
  <c r="N213" i="7"/>
  <c r="M213" i="7"/>
  <c r="K209" i="7" l="1"/>
  <c r="O209" i="7" s="1"/>
  <c r="P209" i="7" s="1"/>
  <c r="D209" i="7" l="1" a="1"/>
  <c r="D209" i="7" s="1"/>
  <c r="I210" i="7" l="1"/>
  <c r="A209" i="7"/>
  <c r="L210" i="7"/>
  <c r="H210" i="7" s="1"/>
  <c r="J210" i="7" s="1"/>
  <c r="C210" i="7" l="1"/>
  <c r="K210" i="7" s="1"/>
  <c r="M214" i="7"/>
  <c r="N214" i="7"/>
  <c r="O210" i="7" l="1"/>
  <c r="P210" i="7" s="1"/>
  <c r="D210" i="7" a="1"/>
  <c r="D210" i="7" s="1"/>
  <c r="L211" i="7" l="1"/>
  <c r="C211" i="7" s="1"/>
  <c r="A210" i="7"/>
  <c r="I211" i="7"/>
  <c r="H211" i="7" l="1"/>
  <c r="J211" i="7" s="1"/>
  <c r="N215" i="7"/>
  <c r="M215" i="7"/>
  <c r="K211" i="7" l="1"/>
  <c r="O211" i="7" s="1"/>
  <c r="P211" i="7" s="1"/>
  <c r="D211" i="7" l="1" a="1"/>
  <c r="D211" i="7" s="1"/>
  <c r="A211" i="7" s="1"/>
  <c r="I212" i="7" l="1"/>
  <c r="L212" i="7"/>
  <c r="C212" i="7" s="1"/>
  <c r="H212" i="7"/>
  <c r="J212" i="7" s="1"/>
  <c r="M216" i="7" l="1"/>
  <c r="N216" i="7"/>
  <c r="K212" i="7"/>
  <c r="O212" i="7" s="1"/>
  <c r="P212" i="7" s="1"/>
  <c r="D212" i="7" l="1" a="1"/>
  <c r="D212" i="7" s="1"/>
  <c r="A212" i="7" s="1"/>
  <c r="I213" i="7"/>
  <c r="L213" i="7"/>
  <c r="C213" i="7" s="1"/>
  <c r="H213" i="7" l="1"/>
  <c r="J213" i="7" s="1"/>
  <c r="K213" i="7" s="1"/>
  <c r="N217" i="7"/>
  <c r="M217" i="7"/>
  <c r="O213" i="7" l="1"/>
  <c r="P213" i="7" s="1"/>
  <c r="D213" i="7" a="1"/>
  <c r="D213" i="7" s="1"/>
  <c r="I214" i="7" s="1"/>
  <c r="L214" i="7" l="1"/>
  <c r="C214" i="7" s="1"/>
  <c r="H214" i="7"/>
  <c r="J214" i="7" s="1"/>
  <c r="K214" i="7" s="1"/>
  <c r="O214" i="7" s="1"/>
  <c r="P214" i="7" s="1"/>
  <c r="A213" i="7"/>
  <c r="M218" i="7"/>
  <c r="N218" i="7"/>
  <c r="D214" i="7" l="1" a="1"/>
  <c r="D214" i="7" s="1"/>
  <c r="L215" i="7" l="1"/>
  <c r="A214" i="7"/>
  <c r="I215" i="7"/>
  <c r="H215" i="7"/>
  <c r="J215" i="7" s="1"/>
  <c r="M219" i="7" l="1"/>
  <c r="N219" i="7"/>
  <c r="C215" i="7"/>
  <c r="K215" i="7" s="1"/>
  <c r="O215" i="7" s="1"/>
  <c r="P215" i="7" s="1"/>
  <c r="D215" i="7" l="1" a="1"/>
  <c r="D215" i="7" s="1"/>
  <c r="A215" i="7" l="1"/>
  <c r="I216" i="7"/>
  <c r="L216" i="7"/>
  <c r="H216" i="7" s="1"/>
  <c r="J216" i="7" s="1"/>
  <c r="C216" i="7" l="1"/>
  <c r="K216" i="7" s="1"/>
  <c r="O216" i="7" s="1"/>
  <c r="P216" i="7" s="1"/>
  <c r="M220" i="7"/>
  <c r="N220" i="7"/>
  <c r="D216" i="7" l="1" a="1"/>
  <c r="D216" i="7" s="1"/>
  <c r="L217" i="7" l="1"/>
  <c r="A216" i="7"/>
  <c r="I217" i="7"/>
  <c r="M221" i="7" l="1"/>
  <c r="N221" i="7"/>
  <c r="O221" i="7" s="1"/>
  <c r="P221" i="7" s="1"/>
  <c r="C217" i="7"/>
  <c r="H217" i="7"/>
  <c r="J217" i="7" s="1"/>
  <c r="K217" i="7" l="1"/>
  <c r="O217" i="7" s="1"/>
  <c r="P217" i="7" s="1"/>
  <c r="D217" i="7" l="1" a="1"/>
  <c r="D217" i="7" s="1"/>
  <c r="A217" i="7" l="1"/>
  <c r="I218" i="7"/>
  <c r="L218" i="7"/>
  <c r="M222" i="7" l="1"/>
  <c r="N222" i="7"/>
  <c r="O222" i="7" s="1"/>
  <c r="P222" i="7" s="1"/>
  <c r="C218" i="7"/>
  <c r="H218" i="7"/>
  <c r="J218" i="7" s="1"/>
  <c r="K218" i="7" l="1"/>
  <c r="O218" i="7" s="1"/>
  <c r="P218" i="7" s="1"/>
  <c r="D218" i="7" l="1" a="1"/>
  <c r="D218" i="7" s="1"/>
  <c r="I219" i="7" l="1"/>
  <c r="A218" i="7"/>
  <c r="L219" i="7"/>
  <c r="N223" i="7" l="1"/>
  <c r="O223" i="7" s="1"/>
  <c r="P223" i="7" s="1"/>
  <c r="M223" i="7"/>
  <c r="C219" i="7"/>
  <c r="H219" i="7"/>
  <c r="J219" i="7" s="1"/>
  <c r="J8" i="7" l="1"/>
  <c r="K219" i="7"/>
  <c r="O219" i="7" s="1"/>
  <c r="P219" i="7" s="1"/>
  <c r="D219" i="7" l="1" a="1"/>
  <c r="D219" i="7" s="1"/>
  <c r="L220" i="7" l="1"/>
  <c r="A219" i="7"/>
  <c r="N224" i="7" l="1"/>
  <c r="M224" i="7"/>
  <c r="M8" i="7" s="1"/>
  <c r="N1" i="7" s="1"/>
  <c r="O220" i="7"/>
  <c r="L8" i="7"/>
  <c r="P220" i="7" l="1"/>
  <c r="P8" i="7" s="1"/>
  <c r="O8" i="7"/>
  <c r="O224" i="7"/>
  <c r="P224" i="7" s="1"/>
  <c r="N8" i="7"/>
  <c r="M2" i="7" s="1"/>
  <c r="E11" i="1" l="1"/>
  <c r="T7" i="1"/>
  <c r="AD11" i="2"/>
  <c r="G32" i="3" l="1"/>
  <c r="F32" i="3" l="1"/>
  <c r="E31" i="3"/>
  <c r="C37" i="3" l="1"/>
  <c r="C34" i="3"/>
  <c r="U2" i="3" l="1"/>
  <c r="Q7" i="3"/>
  <c r="I7" i="3"/>
  <c r="I5" i="3"/>
  <c r="Q4" i="3"/>
  <c r="Q5" i="3"/>
  <c r="Q6" i="3"/>
  <c r="Q8" i="3"/>
  <c r="Q9" i="3"/>
  <c r="Q10" i="3"/>
  <c r="Q11" i="3"/>
  <c r="Q12" i="3"/>
  <c r="Q13" i="3"/>
  <c r="Q14" i="3"/>
  <c r="Q15" i="3"/>
  <c r="Q16" i="3"/>
  <c r="Q17" i="3"/>
  <c r="Q18" i="3"/>
  <c r="Q19" i="3"/>
  <c r="Q20" i="3"/>
  <c r="Q21" i="3"/>
  <c r="Q22" i="3"/>
  <c r="Q23" i="3"/>
  <c r="Q24" i="3"/>
  <c r="Q25" i="3"/>
  <c r="Q26" i="3"/>
  <c r="Q27" i="3"/>
  <c r="Q28" i="3"/>
  <c r="Q29" i="3"/>
  <c r="Q30" i="3"/>
  <c r="Q31" i="3"/>
  <c r="Q32" i="3"/>
  <c r="Q33" i="3"/>
  <c r="Q34" i="3"/>
  <c r="Q35" i="3"/>
  <c r="Q36" i="3"/>
  <c r="Q37" i="3"/>
  <c r="Q38" i="3"/>
  <c r="Q39" i="3"/>
  <c r="Q40" i="3"/>
  <c r="Q41" i="3"/>
  <c r="Q42" i="3"/>
  <c r="Q43" i="3"/>
  <c r="Q44" i="3"/>
  <c r="Q45" i="3"/>
  <c r="Q46" i="3"/>
  <c r="Q47" i="3"/>
  <c r="Q48" i="3"/>
  <c r="Q49" i="3"/>
  <c r="Q50" i="3"/>
  <c r="Q51" i="3"/>
  <c r="Q52" i="3"/>
  <c r="Q53" i="3"/>
  <c r="Q54" i="3"/>
  <c r="Q55" i="3"/>
  <c r="Q56" i="3"/>
  <c r="Q57" i="3"/>
  <c r="Q58" i="3"/>
  <c r="Q59" i="3"/>
  <c r="Q60" i="3"/>
  <c r="Q61" i="3"/>
  <c r="Q62" i="3"/>
  <c r="Q63" i="3"/>
  <c r="Q64" i="3"/>
  <c r="Q65" i="3"/>
  <c r="Q66" i="3"/>
  <c r="Q67" i="3"/>
  <c r="Q68" i="3"/>
  <c r="Q69" i="3"/>
  <c r="Q70" i="3"/>
  <c r="Q71" i="3"/>
  <c r="Q72" i="3"/>
  <c r="Q73" i="3"/>
  <c r="Q74" i="3"/>
  <c r="Q75" i="3"/>
  <c r="Q76" i="3"/>
  <c r="Q77" i="3"/>
  <c r="Q78" i="3"/>
  <c r="Q79" i="3"/>
  <c r="Q80" i="3"/>
  <c r="Q81" i="3"/>
  <c r="Q82" i="3"/>
  <c r="Q83" i="3"/>
  <c r="Q84" i="3"/>
  <c r="Q85" i="3"/>
  <c r="Q86" i="3"/>
  <c r="Q87" i="3"/>
  <c r="Q88" i="3"/>
  <c r="Q89" i="3"/>
  <c r="Q90" i="3"/>
  <c r="Q91" i="3"/>
  <c r="Q92" i="3"/>
  <c r="Q93" i="3"/>
  <c r="Q94" i="3"/>
  <c r="Q95" i="3"/>
  <c r="Q96" i="3"/>
  <c r="Q97" i="3"/>
  <c r="Q98" i="3"/>
  <c r="Q99" i="3"/>
  <c r="Q100" i="3"/>
  <c r="Q101" i="3"/>
  <c r="Q102" i="3"/>
  <c r="Q103" i="3"/>
  <c r="Q104" i="3"/>
  <c r="Q105" i="3"/>
  <c r="Q106" i="3"/>
  <c r="Q107" i="3"/>
  <c r="Q108" i="3"/>
  <c r="Q109" i="3"/>
  <c r="Q110" i="3"/>
  <c r="Q111" i="3"/>
  <c r="Q112" i="3"/>
  <c r="Q113" i="3"/>
  <c r="Q114" i="3"/>
  <c r="Q115" i="3"/>
  <c r="Q116" i="3"/>
  <c r="Q117" i="3"/>
  <c r="Q118" i="3"/>
  <c r="Q119" i="3"/>
  <c r="Q120" i="3"/>
  <c r="Q121" i="3"/>
  <c r="Q122" i="3"/>
  <c r="Q123" i="3"/>
  <c r="Q124" i="3"/>
  <c r="Q125" i="3"/>
  <c r="Q126" i="3"/>
  <c r="Q127" i="3"/>
  <c r="Q128" i="3"/>
  <c r="Q129" i="3"/>
  <c r="Q130" i="3"/>
  <c r="Q131" i="3"/>
  <c r="Q132" i="3"/>
  <c r="Q133" i="3"/>
  <c r="Q134" i="3"/>
  <c r="Q135" i="3"/>
  <c r="Q136" i="3"/>
  <c r="Q137" i="3"/>
  <c r="Q138" i="3"/>
  <c r="Q139" i="3"/>
  <c r="Q140" i="3"/>
  <c r="Q141" i="3"/>
  <c r="Q142" i="3"/>
  <c r="Q143" i="3"/>
  <c r="Q144" i="3"/>
  <c r="Q145" i="3"/>
  <c r="Q146" i="3"/>
  <c r="Q147" i="3"/>
  <c r="Q148" i="3"/>
  <c r="Q149" i="3"/>
  <c r="Q150" i="3"/>
  <c r="Q151" i="3"/>
  <c r="Q152" i="3"/>
  <c r="Q3" i="3"/>
  <c r="M4" i="3"/>
  <c r="M3" i="3"/>
  <c r="M2" i="3"/>
  <c r="I2" i="3"/>
  <c r="U3" i="2"/>
  <c r="U2" i="2"/>
  <c r="A217" i="1"/>
  <c r="A218" i="1"/>
  <c r="A219" i="1"/>
  <c r="A220" i="1"/>
  <c r="A221" i="1"/>
  <c r="A222" i="1"/>
  <c r="A223" i="1"/>
  <c r="A224" i="1"/>
  <c r="A225" i="1"/>
  <c r="A226" i="1"/>
  <c r="A227" i="1"/>
  <c r="A228" i="1"/>
  <c r="A229" i="1"/>
  <c r="A230" i="1"/>
  <c r="A231" i="1"/>
  <c r="A232" i="1"/>
  <c r="A217" i="2"/>
  <c r="A218" i="2"/>
  <c r="A219" i="2"/>
  <c r="A220" i="2"/>
  <c r="A221" i="2"/>
  <c r="A222" i="2"/>
  <c r="A223" i="2"/>
  <c r="A224" i="2"/>
  <c r="A225" i="2"/>
  <c r="A226" i="2"/>
  <c r="A227" i="2"/>
  <c r="A228" i="2"/>
  <c r="A229" i="2"/>
  <c r="A230" i="2"/>
  <c r="A231" i="2"/>
  <c r="A232" i="2"/>
  <c r="L232" i="2"/>
  <c r="I232" i="2"/>
  <c r="J232" i="2" s="1"/>
  <c r="K232" i="2" s="1"/>
  <c r="L231" i="2"/>
  <c r="I231" i="2"/>
  <c r="J231" i="2" s="1"/>
  <c r="K231" i="2" s="1"/>
  <c r="L230" i="2"/>
  <c r="I230" i="2"/>
  <c r="J230" i="2" s="1"/>
  <c r="K230" i="2" s="1"/>
  <c r="L229" i="2"/>
  <c r="I229" i="2"/>
  <c r="J229" i="2" s="1"/>
  <c r="K229" i="2" s="1"/>
  <c r="L228" i="2"/>
  <c r="M232" i="2" s="1"/>
  <c r="I228" i="2"/>
  <c r="J228" i="2" s="1"/>
  <c r="K228" i="2" s="1"/>
  <c r="L227" i="2"/>
  <c r="M231" i="2" s="1"/>
  <c r="I227" i="2"/>
  <c r="J227" i="2" s="1"/>
  <c r="K227" i="2" s="1"/>
  <c r="L226" i="2"/>
  <c r="M230" i="2" s="1"/>
  <c r="I226" i="2"/>
  <c r="J226" i="2" s="1"/>
  <c r="K226" i="2" s="1"/>
  <c r="L225" i="2"/>
  <c r="N229" i="2" s="1"/>
  <c r="I225" i="2"/>
  <c r="J225" i="2" s="1"/>
  <c r="K225" i="2" s="1"/>
  <c r="L224" i="2"/>
  <c r="M228" i="2" s="1"/>
  <c r="I224" i="2"/>
  <c r="J224" i="2" s="1"/>
  <c r="K224" i="2" s="1"/>
  <c r="L223" i="2"/>
  <c r="N227" i="2" s="1"/>
  <c r="I223" i="2"/>
  <c r="J223" i="2" s="1"/>
  <c r="K223" i="2" s="1"/>
  <c r="L222" i="2"/>
  <c r="M226" i="2" s="1"/>
  <c r="I222" i="2"/>
  <c r="J222" i="2" s="1"/>
  <c r="K222" i="2" s="1"/>
  <c r="R221" i="2"/>
  <c r="S221" i="2" s="1"/>
  <c r="L221" i="2"/>
  <c r="M225" i="2" s="1"/>
  <c r="R220" i="2"/>
  <c r="S220" i="2" s="1"/>
  <c r="R219" i="2"/>
  <c r="S219" i="2" s="1"/>
  <c r="R218" i="2"/>
  <c r="S218" i="2" s="1"/>
  <c r="T216" i="2"/>
  <c r="U216" i="2" s="1"/>
  <c r="R216" i="2"/>
  <c r="S216" i="2" s="1"/>
  <c r="T215" i="2"/>
  <c r="U215" i="2" s="1"/>
  <c r="R215" i="2"/>
  <c r="S215" i="2" s="1"/>
  <c r="T214" i="2"/>
  <c r="U214" i="2" s="1"/>
  <c r="R214" i="2"/>
  <c r="S214" i="2" s="1"/>
  <c r="T213" i="2"/>
  <c r="U213" i="2" s="1"/>
  <c r="R213" i="2"/>
  <c r="S213" i="2" s="1"/>
  <c r="T212" i="2"/>
  <c r="U212" i="2" s="1"/>
  <c r="R212" i="2"/>
  <c r="S212" i="2" s="1"/>
  <c r="T211" i="2"/>
  <c r="U211" i="2" s="1"/>
  <c r="R211" i="2"/>
  <c r="S211" i="2" s="1"/>
  <c r="T210" i="2"/>
  <c r="U210" i="2" s="1"/>
  <c r="R210" i="2"/>
  <c r="S210" i="2" s="1"/>
  <c r="T209" i="2"/>
  <c r="U209" i="2" s="1"/>
  <c r="R209" i="2"/>
  <c r="S209" i="2" s="1"/>
  <c r="T208" i="2"/>
  <c r="U208" i="2" s="1"/>
  <c r="R208" i="2"/>
  <c r="S208" i="2" s="1"/>
  <c r="T207" i="2"/>
  <c r="U207" i="2" s="1"/>
  <c r="R207" i="2"/>
  <c r="S207" i="2" s="1"/>
  <c r="T206" i="2"/>
  <c r="U206" i="2" s="1"/>
  <c r="R206" i="2"/>
  <c r="S206" i="2" s="1"/>
  <c r="T205" i="2"/>
  <c r="U205" i="2" s="1"/>
  <c r="R205" i="2"/>
  <c r="S205" i="2" s="1"/>
  <c r="T204" i="2"/>
  <c r="U204" i="2" s="1"/>
  <c r="R204" i="2"/>
  <c r="S204" i="2" s="1"/>
  <c r="T203" i="2"/>
  <c r="U203" i="2" s="1"/>
  <c r="R203" i="2"/>
  <c r="S203" i="2" s="1"/>
  <c r="T202" i="2"/>
  <c r="U202" i="2" s="1"/>
  <c r="R202" i="2"/>
  <c r="S202" i="2" s="1"/>
  <c r="T201" i="2"/>
  <c r="U201" i="2" s="1"/>
  <c r="R201" i="2"/>
  <c r="S201" i="2" s="1"/>
  <c r="T200" i="2"/>
  <c r="U200" i="2" s="1"/>
  <c r="R200" i="2"/>
  <c r="S200" i="2" s="1"/>
  <c r="T199" i="2"/>
  <c r="U199" i="2" s="1"/>
  <c r="R199" i="2"/>
  <c r="S199" i="2" s="1"/>
  <c r="T198" i="2"/>
  <c r="U198" i="2" s="1"/>
  <c r="R198" i="2"/>
  <c r="S198" i="2" s="1"/>
  <c r="T197" i="2"/>
  <c r="U197" i="2" s="1"/>
  <c r="R197" i="2"/>
  <c r="S197" i="2" s="1"/>
  <c r="T196" i="2"/>
  <c r="U196" i="2" s="1"/>
  <c r="R196" i="2"/>
  <c r="S196" i="2" s="1"/>
  <c r="T195" i="2"/>
  <c r="U195" i="2" s="1"/>
  <c r="R195" i="2"/>
  <c r="S195" i="2" s="1"/>
  <c r="T194" i="2"/>
  <c r="U194" i="2" s="1"/>
  <c r="R194" i="2"/>
  <c r="S194" i="2" s="1"/>
  <c r="T193" i="2"/>
  <c r="U193" i="2" s="1"/>
  <c r="R193" i="2"/>
  <c r="S193" i="2" s="1"/>
  <c r="T192" i="2"/>
  <c r="U192" i="2" s="1"/>
  <c r="R192" i="2"/>
  <c r="S192" i="2" s="1"/>
  <c r="T191" i="2"/>
  <c r="U191" i="2" s="1"/>
  <c r="R191" i="2"/>
  <c r="S191" i="2" s="1"/>
  <c r="T190" i="2"/>
  <c r="U190" i="2" s="1"/>
  <c r="R190" i="2"/>
  <c r="S190" i="2" s="1"/>
  <c r="T189" i="2"/>
  <c r="U189" i="2" s="1"/>
  <c r="R189" i="2"/>
  <c r="S189" i="2" s="1"/>
  <c r="T188" i="2"/>
  <c r="U188" i="2" s="1"/>
  <c r="R188" i="2"/>
  <c r="S188" i="2" s="1"/>
  <c r="T187" i="2"/>
  <c r="U187" i="2" s="1"/>
  <c r="R187" i="2"/>
  <c r="S187" i="2" s="1"/>
  <c r="T186" i="2"/>
  <c r="U186" i="2" s="1"/>
  <c r="R186" i="2"/>
  <c r="S186" i="2" s="1"/>
  <c r="T185" i="2"/>
  <c r="U185" i="2" s="1"/>
  <c r="R185" i="2"/>
  <c r="S185" i="2" s="1"/>
  <c r="T184" i="2"/>
  <c r="U184" i="2" s="1"/>
  <c r="R184" i="2"/>
  <c r="S184" i="2" s="1"/>
  <c r="T183" i="2"/>
  <c r="U183" i="2" s="1"/>
  <c r="R183" i="2"/>
  <c r="S183" i="2" s="1"/>
  <c r="T182" i="2"/>
  <c r="U182" i="2" s="1"/>
  <c r="R182" i="2"/>
  <c r="S182" i="2" s="1"/>
  <c r="T181" i="2"/>
  <c r="U181" i="2" s="1"/>
  <c r="R181" i="2"/>
  <c r="S181" i="2" s="1"/>
  <c r="T180" i="2"/>
  <c r="U180" i="2" s="1"/>
  <c r="R180" i="2"/>
  <c r="S180" i="2" s="1"/>
  <c r="T179" i="2"/>
  <c r="U179" i="2" s="1"/>
  <c r="R179" i="2"/>
  <c r="S179" i="2" s="1"/>
  <c r="T178" i="2"/>
  <c r="U178" i="2" s="1"/>
  <c r="R178" i="2"/>
  <c r="S178" i="2" s="1"/>
  <c r="T177" i="2"/>
  <c r="U177" i="2" s="1"/>
  <c r="R177" i="2"/>
  <c r="S177" i="2" s="1"/>
  <c r="T176" i="2"/>
  <c r="U176" i="2" s="1"/>
  <c r="R176" i="2"/>
  <c r="S176" i="2" s="1"/>
  <c r="T175" i="2"/>
  <c r="U175" i="2" s="1"/>
  <c r="R175" i="2"/>
  <c r="S175" i="2" s="1"/>
  <c r="T174" i="2"/>
  <c r="U174" i="2" s="1"/>
  <c r="R174" i="2"/>
  <c r="S174" i="2" s="1"/>
  <c r="T173" i="2"/>
  <c r="U173" i="2" s="1"/>
  <c r="R173" i="2"/>
  <c r="S173" i="2" s="1"/>
  <c r="T172" i="2"/>
  <c r="U172" i="2" s="1"/>
  <c r="R172" i="2"/>
  <c r="S172" i="2" s="1"/>
  <c r="T171" i="2"/>
  <c r="U171" i="2" s="1"/>
  <c r="R171" i="2"/>
  <c r="S171" i="2" s="1"/>
  <c r="T170" i="2"/>
  <c r="U170" i="2" s="1"/>
  <c r="R170" i="2"/>
  <c r="S170" i="2" s="1"/>
  <c r="T169" i="2"/>
  <c r="U169" i="2" s="1"/>
  <c r="R169" i="2"/>
  <c r="S169" i="2" s="1"/>
  <c r="T168" i="2"/>
  <c r="U168" i="2" s="1"/>
  <c r="R168" i="2"/>
  <c r="S168" i="2" s="1"/>
  <c r="T167" i="2"/>
  <c r="U167" i="2" s="1"/>
  <c r="R167" i="2"/>
  <c r="S167" i="2" s="1"/>
  <c r="T166" i="2"/>
  <c r="U166" i="2" s="1"/>
  <c r="R166" i="2"/>
  <c r="S166" i="2" s="1"/>
  <c r="T165" i="2"/>
  <c r="U165" i="2" s="1"/>
  <c r="R165" i="2"/>
  <c r="S165" i="2" s="1"/>
  <c r="T164" i="2"/>
  <c r="U164" i="2" s="1"/>
  <c r="R164" i="2"/>
  <c r="S164" i="2" s="1"/>
  <c r="T163" i="2"/>
  <c r="U163" i="2" s="1"/>
  <c r="R163" i="2"/>
  <c r="S163" i="2" s="1"/>
  <c r="T162" i="2"/>
  <c r="U162" i="2" s="1"/>
  <c r="R162" i="2"/>
  <c r="S162" i="2" s="1"/>
  <c r="T161" i="2"/>
  <c r="U161" i="2" s="1"/>
  <c r="R161" i="2"/>
  <c r="S161" i="2" s="1"/>
  <c r="T160" i="2"/>
  <c r="U160" i="2" s="1"/>
  <c r="R160" i="2"/>
  <c r="S160" i="2" s="1"/>
  <c r="T159" i="2"/>
  <c r="U159" i="2" s="1"/>
  <c r="R159" i="2"/>
  <c r="S159" i="2" s="1"/>
  <c r="T158" i="2"/>
  <c r="U158" i="2" s="1"/>
  <c r="R158" i="2"/>
  <c r="S158" i="2" s="1"/>
  <c r="T157" i="2"/>
  <c r="U157" i="2" s="1"/>
  <c r="R157" i="2"/>
  <c r="S157" i="2" s="1"/>
  <c r="T156" i="2"/>
  <c r="U156" i="2" s="1"/>
  <c r="R156" i="2"/>
  <c r="S156" i="2" s="1"/>
  <c r="T155" i="2"/>
  <c r="U155" i="2" s="1"/>
  <c r="R155" i="2"/>
  <c r="S155" i="2" s="1"/>
  <c r="T154" i="2"/>
  <c r="U154" i="2" s="1"/>
  <c r="R154" i="2"/>
  <c r="S154" i="2" s="1"/>
  <c r="T153" i="2"/>
  <c r="U153" i="2" s="1"/>
  <c r="R153" i="2"/>
  <c r="S153" i="2" s="1"/>
  <c r="T152" i="2"/>
  <c r="U152" i="2" s="1"/>
  <c r="R152" i="2"/>
  <c r="S152" i="2" s="1"/>
  <c r="T151" i="2"/>
  <c r="U151" i="2" s="1"/>
  <c r="R151" i="2"/>
  <c r="S151" i="2" s="1"/>
  <c r="T150" i="2"/>
  <c r="U150" i="2" s="1"/>
  <c r="R150" i="2"/>
  <c r="S150" i="2" s="1"/>
  <c r="T149" i="2"/>
  <c r="U149" i="2" s="1"/>
  <c r="R149" i="2"/>
  <c r="S149" i="2" s="1"/>
  <c r="T148" i="2"/>
  <c r="U148" i="2" s="1"/>
  <c r="R148" i="2"/>
  <c r="S148" i="2" s="1"/>
  <c r="T147" i="2"/>
  <c r="U147" i="2" s="1"/>
  <c r="R147" i="2"/>
  <c r="S147" i="2" s="1"/>
  <c r="T146" i="2"/>
  <c r="U146" i="2" s="1"/>
  <c r="R146" i="2"/>
  <c r="S146" i="2" s="1"/>
  <c r="T145" i="2"/>
  <c r="U145" i="2" s="1"/>
  <c r="R145" i="2"/>
  <c r="S145" i="2" s="1"/>
  <c r="T144" i="2"/>
  <c r="U144" i="2" s="1"/>
  <c r="R144" i="2"/>
  <c r="S144" i="2" s="1"/>
  <c r="T143" i="2"/>
  <c r="U143" i="2" s="1"/>
  <c r="R143" i="2"/>
  <c r="S143" i="2" s="1"/>
  <c r="T142" i="2"/>
  <c r="U142" i="2" s="1"/>
  <c r="R142" i="2"/>
  <c r="S142" i="2" s="1"/>
  <c r="T141" i="2"/>
  <c r="U141" i="2" s="1"/>
  <c r="R141" i="2"/>
  <c r="S141" i="2" s="1"/>
  <c r="T140" i="2"/>
  <c r="U140" i="2" s="1"/>
  <c r="R140" i="2"/>
  <c r="S140" i="2" s="1"/>
  <c r="T139" i="2"/>
  <c r="U139" i="2" s="1"/>
  <c r="R139" i="2"/>
  <c r="S139" i="2" s="1"/>
  <c r="T138" i="2"/>
  <c r="U138" i="2" s="1"/>
  <c r="R138" i="2"/>
  <c r="S138" i="2" s="1"/>
  <c r="T137" i="2"/>
  <c r="U137" i="2" s="1"/>
  <c r="R137" i="2"/>
  <c r="S137" i="2" s="1"/>
  <c r="T136" i="2"/>
  <c r="U136" i="2" s="1"/>
  <c r="R136" i="2"/>
  <c r="S136" i="2" s="1"/>
  <c r="T135" i="2"/>
  <c r="U135" i="2" s="1"/>
  <c r="R135" i="2"/>
  <c r="S135" i="2" s="1"/>
  <c r="T134" i="2"/>
  <c r="U134" i="2" s="1"/>
  <c r="R134" i="2"/>
  <c r="S134" i="2" s="1"/>
  <c r="T133" i="2"/>
  <c r="U133" i="2" s="1"/>
  <c r="R133" i="2"/>
  <c r="S133" i="2" s="1"/>
  <c r="T132" i="2"/>
  <c r="U132" i="2" s="1"/>
  <c r="R132" i="2"/>
  <c r="S132" i="2" s="1"/>
  <c r="T131" i="2"/>
  <c r="U131" i="2" s="1"/>
  <c r="R131" i="2"/>
  <c r="S131" i="2" s="1"/>
  <c r="T130" i="2"/>
  <c r="U130" i="2" s="1"/>
  <c r="R130" i="2"/>
  <c r="S130" i="2" s="1"/>
  <c r="T129" i="2"/>
  <c r="U129" i="2" s="1"/>
  <c r="R129" i="2"/>
  <c r="S129" i="2" s="1"/>
  <c r="T128" i="2"/>
  <c r="U128" i="2" s="1"/>
  <c r="R128" i="2"/>
  <c r="S128" i="2" s="1"/>
  <c r="T127" i="2"/>
  <c r="U127" i="2" s="1"/>
  <c r="R127" i="2"/>
  <c r="S127" i="2" s="1"/>
  <c r="T126" i="2"/>
  <c r="U126" i="2" s="1"/>
  <c r="R126" i="2"/>
  <c r="S126" i="2" s="1"/>
  <c r="T125" i="2"/>
  <c r="U125" i="2" s="1"/>
  <c r="R125" i="2"/>
  <c r="S125" i="2" s="1"/>
  <c r="T124" i="2"/>
  <c r="U124" i="2" s="1"/>
  <c r="R124" i="2"/>
  <c r="S124" i="2" s="1"/>
  <c r="T123" i="2"/>
  <c r="U123" i="2" s="1"/>
  <c r="R123" i="2"/>
  <c r="S123" i="2" s="1"/>
  <c r="T122" i="2"/>
  <c r="U122" i="2" s="1"/>
  <c r="R122" i="2"/>
  <c r="S122" i="2" s="1"/>
  <c r="T121" i="2"/>
  <c r="U121" i="2" s="1"/>
  <c r="R121" i="2"/>
  <c r="S121" i="2" s="1"/>
  <c r="T120" i="2"/>
  <c r="U120" i="2" s="1"/>
  <c r="R120" i="2"/>
  <c r="S120" i="2" s="1"/>
  <c r="T119" i="2"/>
  <c r="U119" i="2" s="1"/>
  <c r="R119" i="2"/>
  <c r="S119" i="2" s="1"/>
  <c r="T118" i="2"/>
  <c r="U118" i="2" s="1"/>
  <c r="R118" i="2"/>
  <c r="S118" i="2" s="1"/>
  <c r="T117" i="2"/>
  <c r="U117" i="2" s="1"/>
  <c r="R117" i="2"/>
  <c r="S117" i="2" s="1"/>
  <c r="T116" i="2"/>
  <c r="U116" i="2" s="1"/>
  <c r="R116" i="2"/>
  <c r="S116" i="2" s="1"/>
  <c r="T115" i="2"/>
  <c r="U115" i="2" s="1"/>
  <c r="R115" i="2"/>
  <c r="S115" i="2" s="1"/>
  <c r="T114" i="2"/>
  <c r="U114" i="2" s="1"/>
  <c r="R114" i="2"/>
  <c r="S114" i="2" s="1"/>
  <c r="T113" i="2"/>
  <c r="U113" i="2" s="1"/>
  <c r="R113" i="2"/>
  <c r="S113" i="2" s="1"/>
  <c r="T112" i="2"/>
  <c r="U112" i="2" s="1"/>
  <c r="R112" i="2"/>
  <c r="S112" i="2" s="1"/>
  <c r="T111" i="2"/>
  <c r="U111" i="2" s="1"/>
  <c r="R111" i="2"/>
  <c r="S111" i="2" s="1"/>
  <c r="T110" i="2"/>
  <c r="U110" i="2" s="1"/>
  <c r="R110" i="2"/>
  <c r="S110" i="2" s="1"/>
  <c r="T109" i="2"/>
  <c r="U109" i="2" s="1"/>
  <c r="R109" i="2"/>
  <c r="S109" i="2" s="1"/>
  <c r="T108" i="2"/>
  <c r="U108" i="2" s="1"/>
  <c r="R108" i="2"/>
  <c r="S108" i="2" s="1"/>
  <c r="T107" i="2"/>
  <c r="U107" i="2" s="1"/>
  <c r="R107" i="2"/>
  <c r="S107" i="2" s="1"/>
  <c r="T106" i="2"/>
  <c r="U106" i="2" s="1"/>
  <c r="R106" i="2"/>
  <c r="S106" i="2" s="1"/>
  <c r="T105" i="2"/>
  <c r="U105" i="2" s="1"/>
  <c r="R105" i="2"/>
  <c r="S105" i="2" s="1"/>
  <c r="T104" i="2"/>
  <c r="U104" i="2" s="1"/>
  <c r="R104" i="2"/>
  <c r="S104" i="2" s="1"/>
  <c r="T103" i="2"/>
  <c r="U103" i="2" s="1"/>
  <c r="R103" i="2"/>
  <c r="S103" i="2" s="1"/>
  <c r="T102" i="2"/>
  <c r="U102" i="2" s="1"/>
  <c r="R102" i="2"/>
  <c r="S102" i="2" s="1"/>
  <c r="T101" i="2"/>
  <c r="U101" i="2" s="1"/>
  <c r="R101" i="2"/>
  <c r="S101" i="2" s="1"/>
  <c r="T100" i="2"/>
  <c r="U100" i="2" s="1"/>
  <c r="R100" i="2"/>
  <c r="S100" i="2" s="1"/>
  <c r="T99" i="2"/>
  <c r="U99" i="2" s="1"/>
  <c r="R99" i="2"/>
  <c r="S99" i="2" s="1"/>
  <c r="T98" i="2"/>
  <c r="U98" i="2" s="1"/>
  <c r="R98" i="2"/>
  <c r="S98" i="2" s="1"/>
  <c r="T97" i="2"/>
  <c r="U97" i="2" s="1"/>
  <c r="R97" i="2"/>
  <c r="S97" i="2" s="1"/>
  <c r="T96" i="2"/>
  <c r="U96" i="2" s="1"/>
  <c r="R96" i="2"/>
  <c r="S96" i="2" s="1"/>
  <c r="T95" i="2"/>
  <c r="U95" i="2" s="1"/>
  <c r="R95" i="2"/>
  <c r="S95" i="2" s="1"/>
  <c r="T94" i="2"/>
  <c r="U94" i="2" s="1"/>
  <c r="R94" i="2"/>
  <c r="S94" i="2" s="1"/>
  <c r="T93" i="2"/>
  <c r="U93" i="2" s="1"/>
  <c r="R93" i="2"/>
  <c r="S93" i="2" s="1"/>
  <c r="T92" i="2"/>
  <c r="U92" i="2" s="1"/>
  <c r="R92" i="2"/>
  <c r="S92" i="2" s="1"/>
  <c r="T91" i="2"/>
  <c r="U91" i="2" s="1"/>
  <c r="R91" i="2"/>
  <c r="S91" i="2" s="1"/>
  <c r="T90" i="2"/>
  <c r="U90" i="2" s="1"/>
  <c r="R90" i="2"/>
  <c r="S90" i="2" s="1"/>
  <c r="T89" i="2"/>
  <c r="U89" i="2" s="1"/>
  <c r="R89" i="2"/>
  <c r="S89" i="2" s="1"/>
  <c r="T88" i="2"/>
  <c r="U88" i="2" s="1"/>
  <c r="R88" i="2"/>
  <c r="S88" i="2" s="1"/>
  <c r="T87" i="2"/>
  <c r="U87" i="2" s="1"/>
  <c r="R87" i="2"/>
  <c r="S87" i="2" s="1"/>
  <c r="T86" i="2"/>
  <c r="U86" i="2" s="1"/>
  <c r="R86" i="2"/>
  <c r="S86" i="2" s="1"/>
  <c r="T85" i="2"/>
  <c r="U85" i="2" s="1"/>
  <c r="R85" i="2"/>
  <c r="S85" i="2" s="1"/>
  <c r="T84" i="2"/>
  <c r="U84" i="2" s="1"/>
  <c r="R84" i="2"/>
  <c r="S84" i="2" s="1"/>
  <c r="T83" i="2"/>
  <c r="U83" i="2" s="1"/>
  <c r="R83" i="2"/>
  <c r="S83" i="2" s="1"/>
  <c r="T82" i="2"/>
  <c r="U82" i="2" s="1"/>
  <c r="R82" i="2"/>
  <c r="S82" i="2" s="1"/>
  <c r="T81" i="2"/>
  <c r="U81" i="2" s="1"/>
  <c r="R81" i="2"/>
  <c r="S81" i="2" s="1"/>
  <c r="T80" i="2"/>
  <c r="U80" i="2" s="1"/>
  <c r="R80" i="2"/>
  <c r="S80" i="2" s="1"/>
  <c r="T79" i="2"/>
  <c r="U79" i="2" s="1"/>
  <c r="R79" i="2"/>
  <c r="S79" i="2" s="1"/>
  <c r="T78" i="2"/>
  <c r="U78" i="2" s="1"/>
  <c r="R78" i="2"/>
  <c r="S78" i="2" s="1"/>
  <c r="T77" i="2"/>
  <c r="U77" i="2" s="1"/>
  <c r="R77" i="2"/>
  <c r="S77" i="2" s="1"/>
  <c r="T76" i="2"/>
  <c r="U76" i="2" s="1"/>
  <c r="R76" i="2"/>
  <c r="S76" i="2" s="1"/>
  <c r="T75" i="2"/>
  <c r="U75" i="2" s="1"/>
  <c r="R75" i="2"/>
  <c r="S75" i="2" s="1"/>
  <c r="T74" i="2"/>
  <c r="U74" i="2" s="1"/>
  <c r="R74" i="2"/>
  <c r="S74" i="2" s="1"/>
  <c r="T73" i="2"/>
  <c r="U73" i="2" s="1"/>
  <c r="R73" i="2"/>
  <c r="S73" i="2" s="1"/>
  <c r="T72" i="2"/>
  <c r="U72" i="2" s="1"/>
  <c r="R72" i="2"/>
  <c r="S72" i="2" s="1"/>
  <c r="T71" i="2"/>
  <c r="U71" i="2" s="1"/>
  <c r="R71" i="2"/>
  <c r="S71" i="2" s="1"/>
  <c r="T70" i="2"/>
  <c r="U70" i="2" s="1"/>
  <c r="R70" i="2"/>
  <c r="S70" i="2" s="1"/>
  <c r="T69" i="2"/>
  <c r="U69" i="2" s="1"/>
  <c r="R69" i="2"/>
  <c r="S69" i="2" s="1"/>
  <c r="T68" i="2"/>
  <c r="U68" i="2" s="1"/>
  <c r="R68" i="2"/>
  <c r="S68" i="2" s="1"/>
  <c r="T67" i="2"/>
  <c r="U67" i="2" s="1"/>
  <c r="R67" i="2"/>
  <c r="S67" i="2" s="1"/>
  <c r="T66" i="2"/>
  <c r="U66" i="2" s="1"/>
  <c r="R66" i="2"/>
  <c r="S66" i="2" s="1"/>
  <c r="T65" i="2"/>
  <c r="U65" i="2" s="1"/>
  <c r="R65" i="2"/>
  <c r="S65" i="2" s="1"/>
  <c r="T64" i="2"/>
  <c r="U64" i="2" s="1"/>
  <c r="R64" i="2"/>
  <c r="S64" i="2" s="1"/>
  <c r="T63" i="2"/>
  <c r="U63" i="2" s="1"/>
  <c r="R63" i="2"/>
  <c r="S63" i="2" s="1"/>
  <c r="T62" i="2"/>
  <c r="U62" i="2" s="1"/>
  <c r="R62" i="2"/>
  <c r="S62" i="2" s="1"/>
  <c r="T61" i="2"/>
  <c r="U61" i="2" s="1"/>
  <c r="R61" i="2"/>
  <c r="S61" i="2" s="1"/>
  <c r="T60" i="2"/>
  <c r="U60" i="2" s="1"/>
  <c r="R60" i="2"/>
  <c r="S60" i="2" s="1"/>
  <c r="T59" i="2"/>
  <c r="U59" i="2" s="1"/>
  <c r="R59" i="2"/>
  <c r="S59" i="2" s="1"/>
  <c r="T58" i="2"/>
  <c r="U58" i="2" s="1"/>
  <c r="R58" i="2"/>
  <c r="S58" i="2" s="1"/>
  <c r="T57" i="2"/>
  <c r="U57" i="2" s="1"/>
  <c r="R57" i="2"/>
  <c r="S57" i="2" s="1"/>
  <c r="T56" i="2"/>
  <c r="U56" i="2" s="1"/>
  <c r="R56" i="2"/>
  <c r="S56" i="2" s="1"/>
  <c r="T55" i="2"/>
  <c r="U55" i="2" s="1"/>
  <c r="R55" i="2"/>
  <c r="S55" i="2" s="1"/>
  <c r="T54" i="2"/>
  <c r="U54" i="2" s="1"/>
  <c r="R54" i="2"/>
  <c r="S54" i="2" s="1"/>
  <c r="T53" i="2"/>
  <c r="U53" i="2" s="1"/>
  <c r="R53" i="2"/>
  <c r="S53" i="2" s="1"/>
  <c r="T52" i="2"/>
  <c r="U52" i="2" s="1"/>
  <c r="R52" i="2"/>
  <c r="S52" i="2" s="1"/>
  <c r="T51" i="2"/>
  <c r="U51" i="2" s="1"/>
  <c r="R51" i="2"/>
  <c r="S51" i="2" s="1"/>
  <c r="T50" i="2"/>
  <c r="U50" i="2" s="1"/>
  <c r="R50" i="2"/>
  <c r="S50" i="2" s="1"/>
  <c r="T49" i="2"/>
  <c r="U49" i="2" s="1"/>
  <c r="R49" i="2"/>
  <c r="S49" i="2" s="1"/>
  <c r="T48" i="2"/>
  <c r="U48" i="2" s="1"/>
  <c r="R48" i="2"/>
  <c r="S48" i="2" s="1"/>
  <c r="T47" i="2"/>
  <c r="U47" i="2" s="1"/>
  <c r="R47" i="2"/>
  <c r="S47" i="2" s="1"/>
  <c r="T46" i="2"/>
  <c r="U46" i="2" s="1"/>
  <c r="R46" i="2"/>
  <c r="S46" i="2" s="1"/>
  <c r="T45" i="2"/>
  <c r="U45" i="2" s="1"/>
  <c r="R45" i="2"/>
  <c r="S45" i="2" s="1"/>
  <c r="T44" i="2"/>
  <c r="U44" i="2" s="1"/>
  <c r="R44" i="2"/>
  <c r="S44" i="2" s="1"/>
  <c r="T43" i="2"/>
  <c r="U43" i="2" s="1"/>
  <c r="R43" i="2"/>
  <c r="S43" i="2" s="1"/>
  <c r="T42" i="2"/>
  <c r="U42" i="2" s="1"/>
  <c r="R42" i="2"/>
  <c r="S42" i="2" s="1"/>
  <c r="T41" i="2"/>
  <c r="U41" i="2" s="1"/>
  <c r="R41" i="2"/>
  <c r="S41" i="2" s="1"/>
  <c r="T40" i="2"/>
  <c r="U40" i="2" s="1"/>
  <c r="R40" i="2"/>
  <c r="S40" i="2" s="1"/>
  <c r="T39" i="2"/>
  <c r="U39" i="2" s="1"/>
  <c r="R39" i="2"/>
  <c r="S39" i="2" s="1"/>
  <c r="T38" i="2"/>
  <c r="U38" i="2" s="1"/>
  <c r="R38" i="2"/>
  <c r="S38" i="2" s="1"/>
  <c r="T37" i="2"/>
  <c r="U37" i="2" s="1"/>
  <c r="R37" i="2"/>
  <c r="S37" i="2" s="1"/>
  <c r="T36" i="2"/>
  <c r="U36" i="2" s="1"/>
  <c r="R36" i="2"/>
  <c r="S36" i="2" s="1"/>
  <c r="T35" i="2"/>
  <c r="U35" i="2" s="1"/>
  <c r="R35" i="2"/>
  <c r="S35" i="2" s="1"/>
  <c r="T34" i="2"/>
  <c r="U34" i="2" s="1"/>
  <c r="R34" i="2"/>
  <c r="S34" i="2" s="1"/>
  <c r="T33" i="2"/>
  <c r="U33" i="2" s="1"/>
  <c r="R33" i="2"/>
  <c r="S33" i="2" s="1"/>
  <c r="T32" i="2"/>
  <c r="U32" i="2" s="1"/>
  <c r="R32" i="2"/>
  <c r="S32" i="2" s="1"/>
  <c r="T31" i="2"/>
  <c r="U31" i="2" s="1"/>
  <c r="R31" i="2"/>
  <c r="S31" i="2" s="1"/>
  <c r="T30" i="2"/>
  <c r="U30" i="2" s="1"/>
  <c r="R30" i="2"/>
  <c r="S30" i="2" s="1"/>
  <c r="T29" i="2"/>
  <c r="U29" i="2" s="1"/>
  <c r="R29" i="2"/>
  <c r="S29" i="2" s="1"/>
  <c r="T28" i="2"/>
  <c r="U28" i="2" s="1"/>
  <c r="R28" i="2"/>
  <c r="S28" i="2" s="1"/>
  <c r="T27" i="2"/>
  <c r="U27" i="2" s="1"/>
  <c r="R27" i="2"/>
  <c r="S27" i="2" s="1"/>
  <c r="T26" i="2"/>
  <c r="U26" i="2" s="1"/>
  <c r="R26" i="2"/>
  <c r="S26" i="2" s="1"/>
  <c r="T25" i="2"/>
  <c r="U25" i="2" s="1"/>
  <c r="R25" i="2"/>
  <c r="S25" i="2" s="1"/>
  <c r="T24" i="2"/>
  <c r="U24" i="2" s="1"/>
  <c r="R24" i="2"/>
  <c r="S24" i="2" s="1"/>
  <c r="T23" i="2"/>
  <c r="U23" i="2" s="1"/>
  <c r="R23" i="2"/>
  <c r="S23" i="2" s="1"/>
  <c r="T22" i="2"/>
  <c r="U22" i="2" s="1"/>
  <c r="R22" i="2"/>
  <c r="S22" i="2" s="1"/>
  <c r="T21" i="2"/>
  <c r="U21" i="2" s="1"/>
  <c r="R21" i="2"/>
  <c r="S21" i="2" s="1"/>
  <c r="T20" i="2"/>
  <c r="U20" i="2" s="1"/>
  <c r="R20" i="2"/>
  <c r="S20" i="2" s="1"/>
  <c r="T19" i="2"/>
  <c r="U19" i="2" s="1"/>
  <c r="R19" i="2"/>
  <c r="S19" i="2" s="1"/>
  <c r="T18" i="2"/>
  <c r="U18" i="2" s="1"/>
  <c r="R18" i="2"/>
  <c r="S18" i="2" s="1"/>
  <c r="T17" i="2"/>
  <c r="U17" i="2" s="1"/>
  <c r="R17" i="2"/>
  <c r="S17" i="2" s="1"/>
  <c r="T16" i="2"/>
  <c r="U16" i="2" s="1"/>
  <c r="R16" i="2"/>
  <c r="S16" i="2" s="1"/>
  <c r="T15" i="2"/>
  <c r="U15" i="2" s="1"/>
  <c r="R15" i="2"/>
  <c r="S15" i="2" s="1"/>
  <c r="N15" i="2"/>
  <c r="M15" i="2"/>
  <c r="T14" i="2"/>
  <c r="U14" i="2" s="1"/>
  <c r="R14" i="2"/>
  <c r="S14" i="2" s="1"/>
  <c r="N14" i="2"/>
  <c r="M14" i="2"/>
  <c r="T13" i="2"/>
  <c r="U13" i="2" s="1"/>
  <c r="R13" i="2"/>
  <c r="S13" i="2" s="1"/>
  <c r="N13" i="2"/>
  <c r="M13" i="2"/>
  <c r="T12" i="2"/>
  <c r="U12" i="2" s="1"/>
  <c r="W12" i="2" s="1"/>
  <c r="X12" i="2" s="1"/>
  <c r="Y12" i="2" s="1"/>
  <c r="R12" i="2"/>
  <c r="S12" i="2" s="1"/>
  <c r="N12" i="2"/>
  <c r="M12" i="2"/>
  <c r="B12" i="2"/>
  <c r="B13" i="2" s="1"/>
  <c r="O11" i="2"/>
  <c r="P11" i="2" s="1"/>
  <c r="F11" i="2"/>
  <c r="D11" i="2"/>
  <c r="A11" i="2" s="1"/>
  <c r="C11" i="2"/>
  <c r="Q8" i="2"/>
  <c r="I3" i="2"/>
  <c r="L232" i="1"/>
  <c r="K232" i="1"/>
  <c r="I232" i="1"/>
  <c r="J232" i="1" s="1"/>
  <c r="L231" i="1"/>
  <c r="I231" i="1"/>
  <c r="J231" i="1" s="1"/>
  <c r="K231" i="1" s="1"/>
  <c r="L230" i="1"/>
  <c r="I230" i="1"/>
  <c r="J230" i="1" s="1"/>
  <c r="K230" i="1" s="1"/>
  <c r="L229" i="1"/>
  <c r="I229" i="1"/>
  <c r="J229" i="1" s="1"/>
  <c r="K229" i="1" s="1"/>
  <c r="L228" i="1"/>
  <c r="I228" i="1"/>
  <c r="J228" i="1" s="1"/>
  <c r="K228" i="1" s="1"/>
  <c r="L227" i="1"/>
  <c r="N231" i="1" s="1"/>
  <c r="I227" i="1"/>
  <c r="J227" i="1" s="1"/>
  <c r="K227" i="1" s="1"/>
  <c r="L226" i="1"/>
  <c r="M230" i="1" s="1"/>
  <c r="K226" i="1"/>
  <c r="I226" i="1"/>
  <c r="J226" i="1" s="1"/>
  <c r="L225" i="1"/>
  <c r="N229" i="1" s="1"/>
  <c r="I225" i="1"/>
  <c r="L224" i="1"/>
  <c r="N228" i="1" s="1"/>
  <c r="I224" i="1"/>
  <c r="J224" i="1" s="1"/>
  <c r="K224" i="1" s="1"/>
  <c r="L223" i="1"/>
  <c r="I223" i="1"/>
  <c r="J223" i="1" s="1"/>
  <c r="K223" i="1" s="1"/>
  <c r="L222" i="1"/>
  <c r="N226" i="1" s="1"/>
  <c r="I222" i="1"/>
  <c r="J222" i="1" s="1"/>
  <c r="K222" i="1" s="1"/>
  <c r="R221" i="1"/>
  <c r="S221" i="1" s="1"/>
  <c r="L221" i="1"/>
  <c r="R220" i="1"/>
  <c r="S220" i="1" s="1"/>
  <c r="R219" i="1"/>
  <c r="S219" i="1" s="1"/>
  <c r="R218" i="1"/>
  <c r="S218" i="1" s="1"/>
  <c r="T216" i="1"/>
  <c r="U216" i="1" s="1"/>
  <c r="R216" i="1"/>
  <c r="S216" i="1" s="1"/>
  <c r="T215" i="1"/>
  <c r="U215" i="1" s="1"/>
  <c r="R215" i="1"/>
  <c r="S215" i="1" s="1"/>
  <c r="T214" i="1"/>
  <c r="U214" i="1" s="1"/>
  <c r="R214" i="1"/>
  <c r="S214" i="1" s="1"/>
  <c r="T213" i="1"/>
  <c r="U213" i="1" s="1"/>
  <c r="R213" i="1"/>
  <c r="S213" i="1" s="1"/>
  <c r="T212" i="1"/>
  <c r="U212" i="1" s="1"/>
  <c r="R212" i="1"/>
  <c r="S212" i="1" s="1"/>
  <c r="T211" i="1"/>
  <c r="U211" i="1" s="1"/>
  <c r="R211" i="1"/>
  <c r="S211" i="1" s="1"/>
  <c r="T210" i="1"/>
  <c r="U210" i="1" s="1"/>
  <c r="R210" i="1"/>
  <c r="S210" i="1" s="1"/>
  <c r="T209" i="1"/>
  <c r="U209" i="1" s="1"/>
  <c r="R209" i="1"/>
  <c r="S209" i="1" s="1"/>
  <c r="T208" i="1"/>
  <c r="U208" i="1" s="1"/>
  <c r="R208" i="1"/>
  <c r="S208" i="1" s="1"/>
  <c r="T207" i="1"/>
  <c r="U207" i="1" s="1"/>
  <c r="R207" i="1"/>
  <c r="S207" i="1" s="1"/>
  <c r="T206" i="1"/>
  <c r="U206" i="1" s="1"/>
  <c r="R206" i="1"/>
  <c r="S206" i="1" s="1"/>
  <c r="T205" i="1"/>
  <c r="U205" i="1" s="1"/>
  <c r="R205" i="1"/>
  <c r="S205" i="1" s="1"/>
  <c r="T204" i="1"/>
  <c r="U204" i="1" s="1"/>
  <c r="R204" i="1"/>
  <c r="S204" i="1" s="1"/>
  <c r="T203" i="1"/>
  <c r="U203" i="1" s="1"/>
  <c r="R203" i="1"/>
  <c r="S203" i="1" s="1"/>
  <c r="T202" i="1"/>
  <c r="U202" i="1" s="1"/>
  <c r="R202" i="1"/>
  <c r="S202" i="1" s="1"/>
  <c r="T201" i="1"/>
  <c r="U201" i="1" s="1"/>
  <c r="R201" i="1"/>
  <c r="S201" i="1" s="1"/>
  <c r="T200" i="1"/>
  <c r="U200" i="1" s="1"/>
  <c r="R200" i="1"/>
  <c r="S200" i="1" s="1"/>
  <c r="T199" i="1"/>
  <c r="U199" i="1" s="1"/>
  <c r="R199" i="1"/>
  <c r="S199" i="1" s="1"/>
  <c r="T198" i="1"/>
  <c r="U198" i="1" s="1"/>
  <c r="R198" i="1"/>
  <c r="S198" i="1" s="1"/>
  <c r="T197" i="1"/>
  <c r="U197" i="1" s="1"/>
  <c r="R197" i="1"/>
  <c r="S197" i="1" s="1"/>
  <c r="T196" i="1"/>
  <c r="U196" i="1" s="1"/>
  <c r="R196" i="1"/>
  <c r="S196" i="1" s="1"/>
  <c r="T195" i="1"/>
  <c r="U195" i="1" s="1"/>
  <c r="R195" i="1"/>
  <c r="S195" i="1" s="1"/>
  <c r="T194" i="1"/>
  <c r="U194" i="1" s="1"/>
  <c r="R194" i="1"/>
  <c r="S194" i="1" s="1"/>
  <c r="T193" i="1"/>
  <c r="U193" i="1" s="1"/>
  <c r="R193" i="1"/>
  <c r="S193" i="1" s="1"/>
  <c r="T192" i="1"/>
  <c r="U192" i="1" s="1"/>
  <c r="R192" i="1"/>
  <c r="S192" i="1" s="1"/>
  <c r="T191" i="1"/>
  <c r="U191" i="1" s="1"/>
  <c r="R191" i="1"/>
  <c r="S191" i="1" s="1"/>
  <c r="T190" i="1"/>
  <c r="U190" i="1" s="1"/>
  <c r="R190" i="1"/>
  <c r="S190" i="1" s="1"/>
  <c r="T189" i="1"/>
  <c r="U189" i="1" s="1"/>
  <c r="R189" i="1"/>
  <c r="S189" i="1" s="1"/>
  <c r="T188" i="1"/>
  <c r="U188" i="1" s="1"/>
  <c r="R188" i="1"/>
  <c r="S188" i="1" s="1"/>
  <c r="T187" i="1"/>
  <c r="U187" i="1" s="1"/>
  <c r="R187" i="1"/>
  <c r="S187" i="1" s="1"/>
  <c r="T186" i="1"/>
  <c r="U186" i="1" s="1"/>
  <c r="R186" i="1"/>
  <c r="S186" i="1" s="1"/>
  <c r="T185" i="1"/>
  <c r="U185" i="1" s="1"/>
  <c r="R185" i="1"/>
  <c r="S185" i="1" s="1"/>
  <c r="T184" i="1"/>
  <c r="U184" i="1" s="1"/>
  <c r="R184" i="1"/>
  <c r="S184" i="1" s="1"/>
  <c r="T183" i="1"/>
  <c r="U183" i="1" s="1"/>
  <c r="R183" i="1"/>
  <c r="S183" i="1" s="1"/>
  <c r="T182" i="1"/>
  <c r="U182" i="1" s="1"/>
  <c r="R182" i="1"/>
  <c r="S182" i="1" s="1"/>
  <c r="T181" i="1"/>
  <c r="U181" i="1" s="1"/>
  <c r="R181" i="1"/>
  <c r="S181" i="1" s="1"/>
  <c r="T180" i="1"/>
  <c r="U180" i="1" s="1"/>
  <c r="R180" i="1"/>
  <c r="S180" i="1" s="1"/>
  <c r="T179" i="1"/>
  <c r="U179" i="1" s="1"/>
  <c r="R179" i="1"/>
  <c r="S179" i="1" s="1"/>
  <c r="T178" i="1"/>
  <c r="U178" i="1" s="1"/>
  <c r="R178" i="1"/>
  <c r="S178" i="1" s="1"/>
  <c r="T177" i="1"/>
  <c r="U177" i="1" s="1"/>
  <c r="R177" i="1"/>
  <c r="S177" i="1" s="1"/>
  <c r="T176" i="1"/>
  <c r="U176" i="1" s="1"/>
  <c r="R176" i="1"/>
  <c r="S176" i="1" s="1"/>
  <c r="T175" i="1"/>
  <c r="U175" i="1" s="1"/>
  <c r="R175" i="1"/>
  <c r="S175" i="1" s="1"/>
  <c r="T174" i="1"/>
  <c r="U174" i="1" s="1"/>
  <c r="R174" i="1"/>
  <c r="S174" i="1" s="1"/>
  <c r="T173" i="1"/>
  <c r="U173" i="1" s="1"/>
  <c r="R173" i="1"/>
  <c r="S173" i="1" s="1"/>
  <c r="T172" i="1"/>
  <c r="U172" i="1" s="1"/>
  <c r="R172" i="1"/>
  <c r="S172" i="1" s="1"/>
  <c r="T171" i="1"/>
  <c r="U171" i="1" s="1"/>
  <c r="R171" i="1"/>
  <c r="S171" i="1" s="1"/>
  <c r="T170" i="1"/>
  <c r="U170" i="1" s="1"/>
  <c r="R170" i="1"/>
  <c r="S170" i="1" s="1"/>
  <c r="T169" i="1"/>
  <c r="U169" i="1" s="1"/>
  <c r="R169" i="1"/>
  <c r="S169" i="1" s="1"/>
  <c r="T168" i="1"/>
  <c r="U168" i="1" s="1"/>
  <c r="R168" i="1"/>
  <c r="S168" i="1" s="1"/>
  <c r="T167" i="1"/>
  <c r="U167" i="1" s="1"/>
  <c r="R167" i="1"/>
  <c r="S167" i="1" s="1"/>
  <c r="T166" i="1"/>
  <c r="U166" i="1" s="1"/>
  <c r="R166" i="1"/>
  <c r="S166" i="1" s="1"/>
  <c r="T165" i="1"/>
  <c r="U165" i="1" s="1"/>
  <c r="R165" i="1"/>
  <c r="S165" i="1" s="1"/>
  <c r="T164" i="1"/>
  <c r="U164" i="1" s="1"/>
  <c r="R164" i="1"/>
  <c r="S164" i="1" s="1"/>
  <c r="T163" i="1"/>
  <c r="U163" i="1" s="1"/>
  <c r="R163" i="1"/>
  <c r="S163" i="1" s="1"/>
  <c r="T162" i="1"/>
  <c r="U162" i="1" s="1"/>
  <c r="R162" i="1"/>
  <c r="S162" i="1" s="1"/>
  <c r="T161" i="1"/>
  <c r="U161" i="1" s="1"/>
  <c r="R161" i="1"/>
  <c r="S161" i="1" s="1"/>
  <c r="T160" i="1"/>
  <c r="U160" i="1" s="1"/>
  <c r="R160" i="1"/>
  <c r="S160" i="1" s="1"/>
  <c r="T159" i="1"/>
  <c r="U159" i="1" s="1"/>
  <c r="R159" i="1"/>
  <c r="S159" i="1" s="1"/>
  <c r="T158" i="1"/>
  <c r="U158" i="1" s="1"/>
  <c r="R158" i="1"/>
  <c r="S158" i="1" s="1"/>
  <c r="T157" i="1"/>
  <c r="U157" i="1" s="1"/>
  <c r="R157" i="1"/>
  <c r="S157" i="1" s="1"/>
  <c r="T156" i="1"/>
  <c r="U156" i="1" s="1"/>
  <c r="R156" i="1"/>
  <c r="S156" i="1" s="1"/>
  <c r="T155" i="1"/>
  <c r="U155" i="1" s="1"/>
  <c r="R155" i="1"/>
  <c r="S155" i="1" s="1"/>
  <c r="T154" i="1"/>
  <c r="U154" i="1" s="1"/>
  <c r="R154" i="1"/>
  <c r="S154" i="1" s="1"/>
  <c r="T153" i="1"/>
  <c r="U153" i="1" s="1"/>
  <c r="R153" i="1"/>
  <c r="S153" i="1" s="1"/>
  <c r="T152" i="1"/>
  <c r="U152" i="1" s="1"/>
  <c r="R152" i="1"/>
  <c r="S152" i="1" s="1"/>
  <c r="T151" i="1"/>
  <c r="U151" i="1" s="1"/>
  <c r="R151" i="1"/>
  <c r="S151" i="1" s="1"/>
  <c r="T150" i="1"/>
  <c r="U150" i="1" s="1"/>
  <c r="R150" i="1"/>
  <c r="S150" i="1" s="1"/>
  <c r="T149" i="1"/>
  <c r="U149" i="1" s="1"/>
  <c r="R149" i="1"/>
  <c r="S149" i="1" s="1"/>
  <c r="T148" i="1"/>
  <c r="U148" i="1" s="1"/>
  <c r="R148" i="1"/>
  <c r="S148" i="1" s="1"/>
  <c r="T147" i="1"/>
  <c r="U147" i="1" s="1"/>
  <c r="R147" i="1"/>
  <c r="S147" i="1" s="1"/>
  <c r="T146" i="1"/>
  <c r="U146" i="1" s="1"/>
  <c r="R146" i="1"/>
  <c r="S146" i="1" s="1"/>
  <c r="T145" i="1"/>
  <c r="U145" i="1" s="1"/>
  <c r="R145" i="1"/>
  <c r="S145" i="1" s="1"/>
  <c r="T144" i="1"/>
  <c r="U144" i="1" s="1"/>
  <c r="R144" i="1"/>
  <c r="S144" i="1" s="1"/>
  <c r="T143" i="1"/>
  <c r="U143" i="1" s="1"/>
  <c r="R143" i="1"/>
  <c r="S143" i="1" s="1"/>
  <c r="T142" i="1"/>
  <c r="U142" i="1" s="1"/>
  <c r="R142" i="1"/>
  <c r="S142" i="1" s="1"/>
  <c r="T141" i="1"/>
  <c r="U141" i="1" s="1"/>
  <c r="R141" i="1"/>
  <c r="S141" i="1" s="1"/>
  <c r="T140" i="1"/>
  <c r="U140" i="1" s="1"/>
  <c r="R140" i="1"/>
  <c r="S140" i="1" s="1"/>
  <c r="T139" i="1"/>
  <c r="U139" i="1" s="1"/>
  <c r="R139" i="1"/>
  <c r="S139" i="1" s="1"/>
  <c r="T138" i="1"/>
  <c r="U138" i="1" s="1"/>
  <c r="R138" i="1"/>
  <c r="S138" i="1" s="1"/>
  <c r="T137" i="1"/>
  <c r="U137" i="1" s="1"/>
  <c r="R137" i="1"/>
  <c r="S137" i="1" s="1"/>
  <c r="T136" i="1"/>
  <c r="U136" i="1" s="1"/>
  <c r="R136" i="1"/>
  <c r="S136" i="1" s="1"/>
  <c r="T135" i="1"/>
  <c r="U135" i="1" s="1"/>
  <c r="R135" i="1"/>
  <c r="S135" i="1" s="1"/>
  <c r="T134" i="1"/>
  <c r="U134" i="1" s="1"/>
  <c r="R134" i="1"/>
  <c r="S134" i="1" s="1"/>
  <c r="T133" i="1"/>
  <c r="U133" i="1" s="1"/>
  <c r="R133" i="1"/>
  <c r="S133" i="1" s="1"/>
  <c r="T132" i="1"/>
  <c r="U132" i="1" s="1"/>
  <c r="R132" i="1"/>
  <c r="S132" i="1" s="1"/>
  <c r="T131" i="1"/>
  <c r="U131" i="1" s="1"/>
  <c r="R131" i="1"/>
  <c r="S131" i="1" s="1"/>
  <c r="T130" i="1"/>
  <c r="U130" i="1" s="1"/>
  <c r="R130" i="1"/>
  <c r="S130" i="1" s="1"/>
  <c r="T129" i="1"/>
  <c r="U129" i="1" s="1"/>
  <c r="R129" i="1"/>
  <c r="S129" i="1" s="1"/>
  <c r="T128" i="1"/>
  <c r="U128" i="1" s="1"/>
  <c r="R128" i="1"/>
  <c r="S128" i="1" s="1"/>
  <c r="T127" i="1"/>
  <c r="U127" i="1" s="1"/>
  <c r="R127" i="1"/>
  <c r="S127" i="1" s="1"/>
  <c r="T126" i="1"/>
  <c r="U126" i="1" s="1"/>
  <c r="R126" i="1"/>
  <c r="S126" i="1" s="1"/>
  <c r="T125" i="1"/>
  <c r="U125" i="1" s="1"/>
  <c r="R125" i="1"/>
  <c r="S125" i="1" s="1"/>
  <c r="T124" i="1"/>
  <c r="U124" i="1" s="1"/>
  <c r="R124" i="1"/>
  <c r="S124" i="1" s="1"/>
  <c r="T123" i="1"/>
  <c r="U123" i="1" s="1"/>
  <c r="R123" i="1"/>
  <c r="S123" i="1" s="1"/>
  <c r="T122" i="1"/>
  <c r="U122" i="1" s="1"/>
  <c r="R122" i="1"/>
  <c r="S122" i="1" s="1"/>
  <c r="T121" i="1"/>
  <c r="U121" i="1" s="1"/>
  <c r="R121" i="1"/>
  <c r="S121" i="1" s="1"/>
  <c r="T120" i="1"/>
  <c r="U120" i="1" s="1"/>
  <c r="R120" i="1"/>
  <c r="S120" i="1" s="1"/>
  <c r="T119" i="1"/>
  <c r="U119" i="1" s="1"/>
  <c r="R119" i="1"/>
  <c r="S119" i="1" s="1"/>
  <c r="T118" i="1"/>
  <c r="U118" i="1" s="1"/>
  <c r="R118" i="1"/>
  <c r="S118" i="1" s="1"/>
  <c r="T117" i="1"/>
  <c r="U117" i="1" s="1"/>
  <c r="R117" i="1"/>
  <c r="S117" i="1" s="1"/>
  <c r="T116" i="1"/>
  <c r="U116" i="1" s="1"/>
  <c r="R116" i="1"/>
  <c r="S116" i="1" s="1"/>
  <c r="T115" i="1"/>
  <c r="U115" i="1" s="1"/>
  <c r="R115" i="1"/>
  <c r="S115" i="1" s="1"/>
  <c r="T114" i="1"/>
  <c r="U114" i="1" s="1"/>
  <c r="R114" i="1"/>
  <c r="S114" i="1" s="1"/>
  <c r="T113" i="1"/>
  <c r="U113" i="1" s="1"/>
  <c r="R113" i="1"/>
  <c r="S113" i="1" s="1"/>
  <c r="T112" i="1"/>
  <c r="U112" i="1" s="1"/>
  <c r="R112" i="1"/>
  <c r="S112" i="1" s="1"/>
  <c r="T111" i="1"/>
  <c r="U111" i="1" s="1"/>
  <c r="R111" i="1"/>
  <c r="S111" i="1" s="1"/>
  <c r="T110" i="1"/>
  <c r="U110" i="1" s="1"/>
  <c r="R110" i="1"/>
  <c r="S110" i="1" s="1"/>
  <c r="T109" i="1"/>
  <c r="U109" i="1" s="1"/>
  <c r="R109" i="1"/>
  <c r="S109" i="1" s="1"/>
  <c r="T108" i="1"/>
  <c r="U108" i="1" s="1"/>
  <c r="R108" i="1"/>
  <c r="S108" i="1" s="1"/>
  <c r="T107" i="1"/>
  <c r="U107" i="1" s="1"/>
  <c r="R107" i="1"/>
  <c r="S107" i="1" s="1"/>
  <c r="T106" i="1"/>
  <c r="U106" i="1" s="1"/>
  <c r="R106" i="1"/>
  <c r="S106" i="1" s="1"/>
  <c r="T105" i="1"/>
  <c r="U105" i="1" s="1"/>
  <c r="R105" i="1"/>
  <c r="S105" i="1" s="1"/>
  <c r="T104" i="1"/>
  <c r="U104" i="1" s="1"/>
  <c r="R104" i="1"/>
  <c r="S104" i="1" s="1"/>
  <c r="T103" i="1"/>
  <c r="U103" i="1" s="1"/>
  <c r="R103" i="1"/>
  <c r="S103" i="1" s="1"/>
  <c r="T102" i="1"/>
  <c r="U102" i="1" s="1"/>
  <c r="R102" i="1"/>
  <c r="S102" i="1" s="1"/>
  <c r="T101" i="1"/>
  <c r="U101" i="1" s="1"/>
  <c r="R101" i="1"/>
  <c r="S101" i="1" s="1"/>
  <c r="T100" i="1"/>
  <c r="U100" i="1" s="1"/>
  <c r="R100" i="1"/>
  <c r="S100" i="1" s="1"/>
  <c r="T99" i="1"/>
  <c r="U99" i="1" s="1"/>
  <c r="R99" i="1"/>
  <c r="S99" i="1" s="1"/>
  <c r="T98" i="1"/>
  <c r="U98" i="1" s="1"/>
  <c r="R98" i="1"/>
  <c r="S98" i="1" s="1"/>
  <c r="T97" i="1"/>
  <c r="U97" i="1" s="1"/>
  <c r="R97" i="1"/>
  <c r="S97" i="1" s="1"/>
  <c r="T96" i="1"/>
  <c r="U96" i="1" s="1"/>
  <c r="R96" i="1"/>
  <c r="S96" i="1" s="1"/>
  <c r="T95" i="1"/>
  <c r="U95" i="1" s="1"/>
  <c r="R95" i="1"/>
  <c r="S95" i="1" s="1"/>
  <c r="T94" i="1"/>
  <c r="U94" i="1" s="1"/>
  <c r="R94" i="1"/>
  <c r="S94" i="1" s="1"/>
  <c r="T93" i="1"/>
  <c r="U93" i="1" s="1"/>
  <c r="R93" i="1"/>
  <c r="S93" i="1" s="1"/>
  <c r="T92" i="1"/>
  <c r="U92" i="1" s="1"/>
  <c r="R92" i="1"/>
  <c r="S92" i="1" s="1"/>
  <c r="T91" i="1"/>
  <c r="U91" i="1" s="1"/>
  <c r="R91" i="1"/>
  <c r="S91" i="1" s="1"/>
  <c r="T90" i="1"/>
  <c r="U90" i="1" s="1"/>
  <c r="R90" i="1"/>
  <c r="S90" i="1" s="1"/>
  <c r="T89" i="1"/>
  <c r="U89" i="1" s="1"/>
  <c r="R89" i="1"/>
  <c r="S89" i="1" s="1"/>
  <c r="T88" i="1"/>
  <c r="U88" i="1" s="1"/>
  <c r="R88" i="1"/>
  <c r="S88" i="1" s="1"/>
  <c r="T87" i="1"/>
  <c r="U87" i="1" s="1"/>
  <c r="R87" i="1"/>
  <c r="S87" i="1" s="1"/>
  <c r="T86" i="1"/>
  <c r="U86" i="1" s="1"/>
  <c r="R86" i="1"/>
  <c r="S86" i="1" s="1"/>
  <c r="T85" i="1"/>
  <c r="U85" i="1" s="1"/>
  <c r="R85" i="1"/>
  <c r="S85" i="1" s="1"/>
  <c r="T84" i="1"/>
  <c r="U84" i="1" s="1"/>
  <c r="R84" i="1"/>
  <c r="S84" i="1" s="1"/>
  <c r="T83" i="1"/>
  <c r="U83" i="1" s="1"/>
  <c r="R83" i="1"/>
  <c r="S83" i="1" s="1"/>
  <c r="T82" i="1"/>
  <c r="U82" i="1" s="1"/>
  <c r="R82" i="1"/>
  <c r="S82" i="1" s="1"/>
  <c r="T81" i="1"/>
  <c r="U81" i="1" s="1"/>
  <c r="R81" i="1"/>
  <c r="S81" i="1" s="1"/>
  <c r="T80" i="1"/>
  <c r="U80" i="1" s="1"/>
  <c r="R80" i="1"/>
  <c r="S80" i="1" s="1"/>
  <c r="T79" i="1"/>
  <c r="U79" i="1" s="1"/>
  <c r="R79" i="1"/>
  <c r="S79" i="1" s="1"/>
  <c r="T78" i="1"/>
  <c r="U78" i="1" s="1"/>
  <c r="R78" i="1"/>
  <c r="S78" i="1" s="1"/>
  <c r="T77" i="1"/>
  <c r="U77" i="1" s="1"/>
  <c r="R77" i="1"/>
  <c r="S77" i="1" s="1"/>
  <c r="T76" i="1"/>
  <c r="U76" i="1" s="1"/>
  <c r="R76" i="1"/>
  <c r="S76" i="1" s="1"/>
  <c r="T75" i="1"/>
  <c r="U75" i="1" s="1"/>
  <c r="R75" i="1"/>
  <c r="S75" i="1" s="1"/>
  <c r="T74" i="1"/>
  <c r="U74" i="1" s="1"/>
  <c r="R74" i="1"/>
  <c r="S74" i="1" s="1"/>
  <c r="T73" i="1"/>
  <c r="U73" i="1" s="1"/>
  <c r="R73" i="1"/>
  <c r="S73" i="1" s="1"/>
  <c r="T72" i="1"/>
  <c r="U72" i="1" s="1"/>
  <c r="R72" i="1"/>
  <c r="S72" i="1" s="1"/>
  <c r="T71" i="1"/>
  <c r="U71" i="1" s="1"/>
  <c r="R71" i="1"/>
  <c r="S71" i="1" s="1"/>
  <c r="T70" i="1"/>
  <c r="U70" i="1" s="1"/>
  <c r="R70" i="1"/>
  <c r="S70" i="1" s="1"/>
  <c r="T69" i="1"/>
  <c r="U69" i="1" s="1"/>
  <c r="R69" i="1"/>
  <c r="S69" i="1" s="1"/>
  <c r="T68" i="1"/>
  <c r="U68" i="1" s="1"/>
  <c r="R68" i="1"/>
  <c r="S68" i="1" s="1"/>
  <c r="T67" i="1"/>
  <c r="U67" i="1" s="1"/>
  <c r="R67" i="1"/>
  <c r="S67" i="1" s="1"/>
  <c r="T66" i="1"/>
  <c r="U66" i="1" s="1"/>
  <c r="R66" i="1"/>
  <c r="S66" i="1" s="1"/>
  <c r="T65" i="1"/>
  <c r="U65" i="1" s="1"/>
  <c r="R65" i="1"/>
  <c r="S65" i="1" s="1"/>
  <c r="T64" i="1"/>
  <c r="U64" i="1" s="1"/>
  <c r="R64" i="1"/>
  <c r="S64" i="1" s="1"/>
  <c r="T63" i="1"/>
  <c r="U63" i="1" s="1"/>
  <c r="R63" i="1"/>
  <c r="S63" i="1" s="1"/>
  <c r="T62" i="1"/>
  <c r="U62" i="1" s="1"/>
  <c r="R62" i="1"/>
  <c r="S62" i="1" s="1"/>
  <c r="T61" i="1"/>
  <c r="U61" i="1" s="1"/>
  <c r="R61" i="1"/>
  <c r="S61" i="1" s="1"/>
  <c r="T60" i="1"/>
  <c r="U60" i="1" s="1"/>
  <c r="R60" i="1"/>
  <c r="S60" i="1" s="1"/>
  <c r="T59" i="1"/>
  <c r="U59" i="1" s="1"/>
  <c r="R59" i="1"/>
  <c r="S59" i="1" s="1"/>
  <c r="T58" i="1"/>
  <c r="U58" i="1" s="1"/>
  <c r="R58" i="1"/>
  <c r="S58" i="1" s="1"/>
  <c r="T57" i="1"/>
  <c r="U57" i="1" s="1"/>
  <c r="R57" i="1"/>
  <c r="S57" i="1" s="1"/>
  <c r="T56" i="1"/>
  <c r="U56" i="1" s="1"/>
  <c r="R56" i="1"/>
  <c r="S56" i="1" s="1"/>
  <c r="T55" i="1"/>
  <c r="U55" i="1" s="1"/>
  <c r="R55" i="1"/>
  <c r="S55" i="1" s="1"/>
  <c r="T54" i="1"/>
  <c r="U54" i="1" s="1"/>
  <c r="R54" i="1"/>
  <c r="S54" i="1" s="1"/>
  <c r="T53" i="1"/>
  <c r="U53" i="1" s="1"/>
  <c r="R53" i="1"/>
  <c r="S53" i="1" s="1"/>
  <c r="T52" i="1"/>
  <c r="U52" i="1" s="1"/>
  <c r="R52" i="1"/>
  <c r="S52" i="1" s="1"/>
  <c r="T51" i="1"/>
  <c r="U51" i="1" s="1"/>
  <c r="R51" i="1"/>
  <c r="S51" i="1" s="1"/>
  <c r="T50" i="1"/>
  <c r="U50" i="1" s="1"/>
  <c r="R50" i="1"/>
  <c r="S50" i="1" s="1"/>
  <c r="T49" i="1"/>
  <c r="U49" i="1" s="1"/>
  <c r="R49" i="1"/>
  <c r="S49" i="1" s="1"/>
  <c r="T48" i="1"/>
  <c r="U48" i="1" s="1"/>
  <c r="R48" i="1"/>
  <c r="S48" i="1" s="1"/>
  <c r="T47" i="1"/>
  <c r="U47" i="1" s="1"/>
  <c r="R47" i="1"/>
  <c r="S47" i="1" s="1"/>
  <c r="T46" i="1"/>
  <c r="U46" i="1" s="1"/>
  <c r="R46" i="1"/>
  <c r="S46" i="1" s="1"/>
  <c r="T45" i="1"/>
  <c r="U45" i="1" s="1"/>
  <c r="R45" i="1"/>
  <c r="S45" i="1" s="1"/>
  <c r="T44" i="1"/>
  <c r="U44" i="1" s="1"/>
  <c r="R44" i="1"/>
  <c r="S44" i="1" s="1"/>
  <c r="T43" i="1"/>
  <c r="U43" i="1" s="1"/>
  <c r="R43" i="1"/>
  <c r="S43" i="1" s="1"/>
  <c r="T42" i="1"/>
  <c r="U42" i="1" s="1"/>
  <c r="R42" i="1"/>
  <c r="S42" i="1" s="1"/>
  <c r="T41" i="1"/>
  <c r="U41" i="1" s="1"/>
  <c r="R41" i="1"/>
  <c r="S41" i="1" s="1"/>
  <c r="T40" i="1"/>
  <c r="U40" i="1" s="1"/>
  <c r="R40" i="1"/>
  <c r="S40" i="1" s="1"/>
  <c r="T39" i="1"/>
  <c r="U39" i="1" s="1"/>
  <c r="R39" i="1"/>
  <c r="S39" i="1" s="1"/>
  <c r="T38" i="1"/>
  <c r="U38" i="1" s="1"/>
  <c r="R38" i="1"/>
  <c r="S38" i="1" s="1"/>
  <c r="T37" i="1"/>
  <c r="U37" i="1" s="1"/>
  <c r="R37" i="1"/>
  <c r="S37" i="1" s="1"/>
  <c r="T36" i="1"/>
  <c r="U36" i="1" s="1"/>
  <c r="R36" i="1"/>
  <c r="S36" i="1" s="1"/>
  <c r="T35" i="1"/>
  <c r="U35" i="1" s="1"/>
  <c r="R35" i="1"/>
  <c r="S35" i="1" s="1"/>
  <c r="T34" i="1"/>
  <c r="U34" i="1" s="1"/>
  <c r="R34" i="1"/>
  <c r="S34" i="1" s="1"/>
  <c r="T33" i="1"/>
  <c r="U33" i="1" s="1"/>
  <c r="R33" i="1"/>
  <c r="S33" i="1" s="1"/>
  <c r="T32" i="1"/>
  <c r="U32" i="1" s="1"/>
  <c r="R32" i="1"/>
  <c r="S32" i="1" s="1"/>
  <c r="T31" i="1"/>
  <c r="U31" i="1" s="1"/>
  <c r="R31" i="1"/>
  <c r="S31" i="1" s="1"/>
  <c r="T30" i="1"/>
  <c r="U30" i="1" s="1"/>
  <c r="R30" i="1"/>
  <c r="S30" i="1" s="1"/>
  <c r="T29" i="1"/>
  <c r="U29" i="1" s="1"/>
  <c r="R29" i="1"/>
  <c r="S29" i="1" s="1"/>
  <c r="T28" i="1"/>
  <c r="U28" i="1" s="1"/>
  <c r="R28" i="1"/>
  <c r="S28" i="1" s="1"/>
  <c r="T27" i="1"/>
  <c r="U27" i="1" s="1"/>
  <c r="R27" i="1"/>
  <c r="S27" i="1" s="1"/>
  <c r="T26" i="1"/>
  <c r="U26" i="1" s="1"/>
  <c r="R26" i="1"/>
  <c r="S26" i="1" s="1"/>
  <c r="T25" i="1"/>
  <c r="U25" i="1" s="1"/>
  <c r="R25" i="1"/>
  <c r="S25" i="1" s="1"/>
  <c r="T24" i="1"/>
  <c r="U24" i="1" s="1"/>
  <c r="R24" i="1"/>
  <c r="S24" i="1" s="1"/>
  <c r="T23" i="1"/>
  <c r="U23" i="1" s="1"/>
  <c r="R23" i="1"/>
  <c r="S23" i="1" s="1"/>
  <c r="T22" i="1"/>
  <c r="U22" i="1" s="1"/>
  <c r="R22" i="1"/>
  <c r="S22" i="1" s="1"/>
  <c r="T21" i="1"/>
  <c r="U21" i="1" s="1"/>
  <c r="R21" i="1"/>
  <c r="S21" i="1" s="1"/>
  <c r="T20" i="1"/>
  <c r="U20" i="1" s="1"/>
  <c r="R20" i="1"/>
  <c r="S20" i="1" s="1"/>
  <c r="T19" i="1"/>
  <c r="U19" i="1" s="1"/>
  <c r="R19" i="1"/>
  <c r="S19" i="1" s="1"/>
  <c r="T18" i="1"/>
  <c r="U18" i="1" s="1"/>
  <c r="R18" i="1"/>
  <c r="S18" i="1" s="1"/>
  <c r="T17" i="1"/>
  <c r="U17" i="1" s="1"/>
  <c r="R17" i="1"/>
  <c r="S17" i="1" s="1"/>
  <c r="T16" i="1"/>
  <c r="U16" i="1" s="1"/>
  <c r="R16" i="1"/>
  <c r="S16" i="1" s="1"/>
  <c r="T15" i="1"/>
  <c r="U15" i="1" s="1"/>
  <c r="R15" i="1"/>
  <c r="S15" i="1" s="1"/>
  <c r="N15" i="1"/>
  <c r="T14" i="1"/>
  <c r="U14" i="1" s="1"/>
  <c r="R14" i="1"/>
  <c r="S14" i="1" s="1"/>
  <c r="N14" i="1"/>
  <c r="T13" i="1"/>
  <c r="U13" i="1" s="1"/>
  <c r="W13" i="1" s="1"/>
  <c r="R13" i="1"/>
  <c r="S13" i="1" s="1"/>
  <c r="T12" i="1"/>
  <c r="U12" i="1" s="1"/>
  <c r="R12" i="1"/>
  <c r="S12" i="1" s="1"/>
  <c r="N12" i="1"/>
  <c r="M12" i="1"/>
  <c r="B12" i="1"/>
  <c r="O11" i="1"/>
  <c r="F11" i="1"/>
  <c r="C11" i="1"/>
  <c r="Q8" i="1"/>
  <c r="I3" i="1"/>
  <c r="J9" i="1" l="1"/>
  <c r="L12" i="1"/>
  <c r="K12" i="1"/>
  <c r="C12" i="1"/>
  <c r="H12" i="1"/>
  <c r="J12" i="1" s="1"/>
  <c r="I12" i="1"/>
  <c r="G12" i="1"/>
  <c r="E12" i="1" s="1"/>
  <c r="F12" i="1" s="1"/>
  <c r="M226" i="1"/>
  <c r="A11" i="1"/>
  <c r="V12" i="1"/>
  <c r="B13" i="1"/>
  <c r="L3" i="1"/>
  <c r="W12" i="1"/>
  <c r="C12" i="2"/>
  <c r="N231" i="2"/>
  <c r="O231" i="2" s="1"/>
  <c r="P231" i="2" s="1"/>
  <c r="H12" i="2"/>
  <c r="G12" i="2"/>
  <c r="N226" i="2"/>
  <c r="L12" i="2"/>
  <c r="N16" i="2" s="1"/>
  <c r="I12" i="2"/>
  <c r="V12" i="2" s="1"/>
  <c r="M231" i="1"/>
  <c r="M229" i="1"/>
  <c r="N230" i="1"/>
  <c r="O230" i="1" s="1"/>
  <c r="P230" i="1" s="1"/>
  <c r="M228" i="1"/>
  <c r="O226" i="1"/>
  <c r="P226" i="1" s="1"/>
  <c r="O229" i="1"/>
  <c r="P229" i="1" s="1"/>
  <c r="N228" i="2"/>
  <c r="O228" i="2" s="1"/>
  <c r="P228" i="2" s="1"/>
  <c r="M229" i="2"/>
  <c r="O227" i="2"/>
  <c r="P227" i="2" s="1"/>
  <c r="O229" i="2"/>
  <c r="P229" i="2" s="1"/>
  <c r="B14" i="2"/>
  <c r="G13" i="2"/>
  <c r="O226" i="2"/>
  <c r="P226" i="2" s="1"/>
  <c r="N225" i="2"/>
  <c r="O225" i="2" s="1"/>
  <c r="P225" i="2" s="1"/>
  <c r="N230" i="2"/>
  <c r="O230" i="2" s="1"/>
  <c r="P230" i="2" s="1"/>
  <c r="N232" i="2"/>
  <c r="O232" i="2" s="1"/>
  <c r="P232" i="2" s="1"/>
  <c r="M227" i="2"/>
  <c r="P11" i="1"/>
  <c r="O231" i="1"/>
  <c r="P231" i="1" s="1"/>
  <c r="J225" i="1"/>
  <c r="K225" i="1" s="1"/>
  <c r="N232" i="1"/>
  <c r="O232" i="1" s="1"/>
  <c r="P232" i="1" s="1"/>
  <c r="M232" i="1"/>
  <c r="N225" i="1"/>
  <c r="M225" i="1"/>
  <c r="N227" i="1"/>
  <c r="O227" i="1" s="1"/>
  <c r="P227" i="1" s="1"/>
  <c r="M227" i="1"/>
  <c r="O228" i="1"/>
  <c r="P228" i="1" s="1"/>
  <c r="K9" i="1" l="1"/>
  <c r="F9" i="1"/>
  <c r="E9" i="1" s="1"/>
  <c r="J5" i="1"/>
  <c r="B14" i="1"/>
  <c r="G13" i="1"/>
  <c r="N16" i="1"/>
  <c r="M16" i="1"/>
  <c r="J12" i="2"/>
  <c r="K12" i="2" s="1"/>
  <c r="O12" i="2" s="1"/>
  <c r="P12" i="2" s="1"/>
  <c r="M16" i="2"/>
  <c r="O225" i="1"/>
  <c r="P225" i="1" s="1"/>
  <c r="G14" i="2"/>
  <c r="B15" i="2"/>
  <c r="G9" i="1" l="1"/>
  <c r="D12" i="1" a="1"/>
  <c r="D12" i="1" s="1"/>
  <c r="E13" i="1" s="1"/>
  <c r="F13" i="1" s="1"/>
  <c r="G14" i="1"/>
  <c r="B15" i="1"/>
  <c r="D12" i="2" a="1"/>
  <c r="D12" i="2" s="1"/>
  <c r="B16" i="2"/>
  <c r="G15" i="2"/>
  <c r="I13" i="1" l="1"/>
  <c r="L13" i="1"/>
  <c r="H13" i="2"/>
  <c r="E13" i="2"/>
  <c r="B16" i="1"/>
  <c r="G15" i="1"/>
  <c r="L13" i="2"/>
  <c r="N17" i="2" s="1"/>
  <c r="I13" i="2"/>
  <c r="J13" i="2" s="1"/>
  <c r="W13" i="2"/>
  <c r="X13" i="2" s="1"/>
  <c r="C13" i="2"/>
  <c r="A12" i="2"/>
  <c r="O12" i="1"/>
  <c r="P12" i="1" s="1"/>
  <c r="K13" i="2"/>
  <c r="G16" i="2"/>
  <c r="B17" i="2"/>
  <c r="N17" i="1" l="1"/>
  <c r="D9" i="1"/>
  <c r="A12" i="1"/>
  <c r="L4" i="1"/>
  <c r="K8" i="1"/>
  <c r="N13" i="1" s="1"/>
  <c r="M17" i="2"/>
  <c r="O13" i="2"/>
  <c r="P13" i="2" s="1"/>
  <c r="B17" i="1"/>
  <c r="G16" i="1"/>
  <c r="D13" i="2" a="1"/>
  <c r="D13" i="2" s="1"/>
  <c r="M17" i="1"/>
  <c r="G17" i="2"/>
  <c r="B18" i="2"/>
  <c r="I14" i="2" l="1"/>
  <c r="E14" i="2"/>
  <c r="F14" i="2" s="1"/>
  <c r="B18" i="1"/>
  <c r="G17" i="1"/>
  <c r="A13" i="2"/>
  <c r="W14" i="2"/>
  <c r="X14" i="2" s="1"/>
  <c r="H14" i="2"/>
  <c r="J14" i="2" s="1"/>
  <c r="L14" i="2"/>
  <c r="M18" i="2" s="1"/>
  <c r="C14" i="2"/>
  <c r="G18" i="2"/>
  <c r="B19" i="2"/>
  <c r="H13" i="1" l="1"/>
  <c r="J13" i="1" s="1"/>
  <c r="K13" i="1" s="1"/>
  <c r="B19" i="1"/>
  <c r="G18" i="1"/>
  <c r="K14" i="2"/>
  <c r="O14" i="2" s="1"/>
  <c r="P14" i="2" s="1"/>
  <c r="N18" i="2"/>
  <c r="G19" i="2"/>
  <c r="B20" i="2"/>
  <c r="G19" i="1" l="1"/>
  <c r="B20" i="1"/>
  <c r="D14" i="2" a="1"/>
  <c r="D14" i="2" s="1"/>
  <c r="B21" i="2"/>
  <c r="G20" i="2"/>
  <c r="W15" i="2" l="1"/>
  <c r="X15" i="2" s="1"/>
  <c r="E15" i="2"/>
  <c r="F15" i="2" s="1"/>
  <c r="G20" i="1"/>
  <c r="B21" i="1"/>
  <c r="C15" i="2"/>
  <c r="H15" i="2"/>
  <c r="A14" i="2"/>
  <c r="L15" i="2"/>
  <c r="M19" i="2" s="1"/>
  <c r="I15" i="2"/>
  <c r="B22" i="2"/>
  <c r="G21" i="2"/>
  <c r="J15" i="2" l="1"/>
  <c r="K15" i="2" s="1"/>
  <c r="O15" i="2" s="1"/>
  <c r="P15" i="2" s="1"/>
  <c r="B22" i="1"/>
  <c r="G21" i="1"/>
  <c r="N19" i="2"/>
  <c r="G22" i="2"/>
  <c r="B23" i="2"/>
  <c r="D15" i="2" l="1" a="1"/>
  <c r="D15" i="2" s="1"/>
  <c r="B23" i="1"/>
  <c r="G22" i="1"/>
  <c r="B24" i="2"/>
  <c r="G23" i="2"/>
  <c r="W16" i="2" l="1"/>
  <c r="X16" i="2" s="1"/>
  <c r="F16" i="2"/>
  <c r="I16" i="2"/>
  <c r="L16" i="2"/>
  <c r="N20" i="2" s="1"/>
  <c r="C16" i="2"/>
  <c r="H16" i="2"/>
  <c r="A15" i="2"/>
  <c r="B24" i="1"/>
  <c r="G23" i="1"/>
  <c r="J16" i="2"/>
  <c r="K16" i="2" s="1"/>
  <c r="B25" i="2"/>
  <c r="G24" i="2"/>
  <c r="M20" i="2" l="1"/>
  <c r="O16" i="2"/>
  <c r="P16" i="2" s="1"/>
  <c r="B25" i="1"/>
  <c r="G24" i="1"/>
  <c r="D16" i="2" a="1"/>
  <c r="D16" i="2" s="1"/>
  <c r="B26" i="2"/>
  <c r="G25" i="2"/>
  <c r="H17" i="2" l="1"/>
  <c r="E17" i="2"/>
  <c r="F17" i="2" s="1"/>
  <c r="B26" i="1"/>
  <c r="G25" i="1"/>
  <c r="C17" i="2"/>
  <c r="W17" i="2"/>
  <c r="X17" i="2" s="1"/>
  <c r="A16" i="2"/>
  <c r="L17" i="2"/>
  <c r="M21" i="2" s="1"/>
  <c r="I17" i="2"/>
  <c r="J17" i="2" s="1"/>
  <c r="K17" i="2" s="1"/>
  <c r="G26" i="2"/>
  <c r="B27" i="2"/>
  <c r="O17" i="2" l="1"/>
  <c r="P17" i="2" s="1"/>
  <c r="G26" i="1"/>
  <c r="B27" i="1"/>
  <c r="N21" i="2"/>
  <c r="D17" i="2" a="1"/>
  <c r="D17" i="2" s="1"/>
  <c r="B28" i="2"/>
  <c r="G27" i="2"/>
  <c r="W18" i="2" l="1"/>
  <c r="X18" i="2" s="1"/>
  <c r="E18" i="2"/>
  <c r="F18" i="2" s="1"/>
  <c r="G27" i="1"/>
  <c r="B28" i="1"/>
  <c r="A17" i="2"/>
  <c r="C18" i="2"/>
  <c r="L18" i="2"/>
  <c r="H18" i="2"/>
  <c r="I18" i="2"/>
  <c r="B29" i="2"/>
  <c r="G28" i="2"/>
  <c r="G28" i="1" l="1"/>
  <c r="B29" i="1"/>
  <c r="J18" i="2"/>
  <c r="K18" i="2" s="1"/>
  <c r="O18" i="2" s="1"/>
  <c r="P18" i="2" s="1"/>
  <c r="M22" i="2"/>
  <c r="N22" i="2"/>
  <c r="G29" i="2"/>
  <c r="B30" i="2"/>
  <c r="G29" i="1" l="1"/>
  <c r="B30" i="1"/>
  <c r="D18" i="2" a="1"/>
  <c r="D18" i="2" s="1"/>
  <c r="B31" i="2"/>
  <c r="G30" i="2"/>
  <c r="W19" i="2" l="1"/>
  <c r="X19" i="2" s="1"/>
  <c r="E19" i="2"/>
  <c r="F19" i="2" s="1"/>
  <c r="G30" i="1"/>
  <c r="B31" i="1"/>
  <c r="H19" i="2"/>
  <c r="C19" i="2"/>
  <c r="L19" i="2"/>
  <c r="I19" i="2"/>
  <c r="A18" i="2"/>
  <c r="B32" i="2"/>
  <c r="G31" i="2"/>
  <c r="B32" i="1" l="1"/>
  <c r="G31" i="1"/>
  <c r="N23" i="2"/>
  <c r="M23" i="2"/>
  <c r="J19" i="2"/>
  <c r="G32" i="2"/>
  <c r="B33" i="2"/>
  <c r="B33" i="1" l="1"/>
  <c r="G32" i="1"/>
  <c r="K19" i="2"/>
  <c r="O19" i="2" s="1"/>
  <c r="P19" i="2" s="1"/>
  <c r="G33" i="2"/>
  <c r="B34" i="2"/>
  <c r="G33" i="1" l="1"/>
  <c r="B34" i="1"/>
  <c r="D19" i="2" a="1"/>
  <c r="D19" i="2" s="1"/>
  <c r="E20" i="2" s="1"/>
  <c r="F20" i="2" s="1"/>
  <c r="B35" i="2"/>
  <c r="G34" i="2"/>
  <c r="B35" i="1" l="1"/>
  <c r="G34" i="1"/>
  <c r="A19" i="2"/>
  <c r="W20" i="2"/>
  <c r="X20" i="2" s="1"/>
  <c r="C20" i="2"/>
  <c r="H20" i="2"/>
  <c r="I20" i="2"/>
  <c r="L20" i="2"/>
  <c r="N24" i="2" s="1"/>
  <c r="G35" i="2"/>
  <c r="B36" i="2"/>
  <c r="G35" i="1" l="1"/>
  <c r="B36" i="1"/>
  <c r="M24" i="2"/>
  <c r="J20" i="2"/>
  <c r="K20" i="2" s="1"/>
  <c r="O20" i="2" s="1"/>
  <c r="P20" i="2" s="1"/>
  <c r="G36" i="2"/>
  <c r="B37" i="2"/>
  <c r="D20" i="2" l="1" a="1"/>
  <c r="D20" i="2" s="1"/>
  <c r="B37" i="1"/>
  <c r="G36" i="1"/>
  <c r="H21" i="2"/>
  <c r="G37" i="2"/>
  <c r="F37" i="2"/>
  <c r="B38" i="2"/>
  <c r="E37" i="2"/>
  <c r="W21" i="2" l="1"/>
  <c r="X21" i="2" s="1"/>
  <c r="E21" i="2"/>
  <c r="F21" i="2" s="1"/>
  <c r="I21" i="2"/>
  <c r="C21" i="2"/>
  <c r="L21" i="2"/>
  <c r="M25" i="2" s="1"/>
  <c r="J21" i="2"/>
  <c r="K21" i="2" s="1"/>
  <c r="A20" i="2"/>
  <c r="G37" i="1"/>
  <c r="B38" i="1"/>
  <c r="B39" i="2"/>
  <c r="G38" i="2"/>
  <c r="F38" i="2"/>
  <c r="E38" i="2"/>
  <c r="N25" i="2" l="1"/>
  <c r="B39" i="1"/>
  <c r="G38" i="1"/>
  <c r="O21" i="2"/>
  <c r="P21" i="2" s="1"/>
  <c r="D21" i="2" a="1"/>
  <c r="D21" i="2" s="1"/>
  <c r="E39" i="2"/>
  <c r="G39" i="2"/>
  <c r="F39" i="2"/>
  <c r="B40" i="2"/>
  <c r="W22" i="2" l="1"/>
  <c r="X22" i="2" s="1"/>
  <c r="E22" i="2"/>
  <c r="F22" i="2" s="1"/>
  <c r="B40" i="1"/>
  <c r="G39" i="1"/>
  <c r="L22" i="2"/>
  <c r="I22" i="2"/>
  <c r="H22" i="2"/>
  <c r="C22" i="2"/>
  <c r="A21" i="2"/>
  <c r="G40" i="2"/>
  <c r="B41" i="2"/>
  <c r="F40" i="2"/>
  <c r="E40" i="2"/>
  <c r="G40" i="1" l="1"/>
  <c r="B41" i="1"/>
  <c r="J22" i="2"/>
  <c r="K22" i="2"/>
  <c r="O22" i="2" s="1"/>
  <c r="P22" i="2" s="1"/>
  <c r="M26" i="2"/>
  <c r="N26" i="2"/>
  <c r="B42" i="2"/>
  <c r="G41" i="2"/>
  <c r="F41" i="2"/>
  <c r="E41" i="2"/>
  <c r="B42" i="1" l="1"/>
  <c r="G41" i="1"/>
  <c r="D22" i="2" a="1"/>
  <c r="D22" i="2" s="1"/>
  <c r="G42" i="2"/>
  <c r="E42" i="2"/>
  <c r="B43" i="2"/>
  <c r="F42" i="2"/>
  <c r="W23" i="2" l="1"/>
  <c r="X23" i="2" s="1"/>
  <c r="E23" i="2"/>
  <c r="F23" i="2" s="1"/>
  <c r="F42" i="1"/>
  <c r="E42" i="1"/>
  <c r="B43" i="1"/>
  <c r="G42" i="1"/>
  <c r="H23" i="2"/>
  <c r="A22" i="2"/>
  <c r="C23" i="2"/>
  <c r="I23" i="2"/>
  <c r="L23" i="2"/>
  <c r="F43" i="2"/>
  <c r="E43" i="2"/>
  <c r="G43" i="2"/>
  <c r="B44" i="2"/>
  <c r="F43" i="1" l="1"/>
  <c r="E43" i="1"/>
  <c r="G43" i="1"/>
  <c r="B44" i="1"/>
  <c r="M27" i="2"/>
  <c r="N27" i="2"/>
  <c r="J23" i="2"/>
  <c r="F44" i="2"/>
  <c r="B45" i="2"/>
  <c r="E44" i="2"/>
  <c r="G44" i="2"/>
  <c r="E44" i="1" l="1"/>
  <c r="F44" i="1"/>
  <c r="G44" i="1"/>
  <c r="B45" i="1"/>
  <c r="K23" i="2"/>
  <c r="O23" i="2" s="1"/>
  <c r="P23" i="2" s="1"/>
  <c r="B46" i="2"/>
  <c r="G45" i="2"/>
  <c r="F45" i="2"/>
  <c r="E45" i="2"/>
  <c r="F45" i="1" l="1"/>
  <c r="E45" i="1"/>
  <c r="B46" i="1"/>
  <c r="G45" i="1"/>
  <c r="D23" i="2" a="1"/>
  <c r="D23" i="2" s="1"/>
  <c r="E46" i="2"/>
  <c r="F46" i="2"/>
  <c r="B47" i="2"/>
  <c r="G46" i="2"/>
  <c r="W24" i="2" l="1"/>
  <c r="X24" i="2" s="1"/>
  <c r="E24" i="2"/>
  <c r="F24" i="2" s="1"/>
  <c r="E46" i="1"/>
  <c r="B47" i="1"/>
  <c r="F46" i="1"/>
  <c r="G46" i="1"/>
  <c r="H24" i="2"/>
  <c r="L24" i="2"/>
  <c r="C24" i="2"/>
  <c r="A23" i="2"/>
  <c r="I24" i="2"/>
  <c r="E47" i="2"/>
  <c r="G47" i="2"/>
  <c r="B48" i="2"/>
  <c r="F47" i="2"/>
  <c r="F47" i="1" l="1"/>
  <c r="E47" i="1"/>
  <c r="G47" i="1"/>
  <c r="B48" i="1"/>
  <c r="J24" i="2"/>
  <c r="K24" i="2" s="1"/>
  <c r="O24" i="2" s="1"/>
  <c r="P24" i="2" s="1"/>
  <c r="N28" i="2"/>
  <c r="M28" i="2"/>
  <c r="B49" i="2"/>
  <c r="G48" i="2"/>
  <c r="F48" i="2"/>
  <c r="E48" i="2"/>
  <c r="F48" i="1" l="1"/>
  <c r="B49" i="1"/>
  <c r="E48" i="1"/>
  <c r="G48" i="1"/>
  <c r="D24" i="2" a="1"/>
  <c r="D24" i="2" s="1"/>
  <c r="G49" i="2"/>
  <c r="F49" i="2"/>
  <c r="E49" i="2"/>
  <c r="B50" i="2"/>
  <c r="W25" i="2" l="1"/>
  <c r="X25" i="2" s="1"/>
  <c r="E25" i="2"/>
  <c r="F25" i="2" s="1"/>
  <c r="G49" i="1"/>
  <c r="B50" i="1"/>
  <c r="E49" i="1"/>
  <c r="F49" i="1"/>
  <c r="A24" i="2"/>
  <c r="I25" i="2"/>
  <c r="L25" i="2"/>
  <c r="M29" i="2" s="1"/>
  <c r="C25" i="2"/>
  <c r="H25" i="2"/>
  <c r="J25" i="2" s="1"/>
  <c r="F50" i="2"/>
  <c r="E50" i="2"/>
  <c r="B51" i="2"/>
  <c r="G50" i="2"/>
  <c r="N29" i="2" l="1"/>
  <c r="F50" i="1"/>
  <c r="E50" i="1"/>
  <c r="B51" i="1"/>
  <c r="G50" i="1"/>
  <c r="K25" i="2"/>
  <c r="O25" i="2" s="1"/>
  <c r="P25" i="2" s="1"/>
  <c r="G51" i="2"/>
  <c r="E51" i="2"/>
  <c r="F51" i="2"/>
  <c r="B52" i="2"/>
  <c r="E51" i="1" l="1"/>
  <c r="B52" i="1"/>
  <c r="F51" i="1"/>
  <c r="G51" i="1"/>
  <c r="D25" i="2" a="1"/>
  <c r="D25" i="2" s="1"/>
  <c r="B53" i="2"/>
  <c r="G52" i="2"/>
  <c r="F52" i="2"/>
  <c r="E52" i="2"/>
  <c r="W26" i="2" l="1"/>
  <c r="X26" i="2" s="1"/>
  <c r="E26" i="2"/>
  <c r="F26" i="2" s="1"/>
  <c r="F52" i="1"/>
  <c r="B53" i="1"/>
  <c r="E52" i="1"/>
  <c r="G52" i="1"/>
  <c r="H26" i="2"/>
  <c r="C26" i="2"/>
  <c r="I26" i="2"/>
  <c r="A25" i="2"/>
  <c r="L26" i="2"/>
  <c r="E53" i="2"/>
  <c r="F53" i="2"/>
  <c r="B54" i="2"/>
  <c r="G53" i="2"/>
  <c r="E53" i="1" l="1"/>
  <c r="G53" i="1"/>
  <c r="F53" i="1"/>
  <c r="B54" i="1"/>
  <c r="M30" i="2"/>
  <c r="N30" i="2"/>
  <c r="J26" i="2"/>
  <c r="K26" i="2" s="1"/>
  <c r="O26" i="2" s="1"/>
  <c r="P26" i="2" s="1"/>
  <c r="G54" i="2"/>
  <c r="F54" i="2"/>
  <c r="B55" i="2"/>
  <c r="E54" i="2"/>
  <c r="B55" i="1" l="1"/>
  <c r="E54" i="1"/>
  <c r="G54" i="1"/>
  <c r="F54" i="1"/>
  <c r="D26" i="2" a="1"/>
  <c r="D26" i="2" s="1"/>
  <c r="B56" i="2"/>
  <c r="G55" i="2"/>
  <c r="F55" i="2"/>
  <c r="E55" i="2"/>
  <c r="W27" i="2" l="1"/>
  <c r="X27" i="2" s="1"/>
  <c r="E27" i="2"/>
  <c r="F27" i="2" s="1"/>
  <c r="F55" i="1"/>
  <c r="G55" i="1"/>
  <c r="B56" i="1"/>
  <c r="E55" i="1"/>
  <c r="C27" i="2"/>
  <c r="L27" i="2"/>
  <c r="I27" i="2"/>
  <c r="A26" i="2"/>
  <c r="H27" i="2"/>
  <c r="F56" i="2"/>
  <c r="G56" i="2"/>
  <c r="E56" i="2"/>
  <c r="B57" i="2"/>
  <c r="E56" i="1" l="1"/>
  <c r="G56" i="1"/>
  <c r="F56" i="1"/>
  <c r="B57" i="1"/>
  <c r="J27" i="2"/>
  <c r="K27" i="2" s="1"/>
  <c r="O27" i="2" s="1"/>
  <c r="P27" i="2" s="1"/>
  <c r="N31" i="2"/>
  <c r="M31" i="2"/>
  <c r="F57" i="2"/>
  <c r="E57" i="2"/>
  <c r="B58" i="2"/>
  <c r="G57" i="2"/>
  <c r="E57" i="1" l="1"/>
  <c r="F57" i="1"/>
  <c r="B58" i="1"/>
  <c r="G57" i="1"/>
  <c r="D27" i="2" a="1"/>
  <c r="D27" i="2" s="1"/>
  <c r="E58" i="2"/>
  <c r="B59" i="2"/>
  <c r="G58" i="2"/>
  <c r="F58" i="2"/>
  <c r="W28" i="2" l="1"/>
  <c r="X28" i="2" s="1"/>
  <c r="E28" i="2"/>
  <c r="F28" i="2" s="1"/>
  <c r="B59" i="1"/>
  <c r="G58" i="1"/>
  <c r="E58" i="1"/>
  <c r="F58" i="1"/>
  <c r="A27" i="2"/>
  <c r="H28" i="2"/>
  <c r="C28" i="2"/>
  <c r="I28" i="2"/>
  <c r="L28" i="2"/>
  <c r="B60" i="2"/>
  <c r="G59" i="2"/>
  <c r="E59" i="2"/>
  <c r="F59" i="2"/>
  <c r="F59" i="1" l="1"/>
  <c r="E59" i="1"/>
  <c r="G59" i="1"/>
  <c r="B60" i="1"/>
  <c r="J28" i="2"/>
  <c r="M32" i="2"/>
  <c r="N32" i="2"/>
  <c r="E60" i="2"/>
  <c r="B61" i="2"/>
  <c r="G60" i="2"/>
  <c r="F60" i="2"/>
  <c r="G60" i="1" l="1"/>
  <c r="B61" i="1"/>
  <c r="E60" i="1"/>
  <c r="F60" i="1"/>
  <c r="K28" i="2"/>
  <c r="O28" i="2" s="1"/>
  <c r="P28" i="2" s="1"/>
  <c r="F61" i="2"/>
  <c r="G61" i="2"/>
  <c r="B62" i="2"/>
  <c r="E61" i="2"/>
  <c r="G61" i="1" l="1"/>
  <c r="B62" i="1"/>
  <c r="F61" i="1"/>
  <c r="E61" i="1"/>
  <c r="D28" i="2" a="1"/>
  <c r="D28" i="2" s="1"/>
  <c r="B63" i="2"/>
  <c r="G62" i="2"/>
  <c r="F62" i="2"/>
  <c r="E62" i="2"/>
  <c r="W29" i="2" l="1"/>
  <c r="X29" i="2" s="1"/>
  <c r="E29" i="2"/>
  <c r="F29" i="2" s="1"/>
  <c r="B63" i="1"/>
  <c r="G62" i="1"/>
  <c r="E62" i="1"/>
  <c r="F62" i="1"/>
  <c r="A28" i="2"/>
  <c r="L29" i="2"/>
  <c r="H29" i="2"/>
  <c r="C29" i="2"/>
  <c r="I29" i="2"/>
  <c r="F63" i="2"/>
  <c r="G63" i="2"/>
  <c r="B64" i="2"/>
  <c r="E63" i="2"/>
  <c r="E63" i="1" l="1"/>
  <c r="B64" i="1"/>
  <c r="F63" i="1"/>
  <c r="G63" i="1"/>
  <c r="J29" i="2"/>
  <c r="K29" i="2" s="1"/>
  <c r="M33" i="2"/>
  <c r="N33" i="2"/>
  <c r="F64" i="2"/>
  <c r="E64" i="2"/>
  <c r="G64" i="2"/>
  <c r="B65" i="2"/>
  <c r="G64" i="1" l="1"/>
  <c r="B65" i="1"/>
  <c r="F64" i="1"/>
  <c r="E64" i="1"/>
  <c r="O29" i="2"/>
  <c r="P29" i="2" s="1"/>
  <c r="D29" i="2" a="1"/>
  <c r="D29" i="2" s="1"/>
  <c r="E65" i="2"/>
  <c r="G65" i="2"/>
  <c r="F65" i="2"/>
  <c r="B66" i="2"/>
  <c r="W30" i="2" l="1"/>
  <c r="X30" i="2" s="1"/>
  <c r="E30" i="2"/>
  <c r="F30" i="2" s="1"/>
  <c r="B66" i="1"/>
  <c r="F65" i="1"/>
  <c r="G65" i="1"/>
  <c r="E65" i="1"/>
  <c r="A29" i="2"/>
  <c r="H30" i="2"/>
  <c r="C30" i="2"/>
  <c r="I30" i="2"/>
  <c r="L30" i="2"/>
  <c r="B67" i="2"/>
  <c r="G66" i="2"/>
  <c r="F66" i="2"/>
  <c r="E66" i="2"/>
  <c r="F66" i="1" l="1"/>
  <c r="E66" i="1"/>
  <c r="G66" i="1"/>
  <c r="B67" i="1"/>
  <c r="M34" i="2"/>
  <c r="N34" i="2"/>
  <c r="J30" i="2"/>
  <c r="E67" i="2"/>
  <c r="B68" i="2"/>
  <c r="G67" i="2"/>
  <c r="F67" i="2"/>
  <c r="G67" i="1" l="1"/>
  <c r="B68" i="1"/>
  <c r="F67" i="1"/>
  <c r="E67" i="1"/>
  <c r="K30" i="2"/>
  <c r="O30" i="2" s="1"/>
  <c r="P30" i="2" s="1"/>
  <c r="F68" i="2"/>
  <c r="E68" i="2"/>
  <c r="B69" i="2"/>
  <c r="G68" i="2"/>
  <c r="G68" i="1" l="1"/>
  <c r="F68" i="1"/>
  <c r="B69" i="1"/>
  <c r="E68" i="1"/>
  <c r="D30" i="2" a="1"/>
  <c r="D30" i="2" s="1"/>
  <c r="B70" i="2"/>
  <c r="G69" i="2"/>
  <c r="F69" i="2"/>
  <c r="E69" i="2"/>
  <c r="W31" i="2" l="1"/>
  <c r="X31" i="2" s="1"/>
  <c r="E31" i="2"/>
  <c r="F31" i="2" s="1"/>
  <c r="G69" i="1"/>
  <c r="F69" i="1"/>
  <c r="E69" i="1"/>
  <c r="B70" i="1"/>
  <c r="A30" i="2"/>
  <c r="C31" i="2"/>
  <c r="H31" i="2"/>
  <c r="I31" i="2"/>
  <c r="L31" i="2"/>
  <c r="G70" i="2"/>
  <c r="F70" i="2"/>
  <c r="E70" i="2"/>
  <c r="B71" i="2"/>
  <c r="B71" i="1" l="1"/>
  <c r="F70" i="1"/>
  <c r="E70" i="1"/>
  <c r="G70" i="1"/>
  <c r="M35" i="2"/>
  <c r="N35" i="2"/>
  <c r="J31" i="2"/>
  <c r="B72" i="2"/>
  <c r="E71" i="2"/>
  <c r="G71" i="2"/>
  <c r="F71" i="2"/>
  <c r="E71" i="1" l="1"/>
  <c r="G71" i="1"/>
  <c r="B72" i="1"/>
  <c r="F71" i="1"/>
  <c r="K31" i="2"/>
  <c r="O31" i="2" s="1"/>
  <c r="P31" i="2" s="1"/>
  <c r="B73" i="2"/>
  <c r="F72" i="2"/>
  <c r="E72" i="2"/>
  <c r="G72" i="2"/>
  <c r="G72" i="1" l="1"/>
  <c r="F72" i="1"/>
  <c r="E72" i="1"/>
  <c r="B73" i="1"/>
  <c r="D31" i="2" a="1"/>
  <c r="D31" i="2" s="1"/>
  <c r="E32" i="2" s="1"/>
  <c r="F32" i="2" s="1"/>
  <c r="G73" i="2"/>
  <c r="F73" i="2"/>
  <c r="E73" i="2"/>
  <c r="B74" i="2"/>
  <c r="E73" i="1" l="1"/>
  <c r="B74" i="1"/>
  <c r="F73" i="1"/>
  <c r="G73" i="1"/>
  <c r="H32" i="2"/>
  <c r="J32" i="2" s="1"/>
  <c r="W32" i="2"/>
  <c r="X32" i="2" s="1"/>
  <c r="L32" i="2"/>
  <c r="M36" i="2" s="1"/>
  <c r="A31" i="2"/>
  <c r="C32" i="2"/>
  <c r="I32" i="2"/>
  <c r="F74" i="2"/>
  <c r="E74" i="2"/>
  <c r="B75" i="2"/>
  <c r="G74" i="2"/>
  <c r="N36" i="2" l="1"/>
  <c r="B75" i="1"/>
  <c r="F74" i="1"/>
  <c r="E74" i="1"/>
  <c r="G74" i="1"/>
  <c r="K32" i="2"/>
  <c r="O32" i="2" s="1"/>
  <c r="P32" i="2" s="1"/>
  <c r="B76" i="2"/>
  <c r="E75" i="2"/>
  <c r="G75" i="2"/>
  <c r="F75" i="2"/>
  <c r="F75" i="1" l="1"/>
  <c r="G75" i="1"/>
  <c r="E75" i="1"/>
  <c r="B76" i="1"/>
  <c r="D32" i="2" a="1"/>
  <c r="D32" i="2" s="1"/>
  <c r="B77" i="2"/>
  <c r="G76" i="2"/>
  <c r="F76" i="2"/>
  <c r="E76" i="2"/>
  <c r="W33" i="2" l="1"/>
  <c r="X33" i="2" s="1"/>
  <c r="E33" i="2"/>
  <c r="F33" i="2" s="1"/>
  <c r="B77" i="1"/>
  <c r="F76" i="1"/>
  <c r="G76" i="1"/>
  <c r="E76" i="1"/>
  <c r="H33" i="2"/>
  <c r="L33" i="2"/>
  <c r="A32" i="2"/>
  <c r="C33" i="2"/>
  <c r="I33" i="2"/>
  <c r="E77" i="2"/>
  <c r="F77" i="2"/>
  <c r="G77" i="2"/>
  <c r="B78" i="2"/>
  <c r="E77" i="1" l="1"/>
  <c r="G77" i="1"/>
  <c r="B78" i="1"/>
  <c r="F77" i="1"/>
  <c r="M37" i="2"/>
  <c r="N37" i="2"/>
  <c r="J33" i="2"/>
  <c r="G78" i="2"/>
  <c r="B79" i="2"/>
  <c r="F78" i="2"/>
  <c r="E78" i="2"/>
  <c r="B79" i="1" l="1"/>
  <c r="G78" i="1"/>
  <c r="F78" i="1"/>
  <c r="E78" i="1"/>
  <c r="K33" i="2"/>
  <c r="O33" i="2" s="1"/>
  <c r="P33" i="2" s="1"/>
  <c r="B80" i="2"/>
  <c r="G79" i="2"/>
  <c r="F79" i="2"/>
  <c r="E79" i="2"/>
  <c r="F79" i="1" l="1"/>
  <c r="E79" i="1"/>
  <c r="B80" i="1"/>
  <c r="G79" i="1"/>
  <c r="D33" i="2" a="1"/>
  <c r="D33" i="2" s="1"/>
  <c r="G80" i="2"/>
  <c r="B81" i="2"/>
  <c r="E80" i="2"/>
  <c r="F80" i="2"/>
  <c r="W34" i="2" l="1"/>
  <c r="X34" i="2" s="1"/>
  <c r="E34" i="2"/>
  <c r="F34" i="2" s="1"/>
  <c r="F80" i="1"/>
  <c r="B81" i="1"/>
  <c r="G80" i="1"/>
  <c r="E80" i="1"/>
  <c r="I34" i="2"/>
  <c r="H34" i="2"/>
  <c r="J34" i="2" s="1"/>
  <c r="A33" i="2"/>
  <c r="L34" i="2"/>
  <c r="C34" i="2"/>
  <c r="F81" i="2"/>
  <c r="E81" i="2"/>
  <c r="G81" i="2"/>
  <c r="B82" i="2"/>
  <c r="G81" i="1" l="1"/>
  <c r="F81" i="1"/>
  <c r="B82" i="1"/>
  <c r="E81" i="1"/>
  <c r="K34" i="2"/>
  <c r="N38" i="2"/>
  <c r="M38" i="2"/>
  <c r="B83" i="2"/>
  <c r="E82" i="2"/>
  <c r="G82" i="2"/>
  <c r="F82" i="2"/>
  <c r="F82" i="1" l="1"/>
  <c r="E82" i="1"/>
  <c r="B83" i="1"/>
  <c r="G82" i="1"/>
  <c r="O34" i="2"/>
  <c r="P34" i="2" s="1"/>
  <c r="D34" i="2" a="1"/>
  <c r="D34" i="2" s="1"/>
  <c r="B84" i="2"/>
  <c r="G83" i="2"/>
  <c r="F83" i="2"/>
  <c r="E83" i="2"/>
  <c r="W35" i="2" l="1"/>
  <c r="X35" i="2" s="1"/>
  <c r="E35" i="2"/>
  <c r="F35" i="2" s="1"/>
  <c r="E83" i="1"/>
  <c r="B84" i="1"/>
  <c r="F83" i="1"/>
  <c r="G83" i="1"/>
  <c r="A34" i="2"/>
  <c r="I35" i="2"/>
  <c r="H35" i="2"/>
  <c r="C35" i="2"/>
  <c r="L35" i="2"/>
  <c r="E84" i="2"/>
  <c r="F84" i="2"/>
  <c r="G84" i="2"/>
  <c r="B85" i="2"/>
  <c r="B85" i="1" l="1"/>
  <c r="G84" i="1"/>
  <c r="F84" i="1"/>
  <c r="E84" i="1"/>
  <c r="J35" i="2"/>
  <c r="K35" i="2" s="1"/>
  <c r="O35" i="2" s="1"/>
  <c r="P35" i="2" s="1"/>
  <c r="M39" i="2"/>
  <c r="N39" i="2"/>
  <c r="F85" i="2"/>
  <c r="E85" i="2"/>
  <c r="B86" i="2"/>
  <c r="G85" i="2"/>
  <c r="G85" i="1" l="1"/>
  <c r="F85" i="1"/>
  <c r="E85" i="1"/>
  <c r="B86" i="1"/>
  <c r="D35" i="2" a="1"/>
  <c r="D35" i="2" s="1"/>
  <c r="B87" i="2"/>
  <c r="G86" i="2"/>
  <c r="E86" i="2"/>
  <c r="F86" i="2"/>
  <c r="W36" i="2" l="1"/>
  <c r="X36" i="2" s="1"/>
  <c r="E36" i="2"/>
  <c r="B87" i="1"/>
  <c r="E86" i="1"/>
  <c r="F86" i="1"/>
  <c r="G86" i="1"/>
  <c r="C36" i="2"/>
  <c r="H36" i="2"/>
  <c r="L36" i="2"/>
  <c r="A35" i="2"/>
  <c r="I36" i="2"/>
  <c r="E87" i="2"/>
  <c r="G87" i="2"/>
  <c r="F87" i="2"/>
  <c r="B88" i="2"/>
  <c r="F87" i="1" l="1"/>
  <c r="B88" i="1"/>
  <c r="G87" i="1"/>
  <c r="E87" i="1"/>
  <c r="J36" i="2"/>
  <c r="K36" i="2" s="1"/>
  <c r="O36" i="2" s="1"/>
  <c r="P36" i="2" s="1"/>
  <c r="M40" i="2"/>
  <c r="N40" i="2"/>
  <c r="F88" i="2"/>
  <c r="E88" i="2"/>
  <c r="B89" i="2"/>
  <c r="G88" i="2"/>
  <c r="G88" i="1" l="1"/>
  <c r="B89" i="1"/>
  <c r="F88" i="1"/>
  <c r="E88" i="1"/>
  <c r="D36" i="2" a="1"/>
  <c r="D36" i="2" s="1"/>
  <c r="I37" i="2" s="1"/>
  <c r="F89" i="2"/>
  <c r="G89" i="2"/>
  <c r="E89" i="2"/>
  <c r="B90" i="2"/>
  <c r="H37" i="2" l="1"/>
  <c r="B90" i="1"/>
  <c r="G89" i="1"/>
  <c r="E89" i="1"/>
  <c r="F89" i="1"/>
  <c r="L37" i="2"/>
  <c r="N41" i="2" s="1"/>
  <c r="A36" i="2"/>
  <c r="W37" i="2"/>
  <c r="X37" i="2" s="1"/>
  <c r="C37" i="2"/>
  <c r="M41" i="2"/>
  <c r="J37" i="2"/>
  <c r="B91" i="2"/>
  <c r="G90" i="2"/>
  <c r="F90" i="2"/>
  <c r="E90" i="2"/>
  <c r="B91" i="1" l="1"/>
  <c r="F90" i="1"/>
  <c r="G90" i="1"/>
  <c r="E90" i="1"/>
  <c r="K37" i="2"/>
  <c r="O37" i="2" s="1"/>
  <c r="P37" i="2" s="1"/>
  <c r="E91" i="2"/>
  <c r="G91" i="2"/>
  <c r="B92" i="2"/>
  <c r="F91" i="2"/>
  <c r="B92" i="1" l="1"/>
  <c r="G91" i="1"/>
  <c r="F91" i="1"/>
  <c r="E91" i="1"/>
  <c r="D37" i="2" a="1"/>
  <c r="D37" i="2" s="1"/>
  <c r="W38" i="2" s="1"/>
  <c r="X38" i="2" s="1"/>
  <c r="G92" i="2"/>
  <c r="B93" i="2"/>
  <c r="F92" i="2"/>
  <c r="E92" i="2"/>
  <c r="B93" i="1" l="1"/>
  <c r="G92" i="1"/>
  <c r="E92" i="1"/>
  <c r="F92" i="1"/>
  <c r="L38" i="2"/>
  <c r="C38" i="2"/>
  <c r="H38" i="2"/>
  <c r="A37" i="2"/>
  <c r="I38" i="2"/>
  <c r="E93" i="2"/>
  <c r="G93" i="2"/>
  <c r="B94" i="2"/>
  <c r="F93" i="2"/>
  <c r="G93" i="1" l="1"/>
  <c r="F93" i="1"/>
  <c r="E93" i="1"/>
  <c r="B94" i="1"/>
  <c r="J38" i="2"/>
  <c r="K38" i="2" s="1"/>
  <c r="O38" i="2" s="1"/>
  <c r="P38" i="2" s="1"/>
  <c r="M42" i="2"/>
  <c r="N42" i="2"/>
  <c r="F94" i="2"/>
  <c r="E94" i="2"/>
  <c r="B95" i="2"/>
  <c r="G94" i="2"/>
  <c r="B95" i="1" l="1"/>
  <c r="E94" i="1"/>
  <c r="G94" i="1"/>
  <c r="F94" i="1"/>
  <c r="D38" i="2" a="1"/>
  <c r="D38" i="2" s="1"/>
  <c r="W39" i="2" s="1"/>
  <c r="X39" i="2" s="1"/>
  <c r="B96" i="2"/>
  <c r="G95" i="2"/>
  <c r="E95" i="2"/>
  <c r="F95" i="2"/>
  <c r="H39" i="2" l="1"/>
  <c r="G95" i="1"/>
  <c r="F95" i="1"/>
  <c r="B96" i="1"/>
  <c r="E95" i="1"/>
  <c r="L39" i="2"/>
  <c r="M43" i="2" s="1"/>
  <c r="I39" i="2"/>
  <c r="J39" i="2" s="1"/>
  <c r="C39" i="2"/>
  <c r="A38" i="2"/>
  <c r="G96" i="2"/>
  <c r="F96" i="2"/>
  <c r="E96" i="2"/>
  <c r="B97" i="2"/>
  <c r="N43" i="2" l="1"/>
  <c r="G96" i="1"/>
  <c r="B97" i="1"/>
  <c r="E96" i="1"/>
  <c r="F96" i="1"/>
  <c r="K39" i="2"/>
  <c r="O39" i="2" s="1"/>
  <c r="P39" i="2" s="1"/>
  <c r="F97" i="2"/>
  <c r="E97" i="2"/>
  <c r="G97" i="2"/>
  <c r="B98" i="2"/>
  <c r="D39" i="2" l="1" a="1"/>
  <c r="D39" i="2" s="1"/>
  <c r="W40" i="2" s="1"/>
  <c r="X40" i="2" s="1"/>
  <c r="G97" i="1"/>
  <c r="F97" i="1"/>
  <c r="E97" i="1"/>
  <c r="B98" i="1"/>
  <c r="L40" i="2"/>
  <c r="C40" i="2"/>
  <c r="I40" i="2"/>
  <c r="H40" i="2"/>
  <c r="A39" i="2"/>
  <c r="F98" i="2"/>
  <c r="B99" i="2"/>
  <c r="G98" i="2"/>
  <c r="E98" i="2"/>
  <c r="B99" i="1" l="1"/>
  <c r="G98" i="1"/>
  <c r="F98" i="1"/>
  <c r="E98" i="1"/>
  <c r="J40" i="2"/>
  <c r="N44" i="2"/>
  <c r="M44" i="2"/>
  <c r="E99" i="2"/>
  <c r="B100" i="2"/>
  <c r="G99" i="2"/>
  <c r="F99" i="2"/>
  <c r="G99" i="1" l="1"/>
  <c r="F99" i="1"/>
  <c r="E99" i="1"/>
  <c r="B100" i="1"/>
  <c r="K40" i="2"/>
  <c r="O40" i="2" s="1"/>
  <c r="P40" i="2" s="1"/>
  <c r="D40" i="2" a="1"/>
  <c r="D40" i="2" s="1"/>
  <c r="W41" i="2" s="1"/>
  <c r="X41" i="2" s="1"/>
  <c r="F100" i="2"/>
  <c r="E100" i="2"/>
  <c r="G100" i="2"/>
  <c r="B101" i="2"/>
  <c r="G100" i="1" l="1"/>
  <c r="F100" i="1"/>
  <c r="E100" i="1"/>
  <c r="B101" i="1"/>
  <c r="H41" i="2"/>
  <c r="I41" i="2"/>
  <c r="A40" i="2"/>
  <c r="L41" i="2"/>
  <c r="C41" i="2"/>
  <c r="G101" i="2"/>
  <c r="F101" i="2"/>
  <c r="E101" i="2"/>
  <c r="B102" i="2"/>
  <c r="F101" i="1" l="1"/>
  <c r="G101" i="1"/>
  <c r="E101" i="1"/>
  <c r="B102" i="1"/>
  <c r="N45" i="2"/>
  <c r="M45" i="2"/>
  <c r="J41" i="2"/>
  <c r="B103" i="2"/>
  <c r="G102" i="2"/>
  <c r="E102" i="2"/>
  <c r="F102" i="2"/>
  <c r="G102" i="1" l="1"/>
  <c r="F102" i="1"/>
  <c r="B103" i="1"/>
  <c r="E102" i="1"/>
  <c r="K41" i="2"/>
  <c r="O41" i="2" s="1"/>
  <c r="P41" i="2" s="1"/>
  <c r="G103" i="2"/>
  <c r="B104" i="2"/>
  <c r="F103" i="2"/>
  <c r="E103" i="2"/>
  <c r="B104" i="1" l="1"/>
  <c r="G103" i="1"/>
  <c r="F103" i="1"/>
  <c r="E103" i="1"/>
  <c r="D41" i="2" a="1"/>
  <c r="D41" i="2" s="1"/>
  <c r="W42" i="2" s="1"/>
  <c r="X42" i="2" s="1"/>
  <c r="F104" i="2"/>
  <c r="E104" i="2"/>
  <c r="B105" i="2"/>
  <c r="G104" i="2"/>
  <c r="G104" i="1" l="1"/>
  <c r="F104" i="1"/>
  <c r="B105" i="1"/>
  <c r="E104" i="1"/>
  <c r="A41" i="2"/>
  <c r="C42" i="2"/>
  <c r="I42" i="2"/>
  <c r="H42" i="2"/>
  <c r="L42" i="2"/>
  <c r="G105" i="2"/>
  <c r="E105" i="2"/>
  <c r="B106" i="2"/>
  <c r="F105" i="2"/>
  <c r="E105" i="1" l="1"/>
  <c r="B106" i="1"/>
  <c r="G105" i="1"/>
  <c r="F105" i="1"/>
  <c r="M46" i="2"/>
  <c r="N46" i="2"/>
  <c r="J42" i="2"/>
  <c r="K42" i="2" s="1"/>
  <c r="O42" i="2" s="1"/>
  <c r="P42" i="2" s="1"/>
  <c r="F106" i="2"/>
  <c r="G106" i="2"/>
  <c r="E106" i="2"/>
  <c r="B107" i="2"/>
  <c r="F106" i="1" l="1"/>
  <c r="B107" i="1"/>
  <c r="G106" i="1"/>
  <c r="E106" i="1"/>
  <c r="D42" i="2" a="1"/>
  <c r="D42" i="2" s="1"/>
  <c r="W43" i="2" s="1"/>
  <c r="X43" i="2" s="1"/>
  <c r="F107" i="2"/>
  <c r="E107" i="2"/>
  <c r="B108" i="2"/>
  <c r="G107" i="2"/>
  <c r="B108" i="1" l="1"/>
  <c r="F107" i="1"/>
  <c r="E107" i="1"/>
  <c r="G107" i="1"/>
  <c r="H43" i="2"/>
  <c r="C43" i="2"/>
  <c r="L43" i="2"/>
  <c r="M47" i="2" s="1"/>
  <c r="I43" i="2"/>
  <c r="J43" i="2" s="1"/>
  <c r="K43" i="2" s="1"/>
  <c r="O43" i="2" s="1"/>
  <c r="P43" i="2" s="1"/>
  <c r="A42" i="2"/>
  <c r="E108" i="2"/>
  <c r="G108" i="2"/>
  <c r="B109" i="2"/>
  <c r="F108" i="2"/>
  <c r="E108" i="1" l="1"/>
  <c r="F108" i="1"/>
  <c r="G108" i="1"/>
  <c r="B109" i="1"/>
  <c r="N47" i="2"/>
  <c r="D43" i="2" a="1"/>
  <c r="D43" i="2" s="1"/>
  <c r="W44" i="2" s="1"/>
  <c r="X44" i="2" s="1"/>
  <c r="B110" i="2"/>
  <c r="G109" i="2"/>
  <c r="F109" i="2"/>
  <c r="E109" i="2"/>
  <c r="G109" i="1" l="1"/>
  <c r="B110" i="1"/>
  <c r="F109" i="1"/>
  <c r="E109" i="1"/>
  <c r="L44" i="2"/>
  <c r="I44" i="2"/>
  <c r="C44" i="2"/>
  <c r="A43" i="2"/>
  <c r="H44" i="2"/>
  <c r="B111" i="2"/>
  <c r="G110" i="2"/>
  <c r="F110" i="2"/>
  <c r="E110" i="2"/>
  <c r="J44" i="2" l="1"/>
  <c r="K44" i="2" s="1"/>
  <c r="O44" i="2" s="1"/>
  <c r="P44" i="2" s="1"/>
  <c r="G110" i="1"/>
  <c r="B111" i="1"/>
  <c r="F110" i="1"/>
  <c r="E110" i="1"/>
  <c r="M48" i="2"/>
  <c r="N48" i="2"/>
  <c r="F111" i="2"/>
  <c r="G111" i="2"/>
  <c r="E111" i="2"/>
  <c r="B112" i="2"/>
  <c r="D44" i="2" l="1" a="1"/>
  <c r="D44" i="2" s="1"/>
  <c r="W45" i="2" s="1"/>
  <c r="X45" i="2" s="1"/>
  <c r="G111" i="1"/>
  <c r="B112" i="1"/>
  <c r="F111" i="1"/>
  <c r="E111" i="1"/>
  <c r="L45" i="2"/>
  <c r="A44" i="2"/>
  <c r="C45" i="2"/>
  <c r="H45" i="2"/>
  <c r="I45" i="2"/>
  <c r="G112" i="2"/>
  <c r="F112" i="2"/>
  <c r="B113" i="2"/>
  <c r="E112" i="2"/>
  <c r="E112" i="1" l="1"/>
  <c r="G112" i="1"/>
  <c r="B113" i="1"/>
  <c r="F112" i="1"/>
  <c r="J45" i="2"/>
  <c r="K45" i="2" s="1"/>
  <c r="O45" i="2" s="1"/>
  <c r="P45" i="2" s="1"/>
  <c r="M49" i="2"/>
  <c r="N49" i="2"/>
  <c r="F113" i="2"/>
  <c r="G113" i="2"/>
  <c r="B114" i="2"/>
  <c r="E113" i="2"/>
  <c r="G113" i="1" l="1"/>
  <c r="F113" i="1"/>
  <c r="B114" i="1"/>
  <c r="E113" i="1"/>
  <c r="D45" i="2" a="1"/>
  <c r="D45" i="2" s="1"/>
  <c r="W46" i="2" s="1"/>
  <c r="X46" i="2" s="1"/>
  <c r="F114" i="2"/>
  <c r="E114" i="2"/>
  <c r="G114" i="2"/>
  <c r="B115" i="2"/>
  <c r="B115" i="1" l="1"/>
  <c r="E114" i="1"/>
  <c r="G114" i="1"/>
  <c r="F114" i="1"/>
  <c r="L46" i="2"/>
  <c r="I46" i="2"/>
  <c r="A45" i="2"/>
  <c r="C46" i="2"/>
  <c r="H46" i="2"/>
  <c r="J46" i="2" s="1"/>
  <c r="E115" i="2"/>
  <c r="G115" i="2"/>
  <c r="B116" i="2"/>
  <c r="F115" i="2"/>
  <c r="G115" i="1" l="1"/>
  <c r="E115" i="1"/>
  <c r="B116" i="1"/>
  <c r="F115" i="1"/>
  <c r="K46" i="2"/>
  <c r="O46" i="2" s="1"/>
  <c r="P46" i="2" s="1"/>
  <c r="N50" i="2"/>
  <c r="M50" i="2"/>
  <c r="B117" i="2"/>
  <c r="G116" i="2"/>
  <c r="F116" i="2"/>
  <c r="E116" i="2"/>
  <c r="B117" i="1" l="1"/>
  <c r="E116" i="1"/>
  <c r="G116" i="1"/>
  <c r="F116" i="1"/>
  <c r="D46" i="2" a="1"/>
  <c r="D46" i="2" s="1"/>
  <c r="W47" i="2" s="1"/>
  <c r="X47" i="2" s="1"/>
  <c r="B118" i="2"/>
  <c r="G117" i="2"/>
  <c r="F117" i="2"/>
  <c r="E117" i="2"/>
  <c r="B118" i="1" l="1"/>
  <c r="G117" i="1"/>
  <c r="E117" i="1"/>
  <c r="F117" i="1"/>
  <c r="H47" i="2"/>
  <c r="I47" i="2"/>
  <c r="L47" i="2"/>
  <c r="N51" i="2" s="1"/>
  <c r="C47" i="2"/>
  <c r="A46" i="2"/>
  <c r="B119" i="2"/>
  <c r="F118" i="2"/>
  <c r="G118" i="2"/>
  <c r="E118" i="2"/>
  <c r="J47" i="2" l="1"/>
  <c r="F118" i="1"/>
  <c r="E118" i="1"/>
  <c r="B119" i="1"/>
  <c r="G118" i="1"/>
  <c r="M51" i="2"/>
  <c r="K47" i="2"/>
  <c r="O47" i="2" s="1"/>
  <c r="P47" i="2" s="1"/>
  <c r="F119" i="2"/>
  <c r="B120" i="2"/>
  <c r="E119" i="2"/>
  <c r="G119" i="2"/>
  <c r="G119" i="1" l="1"/>
  <c r="F119" i="1"/>
  <c r="E119" i="1"/>
  <c r="B120" i="1"/>
  <c r="D47" i="2" a="1"/>
  <c r="D47" i="2" s="1"/>
  <c r="W48" i="2" s="1"/>
  <c r="X48" i="2" s="1"/>
  <c r="B121" i="2"/>
  <c r="F120" i="2"/>
  <c r="G120" i="2"/>
  <c r="E120" i="2"/>
  <c r="E120" i="1" l="1"/>
  <c r="B121" i="1"/>
  <c r="G120" i="1"/>
  <c r="F120" i="1"/>
  <c r="L48" i="2"/>
  <c r="N52" i="2" s="1"/>
  <c r="I48" i="2"/>
  <c r="A47" i="2"/>
  <c r="H48" i="2"/>
  <c r="J48" i="2" s="1"/>
  <c r="C48" i="2"/>
  <c r="B122" i="2"/>
  <c r="F121" i="2"/>
  <c r="G121" i="2"/>
  <c r="E121" i="2"/>
  <c r="M52" i="2" l="1"/>
  <c r="K48" i="2"/>
  <c r="O48" i="2" s="1"/>
  <c r="P48" i="2" s="1"/>
  <c r="G121" i="1"/>
  <c r="F121" i="1"/>
  <c r="E121" i="1"/>
  <c r="B122" i="1"/>
  <c r="B123" i="2"/>
  <c r="F122" i="2"/>
  <c r="E122" i="2"/>
  <c r="G122" i="2"/>
  <c r="D48" i="2" l="1" a="1"/>
  <c r="D48" i="2" s="1"/>
  <c r="W49" i="2" s="1"/>
  <c r="X49" i="2" s="1"/>
  <c r="B123" i="1"/>
  <c r="G122" i="1"/>
  <c r="F122" i="1"/>
  <c r="E122" i="1"/>
  <c r="B124" i="2"/>
  <c r="F123" i="2"/>
  <c r="G123" i="2"/>
  <c r="E123" i="2"/>
  <c r="A48" i="2" l="1"/>
  <c r="H49" i="2"/>
  <c r="L49" i="2"/>
  <c r="C49" i="2"/>
  <c r="I49" i="2"/>
  <c r="G123" i="1"/>
  <c r="F123" i="1"/>
  <c r="B124" i="1"/>
  <c r="E123" i="1"/>
  <c r="G124" i="2"/>
  <c r="E124" i="2"/>
  <c r="F124" i="2"/>
  <c r="B125" i="2"/>
  <c r="M53" i="2" l="1"/>
  <c r="N53" i="2"/>
  <c r="J49" i="2"/>
  <c r="K49" i="2" s="1"/>
  <c r="O49" i="2" s="1"/>
  <c r="P49" i="2" s="1"/>
  <c r="G124" i="1"/>
  <c r="F124" i="1"/>
  <c r="E124" i="1"/>
  <c r="B125" i="1"/>
  <c r="B126" i="2"/>
  <c r="F125" i="2"/>
  <c r="E125" i="2"/>
  <c r="G125" i="2"/>
  <c r="D49" i="2" l="1" a="1"/>
  <c r="D49" i="2" s="1"/>
  <c r="A49" i="2" s="1"/>
  <c r="E125" i="1"/>
  <c r="G125" i="1"/>
  <c r="B126" i="1"/>
  <c r="F125" i="1"/>
  <c r="W50" i="2"/>
  <c r="X50" i="2" s="1"/>
  <c r="L50" i="2"/>
  <c r="I50" i="2"/>
  <c r="C50" i="2"/>
  <c r="H50" i="2"/>
  <c r="F126" i="2"/>
  <c r="G126" i="2"/>
  <c r="B127" i="2"/>
  <c r="E126" i="2"/>
  <c r="B127" i="1" l="1"/>
  <c r="E126" i="1"/>
  <c r="G126" i="1"/>
  <c r="F126" i="1"/>
  <c r="J50" i="2"/>
  <c r="K50" i="2"/>
  <c r="O50" i="2" s="1"/>
  <c r="P50" i="2" s="1"/>
  <c r="M54" i="2"/>
  <c r="N54" i="2"/>
  <c r="G127" i="2"/>
  <c r="E127" i="2"/>
  <c r="F127" i="2"/>
  <c r="B128" i="2"/>
  <c r="G127" i="1" l="1"/>
  <c r="E127" i="1"/>
  <c r="F127" i="1"/>
  <c r="B128" i="1"/>
  <c r="D50" i="2" a="1"/>
  <c r="D50" i="2" s="1"/>
  <c r="W51" i="2" s="1"/>
  <c r="X51" i="2" s="1"/>
  <c r="B129" i="2"/>
  <c r="F128" i="2"/>
  <c r="E128" i="2"/>
  <c r="G128" i="2"/>
  <c r="E128" i="1" l="1"/>
  <c r="F128" i="1"/>
  <c r="G128" i="1"/>
  <c r="B129" i="1"/>
  <c r="C51" i="2"/>
  <c r="A50" i="2"/>
  <c r="L51" i="2"/>
  <c r="M55" i="2" s="1"/>
  <c r="I51" i="2"/>
  <c r="H51" i="2"/>
  <c r="E129" i="2"/>
  <c r="G129" i="2"/>
  <c r="B130" i="2"/>
  <c r="F129" i="2"/>
  <c r="E129" i="1" l="1"/>
  <c r="G129" i="1"/>
  <c r="F129" i="1"/>
  <c r="B130" i="1"/>
  <c r="N55" i="2"/>
  <c r="J51" i="2"/>
  <c r="K51" i="2" s="1"/>
  <c r="O51" i="2" s="1"/>
  <c r="P51" i="2" s="1"/>
  <c r="G130" i="2"/>
  <c r="E130" i="2"/>
  <c r="F130" i="2"/>
  <c r="B131" i="2"/>
  <c r="B131" i="1" l="1"/>
  <c r="F130" i="1"/>
  <c r="G130" i="1"/>
  <c r="E130" i="1"/>
  <c r="D51" i="2" a="1"/>
  <c r="D51" i="2" s="1"/>
  <c r="G131" i="2"/>
  <c r="B132" i="2"/>
  <c r="F131" i="2"/>
  <c r="E131" i="2"/>
  <c r="F131" i="1" l="1"/>
  <c r="G131" i="1"/>
  <c r="E131" i="1"/>
  <c r="B132" i="1"/>
  <c r="W52" i="2"/>
  <c r="X52" i="2" s="1"/>
  <c r="C52" i="2"/>
  <c r="A51" i="2"/>
  <c r="I52" i="2"/>
  <c r="H52" i="2"/>
  <c r="J52" i="2" s="1"/>
  <c r="L52" i="2"/>
  <c r="E132" i="2"/>
  <c r="G132" i="2"/>
  <c r="B133" i="2"/>
  <c r="F132" i="2"/>
  <c r="F132" i="1" l="1"/>
  <c r="G132" i="1"/>
  <c r="E132" i="1"/>
  <c r="B133" i="1"/>
  <c r="M56" i="2"/>
  <c r="N56" i="2"/>
  <c r="K52" i="2"/>
  <c r="O52" i="2" s="1"/>
  <c r="P52" i="2" s="1"/>
  <c r="F133" i="2"/>
  <c r="B134" i="2"/>
  <c r="E133" i="2"/>
  <c r="G133" i="2"/>
  <c r="G133" i="1" l="1"/>
  <c r="B134" i="1"/>
  <c r="E133" i="1"/>
  <c r="F133" i="1"/>
  <c r="D52" i="2" a="1"/>
  <c r="D52" i="2" s="1"/>
  <c r="G134" i="2"/>
  <c r="B135" i="2"/>
  <c r="F134" i="2"/>
  <c r="E134" i="2"/>
  <c r="F134" i="1" l="1"/>
  <c r="E134" i="1"/>
  <c r="G134" i="1"/>
  <c r="B135" i="1"/>
  <c r="W53" i="2"/>
  <c r="X53" i="2" s="1"/>
  <c r="L53" i="2"/>
  <c r="C53" i="2"/>
  <c r="H53" i="2"/>
  <c r="A52" i="2"/>
  <c r="I53" i="2"/>
  <c r="E135" i="2"/>
  <c r="G135" i="2"/>
  <c r="F135" i="2"/>
  <c r="B136" i="2"/>
  <c r="F135" i="1" l="1"/>
  <c r="E135" i="1"/>
  <c r="B136" i="1"/>
  <c r="G135" i="1"/>
  <c r="J53" i="2"/>
  <c r="K53" i="2" s="1"/>
  <c r="O53" i="2" s="1"/>
  <c r="P53" i="2" s="1"/>
  <c r="N57" i="2"/>
  <c r="M57" i="2"/>
  <c r="B137" i="2"/>
  <c r="F136" i="2"/>
  <c r="E136" i="2"/>
  <c r="G136" i="2"/>
  <c r="E136" i="1" l="1"/>
  <c r="G136" i="1"/>
  <c r="F136" i="1"/>
  <c r="B137" i="1"/>
  <c r="D53" i="2" a="1"/>
  <c r="D53" i="2" s="1"/>
  <c r="G137" i="2"/>
  <c r="B138" i="2"/>
  <c r="F137" i="2"/>
  <c r="E137" i="2"/>
  <c r="F137" i="1" l="1"/>
  <c r="E137" i="1"/>
  <c r="G137" i="1"/>
  <c r="B138" i="1"/>
  <c r="W54" i="2"/>
  <c r="X54" i="2" s="1"/>
  <c r="I54" i="2"/>
  <c r="A53" i="2"/>
  <c r="H54" i="2"/>
  <c r="J54" i="2" s="1"/>
  <c r="L54" i="2"/>
  <c r="C54" i="2"/>
  <c r="E138" i="2"/>
  <c r="B139" i="2"/>
  <c r="G138" i="2"/>
  <c r="F138" i="2"/>
  <c r="B139" i="1" l="1"/>
  <c r="G138" i="1"/>
  <c r="E138" i="1"/>
  <c r="F138" i="1"/>
  <c r="M58" i="2"/>
  <c r="N58" i="2"/>
  <c r="K54" i="2"/>
  <c r="F139" i="2"/>
  <c r="E139" i="2"/>
  <c r="B140" i="2"/>
  <c r="G139" i="2"/>
  <c r="G139" i="1" l="1"/>
  <c r="F139" i="1"/>
  <c r="E139" i="1"/>
  <c r="B140" i="1"/>
  <c r="O54" i="2"/>
  <c r="P54" i="2" s="1"/>
  <c r="D54" i="2" a="1"/>
  <c r="D54" i="2" s="1"/>
  <c r="E140" i="2"/>
  <c r="B141" i="2"/>
  <c r="F140" i="2"/>
  <c r="G140" i="2"/>
  <c r="F140" i="1" l="1"/>
  <c r="E140" i="1"/>
  <c r="G140" i="1"/>
  <c r="B141" i="1"/>
  <c r="W55" i="2"/>
  <c r="X55" i="2" s="1"/>
  <c r="A54" i="2"/>
  <c r="H55" i="2"/>
  <c r="C55" i="2"/>
  <c r="L55" i="2"/>
  <c r="I55" i="2"/>
  <c r="B142" i="2"/>
  <c r="E141" i="2"/>
  <c r="G141" i="2"/>
  <c r="F141" i="2"/>
  <c r="F141" i="1" l="1"/>
  <c r="E141" i="1"/>
  <c r="B142" i="1"/>
  <c r="G141" i="1"/>
  <c r="M59" i="2"/>
  <c r="N59" i="2"/>
  <c r="J55" i="2"/>
  <c r="B143" i="2"/>
  <c r="G142" i="2"/>
  <c r="F142" i="2"/>
  <c r="E142" i="2"/>
  <c r="G142" i="1" l="1"/>
  <c r="E142" i="1"/>
  <c r="B143" i="1"/>
  <c r="F142" i="1"/>
  <c r="K55" i="2"/>
  <c r="O55" i="2" s="1"/>
  <c r="P55" i="2" s="1"/>
  <c r="F143" i="2"/>
  <c r="E143" i="2"/>
  <c r="B144" i="2"/>
  <c r="G143" i="2"/>
  <c r="F143" i="1" l="1"/>
  <c r="E143" i="1"/>
  <c r="B144" i="1"/>
  <c r="G143" i="1"/>
  <c r="D55" i="2" a="1"/>
  <c r="D55" i="2" s="1"/>
  <c r="E144" i="2"/>
  <c r="F144" i="2"/>
  <c r="G144" i="2"/>
  <c r="B145" i="2"/>
  <c r="F144" i="1" l="1"/>
  <c r="E144" i="1"/>
  <c r="G144" i="1"/>
  <c r="B145" i="1"/>
  <c r="W56" i="2"/>
  <c r="X56" i="2" s="1"/>
  <c r="H56" i="2"/>
  <c r="A55" i="2"/>
  <c r="I56" i="2"/>
  <c r="C56" i="2"/>
  <c r="L56" i="2"/>
  <c r="B146" i="2"/>
  <c r="F145" i="2"/>
  <c r="G145" i="2"/>
  <c r="E145" i="2"/>
  <c r="F145" i="1" l="1"/>
  <c r="E145" i="1"/>
  <c r="B146" i="1"/>
  <c r="G145" i="1"/>
  <c r="J56" i="2"/>
  <c r="K56" i="2" s="1"/>
  <c r="O56" i="2" s="1"/>
  <c r="P56" i="2" s="1"/>
  <c r="N60" i="2"/>
  <c r="M60" i="2"/>
  <c r="B147" i="2"/>
  <c r="G146" i="2"/>
  <c r="E146" i="2"/>
  <c r="F146" i="2"/>
  <c r="D56" i="2" l="1" a="1"/>
  <c r="D56" i="2" s="1"/>
  <c r="W57" i="2" s="1"/>
  <c r="X57" i="2" s="1"/>
  <c r="G146" i="1"/>
  <c r="F146" i="1"/>
  <c r="E146" i="1"/>
  <c r="B147" i="1"/>
  <c r="E147" i="2"/>
  <c r="F147" i="2"/>
  <c r="B148" i="2"/>
  <c r="G147" i="2"/>
  <c r="L57" i="2" l="1"/>
  <c r="H57" i="2"/>
  <c r="A56" i="2"/>
  <c r="I57" i="2"/>
  <c r="C57" i="2"/>
  <c r="B148" i="1"/>
  <c r="F147" i="1"/>
  <c r="E147" i="1"/>
  <c r="G147" i="1"/>
  <c r="M61" i="2"/>
  <c r="N61" i="2"/>
  <c r="B149" i="2"/>
  <c r="G148" i="2"/>
  <c r="F148" i="2"/>
  <c r="E148" i="2"/>
  <c r="J57" i="2" l="1"/>
  <c r="K57" i="2" s="1"/>
  <c r="O57" i="2" s="1"/>
  <c r="P57" i="2" s="1"/>
  <c r="G148" i="1"/>
  <c r="E148" i="1"/>
  <c r="F148" i="1"/>
  <c r="B149" i="1"/>
  <c r="D57" i="2" a="1"/>
  <c r="D57" i="2" s="1"/>
  <c r="G149" i="2"/>
  <c r="B150" i="2"/>
  <c r="F149" i="2"/>
  <c r="E149" i="2"/>
  <c r="E149" i="1" l="1"/>
  <c r="G149" i="1"/>
  <c r="F149" i="1"/>
  <c r="B150" i="1"/>
  <c r="W58" i="2"/>
  <c r="X58" i="2" s="1"/>
  <c r="C58" i="2"/>
  <c r="L58" i="2"/>
  <c r="A57" i="2"/>
  <c r="I58" i="2"/>
  <c r="H58" i="2"/>
  <c r="J58" i="2" s="1"/>
  <c r="K58" i="2" s="1"/>
  <c r="O58" i="2" s="1"/>
  <c r="P58" i="2" s="1"/>
  <c r="E150" i="2"/>
  <c r="G150" i="2"/>
  <c r="F150" i="2"/>
  <c r="B151" i="2"/>
  <c r="G150" i="1" l="1"/>
  <c r="E150" i="1"/>
  <c r="B151" i="1"/>
  <c r="F150" i="1"/>
  <c r="D58" i="2" a="1"/>
  <c r="D58" i="2" s="1"/>
  <c r="W59" i="2" s="1"/>
  <c r="X59" i="2" s="1"/>
  <c r="M62" i="2"/>
  <c r="N62" i="2"/>
  <c r="G151" i="2"/>
  <c r="E151" i="2"/>
  <c r="B152" i="2"/>
  <c r="F151" i="2"/>
  <c r="G151" i="1" l="1"/>
  <c r="B152" i="1"/>
  <c r="F151" i="1"/>
  <c r="E151" i="1"/>
  <c r="L59" i="2"/>
  <c r="M63" i="2" s="1"/>
  <c r="I59" i="2"/>
  <c r="H59" i="2"/>
  <c r="A58" i="2"/>
  <c r="C59" i="2"/>
  <c r="B153" i="2"/>
  <c r="G152" i="2"/>
  <c r="F152" i="2"/>
  <c r="E152" i="2"/>
  <c r="J59" i="2" l="1"/>
  <c r="N63" i="2"/>
  <c r="B153" i="1"/>
  <c r="F152" i="1"/>
  <c r="G152" i="1"/>
  <c r="E152" i="1"/>
  <c r="K59" i="2"/>
  <c r="O59" i="2" s="1"/>
  <c r="P59" i="2" s="1"/>
  <c r="G153" i="2"/>
  <c r="E153" i="2"/>
  <c r="B154" i="2"/>
  <c r="F153" i="2"/>
  <c r="F153" i="1" l="1"/>
  <c r="B154" i="1"/>
  <c r="G153" i="1"/>
  <c r="E153" i="1"/>
  <c r="D59" i="2" a="1"/>
  <c r="D59" i="2" s="1"/>
  <c r="G154" i="2"/>
  <c r="E154" i="2"/>
  <c r="F154" i="2"/>
  <c r="B155" i="2"/>
  <c r="F154" i="1" l="1"/>
  <c r="E154" i="1"/>
  <c r="B155" i="1"/>
  <c r="G154" i="1"/>
  <c r="W60" i="2"/>
  <c r="X60" i="2" s="1"/>
  <c r="L60" i="2"/>
  <c r="H60" i="2"/>
  <c r="A59" i="2"/>
  <c r="I60" i="2"/>
  <c r="C60" i="2"/>
  <c r="B156" i="2"/>
  <c r="G155" i="2"/>
  <c r="F155" i="2"/>
  <c r="E155" i="2"/>
  <c r="E155" i="1" l="1"/>
  <c r="G155" i="1"/>
  <c r="F155" i="1"/>
  <c r="B156" i="1"/>
  <c r="J60" i="2"/>
  <c r="K60" i="2" s="1"/>
  <c r="N64" i="2"/>
  <c r="M64" i="2"/>
  <c r="B157" i="2"/>
  <c r="F156" i="2"/>
  <c r="E156" i="2"/>
  <c r="G156" i="2"/>
  <c r="F156" i="1" l="1"/>
  <c r="B157" i="1"/>
  <c r="G156" i="1"/>
  <c r="E156" i="1"/>
  <c r="O60" i="2"/>
  <c r="P60" i="2" s="1"/>
  <c r="D60" i="2" a="1"/>
  <c r="D60" i="2" s="1"/>
  <c r="W61" i="2" s="1"/>
  <c r="X61" i="2" s="1"/>
  <c r="E157" i="2"/>
  <c r="B158" i="2"/>
  <c r="G157" i="2"/>
  <c r="F157" i="2"/>
  <c r="G157" i="1" l="1"/>
  <c r="B158" i="1"/>
  <c r="F157" i="1"/>
  <c r="E157" i="1"/>
  <c r="A60" i="2"/>
  <c r="C61" i="2"/>
  <c r="H61" i="2"/>
  <c r="I61" i="2"/>
  <c r="J61" i="2" s="1"/>
  <c r="L61" i="2"/>
  <c r="M65" i="2" s="1"/>
  <c r="E158" i="2"/>
  <c r="F158" i="2"/>
  <c r="G158" i="2"/>
  <c r="B159" i="2"/>
  <c r="B159" i="1" l="1"/>
  <c r="G158" i="1"/>
  <c r="E158" i="1"/>
  <c r="F158" i="1"/>
  <c r="N65" i="2"/>
  <c r="K61" i="2"/>
  <c r="O61" i="2" s="1"/>
  <c r="P61" i="2" s="1"/>
  <c r="B160" i="2"/>
  <c r="G159" i="2"/>
  <c r="E159" i="2"/>
  <c r="F159" i="2"/>
  <c r="D61" i="2" l="1" a="1"/>
  <c r="D61" i="2" s="1"/>
  <c r="C62" i="2" s="1"/>
  <c r="E159" i="1"/>
  <c r="B160" i="1"/>
  <c r="G159" i="1"/>
  <c r="F159" i="1"/>
  <c r="F160" i="2"/>
  <c r="E160" i="2"/>
  <c r="G160" i="2"/>
  <c r="B161" i="2"/>
  <c r="I62" i="2" l="1"/>
  <c r="L62" i="2"/>
  <c r="W62" i="2"/>
  <c r="X62" i="2" s="1"/>
  <c r="H62" i="2"/>
  <c r="J62" i="2" s="1"/>
  <c r="K62" i="2" s="1"/>
  <c r="O62" i="2" s="1"/>
  <c r="P62" i="2" s="1"/>
  <c r="A61" i="2"/>
  <c r="E160" i="1"/>
  <c r="F160" i="1"/>
  <c r="B161" i="1"/>
  <c r="G160" i="1"/>
  <c r="M66" i="2"/>
  <c r="N66" i="2"/>
  <c r="E161" i="2"/>
  <c r="G161" i="2"/>
  <c r="B162" i="2"/>
  <c r="F161" i="2"/>
  <c r="D62" i="2" l="1" a="1"/>
  <c r="D62" i="2" s="1"/>
  <c r="A62" i="2" s="1"/>
  <c r="G161" i="1"/>
  <c r="B162" i="1"/>
  <c r="E161" i="1"/>
  <c r="F161" i="1"/>
  <c r="F162" i="2"/>
  <c r="B163" i="2"/>
  <c r="G162" i="2"/>
  <c r="E162" i="2"/>
  <c r="L63" i="2" l="1"/>
  <c r="C63" i="2"/>
  <c r="H63" i="2"/>
  <c r="I63" i="2"/>
  <c r="W63" i="2"/>
  <c r="X63" i="2" s="1"/>
  <c r="G162" i="1"/>
  <c r="B163" i="1"/>
  <c r="F162" i="1"/>
  <c r="E162" i="1"/>
  <c r="J63" i="2"/>
  <c r="M67" i="2"/>
  <c r="N67" i="2"/>
  <c r="B164" i="2"/>
  <c r="G163" i="2"/>
  <c r="F163" i="2"/>
  <c r="E163" i="2"/>
  <c r="E163" i="1" l="1"/>
  <c r="F163" i="1"/>
  <c r="B164" i="1"/>
  <c r="G163" i="1"/>
  <c r="K63" i="2"/>
  <c r="O63" i="2" s="1"/>
  <c r="P63" i="2" s="1"/>
  <c r="E164" i="2"/>
  <c r="B165" i="2"/>
  <c r="F164" i="2"/>
  <c r="G164" i="2"/>
  <c r="E164" i="1" l="1"/>
  <c r="G164" i="1"/>
  <c r="F164" i="1"/>
  <c r="B165" i="1"/>
  <c r="D63" i="2" a="1"/>
  <c r="D63" i="2" s="1"/>
  <c r="B166" i="2"/>
  <c r="E165" i="2"/>
  <c r="F165" i="2"/>
  <c r="G165" i="2"/>
  <c r="B166" i="1" l="1"/>
  <c r="E165" i="1"/>
  <c r="F165" i="1"/>
  <c r="G165" i="1"/>
  <c r="C64" i="2"/>
  <c r="H64" i="2"/>
  <c r="A63" i="2"/>
  <c r="L64" i="2"/>
  <c r="W64" i="2"/>
  <c r="X64" i="2" s="1"/>
  <c r="I64" i="2"/>
  <c r="B167" i="2"/>
  <c r="G166" i="2"/>
  <c r="E166" i="2"/>
  <c r="F166" i="2"/>
  <c r="G166" i="1" l="1"/>
  <c r="F166" i="1"/>
  <c r="E166" i="1"/>
  <c r="B167" i="1"/>
  <c r="M68" i="2"/>
  <c r="N68" i="2"/>
  <c r="J64" i="2"/>
  <c r="K64" i="2" s="1"/>
  <c r="O64" i="2" s="1"/>
  <c r="P64" i="2" s="1"/>
  <c r="F167" i="2"/>
  <c r="E167" i="2"/>
  <c r="G167" i="2"/>
  <c r="B168" i="2"/>
  <c r="F167" i="1" l="1"/>
  <c r="E167" i="1"/>
  <c r="G167" i="1"/>
  <c r="B168" i="1"/>
  <c r="D64" i="2" a="1"/>
  <c r="D64" i="2" s="1"/>
  <c r="E168" i="2"/>
  <c r="F168" i="2"/>
  <c r="B169" i="2"/>
  <c r="G168" i="2"/>
  <c r="F168" i="1" l="1"/>
  <c r="E168" i="1"/>
  <c r="B169" i="1"/>
  <c r="G168" i="1"/>
  <c r="L65" i="2"/>
  <c r="H65" i="2"/>
  <c r="A64" i="2"/>
  <c r="I65" i="2"/>
  <c r="W65" i="2"/>
  <c r="X65" i="2" s="1"/>
  <c r="C65" i="2"/>
  <c r="E169" i="2"/>
  <c r="F169" i="2"/>
  <c r="B170" i="2"/>
  <c r="G169" i="2"/>
  <c r="G169" i="1" l="1"/>
  <c r="E169" i="1"/>
  <c r="B170" i="1"/>
  <c r="F169" i="1"/>
  <c r="J65" i="2"/>
  <c r="M69" i="2"/>
  <c r="N69" i="2"/>
  <c r="B171" i="2"/>
  <c r="G170" i="2"/>
  <c r="E170" i="2"/>
  <c r="F170" i="2"/>
  <c r="E170" i="1" l="1"/>
  <c r="G170" i="1"/>
  <c r="B171" i="1"/>
  <c r="F170" i="1"/>
  <c r="K65" i="2"/>
  <c r="O65" i="2" s="1"/>
  <c r="P65" i="2" s="1"/>
  <c r="E171" i="2"/>
  <c r="B172" i="2"/>
  <c r="F171" i="2"/>
  <c r="G171" i="2"/>
  <c r="F171" i="1" l="1"/>
  <c r="B172" i="1"/>
  <c r="G171" i="1"/>
  <c r="E171" i="1"/>
  <c r="D65" i="2" a="1"/>
  <c r="D65" i="2" s="1"/>
  <c r="G172" i="2"/>
  <c r="F172" i="2"/>
  <c r="E172" i="2"/>
  <c r="B173" i="2"/>
  <c r="G172" i="1" l="1"/>
  <c r="F172" i="1"/>
  <c r="E172" i="1"/>
  <c r="B173" i="1"/>
  <c r="W66" i="2"/>
  <c r="X66" i="2" s="1"/>
  <c r="H66" i="2"/>
  <c r="A65" i="2"/>
  <c r="C66" i="2"/>
  <c r="L66" i="2"/>
  <c r="I66" i="2"/>
  <c r="B174" i="2"/>
  <c r="G173" i="2"/>
  <c r="F173" i="2"/>
  <c r="E173" i="2"/>
  <c r="E173" i="1" l="1"/>
  <c r="G173" i="1"/>
  <c r="F173" i="1"/>
  <c r="B174" i="1"/>
  <c r="M70" i="2"/>
  <c r="N70" i="2"/>
  <c r="J66" i="2"/>
  <c r="B175" i="2"/>
  <c r="E174" i="2"/>
  <c r="F174" i="2"/>
  <c r="G174" i="2"/>
  <c r="G174" i="1" l="1"/>
  <c r="F174" i="1"/>
  <c r="B175" i="1"/>
  <c r="E174" i="1"/>
  <c r="K66" i="2"/>
  <c r="O66" i="2" s="1"/>
  <c r="P66" i="2" s="1"/>
  <c r="E175" i="2"/>
  <c r="G175" i="2"/>
  <c r="F175" i="2"/>
  <c r="B176" i="2"/>
  <c r="B176" i="1" l="1"/>
  <c r="G175" i="1"/>
  <c r="E175" i="1"/>
  <c r="F175" i="1"/>
  <c r="D66" i="2" a="1"/>
  <c r="D66" i="2" s="1"/>
  <c r="G176" i="2"/>
  <c r="B177" i="2"/>
  <c r="F176" i="2"/>
  <c r="E176" i="2"/>
  <c r="G176" i="1" l="1"/>
  <c r="E176" i="1"/>
  <c r="F176" i="1"/>
  <c r="B177" i="1"/>
  <c r="W67" i="2"/>
  <c r="X67" i="2" s="1"/>
  <c r="H67" i="2"/>
  <c r="I67" i="2"/>
  <c r="L67" i="2"/>
  <c r="A66" i="2"/>
  <c r="C67" i="2"/>
  <c r="B178" i="2"/>
  <c r="G177" i="2"/>
  <c r="F177" i="2"/>
  <c r="E177" i="2"/>
  <c r="F177" i="1" l="1"/>
  <c r="G177" i="1"/>
  <c r="B178" i="1"/>
  <c r="E177" i="1"/>
  <c r="M71" i="2"/>
  <c r="N71" i="2"/>
  <c r="J67" i="2"/>
  <c r="E178" i="2"/>
  <c r="G178" i="2"/>
  <c r="F178" i="2"/>
  <c r="B179" i="2"/>
  <c r="B179" i="1" l="1"/>
  <c r="F178" i="1"/>
  <c r="E178" i="1"/>
  <c r="G178" i="1"/>
  <c r="K67" i="2"/>
  <c r="O67" i="2" s="1"/>
  <c r="P67" i="2" s="1"/>
  <c r="B180" i="2"/>
  <c r="E179" i="2"/>
  <c r="G179" i="2"/>
  <c r="F179" i="2"/>
  <c r="B180" i="1" l="1"/>
  <c r="G179" i="1"/>
  <c r="E179" i="1"/>
  <c r="F179" i="1"/>
  <c r="D67" i="2" a="1"/>
  <c r="D67" i="2" s="1"/>
  <c r="B181" i="2"/>
  <c r="G180" i="2"/>
  <c r="F180" i="2"/>
  <c r="E180" i="2"/>
  <c r="F180" i="1" l="1"/>
  <c r="B181" i="1"/>
  <c r="G180" i="1"/>
  <c r="E180" i="1"/>
  <c r="C68" i="2"/>
  <c r="I68" i="2"/>
  <c r="H68" i="2"/>
  <c r="J68" i="2" s="1"/>
  <c r="W68" i="2"/>
  <c r="X68" i="2" s="1"/>
  <c r="L68" i="2"/>
  <c r="A67" i="2"/>
  <c r="G181" i="2"/>
  <c r="F181" i="2"/>
  <c r="B182" i="2"/>
  <c r="E181" i="2"/>
  <c r="F181" i="1" l="1"/>
  <c r="B182" i="1"/>
  <c r="E181" i="1"/>
  <c r="G181" i="1"/>
  <c r="M72" i="2"/>
  <c r="N72" i="2"/>
  <c r="K68" i="2"/>
  <c r="E182" i="2"/>
  <c r="G182" i="2"/>
  <c r="B183" i="2"/>
  <c r="F182" i="2"/>
  <c r="E182" i="1" l="1"/>
  <c r="B183" i="1"/>
  <c r="F182" i="1"/>
  <c r="G182" i="1"/>
  <c r="O68" i="2"/>
  <c r="P68" i="2" s="1"/>
  <c r="D68" i="2" a="1"/>
  <c r="D68" i="2" s="1"/>
  <c r="E183" i="2"/>
  <c r="F183" i="2"/>
  <c r="B184" i="2"/>
  <c r="G183" i="2"/>
  <c r="B184" i="1" l="1"/>
  <c r="G183" i="1"/>
  <c r="E183" i="1"/>
  <c r="F183" i="1"/>
  <c r="W69" i="2"/>
  <c r="X69" i="2" s="1"/>
  <c r="H69" i="2"/>
  <c r="I69" i="2"/>
  <c r="C69" i="2"/>
  <c r="A68" i="2"/>
  <c r="L69" i="2"/>
  <c r="B185" i="2"/>
  <c r="G184" i="2"/>
  <c r="E184" i="2"/>
  <c r="F184" i="2"/>
  <c r="B185" i="1" l="1"/>
  <c r="G184" i="1"/>
  <c r="F184" i="1"/>
  <c r="E184" i="1"/>
  <c r="N73" i="2"/>
  <c r="M73" i="2"/>
  <c r="J69" i="2"/>
  <c r="E185" i="2"/>
  <c r="G185" i="2"/>
  <c r="B186" i="2"/>
  <c r="F185" i="2"/>
  <c r="G185" i="1" l="1"/>
  <c r="F185" i="1"/>
  <c r="B186" i="1"/>
  <c r="E185" i="1"/>
  <c r="K69" i="2"/>
  <c r="O69" i="2" s="1"/>
  <c r="P69" i="2" s="1"/>
  <c r="G186" i="2"/>
  <c r="B187" i="2"/>
  <c r="E186" i="2"/>
  <c r="F186" i="2"/>
  <c r="E186" i="1" l="1"/>
  <c r="G186" i="1"/>
  <c r="F186" i="1"/>
  <c r="B187" i="1"/>
  <c r="D69" i="2" a="1"/>
  <c r="D69" i="2" s="1"/>
  <c r="B188" i="2"/>
  <c r="G187" i="2"/>
  <c r="E187" i="2"/>
  <c r="F187" i="2"/>
  <c r="B188" i="1" l="1"/>
  <c r="G187" i="1"/>
  <c r="E187" i="1"/>
  <c r="F187" i="1"/>
  <c r="W70" i="2"/>
  <c r="X70" i="2" s="1"/>
  <c r="I70" i="2"/>
  <c r="A69" i="2"/>
  <c r="H70" i="2"/>
  <c r="L70" i="2"/>
  <c r="C70" i="2"/>
  <c r="B189" i="2"/>
  <c r="G188" i="2"/>
  <c r="F188" i="2"/>
  <c r="E188" i="2"/>
  <c r="J70" i="2" l="1"/>
  <c r="K70" i="2" s="1"/>
  <c r="F188" i="1"/>
  <c r="B189" i="1"/>
  <c r="E188" i="1"/>
  <c r="G188" i="1"/>
  <c r="N74" i="2"/>
  <c r="M74" i="2"/>
  <c r="E189" i="2"/>
  <c r="B190" i="2"/>
  <c r="F189" i="2"/>
  <c r="G189" i="2"/>
  <c r="B190" i="1" l="1"/>
  <c r="G189" i="1"/>
  <c r="F189" i="1"/>
  <c r="E189" i="1"/>
  <c r="O70" i="2"/>
  <c r="P70" i="2" s="1"/>
  <c r="D70" i="2" a="1"/>
  <c r="D70" i="2" s="1"/>
  <c r="G190" i="2"/>
  <c r="E190" i="2"/>
  <c r="B191" i="2"/>
  <c r="F190" i="2"/>
  <c r="F190" i="1" l="1"/>
  <c r="E190" i="1"/>
  <c r="G190" i="1"/>
  <c r="B191" i="1"/>
  <c r="W71" i="2"/>
  <c r="X71" i="2" s="1"/>
  <c r="I71" i="2"/>
  <c r="L71" i="2"/>
  <c r="H71" i="2"/>
  <c r="J71" i="2" s="1"/>
  <c r="C71" i="2"/>
  <c r="A70" i="2"/>
  <c r="B192" i="2"/>
  <c r="G191" i="2"/>
  <c r="F191" i="2"/>
  <c r="E191" i="2"/>
  <c r="E191" i="1" l="1"/>
  <c r="G191" i="1"/>
  <c r="B192" i="1"/>
  <c r="F191" i="1"/>
  <c r="K71" i="2"/>
  <c r="O71" i="2" s="1"/>
  <c r="P71" i="2" s="1"/>
  <c r="N75" i="2"/>
  <c r="M75" i="2"/>
  <c r="E192" i="2"/>
  <c r="G192" i="2"/>
  <c r="B193" i="2"/>
  <c r="F192" i="2"/>
  <c r="B193" i="1" l="1"/>
  <c r="G192" i="1"/>
  <c r="F192" i="1"/>
  <c r="E192" i="1"/>
  <c r="D71" i="2" a="1"/>
  <c r="D71" i="2" s="1"/>
  <c r="W72" i="2" s="1"/>
  <c r="X72" i="2" s="1"/>
  <c r="G193" i="2"/>
  <c r="B194" i="2"/>
  <c r="E193" i="2"/>
  <c r="F193" i="2"/>
  <c r="F193" i="1" l="1"/>
  <c r="B194" i="1"/>
  <c r="G193" i="1"/>
  <c r="E193" i="1"/>
  <c r="I72" i="2"/>
  <c r="L72" i="2"/>
  <c r="N76" i="2" s="1"/>
  <c r="A71" i="2"/>
  <c r="H72" i="2"/>
  <c r="J72" i="2" s="1"/>
  <c r="C72" i="2"/>
  <c r="B195" i="2"/>
  <c r="G194" i="2"/>
  <c r="F194" i="2"/>
  <c r="E194" i="2"/>
  <c r="K72" i="2" l="1"/>
  <c r="O72" i="2"/>
  <c r="P72" i="2" s="1"/>
  <c r="F194" i="1"/>
  <c r="G194" i="1"/>
  <c r="E194" i="1"/>
  <c r="B195" i="1"/>
  <c r="M76" i="2"/>
  <c r="D72" i="2" a="1"/>
  <c r="D72" i="2" s="1"/>
  <c r="F195" i="2"/>
  <c r="B196" i="2"/>
  <c r="E195" i="2"/>
  <c r="G195" i="2"/>
  <c r="G195" i="1" l="1"/>
  <c r="F195" i="1"/>
  <c r="B196" i="1"/>
  <c r="E195" i="1"/>
  <c r="W73" i="2"/>
  <c r="X73" i="2" s="1"/>
  <c r="A72" i="2"/>
  <c r="C73" i="2"/>
  <c r="H73" i="2"/>
  <c r="L73" i="2"/>
  <c r="I73" i="2"/>
  <c r="E196" i="2"/>
  <c r="G196" i="2"/>
  <c r="F196" i="2"/>
  <c r="B197" i="2"/>
  <c r="B197" i="1" l="1"/>
  <c r="G196" i="1"/>
  <c r="F196" i="1"/>
  <c r="E196" i="1"/>
  <c r="J73" i="2"/>
  <c r="M77" i="2"/>
  <c r="N77" i="2"/>
  <c r="K73" i="2"/>
  <c r="G197" i="2"/>
  <c r="F197" i="2"/>
  <c r="E197" i="2"/>
  <c r="B198" i="2"/>
  <c r="F197" i="1" l="1"/>
  <c r="B198" i="1"/>
  <c r="E197" i="1"/>
  <c r="G197" i="1"/>
  <c r="O73" i="2"/>
  <c r="P73" i="2" s="1"/>
  <c r="D73" i="2" a="1"/>
  <c r="D73" i="2" s="1"/>
  <c r="B199" i="2"/>
  <c r="G198" i="2"/>
  <c r="E198" i="2"/>
  <c r="F198" i="2"/>
  <c r="F198" i="1" l="1"/>
  <c r="E198" i="1"/>
  <c r="B199" i="1"/>
  <c r="G198" i="1"/>
  <c r="W74" i="2"/>
  <c r="X74" i="2" s="1"/>
  <c r="L74" i="2"/>
  <c r="C74" i="2"/>
  <c r="H74" i="2"/>
  <c r="I74" i="2"/>
  <c r="A73" i="2"/>
  <c r="E199" i="2"/>
  <c r="B200" i="2"/>
  <c r="F199" i="2"/>
  <c r="G199" i="2"/>
  <c r="B200" i="1" l="1"/>
  <c r="G199" i="1"/>
  <c r="F199" i="1"/>
  <c r="E199" i="1"/>
  <c r="J74" i="2"/>
  <c r="K74" i="2" s="1"/>
  <c r="O74" i="2" s="1"/>
  <c r="P74" i="2" s="1"/>
  <c r="N78" i="2"/>
  <c r="M78" i="2"/>
  <c r="F200" i="2"/>
  <c r="E200" i="2"/>
  <c r="B201" i="2"/>
  <c r="G200" i="2"/>
  <c r="G200" i="1" l="1"/>
  <c r="E200" i="1"/>
  <c r="F200" i="1"/>
  <c r="B201" i="1"/>
  <c r="D74" i="2" a="1"/>
  <c r="D74" i="2" s="1"/>
  <c r="B202" i="2"/>
  <c r="G201" i="2"/>
  <c r="F201" i="2"/>
  <c r="E201" i="2"/>
  <c r="G201" i="1" l="1"/>
  <c r="F201" i="1"/>
  <c r="E201" i="1"/>
  <c r="B202" i="1"/>
  <c r="W75" i="2"/>
  <c r="X75" i="2" s="1"/>
  <c r="I75" i="2"/>
  <c r="L75" i="2"/>
  <c r="A74" i="2"/>
  <c r="H75" i="2"/>
  <c r="C75" i="2"/>
  <c r="G202" i="2"/>
  <c r="F202" i="2"/>
  <c r="B203" i="2"/>
  <c r="E202" i="2"/>
  <c r="B203" i="1" l="1"/>
  <c r="F202" i="1"/>
  <c r="E202" i="1"/>
  <c r="G202" i="1"/>
  <c r="J75" i="2"/>
  <c r="N79" i="2"/>
  <c r="M79" i="2"/>
  <c r="E203" i="2"/>
  <c r="B204" i="2"/>
  <c r="F203" i="2"/>
  <c r="G203" i="2"/>
  <c r="G203" i="1" l="1"/>
  <c r="E203" i="1"/>
  <c r="B204" i="1"/>
  <c r="F203" i="1"/>
  <c r="K75" i="2"/>
  <c r="O75" i="2" s="1"/>
  <c r="P75" i="2" s="1"/>
  <c r="B205" i="2"/>
  <c r="F204" i="2"/>
  <c r="G204" i="2"/>
  <c r="E204" i="2"/>
  <c r="G204" i="1" l="1"/>
  <c r="F204" i="1"/>
  <c r="B205" i="1"/>
  <c r="E204" i="1"/>
  <c r="D75" i="2" a="1"/>
  <c r="D75" i="2" s="1"/>
  <c r="B206" i="2"/>
  <c r="G205" i="2"/>
  <c r="F205" i="2"/>
  <c r="E205" i="2"/>
  <c r="B206" i="1" l="1"/>
  <c r="E205" i="1"/>
  <c r="F205" i="1"/>
  <c r="G205" i="1"/>
  <c r="W76" i="2"/>
  <c r="X76" i="2" s="1"/>
  <c r="H76" i="2"/>
  <c r="C76" i="2"/>
  <c r="I76" i="2"/>
  <c r="L76" i="2"/>
  <c r="A75" i="2"/>
  <c r="E206" i="2"/>
  <c r="G206" i="2"/>
  <c r="F206" i="2"/>
  <c r="B207" i="2"/>
  <c r="G206" i="1" l="1"/>
  <c r="E206" i="1"/>
  <c r="B207" i="1"/>
  <c r="F206" i="1"/>
  <c r="M80" i="2"/>
  <c r="N80" i="2"/>
  <c r="J76" i="2"/>
  <c r="F207" i="2"/>
  <c r="E207" i="2"/>
  <c r="G207" i="2"/>
  <c r="B208" i="2"/>
  <c r="G207" i="1" l="1"/>
  <c r="F207" i="1"/>
  <c r="E207" i="1"/>
  <c r="B208" i="1"/>
  <c r="K76" i="2"/>
  <c r="O76" i="2" s="1"/>
  <c r="P76" i="2" s="1"/>
  <c r="B209" i="2"/>
  <c r="G208" i="2"/>
  <c r="E208" i="2"/>
  <c r="F208" i="2"/>
  <c r="G208" i="1" l="1"/>
  <c r="E208" i="1"/>
  <c r="F208" i="1"/>
  <c r="B209" i="1"/>
  <c r="D76" i="2" a="1"/>
  <c r="D76" i="2" s="1"/>
  <c r="F209" i="2"/>
  <c r="B210" i="2"/>
  <c r="G209" i="2"/>
  <c r="E209" i="2"/>
  <c r="G209" i="1" l="1"/>
  <c r="F209" i="1"/>
  <c r="B210" i="1"/>
  <c r="E209" i="1"/>
  <c r="W77" i="2"/>
  <c r="X77" i="2" s="1"/>
  <c r="C77" i="2"/>
  <c r="A76" i="2"/>
  <c r="H77" i="2"/>
  <c r="L77" i="2"/>
  <c r="I77" i="2"/>
  <c r="E210" i="2"/>
  <c r="G210" i="2"/>
  <c r="B211" i="2"/>
  <c r="F210" i="2"/>
  <c r="G210" i="1" l="1"/>
  <c r="F210" i="1"/>
  <c r="E210" i="1"/>
  <c r="B211" i="1"/>
  <c r="M81" i="2"/>
  <c r="N81" i="2"/>
  <c r="J77" i="2"/>
  <c r="K77" i="2" s="1"/>
  <c r="O77" i="2" s="1"/>
  <c r="P77" i="2" s="1"/>
  <c r="B212" i="2"/>
  <c r="F211" i="2"/>
  <c r="G211" i="2"/>
  <c r="E211" i="2"/>
  <c r="F211" i="1" l="1"/>
  <c r="B212" i="1"/>
  <c r="G211" i="1"/>
  <c r="E211" i="1"/>
  <c r="D77" i="2" a="1"/>
  <c r="D77" i="2" s="1"/>
  <c r="B213" i="2"/>
  <c r="G212" i="2"/>
  <c r="F212" i="2"/>
  <c r="E212" i="2"/>
  <c r="E212" i="1" l="1"/>
  <c r="B213" i="1"/>
  <c r="G212" i="1"/>
  <c r="F212" i="1"/>
  <c r="A77" i="2"/>
  <c r="I78" i="2"/>
  <c r="H78" i="2"/>
  <c r="W78" i="2"/>
  <c r="X78" i="2" s="1"/>
  <c r="C78" i="2"/>
  <c r="L78" i="2"/>
  <c r="E213" i="2"/>
  <c r="G213" i="2"/>
  <c r="F213" i="2"/>
  <c r="B214" i="2"/>
  <c r="G213" i="1" l="1"/>
  <c r="F213" i="1"/>
  <c r="E213" i="1"/>
  <c r="B214" i="1"/>
  <c r="J78" i="2"/>
  <c r="K78" i="2" s="1"/>
  <c r="N82" i="2"/>
  <c r="M82" i="2"/>
  <c r="G214" i="2"/>
  <c r="F214" i="2"/>
  <c r="B215" i="2"/>
  <c r="E214" i="2"/>
  <c r="O78" i="2" l="1"/>
  <c r="P78" i="2" s="1"/>
  <c r="D78" i="2" a="1"/>
  <c r="D78" i="2" s="1"/>
  <c r="H79" i="2" s="1"/>
  <c r="G214" i="1"/>
  <c r="F214" i="1"/>
  <c r="E214" i="1"/>
  <c r="B215" i="1"/>
  <c r="B216" i="2"/>
  <c r="G215" i="2"/>
  <c r="E215" i="2"/>
  <c r="F215" i="2"/>
  <c r="C79" i="2" l="1"/>
  <c r="L79" i="2"/>
  <c r="M83" i="2" s="1"/>
  <c r="I79" i="2"/>
  <c r="W79" i="2"/>
  <c r="X79" i="2" s="1"/>
  <c r="A78" i="2"/>
  <c r="B216" i="1"/>
  <c r="F215" i="1"/>
  <c r="G215" i="1"/>
  <c r="E215" i="1"/>
  <c r="N83" i="2"/>
  <c r="J79" i="2"/>
  <c r="F216" i="2"/>
  <c r="G216" i="2"/>
  <c r="E216" i="2"/>
  <c r="B217" i="2"/>
  <c r="G216" i="1" l="1"/>
  <c r="B217" i="1"/>
  <c r="F216" i="1"/>
  <c r="E216" i="1"/>
  <c r="K79" i="2"/>
  <c r="O79" i="2" s="1"/>
  <c r="P79" i="2" s="1"/>
  <c r="I218" i="2"/>
  <c r="J218" i="2" s="1"/>
  <c r="K217" i="2"/>
  <c r="B218" i="2"/>
  <c r="I218" i="1" l="1"/>
  <c r="J218" i="1" s="1"/>
  <c r="B218" i="1"/>
  <c r="K217" i="1"/>
  <c r="D79" i="2" a="1"/>
  <c r="D79" i="2" s="1"/>
  <c r="L218" i="2"/>
  <c r="K218" i="2"/>
  <c r="I219" i="2"/>
  <c r="J219" i="2" s="1"/>
  <c r="B219" i="2"/>
  <c r="L218" i="1" l="1"/>
  <c r="K218" i="1"/>
  <c r="I219" i="1"/>
  <c r="J219" i="1" s="1"/>
  <c r="B219" i="1"/>
  <c r="A79" i="2"/>
  <c r="C80" i="2"/>
  <c r="W80" i="2"/>
  <c r="X80" i="2" s="1"/>
  <c r="I80" i="2"/>
  <c r="L80" i="2"/>
  <c r="H80" i="2"/>
  <c r="L219" i="2"/>
  <c r="I220" i="2"/>
  <c r="J220" i="2" s="1"/>
  <c r="B220" i="2"/>
  <c r="K219" i="2"/>
  <c r="N222" i="2"/>
  <c r="O222" i="2" s="1"/>
  <c r="P222" i="2" s="1"/>
  <c r="M222" i="2"/>
  <c r="J80" i="2" l="1"/>
  <c r="L219" i="1"/>
  <c r="I220" i="1"/>
  <c r="J220" i="1" s="1"/>
  <c r="K219" i="1"/>
  <c r="B220" i="1"/>
  <c r="M222" i="1"/>
  <c r="N222" i="1"/>
  <c r="O222" i="1" s="1"/>
  <c r="P222" i="1" s="1"/>
  <c r="M84" i="2"/>
  <c r="N84" i="2"/>
  <c r="K80" i="2"/>
  <c r="O80" i="2" s="1"/>
  <c r="P80" i="2" s="1"/>
  <c r="L220" i="2"/>
  <c r="K220" i="2"/>
  <c r="I221" i="2"/>
  <c r="M223" i="2"/>
  <c r="N223" i="2"/>
  <c r="O223" i="2" s="1"/>
  <c r="P223" i="2" s="1"/>
  <c r="I221" i="1" l="1"/>
  <c r="J221" i="1" s="1"/>
  <c r="K221" i="1" s="1"/>
  <c r="L220" i="1"/>
  <c r="K220" i="1"/>
  <c r="M223" i="1"/>
  <c r="N223" i="1"/>
  <c r="O223" i="1" s="1"/>
  <c r="P223" i="1" s="1"/>
  <c r="D80" i="2" a="1"/>
  <c r="D80" i="2" s="1"/>
  <c r="J221" i="2"/>
  <c r="K221" i="2" s="1"/>
  <c r="M224" i="2"/>
  <c r="N224" i="2"/>
  <c r="N224" i="1" l="1"/>
  <c r="O224" i="1" s="1"/>
  <c r="P224" i="1" s="1"/>
  <c r="M224" i="1"/>
  <c r="H81" i="2"/>
  <c r="C81" i="2"/>
  <c r="W81" i="2"/>
  <c r="X81" i="2" s="1"/>
  <c r="A80" i="2"/>
  <c r="L81" i="2"/>
  <c r="I81" i="2"/>
  <c r="O224" i="2"/>
  <c r="N85" i="2" l="1"/>
  <c r="M85" i="2"/>
  <c r="J81" i="2"/>
  <c r="P224" i="2"/>
  <c r="K81" i="2" l="1"/>
  <c r="O81" i="2" s="1"/>
  <c r="P81" i="2" s="1"/>
  <c r="D81" i="2" l="1" a="1"/>
  <c r="D81" i="2" s="1"/>
  <c r="W82" i="2" l="1"/>
  <c r="X82" i="2" s="1"/>
  <c r="H82" i="2"/>
  <c r="C82" i="2"/>
  <c r="A81" i="2"/>
  <c r="I82" i="2"/>
  <c r="L82" i="2"/>
  <c r="N86" i="2" l="1"/>
  <c r="M86" i="2"/>
  <c r="J82" i="2"/>
  <c r="K82" i="2" l="1"/>
  <c r="O82" i="2" s="1"/>
  <c r="P82" i="2" s="1"/>
  <c r="D82" i="2" l="1" a="1"/>
  <c r="D82" i="2" s="1"/>
  <c r="H83" i="2" l="1"/>
  <c r="I83" i="2"/>
  <c r="L83" i="2"/>
  <c r="C83" i="2"/>
  <c r="A82" i="2"/>
  <c r="W83" i="2"/>
  <c r="X83" i="2" s="1"/>
  <c r="N87" i="2" l="1"/>
  <c r="M87" i="2"/>
  <c r="J83" i="2"/>
  <c r="K83" i="2" l="1"/>
  <c r="O83" i="2" s="1"/>
  <c r="P83" i="2" s="1"/>
  <c r="D83" i="2" l="1" a="1"/>
  <c r="D83" i="2" s="1"/>
  <c r="I84" i="2" l="1"/>
  <c r="A83" i="2"/>
  <c r="H84" i="2"/>
  <c r="W84" i="2"/>
  <c r="X84" i="2" s="1"/>
  <c r="L84" i="2"/>
  <c r="C84" i="2"/>
  <c r="J84" i="2" l="1"/>
  <c r="K84" i="2" s="1"/>
  <c r="O84" i="2" s="1"/>
  <c r="P84" i="2" s="1"/>
  <c r="M88" i="2"/>
  <c r="N88" i="2"/>
  <c r="D84" i="2" l="1" a="1"/>
  <c r="D84" i="2" s="1"/>
  <c r="L85" i="2" s="1"/>
  <c r="C85" i="2" l="1"/>
  <c r="A84" i="2"/>
  <c r="I85" i="2"/>
  <c r="W85" i="2"/>
  <c r="X85" i="2" s="1"/>
  <c r="H85" i="2"/>
  <c r="J85" i="2" s="1"/>
  <c r="K85" i="2" s="1"/>
  <c r="M89" i="2"/>
  <c r="N89" i="2"/>
  <c r="O85" i="2" l="1"/>
  <c r="P85" i="2" s="1"/>
  <c r="D85" i="2" a="1"/>
  <c r="D85" i="2" s="1"/>
  <c r="W86" i="2" l="1"/>
  <c r="X86" i="2" s="1"/>
  <c r="H86" i="2"/>
  <c r="I86" i="2"/>
  <c r="C86" i="2"/>
  <c r="A85" i="2"/>
  <c r="L86" i="2"/>
  <c r="M90" i="2" l="1"/>
  <c r="N90" i="2"/>
  <c r="J86" i="2"/>
  <c r="K86" i="2" l="1"/>
  <c r="O86" i="2" s="1"/>
  <c r="P86" i="2" s="1"/>
  <c r="D86" i="2" a="1"/>
  <c r="D86" i="2" s="1"/>
  <c r="W87" i="2" l="1"/>
  <c r="X87" i="2" s="1"/>
  <c r="H87" i="2"/>
  <c r="L87" i="2"/>
  <c r="C87" i="2"/>
  <c r="I87" i="2"/>
  <c r="A86" i="2"/>
  <c r="M91" i="2" l="1"/>
  <c r="N91" i="2"/>
  <c r="J87" i="2"/>
  <c r="K87" i="2" l="1"/>
  <c r="O87" i="2" s="1"/>
  <c r="P87" i="2" s="1"/>
  <c r="D87" i="2" l="1" a="1"/>
  <c r="D87" i="2" s="1"/>
  <c r="W88" i="2" l="1"/>
  <c r="X88" i="2" s="1"/>
  <c r="A87" i="2"/>
  <c r="L88" i="2"/>
  <c r="C88" i="2"/>
  <c r="I88" i="2"/>
  <c r="H88" i="2"/>
  <c r="J88" i="2" s="1"/>
  <c r="K88" i="2" l="1"/>
  <c r="M92" i="2"/>
  <c r="N92" i="2"/>
  <c r="O88" i="2" l="1"/>
  <c r="P88" i="2" s="1"/>
  <c r="D88" i="2" a="1"/>
  <c r="D88" i="2" s="1"/>
  <c r="W89" i="2" l="1"/>
  <c r="X89" i="2" s="1"/>
  <c r="C89" i="2"/>
  <c r="A88" i="2"/>
  <c r="H89" i="2"/>
  <c r="I89" i="2"/>
  <c r="L89" i="2"/>
  <c r="M93" i="2" l="1"/>
  <c r="N93" i="2"/>
  <c r="J89" i="2"/>
  <c r="K89" i="2" s="1"/>
  <c r="O89" i="2" s="1"/>
  <c r="P89" i="2" s="1"/>
  <c r="D89" i="2" l="1" a="1"/>
  <c r="D89" i="2" s="1"/>
  <c r="W90" i="2" l="1"/>
  <c r="X90" i="2" s="1"/>
  <c r="L90" i="2"/>
  <c r="H90" i="2"/>
  <c r="A89" i="2"/>
  <c r="I90" i="2"/>
  <c r="C90" i="2"/>
  <c r="J90" i="2" l="1"/>
  <c r="M94" i="2"/>
  <c r="N94" i="2"/>
  <c r="K90" i="2" l="1"/>
  <c r="O90" i="2" s="1"/>
  <c r="P90" i="2" s="1"/>
  <c r="D90" i="2" l="1" a="1"/>
  <c r="D90" i="2" s="1"/>
  <c r="W91" i="2" l="1"/>
  <c r="X91" i="2" s="1"/>
  <c r="H91" i="2"/>
  <c r="I91" i="2"/>
  <c r="C91" i="2"/>
  <c r="L91" i="2"/>
  <c r="A90" i="2"/>
  <c r="N95" i="2" l="1"/>
  <c r="M95" i="2"/>
  <c r="J91" i="2"/>
  <c r="K91" i="2" l="1"/>
  <c r="O91" i="2" s="1"/>
  <c r="P91" i="2" s="1"/>
  <c r="D91" i="2" l="1" a="1"/>
  <c r="D91" i="2" s="1"/>
  <c r="W92" i="2" l="1"/>
  <c r="X92" i="2" s="1"/>
  <c r="L92" i="2"/>
  <c r="I92" i="2"/>
  <c r="H92" i="2"/>
  <c r="C92" i="2"/>
  <c r="A91" i="2"/>
  <c r="J92" i="2" l="1"/>
  <c r="K92" i="2" s="1"/>
  <c r="O92" i="2" s="1"/>
  <c r="P92" i="2" s="1"/>
  <c r="M96" i="2"/>
  <c r="N96" i="2"/>
  <c r="D92" i="2" l="1" a="1"/>
  <c r="D92" i="2" s="1"/>
  <c r="I93" i="2" l="1"/>
  <c r="H93" i="2"/>
  <c r="J93" i="2" s="1"/>
  <c r="A92" i="2"/>
  <c r="W93" i="2"/>
  <c r="X93" i="2" s="1"/>
  <c r="L93" i="2"/>
  <c r="C93" i="2"/>
  <c r="K93" i="2" l="1"/>
  <c r="D93" i="2" s="1" a="1"/>
  <c r="D93" i="2" s="1"/>
  <c r="A93" i="2" s="1"/>
  <c r="M97" i="2"/>
  <c r="N97" i="2"/>
  <c r="O93" i="2" l="1"/>
  <c r="P93" i="2" s="1"/>
  <c r="W94" i="2"/>
  <c r="X94" i="2" s="1"/>
  <c r="I94" i="2"/>
  <c r="H94" i="2"/>
  <c r="C94" i="2"/>
  <c r="L94" i="2"/>
  <c r="M98" i="2" s="1"/>
  <c r="J94" i="2"/>
  <c r="K94" i="2" s="1"/>
  <c r="N98" i="2"/>
  <c r="O94" i="2" l="1"/>
  <c r="P94" i="2" s="1"/>
  <c r="D94" i="2" a="1"/>
  <c r="D94" i="2" s="1"/>
  <c r="W95" i="2" l="1"/>
  <c r="X95" i="2" s="1"/>
  <c r="H95" i="2"/>
  <c r="L95" i="2"/>
  <c r="I95" i="2"/>
  <c r="J95" i="2" s="1"/>
  <c r="A94" i="2"/>
  <c r="C95" i="2"/>
  <c r="K95" i="2" l="1"/>
  <c r="M99" i="2"/>
  <c r="N99" i="2"/>
  <c r="O95" i="2" l="1"/>
  <c r="P95" i="2" s="1"/>
  <c r="D95" i="2" a="1"/>
  <c r="D95" i="2" s="1"/>
  <c r="I96" i="2" l="1"/>
  <c r="W96" i="2"/>
  <c r="X96" i="2" s="1"/>
  <c r="L96" i="2"/>
  <c r="C96" i="2"/>
  <c r="A95" i="2"/>
  <c r="H96" i="2"/>
  <c r="J96" i="2" s="1"/>
  <c r="K96" i="2" s="1"/>
  <c r="O96" i="2" s="1"/>
  <c r="P96" i="2" s="1"/>
  <c r="D96" i="2" l="1" a="1"/>
  <c r="D96" i="2" s="1"/>
  <c r="H97" i="2" s="1"/>
  <c r="N100" i="2"/>
  <c r="M100" i="2"/>
  <c r="L97" i="2" l="1"/>
  <c r="I97" i="2"/>
  <c r="C97" i="2"/>
  <c r="A96" i="2"/>
  <c r="W97" i="2"/>
  <c r="X97" i="2" s="1"/>
  <c r="M101" i="2"/>
  <c r="N101" i="2"/>
  <c r="J97" i="2"/>
  <c r="K97" i="2" l="1"/>
  <c r="O97" i="2" s="1"/>
  <c r="P97" i="2" s="1"/>
  <c r="D97" i="2" l="1" a="1"/>
  <c r="D97" i="2" s="1"/>
  <c r="A97" i="2" l="1"/>
  <c r="L98" i="2"/>
  <c r="C98" i="2"/>
  <c r="W98" i="2"/>
  <c r="X98" i="2" s="1"/>
  <c r="I98" i="2"/>
  <c r="H98" i="2"/>
  <c r="J98" i="2" l="1"/>
  <c r="K98" i="2"/>
  <c r="O98" i="2" s="1"/>
  <c r="P98" i="2" s="1"/>
  <c r="M102" i="2"/>
  <c r="N102" i="2"/>
  <c r="D98" i="2" l="1" a="1"/>
  <c r="D98" i="2" s="1"/>
  <c r="C99" i="2" l="1"/>
  <c r="L99" i="2"/>
  <c r="W99" i="2"/>
  <c r="X99" i="2" s="1"/>
  <c r="A98" i="2"/>
  <c r="I99" i="2"/>
  <c r="H99" i="2"/>
  <c r="J99" i="2" s="1"/>
  <c r="K99" i="2" l="1"/>
  <c r="O99" i="2" s="1"/>
  <c r="P99" i="2" s="1"/>
  <c r="M103" i="2"/>
  <c r="N103" i="2"/>
  <c r="D99" i="2" l="1" a="1"/>
  <c r="D99" i="2" s="1"/>
  <c r="W100" i="2" s="1"/>
  <c r="X100" i="2" s="1"/>
  <c r="I100" i="2" l="1"/>
  <c r="A99" i="2"/>
  <c r="H100" i="2"/>
  <c r="J100" i="2" s="1"/>
  <c r="L100" i="2"/>
  <c r="C100" i="2"/>
  <c r="N104" i="2"/>
  <c r="M104" i="2"/>
  <c r="K100" i="2" l="1"/>
  <c r="O100" i="2" s="1"/>
  <c r="P100" i="2" s="1"/>
  <c r="D100" i="2" l="1" a="1"/>
  <c r="D100" i="2" s="1"/>
  <c r="L101" i="2" s="1"/>
  <c r="I101" i="2" l="1"/>
  <c r="H101" i="2"/>
  <c r="A100" i="2"/>
  <c r="C101" i="2"/>
  <c r="W101" i="2"/>
  <c r="X101" i="2" s="1"/>
  <c r="N105" i="2"/>
  <c r="M105" i="2"/>
  <c r="J101" i="2" l="1"/>
  <c r="K101" i="2" s="1"/>
  <c r="O101" i="2" s="1"/>
  <c r="P101" i="2" s="1"/>
  <c r="D101" i="2" l="1" a="1"/>
  <c r="D101" i="2" s="1"/>
  <c r="H102" i="2" s="1"/>
  <c r="A101" i="2" l="1"/>
  <c r="C102" i="2"/>
  <c r="L102" i="2"/>
  <c r="N106" i="2" s="1"/>
  <c r="W102" i="2"/>
  <c r="X102" i="2" s="1"/>
  <c r="I102" i="2"/>
  <c r="J102" i="2" s="1"/>
  <c r="K102" i="2" s="1"/>
  <c r="O102" i="2" s="1"/>
  <c r="P102" i="2" s="1"/>
  <c r="M106" i="2" l="1"/>
  <c r="D102" i="2" a="1"/>
  <c r="D102" i="2" s="1"/>
  <c r="L103" i="2" l="1"/>
  <c r="W103" i="2"/>
  <c r="X103" i="2" s="1"/>
  <c r="A102" i="2"/>
  <c r="I103" i="2"/>
  <c r="H103" i="2"/>
  <c r="C103" i="2"/>
  <c r="J103" i="2" l="1"/>
  <c r="N107" i="2"/>
  <c r="M107" i="2"/>
  <c r="K103" i="2" l="1"/>
  <c r="O103" i="2" s="1"/>
  <c r="P103" i="2" s="1"/>
  <c r="D103" i="2" l="1" a="1"/>
  <c r="D103" i="2" s="1"/>
  <c r="H104" i="2" l="1"/>
  <c r="W104" i="2"/>
  <c r="X104" i="2" s="1"/>
  <c r="I104" i="2"/>
  <c r="L104" i="2"/>
  <c r="C104" i="2"/>
  <c r="A103" i="2"/>
  <c r="N108" i="2" l="1"/>
  <c r="M108" i="2"/>
  <c r="J104" i="2"/>
  <c r="K104" i="2" l="1"/>
  <c r="O104" i="2" s="1"/>
  <c r="P104" i="2" s="1"/>
  <c r="D104" i="2" l="1" a="1"/>
  <c r="D104" i="2" s="1"/>
  <c r="W105" i="2" l="1"/>
  <c r="X105" i="2" s="1"/>
  <c r="I105" i="2"/>
  <c r="H105" i="2"/>
  <c r="L105" i="2"/>
  <c r="C105" i="2"/>
  <c r="A104" i="2"/>
  <c r="J105" i="2" l="1"/>
  <c r="K105" i="2" s="1"/>
  <c r="N109" i="2"/>
  <c r="M109" i="2"/>
  <c r="O105" i="2" l="1"/>
  <c r="P105" i="2" s="1"/>
  <c r="D105" i="2" a="1"/>
  <c r="D105" i="2" s="1"/>
  <c r="C106" i="2" l="1"/>
  <c r="A105" i="2"/>
  <c r="W106" i="2"/>
  <c r="X106" i="2" s="1"/>
  <c r="I106" i="2"/>
  <c r="L106" i="2"/>
  <c r="H106" i="2"/>
  <c r="J106" i="2" s="1"/>
  <c r="K106" i="2" l="1"/>
  <c r="M110" i="2"/>
  <c r="N110" i="2"/>
  <c r="O106" i="2" l="1"/>
  <c r="P106" i="2" s="1"/>
  <c r="D106" i="2" a="1"/>
  <c r="D106" i="2" s="1"/>
  <c r="C107" i="2" l="1"/>
  <c r="A106" i="2"/>
  <c r="I107" i="2"/>
  <c r="W107" i="2"/>
  <c r="X107" i="2" s="1"/>
  <c r="H107" i="2"/>
  <c r="J107" i="2" s="1"/>
  <c r="L107" i="2"/>
  <c r="M111" i="2" l="1"/>
  <c r="N111" i="2"/>
  <c r="K107" i="2"/>
  <c r="O107" i="2" l="1"/>
  <c r="P107" i="2" s="1"/>
  <c r="D107" i="2" a="1"/>
  <c r="D107" i="2" s="1"/>
  <c r="I108" i="2" l="1"/>
  <c r="A107" i="2"/>
  <c r="L108" i="2"/>
  <c r="H108" i="2"/>
  <c r="J108" i="2" s="1"/>
  <c r="W108" i="2"/>
  <c r="X108" i="2" s="1"/>
  <c r="C108" i="2"/>
  <c r="K108" i="2" l="1"/>
  <c r="O108" i="2" s="1"/>
  <c r="P108" i="2" s="1"/>
  <c r="D108" i="2" a="1"/>
  <c r="D108" i="2" s="1"/>
  <c r="M112" i="2"/>
  <c r="N112" i="2"/>
  <c r="H109" i="2" l="1"/>
  <c r="C109" i="2"/>
  <c r="I109" i="2"/>
  <c r="J109" i="2" s="1"/>
  <c r="A108" i="2"/>
  <c r="L109" i="2"/>
  <c r="W109" i="2"/>
  <c r="X109" i="2" s="1"/>
  <c r="M113" i="2" l="1"/>
  <c r="N113" i="2"/>
  <c r="K109" i="2"/>
  <c r="O109" i="2" l="1"/>
  <c r="P109" i="2" s="1"/>
  <c r="D109" i="2" a="1"/>
  <c r="D109" i="2" s="1"/>
  <c r="W110" i="2" l="1"/>
  <c r="X110" i="2" s="1"/>
  <c r="C110" i="2"/>
  <c r="A109" i="2"/>
  <c r="H110" i="2"/>
  <c r="I110" i="2"/>
  <c r="L110" i="2"/>
  <c r="N114" i="2" l="1"/>
  <c r="M114" i="2"/>
  <c r="J110" i="2"/>
  <c r="K110" i="2" s="1"/>
  <c r="O110" i="2" s="1"/>
  <c r="P110" i="2" s="1"/>
  <c r="D110" i="2" l="1" a="1"/>
  <c r="D110" i="2" s="1"/>
  <c r="W111" i="2" s="1"/>
  <c r="X111" i="2" s="1"/>
  <c r="C111" i="2" l="1"/>
  <c r="I111" i="2"/>
  <c r="H111" i="2"/>
  <c r="J111" i="2" s="1"/>
  <c r="K111" i="2" s="1"/>
  <c r="A110" i="2"/>
  <c r="L111" i="2"/>
  <c r="N115" i="2" s="1"/>
  <c r="M115" i="2" l="1"/>
  <c r="O111" i="2"/>
  <c r="P111" i="2" s="1"/>
  <c r="D111" i="2" a="1"/>
  <c r="D111" i="2" s="1"/>
  <c r="W112" i="2" s="1"/>
  <c r="X112" i="2" s="1"/>
  <c r="H112" i="2" l="1"/>
  <c r="L112" i="2"/>
  <c r="N116" i="2" s="1"/>
  <c r="C112" i="2"/>
  <c r="I112" i="2"/>
  <c r="A111" i="2"/>
  <c r="J112" i="2" l="1"/>
  <c r="M116" i="2"/>
  <c r="K112" i="2"/>
  <c r="O112" i="2" s="1"/>
  <c r="P112" i="2" s="1"/>
  <c r="D112" i="2" l="1" a="1"/>
  <c r="D112" i="2" s="1"/>
  <c r="L113" i="2" s="1"/>
  <c r="A112" i="2" l="1"/>
  <c r="H113" i="2"/>
  <c r="W113" i="2"/>
  <c r="X113" i="2" s="1"/>
  <c r="I113" i="2"/>
  <c r="C113" i="2"/>
  <c r="N117" i="2"/>
  <c r="M117" i="2"/>
  <c r="J113" i="2" l="1"/>
  <c r="K113" i="2" s="1"/>
  <c r="O113" i="2" s="1"/>
  <c r="P113" i="2" s="1"/>
  <c r="D113" i="2" a="1"/>
  <c r="D113" i="2" s="1"/>
  <c r="W114" i="2" l="1"/>
  <c r="X114" i="2" s="1"/>
  <c r="L114" i="2"/>
  <c r="A113" i="2"/>
  <c r="H114" i="2"/>
  <c r="I114" i="2"/>
  <c r="C114" i="2"/>
  <c r="J114" i="2" l="1"/>
  <c r="N118" i="2"/>
  <c r="M118" i="2"/>
  <c r="K114" i="2" l="1"/>
  <c r="O114" i="2" s="1"/>
  <c r="P114" i="2" s="1"/>
  <c r="D114" i="2" l="1" a="1"/>
  <c r="D114" i="2" s="1"/>
  <c r="H115" i="2" l="1"/>
  <c r="I115" i="2"/>
  <c r="W115" i="2"/>
  <c r="X115" i="2" s="1"/>
  <c r="L115" i="2"/>
  <c r="C115" i="2"/>
  <c r="A114" i="2"/>
  <c r="N119" i="2" l="1"/>
  <c r="M119" i="2"/>
  <c r="J115" i="2"/>
  <c r="K115" i="2" l="1"/>
  <c r="O115" i="2" s="1"/>
  <c r="P115" i="2" s="1"/>
  <c r="D115" i="2" l="1" a="1"/>
  <c r="D115" i="2" s="1"/>
  <c r="C116" i="2" l="1"/>
  <c r="W116" i="2"/>
  <c r="X116" i="2" s="1"/>
  <c r="L116" i="2"/>
  <c r="I116" i="2"/>
  <c r="H116" i="2"/>
  <c r="J116" i="2" s="1"/>
  <c r="A115" i="2"/>
  <c r="M120" i="2" l="1"/>
  <c r="N120" i="2"/>
  <c r="K116" i="2"/>
  <c r="O116" i="2" l="1"/>
  <c r="P116" i="2" s="1"/>
  <c r="D116" i="2" a="1"/>
  <c r="D116" i="2" s="1"/>
  <c r="W117" i="2" l="1"/>
  <c r="X117" i="2" s="1"/>
  <c r="A116" i="2"/>
  <c r="H117" i="2"/>
  <c r="C117" i="2"/>
  <c r="L117" i="2"/>
  <c r="I117" i="2"/>
  <c r="M121" i="2" l="1"/>
  <c r="N121" i="2"/>
  <c r="J117" i="2"/>
  <c r="K117" i="2" l="1"/>
  <c r="O117" i="2" s="1"/>
  <c r="P117" i="2" s="1"/>
  <c r="D117" i="2" l="1" a="1"/>
  <c r="D117" i="2" s="1"/>
  <c r="H118" i="2" l="1"/>
  <c r="W118" i="2"/>
  <c r="X118" i="2" s="1"/>
  <c r="I118" i="2"/>
  <c r="L118" i="2"/>
  <c r="C118" i="2"/>
  <c r="A117" i="2"/>
  <c r="J118" i="2" l="1"/>
  <c r="K118" i="2"/>
  <c r="O118" i="2" s="1"/>
  <c r="P118" i="2" s="1"/>
  <c r="M122" i="2"/>
  <c r="N122" i="2"/>
  <c r="D118" i="2" l="1" a="1"/>
  <c r="D118" i="2" s="1"/>
  <c r="H119" i="2" l="1"/>
  <c r="W119" i="2"/>
  <c r="X119" i="2" s="1"/>
  <c r="I119" i="2"/>
  <c r="C119" i="2"/>
  <c r="A118" i="2"/>
  <c r="L119" i="2"/>
  <c r="J119" i="2" l="1"/>
  <c r="M123" i="2"/>
  <c r="N123" i="2"/>
  <c r="K119" i="2" l="1"/>
  <c r="O119" i="2" s="1"/>
  <c r="P119" i="2" s="1"/>
  <c r="D119" i="2" l="1" a="1"/>
  <c r="D119" i="2" s="1"/>
  <c r="W120" i="2" l="1"/>
  <c r="X120" i="2" s="1"/>
  <c r="A119" i="2"/>
  <c r="H120" i="2"/>
  <c r="C120" i="2"/>
  <c r="L120" i="2"/>
  <c r="I120" i="2"/>
  <c r="N124" i="2" l="1"/>
  <c r="M124" i="2"/>
  <c r="J120" i="2"/>
  <c r="K120" i="2" s="1"/>
  <c r="O120" i="2" s="1"/>
  <c r="P120" i="2" s="1"/>
  <c r="D120" i="2" l="1" a="1"/>
  <c r="D120" i="2" s="1"/>
  <c r="L121" i="2" l="1"/>
  <c r="I121" i="2"/>
  <c r="A120" i="2"/>
  <c r="C121" i="2"/>
  <c r="H121" i="2"/>
  <c r="W121" i="2"/>
  <c r="X121" i="2" s="1"/>
  <c r="J121" i="2" l="1"/>
  <c r="K121" i="2" s="1"/>
  <c r="O121" i="2" s="1"/>
  <c r="P121" i="2" s="1"/>
  <c r="N125" i="2"/>
  <c r="M125" i="2"/>
  <c r="D121" i="2" l="1" a="1"/>
  <c r="D121" i="2" s="1"/>
  <c r="W122" i="2" l="1"/>
  <c r="X122" i="2" s="1"/>
  <c r="I122" i="2"/>
  <c r="A121" i="2"/>
  <c r="L122" i="2"/>
  <c r="H122" i="2"/>
  <c r="J122" i="2" s="1"/>
  <c r="C122" i="2"/>
  <c r="K122" i="2" l="1"/>
  <c r="O122" i="2" s="1"/>
  <c r="P122" i="2" s="1"/>
  <c r="D122" i="2" a="1"/>
  <c r="D122" i="2" s="1"/>
  <c r="C123" i="2" s="1"/>
  <c r="N126" i="2"/>
  <c r="M126" i="2"/>
  <c r="I123" i="2" l="1"/>
  <c r="A122" i="2"/>
  <c r="L123" i="2"/>
  <c r="N127" i="2" s="1"/>
  <c r="H123" i="2"/>
  <c r="J123" i="2" s="1"/>
  <c r="W123" i="2"/>
  <c r="X123" i="2" s="1"/>
  <c r="M127" i="2" l="1"/>
  <c r="K123" i="2"/>
  <c r="O123" i="2" s="1"/>
  <c r="P123" i="2" s="1"/>
  <c r="D123" i="2" l="1" a="1"/>
  <c r="D123" i="2" s="1"/>
  <c r="C124" i="2" l="1"/>
  <c r="A123" i="2"/>
  <c r="H124" i="2"/>
  <c r="W124" i="2"/>
  <c r="X124" i="2" s="1"/>
  <c r="I124" i="2"/>
  <c r="L124" i="2"/>
  <c r="M128" i="2" l="1"/>
  <c r="N128" i="2"/>
  <c r="J124" i="2"/>
  <c r="K124" i="2"/>
  <c r="O124" i="2" s="1"/>
  <c r="P124" i="2" s="1"/>
  <c r="D124" i="2" l="1" a="1"/>
  <c r="D124" i="2" s="1"/>
  <c r="W125" i="2" l="1"/>
  <c r="X125" i="2" s="1"/>
  <c r="A124" i="2"/>
  <c r="C125" i="2"/>
  <c r="I125" i="2"/>
  <c r="H125" i="2"/>
  <c r="J125" i="2" s="1"/>
  <c r="K125" i="2" s="1"/>
  <c r="L125" i="2"/>
  <c r="D125" i="2" l="1" a="1"/>
  <c r="D125" i="2" s="1"/>
  <c r="H126" i="2" s="1"/>
  <c r="M129" i="2"/>
  <c r="N129" i="2"/>
  <c r="O125" i="2"/>
  <c r="P125" i="2" s="1"/>
  <c r="I126" i="2" l="1"/>
  <c r="J126" i="2" s="1"/>
  <c r="A125" i="2"/>
  <c r="C126" i="2"/>
  <c r="L126" i="2"/>
  <c r="M130" i="2" s="1"/>
  <c r="W126" i="2"/>
  <c r="X126" i="2" s="1"/>
  <c r="K126" i="2" l="1"/>
  <c r="O126" i="2" s="1"/>
  <c r="P126" i="2" s="1"/>
  <c r="N130" i="2"/>
  <c r="D126" i="2" a="1"/>
  <c r="D126" i="2" s="1"/>
  <c r="I127" i="2" l="1"/>
  <c r="A126" i="2"/>
  <c r="H127" i="2"/>
  <c r="L127" i="2"/>
  <c r="C127" i="2"/>
  <c r="W127" i="2"/>
  <c r="X127" i="2" s="1"/>
  <c r="J127" i="2" l="1"/>
  <c r="K127" i="2"/>
  <c r="O127" i="2" s="1"/>
  <c r="P127" i="2" s="1"/>
  <c r="M131" i="2"/>
  <c r="N131" i="2"/>
  <c r="D127" i="2" l="1" a="1"/>
  <c r="D127" i="2" s="1"/>
  <c r="W128" i="2" s="1"/>
  <c r="X128" i="2" s="1"/>
  <c r="C128" i="2"/>
  <c r="I128" i="2"/>
  <c r="A127" i="2"/>
  <c r="H128" i="2"/>
  <c r="J128" i="2" s="1"/>
  <c r="L128" i="2" l="1"/>
  <c r="K128" i="2"/>
  <c r="M132" i="2"/>
  <c r="N132" i="2"/>
  <c r="O128" i="2" l="1"/>
  <c r="P128" i="2" s="1"/>
  <c r="D128" i="2" a="1"/>
  <c r="D128" i="2" s="1"/>
  <c r="W129" i="2" l="1"/>
  <c r="X129" i="2" s="1"/>
  <c r="H129" i="2"/>
  <c r="A128" i="2"/>
  <c r="I129" i="2"/>
  <c r="L129" i="2"/>
  <c r="C129" i="2"/>
  <c r="M133" i="2" l="1"/>
  <c r="N133" i="2"/>
  <c r="J129" i="2"/>
  <c r="K129" i="2" l="1"/>
  <c r="O129" i="2" s="1"/>
  <c r="P129" i="2" s="1"/>
  <c r="D129" i="2" l="1" a="1"/>
  <c r="D129" i="2" s="1"/>
  <c r="A129" i="2" l="1"/>
  <c r="I130" i="2"/>
  <c r="L130" i="2"/>
  <c r="H130" i="2"/>
  <c r="J130" i="2" s="1"/>
  <c r="C130" i="2"/>
  <c r="W130" i="2"/>
  <c r="X130" i="2" s="1"/>
  <c r="K130" i="2" l="1"/>
  <c r="O130" i="2" s="1"/>
  <c r="P130" i="2" s="1"/>
  <c r="D130" i="2" a="1"/>
  <c r="D130" i="2" s="1"/>
  <c r="L131" i="2" s="1"/>
  <c r="M134" i="2"/>
  <c r="N134" i="2"/>
  <c r="I131" i="2" l="1"/>
  <c r="H131" i="2"/>
  <c r="J131" i="2" s="1"/>
  <c r="A130" i="2"/>
  <c r="C131" i="2"/>
  <c r="W131" i="2"/>
  <c r="X131" i="2" s="1"/>
  <c r="N135" i="2"/>
  <c r="M135" i="2"/>
  <c r="K131" i="2" l="1"/>
  <c r="O131" i="2"/>
  <c r="P131" i="2" s="1"/>
  <c r="D131" i="2" a="1"/>
  <c r="D131" i="2" s="1"/>
  <c r="W132" i="2" l="1"/>
  <c r="X132" i="2" s="1"/>
  <c r="A131" i="2"/>
  <c r="H132" i="2"/>
  <c r="C132" i="2"/>
  <c r="L132" i="2"/>
  <c r="I132" i="2"/>
  <c r="M136" i="2" l="1"/>
  <c r="N136" i="2"/>
  <c r="J132" i="2"/>
  <c r="K132" i="2" l="1"/>
  <c r="O132" i="2" s="1"/>
  <c r="P132" i="2" s="1"/>
  <c r="D132" i="2" l="1" a="1"/>
  <c r="D132" i="2" s="1"/>
  <c r="C133" i="2" s="1"/>
  <c r="I133" i="2" l="1"/>
  <c r="A132" i="2"/>
  <c r="L133" i="2"/>
  <c r="N137" i="2" s="1"/>
  <c r="H133" i="2"/>
  <c r="J133" i="2" s="1"/>
  <c r="K133" i="2" s="1"/>
  <c r="O133" i="2" s="1"/>
  <c r="P133" i="2" s="1"/>
  <c r="W133" i="2"/>
  <c r="X133" i="2" s="1"/>
  <c r="M137" i="2" l="1"/>
  <c r="D133" i="2" a="1"/>
  <c r="D133" i="2" s="1"/>
  <c r="W134" i="2" l="1"/>
  <c r="X134" i="2" s="1"/>
  <c r="C134" i="2"/>
  <c r="I134" i="2"/>
  <c r="A133" i="2"/>
  <c r="H134" i="2"/>
  <c r="L134" i="2"/>
  <c r="J134" i="2" l="1"/>
  <c r="M138" i="2"/>
  <c r="N138" i="2"/>
  <c r="K134" i="2"/>
  <c r="O134" i="2" l="1"/>
  <c r="P134" i="2" s="1"/>
  <c r="D134" i="2" a="1"/>
  <c r="D134" i="2" s="1"/>
  <c r="W135" i="2" l="1"/>
  <c r="X135" i="2" s="1"/>
  <c r="I135" i="2"/>
  <c r="C135" i="2"/>
  <c r="H135" i="2"/>
  <c r="J135" i="2" s="1"/>
  <c r="L135" i="2"/>
  <c r="A134" i="2"/>
  <c r="M139" i="2" l="1"/>
  <c r="N139" i="2"/>
  <c r="K135" i="2"/>
  <c r="O135" i="2" l="1"/>
  <c r="P135" i="2" s="1"/>
  <c r="D135" i="2" a="1"/>
  <c r="D135" i="2" s="1"/>
  <c r="W136" i="2" l="1"/>
  <c r="X136" i="2" s="1"/>
  <c r="H136" i="2"/>
  <c r="C136" i="2"/>
  <c r="L136" i="2"/>
  <c r="I136" i="2"/>
  <c r="A135" i="2"/>
  <c r="M140" i="2" l="1"/>
  <c r="N140" i="2"/>
  <c r="J136" i="2"/>
  <c r="K136" i="2" l="1"/>
  <c r="O136" i="2" s="1"/>
  <c r="P136" i="2" s="1"/>
  <c r="D136" i="2" l="1" a="1"/>
  <c r="D136" i="2" s="1"/>
  <c r="W137" i="2" l="1"/>
  <c r="X137" i="2" s="1"/>
  <c r="L137" i="2"/>
  <c r="A136" i="2"/>
  <c r="H137" i="2"/>
  <c r="I137" i="2"/>
  <c r="C137" i="2"/>
  <c r="J137" i="2" l="1"/>
  <c r="M141" i="2"/>
  <c r="N141" i="2"/>
  <c r="K137" i="2" l="1"/>
  <c r="O137" i="2" s="1"/>
  <c r="P137" i="2" s="1"/>
  <c r="D137" i="2" l="1" a="1"/>
  <c r="D137" i="2" s="1"/>
  <c r="W138" i="2" l="1"/>
  <c r="X138" i="2" s="1"/>
  <c r="H138" i="2"/>
  <c r="A137" i="2"/>
  <c r="C138" i="2"/>
  <c r="L138" i="2"/>
  <c r="I138" i="2"/>
  <c r="N142" i="2" l="1"/>
  <c r="M142" i="2"/>
  <c r="J138" i="2"/>
  <c r="K138" i="2" l="1"/>
  <c r="O138" i="2" s="1"/>
  <c r="P138" i="2" s="1"/>
  <c r="D138" i="2" l="1" a="1"/>
  <c r="D138" i="2" s="1"/>
  <c r="W139" i="2" l="1"/>
  <c r="X139" i="2" s="1"/>
  <c r="L139" i="2"/>
  <c r="H139" i="2"/>
  <c r="I139" i="2"/>
  <c r="C139" i="2"/>
  <c r="A138" i="2"/>
  <c r="J139" i="2" l="1"/>
  <c r="M143" i="2"/>
  <c r="N143" i="2"/>
  <c r="K139" i="2" l="1"/>
  <c r="O139" i="2" s="1"/>
  <c r="P139" i="2" s="1"/>
  <c r="D139" i="2" l="1" a="1"/>
  <c r="D139" i="2" s="1"/>
  <c r="W140" i="2" l="1"/>
  <c r="X140" i="2" s="1"/>
  <c r="C140" i="2"/>
  <c r="L140" i="2"/>
  <c r="I140" i="2"/>
  <c r="A139" i="2"/>
  <c r="H140" i="2"/>
  <c r="J140" i="2" l="1"/>
  <c r="M144" i="2"/>
  <c r="N144" i="2"/>
  <c r="K140" i="2" l="1"/>
  <c r="O140" i="2" s="1"/>
  <c r="P140" i="2" s="1"/>
  <c r="D140" i="2" l="1" a="1"/>
  <c r="D140" i="2" s="1"/>
  <c r="H141" i="2" s="1"/>
  <c r="C141" i="2" l="1"/>
  <c r="I141" i="2"/>
  <c r="L141" i="2"/>
  <c r="A140" i="2"/>
  <c r="W141" i="2"/>
  <c r="X141" i="2" s="1"/>
  <c r="N145" i="2"/>
  <c r="M145" i="2"/>
  <c r="J141" i="2"/>
  <c r="K141" i="2" s="1"/>
  <c r="O141" i="2" l="1"/>
  <c r="P141" i="2" s="1"/>
  <c r="D141" i="2" a="1"/>
  <c r="D141" i="2" s="1"/>
  <c r="W142" i="2" s="1"/>
  <c r="X142" i="2" s="1"/>
  <c r="H142" i="2" l="1"/>
  <c r="L142" i="2"/>
  <c r="M146" i="2" s="1"/>
  <c r="C142" i="2"/>
  <c r="I142" i="2"/>
  <c r="A141" i="2"/>
  <c r="N146" i="2" l="1"/>
  <c r="J142" i="2"/>
  <c r="K142" i="2" s="1"/>
  <c r="O142" i="2" s="1"/>
  <c r="P142" i="2" s="1"/>
  <c r="D142" i="2" a="1"/>
  <c r="D142" i="2" s="1"/>
  <c r="W143" i="2" l="1"/>
  <c r="X143" i="2" s="1"/>
  <c r="A142" i="2"/>
  <c r="H143" i="2"/>
  <c r="I143" i="2"/>
  <c r="L143" i="2"/>
  <c r="C143" i="2"/>
  <c r="J143" i="2" l="1"/>
  <c r="M147" i="2"/>
  <c r="N147" i="2"/>
  <c r="K143" i="2" l="1"/>
  <c r="O143" i="2" s="1"/>
  <c r="P143" i="2" s="1"/>
  <c r="D143" i="2" l="1" a="1"/>
  <c r="D143" i="2" s="1"/>
  <c r="W144" i="2" s="1"/>
  <c r="X144" i="2" s="1"/>
  <c r="A143" i="2" l="1"/>
  <c r="I144" i="2"/>
  <c r="C144" i="2"/>
  <c r="H144" i="2"/>
  <c r="J144" i="2" s="1"/>
  <c r="L144" i="2"/>
  <c r="N148" i="2" s="1"/>
  <c r="K144" i="2"/>
  <c r="M148" i="2" l="1"/>
  <c r="O144" i="2"/>
  <c r="P144" i="2" s="1"/>
  <c r="D144" i="2" a="1"/>
  <c r="D144" i="2" s="1"/>
  <c r="W145" i="2" l="1"/>
  <c r="X145" i="2" s="1"/>
  <c r="H145" i="2"/>
  <c r="A144" i="2"/>
  <c r="I145" i="2"/>
  <c r="C145" i="2"/>
  <c r="L145" i="2"/>
  <c r="M149" i="2" l="1"/>
  <c r="N149" i="2"/>
  <c r="J145" i="2"/>
  <c r="K145" i="2" l="1"/>
  <c r="O145" i="2" s="1"/>
  <c r="P145" i="2" s="1"/>
  <c r="D145" i="2" l="1" a="1"/>
  <c r="D145" i="2" s="1"/>
  <c r="I146" i="2" l="1"/>
  <c r="W146" i="2"/>
  <c r="X146" i="2" s="1"/>
  <c r="C146" i="2"/>
  <c r="A145" i="2"/>
  <c r="H146" i="2"/>
  <c r="J146" i="2" s="1"/>
  <c r="K146" i="2" s="1"/>
  <c r="L146" i="2"/>
  <c r="D146" i="2" l="1" a="1"/>
  <c r="D146" i="2" s="1"/>
  <c r="L147" i="2" s="1"/>
  <c r="M150" i="2"/>
  <c r="N150" i="2"/>
  <c r="O146" i="2"/>
  <c r="P146" i="2" s="1"/>
  <c r="I147" i="2" l="1"/>
  <c r="A146" i="2"/>
  <c r="C147" i="2"/>
  <c r="W147" i="2"/>
  <c r="X147" i="2" s="1"/>
  <c r="H147" i="2"/>
  <c r="N151" i="2"/>
  <c r="M151" i="2"/>
  <c r="J147" i="2" l="1"/>
  <c r="K147" i="2"/>
  <c r="O147" i="2" s="1"/>
  <c r="P147" i="2" s="1"/>
  <c r="D147" i="2" l="1" a="1"/>
  <c r="D147" i="2" s="1"/>
  <c r="A147" i="2" l="1"/>
  <c r="C148" i="2"/>
  <c r="I148" i="2"/>
  <c r="L148" i="2"/>
  <c r="H148" i="2"/>
  <c r="J148" i="2" s="1"/>
  <c r="W148" i="2"/>
  <c r="X148" i="2" s="1"/>
  <c r="N152" i="2" l="1"/>
  <c r="M152" i="2"/>
  <c r="K148" i="2"/>
  <c r="O148" i="2" s="1"/>
  <c r="P148" i="2" s="1"/>
  <c r="D148" i="2" l="1" a="1"/>
  <c r="D148" i="2" s="1"/>
  <c r="W149" i="2" l="1"/>
  <c r="X149" i="2" s="1"/>
  <c r="H149" i="2"/>
  <c r="I149" i="2"/>
  <c r="J149" i="2" s="1"/>
  <c r="C149" i="2"/>
  <c r="A148" i="2"/>
  <c r="L149" i="2"/>
  <c r="K149" i="2" l="1"/>
  <c r="O149" i="2" s="1"/>
  <c r="P149" i="2" s="1"/>
  <c r="N153" i="2"/>
  <c r="M153" i="2"/>
  <c r="D149" i="2" a="1"/>
  <c r="D149" i="2" s="1"/>
  <c r="W150" i="2" l="1"/>
  <c r="X150" i="2" s="1"/>
  <c r="H150" i="2"/>
  <c r="C150" i="2"/>
  <c r="A149" i="2"/>
  <c r="I150" i="2"/>
  <c r="L150" i="2"/>
  <c r="M154" i="2" l="1"/>
  <c r="N154" i="2"/>
  <c r="J150" i="2"/>
  <c r="K150" i="2" l="1"/>
  <c r="O150" i="2" s="1"/>
  <c r="P150" i="2" s="1"/>
  <c r="D150" i="2" a="1"/>
  <c r="D150" i="2" s="1"/>
  <c r="A150" i="2" l="1"/>
  <c r="L151" i="2"/>
  <c r="W151" i="2"/>
  <c r="X151" i="2" s="1"/>
  <c r="H151" i="2"/>
  <c r="C151" i="2"/>
  <c r="I151" i="2"/>
  <c r="J151" i="2" l="1"/>
  <c r="N155" i="2"/>
  <c r="M155" i="2"/>
  <c r="K151" i="2" l="1"/>
  <c r="O151" i="2" s="1"/>
  <c r="P151" i="2" s="1"/>
  <c r="D151" i="2" l="1" a="1"/>
  <c r="D151" i="2" s="1"/>
  <c r="W152" i="2" l="1"/>
  <c r="X152" i="2" s="1"/>
  <c r="H152" i="2"/>
  <c r="C152" i="2"/>
  <c r="I152" i="2"/>
  <c r="A151" i="2"/>
  <c r="L152" i="2"/>
  <c r="M156" i="2" l="1"/>
  <c r="N156" i="2"/>
  <c r="J152" i="2"/>
  <c r="K152" i="2" l="1"/>
  <c r="O152" i="2" s="1"/>
  <c r="P152" i="2" s="1"/>
  <c r="D152" i="2" l="1" a="1"/>
  <c r="D152" i="2" s="1"/>
  <c r="A152" i="2" l="1"/>
  <c r="L153" i="2"/>
  <c r="C153" i="2"/>
  <c r="H153" i="2"/>
  <c r="I153" i="2"/>
  <c r="W153" i="2"/>
  <c r="X153" i="2" s="1"/>
  <c r="J153" i="2" l="1"/>
  <c r="K153" i="2"/>
  <c r="O153" i="2" s="1"/>
  <c r="P153" i="2" s="1"/>
  <c r="N157" i="2"/>
  <c r="M157" i="2"/>
  <c r="D153" i="2" l="1" a="1"/>
  <c r="D153" i="2" s="1"/>
  <c r="C154" i="2" l="1"/>
  <c r="I154" i="2"/>
  <c r="A153" i="2"/>
  <c r="L154" i="2"/>
  <c r="W154" i="2"/>
  <c r="X154" i="2" s="1"/>
  <c r="H154" i="2"/>
  <c r="J154" i="2" s="1"/>
  <c r="M158" i="2" l="1"/>
  <c r="N158" i="2"/>
  <c r="K154" i="2"/>
  <c r="O154" i="2" l="1"/>
  <c r="P154" i="2" s="1"/>
  <c r="D154" i="2" a="1"/>
  <c r="D154" i="2" s="1"/>
  <c r="W155" i="2" l="1"/>
  <c r="X155" i="2" s="1"/>
  <c r="I155" i="2"/>
  <c r="C155" i="2"/>
  <c r="H155" i="2"/>
  <c r="J155" i="2" s="1"/>
  <c r="L155" i="2"/>
  <c r="A154" i="2"/>
  <c r="N159" i="2" l="1"/>
  <c r="M159" i="2"/>
  <c r="K155" i="2"/>
  <c r="O155" i="2" l="1"/>
  <c r="P155" i="2" s="1"/>
  <c r="D155" i="2" a="1"/>
  <c r="D155" i="2" s="1"/>
  <c r="W156" i="2" l="1"/>
  <c r="X156" i="2" s="1"/>
  <c r="L156" i="2"/>
  <c r="H156" i="2"/>
  <c r="A155" i="2"/>
  <c r="C156" i="2"/>
  <c r="I156" i="2"/>
  <c r="J156" i="2" l="1"/>
  <c r="M160" i="2"/>
  <c r="N160" i="2"/>
  <c r="K156" i="2" l="1"/>
  <c r="O156" i="2" s="1"/>
  <c r="P156" i="2" s="1"/>
  <c r="D156" i="2" l="1" a="1"/>
  <c r="D156" i="2" s="1"/>
  <c r="W157" i="2" l="1"/>
  <c r="X157" i="2" s="1"/>
  <c r="H157" i="2"/>
  <c r="A156" i="2"/>
  <c r="C157" i="2"/>
  <c r="L157" i="2"/>
  <c r="I157" i="2"/>
  <c r="M161" i="2" l="1"/>
  <c r="N161" i="2"/>
  <c r="J157" i="2"/>
  <c r="K157" i="2" l="1"/>
  <c r="O157" i="2" s="1"/>
  <c r="P157" i="2" s="1"/>
  <c r="D157" i="2" l="1" a="1"/>
  <c r="D157" i="2" s="1"/>
  <c r="A157" i="2" l="1"/>
  <c r="C158" i="2"/>
  <c r="H158" i="2"/>
  <c r="L158" i="2"/>
  <c r="I158" i="2"/>
  <c r="W158" i="2"/>
  <c r="X158" i="2" s="1"/>
  <c r="M162" i="2" l="1"/>
  <c r="N162" i="2"/>
  <c r="J158" i="2"/>
  <c r="K158" i="2" s="1"/>
  <c r="O158" i="2" s="1"/>
  <c r="P158" i="2" s="1"/>
  <c r="D158" i="2" l="1" a="1"/>
  <c r="D158" i="2" s="1"/>
  <c r="C159" i="2" l="1"/>
  <c r="A158" i="2"/>
  <c r="H159" i="2"/>
  <c r="L159" i="2"/>
  <c r="W159" i="2"/>
  <c r="X159" i="2" s="1"/>
  <c r="I159" i="2"/>
  <c r="N163" i="2" l="1"/>
  <c r="M163" i="2"/>
  <c r="J159" i="2"/>
  <c r="K159" i="2" s="1"/>
  <c r="O159" i="2" s="1"/>
  <c r="P159" i="2" s="1"/>
  <c r="D159" i="2" l="1" a="1"/>
  <c r="D159" i="2" s="1"/>
  <c r="W160" i="2" l="1"/>
  <c r="X160" i="2" s="1"/>
  <c r="H160" i="2"/>
  <c r="A159" i="2"/>
  <c r="L160" i="2"/>
  <c r="C160" i="2"/>
  <c r="I160" i="2"/>
  <c r="N164" i="2" l="1"/>
  <c r="M164" i="2"/>
  <c r="J160" i="2"/>
  <c r="K160" i="2" l="1"/>
  <c r="O160" i="2" s="1"/>
  <c r="P160" i="2" s="1"/>
  <c r="D160" i="2" l="1" a="1"/>
  <c r="D160" i="2" s="1"/>
  <c r="I161" i="2" l="1"/>
  <c r="L161" i="2"/>
  <c r="C161" i="2"/>
  <c r="A160" i="2"/>
  <c r="W161" i="2"/>
  <c r="X161" i="2" s="1"/>
  <c r="H161" i="2"/>
  <c r="J161" i="2" l="1"/>
  <c r="K161" i="2"/>
  <c r="O161" i="2" s="1"/>
  <c r="P161" i="2" s="1"/>
  <c r="M165" i="2"/>
  <c r="N165" i="2"/>
  <c r="D161" i="2" l="1" a="1"/>
  <c r="D161" i="2" s="1"/>
  <c r="L162" i="2" l="1"/>
  <c r="A161" i="2"/>
  <c r="I162" i="2"/>
  <c r="C162" i="2"/>
  <c r="W162" i="2"/>
  <c r="X162" i="2" s="1"/>
  <c r="H162" i="2"/>
  <c r="J162" i="2" s="1"/>
  <c r="K162" i="2" l="1"/>
  <c r="M166" i="2"/>
  <c r="N166" i="2"/>
  <c r="O162" i="2" l="1"/>
  <c r="P162" i="2" s="1"/>
  <c r="D162" i="2" a="1"/>
  <c r="D162" i="2" s="1"/>
  <c r="L163" i="2" l="1"/>
  <c r="A162" i="2"/>
  <c r="W163" i="2"/>
  <c r="X163" i="2" s="1"/>
  <c r="H163" i="2"/>
  <c r="I163" i="2"/>
  <c r="C163" i="2"/>
  <c r="J163" i="2" l="1"/>
  <c r="N167" i="2"/>
  <c r="M167" i="2"/>
  <c r="K163" i="2" l="1"/>
  <c r="O163" i="2" s="1"/>
  <c r="P163" i="2" s="1"/>
  <c r="D163" i="2" l="1" a="1"/>
  <c r="D163" i="2" s="1"/>
  <c r="W164" i="2" l="1"/>
  <c r="X164" i="2" s="1"/>
  <c r="I164" i="2"/>
  <c r="L164" i="2"/>
  <c r="H164" i="2"/>
  <c r="C164" i="2"/>
  <c r="A163" i="2"/>
  <c r="J164" i="2" l="1"/>
  <c r="K164" i="2"/>
  <c r="N168" i="2"/>
  <c r="M168" i="2"/>
  <c r="O164" i="2" l="1"/>
  <c r="P164" i="2" s="1"/>
  <c r="D164" i="2" a="1"/>
  <c r="D164" i="2" s="1"/>
  <c r="I165" i="2" l="1"/>
  <c r="H165" i="2"/>
  <c r="W165" i="2"/>
  <c r="X165" i="2" s="1"/>
  <c r="C165" i="2"/>
  <c r="L165" i="2"/>
  <c r="A164" i="2"/>
  <c r="J165" i="2" l="1"/>
  <c r="K165" i="2" s="1"/>
  <c r="O165" i="2" s="1"/>
  <c r="P165" i="2" s="1"/>
  <c r="N169" i="2"/>
  <c r="M169" i="2"/>
  <c r="D165" i="2" a="1"/>
  <c r="D165" i="2" s="1"/>
  <c r="A165" i="2" l="1"/>
  <c r="W166" i="2"/>
  <c r="X166" i="2" s="1"/>
  <c r="L166" i="2"/>
  <c r="C166" i="2"/>
  <c r="I166" i="2"/>
  <c r="H166" i="2"/>
  <c r="J166" i="2" s="1"/>
  <c r="K166" i="2" l="1"/>
  <c r="M170" i="2"/>
  <c r="N170" i="2"/>
  <c r="O166" i="2" l="1"/>
  <c r="P166" i="2" s="1"/>
  <c r="D166" i="2" a="1"/>
  <c r="D166" i="2" s="1"/>
  <c r="I167" i="2" l="1"/>
  <c r="H167" i="2"/>
  <c r="J167" i="2" s="1"/>
  <c r="C167" i="2"/>
  <c r="L167" i="2"/>
  <c r="A166" i="2"/>
  <c r="W167" i="2"/>
  <c r="X167" i="2" s="1"/>
  <c r="K167" i="2" l="1"/>
  <c r="D167" i="2" s="1" a="1"/>
  <c r="D167" i="2" s="1"/>
  <c r="N171" i="2"/>
  <c r="M171" i="2"/>
  <c r="O167" i="2" l="1"/>
  <c r="P167" i="2" s="1"/>
  <c r="I168" i="2"/>
  <c r="A167" i="2"/>
  <c r="H168" i="2"/>
  <c r="J168" i="2" s="1"/>
  <c r="L168" i="2"/>
  <c r="M172" i="2" s="1"/>
  <c r="W168" i="2"/>
  <c r="X168" i="2" s="1"/>
  <c r="C168" i="2"/>
  <c r="K168" i="2" l="1"/>
  <c r="O168" i="2" s="1"/>
  <c r="P168" i="2" s="1"/>
  <c r="N172" i="2"/>
  <c r="D168" i="2" a="1"/>
  <c r="D168" i="2" s="1"/>
  <c r="W169" i="2" l="1"/>
  <c r="X169" i="2" s="1"/>
  <c r="H169" i="2"/>
  <c r="C169" i="2"/>
  <c r="I169" i="2"/>
  <c r="A168" i="2"/>
  <c r="L169" i="2"/>
  <c r="M173" i="2" l="1"/>
  <c r="N173" i="2"/>
  <c r="J169" i="2"/>
  <c r="K169" i="2" l="1"/>
  <c r="O169" i="2" s="1"/>
  <c r="P169" i="2" s="1"/>
  <c r="D169" i="2" l="1" a="1"/>
  <c r="D169" i="2" s="1"/>
  <c r="C170" i="2" l="1"/>
  <c r="A169" i="2"/>
  <c r="W170" i="2"/>
  <c r="X170" i="2" s="1"/>
  <c r="L170" i="2"/>
  <c r="H170" i="2"/>
  <c r="I170" i="2"/>
  <c r="J170" i="2" l="1"/>
  <c r="K170" i="2" s="1"/>
  <c r="O170" i="2" s="1"/>
  <c r="P170" i="2" s="1"/>
  <c r="M174" i="2"/>
  <c r="N174" i="2"/>
  <c r="D170" i="2" l="1" a="1"/>
  <c r="D170" i="2" s="1"/>
  <c r="W171" i="2" l="1"/>
  <c r="X171" i="2" s="1"/>
  <c r="C171" i="2"/>
  <c r="I171" i="2"/>
  <c r="H171" i="2"/>
  <c r="J171" i="2" s="1"/>
  <c r="L171" i="2"/>
  <c r="A170" i="2"/>
  <c r="N175" i="2" l="1"/>
  <c r="M175" i="2"/>
  <c r="K171" i="2"/>
  <c r="O171" i="2" l="1"/>
  <c r="P171" i="2" s="1"/>
  <c r="D171" i="2" a="1"/>
  <c r="D171" i="2" s="1"/>
  <c r="W172" i="2" l="1"/>
  <c r="X172" i="2" s="1"/>
  <c r="C172" i="2"/>
  <c r="I172" i="2"/>
  <c r="H172" i="2"/>
  <c r="J172" i="2" s="1"/>
  <c r="A171" i="2"/>
  <c r="L172" i="2"/>
  <c r="M176" i="2" l="1"/>
  <c r="N176" i="2"/>
  <c r="K172" i="2"/>
  <c r="O172" i="2" l="1"/>
  <c r="P172" i="2" s="1"/>
  <c r="D172" i="2" a="1"/>
  <c r="D172" i="2" s="1"/>
  <c r="C173" i="2" l="1"/>
  <c r="W173" i="2"/>
  <c r="X173" i="2" s="1"/>
  <c r="H173" i="2"/>
  <c r="A172" i="2"/>
  <c r="I173" i="2"/>
  <c r="L173" i="2"/>
  <c r="N177" i="2" l="1"/>
  <c r="M177" i="2"/>
  <c r="J173" i="2"/>
  <c r="K173" i="2" s="1"/>
  <c r="O173" i="2" s="1"/>
  <c r="P173" i="2" s="1"/>
  <c r="D173" i="2" l="1" a="1"/>
  <c r="D173" i="2" s="1"/>
  <c r="H174" i="2" l="1"/>
  <c r="I174" i="2"/>
  <c r="W174" i="2"/>
  <c r="X174" i="2" s="1"/>
  <c r="L174" i="2"/>
  <c r="A173" i="2"/>
  <c r="C174" i="2"/>
  <c r="M178" i="2" l="1"/>
  <c r="N178" i="2"/>
  <c r="J174" i="2"/>
  <c r="K174" i="2" l="1"/>
  <c r="O174" i="2" s="1"/>
  <c r="P174" i="2" s="1"/>
  <c r="D174" i="2" l="1" a="1"/>
  <c r="D174" i="2" s="1"/>
  <c r="W175" i="2" l="1"/>
  <c r="X175" i="2" s="1"/>
  <c r="I175" i="2"/>
  <c r="H175" i="2"/>
  <c r="J175" i="2" s="1"/>
  <c r="L175" i="2"/>
  <c r="A174" i="2"/>
  <c r="C175" i="2"/>
  <c r="K175" i="2" l="1"/>
  <c r="O175" i="2" s="1"/>
  <c r="P175" i="2" s="1"/>
  <c r="D175" i="2" a="1"/>
  <c r="D175" i="2" s="1"/>
  <c r="W176" i="2" s="1"/>
  <c r="X176" i="2" s="1"/>
  <c r="M179" i="2"/>
  <c r="N179" i="2"/>
  <c r="I176" i="2" l="1"/>
  <c r="C176" i="2"/>
  <c r="H176" i="2"/>
  <c r="J176" i="2" s="1"/>
  <c r="A175" i="2"/>
  <c r="L176" i="2"/>
  <c r="M180" i="2" s="1"/>
  <c r="N180" i="2" l="1"/>
  <c r="K176" i="2"/>
  <c r="O176" i="2" s="1"/>
  <c r="P176" i="2" s="1"/>
  <c r="D176" i="2" l="1" a="1"/>
  <c r="D176" i="2" s="1"/>
  <c r="W177" i="2" l="1"/>
  <c r="X177" i="2" s="1"/>
  <c r="A176" i="2"/>
  <c r="H177" i="2"/>
  <c r="C177" i="2"/>
  <c r="I177" i="2"/>
  <c r="L177" i="2"/>
  <c r="N181" i="2" l="1"/>
  <c r="M181" i="2"/>
  <c r="J177" i="2"/>
  <c r="K177" i="2" l="1"/>
  <c r="O177" i="2" s="1"/>
  <c r="P177" i="2" s="1"/>
  <c r="D177" i="2" l="1" a="1"/>
  <c r="D177" i="2" s="1"/>
  <c r="W178" i="2" l="1"/>
  <c r="X178" i="2" s="1"/>
  <c r="A177" i="2"/>
  <c r="C178" i="2"/>
  <c r="L178" i="2"/>
  <c r="I178" i="2"/>
  <c r="H178" i="2"/>
  <c r="J178" i="2" l="1"/>
  <c r="N182" i="2"/>
  <c r="M182" i="2"/>
  <c r="K178" i="2"/>
  <c r="O178" i="2" s="1"/>
  <c r="P178" i="2" s="1"/>
  <c r="D178" i="2" l="1" a="1"/>
  <c r="D178" i="2" s="1"/>
  <c r="C179" i="2" l="1"/>
  <c r="H179" i="2"/>
  <c r="W179" i="2"/>
  <c r="X179" i="2" s="1"/>
  <c r="L179" i="2"/>
  <c r="I179" i="2"/>
  <c r="A178" i="2"/>
  <c r="M183" i="2" l="1"/>
  <c r="N183" i="2"/>
  <c r="J179" i="2"/>
  <c r="K179" i="2" s="1"/>
  <c r="O179" i="2" s="1"/>
  <c r="P179" i="2" s="1"/>
  <c r="D179" i="2" l="1" a="1"/>
  <c r="D179" i="2" s="1"/>
  <c r="W180" i="2" l="1"/>
  <c r="X180" i="2" s="1"/>
  <c r="I180" i="2"/>
  <c r="L180" i="2"/>
  <c r="C180" i="2"/>
  <c r="A179" i="2"/>
  <c r="H180" i="2"/>
  <c r="J180" i="2" s="1"/>
  <c r="K180" i="2" l="1"/>
  <c r="N184" i="2"/>
  <c r="M184" i="2"/>
  <c r="O180" i="2" l="1"/>
  <c r="P180" i="2" s="1"/>
  <c r="D180" i="2" a="1"/>
  <c r="D180" i="2" s="1"/>
  <c r="W181" i="2" l="1"/>
  <c r="X181" i="2" s="1"/>
  <c r="I181" i="2"/>
  <c r="C181" i="2"/>
  <c r="H181" i="2"/>
  <c r="J181" i="2" s="1"/>
  <c r="L181" i="2"/>
  <c r="A180" i="2"/>
  <c r="M185" i="2" l="1"/>
  <c r="N185" i="2"/>
  <c r="K181" i="2"/>
  <c r="O181" i="2" l="1"/>
  <c r="P181" i="2" s="1"/>
  <c r="D181" i="2" a="1"/>
  <c r="D181" i="2" s="1"/>
  <c r="L182" i="2" l="1"/>
  <c r="H182" i="2"/>
  <c r="C182" i="2"/>
  <c r="A181" i="2"/>
  <c r="W182" i="2"/>
  <c r="X182" i="2" s="1"/>
  <c r="I182" i="2"/>
  <c r="J182" i="2" l="1"/>
  <c r="N186" i="2"/>
  <c r="M186" i="2"/>
  <c r="K182" i="2" l="1"/>
  <c r="O182" i="2" s="1"/>
  <c r="P182" i="2" s="1"/>
  <c r="D182" i="2" l="1" a="1"/>
  <c r="D182" i="2" s="1"/>
  <c r="H183" i="2" l="1"/>
  <c r="W183" i="2"/>
  <c r="X183" i="2" s="1"/>
  <c r="L183" i="2"/>
  <c r="I183" i="2"/>
  <c r="C183" i="2"/>
  <c r="A182" i="2"/>
  <c r="N187" i="2" l="1"/>
  <c r="M187" i="2"/>
  <c r="J183" i="2"/>
  <c r="K183" i="2" l="1"/>
  <c r="O183" i="2" s="1"/>
  <c r="P183" i="2" s="1"/>
  <c r="D183" i="2" l="1" a="1"/>
  <c r="D183" i="2" s="1"/>
  <c r="A183" i="2" l="1"/>
  <c r="I184" i="2"/>
  <c r="H184" i="2"/>
  <c r="J184" i="2" s="1"/>
  <c r="C184" i="2"/>
  <c r="W184" i="2"/>
  <c r="X184" i="2" s="1"/>
  <c r="L184" i="2"/>
  <c r="K184" i="2" l="1"/>
  <c r="D184" i="2" s="1" a="1"/>
  <c r="D184" i="2" s="1"/>
  <c r="N188" i="2"/>
  <c r="M188" i="2"/>
  <c r="O184" i="2" l="1"/>
  <c r="P184" i="2" s="1"/>
  <c r="W185" i="2"/>
  <c r="X185" i="2" s="1"/>
  <c r="H185" i="2"/>
  <c r="A184" i="2"/>
  <c r="I185" i="2"/>
  <c r="J185" i="2" s="1"/>
  <c r="C185" i="2"/>
  <c r="L185" i="2"/>
  <c r="N189" i="2" s="1"/>
  <c r="M189" i="2" l="1"/>
  <c r="K185" i="2"/>
  <c r="O185" i="2" s="1"/>
  <c r="P185" i="2" s="1"/>
  <c r="D185" i="2" l="1" a="1"/>
  <c r="D185" i="2" s="1"/>
  <c r="W186" i="2" l="1"/>
  <c r="X186" i="2" s="1"/>
  <c r="L186" i="2"/>
  <c r="A185" i="2"/>
  <c r="I186" i="2"/>
  <c r="H186" i="2"/>
  <c r="C186" i="2"/>
  <c r="J186" i="2" l="1"/>
  <c r="K186" i="2" s="1"/>
  <c r="M190" i="2"/>
  <c r="N190" i="2"/>
  <c r="O186" i="2" l="1"/>
  <c r="P186" i="2" s="1"/>
  <c r="D186" i="2" a="1"/>
  <c r="D186" i="2" s="1"/>
  <c r="C187" i="2" s="1"/>
  <c r="W187" i="2" l="1"/>
  <c r="X187" i="2" s="1"/>
  <c r="I187" i="2"/>
  <c r="L187" i="2"/>
  <c r="H187" i="2"/>
  <c r="A186" i="2"/>
  <c r="M191" i="2"/>
  <c r="N191" i="2"/>
  <c r="J187" i="2"/>
  <c r="K187" i="2" l="1"/>
  <c r="O187" i="2" s="1"/>
  <c r="P187" i="2" s="1"/>
  <c r="D187" i="2" l="1" a="1"/>
  <c r="D187" i="2" s="1"/>
  <c r="W188" i="2" l="1"/>
  <c r="X188" i="2" s="1"/>
  <c r="L188" i="2"/>
  <c r="A187" i="2"/>
  <c r="H188" i="2"/>
  <c r="C188" i="2"/>
  <c r="I188" i="2"/>
  <c r="J188" i="2" l="1"/>
  <c r="M192" i="2"/>
  <c r="N192" i="2"/>
  <c r="K188" i="2" l="1"/>
  <c r="O188" i="2" s="1"/>
  <c r="P188" i="2" s="1"/>
  <c r="D188" i="2" l="1" a="1"/>
  <c r="D188" i="2" s="1"/>
  <c r="W189" i="2" l="1"/>
  <c r="X189" i="2" s="1"/>
  <c r="L189" i="2"/>
  <c r="H189" i="2"/>
  <c r="A188" i="2"/>
  <c r="C189" i="2"/>
  <c r="I189" i="2"/>
  <c r="J189" i="2" l="1"/>
  <c r="M193" i="2"/>
  <c r="N193" i="2"/>
  <c r="K189" i="2" l="1"/>
  <c r="O189" i="2" s="1"/>
  <c r="P189" i="2" s="1"/>
  <c r="D189" i="2" l="1" a="1"/>
  <c r="D189" i="2" s="1"/>
  <c r="W190" i="2" l="1"/>
  <c r="X190" i="2" s="1"/>
  <c r="I190" i="2"/>
  <c r="A189" i="2"/>
  <c r="H190" i="2"/>
  <c r="J190" i="2" s="1"/>
  <c r="C190" i="2"/>
  <c r="L190" i="2"/>
  <c r="K190" i="2" l="1"/>
  <c r="D190" i="2" s="1" a="1"/>
  <c r="D190" i="2" s="1"/>
  <c r="C191" i="2" s="1"/>
  <c r="M194" i="2"/>
  <c r="N194" i="2"/>
  <c r="O190" i="2" l="1"/>
  <c r="P190" i="2" s="1"/>
  <c r="W191" i="2"/>
  <c r="X191" i="2" s="1"/>
  <c r="I191" i="2"/>
  <c r="A190" i="2"/>
  <c r="L191" i="2"/>
  <c r="N195" i="2" s="1"/>
  <c r="H191" i="2"/>
  <c r="J191" i="2" s="1"/>
  <c r="K191" i="2" s="1"/>
  <c r="M195" i="2"/>
  <c r="O191" i="2" l="1"/>
  <c r="P191" i="2" s="1"/>
  <c r="D191" i="2" a="1"/>
  <c r="D191" i="2" s="1"/>
  <c r="I192" i="2" l="1"/>
  <c r="L192" i="2"/>
  <c r="A191" i="2"/>
  <c r="W192" i="2"/>
  <c r="X192" i="2" s="1"/>
  <c r="H192" i="2"/>
  <c r="C192" i="2"/>
  <c r="J192" i="2" l="1"/>
  <c r="K192" i="2" s="1"/>
  <c r="O192" i="2" s="1"/>
  <c r="P192" i="2" s="1"/>
  <c r="M196" i="2"/>
  <c r="N196" i="2"/>
  <c r="D192" i="2" l="1" a="1"/>
  <c r="D192" i="2" s="1"/>
  <c r="I193" i="2" l="1"/>
  <c r="W193" i="2"/>
  <c r="X193" i="2" s="1"/>
  <c r="H193" i="2"/>
  <c r="L193" i="2"/>
  <c r="A192" i="2"/>
  <c r="C193" i="2"/>
  <c r="M197" i="2" l="1"/>
  <c r="N197" i="2"/>
  <c r="J193" i="2"/>
  <c r="K193" i="2"/>
  <c r="O193" i="2" s="1"/>
  <c r="P193" i="2" s="1"/>
  <c r="D193" i="2" l="1" a="1"/>
  <c r="D193" i="2" s="1"/>
  <c r="H194" i="2" l="1"/>
  <c r="L194" i="2"/>
  <c r="C194" i="2"/>
  <c r="A193" i="2"/>
  <c r="I194" i="2"/>
  <c r="W194" i="2"/>
  <c r="X194" i="2" s="1"/>
  <c r="M198" i="2" l="1"/>
  <c r="N198" i="2"/>
  <c r="J194" i="2"/>
  <c r="K194" i="2" s="1"/>
  <c r="O194" i="2" s="1"/>
  <c r="P194" i="2" s="1"/>
  <c r="D194" i="2" l="1" a="1"/>
  <c r="D194" i="2" s="1"/>
  <c r="C195" i="2" s="1"/>
  <c r="H195" i="2" l="1"/>
  <c r="L195" i="2"/>
  <c r="M199" i="2" s="1"/>
  <c r="I195" i="2"/>
  <c r="W195" i="2"/>
  <c r="X195" i="2" s="1"/>
  <c r="A194" i="2"/>
  <c r="N199" i="2" l="1"/>
  <c r="J195" i="2"/>
  <c r="K195" i="2" s="1"/>
  <c r="O195" i="2" s="1"/>
  <c r="P195" i="2" s="1"/>
  <c r="D195" i="2" a="1"/>
  <c r="D195" i="2" s="1"/>
  <c r="W196" i="2" l="1"/>
  <c r="X196" i="2" s="1"/>
  <c r="H196" i="2"/>
  <c r="A195" i="2"/>
  <c r="I196" i="2"/>
  <c r="C196" i="2"/>
  <c r="L196" i="2"/>
  <c r="M200" i="2" l="1"/>
  <c r="N200" i="2"/>
  <c r="J196" i="2"/>
  <c r="K196" i="2" l="1"/>
  <c r="O196" i="2" s="1"/>
  <c r="P196" i="2" s="1"/>
  <c r="D196" i="2" l="1" a="1"/>
  <c r="D196" i="2" s="1"/>
  <c r="I197" i="2" l="1"/>
  <c r="W197" i="2"/>
  <c r="X197" i="2" s="1"/>
  <c r="H197" i="2"/>
  <c r="J197" i="2" s="1"/>
  <c r="C197" i="2"/>
  <c r="A196" i="2"/>
  <c r="L197" i="2"/>
  <c r="K197" i="2" l="1"/>
  <c r="O197" i="2" s="1"/>
  <c r="P197" i="2" s="1"/>
  <c r="D197" i="2" a="1"/>
  <c r="D197" i="2" s="1"/>
  <c r="N201" i="2"/>
  <c r="M201" i="2"/>
  <c r="L198" i="2" l="1"/>
  <c r="C198" i="2"/>
  <c r="A197" i="2"/>
  <c r="H198" i="2"/>
  <c r="I198" i="2"/>
  <c r="W198" i="2"/>
  <c r="X198" i="2" s="1"/>
  <c r="J198" i="2" l="1"/>
  <c r="K198" i="2"/>
  <c r="O198" i="2" s="1"/>
  <c r="P198" i="2" s="1"/>
  <c r="N202" i="2"/>
  <c r="M202" i="2"/>
  <c r="D198" i="2" l="1" a="1"/>
  <c r="D198" i="2" s="1"/>
  <c r="W199" i="2" l="1"/>
  <c r="X199" i="2" s="1"/>
  <c r="L199" i="2"/>
  <c r="A198" i="2"/>
  <c r="H199" i="2"/>
  <c r="C199" i="2"/>
  <c r="I199" i="2"/>
  <c r="J199" i="2" l="1"/>
  <c r="M203" i="2"/>
  <c r="N203" i="2"/>
  <c r="K199" i="2" l="1"/>
  <c r="O199" i="2" s="1"/>
  <c r="P199" i="2" s="1"/>
  <c r="D199" i="2" l="1" a="1"/>
  <c r="D199" i="2" s="1"/>
  <c r="C200" i="2" l="1"/>
  <c r="A199" i="2"/>
  <c r="L200" i="2"/>
  <c r="I200" i="2"/>
  <c r="H200" i="2"/>
  <c r="J200" i="2" s="1"/>
  <c r="W200" i="2"/>
  <c r="X200" i="2" s="1"/>
  <c r="N204" i="2" l="1"/>
  <c r="M204" i="2"/>
  <c r="K200" i="2"/>
  <c r="O200" i="2" l="1"/>
  <c r="P200" i="2" s="1"/>
  <c r="D200" i="2" a="1"/>
  <c r="D200" i="2" s="1"/>
  <c r="W201" i="2" l="1"/>
  <c r="X201" i="2" s="1"/>
  <c r="H201" i="2"/>
  <c r="I201" i="2"/>
  <c r="C201" i="2"/>
  <c r="A200" i="2"/>
  <c r="L201" i="2"/>
  <c r="M205" i="2" l="1"/>
  <c r="N205" i="2"/>
  <c r="J201" i="2"/>
  <c r="K201" i="2" l="1"/>
  <c r="O201" i="2" s="1"/>
  <c r="P201" i="2" s="1"/>
  <c r="D201" i="2" l="1" a="1"/>
  <c r="D201" i="2" s="1"/>
  <c r="I202" i="2" l="1"/>
  <c r="W202" i="2"/>
  <c r="X202" i="2" s="1"/>
  <c r="A201" i="2"/>
  <c r="L202" i="2"/>
  <c r="C202" i="2"/>
  <c r="H202" i="2"/>
  <c r="J202" i="2" s="1"/>
  <c r="M206" i="2" l="1"/>
  <c r="N206" i="2"/>
  <c r="K202" i="2"/>
  <c r="O202" i="2" s="1"/>
  <c r="P202" i="2" s="1"/>
  <c r="D202" i="2" l="1" a="1"/>
  <c r="D202" i="2" s="1"/>
  <c r="W203" i="2" l="1"/>
  <c r="X203" i="2" s="1"/>
  <c r="H203" i="2"/>
  <c r="C203" i="2"/>
  <c r="A202" i="2"/>
  <c r="L203" i="2"/>
  <c r="I203" i="2"/>
  <c r="M207" i="2" l="1"/>
  <c r="N207" i="2"/>
  <c r="J203" i="2"/>
  <c r="K203" i="2" l="1"/>
  <c r="O203" i="2" s="1"/>
  <c r="P203" i="2" s="1"/>
  <c r="D203" i="2" l="1" a="1"/>
  <c r="D203" i="2" s="1"/>
  <c r="W204" i="2" l="1"/>
  <c r="X204" i="2" s="1"/>
  <c r="C204" i="2"/>
  <c r="H204" i="2"/>
  <c r="I204" i="2"/>
  <c r="L204" i="2"/>
  <c r="A203" i="2"/>
  <c r="J204" i="2" l="1"/>
  <c r="K204" i="2" s="1"/>
  <c r="O204" i="2" s="1"/>
  <c r="P204" i="2" s="1"/>
  <c r="M208" i="2"/>
  <c r="N208" i="2"/>
  <c r="D204" i="2" l="1" a="1"/>
  <c r="D204" i="2" s="1"/>
  <c r="W205" i="2" l="1"/>
  <c r="X205" i="2" s="1"/>
  <c r="A204" i="2"/>
  <c r="I205" i="2"/>
  <c r="C205" i="2"/>
  <c r="H205" i="2"/>
  <c r="J205" i="2" s="1"/>
  <c r="L205" i="2"/>
  <c r="M209" i="2" l="1"/>
  <c r="N209" i="2"/>
  <c r="K205" i="2"/>
  <c r="O205" i="2" l="1"/>
  <c r="P205" i="2" s="1"/>
  <c r="D205" i="2" a="1"/>
  <c r="D205" i="2" s="1"/>
  <c r="A205" i="2" l="1"/>
  <c r="W206" i="2"/>
  <c r="X206" i="2" s="1"/>
  <c r="C206" i="2"/>
  <c r="I206" i="2"/>
  <c r="L206" i="2"/>
  <c r="H206" i="2"/>
  <c r="J206" i="2" s="1"/>
  <c r="N210" i="2" l="1"/>
  <c r="M210" i="2"/>
  <c r="K206" i="2"/>
  <c r="O206" i="2" l="1"/>
  <c r="P206" i="2" s="1"/>
  <c r="D206" i="2" a="1"/>
  <c r="D206" i="2" s="1"/>
  <c r="W207" i="2" l="1"/>
  <c r="X207" i="2" s="1"/>
  <c r="H207" i="2"/>
  <c r="C207" i="2"/>
  <c r="L207" i="2"/>
  <c r="A206" i="2"/>
  <c r="I207" i="2"/>
  <c r="J207" i="2" l="1"/>
  <c r="K207" i="2" s="1"/>
  <c r="O207" i="2" s="1"/>
  <c r="P207" i="2" s="1"/>
  <c r="N211" i="2"/>
  <c r="M211" i="2"/>
  <c r="D207" i="2" l="1" a="1"/>
  <c r="D207" i="2" s="1"/>
  <c r="L208" i="2" l="1"/>
  <c r="A207" i="2"/>
  <c r="C208" i="2"/>
  <c r="I208" i="2"/>
  <c r="W208" i="2"/>
  <c r="X208" i="2" s="1"/>
  <c r="H208" i="2"/>
  <c r="J208" i="2" s="1"/>
  <c r="K208" i="2" l="1"/>
  <c r="O208" i="2" s="1"/>
  <c r="P208" i="2" s="1"/>
  <c r="N212" i="2"/>
  <c r="M212" i="2"/>
  <c r="D208" i="2" l="1" a="1"/>
  <c r="D208" i="2" s="1"/>
  <c r="W209" i="2" s="1"/>
  <c r="X209" i="2" s="1"/>
  <c r="H209" i="2" l="1"/>
  <c r="I209" i="2"/>
  <c r="A208" i="2"/>
  <c r="C209" i="2"/>
  <c r="L209" i="2"/>
  <c r="M213" i="2"/>
  <c r="N213" i="2"/>
  <c r="J209" i="2" l="1"/>
  <c r="K209" i="2" s="1"/>
  <c r="O209" i="2" s="1"/>
  <c r="P209" i="2" s="1"/>
  <c r="D209" i="2" a="1"/>
  <c r="D209" i="2" s="1"/>
  <c r="A209" i="2" s="1"/>
  <c r="L210" i="2" l="1"/>
  <c r="M214" i="2" s="1"/>
  <c r="H210" i="2"/>
  <c r="C210" i="2"/>
  <c r="I210" i="2"/>
  <c r="W210" i="2"/>
  <c r="X210" i="2" s="1"/>
  <c r="N214" i="2" l="1"/>
  <c r="J210" i="2"/>
  <c r="K210" i="2" s="1"/>
  <c r="O210" i="2" s="1"/>
  <c r="P210" i="2" s="1"/>
  <c r="D210" i="2" l="1" a="1"/>
  <c r="D210" i="2" s="1"/>
  <c r="L211" i="2" s="1"/>
  <c r="I211" i="2" l="1"/>
  <c r="A210" i="2"/>
  <c r="H211" i="2"/>
  <c r="W211" i="2"/>
  <c r="X211" i="2" s="1"/>
  <c r="C211" i="2"/>
  <c r="M215" i="2"/>
  <c r="N215" i="2"/>
  <c r="J211" i="2" l="1"/>
  <c r="K211" i="2" s="1"/>
  <c r="O211" i="2"/>
  <c r="P211" i="2" s="1"/>
  <c r="D211" i="2" a="1"/>
  <c r="D211" i="2" s="1"/>
  <c r="H212" i="2" l="1"/>
  <c r="W212" i="2"/>
  <c r="X212" i="2" s="1"/>
  <c r="L212" i="2"/>
  <c r="A211" i="2"/>
  <c r="C212" i="2"/>
  <c r="I212" i="2"/>
  <c r="I1" i="1" l="1"/>
  <c r="M216" i="2"/>
  <c r="N216" i="2"/>
  <c r="J212" i="2"/>
  <c r="K212" i="2" l="1"/>
  <c r="O212" i="2" s="1"/>
  <c r="P212" i="2" s="1"/>
  <c r="D212" i="2" l="1" a="1"/>
  <c r="D212" i="2" s="1"/>
  <c r="I213" i="2" l="1"/>
  <c r="A212" i="2"/>
  <c r="H213" i="2"/>
  <c r="C213" i="2"/>
  <c r="W213" i="2"/>
  <c r="X213" i="2" s="1"/>
  <c r="L213" i="2"/>
  <c r="J213" i="2" l="1"/>
  <c r="K213" i="2"/>
  <c r="O213" i="2" s="1"/>
  <c r="P213" i="2" s="1"/>
  <c r="M217" i="2"/>
  <c r="N217" i="2"/>
  <c r="D213" i="2" a="1"/>
  <c r="D213" i="2" s="1"/>
  <c r="W214" i="2" l="1"/>
  <c r="X214" i="2" s="1"/>
  <c r="A213" i="2"/>
  <c r="H214" i="2"/>
  <c r="I214" i="2"/>
  <c r="C214" i="2"/>
  <c r="L214" i="2"/>
  <c r="M218" i="2" l="1"/>
  <c r="N218" i="2"/>
  <c r="O218" i="2" s="1"/>
  <c r="P218" i="2" s="1"/>
  <c r="J214" i="2"/>
  <c r="K214" i="2" l="1"/>
  <c r="O214" i="2" s="1"/>
  <c r="P214" i="2" s="1"/>
  <c r="D214" i="2" l="1" a="1"/>
  <c r="D214" i="2" s="1"/>
  <c r="W215" i="2" l="1"/>
  <c r="X215" i="2" s="1"/>
  <c r="H215" i="2"/>
  <c r="C215" i="2"/>
  <c r="L215" i="2"/>
  <c r="A214" i="2"/>
  <c r="I215" i="2"/>
  <c r="M219" i="2" l="1"/>
  <c r="N219" i="2"/>
  <c r="O219" i="2" s="1"/>
  <c r="P219" i="2" s="1"/>
  <c r="J215" i="2"/>
  <c r="K215" i="2" l="1"/>
  <c r="O215" i="2" l="1"/>
  <c r="P215" i="2" s="1"/>
  <c r="D215" i="2" a="1"/>
  <c r="D215" i="2" s="1"/>
  <c r="W216" i="2" l="1"/>
  <c r="X216" i="2" s="1"/>
  <c r="I216" i="2"/>
  <c r="C216" i="2"/>
  <c r="L216" i="2"/>
  <c r="A215" i="2"/>
  <c r="H216" i="2"/>
  <c r="J216" i="2" l="1"/>
  <c r="J8" i="2" s="1"/>
  <c r="M220" i="2"/>
  <c r="N220" i="2"/>
  <c r="K216" i="2" l="1"/>
  <c r="O216" i="2" s="1"/>
  <c r="K8" i="2"/>
  <c r="D216" i="2" a="1"/>
  <c r="D216" i="2" s="1"/>
  <c r="O220" i="2"/>
  <c r="P220" i="2" s="1"/>
  <c r="L217" i="2" l="1"/>
  <c r="A216" i="2"/>
  <c r="P216" i="2"/>
  <c r="N221" i="2" l="1"/>
  <c r="M221" i="2"/>
  <c r="M8" i="2" s="1"/>
  <c r="O217" i="2"/>
  <c r="L8" i="2"/>
  <c r="P217" i="2" l="1"/>
  <c r="N1" i="2"/>
  <c r="O221" i="2"/>
  <c r="P221" i="2" s="1"/>
  <c r="P8" i="2" s="1"/>
  <c r="N8" i="2"/>
  <c r="T8" i="2" s="1"/>
  <c r="I1" i="2" s="1"/>
  <c r="M2" i="2" l="1"/>
  <c r="O8" i="2"/>
  <c r="M19" i="5" l="1"/>
  <c r="N19" i="5"/>
  <c r="I12" i="5"/>
  <c r="G12" i="5" s="1"/>
  <c r="W15" i="5"/>
  <c r="V15" i="5"/>
  <c r="A14" i="5"/>
  <c r="F12" i="5"/>
  <c r="E12" i="5" s="1"/>
  <c r="K12" i="5" l="1"/>
  <c r="O15" i="5"/>
  <c r="P15" i="5" s="1"/>
  <c r="D11" i="5"/>
  <c r="D12" i="5" l="1"/>
  <c r="C16" i="5" l="1"/>
  <c r="A15" i="5"/>
  <c r="X16" i="5"/>
  <c r="L16" i="5"/>
  <c r="N20" i="5" s="1"/>
  <c r="L4" i="5"/>
  <c r="J16" i="5"/>
  <c r="K8" i="5"/>
  <c r="N16" i="5" s="1"/>
  <c r="K16" i="5" l="1"/>
  <c r="D16" i="5" s="1" a="1"/>
  <c r="D16" i="5" s="1"/>
  <c r="M20" i="5"/>
  <c r="L17" i="5" l="1"/>
  <c r="M21" i="5" s="1"/>
  <c r="O16" i="5"/>
  <c r="P16" i="5" s="1"/>
  <c r="I17" i="5"/>
  <c r="A16" i="5"/>
  <c r="H17" i="5"/>
  <c r="C17" i="5"/>
  <c r="N21" i="5" l="1"/>
  <c r="J17" i="5"/>
  <c r="K17" i="5" s="1"/>
  <c r="O17" i="5" s="1"/>
  <c r="P17" i="5" s="1"/>
  <c r="D17" i="5" l="1" a="1"/>
  <c r="D17" i="5" s="1"/>
  <c r="C18" i="5" s="1"/>
  <c r="A17" i="5" l="1"/>
  <c r="L18" i="5"/>
  <c r="M22" i="5" s="1"/>
  <c r="I18" i="5"/>
  <c r="H18" i="5"/>
  <c r="N22" i="5" l="1"/>
  <c r="J18" i="5"/>
  <c r="K18" i="5" s="1"/>
  <c r="O18" i="5" s="1"/>
  <c r="P18" i="5" s="1"/>
  <c r="D18" i="5" l="1" a="1"/>
  <c r="D18" i="5" s="1"/>
  <c r="A18" i="5" s="1"/>
  <c r="L19" i="5"/>
  <c r="H19" i="5"/>
  <c r="I19" i="5" l="1"/>
  <c r="C19" i="5"/>
  <c r="J19" i="5"/>
  <c r="K19" i="5" s="1"/>
  <c r="O19" i="5" s="1"/>
  <c r="M23" i="5"/>
  <c r="N23" i="5"/>
  <c r="D19" i="5" l="1" a="1"/>
  <c r="D19" i="5" s="1"/>
  <c r="L20" i="5" s="1"/>
  <c r="P19" i="5"/>
  <c r="H20" i="5" l="1"/>
  <c r="A19" i="5"/>
  <c r="I20" i="5"/>
  <c r="C20" i="5"/>
  <c r="N24" i="5"/>
  <c r="M24" i="5"/>
  <c r="J20" i="5" l="1"/>
  <c r="K20" i="5" s="1"/>
  <c r="O20" i="5" s="1"/>
  <c r="P20" i="5" s="1"/>
  <c r="D20" i="5" l="1" a="1"/>
  <c r="D20" i="5" s="1"/>
  <c r="I21" i="5" s="1"/>
  <c r="C21" i="5" l="1"/>
  <c r="L21" i="5"/>
  <c r="M25" i="5" s="1"/>
  <c r="H21" i="5"/>
  <c r="J21" i="5" s="1"/>
  <c r="A20" i="5"/>
  <c r="N25" i="5" l="1"/>
  <c r="K21" i="5"/>
  <c r="O21" i="5" s="1"/>
  <c r="P21" i="5" s="1"/>
  <c r="D21" i="5" l="1" a="1"/>
  <c r="D21" i="5" s="1"/>
  <c r="L22" i="5" l="1"/>
  <c r="H22" i="5"/>
  <c r="I22" i="5"/>
  <c r="A21" i="5"/>
  <c r="C22" i="5"/>
  <c r="J22" i="5" l="1"/>
  <c r="K22" i="5" s="1"/>
  <c r="O22" i="5" s="1"/>
  <c r="P22" i="5" s="1"/>
  <c r="N26" i="5"/>
  <c r="M26" i="5"/>
  <c r="D22" i="5" l="1" a="1"/>
  <c r="D22" i="5" s="1"/>
  <c r="A22" i="5" s="1"/>
  <c r="C23" i="5" l="1"/>
  <c r="I23" i="5"/>
  <c r="H23" i="5"/>
  <c r="L23" i="5"/>
  <c r="M27" i="5" s="1"/>
  <c r="J23" i="5" l="1"/>
  <c r="K23" i="5" s="1"/>
  <c r="O23" i="5" s="1"/>
  <c r="P23" i="5" s="1"/>
  <c r="N27" i="5"/>
  <c r="D23" i="5" a="1"/>
  <c r="D23" i="5" s="1"/>
  <c r="C24" i="5" l="1"/>
  <c r="L24" i="5"/>
  <c r="A23" i="5"/>
  <c r="H24" i="5"/>
  <c r="I24" i="5"/>
  <c r="J24" i="5" l="1"/>
  <c r="K24" i="5" s="1"/>
  <c r="O24" i="5" s="1"/>
  <c r="P24" i="5" s="1"/>
  <c r="M28" i="5"/>
  <c r="N28" i="5"/>
  <c r="D24" i="5" l="1" a="1"/>
  <c r="D24" i="5" s="1"/>
  <c r="I25" i="5" l="1"/>
  <c r="H25" i="5"/>
  <c r="L25" i="5"/>
  <c r="C25" i="5"/>
  <c r="A24" i="5"/>
  <c r="J25" i="5" l="1"/>
  <c r="K25" i="5" s="1"/>
  <c r="O25" i="5" s="1"/>
  <c r="P25" i="5" s="1"/>
  <c r="M29" i="5"/>
  <c r="N29" i="5"/>
  <c r="D25" i="5" l="1" a="1"/>
  <c r="D25" i="5" s="1"/>
  <c r="A25" i="5" l="1"/>
  <c r="I26" i="5"/>
  <c r="C26" i="5"/>
  <c r="H26" i="5"/>
  <c r="L26" i="5"/>
  <c r="J26" i="5" l="1"/>
  <c r="K26" i="5" s="1"/>
  <c r="O26" i="5" s="1"/>
  <c r="P26" i="5" s="1"/>
  <c r="N30" i="5"/>
  <c r="M30" i="5"/>
  <c r="D26" i="5" l="1" a="1"/>
  <c r="D26" i="5" s="1"/>
  <c r="L27" i="5" l="1"/>
  <c r="A26" i="5"/>
  <c r="I27" i="5"/>
  <c r="C27" i="5"/>
  <c r="H27" i="5"/>
  <c r="J27" i="5" l="1"/>
  <c r="K27" i="5" s="1"/>
  <c r="O27" i="5" s="1"/>
  <c r="P27" i="5" s="1"/>
  <c r="M31" i="5"/>
  <c r="N31" i="5"/>
  <c r="D27" i="5" l="1" a="1"/>
  <c r="D27" i="5" s="1"/>
  <c r="H28" i="5" l="1"/>
  <c r="A27" i="5"/>
  <c r="I28" i="5"/>
  <c r="L28" i="5"/>
  <c r="C28" i="5"/>
  <c r="N32" i="5" l="1"/>
  <c r="M32" i="5"/>
  <c r="J28" i="5"/>
  <c r="K28" i="5" l="1"/>
  <c r="O28" i="5" s="1"/>
  <c r="P28" i="5" s="1"/>
  <c r="D28" i="5" l="1" a="1"/>
  <c r="D28" i="5" s="1"/>
  <c r="H29" i="5" l="1"/>
  <c r="L29" i="5"/>
  <c r="A28" i="5"/>
  <c r="I29" i="5"/>
  <c r="C29" i="5"/>
  <c r="N33" i="5" l="1"/>
  <c r="M33" i="5"/>
  <c r="J29" i="5"/>
  <c r="K29" i="5" l="1"/>
  <c r="O29" i="5" s="1"/>
  <c r="P29" i="5" s="1"/>
  <c r="D29" i="5" l="1" a="1"/>
  <c r="D29" i="5" s="1"/>
  <c r="L30" i="5" l="1"/>
  <c r="H30" i="5"/>
  <c r="I30" i="5"/>
  <c r="A29" i="5"/>
  <c r="C30" i="5"/>
  <c r="J30" i="5" l="1"/>
  <c r="M34" i="5"/>
  <c r="N34" i="5"/>
  <c r="K30" i="5" l="1"/>
  <c r="O30" i="5" s="1"/>
  <c r="P30" i="5" s="1"/>
  <c r="D30" i="5" l="1" a="1"/>
  <c r="D30" i="5" s="1"/>
  <c r="C31" i="5" l="1"/>
  <c r="I31" i="5"/>
  <c r="H31" i="5"/>
  <c r="L31" i="5"/>
  <c r="A30" i="5"/>
  <c r="J31" i="5" l="1"/>
  <c r="K31" i="5" s="1"/>
  <c r="M35" i="5"/>
  <c r="N35" i="5"/>
  <c r="O31" i="5" l="1"/>
  <c r="P31" i="5" s="1"/>
  <c r="D31" i="5" a="1"/>
  <c r="D31" i="5" s="1"/>
  <c r="I32" i="5" l="1"/>
  <c r="C32" i="5"/>
  <c r="H32" i="5"/>
  <c r="J32" i="5" s="1"/>
  <c r="L32" i="5"/>
  <c r="A31" i="5"/>
  <c r="M36" i="5" l="1"/>
  <c r="N36" i="5"/>
  <c r="K32" i="5"/>
  <c r="O32" i="5" s="1"/>
  <c r="P32" i="5" s="1"/>
  <c r="D32" i="5" l="1" a="1"/>
  <c r="D32" i="5" s="1"/>
  <c r="I33" i="5" l="1"/>
  <c r="A32" i="5"/>
  <c r="C33" i="5"/>
  <c r="L33" i="5"/>
  <c r="H33" i="5"/>
  <c r="J33" i="5" l="1"/>
  <c r="K33" i="5" s="1"/>
  <c r="O33" i="5" s="1"/>
  <c r="P33" i="5" s="1"/>
  <c r="M37" i="5"/>
  <c r="N37" i="5"/>
  <c r="D33" i="5" l="1" a="1"/>
  <c r="D33" i="5" s="1"/>
  <c r="H34" i="5" l="1"/>
  <c r="A33" i="5"/>
  <c r="I34" i="5"/>
  <c r="C34" i="5"/>
  <c r="L34" i="5"/>
  <c r="N38" i="5" l="1"/>
  <c r="M38" i="5"/>
  <c r="J34" i="5"/>
  <c r="K34" i="5" l="1"/>
  <c r="O34" i="5" s="1"/>
  <c r="P34" i="5" s="1"/>
  <c r="D34" i="5" l="1" a="1"/>
  <c r="D34" i="5" s="1"/>
  <c r="L35" i="5" l="1"/>
  <c r="H35" i="5"/>
  <c r="A34" i="5"/>
  <c r="I35" i="5"/>
  <c r="C35" i="5"/>
  <c r="J35" i="5" l="1"/>
  <c r="K35" i="5" s="1"/>
  <c r="O35" i="5" s="1"/>
  <c r="P35" i="5" s="1"/>
  <c r="N39" i="5"/>
  <c r="M39" i="5"/>
  <c r="D35" i="5" l="1" a="1"/>
  <c r="D35" i="5" s="1"/>
  <c r="A35" i="5" l="1"/>
  <c r="H36" i="5"/>
  <c r="L36" i="5"/>
  <c r="I36" i="5"/>
  <c r="C36" i="5"/>
  <c r="M40" i="5" l="1"/>
  <c r="N40" i="5"/>
  <c r="J36" i="5"/>
  <c r="K36" i="5" l="1"/>
  <c r="O36" i="5" s="1"/>
  <c r="P36" i="5" s="1"/>
  <c r="D36" i="5" l="1" a="1"/>
  <c r="D36" i="5" s="1"/>
  <c r="H37" i="5" l="1"/>
  <c r="L37" i="5"/>
  <c r="A36" i="5"/>
  <c r="I37" i="5"/>
  <c r="C37" i="5"/>
  <c r="N41" i="5" l="1"/>
  <c r="M41" i="5"/>
  <c r="J37" i="5"/>
  <c r="K37" i="5" l="1"/>
  <c r="O37" i="5" s="1"/>
  <c r="P37" i="5" s="1"/>
  <c r="D37" i="5" l="1" a="1"/>
  <c r="D37" i="5" s="1"/>
  <c r="C38" i="5" l="1"/>
  <c r="L38" i="5"/>
  <c r="H38" i="5"/>
  <c r="I38" i="5"/>
  <c r="A37" i="5"/>
  <c r="J38" i="5" l="1"/>
  <c r="K38" i="5" s="1"/>
  <c r="M42" i="5"/>
  <c r="N42" i="5"/>
  <c r="O38" i="5" l="1"/>
  <c r="P38" i="5" s="1"/>
  <c r="D38" i="5" a="1"/>
  <c r="D38" i="5" s="1"/>
  <c r="I39" i="5" l="1"/>
  <c r="L39" i="5"/>
  <c r="C39" i="5"/>
  <c r="H39" i="5"/>
  <c r="A38" i="5"/>
  <c r="J39" i="5" l="1"/>
  <c r="K39" i="5" s="1"/>
  <c r="O39" i="5" s="1"/>
  <c r="P39" i="5" s="1"/>
  <c r="N43" i="5"/>
  <c r="M43" i="5"/>
  <c r="D39" i="5" l="1" a="1"/>
  <c r="D39" i="5" s="1"/>
  <c r="I40" i="5" l="1"/>
  <c r="A39" i="5"/>
  <c r="C40" i="5"/>
  <c r="L40" i="5"/>
  <c r="H40" i="5"/>
  <c r="J40" i="5" l="1"/>
  <c r="K40" i="5" s="1"/>
  <c r="O40" i="5" s="1"/>
  <c r="P40" i="5" s="1"/>
  <c r="N44" i="5"/>
  <c r="M44" i="5"/>
  <c r="D40" i="5" l="1" a="1"/>
  <c r="D40" i="5" s="1"/>
  <c r="H41" i="5" l="1"/>
  <c r="A40" i="5"/>
  <c r="I41" i="5"/>
  <c r="C41" i="5"/>
  <c r="L41" i="5"/>
  <c r="M45" i="5" l="1"/>
  <c r="N45" i="5"/>
  <c r="J41" i="5"/>
  <c r="K41" i="5" l="1"/>
  <c r="O41" i="5" s="1"/>
  <c r="P41" i="5" s="1"/>
  <c r="D41" i="5" l="1" a="1"/>
  <c r="D41" i="5" s="1"/>
  <c r="L42" i="5" l="1"/>
  <c r="H42" i="5"/>
  <c r="A41" i="5"/>
  <c r="I42" i="5"/>
  <c r="C42" i="5"/>
  <c r="J42" i="5" l="1"/>
  <c r="K42" i="5" s="1"/>
  <c r="O42" i="5" s="1"/>
  <c r="P42" i="5" s="1"/>
  <c r="N46" i="5"/>
  <c r="M46" i="5"/>
  <c r="D42" i="5" l="1" a="1"/>
  <c r="D42" i="5" s="1"/>
  <c r="A42" i="5" l="1"/>
  <c r="H43" i="5"/>
  <c r="I43" i="5"/>
  <c r="L43" i="5"/>
  <c r="C43" i="5"/>
  <c r="J43" i="5" l="1"/>
  <c r="K43" i="5" s="1"/>
  <c r="N47" i="5"/>
  <c r="M47" i="5"/>
  <c r="O43" i="5" l="1"/>
  <c r="P43" i="5" s="1"/>
  <c r="D43" i="5" a="1"/>
  <c r="D43" i="5" s="1"/>
  <c r="A43" i="5" s="1"/>
  <c r="I44" i="5" l="1"/>
  <c r="H44" i="5"/>
  <c r="C44" i="5"/>
  <c r="L44" i="5"/>
  <c r="N48" i="5" s="1"/>
  <c r="J44" i="5" l="1"/>
  <c r="K44" i="5" s="1"/>
  <c r="O44" i="5" s="1"/>
  <c r="P44" i="5" s="1"/>
  <c r="M48" i="5"/>
  <c r="D44" i="5" l="1" a="1"/>
  <c r="D44" i="5" s="1"/>
  <c r="A44" i="5" l="1"/>
  <c r="C45" i="5"/>
  <c r="L45" i="5"/>
  <c r="H45" i="5"/>
  <c r="I45" i="5"/>
  <c r="J45" i="5" l="1"/>
  <c r="K45" i="5" s="1"/>
  <c r="N49" i="5"/>
  <c r="M49" i="5"/>
  <c r="O45" i="5" l="1"/>
  <c r="P45" i="5" s="1"/>
  <c r="D45" i="5" a="1"/>
  <c r="D45" i="5" s="1"/>
  <c r="A45" i="5" l="1"/>
  <c r="H46" i="5"/>
  <c r="C46" i="5"/>
  <c r="L46" i="5"/>
  <c r="I46" i="5"/>
  <c r="N50" i="5" l="1"/>
  <c r="M50" i="5"/>
  <c r="J46" i="5"/>
  <c r="K46" i="5" l="1"/>
  <c r="O46" i="5" s="1"/>
  <c r="P46" i="5" s="1"/>
  <c r="D46" i="5" l="1" a="1"/>
  <c r="D46" i="5" s="1"/>
  <c r="I47" i="5" l="1"/>
  <c r="A46" i="5"/>
  <c r="C47" i="5"/>
  <c r="H47" i="5"/>
  <c r="L47" i="5"/>
  <c r="J47" i="5" l="1"/>
  <c r="N51" i="5"/>
  <c r="M51" i="5"/>
  <c r="K47" i="5"/>
  <c r="O47" i="5" s="1"/>
  <c r="P47" i="5" s="1"/>
  <c r="D47" i="5" l="1" a="1"/>
  <c r="D47" i="5" s="1"/>
  <c r="H48" i="5" l="1"/>
  <c r="I48" i="5"/>
  <c r="A47" i="5"/>
  <c r="C48" i="5"/>
  <c r="L48" i="5"/>
  <c r="N52" i="5" l="1"/>
  <c r="M52" i="5"/>
  <c r="J48" i="5"/>
  <c r="K48" i="5" l="1"/>
  <c r="O48" i="5" s="1"/>
  <c r="P48" i="5" s="1"/>
  <c r="D48" i="5" l="1" a="1"/>
  <c r="D48" i="5" s="1"/>
  <c r="L49" i="5" l="1"/>
  <c r="H49" i="5"/>
  <c r="I49" i="5"/>
  <c r="A48" i="5"/>
  <c r="C49" i="5"/>
  <c r="J49" i="5" l="1"/>
  <c r="N53" i="5"/>
  <c r="M53" i="5"/>
  <c r="K49" i="5" l="1"/>
  <c r="O49" i="5" s="1"/>
  <c r="P49" i="5" s="1"/>
  <c r="D49" i="5" l="1" a="1"/>
  <c r="D49" i="5" s="1"/>
  <c r="C50" i="5" s="1"/>
  <c r="H50" i="5" l="1"/>
  <c r="I50" i="5"/>
  <c r="A49" i="5"/>
  <c r="L50" i="5"/>
  <c r="M54" i="5" s="1"/>
  <c r="J50" i="5" l="1"/>
  <c r="K50" i="5" s="1"/>
  <c r="O50" i="5" s="1"/>
  <c r="P50" i="5" s="1"/>
  <c r="N54" i="5"/>
  <c r="D50" i="5" l="1" a="1"/>
  <c r="D50" i="5" s="1"/>
  <c r="I51" i="5" s="1"/>
  <c r="C51" i="5" l="1"/>
  <c r="A50" i="5"/>
  <c r="L51" i="5"/>
  <c r="M55" i="5" s="1"/>
  <c r="H51" i="5"/>
  <c r="J51" i="5" s="1"/>
  <c r="K51" i="5" s="1"/>
  <c r="N55" i="5" l="1"/>
  <c r="O51" i="5"/>
  <c r="P51" i="5" s="1"/>
  <c r="D51" i="5" a="1"/>
  <c r="D51" i="5" s="1"/>
  <c r="C52" i="5" l="1"/>
  <c r="L52" i="5"/>
  <c r="A51" i="5"/>
  <c r="I52" i="5"/>
  <c r="H52" i="5"/>
  <c r="J52" i="5" l="1"/>
  <c r="M56" i="5"/>
  <c r="N56" i="5"/>
  <c r="K52" i="5"/>
  <c r="O52" i="5" l="1"/>
  <c r="P52" i="5" s="1"/>
  <c r="D52" i="5" a="1"/>
  <c r="D52" i="5" s="1"/>
  <c r="I53" i="5" l="1"/>
  <c r="H53" i="5"/>
  <c r="J53" i="5" s="1"/>
  <c r="L53" i="5"/>
  <c r="C53" i="5"/>
  <c r="A52" i="5"/>
  <c r="K53" i="5" l="1"/>
  <c r="O53" i="5" s="1"/>
  <c r="P53" i="5" s="1"/>
  <c r="M57" i="5"/>
  <c r="N57" i="5"/>
  <c r="D53" i="5" l="1" a="1"/>
  <c r="D53" i="5" s="1"/>
  <c r="H54" i="5" s="1"/>
  <c r="A53" i="5" l="1"/>
  <c r="I54" i="5"/>
  <c r="J54" i="5" s="1"/>
  <c r="C54" i="5"/>
  <c r="L54" i="5"/>
  <c r="K54" i="5" l="1"/>
  <c r="D54" i="5" s="1" a="1"/>
  <c r="D54" i="5" s="1"/>
  <c r="I55" i="5" s="1"/>
  <c r="M58" i="5"/>
  <c r="N58" i="5"/>
  <c r="O54" i="5" l="1"/>
  <c r="P54" i="5" s="1"/>
  <c r="H55" i="5"/>
  <c r="J55" i="5" s="1"/>
  <c r="C55" i="5"/>
  <c r="L55" i="5"/>
  <c r="M59" i="5" s="1"/>
  <c r="A54" i="5"/>
  <c r="N59" i="5" l="1"/>
  <c r="K55" i="5"/>
  <c r="O55" i="5" s="1"/>
  <c r="P55" i="5" s="1"/>
  <c r="D55" i="5" l="1" a="1"/>
  <c r="D55" i="5" s="1"/>
  <c r="L56" i="5" l="1"/>
  <c r="H56" i="5"/>
  <c r="A55" i="5"/>
  <c r="I56" i="5"/>
  <c r="C56" i="5"/>
  <c r="J56" i="5" l="1"/>
  <c r="N60" i="5"/>
  <c r="M60" i="5"/>
  <c r="K56" i="5" l="1"/>
  <c r="O56" i="5" s="1"/>
  <c r="P56" i="5" s="1"/>
  <c r="D56" i="5" l="1" a="1"/>
  <c r="D56" i="5" s="1"/>
  <c r="C57" i="5" l="1"/>
  <c r="I57" i="5"/>
  <c r="A56" i="5"/>
  <c r="H57" i="5"/>
  <c r="J57" i="5" s="1"/>
  <c r="L57" i="5"/>
  <c r="M61" i="5" l="1"/>
  <c r="N61" i="5"/>
  <c r="K57" i="5"/>
  <c r="O57" i="5" s="1"/>
  <c r="P57" i="5" s="1"/>
  <c r="D57" i="5" l="1" a="1"/>
  <c r="D57" i="5" s="1"/>
  <c r="C58" i="5" l="1"/>
  <c r="L58" i="5"/>
  <c r="H58" i="5"/>
  <c r="I58" i="5"/>
  <c r="A57" i="5"/>
  <c r="J58" i="5" l="1"/>
  <c r="K58" i="5" s="1"/>
  <c r="N62" i="5"/>
  <c r="M62" i="5"/>
  <c r="O58" i="5" l="1"/>
  <c r="P58" i="5" s="1"/>
  <c r="D58" i="5" a="1"/>
  <c r="D58" i="5" s="1"/>
  <c r="L59" i="5" l="1"/>
  <c r="C59" i="5"/>
  <c r="H59" i="5"/>
  <c r="I59" i="5"/>
  <c r="A58" i="5"/>
  <c r="J59" i="5" l="1"/>
  <c r="N63" i="5"/>
  <c r="M63" i="5"/>
  <c r="K59" i="5" l="1"/>
  <c r="O59" i="5" s="1"/>
  <c r="P59" i="5" s="1"/>
  <c r="D59" i="5" l="1" a="1"/>
  <c r="D59" i="5" s="1"/>
  <c r="H60" i="5" l="1"/>
  <c r="A59" i="5"/>
  <c r="I60" i="5"/>
  <c r="C60" i="5"/>
  <c r="L60" i="5"/>
  <c r="N64" i="5" l="1"/>
  <c r="M64" i="5"/>
  <c r="J60" i="5"/>
  <c r="K60" i="5" l="1"/>
  <c r="O60" i="5" s="1"/>
  <c r="P60" i="5" s="1"/>
  <c r="D60" i="5" l="1" a="1"/>
  <c r="D60" i="5" s="1"/>
  <c r="L61" i="5" l="1"/>
  <c r="H61" i="5"/>
  <c r="A60" i="5"/>
  <c r="I61" i="5"/>
  <c r="C61" i="5"/>
  <c r="J61" i="5" l="1"/>
  <c r="M65" i="5"/>
  <c r="N65" i="5"/>
  <c r="K61" i="5" l="1"/>
  <c r="O61" i="5" s="1"/>
  <c r="P61" i="5" s="1"/>
  <c r="D61" i="5" l="1" a="1"/>
  <c r="D61" i="5" s="1"/>
  <c r="C62" i="5" l="1"/>
  <c r="L62" i="5"/>
  <c r="H62" i="5"/>
  <c r="A61" i="5"/>
  <c r="I62" i="5"/>
  <c r="J62" i="5" l="1"/>
  <c r="K62" i="5" s="1"/>
  <c r="O62" i="5" s="1"/>
  <c r="P62" i="5" s="1"/>
  <c r="N66" i="5"/>
  <c r="M66" i="5"/>
  <c r="D62" i="5" l="1" a="1"/>
  <c r="D62" i="5" s="1"/>
  <c r="C63" i="5" s="1"/>
  <c r="H63" i="5" l="1"/>
  <c r="A62" i="5"/>
  <c r="L63" i="5"/>
  <c r="M67" i="5" s="1"/>
  <c r="I63" i="5"/>
  <c r="J63" i="5" l="1"/>
  <c r="K63" i="5" s="1"/>
  <c r="O63" i="5" s="1"/>
  <c r="P63" i="5" s="1"/>
  <c r="N67" i="5"/>
  <c r="D63" i="5" l="1" a="1"/>
  <c r="D63" i="5" s="1"/>
  <c r="A63" i="5" s="1"/>
  <c r="L64" i="5" l="1"/>
  <c r="M68" i="5" s="1"/>
  <c r="C64" i="5"/>
  <c r="I64" i="5"/>
  <c r="H64" i="5"/>
  <c r="J64" i="5" s="1"/>
  <c r="K64" i="5" s="1"/>
  <c r="O64" i="5" s="1"/>
  <c r="P64" i="5" s="1"/>
  <c r="N68" i="5" l="1"/>
  <c r="D64" i="5" a="1"/>
  <c r="D64" i="5" s="1"/>
  <c r="A64" i="5" l="1"/>
  <c r="C65" i="5"/>
  <c r="L65" i="5"/>
  <c r="H65" i="5"/>
  <c r="I65" i="5"/>
  <c r="N69" i="5" l="1"/>
  <c r="M69" i="5"/>
  <c r="J65" i="5"/>
  <c r="K65" i="5" l="1"/>
  <c r="O65" i="5" s="1"/>
  <c r="P65" i="5" s="1"/>
  <c r="D65" i="5" l="1" a="1"/>
  <c r="D65" i="5" s="1"/>
  <c r="L66" i="5" l="1"/>
  <c r="C66" i="5"/>
  <c r="I66" i="5"/>
  <c r="H66" i="5"/>
  <c r="A65" i="5"/>
  <c r="J66" i="5" l="1"/>
  <c r="K66" i="5" s="1"/>
  <c r="O66" i="5" s="1"/>
  <c r="P66" i="5" s="1"/>
  <c r="N70" i="5"/>
  <c r="M70" i="5"/>
  <c r="D66" i="5" l="1" a="1"/>
  <c r="D66" i="5" s="1"/>
  <c r="L67" i="5" l="1"/>
  <c r="A66" i="5"/>
  <c r="C67" i="5"/>
  <c r="I67" i="5"/>
  <c r="H67" i="5"/>
  <c r="J67" i="5" l="1"/>
  <c r="K67" i="5" s="1"/>
  <c r="O67" i="5" s="1"/>
  <c r="P67" i="5" s="1"/>
  <c r="M71" i="5"/>
  <c r="N71" i="5"/>
  <c r="D67" i="5" l="1" a="1"/>
  <c r="D67" i="5" s="1"/>
  <c r="C68" i="5" l="1"/>
  <c r="H68" i="5"/>
  <c r="A67" i="5"/>
  <c r="L68" i="5"/>
  <c r="I68" i="5"/>
  <c r="J68" i="5" l="1"/>
  <c r="K68" i="5" s="1"/>
  <c r="N72" i="5"/>
  <c r="M72" i="5"/>
  <c r="O68" i="5" l="1"/>
  <c r="P68" i="5" s="1"/>
  <c r="D68" i="5" a="1"/>
  <c r="D68" i="5" s="1"/>
  <c r="C69" i="5" l="1"/>
  <c r="H69" i="5"/>
  <c r="L69" i="5"/>
  <c r="A68" i="5"/>
  <c r="I69" i="5"/>
  <c r="J69" i="5" l="1"/>
  <c r="K69" i="5" s="1"/>
  <c r="M73" i="5"/>
  <c r="N73" i="5"/>
  <c r="O69" i="5" l="1"/>
  <c r="P69" i="5" s="1"/>
  <c r="D69" i="5" a="1"/>
  <c r="D69" i="5" s="1"/>
  <c r="C70" i="5" l="1"/>
  <c r="A69" i="5"/>
  <c r="L70" i="5"/>
  <c r="H70" i="5"/>
  <c r="I70" i="5"/>
  <c r="J70" i="5" l="1"/>
  <c r="K70" i="5" s="1"/>
  <c r="O70" i="5" s="1"/>
  <c r="P70" i="5" s="1"/>
  <c r="M74" i="5"/>
  <c r="N74" i="5"/>
  <c r="D70" i="5" l="1" a="1"/>
  <c r="D70" i="5" s="1"/>
  <c r="A70" i="5" l="1"/>
  <c r="H71" i="5"/>
  <c r="L71" i="5"/>
  <c r="I71" i="5"/>
  <c r="C71" i="5"/>
  <c r="M75" i="5" l="1"/>
  <c r="N75" i="5"/>
  <c r="J71" i="5"/>
  <c r="K71" i="5" l="1"/>
  <c r="O71" i="5" s="1"/>
  <c r="P71" i="5" s="1"/>
  <c r="D71" i="5" l="1" a="1"/>
  <c r="D71" i="5" s="1"/>
  <c r="A71" i="5" l="1"/>
  <c r="L72" i="5"/>
  <c r="H72" i="5"/>
  <c r="I72" i="5"/>
  <c r="C72" i="5"/>
  <c r="J72" i="5" l="1"/>
  <c r="K72" i="5" s="1"/>
  <c r="M76" i="5"/>
  <c r="N76" i="5"/>
  <c r="O72" i="5" l="1"/>
  <c r="P72" i="5" s="1"/>
  <c r="D72" i="5" a="1"/>
  <c r="D72" i="5" s="1"/>
  <c r="A72" i="5" l="1"/>
  <c r="C73" i="5"/>
  <c r="L73" i="5"/>
  <c r="H73" i="5"/>
  <c r="I73" i="5"/>
  <c r="J73" i="5" l="1"/>
  <c r="K73" i="5" s="1"/>
  <c r="O73" i="5" s="1"/>
  <c r="P73" i="5" s="1"/>
  <c r="M77" i="5"/>
  <c r="N77" i="5"/>
  <c r="D73" i="5" l="1" a="1"/>
  <c r="D73" i="5" s="1"/>
  <c r="H74" i="5" l="1"/>
  <c r="L74" i="5"/>
  <c r="C74" i="5"/>
  <c r="A73" i="5"/>
  <c r="I74" i="5"/>
  <c r="J74" i="5" l="1"/>
  <c r="M78" i="5"/>
  <c r="N78" i="5"/>
  <c r="K74" i="5" l="1"/>
  <c r="O74" i="5" s="1"/>
  <c r="P74" i="5" s="1"/>
  <c r="D74" i="5" l="1" a="1"/>
  <c r="D74" i="5" s="1"/>
  <c r="A74" i="5" l="1"/>
  <c r="H75" i="5"/>
  <c r="C75" i="5"/>
  <c r="I75" i="5"/>
  <c r="L75" i="5"/>
  <c r="N79" i="5" l="1"/>
  <c r="M79" i="5"/>
  <c r="J75" i="5"/>
  <c r="K75" i="5" l="1"/>
  <c r="O75" i="5" s="1"/>
  <c r="P75" i="5" s="1"/>
  <c r="D75" i="5" l="1" a="1"/>
  <c r="D75" i="5" s="1"/>
  <c r="A75" i="5" l="1"/>
  <c r="C76" i="5"/>
  <c r="L76" i="5"/>
  <c r="H76" i="5"/>
  <c r="I76" i="5"/>
  <c r="M80" i="5" l="1"/>
  <c r="N80" i="5"/>
  <c r="J76" i="5"/>
  <c r="K76" i="5" l="1"/>
  <c r="O76" i="5" s="1"/>
  <c r="P76" i="5" s="1"/>
  <c r="D76" i="5" l="1" a="1"/>
  <c r="D76" i="5" s="1"/>
  <c r="A76" i="5" l="1"/>
  <c r="I77" i="5"/>
  <c r="C77" i="5"/>
  <c r="L77" i="5"/>
  <c r="H77" i="5"/>
  <c r="J77" i="5" l="1"/>
  <c r="K77" i="5" s="1"/>
  <c r="M81" i="5"/>
  <c r="N81" i="5"/>
  <c r="O77" i="5" l="1"/>
  <c r="P77" i="5" s="1"/>
  <c r="D77" i="5" a="1"/>
  <c r="D77" i="5" s="1"/>
  <c r="I78" i="5" l="1"/>
  <c r="L78" i="5"/>
  <c r="C78" i="5"/>
  <c r="A77" i="5"/>
  <c r="H78" i="5"/>
  <c r="J78" i="5" l="1"/>
  <c r="K78" i="5" s="1"/>
  <c r="M82" i="5"/>
  <c r="N82" i="5"/>
  <c r="O78" i="5" l="1"/>
  <c r="P78" i="5" s="1"/>
  <c r="D78" i="5" a="1"/>
  <c r="D78" i="5" s="1"/>
  <c r="L79" i="5" l="1"/>
  <c r="A78" i="5"/>
  <c r="H79" i="5"/>
  <c r="I79" i="5"/>
  <c r="C79" i="5"/>
  <c r="J79" i="5" l="1"/>
  <c r="N83" i="5"/>
  <c r="M83" i="5"/>
  <c r="K79" i="5" l="1"/>
  <c r="O79" i="5" s="1"/>
  <c r="P79" i="5" s="1"/>
  <c r="D79" i="5" l="1" a="1"/>
  <c r="D79" i="5" s="1"/>
  <c r="L80" i="5" s="1"/>
  <c r="I80" i="5" l="1"/>
  <c r="C80" i="5"/>
  <c r="H80" i="5"/>
  <c r="A79" i="5"/>
  <c r="N84" i="5"/>
  <c r="M84" i="5"/>
  <c r="J80" i="5" l="1"/>
  <c r="K80" i="5" s="1"/>
  <c r="O80" i="5" s="1"/>
  <c r="P80" i="5" s="1"/>
  <c r="D80" i="5" l="1" a="1"/>
  <c r="D80" i="5" s="1"/>
  <c r="A80" i="5" s="1"/>
  <c r="L81" i="5" l="1"/>
  <c r="M85" i="5" s="1"/>
  <c r="H81" i="5"/>
  <c r="C81" i="5"/>
  <c r="I81" i="5"/>
  <c r="J81" i="5" l="1"/>
  <c r="K81" i="5" s="1"/>
  <c r="O81" i="5" s="1"/>
  <c r="P81" i="5" s="1"/>
  <c r="N85" i="5"/>
  <c r="D81" i="5" a="1"/>
  <c r="D81" i="5" s="1"/>
  <c r="L82" i="5" l="1"/>
  <c r="H82" i="5"/>
  <c r="A81" i="5"/>
  <c r="C82" i="5"/>
  <c r="I82" i="5"/>
  <c r="J82" i="5" l="1"/>
  <c r="K82" i="5" s="1"/>
  <c r="O82" i="5" s="1"/>
  <c r="P82" i="5" s="1"/>
  <c r="N86" i="5"/>
  <c r="M86" i="5"/>
  <c r="D82" i="5" l="1" a="1"/>
  <c r="D82" i="5" s="1"/>
  <c r="H83" i="5" l="1"/>
  <c r="C83" i="5"/>
  <c r="L83" i="5"/>
  <c r="A82" i="5"/>
  <c r="I83" i="5"/>
  <c r="N87" i="5" l="1"/>
  <c r="M87" i="5"/>
  <c r="J83" i="5"/>
  <c r="K83" i="5" l="1"/>
  <c r="O83" i="5" s="1"/>
  <c r="P83" i="5" s="1"/>
  <c r="D83" i="5" l="1" a="1"/>
  <c r="D83" i="5" s="1"/>
  <c r="H84" i="5" l="1"/>
  <c r="I84" i="5"/>
  <c r="C84" i="5"/>
  <c r="A83" i="5"/>
  <c r="L84" i="5"/>
  <c r="M88" i="5" l="1"/>
  <c r="N88" i="5"/>
  <c r="J84" i="5"/>
  <c r="K84" i="5" s="1"/>
  <c r="O84" i="5" s="1"/>
  <c r="P84" i="5" s="1"/>
  <c r="D84" i="5" l="1" a="1"/>
  <c r="D84" i="5" s="1"/>
  <c r="L85" i="5" s="1"/>
  <c r="A84" i="5" l="1"/>
  <c r="C85" i="5"/>
  <c r="H85" i="5"/>
  <c r="I85" i="5"/>
  <c r="M89" i="5"/>
  <c r="N89" i="5"/>
  <c r="J85" i="5" l="1"/>
  <c r="K85" i="5" s="1"/>
  <c r="O85" i="5" s="1"/>
  <c r="P85" i="5" s="1"/>
  <c r="D85" i="5" l="1" a="1"/>
  <c r="D85" i="5" s="1"/>
  <c r="I86" i="5" l="1"/>
  <c r="C86" i="5"/>
  <c r="H86" i="5"/>
  <c r="A85" i="5"/>
  <c r="L86" i="5"/>
  <c r="J86" i="5" l="1"/>
  <c r="K86" i="5" s="1"/>
  <c r="O86" i="5" s="1"/>
  <c r="P86" i="5" s="1"/>
  <c r="M90" i="5"/>
  <c r="N90" i="5"/>
  <c r="D86" i="5" l="1" a="1"/>
  <c r="D86" i="5" s="1"/>
  <c r="H87" i="5" l="1"/>
  <c r="C87" i="5"/>
  <c r="L87" i="5"/>
  <c r="A86" i="5"/>
  <c r="I87" i="5"/>
  <c r="N91" i="5" l="1"/>
  <c r="M91" i="5"/>
  <c r="J87" i="5"/>
  <c r="K87" i="5" l="1"/>
  <c r="O87" i="5" s="1"/>
  <c r="P87" i="5" s="1"/>
  <c r="D87" i="5" l="1" a="1"/>
  <c r="D87" i="5" s="1"/>
  <c r="L88" i="5" l="1"/>
  <c r="H88" i="5"/>
  <c r="C88" i="5"/>
  <c r="A87" i="5"/>
  <c r="I88" i="5"/>
  <c r="J88" i="5" l="1"/>
  <c r="M92" i="5"/>
  <c r="N92" i="5"/>
  <c r="K88" i="5" l="1"/>
  <c r="O88" i="5" s="1"/>
  <c r="P88" i="5" s="1"/>
  <c r="D88" i="5" l="1" a="1"/>
  <c r="D88" i="5" s="1"/>
  <c r="H89" i="5" s="1"/>
  <c r="I89" i="5" l="1"/>
  <c r="J89" i="5" s="1"/>
  <c r="L89" i="5"/>
  <c r="N93" i="5" s="1"/>
  <c r="C89" i="5"/>
  <c r="A88" i="5"/>
  <c r="M93" i="5" l="1"/>
  <c r="K89" i="5"/>
  <c r="O89" i="5" s="1"/>
  <c r="P89" i="5" s="1"/>
  <c r="D89" i="5" l="1" a="1"/>
  <c r="D89" i="5" s="1"/>
  <c r="L90" i="5" l="1"/>
  <c r="A89" i="5"/>
  <c r="I90" i="5"/>
  <c r="C90" i="5"/>
  <c r="H90" i="5"/>
  <c r="J90" i="5" l="1"/>
  <c r="K90" i="5" s="1"/>
  <c r="N94" i="5"/>
  <c r="M94" i="5"/>
  <c r="O90" i="5" l="1"/>
  <c r="P90" i="5" s="1"/>
  <c r="D90" i="5" a="1"/>
  <c r="D90" i="5" s="1"/>
  <c r="I91" i="5" l="1"/>
  <c r="C91" i="5"/>
  <c r="H91" i="5"/>
  <c r="A90" i="5"/>
  <c r="L91" i="5"/>
  <c r="J91" i="5" l="1"/>
  <c r="K91" i="5" s="1"/>
  <c r="O91" i="5" s="1"/>
  <c r="P91" i="5" s="1"/>
  <c r="N95" i="5"/>
  <c r="M95" i="5"/>
  <c r="D91" i="5" l="1" a="1"/>
  <c r="D91" i="5" s="1"/>
  <c r="C92" i="5" s="1"/>
  <c r="I92" i="5" l="1"/>
  <c r="L92" i="5"/>
  <c r="M96" i="5" s="1"/>
  <c r="A91" i="5"/>
  <c r="H92" i="5"/>
  <c r="N96" i="5" l="1"/>
  <c r="J92" i="5"/>
  <c r="K92" i="5" s="1"/>
  <c r="O92" i="5" s="1"/>
  <c r="P92" i="5" s="1"/>
  <c r="D92" i="5" l="1" a="1"/>
  <c r="D92" i="5" s="1"/>
  <c r="I93" i="5" s="1"/>
  <c r="L93" i="5" l="1"/>
  <c r="N97" i="5" s="1"/>
  <c r="H93" i="5"/>
  <c r="J93" i="5" s="1"/>
  <c r="C93" i="5"/>
  <c r="A92" i="5"/>
  <c r="M97" i="5" l="1"/>
  <c r="K93" i="5"/>
  <c r="O93" i="5" s="1"/>
  <c r="P93" i="5" s="1"/>
  <c r="D93" i="5" l="1" a="1"/>
  <c r="D93" i="5" s="1"/>
  <c r="H94" i="5" s="1"/>
  <c r="I94" i="5" l="1"/>
  <c r="J94" i="5" s="1"/>
  <c r="C94" i="5"/>
  <c r="L94" i="5"/>
  <c r="N98" i="5" s="1"/>
  <c r="A93" i="5"/>
  <c r="M98" i="5" l="1"/>
  <c r="K94" i="5"/>
  <c r="O94" i="5" s="1"/>
  <c r="P94" i="5" s="1"/>
  <c r="D94" i="5" l="1" a="1"/>
  <c r="D94" i="5" s="1"/>
  <c r="H95" i="5" l="1"/>
  <c r="A94" i="5"/>
  <c r="L95" i="5"/>
  <c r="C95" i="5"/>
  <c r="I95" i="5"/>
  <c r="M99" i="5" l="1"/>
  <c r="N99" i="5"/>
  <c r="J95" i="5"/>
  <c r="K95" i="5" l="1"/>
  <c r="O95" i="5" s="1"/>
  <c r="P95" i="5" s="1"/>
  <c r="D95" i="5" l="1" a="1"/>
  <c r="D95" i="5" s="1"/>
  <c r="H96" i="5" l="1"/>
  <c r="L96" i="5"/>
  <c r="C96" i="5"/>
  <c r="I96" i="5"/>
  <c r="A95" i="5"/>
  <c r="J96" i="5" l="1"/>
  <c r="K96" i="5" s="1"/>
  <c r="O96" i="5" s="1"/>
  <c r="P96" i="5" s="1"/>
  <c r="M100" i="5"/>
  <c r="N100" i="5"/>
  <c r="D96" i="5" l="1" a="1"/>
  <c r="D96" i="5" s="1"/>
  <c r="H97" i="5" l="1"/>
  <c r="L97" i="5"/>
  <c r="I97" i="5"/>
  <c r="A96" i="5"/>
  <c r="C97" i="5"/>
  <c r="J97" i="5" l="1"/>
  <c r="K97" i="5" s="1"/>
  <c r="O97" i="5" s="1"/>
  <c r="P97" i="5" s="1"/>
  <c r="N101" i="5"/>
  <c r="M101" i="5"/>
  <c r="D97" i="5" l="1" a="1"/>
  <c r="D97" i="5" s="1"/>
  <c r="H98" i="5" l="1"/>
  <c r="I98" i="5"/>
  <c r="C98" i="5"/>
  <c r="L98" i="5"/>
  <c r="A97" i="5"/>
  <c r="M102" i="5" l="1"/>
  <c r="N102" i="5"/>
  <c r="J98" i="5"/>
  <c r="K98" i="5" s="1"/>
  <c r="O98" i="5" s="1"/>
  <c r="P98" i="5" s="1"/>
  <c r="D98" i="5" l="1" a="1"/>
  <c r="D98" i="5" s="1"/>
  <c r="C99" i="5" l="1"/>
  <c r="I99" i="5"/>
  <c r="H99" i="5"/>
  <c r="L99" i="5"/>
  <c r="A98" i="5"/>
  <c r="J99" i="5" l="1"/>
  <c r="K99" i="5" s="1"/>
  <c r="O99" i="5" s="1"/>
  <c r="P99" i="5" s="1"/>
  <c r="N103" i="5"/>
  <c r="M103" i="5"/>
  <c r="D99" i="5" l="1" a="1"/>
  <c r="D99" i="5" s="1"/>
  <c r="A99" i="5" l="1"/>
  <c r="C100" i="5"/>
  <c r="H100" i="5"/>
  <c r="I100" i="5"/>
  <c r="L100" i="5"/>
  <c r="J100" i="5" l="1"/>
  <c r="K100" i="5" s="1"/>
  <c r="O100" i="5" s="1"/>
  <c r="P100" i="5" s="1"/>
  <c r="M104" i="5"/>
  <c r="N104" i="5"/>
  <c r="D100" i="5" l="1" a="1"/>
  <c r="D100" i="5" s="1"/>
  <c r="A100" i="5" l="1"/>
  <c r="C101" i="5"/>
  <c r="I101" i="5"/>
  <c r="L101" i="5"/>
  <c r="H101" i="5"/>
  <c r="J101" i="5" l="1"/>
  <c r="K101" i="5" s="1"/>
  <c r="M105" i="5"/>
  <c r="N105" i="5"/>
  <c r="O101" i="5" l="1"/>
  <c r="P101" i="5" s="1"/>
  <c r="D101" i="5" a="1"/>
  <c r="D101" i="5" s="1"/>
  <c r="H102" i="5" l="1"/>
  <c r="A101" i="5"/>
  <c r="I102" i="5"/>
  <c r="L102" i="5"/>
  <c r="C102" i="5"/>
  <c r="J102" i="5" l="1"/>
  <c r="K102" i="5" s="1"/>
  <c r="O102" i="5" s="1"/>
  <c r="P102" i="5" s="1"/>
  <c r="M106" i="5"/>
  <c r="N106" i="5"/>
  <c r="D102" i="5" l="1" a="1"/>
  <c r="D102" i="5" s="1"/>
  <c r="A102" i="5" s="1"/>
  <c r="H103" i="5" l="1"/>
  <c r="I103" i="5"/>
  <c r="C103" i="5"/>
  <c r="L103" i="5"/>
  <c r="M107" i="5" s="1"/>
  <c r="J103" i="5" l="1"/>
  <c r="K103" i="5" s="1"/>
  <c r="N107" i="5"/>
  <c r="O103" i="5" l="1"/>
  <c r="P103" i="5" s="1"/>
  <c r="D103" i="5" a="1"/>
  <c r="D103" i="5" s="1"/>
  <c r="I104" i="5" s="1"/>
  <c r="A103" i="5" l="1"/>
  <c r="C104" i="5"/>
  <c r="H104" i="5"/>
  <c r="J104" i="5" s="1"/>
  <c r="L104" i="5"/>
  <c r="N108" i="5" s="1"/>
  <c r="K104" i="5" l="1"/>
  <c r="O104" i="5" s="1"/>
  <c r="P104" i="5" s="1"/>
  <c r="M108" i="5"/>
  <c r="D104" i="5" l="1" a="1"/>
  <c r="D104" i="5" s="1"/>
  <c r="L105" i="5" s="1"/>
  <c r="H105" i="5"/>
  <c r="C105" i="5" l="1"/>
  <c r="I105" i="5"/>
  <c r="A104" i="5"/>
  <c r="J105" i="5"/>
  <c r="N109" i="5"/>
  <c r="M109" i="5"/>
  <c r="K105" i="5" l="1"/>
  <c r="O105" i="5" s="1"/>
  <c r="P105" i="5" s="1"/>
  <c r="D105" i="5" l="1" a="1"/>
  <c r="D105" i="5" s="1"/>
  <c r="A105" i="5" l="1"/>
  <c r="I106" i="5"/>
  <c r="L106" i="5"/>
  <c r="C106" i="5"/>
  <c r="H106" i="5"/>
  <c r="J106" i="5" l="1"/>
  <c r="K106" i="5" s="1"/>
  <c r="O106" i="5" s="1"/>
  <c r="P106" i="5" s="1"/>
  <c r="M110" i="5"/>
  <c r="N110" i="5"/>
  <c r="D106" i="5" l="1" a="1"/>
  <c r="D106" i="5" s="1"/>
  <c r="A106" i="5" s="1"/>
  <c r="H107" i="5" l="1"/>
  <c r="I107" i="5"/>
  <c r="C107" i="5"/>
  <c r="L107" i="5"/>
  <c r="N111" i="5" s="1"/>
  <c r="J107" i="5" l="1"/>
  <c r="K107" i="5" s="1"/>
  <c r="O107" i="5" s="1"/>
  <c r="P107" i="5" s="1"/>
  <c r="M111" i="5"/>
  <c r="D107" i="5" a="1"/>
  <c r="D107" i="5" s="1"/>
  <c r="I108" i="5" l="1"/>
  <c r="A107" i="5"/>
  <c r="H108" i="5"/>
  <c r="J108" i="5" s="1"/>
  <c r="L108" i="5"/>
  <c r="C108" i="5"/>
  <c r="K108" i="5" l="1"/>
  <c r="O108" i="5" s="1"/>
  <c r="P108" i="5" s="1"/>
  <c r="M112" i="5"/>
  <c r="N112" i="5"/>
  <c r="D108" i="5" l="1" a="1"/>
  <c r="D108" i="5" s="1"/>
  <c r="I109" i="5" s="1"/>
  <c r="L109" i="5" l="1"/>
  <c r="M113" i="5" s="1"/>
  <c r="A108" i="5"/>
  <c r="C109" i="5"/>
  <c r="H109" i="5"/>
  <c r="J109" i="5" s="1"/>
  <c r="K109" i="5" s="1"/>
  <c r="O109" i="5" l="1"/>
  <c r="P109" i="5" s="1"/>
  <c r="N113" i="5"/>
  <c r="D109" i="5" a="1"/>
  <c r="D109" i="5" s="1"/>
  <c r="I110" i="5" s="1"/>
  <c r="H110" i="5" l="1"/>
  <c r="J110" i="5" s="1"/>
  <c r="C110" i="5"/>
  <c r="A109" i="5"/>
  <c r="L110" i="5"/>
  <c r="M114" i="5" s="1"/>
  <c r="K110" i="5" l="1"/>
  <c r="O110" i="5" s="1"/>
  <c r="P110" i="5" s="1"/>
  <c r="N114" i="5"/>
  <c r="D110" i="5" l="1" a="1"/>
  <c r="D110" i="5" s="1"/>
  <c r="A110" i="5" s="1"/>
  <c r="L111" i="5" l="1"/>
  <c r="N115" i="5" s="1"/>
  <c r="C111" i="5"/>
  <c r="H111" i="5"/>
  <c r="I111" i="5"/>
  <c r="M115" i="5" l="1"/>
  <c r="J111" i="5"/>
  <c r="K111" i="5" s="1"/>
  <c r="O111" i="5" s="1"/>
  <c r="P111" i="5" s="1"/>
  <c r="D111" i="5" l="1" a="1"/>
  <c r="D111" i="5" s="1"/>
  <c r="H112" i="5" l="1"/>
  <c r="I112" i="5"/>
  <c r="A111" i="5"/>
  <c r="C112" i="5"/>
  <c r="L112" i="5"/>
  <c r="N116" i="5" l="1"/>
  <c r="M116" i="5"/>
  <c r="J112" i="5"/>
  <c r="K112" i="5" l="1"/>
  <c r="O112" i="5" s="1"/>
  <c r="P112" i="5" s="1"/>
  <c r="D112" i="5" l="1" a="1"/>
  <c r="D112" i="5" s="1"/>
  <c r="I113" i="5" s="1"/>
  <c r="C113" i="5" l="1"/>
  <c r="L113" i="5"/>
  <c r="N117" i="5" s="1"/>
  <c r="A112" i="5"/>
  <c r="H113" i="5"/>
  <c r="J113" i="5" s="1"/>
  <c r="M117" i="5" l="1"/>
  <c r="K113" i="5"/>
  <c r="O113" i="5" s="1"/>
  <c r="P113" i="5" s="1"/>
  <c r="D113" i="5" l="1" a="1"/>
  <c r="D113" i="5" s="1"/>
  <c r="L114" i="5" s="1"/>
  <c r="I114" i="5" l="1"/>
  <c r="H114" i="5"/>
  <c r="J114" i="5" s="1"/>
  <c r="A113" i="5"/>
  <c r="C114" i="5"/>
  <c r="N118" i="5"/>
  <c r="M118" i="5"/>
  <c r="K114" i="5" l="1"/>
  <c r="O114" i="5" s="1"/>
  <c r="P114" i="5" s="1"/>
  <c r="D114" i="5" l="1" a="1"/>
  <c r="D114" i="5" s="1"/>
  <c r="A114" i="5" s="1"/>
  <c r="H115" i="5"/>
  <c r="L115" i="5"/>
  <c r="I115" i="5"/>
  <c r="J115" i="5" s="1"/>
  <c r="C115" i="5" l="1"/>
  <c r="K115" i="5" s="1"/>
  <c r="M119" i="5"/>
  <c r="N119" i="5"/>
  <c r="O115" i="5" l="1"/>
  <c r="P115" i="5" s="1"/>
  <c r="D115" i="5" a="1"/>
  <c r="D115" i="5" s="1"/>
  <c r="L116" i="5" s="1"/>
  <c r="I116" i="5"/>
  <c r="C116" i="5" l="1"/>
  <c r="H116" i="5"/>
  <c r="A115" i="5"/>
  <c r="J116" i="5"/>
  <c r="K116" i="5" s="1"/>
  <c r="O116" i="5" s="1"/>
  <c r="P116" i="5" s="1"/>
  <c r="M120" i="5"/>
  <c r="N120" i="5"/>
  <c r="D116" i="5" l="1" a="1"/>
  <c r="D116" i="5" s="1"/>
  <c r="C117" i="5" l="1"/>
  <c r="H117" i="5"/>
  <c r="I117" i="5"/>
  <c r="L117" i="5"/>
  <c r="A116" i="5"/>
  <c r="J117" i="5" l="1"/>
  <c r="K117" i="5" s="1"/>
  <c r="O117" i="5" s="1"/>
  <c r="P117" i="5" s="1"/>
  <c r="N121" i="5"/>
  <c r="M121" i="5"/>
  <c r="D117" i="5" l="1" a="1"/>
  <c r="D117" i="5" s="1"/>
  <c r="H118" i="5" s="1"/>
  <c r="L118" i="5" l="1"/>
  <c r="M122" i="5" s="1"/>
  <c r="I118" i="5"/>
  <c r="A117" i="5"/>
  <c r="C118" i="5"/>
  <c r="J118" i="5"/>
  <c r="N122" i="5" l="1"/>
  <c r="K118" i="5"/>
  <c r="O118" i="5" s="1"/>
  <c r="P118" i="5" s="1"/>
  <c r="D118" i="5" l="1" a="1"/>
  <c r="D118" i="5" s="1"/>
  <c r="C119" i="5" l="1"/>
  <c r="H119" i="5"/>
  <c r="I119" i="5"/>
  <c r="L119" i="5"/>
  <c r="A118" i="5"/>
  <c r="N123" i="5" l="1"/>
  <c r="M123" i="5"/>
  <c r="J119" i="5"/>
  <c r="K119" i="5" s="1"/>
  <c r="O119" i="5" s="1"/>
  <c r="P119" i="5" s="1"/>
  <c r="D119" i="5" l="1" a="1"/>
  <c r="D119" i="5" s="1"/>
  <c r="I120" i="5" l="1"/>
  <c r="C120" i="5"/>
  <c r="L120" i="5"/>
  <c r="H120" i="5"/>
  <c r="A119" i="5"/>
  <c r="J120" i="5" l="1"/>
  <c r="K120" i="5" s="1"/>
  <c r="O120" i="5" s="1"/>
  <c r="P120" i="5" s="1"/>
  <c r="N124" i="5"/>
  <c r="M124" i="5"/>
  <c r="D120" i="5" l="1" a="1"/>
  <c r="D120" i="5" s="1"/>
  <c r="I121" i="5" l="1"/>
  <c r="A120" i="5"/>
  <c r="C121" i="5"/>
  <c r="L121" i="5"/>
  <c r="H121" i="5"/>
  <c r="J121" i="5" s="1"/>
  <c r="N125" i="5" l="1"/>
  <c r="M125" i="5"/>
  <c r="K121" i="5"/>
  <c r="O121" i="5" s="1"/>
  <c r="P121" i="5" s="1"/>
  <c r="D121" i="5" l="1" a="1"/>
  <c r="D121" i="5" s="1"/>
  <c r="I122" i="5" l="1"/>
  <c r="H122" i="5"/>
  <c r="J122" i="5" s="1"/>
  <c r="A121" i="5"/>
  <c r="C122" i="5"/>
  <c r="L122" i="5"/>
  <c r="K122" i="5" l="1"/>
  <c r="O122" i="5" s="1"/>
  <c r="P122" i="5" s="1"/>
  <c r="N126" i="5"/>
  <c r="M126" i="5"/>
  <c r="D122" i="5" l="1" a="1"/>
  <c r="D122" i="5" s="1"/>
  <c r="L123" i="5" s="1"/>
  <c r="C123" i="5" l="1"/>
  <c r="H123" i="5"/>
  <c r="I123" i="5"/>
  <c r="A122" i="5"/>
  <c r="M127" i="5"/>
  <c r="N127" i="5"/>
  <c r="J123" i="5" l="1"/>
  <c r="K123" i="5" s="1"/>
  <c r="O123" i="5" s="1"/>
  <c r="P123" i="5" s="1"/>
  <c r="D123" i="5" l="1" a="1"/>
  <c r="D123" i="5" s="1"/>
  <c r="C124" i="5" l="1"/>
  <c r="L124" i="5"/>
  <c r="H124" i="5"/>
  <c r="A123" i="5"/>
  <c r="I124" i="5"/>
  <c r="J124" i="5" l="1"/>
  <c r="K124" i="5" s="1"/>
  <c r="O124" i="5" s="1"/>
  <c r="P124" i="5" s="1"/>
  <c r="N128" i="5"/>
  <c r="M128" i="5"/>
  <c r="D124" i="5" l="1" a="1"/>
  <c r="D124" i="5" s="1"/>
  <c r="H125" i="5" l="1"/>
  <c r="L125" i="5"/>
  <c r="A124" i="5"/>
  <c r="I125" i="5"/>
  <c r="C125" i="5"/>
  <c r="N129" i="5" l="1"/>
  <c r="M129" i="5"/>
  <c r="J125" i="5"/>
  <c r="K125" i="5" l="1"/>
  <c r="O125" i="5" s="1"/>
  <c r="P125" i="5" s="1"/>
  <c r="D125" i="5" l="1" a="1"/>
  <c r="D125" i="5" s="1"/>
  <c r="C126" i="5" l="1"/>
  <c r="L126" i="5"/>
  <c r="I126" i="5"/>
  <c r="H126" i="5"/>
  <c r="A125" i="5"/>
  <c r="J126" i="5" l="1"/>
  <c r="K126" i="5" s="1"/>
  <c r="O126" i="5" s="1"/>
  <c r="P126" i="5" s="1"/>
  <c r="M130" i="5"/>
  <c r="N130" i="5"/>
  <c r="D126" i="5" l="1" a="1"/>
  <c r="D126" i="5" s="1"/>
  <c r="I127" i="5" l="1"/>
  <c r="C127" i="5"/>
  <c r="H127" i="5"/>
  <c r="L127" i="5"/>
  <c r="A126" i="5"/>
  <c r="J127" i="5" l="1"/>
  <c r="K127" i="5" s="1"/>
  <c r="O127" i="5" s="1"/>
  <c r="P127" i="5" s="1"/>
  <c r="N131" i="5"/>
  <c r="M131" i="5"/>
  <c r="D127" i="5" l="1" a="1"/>
  <c r="D127" i="5" s="1"/>
  <c r="I128" i="5" l="1"/>
  <c r="A127" i="5"/>
  <c r="L128" i="5"/>
  <c r="C128" i="5"/>
  <c r="H128" i="5"/>
  <c r="J128" i="5" l="1"/>
  <c r="K128" i="5"/>
  <c r="O128" i="5" s="1"/>
  <c r="P128" i="5" s="1"/>
  <c r="M132" i="5"/>
  <c r="N132" i="5"/>
  <c r="D128" i="5" l="1" a="1"/>
  <c r="D128" i="5" s="1"/>
  <c r="L129" i="5" l="1"/>
  <c r="I129" i="5"/>
  <c r="A128" i="5"/>
  <c r="C129" i="5"/>
  <c r="H129" i="5"/>
  <c r="J129" i="5" l="1"/>
  <c r="K129" i="5" s="1"/>
  <c r="O129" i="5" s="1"/>
  <c r="P129" i="5" s="1"/>
  <c r="M133" i="5"/>
  <c r="N133" i="5"/>
  <c r="D129" i="5" l="1" a="1"/>
  <c r="D129" i="5" s="1"/>
  <c r="L130" i="5" l="1"/>
  <c r="H130" i="5"/>
  <c r="A129" i="5"/>
  <c r="I130" i="5"/>
  <c r="C130" i="5"/>
  <c r="J130" i="5" l="1"/>
  <c r="M134" i="5"/>
  <c r="N134" i="5"/>
  <c r="K130" i="5" l="1"/>
  <c r="O130" i="5" s="1"/>
  <c r="P130" i="5" s="1"/>
  <c r="D130" i="5" l="1" a="1"/>
  <c r="D130" i="5" s="1"/>
  <c r="C131" i="5" l="1"/>
  <c r="H131" i="5"/>
  <c r="I131" i="5"/>
  <c r="A130" i="5"/>
  <c r="L131" i="5"/>
  <c r="N135" i="5" l="1"/>
  <c r="M135" i="5"/>
  <c r="J131" i="5"/>
  <c r="K131" i="5" s="1"/>
  <c r="O131" i="5" s="1"/>
  <c r="P131" i="5" s="1"/>
  <c r="D131" i="5" l="1" a="1"/>
  <c r="D131" i="5" s="1"/>
  <c r="L132" i="5" l="1"/>
  <c r="C132" i="5"/>
  <c r="H132" i="5"/>
  <c r="I132" i="5"/>
  <c r="A131" i="5"/>
  <c r="J132" i="5" l="1"/>
  <c r="K132" i="5" s="1"/>
  <c r="O132" i="5" s="1"/>
  <c r="P132" i="5" s="1"/>
  <c r="N136" i="5"/>
  <c r="M136" i="5"/>
  <c r="D132" i="5" l="1" a="1"/>
  <c r="D132" i="5" s="1"/>
  <c r="L133" i="5" l="1"/>
  <c r="C133" i="5"/>
  <c r="H133" i="5"/>
  <c r="A132" i="5"/>
  <c r="I133" i="5"/>
  <c r="J133" i="5" l="1"/>
  <c r="K133" i="5" s="1"/>
  <c r="O133" i="5" s="1"/>
  <c r="P133" i="5" s="1"/>
  <c r="M137" i="5"/>
  <c r="N137" i="5"/>
  <c r="D133" i="5" l="1" a="1"/>
  <c r="D133" i="5" s="1"/>
  <c r="I134" i="5" l="1"/>
  <c r="C134" i="5"/>
  <c r="L134" i="5"/>
  <c r="A133" i="5"/>
  <c r="H134" i="5"/>
  <c r="J134" i="5" l="1"/>
  <c r="K134" i="5" s="1"/>
  <c r="O134" i="5" s="1"/>
  <c r="P134" i="5" s="1"/>
  <c r="N138" i="5"/>
  <c r="M138" i="5"/>
  <c r="D134" i="5" l="1" a="1"/>
  <c r="D134" i="5" s="1"/>
  <c r="I135" i="5" l="1"/>
  <c r="A134" i="5"/>
  <c r="C135" i="5"/>
  <c r="L135" i="5"/>
  <c r="H135" i="5"/>
  <c r="J135" i="5" l="1"/>
  <c r="K135" i="5" s="1"/>
  <c r="O135" i="5" s="1"/>
  <c r="P135" i="5" s="1"/>
  <c r="M139" i="5"/>
  <c r="N139" i="5"/>
  <c r="D135" i="5" l="1" a="1"/>
  <c r="D135" i="5" s="1"/>
  <c r="L136" i="5" l="1"/>
  <c r="I136" i="5"/>
  <c r="A135" i="5"/>
  <c r="C136" i="5"/>
  <c r="H136" i="5"/>
  <c r="J136" i="5" l="1"/>
  <c r="K136" i="5" s="1"/>
  <c r="O136" i="5" s="1"/>
  <c r="P136" i="5" s="1"/>
  <c r="N140" i="5"/>
  <c r="M140" i="5"/>
  <c r="D136" i="5" l="1" a="1"/>
  <c r="D136" i="5" s="1"/>
  <c r="H137" i="5" l="1"/>
  <c r="L137" i="5"/>
  <c r="I137" i="5"/>
  <c r="A136" i="5"/>
  <c r="C137" i="5"/>
  <c r="N141" i="5" l="1"/>
  <c r="M141" i="5"/>
  <c r="J137" i="5"/>
  <c r="K137" i="5" l="1"/>
  <c r="O137" i="5" s="1"/>
  <c r="P137" i="5" s="1"/>
  <c r="D137" i="5" l="1" a="1"/>
  <c r="D137" i="5" s="1"/>
  <c r="H138" i="5" l="1"/>
  <c r="L138" i="5"/>
  <c r="I138" i="5"/>
  <c r="A137" i="5"/>
  <c r="C138" i="5"/>
  <c r="N142" i="5" l="1"/>
  <c r="M142" i="5"/>
  <c r="J138" i="5"/>
  <c r="K138" i="5" l="1"/>
  <c r="O138" i="5" s="1"/>
  <c r="P138" i="5" s="1"/>
  <c r="D138" i="5" l="1" a="1"/>
  <c r="D138" i="5" s="1"/>
  <c r="H139" i="5" l="1"/>
  <c r="L139" i="5"/>
  <c r="A138" i="5"/>
  <c r="I139" i="5"/>
  <c r="C139" i="5"/>
  <c r="N143" i="5" l="1"/>
  <c r="M143" i="5"/>
  <c r="J139" i="5"/>
  <c r="K139" i="5" l="1"/>
  <c r="O139" i="5" s="1"/>
  <c r="P139" i="5" s="1"/>
  <c r="D139" i="5" l="1" a="1"/>
  <c r="D139" i="5" s="1"/>
  <c r="C140" i="5" l="1"/>
  <c r="L140" i="5"/>
  <c r="H140" i="5"/>
  <c r="I140" i="5"/>
  <c r="A139" i="5"/>
  <c r="J140" i="5" l="1"/>
  <c r="K140" i="5" s="1"/>
  <c r="O140" i="5" s="1"/>
  <c r="P140" i="5" s="1"/>
  <c r="N144" i="5"/>
  <c r="M144" i="5"/>
  <c r="D140" i="5" l="1" a="1"/>
  <c r="D140" i="5" s="1"/>
  <c r="H141" i="5" l="1"/>
  <c r="I141" i="5"/>
  <c r="C141" i="5"/>
  <c r="L141" i="5"/>
  <c r="A140" i="5"/>
  <c r="N145" i="5" l="1"/>
  <c r="M145" i="5"/>
  <c r="J141" i="5"/>
  <c r="K141" i="5" l="1"/>
  <c r="O141" i="5" s="1"/>
  <c r="P141" i="5" s="1"/>
  <c r="D141" i="5" l="1" a="1"/>
  <c r="D141" i="5" s="1"/>
  <c r="L142" i="5" l="1"/>
  <c r="H142" i="5"/>
  <c r="I142" i="5"/>
  <c r="A141" i="5"/>
  <c r="C142" i="5"/>
  <c r="J142" i="5" l="1"/>
  <c r="N146" i="5"/>
  <c r="M146" i="5"/>
  <c r="K142" i="5" l="1"/>
  <c r="O142" i="5" s="1"/>
  <c r="P142" i="5" s="1"/>
  <c r="D142" i="5" l="1" a="1"/>
  <c r="D142" i="5" s="1"/>
  <c r="H143" i="5" l="1"/>
  <c r="L143" i="5"/>
  <c r="A142" i="5"/>
  <c r="C143" i="5"/>
  <c r="I143" i="5"/>
  <c r="M147" i="5" l="1"/>
  <c r="N147" i="5"/>
  <c r="J143" i="5"/>
  <c r="K143" i="5" l="1"/>
  <c r="O143" i="5" s="1"/>
  <c r="P143" i="5" s="1"/>
  <c r="D143" i="5" l="1" a="1"/>
  <c r="D143" i="5" s="1"/>
  <c r="H144" i="5" l="1"/>
  <c r="L144" i="5"/>
  <c r="I144" i="5"/>
  <c r="C144" i="5"/>
  <c r="A143" i="5"/>
  <c r="N148" i="5" l="1"/>
  <c r="M148" i="5"/>
  <c r="J144" i="5"/>
  <c r="K144" i="5" l="1"/>
  <c r="O144" i="5" s="1"/>
  <c r="P144" i="5" s="1"/>
  <c r="D144" i="5" l="1" a="1"/>
  <c r="D144" i="5" s="1"/>
  <c r="C145" i="5" l="1"/>
  <c r="L145" i="5"/>
  <c r="H145" i="5"/>
  <c r="I145" i="5"/>
  <c r="A144" i="5"/>
  <c r="J145" i="5" l="1"/>
  <c r="K145" i="5" s="1"/>
  <c r="O145" i="5" s="1"/>
  <c r="P145" i="5" s="1"/>
  <c r="N149" i="5"/>
  <c r="M149" i="5"/>
  <c r="D145" i="5" l="1" a="1"/>
  <c r="D145" i="5" s="1"/>
  <c r="A145" i="5" l="1"/>
  <c r="C146" i="5"/>
  <c r="L146" i="5"/>
  <c r="H146" i="5"/>
  <c r="I146" i="5"/>
  <c r="N150" i="5" l="1"/>
  <c r="M150" i="5"/>
  <c r="J146" i="5"/>
  <c r="K146" i="5" s="1"/>
  <c r="O146" i="5" s="1"/>
  <c r="P146" i="5" s="1"/>
  <c r="D146" i="5" l="1" a="1"/>
  <c r="D146" i="5" s="1"/>
  <c r="A146" i="5" l="1"/>
  <c r="I147" i="5"/>
  <c r="C147" i="5"/>
  <c r="H147" i="5"/>
  <c r="J147" i="5" s="1"/>
  <c r="L147" i="5"/>
  <c r="N151" i="5" l="1"/>
  <c r="M151" i="5"/>
  <c r="K147" i="5"/>
  <c r="O147" i="5" s="1"/>
  <c r="P147" i="5" s="1"/>
  <c r="D147" i="5" l="1" a="1"/>
  <c r="D147" i="5" s="1"/>
  <c r="L148" i="5" l="1"/>
  <c r="A147" i="5"/>
  <c r="I148" i="5"/>
  <c r="C148" i="5"/>
  <c r="H148" i="5"/>
  <c r="J148" i="5" l="1"/>
  <c r="K148" i="5" s="1"/>
  <c r="O148" i="5" s="1"/>
  <c r="P148" i="5" s="1"/>
  <c r="N152" i="5"/>
  <c r="M152" i="5"/>
  <c r="D148" i="5" l="1" a="1"/>
  <c r="D148" i="5" s="1"/>
  <c r="L149" i="5" l="1"/>
  <c r="H149" i="5"/>
  <c r="A148" i="5"/>
  <c r="I149" i="5"/>
  <c r="C149" i="5"/>
  <c r="J149" i="5" l="1"/>
  <c r="K149" i="5" s="1"/>
  <c r="O149" i="5" s="1"/>
  <c r="P149" i="5" s="1"/>
  <c r="M153" i="5"/>
  <c r="N153" i="5"/>
  <c r="D149" i="5" l="1" a="1"/>
  <c r="D149" i="5" s="1"/>
  <c r="C150" i="5" s="1"/>
  <c r="L150" i="5" l="1"/>
  <c r="N154" i="5" s="1"/>
  <c r="A149" i="5"/>
  <c r="I150" i="5"/>
  <c r="H150" i="5"/>
  <c r="J150" i="5" l="1"/>
  <c r="K150" i="5" s="1"/>
  <c r="O150" i="5" s="1"/>
  <c r="P150" i="5" s="1"/>
  <c r="M154" i="5"/>
  <c r="D150" i="5" l="1" a="1"/>
  <c r="D150" i="5" s="1"/>
  <c r="H151" i="5" s="1"/>
  <c r="I151" i="5" l="1"/>
  <c r="A150" i="5"/>
  <c r="C151" i="5"/>
  <c r="L151" i="5"/>
  <c r="M155" i="5" s="1"/>
  <c r="J151" i="5"/>
  <c r="N155" i="5" l="1"/>
  <c r="K151" i="5"/>
  <c r="O151" i="5" s="1"/>
  <c r="P151" i="5" s="1"/>
  <c r="D151" i="5" l="1" a="1"/>
  <c r="D151" i="5" s="1"/>
  <c r="C152" i="5" l="1"/>
  <c r="L152" i="5"/>
  <c r="I152" i="5"/>
  <c r="H152" i="5"/>
  <c r="A151" i="5"/>
  <c r="J152" i="5" l="1"/>
  <c r="K152" i="5" s="1"/>
  <c r="O152" i="5" s="1"/>
  <c r="P152" i="5" s="1"/>
  <c r="N156" i="5"/>
  <c r="M156" i="5"/>
  <c r="D152" i="5" l="1" a="1"/>
  <c r="D152" i="5" s="1"/>
  <c r="A152" i="5" l="1"/>
  <c r="C153" i="5"/>
  <c r="L153" i="5"/>
  <c r="H153" i="5"/>
  <c r="I153" i="5"/>
  <c r="J153" i="5" l="1"/>
  <c r="M157" i="5"/>
  <c r="N157" i="5"/>
  <c r="K153" i="5"/>
  <c r="O153" i="5" s="1"/>
  <c r="P153" i="5" s="1"/>
  <c r="D153" i="5" l="1" a="1"/>
  <c r="D153" i="5" s="1"/>
  <c r="I154" i="5" l="1"/>
  <c r="A153" i="5"/>
  <c r="C154" i="5"/>
  <c r="H154" i="5"/>
  <c r="J154" i="5" s="1"/>
  <c r="L154" i="5"/>
  <c r="K154" i="5" l="1"/>
  <c r="O154" i="5" s="1"/>
  <c r="P154" i="5" s="1"/>
  <c r="M158" i="5"/>
  <c r="N158" i="5"/>
  <c r="D154" i="5" l="1" a="1"/>
  <c r="D154" i="5" s="1"/>
  <c r="C155" i="5" s="1"/>
  <c r="I155" i="5" l="1"/>
  <c r="L155" i="5"/>
  <c r="N159" i="5" s="1"/>
  <c r="A154" i="5"/>
  <c r="H155" i="5"/>
  <c r="J155" i="5" l="1"/>
  <c r="K155" i="5" s="1"/>
  <c r="O155" i="5" s="1"/>
  <c r="P155" i="5" s="1"/>
  <c r="M159" i="5"/>
  <c r="D155" i="5" l="1" a="1"/>
  <c r="D155" i="5" s="1"/>
  <c r="H156" i="5" s="1"/>
  <c r="I156" i="5" l="1"/>
  <c r="J156" i="5" s="1"/>
  <c r="A155" i="5"/>
  <c r="L156" i="5"/>
  <c r="C156" i="5"/>
  <c r="K156" i="5" l="1"/>
  <c r="D156" i="5" s="1" a="1"/>
  <c r="D156" i="5" s="1"/>
  <c r="N160" i="5"/>
  <c r="M160" i="5"/>
  <c r="O156" i="5" l="1"/>
  <c r="P156" i="5" s="1"/>
  <c r="H157" i="5"/>
  <c r="L157" i="5"/>
  <c r="A156" i="5"/>
  <c r="I157" i="5"/>
  <c r="C157" i="5"/>
  <c r="M161" i="5" l="1"/>
  <c r="N161" i="5"/>
  <c r="J157" i="5"/>
  <c r="K157" i="5" l="1"/>
  <c r="O157" i="5" s="1"/>
  <c r="P157" i="5" s="1"/>
  <c r="D157" i="5" l="1" a="1"/>
  <c r="D157" i="5" s="1"/>
  <c r="C158" i="5" l="1"/>
  <c r="L158" i="5"/>
  <c r="H158" i="5"/>
  <c r="A157" i="5"/>
  <c r="I158" i="5"/>
  <c r="J158" i="5" l="1"/>
  <c r="K158" i="5" s="1"/>
  <c r="O158" i="5" s="1"/>
  <c r="P158" i="5" s="1"/>
  <c r="M162" i="5"/>
  <c r="N162" i="5"/>
  <c r="D158" i="5" l="1" a="1"/>
  <c r="D158" i="5" s="1"/>
  <c r="C159" i="5" l="1"/>
  <c r="L159" i="5"/>
  <c r="H159" i="5"/>
  <c r="A158" i="5"/>
  <c r="I159" i="5"/>
  <c r="J159" i="5" l="1"/>
  <c r="K159" i="5" s="1"/>
  <c r="O159" i="5" s="1"/>
  <c r="P159" i="5" s="1"/>
  <c r="M163" i="5"/>
  <c r="N163" i="5"/>
  <c r="D159" i="5" l="1" a="1"/>
  <c r="D159" i="5" s="1"/>
  <c r="A159" i="5" l="1"/>
  <c r="C160" i="5"/>
  <c r="L160" i="5"/>
  <c r="H160" i="5"/>
  <c r="I160" i="5"/>
  <c r="J160" i="5" l="1"/>
  <c r="K160" i="5" s="1"/>
  <c r="O160" i="5" s="1"/>
  <c r="P160" i="5" s="1"/>
  <c r="N164" i="5"/>
  <c r="M164" i="5"/>
  <c r="D160" i="5" l="1" a="1"/>
  <c r="D160" i="5" s="1"/>
  <c r="A160" i="5" l="1"/>
  <c r="I161" i="5"/>
  <c r="C161" i="5"/>
  <c r="H161" i="5"/>
  <c r="L161" i="5"/>
  <c r="J161" i="5" l="1"/>
  <c r="K161" i="5" s="1"/>
  <c r="O161" i="5" s="1"/>
  <c r="P161" i="5" s="1"/>
  <c r="M165" i="5"/>
  <c r="N165" i="5"/>
  <c r="D161" i="5" l="1" a="1"/>
  <c r="D161" i="5" s="1"/>
  <c r="H162" i="5" s="1"/>
  <c r="C162" i="5" l="1"/>
  <c r="A161" i="5"/>
  <c r="L162" i="5"/>
  <c r="I162" i="5"/>
  <c r="J162" i="5" s="1"/>
  <c r="K162" i="5" l="1"/>
  <c r="O162" i="5" s="1"/>
  <c r="P162" i="5" s="1"/>
  <c r="M166" i="5"/>
  <c r="N166" i="5"/>
  <c r="D162" i="5" l="1" a="1"/>
  <c r="D162" i="5" s="1"/>
  <c r="L163" i="5" s="1"/>
  <c r="H163" i="5" l="1"/>
  <c r="C163" i="5"/>
  <c r="I163" i="5"/>
  <c r="J163" i="5" s="1"/>
  <c r="A162" i="5"/>
  <c r="M167" i="5"/>
  <c r="N167" i="5"/>
  <c r="K163" i="5" l="1"/>
  <c r="O163" i="5" s="1"/>
  <c r="P163" i="5" s="1"/>
  <c r="D163" i="5" l="1" a="1"/>
  <c r="D163" i="5" s="1"/>
  <c r="H164" i="5" l="1"/>
  <c r="L164" i="5"/>
  <c r="I164" i="5"/>
  <c r="A163" i="5"/>
  <c r="C164" i="5"/>
  <c r="M168" i="5" l="1"/>
  <c r="N168" i="5"/>
  <c r="J164" i="5"/>
  <c r="K164" i="5" l="1"/>
  <c r="O164" i="5" s="1"/>
  <c r="P164" i="5" s="1"/>
  <c r="D164" i="5" l="1" a="1"/>
  <c r="D164" i="5" s="1"/>
  <c r="L165" i="5" l="1"/>
  <c r="C165" i="5"/>
  <c r="H165" i="5"/>
  <c r="I165" i="5"/>
  <c r="A164" i="5"/>
  <c r="J165" i="5" l="1"/>
  <c r="K165" i="5" s="1"/>
  <c r="O165" i="5" s="1"/>
  <c r="P165" i="5" s="1"/>
  <c r="N169" i="5"/>
  <c r="M169" i="5"/>
  <c r="D165" i="5" l="1" a="1"/>
  <c r="D165" i="5" s="1"/>
  <c r="L166" i="5" l="1"/>
  <c r="C166" i="5"/>
  <c r="H166" i="5"/>
  <c r="I166" i="5"/>
  <c r="A165" i="5"/>
  <c r="J166" i="5" l="1"/>
  <c r="K166" i="5" s="1"/>
  <c r="O166" i="5" s="1"/>
  <c r="P166" i="5" s="1"/>
  <c r="N170" i="5"/>
  <c r="M170" i="5"/>
  <c r="D166" i="5" l="1" a="1"/>
  <c r="D166" i="5" s="1"/>
  <c r="I167" i="5" l="1"/>
  <c r="C167" i="5"/>
  <c r="H167" i="5"/>
  <c r="L167" i="5"/>
  <c r="A166" i="5"/>
  <c r="J167" i="5" l="1"/>
  <c r="K167" i="5" s="1"/>
  <c r="O167" i="5" s="1"/>
  <c r="P167" i="5" s="1"/>
  <c r="M171" i="5"/>
  <c r="N171" i="5"/>
  <c r="D167" i="5" l="1" a="1"/>
  <c r="D167" i="5" s="1"/>
  <c r="I168" i="5" l="1"/>
  <c r="A167" i="5"/>
  <c r="C168" i="5"/>
  <c r="H168" i="5"/>
  <c r="L168" i="5"/>
  <c r="J168" i="5" l="1"/>
  <c r="K168" i="5" s="1"/>
  <c r="O168" i="5" s="1"/>
  <c r="P168" i="5" s="1"/>
  <c r="M172" i="5"/>
  <c r="N172" i="5"/>
  <c r="D168" i="5" l="1" a="1"/>
  <c r="D168" i="5" s="1"/>
  <c r="L169" i="5" l="1"/>
  <c r="A168" i="5"/>
  <c r="I169" i="5"/>
  <c r="C169" i="5"/>
  <c r="H169" i="5"/>
  <c r="J169" i="5" l="1"/>
  <c r="K169" i="5" s="1"/>
  <c r="O169" i="5" s="1"/>
  <c r="P169" i="5" s="1"/>
  <c r="M173" i="5"/>
  <c r="N173" i="5"/>
  <c r="D169" i="5" l="1" a="1"/>
  <c r="D169" i="5" s="1"/>
  <c r="H170" i="5" s="1"/>
  <c r="L170" i="5" l="1"/>
  <c r="N174" i="5" s="1"/>
  <c r="I170" i="5"/>
  <c r="J170" i="5" s="1"/>
  <c r="C170" i="5"/>
  <c r="A169" i="5"/>
  <c r="K170" i="5" l="1"/>
  <c r="O170" i="5" s="1"/>
  <c r="P170" i="5" s="1"/>
  <c r="M174" i="5"/>
  <c r="D170" i="5" l="1" a="1"/>
  <c r="D170" i="5" s="1"/>
  <c r="C171" i="5" s="1"/>
  <c r="H171" i="5" l="1"/>
  <c r="A170" i="5"/>
  <c r="L171" i="5"/>
  <c r="M175" i="5" s="1"/>
  <c r="I171" i="5"/>
  <c r="J171" i="5" l="1"/>
  <c r="K171" i="5" s="1"/>
  <c r="O171" i="5" s="1"/>
  <c r="P171" i="5" s="1"/>
  <c r="N175" i="5"/>
  <c r="D171" i="5" l="1" a="1"/>
  <c r="D171" i="5" s="1"/>
  <c r="H172" i="5" s="1"/>
  <c r="I172" i="5" l="1"/>
  <c r="J172" i="5" s="1"/>
  <c r="C172" i="5"/>
  <c r="A171" i="5"/>
  <c r="L172" i="5"/>
  <c r="M176" i="5" s="1"/>
  <c r="N176" i="5" l="1"/>
  <c r="K172" i="5"/>
  <c r="O172" i="5" s="1"/>
  <c r="P172" i="5" s="1"/>
  <c r="D172" i="5" l="1" a="1"/>
  <c r="D172" i="5" s="1"/>
  <c r="C173" i="5" l="1"/>
  <c r="L173" i="5"/>
  <c r="H173" i="5"/>
  <c r="A172" i="5"/>
  <c r="I173" i="5"/>
  <c r="N177" i="5" l="1"/>
  <c r="M177" i="5"/>
  <c r="J173" i="5"/>
  <c r="K173" i="5" s="1"/>
  <c r="O173" i="5" s="1"/>
  <c r="P173" i="5" s="1"/>
  <c r="D173" i="5" l="1" a="1"/>
  <c r="D173" i="5" s="1"/>
  <c r="C174" i="5" l="1"/>
  <c r="I174" i="5"/>
  <c r="A173" i="5"/>
  <c r="H174" i="5"/>
  <c r="J174" i="5" s="1"/>
  <c r="L174" i="5"/>
  <c r="M178" i="5" l="1"/>
  <c r="N178" i="5"/>
  <c r="K174" i="5"/>
  <c r="O174" i="5" s="1"/>
  <c r="P174" i="5" s="1"/>
  <c r="D174" i="5" l="1" a="1"/>
  <c r="D174" i="5" s="1"/>
  <c r="I175" i="5" l="1"/>
  <c r="A174" i="5"/>
  <c r="C175" i="5"/>
  <c r="H175" i="5"/>
  <c r="L175" i="5"/>
  <c r="J175" i="5" l="1"/>
  <c r="K175" i="5" s="1"/>
  <c r="O175" i="5" s="1"/>
  <c r="P175" i="5" s="1"/>
  <c r="M179" i="5"/>
  <c r="N179" i="5"/>
  <c r="D175" i="5" l="1" a="1"/>
  <c r="D175" i="5" s="1"/>
  <c r="L176" i="5" l="1"/>
  <c r="I176" i="5"/>
  <c r="A175" i="5"/>
  <c r="C176" i="5"/>
  <c r="H176" i="5"/>
  <c r="J176" i="5" s="1"/>
  <c r="K176" i="5" l="1"/>
  <c r="O176" i="5" s="1"/>
  <c r="P176" i="5" s="1"/>
  <c r="N180" i="5"/>
  <c r="M180" i="5"/>
  <c r="D176" i="5" l="1" a="1"/>
  <c r="D176" i="5" s="1"/>
  <c r="H177" i="5" l="1"/>
  <c r="L177" i="5"/>
  <c r="I177" i="5"/>
  <c r="A176" i="5"/>
  <c r="C177" i="5"/>
  <c r="M181" i="5" l="1"/>
  <c r="N181" i="5"/>
  <c r="J177" i="5"/>
  <c r="K177" i="5" l="1"/>
  <c r="O177" i="5" s="1"/>
  <c r="P177" i="5" s="1"/>
  <c r="D177" i="5" l="1" a="1"/>
  <c r="D177" i="5" s="1"/>
  <c r="H178" i="5" l="1"/>
  <c r="L178" i="5"/>
  <c r="A177" i="5"/>
  <c r="I178" i="5"/>
  <c r="C178" i="5"/>
  <c r="M182" i="5" l="1"/>
  <c r="N182" i="5"/>
  <c r="J178" i="5"/>
  <c r="K178" i="5" l="1"/>
  <c r="O178" i="5" s="1"/>
  <c r="P178" i="5" s="1"/>
  <c r="D178" i="5" l="1" a="1"/>
  <c r="D178" i="5" s="1"/>
  <c r="L179" i="5" l="1"/>
  <c r="H179" i="5"/>
  <c r="I179" i="5"/>
  <c r="A178" i="5"/>
  <c r="C179" i="5"/>
  <c r="J179" i="5" l="1"/>
  <c r="N183" i="5"/>
  <c r="M183" i="5"/>
  <c r="K179" i="5" l="1"/>
  <c r="O179" i="5" s="1"/>
  <c r="P179" i="5" s="1"/>
  <c r="D179" i="5" l="1" a="1"/>
  <c r="D179" i="5" s="1"/>
  <c r="C180" i="5" l="1"/>
  <c r="H180" i="5"/>
  <c r="L180" i="5"/>
  <c r="I180" i="5"/>
  <c r="A179" i="5"/>
  <c r="M184" i="5" l="1"/>
  <c r="N184" i="5"/>
  <c r="J180" i="5"/>
  <c r="K180" i="5" s="1"/>
  <c r="O180" i="5" s="1"/>
  <c r="P180" i="5" s="1"/>
  <c r="D180" i="5" l="1" a="1"/>
  <c r="D180" i="5" s="1"/>
  <c r="I181" i="5" l="1"/>
  <c r="C181" i="5"/>
  <c r="H181" i="5"/>
  <c r="L181" i="5"/>
  <c r="A180" i="5"/>
  <c r="J181" i="5" l="1"/>
  <c r="K181" i="5" s="1"/>
  <c r="O181" i="5" s="1"/>
  <c r="P181" i="5" s="1"/>
  <c r="M185" i="5"/>
  <c r="N185" i="5"/>
  <c r="D181" i="5" l="1" a="1"/>
  <c r="D181" i="5" s="1"/>
  <c r="I182" i="5" l="1"/>
  <c r="A181" i="5"/>
  <c r="C182" i="5"/>
  <c r="H182" i="5"/>
  <c r="L182" i="5"/>
  <c r="J182" i="5" l="1"/>
  <c r="K182" i="5" s="1"/>
  <c r="O182" i="5" s="1"/>
  <c r="P182" i="5" s="1"/>
  <c r="N186" i="5"/>
  <c r="M186" i="5"/>
  <c r="D182" i="5" l="1" a="1"/>
  <c r="D182" i="5" s="1"/>
  <c r="H183" i="5" l="1"/>
  <c r="I183" i="5"/>
  <c r="A182" i="5"/>
  <c r="L183" i="5"/>
  <c r="C183" i="5"/>
  <c r="N187" i="5" l="1"/>
  <c r="M187" i="5"/>
  <c r="J183" i="5"/>
  <c r="K183" i="5" l="1"/>
  <c r="O183" i="5" s="1"/>
  <c r="P183" i="5" s="1"/>
  <c r="D183" i="5" l="1" a="1"/>
  <c r="D183" i="5" s="1"/>
  <c r="L184" i="5" l="1"/>
  <c r="H184" i="5"/>
  <c r="A183" i="5"/>
  <c r="I184" i="5"/>
  <c r="C184" i="5"/>
  <c r="J184" i="5" l="1"/>
  <c r="M188" i="5"/>
  <c r="N188" i="5"/>
  <c r="K184" i="5" l="1"/>
  <c r="O184" i="5" s="1"/>
  <c r="P184" i="5" s="1"/>
  <c r="D184" i="5" l="1" a="1"/>
  <c r="D184" i="5" s="1"/>
  <c r="C185" i="5" l="1"/>
  <c r="H185" i="5"/>
  <c r="I185" i="5"/>
  <c r="A184" i="5"/>
  <c r="L185" i="5"/>
  <c r="N189" i="5" l="1"/>
  <c r="M189" i="5"/>
  <c r="J185" i="5"/>
  <c r="K185" i="5" s="1"/>
  <c r="O185" i="5" s="1"/>
  <c r="P185" i="5" s="1"/>
  <c r="D185" i="5" l="1" a="1"/>
  <c r="D185" i="5" s="1"/>
  <c r="H186" i="5" l="1"/>
  <c r="L186" i="5"/>
  <c r="A185" i="5"/>
  <c r="I186" i="5"/>
  <c r="C186" i="5"/>
  <c r="N190" i="5" l="1"/>
  <c r="M190" i="5"/>
  <c r="J186" i="5"/>
  <c r="K186" i="5" l="1"/>
  <c r="O186" i="5" s="1"/>
  <c r="P186" i="5" s="1"/>
  <c r="D186" i="5" l="1" a="1"/>
  <c r="D186" i="5" s="1"/>
  <c r="C187" i="5" l="1"/>
  <c r="L187" i="5"/>
  <c r="H187" i="5"/>
  <c r="A186" i="5"/>
  <c r="I187" i="5"/>
  <c r="J187" i="5" l="1"/>
  <c r="K187" i="5" s="1"/>
  <c r="O187" i="5" s="1"/>
  <c r="P187" i="5" s="1"/>
  <c r="N191" i="5"/>
  <c r="M191" i="5"/>
  <c r="D187" i="5" l="1" a="1"/>
  <c r="D187" i="5" s="1"/>
  <c r="A187" i="5" l="1"/>
  <c r="L188" i="5"/>
  <c r="C188" i="5"/>
  <c r="I188" i="5"/>
  <c r="H188" i="5"/>
  <c r="J188" i="5" l="1"/>
  <c r="K188" i="5" s="1"/>
  <c r="O188" i="5" s="1"/>
  <c r="P188" i="5" s="1"/>
  <c r="N192" i="5"/>
  <c r="M192" i="5"/>
  <c r="D188" i="5" l="1" a="1"/>
  <c r="D188" i="5" s="1"/>
  <c r="A188" i="5" l="1"/>
  <c r="I189" i="5"/>
  <c r="C189" i="5"/>
  <c r="H189" i="5"/>
  <c r="L189" i="5"/>
  <c r="J189" i="5" l="1"/>
  <c r="K189" i="5" s="1"/>
  <c r="O189" i="5" s="1"/>
  <c r="P189" i="5" s="1"/>
  <c r="N193" i="5"/>
  <c r="M193" i="5"/>
  <c r="D189" i="5" l="1" a="1"/>
  <c r="D189" i="5" s="1"/>
  <c r="H190" i="5" l="1"/>
  <c r="I190" i="5"/>
  <c r="A189" i="5"/>
  <c r="L190" i="5"/>
  <c r="C190" i="5"/>
  <c r="M194" i="5" l="1"/>
  <c r="N194" i="5"/>
  <c r="J190" i="5"/>
  <c r="K190" i="5" l="1"/>
  <c r="O190" i="5" s="1"/>
  <c r="P190" i="5" s="1"/>
  <c r="D190" i="5" l="1" a="1"/>
  <c r="D190" i="5" s="1"/>
  <c r="L191" i="5" l="1"/>
  <c r="H191" i="5"/>
  <c r="I191" i="5"/>
  <c r="A190" i="5"/>
  <c r="C191" i="5"/>
  <c r="J191" i="5" l="1"/>
  <c r="K191" i="5" s="1"/>
  <c r="O191" i="5" s="1"/>
  <c r="P191" i="5" s="1"/>
  <c r="N195" i="5"/>
  <c r="M195" i="5"/>
  <c r="D191" i="5" l="1" a="1"/>
  <c r="D191" i="5" s="1"/>
  <c r="C192" i="5" l="1"/>
  <c r="H192" i="5"/>
  <c r="A191" i="5"/>
  <c r="I192" i="5"/>
  <c r="L192" i="5"/>
  <c r="M196" i="5" l="1"/>
  <c r="N196" i="5"/>
  <c r="J192" i="5"/>
  <c r="K192" i="5" s="1"/>
  <c r="O192" i="5" s="1"/>
  <c r="P192" i="5" s="1"/>
  <c r="D192" i="5" l="1" a="1"/>
  <c r="D192" i="5" s="1"/>
  <c r="L193" i="5" l="1"/>
  <c r="H193" i="5"/>
  <c r="A192" i="5"/>
  <c r="I193" i="5"/>
  <c r="C193" i="5"/>
  <c r="J193" i="5" l="1"/>
  <c r="N197" i="5"/>
  <c r="M197" i="5"/>
  <c r="K193" i="5" l="1"/>
  <c r="O193" i="5" s="1"/>
  <c r="P193" i="5" s="1"/>
  <c r="D193" i="5" l="1" a="1"/>
  <c r="D193" i="5" s="1"/>
  <c r="C194" i="5" l="1"/>
  <c r="L194" i="5"/>
  <c r="A193" i="5"/>
  <c r="H194" i="5"/>
  <c r="I194" i="5"/>
  <c r="J194" i="5" l="1"/>
  <c r="K194" i="5" s="1"/>
  <c r="O194" i="5" s="1"/>
  <c r="P194" i="5" s="1"/>
  <c r="M198" i="5"/>
  <c r="N198" i="5"/>
  <c r="D194" i="5" l="1" a="1"/>
  <c r="D194" i="5" s="1"/>
  <c r="I195" i="5" l="1"/>
  <c r="L195" i="5"/>
  <c r="C195" i="5"/>
  <c r="A194" i="5"/>
  <c r="H195" i="5"/>
  <c r="J195" i="5" l="1"/>
  <c r="K195" i="5" s="1"/>
  <c r="O195" i="5" s="1"/>
  <c r="P195" i="5" s="1"/>
  <c r="M199" i="5"/>
  <c r="N199" i="5"/>
  <c r="D195" i="5" l="1" a="1"/>
  <c r="D195" i="5" s="1"/>
  <c r="A195" i="5" l="1"/>
  <c r="I196" i="5"/>
  <c r="C196" i="5"/>
  <c r="H196" i="5"/>
  <c r="L196" i="5"/>
  <c r="J196" i="5" l="1"/>
  <c r="K196" i="5" s="1"/>
  <c r="O196" i="5" s="1"/>
  <c r="P196" i="5" s="1"/>
  <c r="N200" i="5"/>
  <c r="M200" i="5"/>
  <c r="D196" i="5" l="1" a="1"/>
  <c r="D196" i="5" s="1"/>
  <c r="C197" i="5" l="1"/>
  <c r="L197" i="5"/>
  <c r="H197" i="5"/>
  <c r="A196" i="5"/>
  <c r="I197" i="5"/>
  <c r="M201" i="5" l="1"/>
  <c r="N201" i="5"/>
  <c r="J197" i="5"/>
  <c r="K197" i="5" s="1"/>
  <c r="O197" i="5" s="1"/>
  <c r="P197" i="5" s="1"/>
  <c r="D197" i="5" l="1" a="1"/>
  <c r="D197" i="5" s="1"/>
  <c r="H198" i="5" s="1"/>
  <c r="C198" i="5" l="1"/>
  <c r="A197" i="5"/>
  <c r="I198" i="5"/>
  <c r="J198" i="5" s="1"/>
  <c r="L198" i="5"/>
  <c r="M202" i="5" s="1"/>
  <c r="N202" i="5" l="1"/>
  <c r="K198" i="5"/>
  <c r="O198" i="5" s="1"/>
  <c r="P198" i="5" s="1"/>
  <c r="D198" i="5" l="1" a="1"/>
  <c r="D198" i="5" s="1"/>
  <c r="H199" i="5" l="1"/>
  <c r="L199" i="5"/>
  <c r="A198" i="5"/>
  <c r="I199" i="5"/>
  <c r="C199" i="5"/>
  <c r="N203" i="5" l="1"/>
  <c r="M203" i="5"/>
  <c r="J199" i="5"/>
  <c r="K199" i="5" l="1"/>
  <c r="O199" i="5" s="1"/>
  <c r="P199" i="5" s="1"/>
  <c r="D199" i="5" l="1" a="1"/>
  <c r="D199" i="5" s="1"/>
  <c r="H200" i="5" l="1"/>
  <c r="L200" i="5"/>
  <c r="A199" i="5"/>
  <c r="I200" i="5"/>
  <c r="C200" i="5"/>
  <c r="M204" i="5" l="1"/>
  <c r="N204" i="5"/>
  <c r="J200" i="5"/>
  <c r="K200" i="5" l="1"/>
  <c r="O200" i="5" s="1"/>
  <c r="P200" i="5" s="1"/>
  <c r="D200" i="5" l="1" a="1"/>
  <c r="D200" i="5" s="1"/>
  <c r="C201" i="5" l="1"/>
  <c r="L201" i="5"/>
  <c r="A200" i="5"/>
  <c r="H201" i="5"/>
  <c r="I201" i="5"/>
  <c r="J201" i="5" l="1"/>
  <c r="K201" i="5" s="1"/>
  <c r="O201" i="5" s="1"/>
  <c r="P201" i="5" s="1"/>
  <c r="M205" i="5"/>
  <c r="N205" i="5"/>
  <c r="D201" i="5" l="1" a="1"/>
  <c r="D201" i="5" s="1"/>
  <c r="I202" i="5" l="1"/>
  <c r="C202" i="5"/>
  <c r="L202" i="5"/>
  <c r="A201" i="5"/>
  <c r="H202" i="5"/>
  <c r="J202" i="5" l="1"/>
  <c r="K202" i="5" s="1"/>
  <c r="O202" i="5" s="1"/>
  <c r="P202" i="5" s="1"/>
  <c r="M206" i="5"/>
  <c r="N206" i="5"/>
  <c r="D202" i="5" l="1" a="1"/>
  <c r="D202" i="5" s="1"/>
  <c r="I203" i="5" l="1"/>
  <c r="A202" i="5"/>
  <c r="C203" i="5"/>
  <c r="H203" i="5"/>
  <c r="L203" i="5"/>
  <c r="J203" i="5" l="1"/>
  <c r="K203" i="5" s="1"/>
  <c r="O203" i="5" s="1"/>
  <c r="P203" i="5" s="1"/>
  <c r="N207" i="5"/>
  <c r="M207" i="5"/>
  <c r="D203" i="5" l="1" a="1"/>
  <c r="D203" i="5" s="1"/>
  <c r="H204" i="5" l="1"/>
  <c r="I204" i="5"/>
  <c r="A203" i="5"/>
  <c r="C204" i="5"/>
  <c r="L204" i="5"/>
  <c r="M208" i="5" l="1"/>
  <c r="N208" i="5"/>
  <c r="J204" i="5"/>
  <c r="K204" i="5" l="1"/>
  <c r="O204" i="5" s="1"/>
  <c r="P204" i="5" s="1"/>
  <c r="D204" i="5" l="1" a="1"/>
  <c r="D204" i="5" s="1"/>
  <c r="H205" i="5" l="1"/>
  <c r="L205" i="5"/>
  <c r="A204" i="5"/>
  <c r="I205" i="5"/>
  <c r="C205" i="5"/>
  <c r="M209" i="5" l="1"/>
  <c r="N209" i="5"/>
  <c r="J205" i="5"/>
  <c r="K205" i="5" l="1"/>
  <c r="O205" i="5" s="1"/>
  <c r="P205" i="5" s="1"/>
  <c r="D205" i="5" l="1" a="1"/>
  <c r="D205" i="5" s="1"/>
  <c r="H206" i="5" l="1"/>
  <c r="L206" i="5"/>
  <c r="A205" i="5"/>
  <c r="I206" i="5"/>
  <c r="C206" i="5"/>
  <c r="M210" i="5" l="1"/>
  <c r="N210" i="5"/>
  <c r="J206" i="5"/>
  <c r="K206" i="5" l="1"/>
  <c r="O206" i="5" s="1"/>
  <c r="P206" i="5" s="1"/>
  <c r="D206" i="5" l="1" a="1"/>
  <c r="D206" i="5" s="1"/>
  <c r="A206" i="5" l="1"/>
  <c r="C207" i="5"/>
  <c r="H207" i="5"/>
  <c r="L207" i="5"/>
  <c r="I207" i="5"/>
  <c r="M211" i="5" l="1"/>
  <c r="N211" i="5"/>
  <c r="J207" i="5"/>
  <c r="K207" i="5" s="1"/>
  <c r="O207" i="5" s="1"/>
  <c r="P207" i="5" s="1"/>
  <c r="D207" i="5" l="1" a="1"/>
  <c r="D207" i="5" s="1"/>
  <c r="I208" i="5" l="1"/>
  <c r="L208" i="5"/>
  <c r="C208" i="5"/>
  <c r="H208" i="5"/>
  <c r="A207" i="5"/>
  <c r="J208" i="5" l="1"/>
  <c r="K208" i="5" s="1"/>
  <c r="M212" i="5"/>
  <c r="N212" i="5"/>
  <c r="O208" i="5" l="1"/>
  <c r="P208" i="5" s="1"/>
  <c r="D208" i="5" a="1"/>
  <c r="D208" i="5" s="1"/>
  <c r="I209" i="5" l="1"/>
  <c r="C209" i="5"/>
  <c r="H209" i="5"/>
  <c r="L209" i="5"/>
  <c r="A208" i="5"/>
  <c r="J209" i="5" l="1"/>
  <c r="K209" i="5" s="1"/>
  <c r="O209" i="5" s="1"/>
  <c r="P209" i="5" s="1"/>
  <c r="N213" i="5"/>
  <c r="M213" i="5"/>
  <c r="D209" i="5" l="1" a="1"/>
  <c r="D209" i="5" s="1"/>
  <c r="A209" i="5" l="1"/>
  <c r="I210" i="5"/>
  <c r="L210" i="5"/>
  <c r="C210" i="5"/>
  <c r="H210" i="5"/>
  <c r="J210" i="5" l="1"/>
  <c r="K210" i="5" s="1"/>
  <c r="O210" i="5" s="1"/>
  <c r="P210" i="5" s="1"/>
  <c r="M214" i="5"/>
  <c r="N214" i="5"/>
  <c r="D210" i="5" l="1" a="1"/>
  <c r="D210" i="5" s="1"/>
  <c r="L211" i="5" l="1"/>
  <c r="A210" i="5"/>
  <c r="I211" i="5"/>
  <c r="C211" i="5"/>
  <c r="H211" i="5"/>
  <c r="J211" i="5" l="1"/>
  <c r="K211" i="5" s="1"/>
  <c r="O211" i="5" s="1"/>
  <c r="P211" i="5" s="1"/>
  <c r="M215" i="5"/>
  <c r="N215" i="5"/>
  <c r="D211" i="5" l="1" a="1"/>
  <c r="D211" i="5" s="1"/>
  <c r="H212" i="5" l="1"/>
  <c r="L212" i="5"/>
  <c r="I212" i="5"/>
  <c r="A211" i="5"/>
  <c r="C212" i="5"/>
  <c r="M216" i="5" l="1"/>
  <c r="N216" i="5"/>
  <c r="J212" i="5"/>
  <c r="K212" i="5" l="1"/>
  <c r="O212" i="5" s="1"/>
  <c r="P212" i="5" s="1"/>
  <c r="D212" i="5" l="1" a="1"/>
  <c r="D212" i="5" s="1"/>
  <c r="C213" i="5" l="1"/>
  <c r="H213" i="5"/>
  <c r="I213" i="5"/>
  <c r="A212" i="5"/>
  <c r="L213" i="5"/>
  <c r="N217" i="5" l="1"/>
  <c r="M217" i="5"/>
  <c r="J213" i="5"/>
  <c r="K213" i="5" s="1"/>
  <c r="O213" i="5" s="1"/>
  <c r="P213" i="5" s="1"/>
  <c r="D213" i="5" l="1" a="1"/>
  <c r="D213" i="5" s="1"/>
  <c r="H214" i="5" l="1"/>
  <c r="L214" i="5"/>
  <c r="I214" i="5"/>
  <c r="A213" i="5"/>
  <c r="C214" i="5"/>
  <c r="N218" i="5" l="1"/>
  <c r="M218" i="5"/>
  <c r="J214" i="5"/>
  <c r="K214" i="5" l="1"/>
  <c r="O214" i="5" s="1"/>
  <c r="P214" i="5" s="1"/>
  <c r="D214" i="5" l="1" a="1"/>
  <c r="D214" i="5" s="1"/>
  <c r="C215" i="5" l="1"/>
  <c r="H215" i="5"/>
  <c r="L215" i="5"/>
  <c r="I215" i="5"/>
  <c r="A214" i="5"/>
  <c r="M219" i="5" l="1"/>
  <c r="N219" i="5"/>
  <c r="J215" i="5"/>
  <c r="K215" i="5" s="1"/>
  <c r="O215" i="5" s="1"/>
  <c r="P215" i="5" s="1"/>
  <c r="D215" i="5" l="1" a="1"/>
  <c r="D215" i="5" s="1"/>
  <c r="I216" i="5" l="1"/>
  <c r="C216" i="5"/>
  <c r="L216" i="5"/>
  <c r="A215" i="5"/>
  <c r="H216" i="5"/>
  <c r="J216" i="5" s="1"/>
  <c r="N220" i="5" l="1"/>
  <c r="M220" i="5"/>
  <c r="K216" i="5"/>
  <c r="O216" i="5" s="1"/>
  <c r="P216" i="5" s="1"/>
  <c r="D216" i="5" l="1" a="1"/>
  <c r="D216" i="5" s="1"/>
  <c r="A216" i="5" l="1"/>
  <c r="I217" i="5"/>
  <c r="L217" i="5"/>
  <c r="C217" i="5"/>
  <c r="H217" i="5"/>
  <c r="J217" i="5" l="1"/>
  <c r="K217" i="5" s="1"/>
  <c r="O217" i="5" s="1"/>
  <c r="P217" i="5" s="1"/>
  <c r="N221" i="5"/>
  <c r="O221" i="5" s="1"/>
  <c r="P221" i="5" s="1"/>
  <c r="M221" i="5"/>
  <c r="D217" i="5" l="1" a="1"/>
  <c r="D217" i="5" s="1"/>
  <c r="A217" i="5" l="1"/>
  <c r="I218" i="5"/>
  <c r="C218" i="5"/>
  <c r="H218" i="5"/>
  <c r="L218" i="5"/>
  <c r="J218" i="5" l="1"/>
  <c r="K218" i="5" s="1"/>
  <c r="O218" i="5" s="1"/>
  <c r="P218" i="5" s="1"/>
  <c r="N222" i="5"/>
  <c r="O222" i="5" s="1"/>
  <c r="P222" i="5" s="1"/>
  <c r="M222" i="5"/>
  <c r="D218" i="5" l="1" a="1"/>
  <c r="D218" i="5" s="1"/>
  <c r="C219" i="5" l="1"/>
  <c r="I219" i="5"/>
  <c r="A218" i="5"/>
  <c r="H219" i="5"/>
  <c r="L219" i="5"/>
  <c r="J219" i="5" l="1"/>
  <c r="J8" i="5" s="1"/>
  <c r="M223" i="5"/>
  <c r="N223" i="5"/>
  <c r="O223" i="5" s="1"/>
  <c r="P223" i="5" s="1"/>
  <c r="K219" i="5" l="1"/>
  <c r="O219" i="5" s="1"/>
  <c r="P219" i="5" s="1"/>
  <c r="D219" i="5" l="1" a="1"/>
  <c r="D219" i="5" s="1"/>
  <c r="L220" i="5" s="1"/>
  <c r="A219" i="5" l="1"/>
  <c r="N224" i="5"/>
  <c r="M224" i="5"/>
  <c r="M8" i="5" s="1"/>
  <c r="O220" i="5"/>
  <c r="P220" i="5" s="1"/>
  <c r="L8" i="5"/>
  <c r="N1" i="5" l="1"/>
  <c r="O224" i="5"/>
  <c r="N8" i="5"/>
  <c r="M2" i="5" s="1"/>
  <c r="P224" i="5" l="1"/>
  <c r="P8" i="5" s="1"/>
  <c r="O8" i="5"/>
  <c r="O13" i="1"/>
  <c r="D13" i="1" a="1"/>
  <c r="D13" i="1" s="1"/>
  <c r="E14" i="1" s="1"/>
  <c r="F14" i="1" s="1"/>
  <c r="I14" i="1" l="1"/>
  <c r="L14" i="1"/>
  <c r="A13" i="1"/>
  <c r="P13" i="1"/>
  <c r="N18" i="1" l="1"/>
  <c r="M18" i="1"/>
  <c r="C14" i="1"/>
  <c r="H14" i="1" s="1"/>
  <c r="J14" i="1" s="1"/>
  <c r="K14" i="1" l="1"/>
  <c r="O14" i="1" s="1"/>
  <c r="D14" i="1" l="1" a="1"/>
  <c r="D14" i="1" s="1"/>
  <c r="P14" i="1"/>
  <c r="I15" i="1" l="1"/>
  <c r="E15" i="1"/>
  <c r="F15" i="1" s="1"/>
  <c r="L15" i="1"/>
  <c r="A14" i="1"/>
  <c r="N19" i="1" l="1"/>
  <c r="M19" i="1"/>
  <c r="C15" i="1"/>
  <c r="H15" i="1" l="1"/>
  <c r="J15" i="1" s="1"/>
  <c r="K15" i="1" s="1"/>
  <c r="O15" i="1" l="1"/>
  <c r="P15" i="1" s="1"/>
  <c r="D15" i="1" a="1"/>
  <c r="D15" i="1" s="1"/>
  <c r="L16" i="1" l="1"/>
  <c r="M20" i="1" s="1"/>
  <c r="E16" i="1"/>
  <c r="F16" i="1" s="1"/>
  <c r="I16" i="1"/>
  <c r="A15" i="1"/>
  <c r="C16" i="1"/>
  <c r="H16" i="1" s="1"/>
  <c r="J16" i="1" s="1"/>
  <c r="K16" i="1" s="1"/>
  <c r="N20" i="1"/>
  <c r="O16" i="1" l="1"/>
  <c r="P16" i="1" s="1"/>
  <c r="D16" i="1" a="1"/>
  <c r="D16" i="1" s="1"/>
  <c r="L17" i="1" l="1"/>
  <c r="C17" i="1" s="1"/>
  <c r="H17" i="1" s="1"/>
  <c r="E17" i="1"/>
  <c r="F17" i="1" s="1"/>
  <c r="A16" i="1"/>
  <c r="I17" i="1"/>
  <c r="N21" i="1"/>
  <c r="M21" i="1" l="1"/>
  <c r="J17" i="1"/>
  <c r="K17" i="1" s="1"/>
  <c r="O17" i="1" s="1"/>
  <c r="P17" i="1" s="1"/>
  <c r="D17" i="1" l="1" a="1"/>
  <c r="D17" i="1" s="1"/>
  <c r="A17" i="1" l="1"/>
  <c r="E18" i="1"/>
  <c r="F18" i="1" s="1"/>
  <c r="L18" i="1"/>
  <c r="I18" i="1"/>
  <c r="C18" i="1" l="1"/>
  <c r="H18" i="1" s="1"/>
  <c r="J18" i="1" s="1"/>
  <c r="K18" i="1" s="1"/>
  <c r="M22" i="1"/>
  <c r="N22" i="1"/>
  <c r="O18" i="1" l="1"/>
  <c r="P18" i="1" s="1"/>
  <c r="D18" i="1" a="1"/>
  <c r="D18" i="1" s="1"/>
  <c r="I19" i="1" l="1"/>
  <c r="E19" i="1"/>
  <c r="F19" i="1" s="1"/>
  <c r="L19" i="1"/>
  <c r="A18" i="1"/>
  <c r="N23" i="1" l="1"/>
  <c r="M23" i="1"/>
  <c r="C19" i="1"/>
  <c r="H19" i="1" s="1"/>
  <c r="J19" i="1" s="1"/>
  <c r="K19" i="1" s="1"/>
  <c r="O19" i="1" s="1"/>
  <c r="P19" i="1" s="1"/>
  <c r="D19" i="1" l="1" a="1"/>
  <c r="D19" i="1" s="1"/>
  <c r="L20" i="1" l="1"/>
  <c r="E20" i="1"/>
  <c r="F20" i="1" s="1"/>
  <c r="I20" i="1"/>
  <c r="A19" i="1"/>
  <c r="C20" i="1"/>
  <c r="H20" i="1" s="1"/>
  <c r="M24" i="1"/>
  <c r="N24" i="1"/>
  <c r="J20" i="1" l="1"/>
  <c r="K20" i="1"/>
  <c r="O20" i="1" l="1"/>
  <c r="P20" i="1" s="1"/>
  <c r="D20" i="1" a="1"/>
  <c r="D20" i="1" s="1"/>
  <c r="I21" i="1" l="1"/>
  <c r="E21" i="1"/>
  <c r="F21" i="1" s="1"/>
  <c r="A20" i="1"/>
  <c r="L21" i="1"/>
  <c r="C21" i="1" s="1"/>
  <c r="H21" i="1" s="1"/>
  <c r="J21" i="1" l="1"/>
  <c r="K21" i="1" s="1"/>
  <c r="O21" i="1" s="1"/>
  <c r="P21" i="1" s="1"/>
  <c r="N25" i="1"/>
  <c r="M25" i="1"/>
  <c r="D21" i="1" l="1" a="1"/>
  <c r="D21" i="1" s="1"/>
  <c r="E22" i="1" s="1"/>
  <c r="F22" i="1" s="1"/>
  <c r="A21" i="1" l="1"/>
  <c r="L22" i="1"/>
  <c r="I22" i="1"/>
  <c r="M26" i="1" l="1"/>
  <c r="N26" i="1"/>
  <c r="C22" i="1"/>
  <c r="H22" i="1" s="1"/>
  <c r="J22" i="1" s="1"/>
  <c r="K22" i="1" l="1"/>
  <c r="O22" i="1" s="1"/>
  <c r="P22" i="1" s="1"/>
  <c r="D22" i="1" l="1" a="1"/>
  <c r="D22" i="1" s="1"/>
  <c r="E23" i="1" s="1"/>
  <c r="F23" i="1" s="1"/>
  <c r="I23" i="1"/>
  <c r="L23" i="1" l="1"/>
  <c r="C23" i="1" s="1"/>
  <c r="H23" i="1" s="1"/>
  <c r="A22" i="1"/>
  <c r="J23" i="1" l="1"/>
  <c r="K23" i="1" s="1"/>
  <c r="O23" i="1" s="1"/>
  <c r="P23" i="1" s="1"/>
  <c r="M27" i="1"/>
  <c r="N27" i="1"/>
  <c r="D23" i="1" l="1" a="1"/>
  <c r="D23" i="1" s="1"/>
  <c r="E24" i="1" s="1"/>
  <c r="F24" i="1" s="1"/>
  <c r="L24" i="1" l="1"/>
  <c r="C24" i="1" s="1"/>
  <c r="H24" i="1" s="1"/>
  <c r="I24" i="1"/>
  <c r="A23" i="1"/>
  <c r="J24" i="1" l="1"/>
  <c r="K24" i="1" s="1"/>
  <c r="O24" i="1" s="1"/>
  <c r="P24" i="1" s="1"/>
  <c r="N28" i="1"/>
  <c r="M28" i="1"/>
  <c r="D24" i="1" l="1" a="1"/>
  <c r="D24" i="1" s="1"/>
  <c r="E25" i="1" s="1"/>
  <c r="F25" i="1" s="1"/>
  <c r="I25" i="1" l="1"/>
  <c r="L25" i="1"/>
  <c r="C25" i="1" s="1"/>
  <c r="H25" i="1" s="1"/>
  <c r="A24" i="1"/>
  <c r="J25" i="1" l="1"/>
  <c r="K25" i="1" s="1"/>
  <c r="O25" i="1" s="1"/>
  <c r="P25" i="1" s="1"/>
  <c r="M29" i="1"/>
  <c r="N29" i="1"/>
  <c r="D25" i="1" l="1" a="1"/>
  <c r="D25" i="1" s="1"/>
  <c r="A25" i="1" l="1"/>
  <c r="E26" i="1"/>
  <c r="F26" i="1" s="1"/>
  <c r="I26" i="1"/>
  <c r="L26" i="1"/>
  <c r="C26" i="1" s="1"/>
  <c r="H26" i="1" s="1"/>
  <c r="N30" i="1" l="1"/>
  <c r="M30" i="1"/>
  <c r="J26" i="1"/>
  <c r="K26" i="1" l="1"/>
  <c r="O26" i="1" s="1"/>
  <c r="P26" i="1" s="1"/>
  <c r="D26" i="1" l="1" a="1"/>
  <c r="D26" i="1" s="1"/>
  <c r="E27" i="1" s="1"/>
  <c r="F27" i="1" s="1"/>
  <c r="A26" i="1" l="1"/>
  <c r="L27" i="1"/>
  <c r="I27" i="1"/>
  <c r="C27" i="1" l="1"/>
  <c r="H27" i="1" s="1"/>
  <c r="J27" i="1" s="1"/>
  <c r="M31" i="1"/>
  <c r="N31" i="1"/>
  <c r="K27" i="1" l="1"/>
  <c r="O27" i="1" s="1"/>
  <c r="P27" i="1" s="1"/>
  <c r="D27" i="1" l="1" a="1"/>
  <c r="D27" i="1" s="1"/>
  <c r="L28" i="1" l="1"/>
  <c r="E28" i="1"/>
  <c r="F28" i="1" s="1"/>
  <c r="A27" i="1"/>
  <c r="I28" i="1"/>
  <c r="C28" i="1"/>
  <c r="H28" i="1" s="1"/>
  <c r="J28" i="1" s="1"/>
  <c r="N32" i="1"/>
  <c r="M32" i="1"/>
  <c r="K28" i="1" l="1"/>
  <c r="O28" i="1" s="1"/>
  <c r="P28" i="1" s="1"/>
  <c r="D28" i="1" l="1" a="1"/>
  <c r="D28" i="1" s="1"/>
  <c r="L29" i="1" l="1"/>
  <c r="M33" i="1" s="1"/>
  <c r="E29" i="1"/>
  <c r="F29" i="1" s="1"/>
  <c r="I29" i="1"/>
  <c r="A28" i="1"/>
  <c r="C29" i="1"/>
  <c r="H29" i="1" s="1"/>
  <c r="N33" i="1"/>
  <c r="J29" i="1" l="1"/>
  <c r="K29" i="1"/>
  <c r="O29" i="1" l="1"/>
  <c r="P29" i="1" s="1"/>
  <c r="D29" i="1" a="1"/>
  <c r="D29" i="1" s="1"/>
  <c r="L30" i="1" l="1"/>
  <c r="M34" i="1" s="1"/>
  <c r="E30" i="1"/>
  <c r="F30" i="1" s="1"/>
  <c r="C30" i="1"/>
  <c r="H30" i="1" s="1"/>
  <c r="A29" i="1"/>
  <c r="I30" i="1"/>
  <c r="N34" i="1" l="1"/>
  <c r="J30" i="1"/>
  <c r="K30" i="1" s="1"/>
  <c r="O30" i="1" s="1"/>
  <c r="P30" i="1" s="1"/>
  <c r="D30" i="1" l="1" a="1"/>
  <c r="D30" i="1" s="1"/>
  <c r="L31" i="1" l="1"/>
  <c r="C31" i="1" s="1"/>
  <c r="H31" i="1" s="1"/>
  <c r="E31" i="1"/>
  <c r="F31" i="1" s="1"/>
  <c r="I31" i="1"/>
  <c r="A30" i="1"/>
  <c r="M35" i="1"/>
  <c r="N35" i="1"/>
  <c r="J31" i="1" l="1"/>
  <c r="K31" i="1" s="1"/>
  <c r="O31" i="1" s="1"/>
  <c r="P31" i="1" s="1"/>
  <c r="D31" i="1" l="1" a="1"/>
  <c r="D31" i="1" s="1"/>
  <c r="I32" i="1" l="1"/>
  <c r="E32" i="1"/>
  <c r="F32" i="1" s="1"/>
  <c r="L32" i="1"/>
  <c r="A31" i="1"/>
  <c r="C32" i="1" l="1"/>
  <c r="H32" i="1" s="1"/>
  <c r="J32" i="1" s="1"/>
  <c r="K32" i="1" s="1"/>
  <c r="O32" i="1" s="1"/>
  <c r="P32" i="1" s="1"/>
  <c r="N36" i="1"/>
  <c r="M36" i="1"/>
  <c r="D32" i="1" l="1" a="1"/>
  <c r="D32" i="1" s="1"/>
  <c r="I33" i="1" l="1"/>
  <c r="E33" i="1"/>
  <c r="F33" i="1" s="1"/>
  <c r="A32" i="1"/>
  <c r="L33" i="1"/>
  <c r="C33" i="1" l="1"/>
  <c r="N37" i="1"/>
  <c r="M37" i="1"/>
  <c r="H33" i="1" l="1"/>
  <c r="J33" i="1" s="1"/>
  <c r="K33" i="1" s="1"/>
  <c r="O33" i="1" l="1"/>
  <c r="P33" i="1" s="1"/>
  <c r="D33" i="1" a="1"/>
  <c r="D33" i="1" s="1"/>
  <c r="A33" i="1" l="1"/>
  <c r="E34" i="1"/>
  <c r="F34" i="1" s="1"/>
  <c r="I34" i="1"/>
  <c r="L34" i="1"/>
  <c r="C34" i="1" s="1"/>
  <c r="H34" i="1" s="1"/>
  <c r="J34" i="1" s="1"/>
  <c r="K34" i="1" s="1"/>
  <c r="M38" i="1" l="1"/>
  <c r="N38" i="1"/>
  <c r="O34" i="1"/>
  <c r="P34" i="1" s="1"/>
  <c r="D34" i="1" a="1"/>
  <c r="D34" i="1" s="1"/>
  <c r="A34" i="1" l="1"/>
  <c r="E35" i="1"/>
  <c r="F35" i="1" s="1"/>
  <c r="I35" i="1"/>
  <c r="L35" i="1"/>
  <c r="C35" i="1" s="1"/>
  <c r="H35" i="1" s="1"/>
  <c r="J35" i="1" l="1"/>
  <c r="N39" i="1"/>
  <c r="M39" i="1"/>
  <c r="K35" i="1" l="1"/>
  <c r="O35" i="1" s="1"/>
  <c r="P35" i="1" s="1"/>
  <c r="D35" i="1" l="1" a="1"/>
  <c r="D35" i="1" s="1"/>
  <c r="A35" i="1" l="1"/>
  <c r="E36" i="1"/>
  <c r="F36" i="1" s="1"/>
  <c r="I36" i="1"/>
  <c r="L36" i="1"/>
  <c r="C36" i="1" l="1"/>
  <c r="H36" i="1" s="1"/>
  <c r="J36" i="1" s="1"/>
  <c r="M40" i="1"/>
  <c r="N40" i="1"/>
  <c r="K36" i="1" l="1"/>
  <c r="O36" i="1" s="1"/>
  <c r="P36" i="1" s="1"/>
  <c r="D36" i="1" l="1" a="1"/>
  <c r="D36" i="1" s="1"/>
  <c r="L37" i="1" l="1"/>
  <c r="E37" i="1"/>
  <c r="F37" i="1" s="1"/>
  <c r="I37" i="1"/>
  <c r="A36" i="1"/>
  <c r="C37" i="1"/>
  <c r="N41" i="1"/>
  <c r="M41" i="1"/>
  <c r="H37" i="1" l="1"/>
  <c r="J37" i="1" s="1"/>
  <c r="K37" i="1" s="1"/>
  <c r="O37" i="1" s="1"/>
  <c r="P37" i="1" s="1"/>
  <c r="D37" i="1" l="1" a="1"/>
  <c r="D37" i="1" s="1"/>
  <c r="E38" i="1" s="1"/>
  <c r="F38" i="1" s="1"/>
  <c r="A37" i="1" l="1"/>
  <c r="I38" i="1"/>
  <c r="L38" i="1"/>
  <c r="N42" i="1" l="1"/>
  <c r="M42" i="1"/>
  <c r="C38" i="1"/>
  <c r="H38" i="1" l="1"/>
  <c r="J38" i="1" s="1"/>
  <c r="K38" i="1" l="1"/>
  <c r="O38" i="1" s="1"/>
  <c r="P38" i="1" s="1"/>
  <c r="D38" i="1" l="1" a="1"/>
  <c r="D38" i="1" s="1"/>
  <c r="E39" i="1" s="1"/>
  <c r="F39" i="1" s="1"/>
  <c r="L39" i="1" l="1"/>
  <c r="C39" i="1" s="1"/>
  <c r="A38" i="1"/>
  <c r="I39" i="1"/>
  <c r="H39" i="1" l="1"/>
  <c r="J39" i="1" s="1"/>
  <c r="N43" i="1"/>
  <c r="M43" i="1"/>
  <c r="K39" i="1" l="1"/>
  <c r="O39" i="1" s="1"/>
  <c r="P39" i="1" s="1"/>
  <c r="D39" i="1" l="1" a="1"/>
  <c r="D39" i="1" s="1"/>
  <c r="L40" i="1" l="1"/>
  <c r="E40" i="1"/>
  <c r="F40" i="1" s="1"/>
  <c r="I40" i="1"/>
  <c r="C40" i="1"/>
  <c r="A39" i="1"/>
  <c r="H40" i="1"/>
  <c r="J40" i="1" s="1"/>
  <c r="K40" i="1" s="1"/>
  <c r="O40" i="1" s="1"/>
  <c r="P40" i="1" s="1"/>
  <c r="N44" i="1"/>
  <c r="M44" i="1"/>
  <c r="D40" i="1" l="1" a="1"/>
  <c r="D40" i="1" s="1"/>
  <c r="E41" i="1" s="1"/>
  <c r="F41" i="1" s="1"/>
  <c r="I41" i="1" l="1"/>
  <c r="L41" i="1"/>
  <c r="C41" i="1" s="1"/>
  <c r="A40" i="1"/>
  <c r="M45" i="1" l="1"/>
  <c r="N45" i="1"/>
  <c r="H41" i="1"/>
  <c r="J41" i="1" s="1"/>
  <c r="K41" i="1" l="1"/>
  <c r="O41" i="1" s="1"/>
  <c r="P41" i="1" s="1"/>
  <c r="D41" i="1" l="1" a="1"/>
  <c r="D41" i="1" s="1"/>
  <c r="A41" i="1" l="1"/>
  <c r="I42" i="1"/>
  <c r="L42" i="1"/>
  <c r="C42" i="1" s="1"/>
  <c r="H42" i="1" l="1"/>
  <c r="J42" i="1" s="1"/>
  <c r="N46" i="1"/>
  <c r="M46" i="1"/>
  <c r="K42" i="1" l="1"/>
  <c r="O42" i="1" s="1"/>
  <c r="P42" i="1" s="1"/>
  <c r="D42" i="1" l="1" a="1"/>
  <c r="D42" i="1" s="1"/>
  <c r="A42" i="1" l="1"/>
  <c r="L43" i="1"/>
  <c r="C43" i="1" s="1"/>
  <c r="I43" i="1"/>
  <c r="H43" i="1" l="1"/>
  <c r="J43" i="1" s="1"/>
  <c r="K43" i="1" s="1"/>
  <c r="O43" i="1" s="1"/>
  <c r="P43" i="1" s="1"/>
  <c r="N47" i="1"/>
  <c r="M47" i="1"/>
  <c r="D43" i="1" l="1" a="1"/>
  <c r="D43" i="1" s="1"/>
  <c r="L44" i="1" l="1"/>
  <c r="A43" i="1"/>
  <c r="I44" i="1"/>
  <c r="C44" i="1" l="1"/>
  <c r="N48" i="1"/>
  <c r="M48" i="1"/>
  <c r="H44" i="1" l="1"/>
  <c r="J44" i="1" s="1"/>
  <c r="K44" i="1" s="1"/>
  <c r="O44" i="1" s="1"/>
  <c r="P44" i="1" s="1"/>
  <c r="D44" i="1" l="1" a="1"/>
  <c r="D44" i="1" s="1"/>
  <c r="I45" i="1" l="1"/>
  <c r="A44" i="1"/>
  <c r="L45" i="1"/>
  <c r="C45" i="1" l="1"/>
  <c r="H45" i="1" s="1"/>
  <c r="J45" i="1" s="1"/>
  <c r="M49" i="1"/>
  <c r="N49" i="1"/>
  <c r="K45" i="1" l="1"/>
  <c r="O45" i="1" s="1"/>
  <c r="P45" i="1" s="1"/>
  <c r="D45" i="1" l="1" a="1"/>
  <c r="D45" i="1" s="1"/>
  <c r="I46" i="1" s="1"/>
  <c r="L46" i="1" l="1"/>
  <c r="M50" i="1" s="1"/>
  <c r="A45" i="1"/>
  <c r="C46" i="1" l="1"/>
  <c r="H46" i="1" s="1"/>
  <c r="J46" i="1" s="1"/>
  <c r="N50" i="1"/>
  <c r="K46" i="1" l="1"/>
  <c r="O46" i="1" s="1"/>
  <c r="P46" i="1" s="1"/>
  <c r="D46" i="1" l="1" a="1"/>
  <c r="D46" i="1" s="1"/>
  <c r="L47" i="1" l="1"/>
  <c r="C47" i="1" s="1"/>
  <c r="A46" i="1"/>
  <c r="I47" i="1"/>
  <c r="H47" i="1" l="1"/>
  <c r="J47" i="1" s="1"/>
  <c r="K47" i="1" s="1"/>
  <c r="O47" i="1" s="1"/>
  <c r="P47" i="1" s="1"/>
  <c r="M51" i="1"/>
  <c r="N51" i="1"/>
  <c r="D47" i="1" l="1" a="1"/>
  <c r="D47" i="1" s="1"/>
  <c r="A47" i="1" l="1"/>
  <c r="L48" i="1"/>
  <c r="C48" i="1" s="1"/>
  <c r="I48" i="1"/>
  <c r="H48" i="1" l="1"/>
  <c r="J48" i="1" s="1"/>
  <c r="K48" i="1" s="1"/>
  <c r="O48" i="1" s="1"/>
  <c r="P48" i="1" s="1"/>
  <c r="N52" i="1"/>
  <c r="M52" i="1"/>
  <c r="D48" i="1" l="1" a="1"/>
  <c r="D48" i="1" s="1"/>
  <c r="I49" i="1" l="1"/>
  <c r="A48" i="1"/>
  <c r="L49" i="1"/>
  <c r="C49" i="1" s="1"/>
  <c r="H49" i="1" l="1"/>
  <c r="J49" i="1" s="1"/>
  <c r="K49" i="1" s="1"/>
  <c r="O49" i="1" s="1"/>
  <c r="P49" i="1" s="1"/>
  <c r="M53" i="1"/>
  <c r="N53" i="1"/>
  <c r="D49" i="1" l="1" a="1"/>
  <c r="D49" i="1" s="1"/>
  <c r="A49" i="1" l="1"/>
  <c r="L50" i="1"/>
  <c r="C50" i="1" s="1"/>
  <c r="I50" i="1"/>
  <c r="H50" i="1" l="1"/>
  <c r="J50" i="1" s="1"/>
  <c r="N54" i="1"/>
  <c r="M54" i="1"/>
  <c r="K50" i="1" l="1"/>
  <c r="O50" i="1" s="1"/>
  <c r="P50" i="1" s="1"/>
  <c r="D50" i="1" l="1" a="1"/>
  <c r="D50" i="1" s="1"/>
  <c r="A50" i="1" l="1"/>
  <c r="I51" i="1"/>
  <c r="L51" i="1"/>
  <c r="C51" i="1" s="1"/>
  <c r="M55" i="1" l="1"/>
  <c r="N55" i="1"/>
  <c r="H51" i="1"/>
  <c r="J51" i="1" s="1"/>
  <c r="K51" i="1" s="1"/>
  <c r="O51" i="1" s="1"/>
  <c r="P51" i="1" s="1"/>
  <c r="D51" i="1" l="1" a="1"/>
  <c r="D51" i="1" s="1"/>
  <c r="I52" i="1" l="1"/>
  <c r="A51" i="1"/>
  <c r="L52" i="1"/>
  <c r="C52" i="1" l="1"/>
  <c r="H52" i="1" s="1"/>
  <c r="J52" i="1" s="1"/>
  <c r="N56" i="1"/>
  <c r="M56" i="1"/>
  <c r="K52" i="1" l="1"/>
  <c r="O52" i="1" s="1"/>
  <c r="P52" i="1" s="1"/>
  <c r="D52" i="1" l="1" a="1"/>
  <c r="D52" i="1" s="1"/>
  <c r="A52" i="1" l="1"/>
  <c r="L53" i="1"/>
  <c r="I53" i="1"/>
  <c r="C53" i="1" l="1"/>
  <c r="H53" i="1" s="1"/>
  <c r="J53" i="1" s="1"/>
  <c r="M57" i="1"/>
  <c r="N57" i="1"/>
  <c r="K53" i="1" l="1"/>
  <c r="O53" i="1" s="1"/>
  <c r="P53" i="1" s="1"/>
  <c r="D53" i="1" l="1" a="1"/>
  <c r="D53" i="1" s="1"/>
  <c r="A53" i="1" s="1"/>
  <c r="L54" i="1"/>
  <c r="C54" i="1" s="1"/>
  <c r="I54" i="1" l="1"/>
  <c r="H54" i="1"/>
  <c r="M58" i="1"/>
  <c r="N58" i="1"/>
  <c r="J54" i="1" l="1"/>
  <c r="K54" i="1" s="1"/>
  <c r="O54" i="1" s="1"/>
  <c r="P54" i="1" s="1"/>
  <c r="D54" i="1" l="1" a="1"/>
  <c r="D54" i="1" s="1"/>
  <c r="A54" i="1" s="1"/>
  <c r="L55" i="1" l="1"/>
  <c r="I55" i="1"/>
  <c r="C55" i="1"/>
  <c r="M59" i="1"/>
  <c r="N59" i="1"/>
  <c r="H55" i="1" l="1"/>
  <c r="J55" i="1" s="1"/>
  <c r="K55" i="1" s="1"/>
  <c r="O55" i="1" s="1"/>
  <c r="P55" i="1" s="1"/>
  <c r="D55" i="1" l="1" a="1"/>
  <c r="D55" i="1" s="1"/>
  <c r="L56" i="1" l="1"/>
  <c r="C56" i="1" s="1"/>
  <c r="A55" i="1"/>
  <c r="I56" i="1"/>
  <c r="H56" i="1" l="1"/>
  <c r="J56" i="1" s="1"/>
  <c r="K56" i="1" s="1"/>
  <c r="O56" i="1" s="1"/>
  <c r="P56" i="1" s="1"/>
  <c r="N60" i="1"/>
  <c r="M60" i="1"/>
  <c r="D56" i="1" l="1" a="1"/>
  <c r="D56" i="1" s="1"/>
  <c r="I57" i="1" l="1"/>
  <c r="A56" i="1"/>
  <c r="L57" i="1"/>
  <c r="C57" i="1" s="1"/>
  <c r="H57" i="1" l="1"/>
  <c r="J57" i="1" s="1"/>
  <c r="N61" i="1"/>
  <c r="M61" i="1"/>
  <c r="K57" i="1" l="1"/>
  <c r="O57" i="1" s="1"/>
  <c r="P57" i="1" s="1"/>
  <c r="D57" i="1" l="1" a="1"/>
  <c r="D57" i="1" s="1"/>
  <c r="L58" i="1" l="1"/>
  <c r="C58" i="1" s="1"/>
  <c r="I58" i="1"/>
  <c r="A57" i="1"/>
  <c r="H58" i="1" l="1"/>
  <c r="J58" i="1" s="1"/>
  <c r="K58" i="1" s="1"/>
  <c r="O58" i="1" s="1"/>
  <c r="P58" i="1" s="1"/>
  <c r="M62" i="1"/>
  <c r="N62" i="1"/>
  <c r="D58" i="1" l="1" a="1"/>
  <c r="D58" i="1" s="1"/>
  <c r="A58" i="1" l="1"/>
  <c r="I59" i="1"/>
  <c r="L59" i="1"/>
  <c r="C59" i="1" s="1"/>
  <c r="H59" i="1" l="1"/>
  <c r="J59" i="1" s="1"/>
  <c r="K59" i="1" s="1"/>
  <c r="O59" i="1" s="1"/>
  <c r="P59" i="1" s="1"/>
  <c r="N63" i="1"/>
  <c r="M63" i="1"/>
  <c r="D59" i="1" l="1" a="1"/>
  <c r="D59" i="1" s="1"/>
  <c r="A59" i="1" l="1"/>
  <c r="L60" i="1"/>
  <c r="C60" i="1" s="1"/>
  <c r="I60" i="1"/>
  <c r="H60" i="1" l="1"/>
  <c r="J60" i="1" s="1"/>
  <c r="M64" i="1"/>
  <c r="N64" i="1"/>
  <c r="K60" i="1" l="1"/>
  <c r="O60" i="1" s="1"/>
  <c r="P60" i="1" s="1"/>
  <c r="D60" i="1" l="1" a="1"/>
  <c r="D60" i="1" s="1"/>
  <c r="A60" i="1" s="1"/>
  <c r="L61" i="1" l="1"/>
  <c r="N65" i="1" s="1"/>
  <c r="I61" i="1"/>
  <c r="C61" i="1" l="1"/>
  <c r="H61" i="1" s="1"/>
  <c r="J61" i="1" s="1"/>
  <c r="K61" i="1" s="1"/>
  <c r="O61" i="1" s="1"/>
  <c r="P61" i="1" s="1"/>
  <c r="M65" i="1"/>
  <c r="D61" i="1" l="1" a="1"/>
  <c r="D61" i="1" s="1"/>
  <c r="I62" i="1" l="1"/>
  <c r="A61" i="1"/>
  <c r="L62" i="1"/>
  <c r="C62" i="1" l="1"/>
  <c r="N66" i="1"/>
  <c r="M66" i="1"/>
  <c r="H62" i="1" l="1"/>
  <c r="J62" i="1" s="1"/>
  <c r="K62" i="1" s="1"/>
  <c r="O62" i="1" s="1"/>
  <c r="P62" i="1" s="1"/>
  <c r="D62" i="1" l="1" a="1"/>
  <c r="D62" i="1" s="1"/>
  <c r="I63" i="1" l="1"/>
  <c r="L63" i="1"/>
  <c r="A62" i="1"/>
  <c r="M67" i="1" l="1"/>
  <c r="N67" i="1"/>
  <c r="C63" i="1"/>
  <c r="H63" i="1" l="1"/>
  <c r="J63" i="1" s="1"/>
  <c r="K63" i="1" l="1"/>
  <c r="O63" i="1" s="1"/>
  <c r="P63" i="1" s="1"/>
  <c r="D63" i="1" l="1" a="1"/>
  <c r="D63" i="1" s="1"/>
  <c r="A63" i="1" s="1"/>
  <c r="I64" i="1" l="1"/>
  <c r="L64" i="1"/>
  <c r="C64" i="1" s="1"/>
  <c r="H64" i="1" s="1"/>
  <c r="J64" i="1" s="1"/>
  <c r="N68" i="1" l="1"/>
  <c r="M68" i="1"/>
  <c r="K64" i="1"/>
  <c r="O64" i="1" s="1"/>
  <c r="P64" i="1" s="1"/>
  <c r="D64" i="1" l="1" a="1"/>
  <c r="D64" i="1" s="1"/>
  <c r="I65" i="1" l="1"/>
  <c r="A64" i="1"/>
  <c r="L65" i="1"/>
  <c r="C65" i="1" l="1"/>
  <c r="H65" i="1" s="1"/>
  <c r="J65" i="1" s="1"/>
  <c r="M69" i="1"/>
  <c r="N69" i="1"/>
  <c r="K65" i="1" l="1"/>
  <c r="O65" i="1" s="1"/>
  <c r="P65" i="1" s="1"/>
  <c r="D65" i="1" l="1" a="1"/>
  <c r="D65" i="1" s="1"/>
  <c r="A65" i="1" s="1"/>
  <c r="L66" i="1" l="1"/>
  <c r="N70" i="1" s="1"/>
  <c r="I66" i="1"/>
  <c r="C66" i="1" l="1"/>
  <c r="H66" i="1" s="1"/>
  <c r="J66" i="1" s="1"/>
  <c r="K66" i="1" s="1"/>
  <c r="O66" i="1" s="1"/>
  <c r="P66" i="1" s="1"/>
  <c r="M70" i="1"/>
  <c r="D66" i="1" l="1" a="1"/>
  <c r="D66" i="1" s="1"/>
  <c r="A66" i="1" l="1"/>
  <c r="L67" i="1"/>
  <c r="C67" i="1" s="1"/>
  <c r="I67" i="1"/>
  <c r="H67" i="1" l="1"/>
  <c r="J67" i="1" s="1"/>
  <c r="K67" i="1" s="1"/>
  <c r="O67" i="1" s="1"/>
  <c r="P67" i="1" s="1"/>
  <c r="N71" i="1"/>
  <c r="M71" i="1"/>
  <c r="D67" i="1" l="1" a="1"/>
  <c r="D67" i="1" s="1"/>
  <c r="I68" i="1" l="1"/>
  <c r="L68" i="1"/>
  <c r="C68" i="1" s="1"/>
  <c r="A67" i="1"/>
  <c r="H68" i="1" l="1"/>
  <c r="J68" i="1" s="1"/>
  <c r="M72" i="1"/>
  <c r="N72" i="1"/>
  <c r="K68" i="1" l="1"/>
  <c r="O68" i="1" s="1"/>
  <c r="P68" i="1" s="1"/>
  <c r="D68" i="1" l="1" a="1"/>
  <c r="D68" i="1" s="1"/>
  <c r="I69" i="1" s="1"/>
  <c r="A68" i="1" l="1"/>
  <c r="L69" i="1"/>
  <c r="C69" i="1" s="1"/>
  <c r="N73" i="1" l="1"/>
  <c r="M73" i="1"/>
  <c r="H69" i="1"/>
  <c r="J69" i="1" s="1"/>
  <c r="K69" i="1" s="1"/>
  <c r="O69" i="1" s="1"/>
  <c r="P69" i="1" s="1"/>
  <c r="D69" i="1" l="1" a="1"/>
  <c r="D69" i="1" s="1"/>
  <c r="A69" i="1" l="1"/>
  <c r="L70" i="1"/>
  <c r="C70" i="1" s="1"/>
  <c r="I70" i="1"/>
  <c r="H70" i="1" l="1"/>
  <c r="J70" i="1" s="1"/>
  <c r="K70" i="1" s="1"/>
  <c r="O70" i="1" s="1"/>
  <c r="P70" i="1" s="1"/>
  <c r="N74" i="1"/>
  <c r="M74" i="1"/>
  <c r="D70" i="1" l="1" a="1"/>
  <c r="D70" i="1" s="1"/>
  <c r="L71" i="1" s="1"/>
  <c r="C71" i="1" s="1"/>
  <c r="H71" i="1" s="1"/>
  <c r="I71" i="1" l="1"/>
  <c r="J71" i="1" s="1"/>
  <c r="K71" i="1" s="1"/>
  <c r="O71" i="1" s="1"/>
  <c r="P71" i="1" s="1"/>
  <c r="A70" i="1"/>
  <c r="M75" i="1"/>
  <c r="N75" i="1"/>
  <c r="D71" i="1" l="1" a="1"/>
  <c r="D71" i="1" s="1"/>
  <c r="A71" i="1" s="1"/>
  <c r="L72" i="1" l="1"/>
  <c r="N76" i="1" s="1"/>
  <c r="I72" i="1"/>
  <c r="C72" i="1" l="1"/>
  <c r="H72" i="1" s="1"/>
  <c r="J72" i="1" s="1"/>
  <c r="M76" i="1"/>
  <c r="K72" i="1" l="1"/>
  <c r="O72" i="1" s="1"/>
  <c r="P72" i="1" s="1"/>
  <c r="D72" i="1" l="1" a="1"/>
  <c r="D72" i="1" s="1"/>
  <c r="L73" i="1" l="1"/>
  <c r="C73" i="1" s="1"/>
  <c r="A72" i="1"/>
  <c r="I73" i="1"/>
  <c r="H73" i="1" l="1"/>
  <c r="J73" i="1" s="1"/>
  <c r="K73" i="1" s="1"/>
  <c r="O73" i="1" s="1"/>
  <c r="P73" i="1" s="1"/>
  <c r="M77" i="1"/>
  <c r="N77" i="1"/>
  <c r="D73" i="1" l="1" a="1"/>
  <c r="D73" i="1" s="1"/>
  <c r="I74" i="1" l="1"/>
  <c r="L74" i="1"/>
  <c r="C74" i="1" s="1"/>
  <c r="A73" i="1"/>
  <c r="H74" i="1" l="1"/>
  <c r="J74" i="1" s="1"/>
  <c r="K74" i="1" s="1"/>
  <c r="O74" i="1" s="1"/>
  <c r="P74" i="1" s="1"/>
  <c r="M78" i="1"/>
  <c r="N78" i="1"/>
  <c r="D74" i="1" l="1" a="1"/>
  <c r="D74" i="1" s="1"/>
  <c r="L75" i="1" l="1"/>
  <c r="C75" i="1" s="1"/>
  <c r="A74" i="1"/>
  <c r="I75" i="1"/>
  <c r="H75" i="1" l="1"/>
  <c r="J75" i="1" s="1"/>
  <c r="M79" i="1"/>
  <c r="N79" i="1"/>
  <c r="K75" i="1" l="1"/>
  <c r="O75" i="1" s="1"/>
  <c r="P75" i="1" s="1"/>
  <c r="D75" i="1" l="1" a="1"/>
  <c r="D75" i="1" s="1"/>
  <c r="A75" i="1" l="1"/>
  <c r="L76" i="1"/>
  <c r="I76" i="1"/>
  <c r="C76" i="1" l="1"/>
  <c r="H76" i="1" s="1"/>
  <c r="J76" i="1" s="1"/>
  <c r="N80" i="1"/>
  <c r="M80" i="1"/>
  <c r="K76" i="1" l="1"/>
  <c r="O76" i="1" s="1"/>
  <c r="P76" i="1" s="1"/>
  <c r="D76" i="1" l="1" a="1"/>
  <c r="D76" i="1" s="1"/>
  <c r="A76" i="1" s="1"/>
  <c r="L77" i="1" l="1"/>
  <c r="M81" i="1" s="1"/>
  <c r="I77" i="1"/>
  <c r="C77" i="1" l="1"/>
  <c r="H77" i="1" s="1"/>
  <c r="J77" i="1" s="1"/>
  <c r="N81" i="1"/>
  <c r="K77" i="1" l="1"/>
  <c r="O77" i="1" s="1"/>
  <c r="P77" i="1" s="1"/>
  <c r="D77" i="1" l="1" a="1"/>
  <c r="D77" i="1" s="1"/>
  <c r="A77" i="1" l="1"/>
  <c r="I78" i="1"/>
  <c r="L78" i="1"/>
  <c r="N82" i="1" l="1"/>
  <c r="M82" i="1"/>
  <c r="C78" i="1"/>
  <c r="H78" i="1" l="1"/>
  <c r="J78" i="1" s="1"/>
  <c r="K78" i="1" l="1"/>
  <c r="O78" i="1" s="1"/>
  <c r="P78" i="1" s="1"/>
  <c r="D78" i="1" l="1" a="1"/>
  <c r="D78" i="1" s="1"/>
  <c r="A78" i="1" l="1"/>
  <c r="L79" i="1"/>
  <c r="C79" i="1" s="1"/>
  <c r="H79" i="1" s="1"/>
  <c r="I79" i="1"/>
  <c r="J79" i="1" l="1"/>
  <c r="K79" i="1"/>
  <c r="O79" i="1" s="1"/>
  <c r="P79" i="1" s="1"/>
  <c r="N83" i="1"/>
  <c r="M83" i="1"/>
  <c r="D79" i="1" l="1" a="1"/>
  <c r="D79" i="1" s="1"/>
  <c r="A79" i="1" l="1"/>
  <c r="I80" i="1"/>
  <c r="L80" i="1"/>
  <c r="C80" i="1" l="1"/>
  <c r="H80" i="1" s="1"/>
  <c r="J80" i="1" s="1"/>
  <c r="M84" i="1"/>
  <c r="N84" i="1"/>
  <c r="K80" i="1" l="1"/>
  <c r="O80" i="1" s="1"/>
  <c r="P80" i="1" s="1"/>
  <c r="D80" i="1" a="1"/>
  <c r="D80" i="1" s="1"/>
  <c r="A80" i="1" l="1"/>
  <c r="I81" i="1"/>
  <c r="L81" i="1"/>
  <c r="C81" i="1" s="1"/>
  <c r="M85" i="1" l="1"/>
  <c r="N85" i="1"/>
  <c r="H81" i="1"/>
  <c r="J81" i="1" s="1"/>
  <c r="K81" i="1" s="1"/>
  <c r="O81" i="1" s="1"/>
  <c r="P81" i="1" s="1"/>
  <c r="D81" i="1" l="1" a="1"/>
  <c r="D81" i="1" s="1"/>
  <c r="L82" i="1" l="1"/>
  <c r="C82" i="1" s="1"/>
  <c r="H82" i="1" s="1"/>
  <c r="A81" i="1"/>
  <c r="I82" i="1"/>
  <c r="J82" i="1" l="1"/>
  <c r="K82" i="1" s="1"/>
  <c r="O82" i="1" s="1"/>
  <c r="P82" i="1" s="1"/>
  <c r="M86" i="1"/>
  <c r="N86" i="1"/>
  <c r="D82" i="1" a="1"/>
  <c r="D82" i="1" s="1"/>
  <c r="A82" i="1" l="1"/>
  <c r="L83" i="1"/>
  <c r="I83" i="1"/>
  <c r="C83" i="1" l="1"/>
  <c r="H83" i="1" s="1"/>
  <c r="J83" i="1" s="1"/>
  <c r="M87" i="1"/>
  <c r="N87" i="1"/>
  <c r="K83" i="1" l="1"/>
  <c r="O83" i="1" s="1"/>
  <c r="P83" i="1" s="1"/>
  <c r="D83" i="1" l="1" a="1"/>
  <c r="D83" i="1" s="1"/>
  <c r="A83" i="1" s="1"/>
  <c r="L84" i="1"/>
  <c r="I84" i="1"/>
  <c r="C84" i="1" l="1"/>
  <c r="H84" i="1" s="1"/>
  <c r="J84" i="1" s="1"/>
  <c r="M88" i="1"/>
  <c r="N88" i="1"/>
  <c r="K84" i="1" l="1"/>
  <c r="O84" i="1" s="1"/>
  <c r="P84" i="1" s="1"/>
  <c r="D84" i="1" a="1"/>
  <c r="D84" i="1" s="1"/>
  <c r="I85" i="1" l="1"/>
  <c r="A84" i="1"/>
  <c r="L85" i="1"/>
  <c r="N89" i="1" l="1"/>
  <c r="M89" i="1"/>
  <c r="C85" i="1"/>
  <c r="H85" i="1" s="1"/>
  <c r="J85" i="1" s="1"/>
  <c r="K85" i="1" l="1"/>
  <c r="O85" i="1" s="1"/>
  <c r="P85" i="1" s="1"/>
  <c r="D85" i="1" l="1" a="1"/>
  <c r="D85" i="1" s="1"/>
  <c r="I86" i="1"/>
  <c r="L86" i="1"/>
  <c r="C86" i="1" s="1"/>
  <c r="H86" i="1" s="1"/>
  <c r="J86" i="1" s="1"/>
  <c r="K86" i="1" s="1"/>
  <c r="O86" i="1" s="1"/>
  <c r="P86" i="1" s="1"/>
  <c r="A85" i="1"/>
  <c r="M90" i="1" l="1"/>
  <c r="N90" i="1"/>
  <c r="D86" i="1" a="1"/>
  <c r="D86" i="1" s="1"/>
  <c r="L87" i="1" s="1"/>
  <c r="I87" i="1" l="1"/>
  <c r="A86" i="1"/>
  <c r="C87" i="1"/>
  <c r="N91" i="1"/>
  <c r="M91" i="1"/>
  <c r="H87" i="1" l="1"/>
  <c r="J87" i="1" s="1"/>
  <c r="K87" i="1" s="1"/>
  <c r="O87" i="1" s="1"/>
  <c r="P87" i="1" s="1"/>
  <c r="D87" i="1" l="1" a="1"/>
  <c r="D87" i="1" s="1"/>
  <c r="A87" i="1" l="1"/>
  <c r="I88" i="1"/>
  <c r="L88" i="1"/>
  <c r="C88" i="1" s="1"/>
  <c r="H88" i="1" l="1"/>
  <c r="J88" i="1" s="1"/>
  <c r="M92" i="1"/>
  <c r="N92" i="1"/>
  <c r="K88" i="1" l="1"/>
  <c r="O88" i="1" s="1"/>
  <c r="P88" i="1" s="1"/>
  <c r="D88" i="1" l="1" a="1"/>
  <c r="D88" i="1" s="1"/>
  <c r="A88" i="1" l="1"/>
  <c r="L89" i="1"/>
  <c r="I89" i="1"/>
  <c r="C89" i="1" l="1"/>
  <c r="H89" i="1" s="1"/>
  <c r="J89" i="1" s="1"/>
  <c r="N93" i="1"/>
  <c r="M93" i="1"/>
  <c r="K89" i="1" l="1"/>
  <c r="O89" i="1" s="1"/>
  <c r="P89" i="1" s="1"/>
  <c r="D89" i="1" l="1" a="1"/>
  <c r="D89" i="1" s="1"/>
  <c r="L90" i="1" s="1"/>
  <c r="C90" i="1" s="1"/>
  <c r="A89" i="1" l="1"/>
  <c r="I90" i="1"/>
  <c r="H90" i="1"/>
  <c r="M94" i="1"/>
  <c r="N94" i="1"/>
  <c r="J90" i="1" l="1"/>
  <c r="K90" i="1" s="1"/>
  <c r="O90" i="1" s="1"/>
  <c r="P90" i="1" s="1"/>
  <c r="D90" i="1" l="1" a="1"/>
  <c r="D90" i="1" s="1"/>
  <c r="A90" i="1" s="1"/>
  <c r="L91" i="1" l="1"/>
  <c r="C91" i="1" s="1"/>
  <c r="H91" i="1" s="1"/>
  <c r="I91" i="1"/>
  <c r="J91" i="1" l="1"/>
  <c r="M95" i="1"/>
  <c r="N95" i="1"/>
  <c r="K91" i="1"/>
  <c r="O91" i="1" s="1"/>
  <c r="P91" i="1" s="1"/>
  <c r="D91" i="1" l="1" a="1"/>
  <c r="D91" i="1" s="1"/>
  <c r="A91" i="1" s="1"/>
  <c r="L92" i="1" l="1"/>
  <c r="C92" i="1" s="1"/>
  <c r="I92" i="1"/>
  <c r="H92" i="1"/>
  <c r="M96" i="1"/>
  <c r="N96" i="1"/>
  <c r="J92" i="1" l="1"/>
  <c r="K92" i="1" s="1"/>
  <c r="O92" i="1" s="1"/>
  <c r="P92" i="1" s="1"/>
  <c r="D92" i="1" l="1" a="1"/>
  <c r="D92" i="1" s="1"/>
  <c r="L93" i="1" s="1"/>
  <c r="C93" i="1" s="1"/>
  <c r="I93" i="1" l="1"/>
  <c r="A92" i="1"/>
  <c r="H93" i="1"/>
  <c r="N97" i="1"/>
  <c r="M97" i="1"/>
  <c r="J93" i="1" l="1"/>
  <c r="K93" i="1" s="1"/>
  <c r="O93" i="1" s="1"/>
  <c r="P93" i="1" s="1"/>
  <c r="D93" i="1" l="1" a="1"/>
  <c r="D93" i="1" s="1"/>
  <c r="A93" i="1" s="1"/>
  <c r="L94" i="1" l="1"/>
  <c r="M98" i="1" s="1"/>
  <c r="I94" i="1"/>
  <c r="N98" i="1" l="1"/>
  <c r="C94" i="1"/>
  <c r="H94" i="1" s="1"/>
  <c r="J94" i="1" s="1"/>
  <c r="K94" i="1" s="1"/>
  <c r="O94" i="1" s="1"/>
  <c r="P94" i="1" s="1"/>
  <c r="D94" i="1" l="1" a="1"/>
  <c r="D94" i="1" s="1"/>
  <c r="A94" i="1" s="1"/>
  <c r="L95" i="1" l="1"/>
  <c r="C95" i="1" s="1"/>
  <c r="I95" i="1"/>
  <c r="N99" i="1" l="1"/>
  <c r="M99" i="1"/>
  <c r="H95" i="1"/>
  <c r="J95" i="1" s="1"/>
  <c r="K95" i="1" s="1"/>
  <c r="O95" i="1" s="1"/>
  <c r="P95" i="1" s="1"/>
  <c r="D95" i="1" l="1" a="1"/>
  <c r="D95" i="1" s="1"/>
  <c r="L96" i="1" l="1"/>
  <c r="I96" i="1"/>
  <c r="A95" i="1"/>
  <c r="C96" i="1" l="1"/>
  <c r="M100" i="1"/>
  <c r="N100" i="1"/>
  <c r="H96" i="1" l="1"/>
  <c r="J96" i="1" s="1"/>
  <c r="K96" i="1" s="1"/>
  <c r="O96" i="1" s="1"/>
  <c r="P96" i="1" s="1"/>
  <c r="D96" i="1" l="1" a="1"/>
  <c r="D96" i="1" s="1"/>
  <c r="A96" i="1" l="1"/>
  <c r="L97" i="1"/>
  <c r="I97" i="1"/>
  <c r="C97" i="1" l="1"/>
  <c r="H97" i="1" s="1"/>
  <c r="J97" i="1" s="1"/>
  <c r="N101" i="1"/>
  <c r="M101" i="1"/>
  <c r="K97" i="1" l="1"/>
  <c r="O97" i="1" s="1"/>
  <c r="P97" i="1" s="1"/>
  <c r="D97" i="1" l="1" a="1"/>
  <c r="D97" i="1" s="1"/>
  <c r="A97" i="1" s="1"/>
  <c r="L98" i="1" l="1"/>
  <c r="C98" i="1" s="1"/>
  <c r="H98" i="1" s="1"/>
  <c r="I98" i="1"/>
  <c r="J98" i="1" l="1"/>
  <c r="M102" i="1"/>
  <c r="N102" i="1"/>
  <c r="K98" i="1"/>
  <c r="O98" i="1" s="1"/>
  <c r="P98" i="1" s="1"/>
  <c r="D98" i="1" l="1" a="1"/>
  <c r="D98" i="1" s="1"/>
  <c r="I99" i="1" s="1"/>
  <c r="A98" i="1" l="1"/>
  <c r="L99" i="1"/>
  <c r="C99" i="1" s="1"/>
  <c r="H99" i="1" s="1"/>
  <c r="J99" i="1" s="1"/>
  <c r="N103" i="1" l="1"/>
  <c r="M103" i="1"/>
  <c r="K99" i="1"/>
  <c r="O99" i="1" s="1"/>
  <c r="P99" i="1" s="1"/>
  <c r="D99" i="1" l="1" a="1"/>
  <c r="D99" i="1" s="1"/>
  <c r="L100" i="1" l="1"/>
  <c r="C100" i="1" s="1"/>
  <c r="A99" i="1"/>
  <c r="I100" i="1"/>
  <c r="H100" i="1" l="1"/>
  <c r="J100" i="1" s="1"/>
  <c r="N104" i="1"/>
  <c r="M104" i="1"/>
  <c r="K100" i="1" l="1"/>
  <c r="O100" i="1" s="1"/>
  <c r="P100" i="1" s="1"/>
  <c r="D100" i="1" l="1" a="1"/>
  <c r="D100" i="1" s="1"/>
  <c r="L101" i="1" l="1"/>
  <c r="A100" i="1"/>
  <c r="I101" i="1"/>
  <c r="C101" i="1" l="1"/>
  <c r="N105" i="1"/>
  <c r="M105" i="1"/>
  <c r="H101" i="1" l="1"/>
  <c r="J101" i="1" s="1"/>
  <c r="K101" i="1" s="1"/>
  <c r="O101" i="1" s="1"/>
  <c r="P101" i="1" s="1"/>
  <c r="D101" i="1" l="1" a="1"/>
  <c r="D101" i="1" s="1"/>
  <c r="A101" i="1" l="1"/>
  <c r="L102" i="1"/>
  <c r="I102" i="1"/>
  <c r="C102" i="1" l="1"/>
  <c r="N106" i="1"/>
  <c r="M106" i="1"/>
  <c r="H102" i="1" l="1"/>
  <c r="J102" i="1" s="1"/>
  <c r="K102" i="1" s="1"/>
  <c r="O102" i="1" s="1"/>
  <c r="P102" i="1" s="1"/>
  <c r="D102" i="1" l="1" a="1"/>
  <c r="D102" i="1" s="1"/>
  <c r="A102" i="1" l="1"/>
  <c r="L103" i="1"/>
  <c r="I103" i="1"/>
  <c r="C103" i="1" l="1"/>
  <c r="H103" i="1" s="1"/>
  <c r="J103" i="1" s="1"/>
  <c r="N107" i="1"/>
  <c r="M107" i="1"/>
  <c r="K103" i="1" l="1"/>
  <c r="O103" i="1" s="1"/>
  <c r="P103" i="1" s="1"/>
  <c r="D103" i="1" l="1" a="1"/>
  <c r="D103" i="1" s="1"/>
  <c r="A103" i="1" s="1"/>
  <c r="L104" i="1" l="1"/>
  <c r="C104" i="1" s="1"/>
  <c r="I104" i="1"/>
  <c r="N108" i="1" l="1"/>
  <c r="M108" i="1"/>
  <c r="H104" i="1"/>
  <c r="J104" i="1" s="1"/>
  <c r="K104" i="1" s="1"/>
  <c r="O104" i="1" s="1"/>
  <c r="P104" i="1" s="1"/>
  <c r="D104" i="1" l="1" a="1"/>
  <c r="D104" i="1" s="1"/>
  <c r="A104" i="1" l="1"/>
  <c r="I105" i="1"/>
  <c r="L105" i="1"/>
  <c r="C105" i="1" l="1"/>
  <c r="H105" i="1" s="1"/>
  <c r="J105" i="1" s="1"/>
  <c r="N109" i="1"/>
  <c r="M109" i="1"/>
  <c r="K105" i="1" l="1"/>
  <c r="O105" i="1" s="1"/>
  <c r="P105" i="1" s="1"/>
  <c r="D105" i="1" l="1" a="1"/>
  <c r="D105" i="1" s="1"/>
  <c r="A105" i="1" s="1"/>
  <c r="L106" i="1" l="1"/>
  <c r="C106" i="1" s="1"/>
  <c r="H106" i="1" s="1"/>
  <c r="I106" i="1"/>
  <c r="J106" i="1" l="1"/>
  <c r="N110" i="1"/>
  <c r="M110" i="1"/>
  <c r="K106" i="1"/>
  <c r="O106" i="1" s="1"/>
  <c r="P106" i="1" s="1"/>
  <c r="D106" i="1" l="1" a="1"/>
  <c r="D106" i="1" s="1"/>
  <c r="A106" i="1" s="1"/>
  <c r="L107" i="1" l="1"/>
  <c r="C107" i="1" s="1"/>
  <c r="H107" i="1" s="1"/>
  <c r="I107" i="1"/>
  <c r="J107" i="1" l="1"/>
  <c r="K107" i="1" s="1"/>
  <c r="N111" i="1"/>
  <c r="M111" i="1"/>
  <c r="O107" i="1" l="1"/>
  <c r="P107" i="1" s="1"/>
  <c r="D107" i="1" a="1"/>
  <c r="D107" i="1" s="1"/>
  <c r="I108" i="1" s="1"/>
  <c r="L108" i="1" l="1"/>
  <c r="N112" i="1" s="1"/>
  <c r="A107" i="1"/>
  <c r="M112" i="1" l="1"/>
  <c r="C108" i="1"/>
  <c r="H108" i="1" s="1"/>
  <c r="J108" i="1" s="1"/>
  <c r="K108" i="1" s="1"/>
  <c r="O108" i="1" s="1"/>
  <c r="P108" i="1" s="1"/>
  <c r="D108" i="1" l="1" a="1"/>
  <c r="D108" i="1" s="1"/>
  <c r="A108" i="1" s="1"/>
  <c r="I109" i="1" l="1"/>
  <c r="L109" i="1"/>
  <c r="C109" i="1" s="1"/>
  <c r="H109" i="1" s="1"/>
  <c r="J109" i="1" s="1"/>
  <c r="M113" i="1" l="1"/>
  <c r="N113" i="1"/>
  <c r="K109" i="1"/>
  <c r="O109" i="1" s="1"/>
  <c r="P109" i="1" s="1"/>
  <c r="D109" i="1" l="1" a="1"/>
  <c r="D109" i="1" s="1"/>
  <c r="L110" i="1" s="1"/>
  <c r="C110" i="1" s="1"/>
  <c r="A109" i="1" l="1"/>
  <c r="I110" i="1"/>
  <c r="H110" i="1"/>
  <c r="N114" i="1"/>
  <c r="M114" i="1"/>
  <c r="J110" i="1" l="1"/>
  <c r="K110" i="1" s="1"/>
  <c r="O110" i="1" s="1"/>
  <c r="P110" i="1" s="1"/>
  <c r="D110" i="1" l="1" a="1"/>
  <c r="D110" i="1" s="1"/>
  <c r="A110" i="1" l="1"/>
  <c r="L111" i="1"/>
  <c r="I111" i="1"/>
  <c r="C111" i="1" l="1"/>
  <c r="H111" i="1" s="1"/>
  <c r="J111" i="1" s="1"/>
  <c r="M115" i="1"/>
  <c r="N115" i="1"/>
  <c r="K111" i="1" l="1"/>
  <c r="O111" i="1" s="1"/>
  <c r="P111" i="1" s="1"/>
  <c r="D111" i="1" l="1" a="1"/>
  <c r="D111" i="1" s="1"/>
  <c r="I112" i="1" s="1"/>
  <c r="A111" i="1" l="1"/>
  <c r="L112" i="1"/>
  <c r="N116" i="1" s="1"/>
  <c r="C112" i="1" l="1"/>
  <c r="M116" i="1"/>
  <c r="H112" i="1"/>
  <c r="J112" i="1" s="1"/>
  <c r="K112" i="1" s="1"/>
  <c r="O112" i="1" s="1"/>
  <c r="P112" i="1" s="1"/>
  <c r="D112" i="1" l="1" a="1"/>
  <c r="D112" i="1" s="1"/>
  <c r="A112" i="1" l="1"/>
  <c r="L113" i="1"/>
  <c r="C113" i="1" s="1"/>
  <c r="H113" i="1" s="1"/>
  <c r="I113" i="1"/>
  <c r="J113" i="1" l="1"/>
  <c r="K113" i="1" s="1"/>
  <c r="O113" i="1" s="1"/>
  <c r="P113" i="1" s="1"/>
  <c r="N117" i="1"/>
  <c r="M117" i="1"/>
  <c r="D113" i="1" l="1" a="1"/>
  <c r="D113" i="1" s="1"/>
  <c r="A113" i="1" s="1"/>
  <c r="L114" i="1" l="1"/>
  <c r="C114" i="1" s="1"/>
  <c r="H114" i="1" s="1"/>
  <c r="I114" i="1"/>
  <c r="M118" i="1" l="1"/>
  <c r="N118" i="1"/>
  <c r="J114" i="1"/>
  <c r="K114" i="1" s="1"/>
  <c r="O114" i="1" s="1"/>
  <c r="P114" i="1" s="1"/>
  <c r="D114" i="1" l="1" a="1"/>
  <c r="D114" i="1" s="1"/>
  <c r="L115" i="1" s="1"/>
  <c r="C115" i="1" l="1"/>
  <c r="H115" i="1" s="1"/>
  <c r="I115" i="1"/>
  <c r="A114" i="1"/>
  <c r="M119" i="1"/>
  <c r="N119" i="1"/>
  <c r="J115" i="1" l="1"/>
  <c r="K115" i="1" s="1"/>
  <c r="O115" i="1" s="1"/>
  <c r="P115" i="1" s="1"/>
  <c r="D115" i="1" l="1" a="1"/>
  <c r="D115" i="1" s="1"/>
  <c r="I116" i="1" s="1"/>
  <c r="A115" i="1" l="1"/>
  <c r="L116" i="1"/>
  <c r="M120" i="1" l="1"/>
  <c r="N120" i="1"/>
  <c r="C116" i="1"/>
  <c r="H116" i="1" s="1"/>
  <c r="J116" i="1" s="1"/>
  <c r="K116" i="1" s="1"/>
  <c r="O116" i="1" s="1"/>
  <c r="P116" i="1" s="1"/>
  <c r="D116" i="1" l="1" a="1"/>
  <c r="D116" i="1" s="1"/>
  <c r="L117" i="1" l="1"/>
  <c r="C117" i="1" s="1"/>
  <c r="A116" i="1"/>
  <c r="I117" i="1"/>
  <c r="H117" i="1" l="1"/>
  <c r="J117" i="1" s="1"/>
  <c r="M121" i="1"/>
  <c r="N121" i="1"/>
  <c r="K117" i="1" l="1"/>
  <c r="O117" i="1" s="1"/>
  <c r="P117" i="1" s="1"/>
  <c r="D117" i="1" l="1" a="1"/>
  <c r="D117" i="1" s="1"/>
  <c r="L118" i="1" l="1"/>
  <c r="A117" i="1"/>
  <c r="I118" i="1"/>
  <c r="C118" i="1" l="1"/>
  <c r="N122" i="1"/>
  <c r="M122" i="1"/>
  <c r="H118" i="1" l="1"/>
  <c r="J118" i="1" s="1"/>
  <c r="K118" i="1" s="1"/>
  <c r="O118" i="1" s="1"/>
  <c r="P118" i="1" s="1"/>
  <c r="D118" i="1" l="1" a="1"/>
  <c r="D118" i="1" s="1"/>
  <c r="A118" i="1" l="1"/>
  <c r="I119" i="1"/>
  <c r="L119" i="1"/>
  <c r="C119" i="1" l="1"/>
  <c r="M123" i="1"/>
  <c r="N123" i="1"/>
  <c r="H119" i="1" l="1"/>
  <c r="J119" i="1" s="1"/>
  <c r="K119" i="1" s="1"/>
  <c r="O119" i="1" s="1"/>
  <c r="P119" i="1" s="1"/>
  <c r="D119" i="1" l="1" a="1"/>
  <c r="D119" i="1" s="1"/>
  <c r="L120" i="1" l="1"/>
  <c r="A119" i="1"/>
  <c r="I120" i="1"/>
  <c r="C120" i="1" l="1"/>
  <c r="H120" i="1" s="1"/>
  <c r="J120" i="1" s="1"/>
  <c r="M124" i="1"/>
  <c r="N124" i="1"/>
  <c r="K120" i="1" l="1"/>
  <c r="O120" i="1" s="1"/>
  <c r="P120" i="1" s="1"/>
  <c r="D120" i="1" l="1" a="1"/>
  <c r="D120" i="1" s="1"/>
  <c r="I121" i="1" s="1"/>
  <c r="A120" i="1" l="1"/>
  <c r="L121" i="1"/>
  <c r="C121" i="1" s="1"/>
  <c r="H121" i="1" s="1"/>
  <c r="J121" i="1" s="1"/>
  <c r="K121" i="1" s="1"/>
  <c r="O121" i="1" s="1"/>
  <c r="P121" i="1" s="1"/>
  <c r="M125" i="1" l="1"/>
  <c r="N125" i="1"/>
  <c r="D121" i="1" a="1"/>
  <c r="D121" i="1" s="1"/>
  <c r="I122" i="1" l="1"/>
  <c r="A121" i="1"/>
  <c r="L122" i="1"/>
  <c r="C122" i="1" l="1"/>
  <c r="H122" i="1" s="1"/>
  <c r="J122" i="1" s="1"/>
  <c r="M126" i="1"/>
  <c r="N126" i="1"/>
  <c r="K122" i="1" l="1"/>
  <c r="O122" i="1" s="1"/>
  <c r="P122" i="1" s="1"/>
  <c r="D122" i="1" l="1" a="1"/>
  <c r="D122" i="1" s="1"/>
  <c r="A122" i="1" s="1"/>
  <c r="I123" i="1" l="1"/>
  <c r="L123" i="1"/>
  <c r="C123" i="1" s="1"/>
  <c r="M127" i="1" l="1"/>
  <c r="N127" i="1"/>
  <c r="H123" i="1"/>
  <c r="J123" i="1" s="1"/>
  <c r="K123" i="1" s="1"/>
  <c r="O123" i="1" s="1"/>
  <c r="P123" i="1" s="1"/>
  <c r="D123" i="1" l="1" a="1"/>
  <c r="D123" i="1" s="1"/>
  <c r="L124" i="1" l="1"/>
  <c r="A123" i="1"/>
  <c r="I124" i="1"/>
  <c r="C124" i="1" l="1"/>
  <c r="H124" i="1" s="1"/>
  <c r="J124" i="1" s="1"/>
  <c r="M128" i="1"/>
  <c r="N128" i="1"/>
  <c r="K124" i="1" l="1"/>
  <c r="O124" i="1" s="1"/>
  <c r="P124" i="1" s="1"/>
  <c r="D124" i="1" l="1" a="1"/>
  <c r="D124" i="1" s="1"/>
  <c r="A124" i="1" s="1"/>
  <c r="L125" i="1" l="1"/>
  <c r="C125" i="1" s="1"/>
  <c r="H125" i="1" s="1"/>
  <c r="I125" i="1"/>
  <c r="N129" i="1" l="1"/>
  <c r="M129" i="1"/>
  <c r="J125" i="1"/>
  <c r="K125" i="1" s="1"/>
  <c r="O125" i="1" s="1"/>
  <c r="P125" i="1" s="1"/>
  <c r="D125" i="1" l="1" a="1"/>
  <c r="D125" i="1" s="1"/>
  <c r="I126" i="1" s="1"/>
  <c r="L126" i="1" l="1"/>
  <c r="M130" i="1" s="1"/>
  <c r="A125" i="1"/>
  <c r="N130" i="1"/>
  <c r="C126" i="1"/>
  <c r="H126" i="1" s="1"/>
  <c r="J126" i="1" s="1"/>
  <c r="K126" i="1" s="1"/>
  <c r="O126" i="1" s="1"/>
  <c r="P126" i="1" s="1"/>
  <c r="D126" i="1" l="1" a="1"/>
  <c r="D126" i="1" s="1"/>
  <c r="A126" i="1" l="1"/>
  <c r="I127" i="1"/>
  <c r="L127" i="1"/>
  <c r="C127" i="1" s="1"/>
  <c r="M131" i="1" l="1"/>
  <c r="N131" i="1"/>
  <c r="H127" i="1"/>
  <c r="J127" i="1" s="1"/>
  <c r="K127" i="1" s="1"/>
  <c r="O127" i="1" s="1"/>
  <c r="P127" i="1" s="1"/>
  <c r="D127" i="1" l="1" a="1"/>
  <c r="D127" i="1" s="1"/>
  <c r="A127" i="1" l="1"/>
  <c r="L128" i="1"/>
  <c r="I128" i="1"/>
  <c r="C128" i="1" l="1"/>
  <c r="N132" i="1"/>
  <c r="M132" i="1"/>
  <c r="H128" i="1" l="1"/>
  <c r="J128" i="1" s="1"/>
  <c r="K128" i="1" s="1"/>
  <c r="O128" i="1" s="1"/>
  <c r="P128" i="1" s="1"/>
  <c r="D128" i="1" l="1" a="1"/>
  <c r="D128" i="1" s="1"/>
  <c r="A128" i="1" l="1"/>
  <c r="I129" i="1"/>
  <c r="L129" i="1"/>
  <c r="C129" i="1" l="1"/>
  <c r="N133" i="1"/>
  <c r="M133" i="1"/>
  <c r="H129" i="1" l="1"/>
  <c r="J129" i="1" s="1"/>
  <c r="K129" i="1" s="1"/>
  <c r="O129" i="1" s="1"/>
  <c r="P129" i="1" s="1"/>
  <c r="D129" i="1" l="1" a="1"/>
  <c r="D129" i="1" s="1"/>
  <c r="I130" i="1" l="1"/>
  <c r="L130" i="1"/>
  <c r="C130" i="1" s="1"/>
  <c r="A129" i="1"/>
  <c r="H130" i="1" l="1"/>
  <c r="J130" i="1" s="1"/>
  <c r="K130" i="1" s="1"/>
  <c r="O130" i="1" s="1"/>
  <c r="P130" i="1" s="1"/>
  <c r="N134" i="1"/>
  <c r="M134" i="1"/>
  <c r="D130" i="1" l="1" a="1"/>
  <c r="D130" i="1" s="1"/>
  <c r="A130" i="1" l="1"/>
  <c r="I131" i="1"/>
  <c r="L131" i="1"/>
  <c r="M135" i="1" l="1"/>
  <c r="N135" i="1"/>
  <c r="C131" i="1"/>
  <c r="H131" i="1" l="1"/>
  <c r="J131" i="1" s="1"/>
  <c r="K131" i="1" s="1"/>
  <c r="O131" i="1" s="1"/>
  <c r="P131" i="1" s="1"/>
  <c r="D131" i="1" l="1" a="1"/>
  <c r="D131" i="1" s="1"/>
  <c r="I132" i="1" l="1"/>
  <c r="A131" i="1"/>
  <c r="L132" i="1"/>
  <c r="C132" i="1" s="1"/>
  <c r="H132" i="1" l="1"/>
  <c r="J132" i="1" s="1"/>
  <c r="N136" i="1"/>
  <c r="M136" i="1"/>
  <c r="K132" i="1" l="1"/>
  <c r="O132" i="1" s="1"/>
  <c r="P132" i="1" s="1"/>
  <c r="D132" i="1" l="1" a="1"/>
  <c r="D132" i="1" s="1"/>
  <c r="L133" i="1" l="1"/>
  <c r="C133" i="1" s="1"/>
  <c r="H133" i="1" s="1"/>
  <c r="A132" i="1"/>
  <c r="I133" i="1"/>
  <c r="J133" i="1" l="1"/>
  <c r="K133" i="1" s="1"/>
  <c r="O133" i="1" s="1"/>
  <c r="P133" i="1" s="1"/>
  <c r="M137" i="1"/>
  <c r="N137" i="1"/>
  <c r="D133" i="1" l="1" a="1"/>
  <c r="D133" i="1" s="1"/>
  <c r="A133" i="1" s="1"/>
  <c r="I134" i="1" l="1"/>
  <c r="L134" i="1"/>
  <c r="C134" i="1" s="1"/>
  <c r="H134" i="1" s="1"/>
  <c r="J134" i="1" s="1"/>
  <c r="M138" i="1" l="1"/>
  <c r="N138" i="1"/>
  <c r="K134" i="1"/>
  <c r="O134" i="1" s="1"/>
  <c r="P134" i="1" s="1"/>
  <c r="D134" i="1" l="1" a="1"/>
  <c r="D134" i="1" s="1"/>
  <c r="A134" i="1" s="1"/>
  <c r="I135" i="1" l="1"/>
  <c r="L135" i="1"/>
  <c r="C135" i="1" s="1"/>
  <c r="H135" i="1" s="1"/>
  <c r="J135" i="1" s="1"/>
  <c r="K135" i="1" s="1"/>
  <c r="O135" i="1" s="1"/>
  <c r="P135" i="1" s="1"/>
  <c r="M139" i="1" l="1"/>
  <c r="N139" i="1"/>
  <c r="D135" i="1" a="1"/>
  <c r="D135" i="1" s="1"/>
  <c r="L136" i="1" l="1"/>
  <c r="C136" i="1" s="1"/>
  <c r="H136" i="1" s="1"/>
  <c r="I136" i="1"/>
  <c r="A135" i="1"/>
  <c r="J136" i="1" l="1"/>
  <c r="K136" i="1" s="1"/>
  <c r="O136" i="1" s="1"/>
  <c r="P136" i="1" s="1"/>
  <c r="N140" i="1"/>
  <c r="M140" i="1"/>
  <c r="D136" i="1" l="1" a="1"/>
  <c r="D136" i="1" s="1"/>
  <c r="A136" i="1" s="1"/>
  <c r="I137" i="1" l="1"/>
  <c r="L137" i="1"/>
  <c r="C137" i="1" s="1"/>
  <c r="N141" i="1" l="1"/>
  <c r="M141" i="1"/>
  <c r="H137" i="1"/>
  <c r="J137" i="1" s="1"/>
  <c r="K137" i="1" s="1"/>
  <c r="O137" i="1" s="1"/>
  <c r="P137" i="1" s="1"/>
  <c r="D137" i="1" l="1" a="1"/>
  <c r="D137" i="1" s="1"/>
  <c r="L138" i="1" l="1"/>
  <c r="A137" i="1"/>
  <c r="I138" i="1"/>
  <c r="C138" i="1"/>
  <c r="H138" i="1" l="1"/>
  <c r="J138" i="1" s="1"/>
  <c r="K138" i="1" s="1"/>
  <c r="O138" i="1" s="1"/>
  <c r="P138" i="1" s="1"/>
  <c r="N142" i="1"/>
  <c r="M142" i="1"/>
  <c r="D138" i="1" l="1" a="1"/>
  <c r="D138" i="1" s="1"/>
  <c r="A138" i="1" l="1"/>
  <c r="L139" i="1"/>
  <c r="C139" i="1" s="1"/>
  <c r="H139" i="1" s="1"/>
  <c r="I139" i="1"/>
  <c r="J139" i="1" l="1"/>
  <c r="K139" i="1" s="1"/>
  <c r="O139" i="1" s="1"/>
  <c r="P139" i="1" s="1"/>
  <c r="M143" i="1"/>
  <c r="N143" i="1"/>
  <c r="D139" i="1" l="1" a="1"/>
  <c r="D139" i="1" s="1"/>
  <c r="L140" i="1" s="1"/>
  <c r="A139" i="1" l="1"/>
  <c r="I140" i="1"/>
  <c r="C140" i="1"/>
  <c r="H140" i="1" s="1"/>
  <c r="M144" i="1"/>
  <c r="N144" i="1"/>
  <c r="J140" i="1" l="1"/>
  <c r="K140" i="1" s="1"/>
  <c r="O140" i="1" s="1"/>
  <c r="P140" i="1" s="1"/>
  <c r="D140" i="1" l="1" a="1"/>
  <c r="D140" i="1" s="1"/>
  <c r="L141" i="1" l="1"/>
  <c r="C141" i="1" s="1"/>
  <c r="I141" i="1"/>
  <c r="A140" i="1"/>
  <c r="H141" i="1" l="1"/>
  <c r="J141" i="1" s="1"/>
  <c r="N145" i="1"/>
  <c r="M145" i="1"/>
  <c r="K141" i="1" l="1"/>
  <c r="O141" i="1" s="1"/>
  <c r="P141" i="1" s="1"/>
  <c r="D141" i="1" l="1" a="1"/>
  <c r="D141" i="1" s="1"/>
  <c r="I142" i="1" l="1"/>
  <c r="L142" i="1"/>
  <c r="C142" i="1" s="1"/>
  <c r="A141" i="1"/>
  <c r="H142" i="1" l="1"/>
  <c r="J142" i="1" s="1"/>
  <c r="K142" i="1" s="1"/>
  <c r="O142" i="1" s="1"/>
  <c r="P142" i="1" s="1"/>
  <c r="M146" i="1"/>
  <c r="N146" i="1"/>
  <c r="D142" i="1" l="1" a="1"/>
  <c r="D142" i="1" s="1"/>
  <c r="I143" i="1" l="1"/>
  <c r="L143" i="1"/>
  <c r="A142" i="1"/>
  <c r="C143" i="1" l="1"/>
  <c r="N147" i="1"/>
  <c r="M147" i="1"/>
  <c r="H143" i="1" l="1"/>
  <c r="J143" i="1" s="1"/>
  <c r="K143" i="1" s="1"/>
  <c r="O143" i="1" s="1"/>
  <c r="P143" i="1" s="1"/>
  <c r="D143" i="1" l="1" a="1"/>
  <c r="D143" i="1" s="1"/>
  <c r="A143" i="1" l="1"/>
  <c r="L144" i="1"/>
  <c r="I144" i="1"/>
  <c r="C144" i="1" l="1"/>
  <c r="H144" i="1" s="1"/>
  <c r="J144" i="1" s="1"/>
  <c r="N148" i="1"/>
  <c r="M148" i="1"/>
  <c r="K144" i="1" l="1"/>
  <c r="O144" i="1" s="1"/>
  <c r="P144" i="1" s="1"/>
  <c r="D144" i="1" l="1" a="1"/>
  <c r="D144" i="1" s="1"/>
  <c r="L145" i="1" s="1"/>
  <c r="C145" i="1" l="1"/>
  <c r="H145" i="1" s="1"/>
  <c r="A144" i="1"/>
  <c r="I145" i="1"/>
  <c r="N149" i="1"/>
  <c r="M149" i="1"/>
  <c r="J145" i="1" l="1"/>
  <c r="K145" i="1" s="1"/>
  <c r="O145" i="1" s="1"/>
  <c r="P145" i="1" s="1"/>
  <c r="D145" i="1" l="1" a="1"/>
  <c r="D145" i="1" s="1"/>
  <c r="A145" i="1" s="1"/>
  <c r="L146" i="1" l="1"/>
  <c r="C146" i="1" s="1"/>
  <c r="H146" i="1" s="1"/>
  <c r="I146" i="1"/>
  <c r="J146" i="1" l="1"/>
  <c r="K146" i="1" s="1"/>
  <c r="O146" i="1" s="1"/>
  <c r="P146" i="1" s="1"/>
  <c r="M150" i="1"/>
  <c r="N150" i="1"/>
  <c r="D146" i="1" l="1" a="1"/>
  <c r="D146" i="1" s="1"/>
  <c r="A146" i="1" s="1"/>
  <c r="L147" i="1" l="1"/>
  <c r="C147" i="1" s="1"/>
  <c r="H147" i="1" s="1"/>
  <c r="I147" i="1"/>
  <c r="M151" i="1" l="1"/>
  <c r="N151" i="1"/>
  <c r="J147" i="1"/>
  <c r="K147" i="1" s="1"/>
  <c r="O147" i="1" s="1"/>
  <c r="P147" i="1" s="1"/>
  <c r="D147" i="1" a="1"/>
  <c r="D147" i="1" s="1"/>
  <c r="I148" i="1" s="1"/>
  <c r="A147" i="1" l="1"/>
  <c r="L148" i="1"/>
  <c r="C148" i="1" s="1"/>
  <c r="H148" i="1" s="1"/>
  <c r="J148" i="1" s="1"/>
  <c r="N152" i="1" l="1"/>
  <c r="M152" i="1"/>
  <c r="K148" i="1"/>
  <c r="O148" i="1" s="1"/>
  <c r="P148" i="1" s="1"/>
  <c r="D148" i="1" l="1" a="1"/>
  <c r="D148" i="1" s="1"/>
  <c r="I149" i="1" l="1"/>
  <c r="A148" i="1"/>
  <c r="L149" i="1"/>
  <c r="N153" i="1" l="1"/>
  <c r="M153" i="1"/>
  <c r="C149" i="1"/>
  <c r="H149" i="1" l="1"/>
  <c r="J149" i="1" s="1"/>
  <c r="K149" i="1" s="1"/>
  <c r="O149" i="1" s="1"/>
  <c r="P149" i="1" s="1"/>
  <c r="D149" i="1" l="1" a="1"/>
  <c r="D149" i="1" s="1"/>
  <c r="A149" i="1" l="1"/>
  <c r="I150" i="1"/>
  <c r="L150" i="1"/>
  <c r="C150" i="1" l="1"/>
  <c r="N154" i="1"/>
  <c r="M154" i="1"/>
  <c r="H150" i="1" l="1"/>
  <c r="J150" i="1" s="1"/>
  <c r="K150" i="1" s="1"/>
  <c r="O150" i="1" s="1"/>
  <c r="P150" i="1" s="1"/>
  <c r="D150" i="1" l="1" a="1"/>
  <c r="D150" i="1" s="1"/>
  <c r="A150" i="1" l="1"/>
  <c r="I151" i="1"/>
  <c r="L151" i="1"/>
  <c r="C151" i="1" s="1"/>
  <c r="H151" i="1" l="1"/>
  <c r="J151" i="1" s="1"/>
  <c r="M155" i="1"/>
  <c r="N155" i="1"/>
  <c r="K151" i="1" l="1"/>
  <c r="O151" i="1" s="1"/>
  <c r="P151" i="1" s="1"/>
  <c r="D151" i="1" l="1" a="1"/>
  <c r="D151" i="1" s="1"/>
  <c r="A151" i="1" l="1"/>
  <c r="L152" i="1"/>
  <c r="C152" i="1" s="1"/>
  <c r="I152" i="1"/>
  <c r="H152" i="1" l="1"/>
  <c r="J152" i="1" s="1"/>
  <c r="N156" i="1"/>
  <c r="M156" i="1"/>
  <c r="K152" i="1" l="1"/>
  <c r="O152" i="1" s="1"/>
  <c r="P152" i="1" s="1"/>
  <c r="D152" i="1" l="1" a="1"/>
  <c r="D152" i="1" s="1"/>
  <c r="A152" i="1" l="1"/>
  <c r="L153" i="1"/>
  <c r="C153" i="1" s="1"/>
  <c r="I153" i="1"/>
  <c r="H153" i="1" l="1"/>
  <c r="J153" i="1" s="1"/>
  <c r="M157" i="1"/>
  <c r="N157" i="1"/>
  <c r="K153" i="1" l="1"/>
  <c r="O153" i="1" s="1"/>
  <c r="P153" i="1" s="1"/>
  <c r="D153" i="1" l="1" a="1"/>
  <c r="D153" i="1" s="1"/>
  <c r="L154" i="1" l="1"/>
  <c r="C154" i="1" s="1"/>
  <c r="I154" i="1"/>
  <c r="A153" i="1"/>
  <c r="H154" i="1" l="1"/>
  <c r="J154" i="1" s="1"/>
  <c r="N158" i="1"/>
  <c r="M158" i="1"/>
  <c r="K154" i="1" l="1"/>
  <c r="O154" i="1" s="1"/>
  <c r="P154" i="1" s="1"/>
  <c r="D154" i="1" l="1" a="1"/>
  <c r="D154" i="1" s="1"/>
  <c r="L155" i="1" l="1"/>
  <c r="C155" i="1" s="1"/>
  <c r="I155" i="1"/>
  <c r="A154" i="1"/>
  <c r="H155" i="1" l="1"/>
  <c r="J155" i="1" s="1"/>
  <c r="N159" i="1"/>
  <c r="M159" i="1"/>
  <c r="K155" i="1" l="1"/>
  <c r="O155" i="1" s="1"/>
  <c r="P155" i="1" s="1"/>
  <c r="D155" i="1" l="1" a="1"/>
  <c r="D155" i="1" s="1"/>
  <c r="A155" i="1" l="1"/>
  <c r="L156" i="1"/>
  <c r="C156" i="1" s="1"/>
  <c r="I156" i="1"/>
  <c r="H156" i="1" l="1"/>
  <c r="J156" i="1" s="1"/>
  <c r="K156" i="1" s="1"/>
  <c r="O156" i="1" s="1"/>
  <c r="P156" i="1" s="1"/>
  <c r="N160" i="1"/>
  <c r="M160" i="1"/>
  <c r="D156" i="1" l="1" a="1"/>
  <c r="D156" i="1" s="1"/>
  <c r="A156" i="1" l="1"/>
  <c r="L157" i="1"/>
  <c r="C157" i="1" s="1"/>
  <c r="I157" i="1"/>
  <c r="H157" i="1" l="1"/>
  <c r="J157" i="1" s="1"/>
  <c r="K157" i="1" s="1"/>
  <c r="O157" i="1" s="1"/>
  <c r="P157" i="1" s="1"/>
  <c r="N161" i="1"/>
  <c r="M161" i="1"/>
  <c r="D157" i="1" l="1" a="1"/>
  <c r="D157" i="1" s="1"/>
  <c r="I158" i="1" l="1"/>
  <c r="A157" i="1"/>
  <c r="L158" i="1"/>
  <c r="C158" i="1" s="1"/>
  <c r="H158" i="1" l="1"/>
  <c r="J158" i="1" s="1"/>
  <c r="M162" i="1"/>
  <c r="N162" i="1"/>
  <c r="K158" i="1" l="1"/>
  <c r="O158" i="1" s="1"/>
  <c r="P158" i="1" s="1"/>
  <c r="D158" i="1" l="1" a="1"/>
  <c r="D158" i="1" s="1"/>
  <c r="I159" i="1" l="1"/>
  <c r="A158" i="1"/>
  <c r="L159" i="1"/>
  <c r="C159" i="1" s="1"/>
  <c r="H159" i="1" s="1"/>
  <c r="J159" i="1" s="1"/>
  <c r="K159" i="1" l="1"/>
  <c r="O159" i="1" s="1"/>
  <c r="P159" i="1" s="1"/>
  <c r="N163" i="1"/>
  <c r="M163" i="1"/>
  <c r="D159" i="1" l="1" a="1"/>
  <c r="D159" i="1" s="1"/>
  <c r="A159" i="1" s="1"/>
  <c r="L160" i="1" l="1"/>
  <c r="C160" i="1" s="1"/>
  <c r="H160" i="1" s="1"/>
  <c r="I160" i="1"/>
  <c r="J160" i="1" l="1"/>
  <c r="K160" i="1" s="1"/>
  <c r="O160" i="1" s="1"/>
  <c r="P160" i="1" s="1"/>
  <c r="M164" i="1"/>
  <c r="N164" i="1"/>
  <c r="D160" i="1" a="1"/>
  <c r="D160" i="1" s="1"/>
  <c r="L161" i="1" l="1"/>
  <c r="C161" i="1" s="1"/>
  <c r="A160" i="1"/>
  <c r="I161" i="1"/>
  <c r="H161" i="1" l="1"/>
  <c r="J161" i="1" s="1"/>
  <c r="K161" i="1" s="1"/>
  <c r="O161" i="1" s="1"/>
  <c r="P161" i="1" s="1"/>
  <c r="N165" i="1"/>
  <c r="M165" i="1"/>
  <c r="D161" i="1" l="1" a="1"/>
  <c r="D161" i="1" s="1"/>
  <c r="I162" i="1" l="1"/>
  <c r="A161" i="1"/>
  <c r="L162" i="1"/>
  <c r="C162" i="1" l="1"/>
  <c r="H162" i="1" s="1"/>
  <c r="J162" i="1" s="1"/>
  <c r="M166" i="1"/>
  <c r="N166" i="1"/>
  <c r="K162" i="1" l="1"/>
  <c r="O162" i="1" s="1"/>
  <c r="P162" i="1" s="1"/>
  <c r="D162" i="1" l="1" a="1"/>
  <c r="D162" i="1" s="1"/>
  <c r="L163" i="1" s="1"/>
  <c r="C163" i="1" s="1"/>
  <c r="I163" i="1" l="1"/>
  <c r="A162" i="1"/>
  <c r="H163" i="1"/>
  <c r="N167" i="1"/>
  <c r="M167" i="1"/>
  <c r="J163" i="1" l="1"/>
  <c r="K163" i="1" s="1"/>
  <c r="O163" i="1" s="1"/>
  <c r="P163" i="1" s="1"/>
  <c r="D163" i="1" a="1"/>
  <c r="D163" i="1" s="1"/>
  <c r="A163" i="1" s="1"/>
  <c r="I164" i="1" l="1"/>
  <c r="L164" i="1"/>
  <c r="M168" i="1" s="1"/>
  <c r="C164" i="1" l="1"/>
  <c r="H164" i="1" s="1"/>
  <c r="J164" i="1" s="1"/>
  <c r="N168" i="1"/>
  <c r="K164" i="1" l="1"/>
  <c r="O164" i="1" s="1"/>
  <c r="P164" i="1" s="1"/>
  <c r="D164" i="1" l="1" a="1"/>
  <c r="D164" i="1" s="1"/>
  <c r="A164" i="1" l="1"/>
  <c r="L165" i="1"/>
  <c r="C165" i="1" s="1"/>
  <c r="I165" i="1"/>
  <c r="H165" i="1" l="1"/>
  <c r="J165" i="1" s="1"/>
  <c r="K165" i="1" s="1"/>
  <c r="O165" i="1" s="1"/>
  <c r="P165" i="1" s="1"/>
  <c r="M169" i="1"/>
  <c r="N169" i="1"/>
  <c r="D165" i="1" l="1" a="1"/>
  <c r="D165" i="1" s="1"/>
  <c r="A165" i="1" l="1"/>
  <c r="I166" i="1"/>
  <c r="L166" i="1"/>
  <c r="C166" i="1" l="1"/>
  <c r="H166" i="1" s="1"/>
  <c r="J166" i="1" s="1"/>
  <c r="M170" i="1"/>
  <c r="N170" i="1"/>
  <c r="K166" i="1" l="1"/>
  <c r="O166" i="1" s="1"/>
  <c r="P166" i="1" s="1"/>
  <c r="D166" i="1" l="1" a="1"/>
  <c r="D166" i="1" s="1"/>
  <c r="L167" i="1" s="1"/>
  <c r="C167" i="1" s="1"/>
  <c r="H167" i="1" s="1"/>
  <c r="A166" i="1" l="1"/>
  <c r="I167" i="1"/>
  <c r="J167" i="1" s="1"/>
  <c r="K167" i="1" s="1"/>
  <c r="O167" i="1" s="1"/>
  <c r="P167" i="1" s="1"/>
  <c r="M171" i="1"/>
  <c r="N171" i="1"/>
  <c r="D167" i="1" l="1" a="1"/>
  <c r="D167" i="1" s="1"/>
  <c r="A167" i="1" s="1"/>
  <c r="I168" i="1" l="1"/>
  <c r="L168" i="1"/>
  <c r="C168" i="1" s="1"/>
  <c r="H168" i="1" s="1"/>
  <c r="J168" i="1" l="1"/>
  <c r="K168" i="1" s="1"/>
  <c r="O168" i="1" s="1"/>
  <c r="P168" i="1" s="1"/>
  <c r="N172" i="1"/>
  <c r="M172" i="1"/>
  <c r="D168" i="1" l="1" a="1"/>
  <c r="D168" i="1" s="1"/>
  <c r="I169" i="1" l="1"/>
  <c r="L169" i="1"/>
  <c r="A168" i="1"/>
  <c r="C169" i="1" l="1"/>
  <c r="H169" i="1" s="1"/>
  <c r="J169" i="1" s="1"/>
  <c r="N173" i="1"/>
  <c r="M173" i="1"/>
  <c r="K169" i="1" l="1"/>
  <c r="O169" i="1" s="1"/>
  <c r="P169" i="1" s="1"/>
  <c r="D169" i="1" l="1" a="1"/>
  <c r="D169" i="1" s="1"/>
  <c r="L170" i="1" s="1"/>
  <c r="I170" i="1" l="1"/>
  <c r="C170" i="1"/>
  <c r="H170" i="1" s="1"/>
  <c r="A169" i="1"/>
  <c r="M174" i="1"/>
  <c r="N174" i="1"/>
  <c r="J170" i="1" l="1"/>
  <c r="K170" i="1" s="1"/>
  <c r="O170" i="1" s="1"/>
  <c r="P170" i="1" s="1"/>
  <c r="D170" i="1" l="1" a="1"/>
  <c r="D170" i="1" s="1"/>
  <c r="I171" i="1" l="1"/>
  <c r="A170" i="1"/>
  <c r="L171" i="1"/>
  <c r="M175" i="1" l="1"/>
  <c r="N175" i="1"/>
  <c r="C171" i="1"/>
  <c r="H171" i="1" l="1"/>
  <c r="J171" i="1" s="1"/>
  <c r="K171" i="1" s="1"/>
  <c r="O171" i="1" s="1"/>
  <c r="P171" i="1" s="1"/>
  <c r="D171" i="1" l="1" a="1"/>
  <c r="D171" i="1" s="1"/>
  <c r="A171" i="1" l="1"/>
  <c r="I172" i="1"/>
  <c r="L172" i="1"/>
  <c r="C172" i="1" s="1"/>
  <c r="H172" i="1" l="1"/>
  <c r="J172" i="1" s="1"/>
  <c r="N176" i="1"/>
  <c r="M176" i="1"/>
  <c r="K172" i="1" l="1"/>
  <c r="O172" i="1" s="1"/>
  <c r="P172" i="1" s="1"/>
  <c r="D172" i="1" l="1" a="1"/>
  <c r="D172" i="1" s="1"/>
  <c r="A172" i="1" l="1"/>
  <c r="I173" i="1"/>
  <c r="L173" i="1"/>
  <c r="C173" i="1" l="1"/>
  <c r="H173" i="1" s="1"/>
  <c r="J173" i="1" s="1"/>
  <c r="M177" i="1"/>
  <c r="N177" i="1"/>
  <c r="K173" i="1" l="1"/>
  <c r="O173" i="1" s="1"/>
  <c r="P173" i="1" s="1"/>
  <c r="D173" i="1" l="1" a="1"/>
  <c r="D173" i="1" s="1"/>
  <c r="A173" i="1" l="1"/>
  <c r="L174" i="1"/>
  <c r="I174" i="1"/>
  <c r="C174" i="1" l="1"/>
  <c r="M178" i="1"/>
  <c r="N178" i="1"/>
  <c r="H174" i="1" l="1"/>
  <c r="J174" i="1" s="1"/>
  <c r="K174" i="1" l="1"/>
  <c r="O174" i="1" s="1"/>
  <c r="P174" i="1" s="1"/>
  <c r="D174" i="1" l="1" a="1"/>
  <c r="D174" i="1" s="1"/>
  <c r="A174" i="1" l="1"/>
  <c r="L175" i="1"/>
  <c r="I175" i="1"/>
  <c r="C175" i="1" l="1"/>
  <c r="M179" i="1"/>
  <c r="N179" i="1"/>
  <c r="H175" i="1" l="1"/>
  <c r="J175" i="1" s="1"/>
  <c r="K175" i="1" s="1"/>
  <c r="O175" i="1" s="1"/>
  <c r="P175" i="1" s="1"/>
  <c r="D175" i="1" l="1" a="1"/>
  <c r="D175" i="1" s="1"/>
  <c r="L176" i="1" l="1"/>
  <c r="C176" i="1" s="1"/>
  <c r="I176" i="1"/>
  <c r="A175" i="1"/>
  <c r="H176" i="1" l="1"/>
  <c r="J176" i="1" s="1"/>
  <c r="N180" i="1"/>
  <c r="M180" i="1"/>
  <c r="K176" i="1" l="1"/>
  <c r="O176" i="1" s="1"/>
  <c r="P176" i="1" s="1"/>
  <c r="D176" i="1" l="1" a="1"/>
  <c r="D176" i="1" s="1"/>
  <c r="A176" i="1" l="1"/>
  <c r="I177" i="1"/>
  <c r="L177" i="1"/>
  <c r="C177" i="1" s="1"/>
  <c r="H177" i="1" l="1"/>
  <c r="J177" i="1" s="1"/>
  <c r="K177" i="1" s="1"/>
  <c r="O177" i="1" s="1"/>
  <c r="P177" i="1" s="1"/>
  <c r="M181" i="1"/>
  <c r="N181" i="1"/>
  <c r="D177" i="1" l="1" a="1"/>
  <c r="D177" i="1" s="1"/>
  <c r="I178" i="1" l="1"/>
  <c r="L178" i="1"/>
  <c r="A177" i="1"/>
  <c r="C178" i="1" l="1"/>
  <c r="M182" i="1"/>
  <c r="N182" i="1"/>
  <c r="H178" i="1" l="1"/>
  <c r="J178" i="1" s="1"/>
  <c r="K178" i="1" s="1"/>
  <c r="O178" i="1" s="1"/>
  <c r="P178" i="1" s="1"/>
  <c r="D178" i="1" l="1" a="1"/>
  <c r="D178" i="1" s="1"/>
  <c r="L179" i="1" l="1"/>
  <c r="A178" i="1"/>
  <c r="I179" i="1"/>
  <c r="C179" i="1" l="1"/>
  <c r="H179" i="1" s="1"/>
  <c r="J179" i="1" s="1"/>
  <c r="N183" i="1"/>
  <c r="M183" i="1"/>
  <c r="K179" i="1" l="1"/>
  <c r="O179" i="1" s="1"/>
  <c r="P179" i="1" s="1"/>
  <c r="D179" i="1" l="1" a="1"/>
  <c r="D179" i="1" s="1"/>
  <c r="I180" i="1" s="1"/>
  <c r="L180" i="1" l="1"/>
  <c r="C180" i="1" s="1"/>
  <c r="H180" i="1" s="1"/>
  <c r="J180" i="1" s="1"/>
  <c r="K180" i="1" s="1"/>
  <c r="O180" i="1" s="1"/>
  <c r="P180" i="1" s="1"/>
  <c r="A179" i="1"/>
  <c r="M184" i="1"/>
  <c r="N184" i="1"/>
  <c r="D180" i="1" l="1" a="1"/>
  <c r="D180" i="1" s="1"/>
  <c r="A180" i="1" l="1"/>
  <c r="L181" i="1"/>
  <c r="C181" i="1" s="1"/>
  <c r="I181" i="1"/>
  <c r="H181" i="1" l="1"/>
  <c r="J181" i="1" s="1"/>
  <c r="K181" i="1" s="1"/>
  <c r="O181" i="1" s="1"/>
  <c r="P181" i="1" s="1"/>
  <c r="N185" i="1"/>
  <c r="M185" i="1"/>
  <c r="D181" i="1" l="1" a="1"/>
  <c r="D181" i="1" s="1"/>
  <c r="L182" i="1" l="1"/>
  <c r="C182" i="1" s="1"/>
  <c r="I182" i="1"/>
  <c r="A181" i="1"/>
  <c r="H182" i="1" l="1"/>
  <c r="J182" i="1" s="1"/>
  <c r="K182" i="1" s="1"/>
  <c r="O182" i="1" s="1"/>
  <c r="P182" i="1" s="1"/>
  <c r="M186" i="1"/>
  <c r="N186" i="1"/>
  <c r="D182" i="1" l="1" a="1"/>
  <c r="D182" i="1" s="1"/>
  <c r="A182" i="1" l="1"/>
  <c r="I183" i="1"/>
  <c r="L183" i="1"/>
  <c r="M187" i="1" l="1"/>
  <c r="N187" i="1"/>
  <c r="C183" i="1"/>
  <c r="H183" i="1" l="1"/>
  <c r="J183" i="1" s="1"/>
  <c r="K183" i="1" s="1"/>
  <c r="O183" i="1" s="1"/>
  <c r="P183" i="1" s="1"/>
  <c r="D183" i="1" l="1" a="1"/>
  <c r="D183" i="1" s="1"/>
  <c r="A183" i="1" l="1"/>
  <c r="L184" i="1"/>
  <c r="I184" i="1"/>
  <c r="C184" i="1" l="1"/>
  <c r="H184" i="1" s="1"/>
  <c r="J184" i="1" s="1"/>
  <c r="N188" i="1"/>
  <c r="M188" i="1"/>
  <c r="K184" i="1" l="1"/>
  <c r="O184" i="1" s="1"/>
  <c r="P184" i="1" s="1"/>
  <c r="D184" i="1" l="1" a="1"/>
  <c r="D184" i="1" s="1"/>
  <c r="L185" i="1" s="1"/>
  <c r="C185" i="1" s="1"/>
  <c r="I185" i="1" l="1"/>
  <c r="A184" i="1"/>
  <c r="H185" i="1"/>
  <c r="J185" i="1" s="1"/>
  <c r="N189" i="1"/>
  <c r="M189" i="1"/>
  <c r="K185" i="1" l="1"/>
  <c r="O185" i="1" s="1"/>
  <c r="P185" i="1" s="1"/>
  <c r="D185" i="1" l="1" a="1"/>
  <c r="D185" i="1" s="1"/>
  <c r="A185" i="1" l="1"/>
  <c r="L186" i="1"/>
  <c r="C186" i="1" s="1"/>
  <c r="I186" i="1"/>
  <c r="H186" i="1" l="1"/>
  <c r="J186" i="1" s="1"/>
  <c r="M190" i="1"/>
  <c r="N190" i="1"/>
  <c r="K186" i="1" l="1"/>
  <c r="O186" i="1" s="1"/>
  <c r="P186" i="1" s="1"/>
  <c r="D186" i="1" l="1" a="1"/>
  <c r="D186" i="1" s="1"/>
  <c r="A186" i="1" l="1"/>
  <c r="L187" i="1"/>
  <c r="C187" i="1" s="1"/>
  <c r="I187" i="1"/>
  <c r="H187" i="1" l="1"/>
  <c r="J187" i="1" s="1"/>
  <c r="M191" i="1"/>
  <c r="N191" i="1"/>
  <c r="K187" i="1" l="1"/>
  <c r="O187" i="1" s="1"/>
  <c r="P187" i="1" s="1"/>
  <c r="D187" i="1" l="1" a="1"/>
  <c r="D187" i="1" s="1"/>
  <c r="L188" i="1" l="1"/>
  <c r="C188" i="1" s="1"/>
  <c r="A187" i="1"/>
  <c r="I188" i="1"/>
  <c r="H188" i="1" l="1"/>
  <c r="J188" i="1" s="1"/>
  <c r="M192" i="1"/>
  <c r="N192" i="1"/>
  <c r="K188" i="1" l="1"/>
  <c r="O188" i="1" s="1"/>
  <c r="P188" i="1" s="1"/>
  <c r="D188" i="1" l="1" a="1"/>
  <c r="D188" i="1" s="1"/>
  <c r="I189" i="1" l="1"/>
  <c r="L189" i="1"/>
  <c r="C189" i="1" s="1"/>
  <c r="A188" i="1"/>
  <c r="H189" i="1" l="1"/>
  <c r="J189" i="1" s="1"/>
  <c r="K189" i="1" s="1"/>
  <c r="O189" i="1" s="1"/>
  <c r="P189" i="1" s="1"/>
  <c r="N193" i="1"/>
  <c r="M193" i="1"/>
  <c r="D189" i="1" l="1" a="1"/>
  <c r="D189" i="1" s="1"/>
  <c r="I190" i="1" l="1"/>
  <c r="A189" i="1"/>
  <c r="L190" i="1"/>
  <c r="N194" i="1" l="1"/>
  <c r="M194" i="1"/>
  <c r="C190" i="1"/>
  <c r="H190" i="1" l="1"/>
  <c r="J190" i="1" s="1"/>
  <c r="K190" i="1" s="1"/>
  <c r="O190" i="1" s="1"/>
  <c r="P190" i="1" s="1"/>
  <c r="D190" i="1" l="1" a="1"/>
  <c r="D190" i="1" s="1"/>
  <c r="A190" i="1" l="1"/>
  <c r="L191" i="1"/>
  <c r="C191" i="1" s="1"/>
  <c r="I191" i="1"/>
  <c r="H191" i="1" l="1"/>
  <c r="J191" i="1" s="1"/>
  <c r="N195" i="1"/>
  <c r="M195" i="1"/>
  <c r="K191" i="1" l="1"/>
  <c r="O191" i="1" s="1"/>
  <c r="P191" i="1" s="1"/>
  <c r="D191" i="1" l="1" a="1"/>
  <c r="D191" i="1" s="1"/>
  <c r="A191" i="1" l="1"/>
  <c r="L192" i="1"/>
  <c r="I192" i="1"/>
  <c r="C192" i="1" l="1"/>
  <c r="H192" i="1" s="1"/>
  <c r="J192" i="1" s="1"/>
  <c r="N196" i="1"/>
  <c r="M196" i="1"/>
  <c r="K192" i="1" l="1"/>
  <c r="O192" i="1" s="1"/>
  <c r="P192" i="1" s="1"/>
  <c r="D192" i="1" l="1" a="1"/>
  <c r="D192" i="1" s="1"/>
  <c r="A192" i="1" s="1"/>
  <c r="L193" i="1" l="1"/>
  <c r="C193" i="1" s="1"/>
  <c r="H193" i="1" s="1"/>
  <c r="I193" i="1"/>
  <c r="J193" i="1" l="1"/>
  <c r="K193" i="1" s="1"/>
  <c r="O193" i="1" s="1"/>
  <c r="P193" i="1" s="1"/>
  <c r="N197" i="1"/>
  <c r="M197" i="1"/>
  <c r="D193" i="1" l="1" a="1"/>
  <c r="D193" i="1" s="1"/>
  <c r="A193" i="1" l="1"/>
  <c r="I194" i="1"/>
  <c r="L194" i="1"/>
  <c r="C194" i="1" l="1"/>
  <c r="M198" i="1"/>
  <c r="N198" i="1"/>
  <c r="H194" i="1" l="1"/>
  <c r="J194" i="1" s="1"/>
  <c r="K194" i="1" s="1"/>
  <c r="O194" i="1" s="1"/>
  <c r="P194" i="1" s="1"/>
  <c r="D194" i="1" l="1" a="1"/>
  <c r="D194" i="1" s="1"/>
  <c r="I195" i="1" l="1"/>
  <c r="A194" i="1"/>
  <c r="L195" i="1"/>
  <c r="C195" i="1" l="1"/>
  <c r="N199" i="1"/>
  <c r="M199" i="1"/>
  <c r="H195" i="1" l="1"/>
  <c r="J195" i="1" s="1"/>
  <c r="K195" i="1" s="1"/>
  <c r="O195" i="1" s="1"/>
  <c r="P195" i="1" s="1"/>
  <c r="D195" i="1" l="1" a="1"/>
  <c r="D195" i="1" s="1"/>
  <c r="A195" i="1" l="1"/>
  <c r="I196" i="1"/>
  <c r="L196" i="1"/>
  <c r="C196" i="1" s="1"/>
  <c r="H196" i="1" l="1"/>
  <c r="J196" i="1" s="1"/>
  <c r="K196" i="1" s="1"/>
  <c r="O196" i="1" s="1"/>
  <c r="P196" i="1" s="1"/>
  <c r="N200" i="1"/>
  <c r="M200" i="1"/>
  <c r="D196" i="1" l="1" a="1"/>
  <c r="D196" i="1" s="1"/>
  <c r="L197" i="1" l="1"/>
  <c r="I197" i="1"/>
  <c r="A196" i="1"/>
  <c r="C197" i="1" l="1"/>
  <c r="N201" i="1"/>
  <c r="M201" i="1"/>
  <c r="H197" i="1" l="1"/>
  <c r="J197" i="1" s="1"/>
  <c r="K197" i="1" s="1"/>
  <c r="O197" i="1" s="1"/>
  <c r="P197" i="1" s="1"/>
  <c r="D197" i="1" l="1" a="1"/>
  <c r="D197" i="1" s="1"/>
  <c r="I198" i="1" l="1"/>
  <c r="L198" i="1"/>
  <c r="C198" i="1" s="1"/>
  <c r="A197" i="1"/>
  <c r="H198" i="1" l="1"/>
  <c r="J198" i="1" s="1"/>
  <c r="N202" i="1"/>
  <c r="M202" i="1"/>
  <c r="K198" i="1" l="1"/>
  <c r="O198" i="1" s="1"/>
  <c r="P198" i="1" s="1"/>
  <c r="D198" i="1" l="1" a="1"/>
  <c r="D198" i="1" s="1"/>
  <c r="A198" i="1" l="1"/>
  <c r="I199" i="1"/>
  <c r="L199" i="1"/>
  <c r="C199" i="1" l="1"/>
  <c r="H199" i="1" s="1"/>
  <c r="J199" i="1" s="1"/>
  <c r="N203" i="1"/>
  <c r="M203" i="1"/>
  <c r="K199" i="1" l="1"/>
  <c r="O199" i="1" s="1"/>
  <c r="P199" i="1" s="1"/>
  <c r="D199" i="1" l="1" a="1"/>
  <c r="D199" i="1" s="1"/>
  <c r="A199" i="1" s="1"/>
  <c r="I200" i="1" l="1"/>
  <c r="L200" i="1"/>
  <c r="N204" i="1" s="1"/>
  <c r="C200" i="1" l="1"/>
  <c r="H200" i="1" s="1"/>
  <c r="J200" i="1" s="1"/>
  <c r="K200" i="1" s="1"/>
  <c r="M204" i="1"/>
  <c r="O200" i="1" l="1"/>
  <c r="P200" i="1" s="1"/>
  <c r="D200" i="1" a="1"/>
  <c r="D200" i="1" s="1"/>
  <c r="L201" i="1" s="1"/>
  <c r="C201" i="1" s="1"/>
  <c r="A200" i="1" l="1"/>
  <c r="I201" i="1"/>
  <c r="H201" i="1"/>
  <c r="J201" i="1" s="1"/>
  <c r="K201" i="1" s="1"/>
  <c r="O201" i="1" s="1"/>
  <c r="P201" i="1" s="1"/>
  <c r="N205" i="1"/>
  <c r="M205" i="1"/>
  <c r="D201" i="1" l="1" a="1"/>
  <c r="D201" i="1" s="1"/>
  <c r="A201" i="1" l="1"/>
  <c r="L202" i="1"/>
  <c r="C202" i="1" s="1"/>
  <c r="I202" i="1"/>
  <c r="H202" i="1" l="1"/>
  <c r="J202" i="1" s="1"/>
  <c r="M206" i="1"/>
  <c r="N206" i="1"/>
  <c r="K202" i="1" l="1"/>
  <c r="O202" i="1" s="1"/>
  <c r="P202" i="1" s="1"/>
  <c r="D202" i="1" l="1" a="1"/>
  <c r="D202" i="1" s="1"/>
  <c r="L203" i="1" l="1"/>
  <c r="A202" i="1"/>
  <c r="I203" i="1"/>
  <c r="C203" i="1" l="1"/>
  <c r="M207" i="1"/>
  <c r="N207" i="1"/>
  <c r="H203" i="1" l="1"/>
  <c r="J203" i="1" s="1"/>
  <c r="K203" i="1" s="1"/>
  <c r="O203" i="1" s="1"/>
  <c r="P203" i="1" s="1"/>
  <c r="D203" i="1" l="1" a="1"/>
  <c r="D203" i="1" s="1"/>
  <c r="I204" i="1" l="1"/>
  <c r="A203" i="1"/>
  <c r="L204" i="1"/>
  <c r="C204" i="1" s="1"/>
  <c r="H204" i="1" l="1"/>
  <c r="J204" i="1" s="1"/>
  <c r="K204" i="1" s="1"/>
  <c r="O204" i="1" s="1"/>
  <c r="M208" i="1"/>
  <c r="N208" i="1"/>
  <c r="P204" i="1" l="1"/>
  <c r="D204" i="1" a="1"/>
  <c r="D204" i="1" s="1"/>
  <c r="A204" i="1" l="1"/>
  <c r="L205" i="1"/>
  <c r="I205" i="1"/>
  <c r="C205" i="1" l="1"/>
  <c r="N209" i="1"/>
  <c r="M209" i="1"/>
  <c r="H205" i="1" l="1"/>
  <c r="J205" i="1" s="1"/>
  <c r="K205" i="1" s="1"/>
  <c r="O205" i="1" s="1"/>
  <c r="P205" i="1" l="1"/>
  <c r="D205" i="1" a="1"/>
  <c r="D205" i="1" s="1"/>
  <c r="A205" i="1" l="1"/>
  <c r="I206" i="1"/>
  <c r="L206" i="1"/>
  <c r="C206" i="1" s="1"/>
  <c r="H206" i="1" l="1"/>
  <c r="J206" i="1" s="1"/>
  <c r="K206" i="1" s="1"/>
  <c r="O206" i="1" s="1"/>
  <c r="N210" i="1"/>
  <c r="M210" i="1"/>
  <c r="P206" i="1" l="1"/>
  <c r="D206" i="1" a="1"/>
  <c r="D206" i="1" s="1"/>
  <c r="A206" i="1" l="1"/>
  <c r="L207" i="1"/>
  <c r="I207" i="1"/>
  <c r="C207" i="1" l="1"/>
  <c r="M211" i="1"/>
  <c r="N211" i="1"/>
  <c r="H207" i="1" l="1"/>
  <c r="J207" i="1" s="1"/>
  <c r="K207" i="1" s="1"/>
  <c r="O207" i="1" s="1"/>
  <c r="P207" i="1" l="1"/>
  <c r="D207" i="1" a="1"/>
  <c r="D207" i="1" s="1"/>
  <c r="A207" i="1" l="1"/>
  <c r="I208" i="1"/>
  <c r="L208" i="1"/>
  <c r="C208" i="1" l="1"/>
  <c r="N212" i="1"/>
  <c r="M212" i="1"/>
  <c r="H208" i="1" l="1"/>
  <c r="J208" i="1" s="1"/>
  <c r="K208" i="1" s="1"/>
  <c r="O208" i="1" s="1"/>
  <c r="P208" i="1" l="1"/>
  <c r="D208" i="1" a="1"/>
  <c r="D208" i="1" s="1"/>
  <c r="A208" i="1" l="1"/>
  <c r="L209" i="1"/>
  <c r="C209" i="1" s="1"/>
  <c r="I209" i="1"/>
  <c r="H209" i="1" l="1"/>
  <c r="J209" i="1" s="1"/>
  <c r="M213" i="1"/>
  <c r="N213" i="1"/>
  <c r="K209" i="1" l="1"/>
  <c r="O209" i="1" s="1"/>
  <c r="P209" i="1" s="1"/>
  <c r="D209" i="1" l="1" a="1"/>
  <c r="D209" i="1" s="1"/>
  <c r="A209" i="1" l="1"/>
  <c r="I210" i="1"/>
  <c r="L210" i="1"/>
  <c r="C210" i="1" s="1"/>
  <c r="H210" i="1" s="1"/>
  <c r="J210" i="1" l="1"/>
  <c r="K210" i="1" s="1"/>
  <c r="O210" i="1" s="1"/>
  <c r="P210" i="1" s="1"/>
  <c r="N214" i="1"/>
  <c r="M214" i="1"/>
  <c r="D210" i="1" l="1" a="1"/>
  <c r="D210" i="1" s="1"/>
  <c r="I211" i="1" s="1"/>
  <c r="A210" i="1" l="1"/>
  <c r="L211" i="1"/>
  <c r="C211" i="1" s="1"/>
  <c r="H211" i="1" s="1"/>
  <c r="J211" i="1" s="1"/>
  <c r="M215" i="1" l="1"/>
  <c r="N215" i="1"/>
  <c r="K211" i="1"/>
  <c r="O211" i="1" s="1"/>
  <c r="P211" i="1" s="1"/>
  <c r="D211" i="1" l="1" a="1"/>
  <c r="D211" i="1" s="1"/>
  <c r="I212" i="1" l="1"/>
  <c r="L212" i="1"/>
  <c r="C212" i="1" s="1"/>
  <c r="A211" i="1"/>
  <c r="M216" i="1" l="1"/>
  <c r="N216" i="1"/>
  <c r="H212" i="1"/>
  <c r="J212" i="1" s="1"/>
  <c r="K212" i="1" s="1"/>
  <c r="O212" i="1" s="1"/>
  <c r="P212" i="1" s="1"/>
  <c r="D212" i="1" l="1" a="1"/>
  <c r="D212" i="1" s="1"/>
  <c r="A212" i="1" l="1"/>
  <c r="I213" i="1"/>
  <c r="L213" i="1"/>
  <c r="C213" i="1" s="1"/>
  <c r="H213" i="1" s="1"/>
  <c r="J213" i="1" l="1"/>
  <c r="K213" i="1"/>
  <c r="O213" i="1" s="1"/>
  <c r="P213" i="1" s="1"/>
  <c r="M217" i="1"/>
  <c r="N217" i="1"/>
  <c r="D213" i="1" l="1" a="1"/>
  <c r="D213" i="1" s="1"/>
  <c r="A213" i="1" s="1"/>
  <c r="I214" i="1" l="1"/>
  <c r="L214" i="1"/>
  <c r="M218" i="1" s="1"/>
  <c r="C214" i="1" l="1"/>
  <c r="H214" i="1" s="1"/>
  <c r="J214" i="1" s="1"/>
  <c r="K214" i="1" s="1"/>
  <c r="O214" i="1" s="1"/>
  <c r="P214" i="1" s="1"/>
  <c r="N218" i="1"/>
  <c r="O218" i="1" s="1"/>
  <c r="P218" i="1" s="1"/>
  <c r="D214" i="1" l="1" a="1"/>
  <c r="D214" i="1" s="1"/>
  <c r="I215" i="1" s="1"/>
  <c r="L215" i="1" l="1"/>
  <c r="C215" i="1" s="1"/>
  <c r="H215" i="1" s="1"/>
  <c r="J215" i="1" s="1"/>
  <c r="K215" i="1" s="1"/>
  <c r="O215" i="1" s="1"/>
  <c r="P215" i="1" s="1"/>
  <c r="A214" i="1"/>
  <c r="M219" i="1" l="1"/>
  <c r="N219" i="1"/>
  <c r="O219" i="1" s="1"/>
  <c r="P219" i="1" s="1"/>
  <c r="D215" i="1" a="1"/>
  <c r="D215" i="1" s="1"/>
  <c r="A215" i="1" l="1"/>
  <c r="L216" i="1"/>
  <c r="I216" i="1"/>
  <c r="C216" i="1" l="1"/>
  <c r="H216" i="1" s="1"/>
  <c r="J216" i="1" s="1"/>
  <c r="M220" i="1"/>
  <c r="N220" i="1"/>
  <c r="O220" i="1" s="1"/>
  <c r="P220" i="1" s="1"/>
  <c r="K216" i="1" l="1"/>
  <c r="O216" i="1" s="1"/>
  <c r="P216" i="1" s="1"/>
  <c r="J8" i="1"/>
  <c r="D216" i="1" l="1" a="1"/>
  <c r="D216" i="1" s="1"/>
  <c r="A216" i="1" s="1"/>
  <c r="L217" i="1" l="1"/>
  <c r="O217" i="1" s="1"/>
  <c r="P217" i="1" s="1"/>
  <c r="L8" i="1"/>
  <c r="M221" i="1" l="1"/>
  <c r="M8" i="1" s="1"/>
  <c r="N1" i="1" s="1"/>
  <c r="N221" i="1"/>
  <c r="O221" i="1" s="1"/>
  <c r="N8" i="1"/>
  <c r="M2" i="1" s="1"/>
  <c r="P221" i="1" l="1"/>
  <c r="P8" i="1" s="1"/>
  <c r="O8" i="1"/>
  <c r="L13" i="9"/>
  <c r="C13" i="9" s="1"/>
  <c r="L4" i="9"/>
  <c r="N17" i="9" l="1"/>
  <c r="M17" i="9"/>
  <c r="P13" i="9" l="1"/>
  <c r="L14" i="9" l="1"/>
  <c r="H14" i="9"/>
  <c r="I14" i="9"/>
  <c r="C14" i="9" l="1"/>
  <c r="M18" i="9"/>
  <c r="N18" i="9"/>
  <c r="J14" i="9"/>
  <c r="D14" i="9" l="1"/>
  <c r="H15" i="9"/>
  <c r="I15" i="9" l="1"/>
  <c r="L15" i="9"/>
  <c r="N19" i="9" s="1"/>
  <c r="J15" i="9" l="1"/>
  <c r="M19" i="9"/>
  <c r="C15" i="9"/>
  <c r="P14" i="9" l="1"/>
  <c r="D15" i="9"/>
  <c r="H16" i="9"/>
  <c r="P15" i="9" l="1"/>
  <c r="M20" i="9"/>
  <c r="N20" i="9"/>
  <c r="C16" i="9"/>
  <c r="H17" i="9" l="1"/>
  <c r="L17" i="9" l="1"/>
  <c r="I17" i="9"/>
  <c r="J17" i="9" l="1"/>
  <c r="P16" i="9"/>
  <c r="N21" i="9"/>
  <c r="M21" i="9"/>
  <c r="C17" i="9"/>
  <c r="D17" i="9" l="1"/>
  <c r="H18" i="9" l="1"/>
  <c r="K17" i="9"/>
  <c r="O17" i="9" s="1"/>
  <c r="I18" i="9"/>
  <c r="L18" i="9"/>
  <c r="J18" i="9" l="1"/>
  <c r="P17" i="9"/>
  <c r="N22" i="9"/>
  <c r="M22" i="9"/>
  <c r="C18" i="9"/>
  <c r="D18" i="9" l="1"/>
  <c r="H19" i="9"/>
  <c r="K18" i="9" l="1"/>
  <c r="O18" i="9" s="1"/>
  <c r="I19" i="9"/>
  <c r="L19" i="9"/>
  <c r="J19" i="9" l="1"/>
  <c r="P18" i="9"/>
  <c r="C19" i="9"/>
  <c r="N23" i="9"/>
  <c r="M23" i="9"/>
  <c r="D19" i="9" l="1"/>
  <c r="H20" i="9"/>
  <c r="L20" i="9"/>
  <c r="N24" i="9" s="1"/>
  <c r="I20" i="9"/>
  <c r="K19" i="9" l="1"/>
  <c r="O19" i="9" s="1"/>
  <c r="J20" i="9"/>
  <c r="D20" i="9" s="1"/>
  <c r="M24" i="9"/>
  <c r="C20" i="9"/>
  <c r="K20" i="9" l="1"/>
  <c r="O20" i="9" s="1"/>
  <c r="P19" i="9"/>
  <c r="P20" i="9" l="1"/>
  <c r="L21" i="9"/>
  <c r="M25" i="9" s="1"/>
  <c r="H21" i="9"/>
  <c r="I21" i="9"/>
  <c r="C21" i="9" l="1"/>
  <c r="N25" i="9"/>
  <c r="J21" i="9"/>
  <c r="D21" i="9" l="1"/>
  <c r="I22" i="9"/>
  <c r="K21" i="9" l="1"/>
  <c r="O21" i="9" s="1"/>
  <c r="L22" i="9"/>
  <c r="M26" i="9" s="1"/>
  <c r="H22" i="9"/>
  <c r="N26" i="9" l="1"/>
  <c r="P21" i="9"/>
  <c r="C22" i="9"/>
  <c r="J22" i="9"/>
  <c r="D22" i="9" l="1"/>
  <c r="H23" i="9"/>
  <c r="K22" i="9" l="1"/>
  <c r="O22" i="9" s="1"/>
  <c r="L23" i="9"/>
  <c r="C23" i="9" s="1"/>
  <c r="I23" i="9"/>
  <c r="M27" i="9" l="1"/>
  <c r="N27" i="9"/>
  <c r="J23" i="9"/>
  <c r="D23" i="9" s="1"/>
  <c r="P22" i="9"/>
  <c r="K23" i="9" l="1"/>
  <c r="O23" i="9" s="1"/>
  <c r="H24" i="9"/>
  <c r="P23" i="9" l="1"/>
  <c r="L24" i="9"/>
  <c r="I24" i="9"/>
  <c r="J24" i="9" l="1"/>
  <c r="D24" i="9" s="1"/>
  <c r="C24" i="9"/>
  <c r="N28" i="9"/>
  <c r="M28" i="9"/>
  <c r="K24" i="9" l="1"/>
  <c r="O24" i="9" s="1"/>
  <c r="H25" i="9"/>
  <c r="P24" i="9" l="1"/>
  <c r="I25" i="9"/>
  <c r="L25" i="9"/>
  <c r="J25" i="9" l="1"/>
  <c r="N29" i="9"/>
  <c r="M29" i="9"/>
  <c r="C25" i="9"/>
  <c r="D25" i="9" l="1"/>
  <c r="K25" i="9" l="1"/>
  <c r="O25" i="9" s="1"/>
  <c r="H26" i="9"/>
  <c r="I26" i="9"/>
  <c r="L26" i="9"/>
  <c r="C26" i="9" s="1"/>
  <c r="P25" i="9" l="1"/>
  <c r="J26" i="9"/>
  <c r="M30" i="9"/>
  <c r="N30" i="9"/>
  <c r="D26" i="9" l="1"/>
  <c r="L27" i="9"/>
  <c r="C27" i="9" s="1"/>
  <c r="H27" i="9"/>
  <c r="I27" i="9"/>
  <c r="M31" i="9"/>
  <c r="K26" i="9" l="1"/>
  <c r="O26" i="9" s="1"/>
  <c r="N31" i="9"/>
  <c r="J27" i="9"/>
  <c r="P26" i="9" l="1"/>
  <c r="D27" i="9"/>
  <c r="H28" i="9"/>
  <c r="I28" i="9"/>
  <c r="L28" i="9"/>
  <c r="M32" i="9" s="1"/>
  <c r="K27" i="9" l="1"/>
  <c r="O27" i="9" s="1"/>
  <c r="J28" i="9"/>
  <c r="C28" i="9"/>
  <c r="N32" i="9"/>
  <c r="D28" i="9" l="1"/>
  <c r="P27" i="9"/>
  <c r="H29" i="9"/>
  <c r="I29" i="9"/>
  <c r="L29" i="9"/>
  <c r="C29" i="9" s="1"/>
  <c r="K28" i="9" l="1"/>
  <c r="O28" i="9" s="1"/>
  <c r="J29" i="9"/>
  <c r="N33" i="9"/>
  <c r="M33" i="9"/>
  <c r="D29" i="9" l="1"/>
  <c r="P28" i="9"/>
  <c r="H30" i="9"/>
  <c r="K29" i="9" l="1"/>
  <c r="O29" i="9" s="1"/>
  <c r="L30" i="9"/>
  <c r="M34" i="9" s="1"/>
  <c r="I30" i="9"/>
  <c r="J30" i="9" l="1"/>
  <c r="P29" i="9"/>
  <c r="N34" i="9"/>
  <c r="C30" i="9"/>
  <c r="D30" i="9" l="1"/>
  <c r="L31" i="9"/>
  <c r="M35" i="9" s="1"/>
  <c r="H31" i="9"/>
  <c r="I31" i="9"/>
  <c r="K30" i="9" l="1"/>
  <c r="O30" i="9" s="1"/>
  <c r="J31" i="9"/>
  <c r="C31" i="9"/>
  <c r="N35" i="9"/>
  <c r="P30" i="9" l="1"/>
  <c r="D31" i="9"/>
  <c r="K31" i="9" l="1"/>
  <c r="O31" i="9" s="1"/>
  <c r="I32" i="9"/>
  <c r="H32" i="9"/>
  <c r="L32" i="9"/>
  <c r="C32" i="9" s="1"/>
  <c r="P31" i="9" l="1"/>
  <c r="J32" i="9"/>
  <c r="N36" i="9"/>
  <c r="M36" i="9"/>
  <c r="D32" i="9" l="1"/>
  <c r="H33" i="9"/>
  <c r="I33" i="9"/>
  <c r="L33" i="9"/>
  <c r="K32" i="9" l="1"/>
  <c r="O32" i="9" s="1"/>
  <c r="J33" i="9"/>
  <c r="N37" i="9"/>
  <c r="C33" i="9"/>
  <c r="M37" i="9"/>
  <c r="D33" i="9" l="1"/>
  <c r="P32" i="9"/>
  <c r="H34" i="9"/>
  <c r="I34" i="9"/>
  <c r="L34" i="9"/>
  <c r="N38" i="9" s="1"/>
  <c r="K33" i="9" l="1"/>
  <c r="O33" i="9" s="1"/>
  <c r="J34" i="9"/>
  <c r="D34" i="9" s="1"/>
  <c r="C34" i="9"/>
  <c r="M38" i="9"/>
  <c r="K34" i="9" l="1"/>
  <c r="O34" i="9" s="1"/>
  <c r="P33" i="9"/>
  <c r="L35" i="9"/>
  <c r="N39" i="9" s="1"/>
  <c r="H35" i="9"/>
  <c r="I35" i="9"/>
  <c r="C35" i="9" l="1"/>
  <c r="P34" i="9"/>
  <c r="M39" i="9"/>
  <c r="J35" i="9"/>
  <c r="D35" i="9" l="1"/>
  <c r="L36" i="9"/>
  <c r="M40" i="9" s="1"/>
  <c r="I36" i="9"/>
  <c r="H36" i="9"/>
  <c r="K35" i="9" l="1"/>
  <c r="O35" i="9" s="1"/>
  <c r="J36" i="9"/>
  <c r="D36" i="9" s="1"/>
  <c r="N40" i="9"/>
  <c r="C36" i="9"/>
  <c r="K36" i="9" l="1"/>
  <c r="O36" i="9" s="1"/>
  <c r="P36" i="9"/>
  <c r="P35" i="9"/>
  <c r="H37" i="9"/>
  <c r="L37" i="9"/>
  <c r="C37" i="9" s="1"/>
  <c r="I37" i="9"/>
  <c r="J37" i="9" l="1"/>
  <c r="D37" i="9" s="1"/>
  <c r="N41" i="9"/>
  <c r="M41" i="9"/>
  <c r="K37" i="9" l="1"/>
  <c r="O37" i="9" s="1"/>
  <c r="L38" i="9"/>
  <c r="C38" i="9" s="1"/>
  <c r="I38" i="9"/>
  <c r="H38" i="9"/>
  <c r="J38" i="9" l="1"/>
  <c r="D38" i="9" s="1"/>
  <c r="P37" i="9"/>
  <c r="H39" i="9"/>
  <c r="M42" i="9"/>
  <c r="N42" i="9"/>
  <c r="K38" i="9" l="1"/>
  <c r="O38" i="9" s="1"/>
  <c r="P38" i="9"/>
  <c r="L39" i="9"/>
  <c r="C39" i="9" s="1"/>
  <c r="I39" i="9"/>
  <c r="N43" i="9" l="1"/>
  <c r="M43" i="9"/>
  <c r="J39" i="9"/>
  <c r="D39" i="9" l="1"/>
  <c r="H40" i="9"/>
  <c r="I40" i="9"/>
  <c r="L40" i="9"/>
  <c r="K39" i="9" l="1"/>
  <c r="O39" i="9" s="1"/>
  <c r="J40" i="9"/>
  <c r="N44" i="9"/>
  <c r="M44" i="9"/>
  <c r="C40" i="9"/>
  <c r="D40" i="9" l="1"/>
  <c r="P39" i="9"/>
  <c r="K40" i="9" l="1"/>
  <c r="O40" i="9" s="1"/>
  <c r="H41" i="9"/>
  <c r="L41" i="9"/>
  <c r="N45" i="9" s="1"/>
  <c r="I41" i="9"/>
  <c r="P40" i="9" l="1"/>
  <c r="J41" i="9"/>
  <c r="C41" i="9"/>
  <c r="M45" i="9"/>
  <c r="D41" i="9" l="1"/>
  <c r="K41" i="9" l="1"/>
  <c r="O41" i="9" s="1"/>
  <c r="H42" i="9"/>
  <c r="I42" i="9"/>
  <c r="P41" i="9" l="1"/>
  <c r="L42" i="9"/>
  <c r="C42" i="9" s="1"/>
  <c r="J42" i="9"/>
  <c r="D42" i="9" l="1"/>
  <c r="N46" i="9"/>
  <c r="M46" i="9"/>
  <c r="K42" i="9" l="1"/>
  <c r="O42" i="9" s="1"/>
  <c r="H43" i="9"/>
  <c r="P42" i="9" l="1"/>
  <c r="L43" i="9"/>
  <c r="I43" i="9"/>
  <c r="J43" i="9" l="1"/>
  <c r="C43" i="9"/>
  <c r="N47" i="9"/>
  <c r="M47" i="9"/>
  <c r="D43" i="9" l="1"/>
  <c r="K43" i="9" l="1"/>
  <c r="O43" i="9" s="1"/>
  <c r="H44" i="9"/>
  <c r="P43" i="9" l="1"/>
  <c r="L44" i="9"/>
  <c r="C44" i="9" s="1"/>
  <c r="I44" i="9"/>
  <c r="J44" i="9" l="1"/>
  <c r="N48" i="9"/>
  <c r="M48" i="9"/>
  <c r="D44" i="9" l="1"/>
  <c r="H45" i="9"/>
  <c r="K44" i="9" l="1"/>
  <c r="O44" i="9" s="1"/>
  <c r="L45" i="9"/>
  <c r="C45" i="9" s="1"/>
  <c r="I45" i="9"/>
  <c r="J45" i="9" l="1"/>
  <c r="P44" i="9"/>
  <c r="N49" i="9"/>
  <c r="M49" i="9"/>
  <c r="D45" i="9" l="1"/>
  <c r="H46" i="9"/>
  <c r="I46" i="9"/>
  <c r="L46" i="9"/>
  <c r="M50" i="9" s="1"/>
  <c r="K45" i="9" l="1"/>
  <c r="O45" i="9" s="1"/>
  <c r="J46" i="9"/>
  <c r="N50" i="9"/>
  <c r="C46" i="9"/>
  <c r="D46" i="9" l="1"/>
  <c r="P45" i="9"/>
  <c r="K46" i="9" l="1"/>
  <c r="O46" i="9" s="1"/>
  <c r="H47" i="9"/>
  <c r="P46" i="9" l="1"/>
  <c r="L47" i="9"/>
  <c r="I47" i="9"/>
  <c r="J47" i="9" l="1"/>
  <c r="N51" i="9"/>
  <c r="M51" i="9"/>
  <c r="C47" i="9"/>
  <c r="D47" i="9" l="1"/>
  <c r="K47" i="9" l="1"/>
  <c r="O47" i="9" s="1"/>
  <c r="H48" i="9"/>
  <c r="L48" i="9"/>
  <c r="C48" i="9" s="1"/>
  <c r="I48" i="9"/>
  <c r="P47" i="9" l="1"/>
  <c r="J48" i="9"/>
  <c r="D48" i="9" s="1"/>
  <c r="M52" i="9"/>
  <c r="N52" i="9"/>
  <c r="K48" i="9" l="1"/>
  <c r="O48" i="9" s="1"/>
  <c r="L49" i="9"/>
  <c r="N53" i="9" s="1"/>
  <c r="H49" i="9"/>
  <c r="I49" i="9"/>
  <c r="C49" i="9" l="1"/>
  <c r="P48" i="9"/>
  <c r="J49" i="9"/>
  <c r="M53" i="9"/>
  <c r="D49" i="9" l="1"/>
  <c r="H50" i="9"/>
  <c r="K49" i="9" l="1"/>
  <c r="O49" i="9" s="1"/>
  <c r="I50" i="9"/>
  <c r="L50" i="9"/>
  <c r="C50" i="9" s="1"/>
  <c r="J50" i="9" l="1"/>
  <c r="D50" i="9" s="1"/>
  <c r="P49" i="9"/>
  <c r="M54" i="9"/>
  <c r="N54" i="9"/>
  <c r="H51" i="9" l="1"/>
  <c r="K50" i="9"/>
  <c r="O50" i="9" s="1"/>
  <c r="L51" i="9"/>
  <c r="C51" i="9" s="1"/>
  <c r="I51" i="9"/>
  <c r="J51" i="9" l="1"/>
  <c r="D51" i="9" s="1"/>
  <c r="P50" i="9"/>
  <c r="N55" i="9"/>
  <c r="M55" i="9"/>
  <c r="K51" i="9" l="1"/>
  <c r="O51" i="9" s="1"/>
  <c r="H52" i="9"/>
  <c r="P51" i="9" l="1"/>
  <c r="L52" i="9"/>
  <c r="I52" i="9"/>
  <c r="J52" i="9" l="1"/>
  <c r="D52" i="9" s="1"/>
  <c r="C52" i="9"/>
  <c r="N56" i="9"/>
  <c r="M56" i="9"/>
  <c r="K52" i="9" l="1"/>
  <c r="O52" i="9" s="1"/>
  <c r="P52" i="9"/>
  <c r="L53" i="9"/>
  <c r="M57" i="9" l="1"/>
  <c r="N57" i="9"/>
  <c r="C53" i="9"/>
  <c r="I53" i="9"/>
  <c r="H53" i="9"/>
  <c r="J53" i="9" s="1"/>
  <c r="D53" i="9" l="1"/>
  <c r="K53" i="9" l="1"/>
  <c r="O53" i="9" s="1"/>
  <c r="H54" i="9"/>
  <c r="I54" i="9"/>
  <c r="L54" i="9"/>
  <c r="P53" i="9" l="1"/>
  <c r="J54" i="9"/>
  <c r="N58" i="9"/>
  <c r="M58" i="9"/>
  <c r="C54" i="9"/>
  <c r="D54" i="9" l="1"/>
  <c r="K54" i="9" l="1"/>
  <c r="O54" i="9" s="1"/>
  <c r="H55" i="9"/>
  <c r="I55" i="9"/>
  <c r="L55" i="9"/>
  <c r="P54" i="9" l="1"/>
  <c r="J55" i="9"/>
  <c r="D55" i="9" s="1"/>
  <c r="N59" i="9"/>
  <c r="M59" i="9"/>
  <c r="C55" i="9"/>
  <c r="K55" i="9" l="1"/>
  <c r="O55" i="9" s="1"/>
  <c r="P55" i="9"/>
  <c r="H56" i="9"/>
  <c r="I56" i="9"/>
  <c r="L56" i="9"/>
  <c r="J56" i="9" l="1"/>
  <c r="D56" i="9" s="1"/>
  <c r="C56" i="9"/>
  <c r="N60" i="9"/>
  <c r="M60" i="9"/>
  <c r="K56" i="9" l="1"/>
  <c r="O56" i="9" s="1"/>
  <c r="P56" i="9"/>
  <c r="H57" i="9" l="1"/>
  <c r="L57" i="9"/>
  <c r="I57" i="9"/>
  <c r="J57" i="9" l="1"/>
  <c r="D57" i="9" s="1"/>
  <c r="C57" i="9"/>
  <c r="N61" i="9"/>
  <c r="M61" i="9"/>
  <c r="K57" i="9" l="1"/>
  <c r="O57" i="9" s="1"/>
  <c r="P57" i="9"/>
  <c r="H58" i="9"/>
  <c r="L58" i="9" l="1"/>
  <c r="N62" i="9" s="1"/>
  <c r="I58" i="9"/>
  <c r="C58" i="9"/>
  <c r="M62" i="9" l="1"/>
  <c r="J58" i="9"/>
  <c r="D58" i="9" s="1"/>
  <c r="K58" i="9" l="1"/>
  <c r="O58" i="9" s="1"/>
  <c r="P58" i="9"/>
  <c r="H59" i="9"/>
  <c r="L59" i="9" l="1"/>
  <c r="I59" i="9"/>
  <c r="J59" i="9" l="1"/>
  <c r="D59" i="9" s="1"/>
  <c r="C59" i="9"/>
  <c r="N63" i="9"/>
  <c r="M63" i="9"/>
  <c r="K59" i="9" l="1"/>
  <c r="O59" i="9" s="1"/>
  <c r="P59" i="9"/>
  <c r="I60" i="9" l="1"/>
  <c r="H60" i="9"/>
  <c r="J60" i="9" s="1"/>
  <c r="D60" i="9" s="1"/>
  <c r="L60" i="9"/>
  <c r="N64" i="9" s="1"/>
  <c r="K60" i="9" l="1"/>
  <c r="O60" i="9"/>
  <c r="P60" i="9"/>
  <c r="C60" i="9"/>
  <c r="M64" i="9"/>
  <c r="H61" i="9" l="1"/>
  <c r="I61" i="9" l="1"/>
  <c r="L61" i="9"/>
  <c r="J61" i="9" l="1"/>
  <c r="D61" i="9" s="1"/>
  <c r="C61" i="9"/>
  <c r="N65" i="9"/>
  <c r="M65" i="9"/>
  <c r="K61" i="9" l="1"/>
  <c r="O61" i="9" s="1"/>
  <c r="P61" i="9" s="1"/>
  <c r="L62" i="9" l="1"/>
  <c r="I62" i="9" l="1"/>
  <c r="H62" i="9"/>
  <c r="N66" i="9"/>
  <c r="C62" i="9"/>
  <c r="M66" i="9"/>
  <c r="J62" i="9" l="1"/>
  <c r="D62" i="9" s="1"/>
  <c r="K62" i="9" l="1"/>
  <c r="O62" i="9" s="1"/>
  <c r="P62" i="9"/>
  <c r="I63" i="9"/>
  <c r="H63" i="9"/>
  <c r="J63" i="9" s="1"/>
  <c r="D63" i="9" s="1"/>
  <c r="L63" i="9"/>
  <c r="N67" i="9" s="1"/>
  <c r="K63" i="9" l="1"/>
  <c r="O63" i="9" s="1"/>
  <c r="P63" i="9" s="1"/>
  <c r="C63" i="9"/>
  <c r="M67" i="9"/>
  <c r="H64" i="9" l="1"/>
  <c r="L64" i="9" l="1"/>
  <c r="I64" i="9"/>
  <c r="C64" i="9"/>
  <c r="J64" i="9" l="1"/>
  <c r="D64" i="9" s="1"/>
  <c r="N68" i="9"/>
  <c r="M68" i="9"/>
  <c r="K64" i="9" l="1"/>
  <c r="O64" i="9" s="1"/>
  <c r="P64" i="9" s="1"/>
  <c r="H65" i="9" l="1"/>
  <c r="I65" i="9" l="1"/>
  <c r="L65" i="9"/>
  <c r="C65" i="9" s="1"/>
  <c r="J65" i="9" l="1"/>
  <c r="D65" i="9" s="1"/>
  <c r="M69" i="9"/>
  <c r="N69" i="9"/>
  <c r="K65" i="9" l="1"/>
  <c r="O65" i="9" s="1"/>
  <c r="P65" i="9"/>
  <c r="H66" i="9" l="1"/>
  <c r="L66" i="9" l="1"/>
  <c r="I66" i="9"/>
  <c r="J66" i="9" l="1"/>
  <c r="D66" i="9" s="1"/>
  <c r="C66" i="9"/>
  <c r="M70" i="9"/>
  <c r="N70" i="9"/>
  <c r="K66" i="9" l="1"/>
  <c r="O66" i="9" s="1"/>
  <c r="P66" i="9"/>
  <c r="I67" i="9" l="1"/>
  <c r="H67" i="9"/>
  <c r="L67" i="9"/>
  <c r="M71" i="9" s="1"/>
  <c r="J67" i="9" l="1"/>
  <c r="D67" i="9" s="1"/>
  <c r="C67" i="9"/>
  <c r="N71" i="9"/>
  <c r="K67" i="9" l="1"/>
  <c r="O67" i="9" s="1"/>
  <c r="P67" i="9"/>
  <c r="I68" i="9"/>
  <c r="H68" i="9"/>
  <c r="L68" i="9"/>
  <c r="J68" i="9" l="1"/>
  <c r="D68" i="9" s="1"/>
  <c r="M72" i="9"/>
  <c r="N72" i="9"/>
  <c r="C68" i="9"/>
  <c r="K68" i="9" l="1"/>
  <c r="O68" i="9" s="1"/>
  <c r="P68" i="9" s="1"/>
  <c r="I69" i="9"/>
  <c r="H69" i="9"/>
  <c r="L69" i="9"/>
  <c r="C69" i="9" s="1"/>
  <c r="J69" i="9" l="1"/>
  <c r="D69" i="9" s="1"/>
  <c r="M73" i="9"/>
  <c r="N73" i="9"/>
  <c r="H70" i="9"/>
  <c r="K69" i="9" l="1"/>
  <c r="O69" i="9" s="1"/>
  <c r="P69" i="9" s="1"/>
  <c r="I70" i="9"/>
  <c r="L70" i="9"/>
  <c r="C70" i="9" s="1"/>
  <c r="J70" i="9" l="1"/>
  <c r="D70" i="9" s="1"/>
  <c r="M74" i="9"/>
  <c r="N74" i="9"/>
  <c r="K70" i="9" l="1"/>
  <c r="O70" i="9" s="1"/>
  <c r="P70" i="9" s="1"/>
  <c r="H71" i="9" l="1"/>
  <c r="I71" i="9" l="1"/>
  <c r="L71" i="9"/>
  <c r="C71" i="9" s="1"/>
  <c r="J71" i="9" l="1"/>
  <c r="D71" i="9" s="1"/>
  <c r="N75" i="9"/>
  <c r="M75" i="9"/>
  <c r="K71" i="9" l="1"/>
  <c r="O71" i="9" s="1"/>
  <c r="P71" i="9"/>
  <c r="H72" i="9" l="1"/>
  <c r="I72" i="9" l="1"/>
  <c r="L72" i="9"/>
  <c r="C72" i="9" s="1"/>
  <c r="J72" i="9" l="1"/>
  <c r="D72" i="9" s="1"/>
  <c r="M76" i="9"/>
  <c r="N76" i="9"/>
  <c r="K72" i="9" l="1"/>
  <c r="O72" i="9" s="1"/>
  <c r="P72" i="9"/>
  <c r="H73" i="9" l="1"/>
  <c r="I73" i="9" l="1"/>
  <c r="L73" i="9"/>
  <c r="J73" i="9" l="1"/>
  <c r="D73" i="9" s="1"/>
  <c r="M77" i="9"/>
  <c r="N77" i="9"/>
  <c r="C73" i="9"/>
  <c r="K73" i="9" l="1"/>
  <c r="O73" i="9" s="1"/>
  <c r="P73" i="9"/>
  <c r="H74" i="9" l="1"/>
  <c r="I74" i="9" l="1"/>
  <c r="L74" i="9"/>
  <c r="J74" i="9" l="1"/>
  <c r="D74" i="9" s="1"/>
  <c r="N78" i="9"/>
  <c r="M78" i="9"/>
  <c r="C74" i="9"/>
  <c r="K74" i="9" l="1"/>
  <c r="O74" i="9" s="1"/>
  <c r="P74" i="9"/>
  <c r="H75" i="9"/>
  <c r="I75" i="9" l="1"/>
  <c r="L75" i="9"/>
  <c r="J75" i="9" l="1"/>
  <c r="D75" i="9" s="1"/>
  <c r="C75" i="9"/>
  <c r="M79" i="9"/>
  <c r="N79" i="9"/>
  <c r="K75" i="9" l="1"/>
  <c r="O75" i="9" s="1"/>
  <c r="P75" i="9"/>
  <c r="H76" i="9"/>
  <c r="L76" i="9" l="1"/>
  <c r="I76" i="9"/>
  <c r="J76" i="9" l="1"/>
  <c r="D76" i="9" s="1"/>
  <c r="C76" i="9"/>
  <c r="M80" i="9"/>
  <c r="N80" i="9"/>
  <c r="K76" i="9" l="1"/>
  <c r="O76" i="9" s="1"/>
  <c r="P76" i="9"/>
  <c r="I77" i="9" l="1"/>
  <c r="H77" i="9"/>
  <c r="J77" i="9" s="1"/>
  <c r="D77" i="9" s="1"/>
  <c r="L77" i="9"/>
  <c r="M81" i="9" s="1"/>
  <c r="K77" i="9" l="1"/>
  <c r="O77" i="9"/>
  <c r="P77" i="9"/>
  <c r="C77" i="9"/>
  <c r="N81" i="9"/>
  <c r="I78" i="9" l="1"/>
  <c r="H78" i="9"/>
  <c r="L78" i="9"/>
  <c r="J78" i="9" l="1"/>
  <c r="D78" i="9" s="1"/>
  <c r="N82" i="9"/>
  <c r="M82" i="9"/>
  <c r="C78" i="9"/>
  <c r="K78" i="9" l="1"/>
  <c r="O78" i="9" s="1"/>
  <c r="P78" i="9"/>
  <c r="H79" i="9"/>
  <c r="L79" i="9"/>
  <c r="I79" i="9"/>
  <c r="J79" i="9" l="1"/>
  <c r="D79" i="9" s="1"/>
  <c r="N83" i="9"/>
  <c r="M83" i="9"/>
  <c r="C79" i="9"/>
  <c r="K79" i="9" l="1"/>
  <c r="O79" i="9" s="1"/>
  <c r="P79" i="9" s="1"/>
  <c r="L80" i="9"/>
  <c r="C80" i="9" s="1"/>
  <c r="H80" i="9"/>
  <c r="I80" i="9"/>
  <c r="M84" i="9" l="1"/>
  <c r="N84" i="9"/>
  <c r="J80" i="9"/>
  <c r="D80" i="9" l="1"/>
  <c r="I81" i="9"/>
  <c r="H81" i="9"/>
  <c r="L81" i="9"/>
  <c r="K80" i="9" l="1"/>
  <c r="O80" i="9" s="1"/>
  <c r="P80" i="9"/>
  <c r="J81" i="9"/>
  <c r="D81" i="9" s="1"/>
  <c r="C81" i="9"/>
  <c r="N85" i="9"/>
  <c r="M85" i="9"/>
  <c r="K81" i="9" l="1"/>
  <c r="O81" i="9" s="1"/>
  <c r="H82" i="9"/>
  <c r="P81" i="9"/>
  <c r="I82" i="9"/>
  <c r="L82" i="9"/>
  <c r="J82" i="9" l="1"/>
  <c r="D82" i="9" s="1"/>
  <c r="N86" i="9"/>
  <c r="M86" i="9"/>
  <c r="C82" i="9"/>
  <c r="K82" i="9" l="1"/>
  <c r="O82" i="9" s="1"/>
  <c r="P82" i="9"/>
  <c r="H83" i="9" l="1"/>
  <c r="I83" i="9" l="1"/>
  <c r="L83" i="9"/>
  <c r="J83" i="9" l="1"/>
  <c r="D83" i="9" s="1"/>
  <c r="M87" i="9"/>
  <c r="N87" i="9"/>
  <c r="C83" i="9"/>
  <c r="K83" i="9" l="1"/>
  <c r="O83" i="9" s="1"/>
  <c r="P83" i="9"/>
  <c r="H84" i="9" l="1"/>
  <c r="I84" i="9" l="1"/>
  <c r="L84" i="9"/>
  <c r="C84" i="9" s="1"/>
  <c r="J84" i="9" l="1"/>
  <c r="D84" i="9" s="1"/>
  <c r="N88" i="9"/>
  <c r="M88" i="9"/>
  <c r="K84" i="9" l="1"/>
  <c r="O84" i="9" s="1"/>
  <c r="P84" i="9"/>
  <c r="H85" i="9"/>
  <c r="L85" i="9"/>
  <c r="I85" i="9"/>
  <c r="J85" i="9" l="1"/>
  <c r="D85" i="9" s="1"/>
  <c r="C85" i="9"/>
  <c r="N89" i="9"/>
  <c r="M89" i="9"/>
  <c r="K85" i="9" l="1"/>
  <c r="O85" i="9" s="1"/>
  <c r="P85" i="9" s="1"/>
  <c r="I86" i="9"/>
  <c r="H86" i="9"/>
  <c r="L86" i="9"/>
  <c r="J86" i="9" l="1"/>
  <c r="D86" i="9" s="1"/>
  <c r="C86" i="9"/>
  <c r="M90" i="9"/>
  <c r="N90" i="9"/>
  <c r="K86" i="9" l="1"/>
  <c r="O86" i="9" s="1"/>
  <c r="P86" i="9" s="1"/>
  <c r="I87" i="9"/>
  <c r="H87" i="9"/>
  <c r="L87" i="9"/>
  <c r="C87" i="9" s="1"/>
  <c r="J87" i="9" l="1"/>
  <c r="D87" i="9" s="1"/>
  <c r="N91" i="9"/>
  <c r="M91" i="9"/>
  <c r="K87" i="9" l="1"/>
  <c r="O87" i="9" s="1"/>
  <c r="P87" i="9"/>
  <c r="H88" i="9"/>
  <c r="I88" i="9" l="1"/>
  <c r="L88" i="9"/>
  <c r="C88" i="9" s="1"/>
  <c r="J88" i="9" l="1"/>
  <c r="D88" i="9" s="1"/>
  <c r="N92" i="9"/>
  <c r="M92" i="9"/>
  <c r="K88" i="9" l="1"/>
  <c r="O88" i="9" s="1"/>
  <c r="P88" i="9"/>
  <c r="H89" i="9"/>
  <c r="I89" i="9"/>
  <c r="L89" i="9"/>
  <c r="N93" i="9" s="1"/>
  <c r="J89" i="9" l="1"/>
  <c r="D89" i="9" s="1"/>
  <c r="M93" i="9"/>
  <c r="C89" i="9"/>
  <c r="K89" i="9" l="1"/>
  <c r="O89" i="9" s="1"/>
  <c r="P89" i="9"/>
  <c r="H90" i="9"/>
  <c r="I90" i="9"/>
  <c r="L90" i="9"/>
  <c r="C90" i="9" s="1"/>
  <c r="J90" i="9" l="1"/>
  <c r="M94" i="9"/>
  <c r="N94" i="9"/>
  <c r="D90" i="9" l="1"/>
  <c r="L91" i="9"/>
  <c r="C91" i="9" s="1"/>
  <c r="I91" i="9"/>
  <c r="K90" i="9" l="1"/>
  <c r="O90" i="9" s="1"/>
  <c r="H91" i="9"/>
  <c r="J91" i="9" s="1"/>
  <c r="P90" i="9"/>
  <c r="N95" i="9"/>
  <c r="M95" i="9"/>
  <c r="D91" i="9" l="1"/>
  <c r="L92" i="9"/>
  <c r="C92" i="9" s="1"/>
  <c r="I92" i="9" l="1"/>
  <c r="K91" i="9"/>
  <c r="O91" i="9" s="1"/>
  <c r="H92" i="9"/>
  <c r="P91" i="9"/>
  <c r="J92" i="9"/>
  <c r="D92" i="9" s="1"/>
  <c r="N96" i="9"/>
  <c r="M96" i="9"/>
  <c r="K92" i="9" l="1"/>
  <c r="O92" i="9"/>
  <c r="P92" i="9"/>
  <c r="H93" i="9"/>
  <c r="I93" i="9" l="1"/>
  <c r="L93" i="9"/>
  <c r="C93" i="9" s="1"/>
  <c r="J93" i="9" l="1"/>
  <c r="D93" i="9" s="1"/>
  <c r="N97" i="9"/>
  <c r="M97" i="9"/>
  <c r="K93" i="9" l="1"/>
  <c r="O93" i="9" s="1"/>
  <c r="P93" i="9"/>
  <c r="H94" i="9"/>
  <c r="L94" i="9" l="1"/>
  <c r="C94" i="9" s="1"/>
  <c r="I94" i="9"/>
  <c r="J94" i="9" l="1"/>
  <c r="D94" i="9" s="1"/>
  <c r="N98" i="9"/>
  <c r="M98" i="9"/>
  <c r="K94" i="9" l="1"/>
  <c r="O94" i="9" s="1"/>
  <c r="P94" i="9"/>
  <c r="H95" i="9"/>
  <c r="L95" i="9" l="1"/>
  <c r="C95" i="9" s="1"/>
  <c r="I95" i="9"/>
  <c r="J95" i="9" l="1"/>
  <c r="D95" i="9" s="1"/>
  <c r="N99" i="9"/>
  <c r="M99" i="9"/>
  <c r="K95" i="9" l="1"/>
  <c r="O95" i="9" s="1"/>
  <c r="P95" i="9"/>
  <c r="L96" i="9"/>
  <c r="C96" i="9" s="1"/>
  <c r="H96" i="9"/>
  <c r="I96" i="9"/>
  <c r="M100" i="9" l="1"/>
  <c r="N100" i="9"/>
  <c r="J96" i="9"/>
  <c r="D96" i="9" s="1"/>
  <c r="K96" i="9" l="1"/>
  <c r="O96" i="9" s="1"/>
  <c r="P96" i="9"/>
  <c r="H97" i="9"/>
  <c r="I97" i="9" l="1"/>
  <c r="L97" i="9"/>
  <c r="C97" i="9" s="1"/>
  <c r="J97" i="9" l="1"/>
  <c r="D97" i="9" s="1"/>
  <c r="N101" i="9"/>
  <c r="M101" i="9"/>
  <c r="K97" i="9" l="1"/>
  <c r="O97" i="9" s="1"/>
  <c r="P97" i="9"/>
  <c r="H98" i="9"/>
  <c r="L98" i="9" l="1"/>
  <c r="I98" i="9"/>
  <c r="J98" i="9" l="1"/>
  <c r="D98" i="9" s="1"/>
  <c r="C98" i="9"/>
  <c r="M102" i="9"/>
  <c r="N102" i="9"/>
  <c r="K98" i="9" l="1"/>
  <c r="O98" i="9" s="1"/>
  <c r="P98" i="9"/>
  <c r="H99" i="9"/>
  <c r="L99" i="9" l="1"/>
  <c r="C99" i="9" s="1"/>
  <c r="I99" i="9"/>
  <c r="J99" i="9" l="1"/>
  <c r="D99" i="9" s="1"/>
  <c r="N103" i="9"/>
  <c r="M103" i="9"/>
  <c r="K99" i="9" l="1"/>
  <c r="O99" i="9" s="1"/>
  <c r="P99" i="9"/>
  <c r="H100" i="9"/>
  <c r="L100" i="9" l="1"/>
  <c r="I100" i="9"/>
  <c r="J100" i="9" l="1"/>
  <c r="D100" i="9" s="1"/>
  <c r="C100" i="9"/>
  <c r="M104" i="9"/>
  <c r="N104" i="9"/>
  <c r="K100" i="9" l="1"/>
  <c r="O100" i="9" s="1"/>
  <c r="P100" i="9"/>
  <c r="H101" i="9"/>
  <c r="I101" i="9" l="1"/>
  <c r="L101" i="9"/>
  <c r="J101" i="9" l="1"/>
  <c r="D101" i="9" s="1"/>
  <c r="M105" i="9"/>
  <c r="N105" i="9"/>
  <c r="C101" i="9"/>
  <c r="K101" i="9" l="1"/>
  <c r="O101" i="9" s="1"/>
  <c r="P101" i="9"/>
  <c r="H102" i="9"/>
  <c r="L102" i="9" l="1"/>
  <c r="I102" i="9"/>
  <c r="J102" i="9" l="1"/>
  <c r="D102" i="9" s="1"/>
  <c r="M106" i="9"/>
  <c r="N106" i="9"/>
  <c r="C102" i="9"/>
  <c r="K102" i="9" l="1"/>
  <c r="O102" i="9" s="1"/>
  <c r="P102" i="9"/>
  <c r="L103" i="9" l="1"/>
  <c r="H103" i="9" l="1"/>
  <c r="I103" i="9"/>
  <c r="C103" i="9"/>
  <c r="M107" i="9"/>
  <c r="N107" i="9"/>
  <c r="J103" i="9" l="1"/>
  <c r="D103" i="9" s="1"/>
  <c r="K103" i="9" l="1"/>
  <c r="O103" i="9" s="1"/>
  <c r="P103" i="9"/>
  <c r="H104" i="9"/>
  <c r="I104" i="9" l="1"/>
  <c r="L104" i="9"/>
  <c r="J104" i="9" l="1"/>
  <c r="D104" i="9" s="1"/>
  <c r="C104" i="9"/>
  <c r="N108" i="9"/>
  <c r="M108" i="9"/>
  <c r="K104" i="9" l="1"/>
  <c r="O104" i="9" s="1"/>
  <c r="P104" i="9"/>
  <c r="H105" i="9"/>
  <c r="I105" i="9" l="1"/>
  <c r="L105" i="9"/>
  <c r="J105" i="9" l="1"/>
  <c r="D105" i="9" s="1"/>
  <c r="N109" i="9"/>
  <c r="M109" i="9"/>
  <c r="C105" i="9"/>
  <c r="K105" i="9" l="1"/>
  <c r="O105" i="9" s="1"/>
  <c r="P105" i="9"/>
  <c r="H106" i="9" l="1"/>
  <c r="L106" i="9" l="1"/>
  <c r="I106" i="9"/>
  <c r="J106" i="9" l="1"/>
  <c r="D106" i="9" s="1"/>
  <c r="N110" i="9"/>
  <c r="M110" i="9"/>
  <c r="C106" i="9"/>
  <c r="K106" i="9" l="1"/>
  <c r="O106" i="9" s="1"/>
  <c r="P106" i="9"/>
  <c r="H107" i="9" l="1"/>
  <c r="I107" i="9" l="1"/>
  <c r="L107" i="9"/>
  <c r="J107" i="9" l="1"/>
  <c r="D107" i="9" s="1"/>
  <c r="C107" i="9"/>
  <c r="N111" i="9"/>
  <c r="M111" i="9"/>
  <c r="K107" i="9" l="1"/>
  <c r="O107" i="9" s="1"/>
  <c r="P107" i="9"/>
  <c r="H108" i="9" l="1"/>
  <c r="I108" i="9" l="1"/>
  <c r="L108" i="9"/>
  <c r="J108" i="9" l="1"/>
  <c r="D108" i="9" s="1"/>
  <c r="N112" i="9"/>
  <c r="M112" i="9"/>
  <c r="C108" i="9"/>
  <c r="K108" i="9" l="1"/>
  <c r="O108" i="9" s="1"/>
  <c r="P108" i="9"/>
  <c r="H109" i="9"/>
  <c r="L109" i="9" l="1"/>
  <c r="C109" i="9" s="1"/>
  <c r="I109" i="9"/>
  <c r="J109" i="9" l="1"/>
  <c r="D109" i="9" s="1"/>
  <c r="M113" i="9"/>
  <c r="N113" i="9"/>
  <c r="K109" i="9" l="1"/>
  <c r="O109" i="9" s="1"/>
  <c r="P109" i="9"/>
  <c r="H110" i="9"/>
  <c r="I110" i="9" l="1"/>
  <c r="L110" i="9"/>
  <c r="J110" i="9" l="1"/>
  <c r="D110" i="9" s="1"/>
  <c r="C110" i="9"/>
  <c r="M114" i="9"/>
  <c r="N114" i="9"/>
  <c r="K110" i="9" l="1"/>
  <c r="O110" i="9" s="1"/>
  <c r="P110" i="9"/>
  <c r="H111" i="9"/>
  <c r="I111" i="9"/>
  <c r="L111" i="9"/>
  <c r="J111" i="9" l="1"/>
  <c r="D111" i="9" s="1"/>
  <c r="C111" i="9"/>
  <c r="M115" i="9"/>
  <c r="N115" i="9"/>
  <c r="K111" i="9" l="1"/>
  <c r="O111" i="9" s="1"/>
  <c r="P111" i="9"/>
  <c r="H112" i="9" l="1"/>
  <c r="L112" i="9" l="1"/>
  <c r="C112" i="9" s="1"/>
  <c r="I112" i="9"/>
  <c r="J112" i="9" l="1"/>
  <c r="D112" i="9" s="1"/>
  <c r="N116" i="9"/>
  <c r="M116" i="9"/>
  <c r="K112" i="9" l="1"/>
  <c r="O112" i="9" s="1"/>
  <c r="P112" i="9"/>
  <c r="L113" i="9"/>
  <c r="C113" i="9" s="1"/>
  <c r="H113" i="9"/>
  <c r="I113" i="9"/>
  <c r="N117" i="9" l="1"/>
  <c r="M117" i="9"/>
  <c r="J113" i="9"/>
  <c r="D113" i="9" s="1"/>
  <c r="K113" i="9" l="1"/>
  <c r="O113" i="9" s="1"/>
  <c r="P113" i="9" s="1"/>
  <c r="I114" i="9"/>
  <c r="H114" i="9"/>
  <c r="J114" i="9" s="1"/>
  <c r="D114" i="9" s="1"/>
  <c r="L114" i="9"/>
  <c r="K114" i="9" l="1"/>
  <c r="O114" i="9" s="1"/>
  <c r="P114" i="9" s="1"/>
  <c r="M118" i="9"/>
  <c r="N118" i="9"/>
  <c r="C114" i="9"/>
  <c r="L115" i="9" l="1"/>
  <c r="C115" i="9" s="1"/>
  <c r="H115" i="9"/>
  <c r="I115" i="9"/>
  <c r="M119" i="9" l="1"/>
  <c r="N119" i="9"/>
  <c r="J115" i="9"/>
  <c r="D115" i="9" s="1"/>
  <c r="K115" i="9" l="1"/>
  <c r="O115" i="9" s="1"/>
  <c r="P115" i="9"/>
  <c r="H116" i="9"/>
  <c r="I116" i="9" l="1"/>
  <c r="L116" i="9"/>
  <c r="J116" i="9" l="1"/>
  <c r="D116" i="9" s="1"/>
  <c r="M120" i="9"/>
  <c r="N120" i="9"/>
  <c r="C116" i="9"/>
  <c r="K116" i="9" l="1"/>
  <c r="O116" i="9" s="1"/>
  <c r="P116" i="9"/>
  <c r="H117" i="9" l="1"/>
  <c r="I117" i="9" l="1"/>
  <c r="L117" i="9"/>
  <c r="J117" i="9" l="1"/>
  <c r="D117" i="9" s="1"/>
  <c r="C117" i="9"/>
  <c r="M121" i="9"/>
  <c r="N121" i="9"/>
  <c r="K117" i="9" l="1"/>
  <c r="O117" i="9" s="1"/>
  <c r="P117" i="9"/>
  <c r="H118" i="9"/>
  <c r="I118" i="9" l="1"/>
  <c r="L118" i="9"/>
  <c r="J118" i="9" l="1"/>
  <c r="D118" i="9" s="1"/>
  <c r="C118" i="9"/>
  <c r="N122" i="9"/>
  <c r="M122" i="9"/>
  <c r="K118" i="9" l="1"/>
  <c r="O118" i="9" s="1"/>
  <c r="P118" i="9"/>
  <c r="I119" i="9" l="1"/>
  <c r="H119" i="9"/>
  <c r="J119" i="9" s="1"/>
  <c r="D119" i="9" s="1"/>
  <c r="L119" i="9"/>
  <c r="C119" i="9" s="1"/>
  <c r="K119" i="9" l="1"/>
  <c r="O119" i="9"/>
  <c r="P119" i="9" s="1"/>
  <c r="N123" i="9"/>
  <c r="M123" i="9"/>
  <c r="H120" i="9" l="1"/>
  <c r="I120" i="9" l="1"/>
  <c r="L120" i="9"/>
  <c r="M124" i="9" s="1"/>
  <c r="J120" i="9" l="1"/>
  <c r="D120" i="9" s="1"/>
  <c r="N124" i="9"/>
  <c r="C120" i="9"/>
  <c r="K120" i="9" l="1"/>
  <c r="O120" i="9" s="1"/>
  <c r="P120" i="9"/>
  <c r="H121" i="9"/>
  <c r="L121" i="9" l="1"/>
  <c r="C121" i="9" s="1"/>
  <c r="I121" i="9"/>
  <c r="J121" i="9" l="1"/>
  <c r="D121" i="9" s="1"/>
  <c r="M125" i="9"/>
  <c r="N125" i="9"/>
  <c r="K121" i="9" l="1"/>
  <c r="O121" i="9" s="1"/>
  <c r="P121" i="9"/>
  <c r="L122" i="9"/>
  <c r="C122" i="9" s="1"/>
  <c r="H122" i="9"/>
  <c r="I122" i="9"/>
  <c r="M126" i="9" l="1"/>
  <c r="N126" i="9"/>
  <c r="J122" i="9"/>
  <c r="D122" i="9" s="1"/>
  <c r="K122" i="9" l="1"/>
  <c r="O122" i="9" s="1"/>
  <c r="P122" i="9"/>
  <c r="H123" i="9"/>
  <c r="L123" i="9" l="1"/>
  <c r="N127" i="9" s="1"/>
  <c r="I123" i="9"/>
  <c r="J123" i="9" l="1"/>
  <c r="D123" i="9" s="1"/>
  <c r="M127" i="9"/>
  <c r="C123" i="9"/>
  <c r="K123" i="9" l="1"/>
  <c r="O123" i="9" s="1"/>
  <c r="P123" i="9"/>
  <c r="H124" i="9"/>
  <c r="L124" i="9" l="1"/>
  <c r="C124" i="9" s="1"/>
  <c r="I124" i="9"/>
  <c r="J124" i="9" l="1"/>
  <c r="D124" i="9" s="1"/>
  <c r="N128" i="9"/>
  <c r="M128" i="9"/>
  <c r="K124" i="9" l="1"/>
  <c r="O124" i="9" s="1"/>
  <c r="P124" i="9"/>
  <c r="H125" i="9"/>
  <c r="L125" i="9" l="1"/>
  <c r="I125" i="9"/>
  <c r="J125" i="9" l="1"/>
  <c r="D125" i="9" s="1"/>
  <c r="C125" i="9"/>
  <c r="M129" i="9"/>
  <c r="N129" i="9"/>
  <c r="K125" i="9" l="1"/>
  <c r="O125" i="9" s="1"/>
  <c r="P125" i="9"/>
  <c r="H126" i="9"/>
  <c r="I126" i="9" l="1"/>
  <c r="L126" i="9"/>
  <c r="J126" i="9" l="1"/>
  <c r="D126" i="9" s="1"/>
  <c r="C126" i="9"/>
  <c r="N130" i="9"/>
  <c r="M130" i="9"/>
  <c r="K126" i="9" l="1"/>
  <c r="O126" i="9" s="1"/>
  <c r="P126" i="9"/>
  <c r="H127" i="9"/>
  <c r="I127" i="9" l="1"/>
  <c r="L127" i="9"/>
  <c r="J127" i="9" l="1"/>
  <c r="D127" i="9" s="1"/>
  <c r="C127" i="9"/>
  <c r="N131" i="9"/>
  <c r="M131" i="9"/>
  <c r="K127" i="9" l="1"/>
  <c r="O127" i="9" s="1"/>
  <c r="P127" i="9"/>
  <c r="L128" i="9" l="1"/>
  <c r="M132" i="9" s="1"/>
  <c r="H128" i="9"/>
  <c r="I128" i="9"/>
  <c r="J128" i="9" l="1"/>
  <c r="C128" i="9"/>
  <c r="N132" i="9"/>
  <c r="D128" i="9" l="1"/>
  <c r="H129" i="9"/>
  <c r="K128" i="9" l="1"/>
  <c r="O128" i="9" s="1"/>
  <c r="P128" i="9"/>
  <c r="I129" i="9"/>
  <c r="L129" i="9"/>
  <c r="J129" i="9" l="1"/>
  <c r="D129" i="9" s="1"/>
  <c r="C129" i="9"/>
  <c r="M133" i="9"/>
  <c r="N133" i="9"/>
  <c r="K129" i="9" l="1"/>
  <c r="O129" i="9" s="1"/>
  <c r="P129" i="9"/>
  <c r="H130" i="9"/>
  <c r="L130" i="9" l="1"/>
  <c r="I130" i="9"/>
  <c r="J130" i="9" l="1"/>
  <c r="D130" i="9" s="1"/>
  <c r="C130" i="9"/>
  <c r="M134" i="9"/>
  <c r="N134" i="9"/>
  <c r="K130" i="9" l="1"/>
  <c r="O130" i="9" s="1"/>
  <c r="P130" i="9"/>
  <c r="H131" i="9"/>
  <c r="I131" i="9" l="1"/>
  <c r="L131" i="9"/>
  <c r="J131" i="9" l="1"/>
  <c r="D131" i="9" s="1"/>
  <c r="M135" i="9"/>
  <c r="N135" i="9"/>
  <c r="C131" i="9"/>
  <c r="K131" i="9" l="1"/>
  <c r="O131" i="9" s="1"/>
  <c r="P131" i="9"/>
  <c r="L132" i="9" l="1"/>
  <c r="C132" i="9" s="1"/>
  <c r="H132" i="9"/>
  <c r="I132" i="9"/>
  <c r="M136" i="9"/>
  <c r="N136" i="9"/>
  <c r="J132" i="9" l="1"/>
  <c r="D132" i="9" s="1"/>
  <c r="K132" i="9" l="1"/>
  <c r="O132" i="9" s="1"/>
  <c r="P132" i="9"/>
  <c r="I133" i="9"/>
  <c r="H133" i="9" l="1"/>
  <c r="J133" i="9" s="1"/>
  <c r="D133" i="9" s="1"/>
  <c r="L133" i="9"/>
  <c r="N137" i="9" s="1"/>
  <c r="K133" i="9" l="1"/>
  <c r="O133" i="9" s="1"/>
  <c r="C133" i="9"/>
  <c r="M137" i="9"/>
  <c r="P133" i="9"/>
  <c r="H134" i="9" l="1"/>
  <c r="L134" i="9" l="1"/>
  <c r="C134" i="9" s="1"/>
  <c r="I134" i="9"/>
  <c r="J134" i="9" l="1"/>
  <c r="D134" i="9" s="1"/>
  <c r="N138" i="9"/>
  <c r="M138" i="9"/>
  <c r="K134" i="9" l="1"/>
  <c r="O134" i="9" s="1"/>
  <c r="P134" i="9"/>
  <c r="L135" i="9" l="1"/>
  <c r="M139" i="9" s="1"/>
  <c r="H135" i="9"/>
  <c r="I135" i="9"/>
  <c r="C135" i="9" l="1"/>
  <c r="N139" i="9"/>
  <c r="J135" i="9"/>
  <c r="D135" i="9" s="1"/>
  <c r="K135" i="9" l="1"/>
  <c r="O135" i="9" s="1"/>
  <c r="P135" i="9"/>
  <c r="H136" i="9"/>
  <c r="I136" i="9" l="1"/>
  <c r="L136" i="9"/>
  <c r="J136" i="9" l="1"/>
  <c r="D136" i="9" s="1"/>
  <c r="N140" i="9"/>
  <c r="M140" i="9"/>
  <c r="C136" i="9"/>
  <c r="K136" i="9" l="1"/>
  <c r="O136" i="9" s="1"/>
  <c r="P136" i="9"/>
  <c r="H137" i="9" l="1"/>
  <c r="I137" i="9"/>
  <c r="L137" i="9"/>
  <c r="J137" i="9" l="1"/>
  <c r="D137" i="9" s="1"/>
  <c r="M141" i="9"/>
  <c r="C137" i="9"/>
  <c r="N141" i="9"/>
  <c r="K137" i="9" l="1"/>
  <c r="O137" i="9" s="1"/>
  <c r="P137" i="9"/>
  <c r="I138" i="9"/>
  <c r="L138" i="9"/>
  <c r="H138" i="9" l="1"/>
  <c r="J138" i="9" s="1"/>
  <c r="D138" i="9" s="1"/>
  <c r="N142" i="9"/>
  <c r="M142" i="9"/>
  <c r="C138" i="9"/>
  <c r="K138" i="9" l="1"/>
  <c r="O138" i="9" s="1"/>
  <c r="P138" i="9"/>
  <c r="H139" i="9" l="1"/>
  <c r="L139" i="9"/>
  <c r="I139" i="9"/>
  <c r="J139" i="9" l="1"/>
  <c r="D139" i="9" s="1"/>
  <c r="N143" i="9"/>
  <c r="M143" i="9"/>
  <c r="C139" i="9"/>
  <c r="K139" i="9" l="1"/>
  <c r="O139" i="9" s="1"/>
  <c r="P139" i="9"/>
  <c r="I140" i="9"/>
  <c r="H140" i="9" l="1"/>
  <c r="J140" i="9" s="1"/>
  <c r="D140" i="9" s="1"/>
  <c r="L140" i="9"/>
  <c r="K140" i="9" l="1"/>
  <c r="O140" i="9" s="1"/>
  <c r="C140" i="9"/>
  <c r="N144" i="9"/>
  <c r="M144" i="9"/>
  <c r="P140" i="9" l="1"/>
  <c r="H141" i="9" l="1"/>
  <c r="L141" i="9"/>
  <c r="I141" i="9"/>
  <c r="J141" i="9" l="1"/>
  <c r="D141" i="9" s="1"/>
  <c r="N145" i="9"/>
  <c r="M145" i="9"/>
  <c r="C141" i="9"/>
  <c r="K141" i="9" l="1"/>
  <c r="O141" i="9" s="1"/>
  <c r="P141" i="9"/>
  <c r="I142" i="9" l="1"/>
  <c r="L142" i="9"/>
  <c r="C142" i="9" s="1"/>
  <c r="H142" i="9"/>
  <c r="J142" i="9" l="1"/>
  <c r="D142" i="9" s="1"/>
  <c r="M146" i="9"/>
  <c r="N146" i="9"/>
  <c r="L143" i="9"/>
  <c r="M147" i="9" s="1"/>
  <c r="K142" i="9" l="1"/>
  <c r="O142" i="9" s="1"/>
  <c r="H143" i="9"/>
  <c r="I143" i="9"/>
  <c r="P142" i="9"/>
  <c r="C143" i="9"/>
  <c r="N147" i="9"/>
  <c r="J143" i="9" l="1"/>
  <c r="D143" i="9" s="1"/>
  <c r="K143" i="9" l="1"/>
  <c r="O143" i="9" s="1"/>
  <c r="H144" i="9"/>
  <c r="I144" i="9"/>
  <c r="L144" i="9"/>
  <c r="P143" i="9"/>
  <c r="J144" i="9" l="1"/>
  <c r="D144" i="9" s="1"/>
  <c r="C144" i="9"/>
  <c r="M148" i="9"/>
  <c r="N148" i="9"/>
  <c r="H145" i="9"/>
  <c r="K144" i="9" l="1"/>
  <c r="O144" i="9" s="1"/>
  <c r="P144" i="9" s="1"/>
  <c r="L145" i="9"/>
  <c r="I145" i="9"/>
  <c r="J145" i="9" l="1"/>
  <c r="D145" i="9" s="1"/>
  <c r="M149" i="9"/>
  <c r="N149" i="9"/>
  <c r="C145" i="9"/>
  <c r="K145" i="9" l="1"/>
  <c r="O145" i="9" s="1"/>
  <c r="P145" i="9" s="1"/>
  <c r="H146" i="9" l="1"/>
  <c r="L146" i="9"/>
  <c r="I146" i="9"/>
  <c r="J146" i="9" l="1"/>
  <c r="D146" i="9" s="1"/>
  <c r="N150" i="9"/>
  <c r="C146" i="9"/>
  <c r="M150" i="9"/>
  <c r="K146" i="9" l="1"/>
  <c r="O146" i="9" s="1"/>
  <c r="P146" i="9"/>
  <c r="H147" i="9"/>
  <c r="I147" i="9"/>
  <c r="L147" i="9"/>
  <c r="C147" i="9" s="1"/>
  <c r="J147" i="9" l="1"/>
  <c r="N151" i="9"/>
  <c r="M151" i="9"/>
  <c r="D147" i="9" l="1"/>
  <c r="H148" i="9"/>
  <c r="I148" i="9"/>
  <c r="L148" i="9"/>
  <c r="N152" i="9" s="1"/>
  <c r="K147" i="9" l="1"/>
  <c r="O147" i="9" s="1"/>
  <c r="P147" i="9" s="1"/>
  <c r="J148" i="9"/>
  <c r="D148" i="9" s="1"/>
  <c r="M152" i="9"/>
  <c r="C148" i="9"/>
  <c r="K148" i="9" l="1"/>
  <c r="O148" i="9" s="1"/>
  <c r="P148" i="9" s="1"/>
  <c r="H149" i="9"/>
  <c r="L149" i="9" l="1"/>
  <c r="C149" i="9" s="1"/>
  <c r="I149" i="9"/>
  <c r="J149" i="9" l="1"/>
  <c r="D149" i="9" s="1"/>
  <c r="M153" i="9"/>
  <c r="N153" i="9"/>
  <c r="K149" i="9" l="1"/>
  <c r="O149" i="9" s="1"/>
  <c r="P149" i="9"/>
  <c r="H150" i="9" l="1"/>
  <c r="I150" i="9" l="1"/>
  <c r="L150" i="9"/>
  <c r="J150" i="9" l="1"/>
  <c r="D150" i="9" s="1"/>
  <c r="M154" i="9"/>
  <c r="N154" i="9"/>
  <c r="C150" i="9"/>
  <c r="K150" i="9" l="1"/>
  <c r="O150" i="9" s="1"/>
  <c r="P150" i="9"/>
  <c r="H151" i="9"/>
  <c r="L151" i="9" l="1"/>
  <c r="C151" i="9" s="1"/>
  <c r="I151" i="9"/>
  <c r="J151" i="9" l="1"/>
  <c r="D151" i="9" s="1"/>
  <c r="N155" i="9"/>
  <c r="M155" i="9"/>
  <c r="K151" i="9" l="1"/>
  <c r="O151" i="9" s="1"/>
  <c r="P151" i="9" s="1"/>
  <c r="H152" i="9" l="1"/>
  <c r="I152" i="9" l="1"/>
  <c r="L152" i="9"/>
  <c r="J152" i="9" l="1"/>
  <c r="D152" i="9" s="1"/>
  <c r="N156" i="9"/>
  <c r="M156" i="9"/>
  <c r="C152" i="9"/>
  <c r="K152" i="9" l="1"/>
  <c r="O152" i="9" s="1"/>
  <c r="P152" i="9"/>
  <c r="H153" i="9"/>
  <c r="L153" i="9" l="1"/>
  <c r="C153" i="9" s="1"/>
  <c r="I153" i="9"/>
  <c r="J153" i="9" l="1"/>
  <c r="D153" i="9" s="1"/>
  <c r="M157" i="9"/>
  <c r="N157" i="9"/>
  <c r="K153" i="9" l="1"/>
  <c r="O153" i="9" s="1"/>
  <c r="P153" i="9" s="1"/>
  <c r="H154" i="9"/>
  <c r="L154" i="9" l="1"/>
  <c r="C154" i="9" s="1"/>
  <c r="I154" i="9"/>
  <c r="J154" i="9" l="1"/>
  <c r="D154" i="9" s="1"/>
  <c r="N158" i="9"/>
  <c r="M158" i="9"/>
  <c r="K154" i="9" l="1"/>
  <c r="O154" i="9" s="1"/>
  <c r="P154" i="9"/>
  <c r="H155" i="9" l="1"/>
  <c r="I155" i="9" l="1"/>
  <c r="L155" i="9"/>
  <c r="J155" i="9" l="1"/>
  <c r="D155" i="9" s="1"/>
  <c r="C155" i="9"/>
  <c r="N159" i="9"/>
  <c r="M159" i="9"/>
  <c r="K155" i="9" l="1"/>
  <c r="O155" i="9" s="1"/>
  <c r="P155" i="9" s="1"/>
  <c r="L156" i="9"/>
  <c r="N160" i="9" s="1"/>
  <c r="H156" i="9"/>
  <c r="I156" i="9"/>
  <c r="C156" i="9" l="1"/>
  <c r="J156" i="9"/>
  <c r="D156" i="9" s="1"/>
  <c r="M160" i="9"/>
  <c r="K156" i="9" l="1"/>
  <c r="O156" i="9" s="1"/>
  <c r="P156" i="9" s="1"/>
  <c r="H157" i="9"/>
  <c r="I157" i="9"/>
  <c r="L157" i="9"/>
  <c r="N161" i="9" s="1"/>
  <c r="J157" i="9" l="1"/>
  <c r="D157" i="9" s="1"/>
  <c r="C157" i="9"/>
  <c r="M161" i="9"/>
  <c r="K157" i="9" l="1"/>
  <c r="O157" i="9" s="1"/>
  <c r="P157" i="9" s="1"/>
  <c r="H158" i="9"/>
  <c r="L158" i="9" l="1"/>
  <c r="I158" i="9"/>
  <c r="J158" i="9" l="1"/>
  <c r="D158" i="9" s="1"/>
  <c r="C158" i="9"/>
  <c r="N162" i="9"/>
  <c r="M162" i="9"/>
  <c r="K158" i="9" l="1"/>
  <c r="O158" i="9" s="1"/>
  <c r="P158" i="9"/>
  <c r="H159" i="9" l="1"/>
  <c r="L159" i="9" l="1"/>
  <c r="I159" i="9"/>
  <c r="J159" i="9" l="1"/>
  <c r="D159" i="9" s="1"/>
  <c r="M163" i="9"/>
  <c r="N163" i="9"/>
  <c r="C159" i="9"/>
  <c r="K159" i="9" l="1"/>
  <c r="O159" i="9" s="1"/>
  <c r="P159" i="9" s="1"/>
  <c r="H160" i="9" l="1"/>
  <c r="L160" i="9"/>
  <c r="I160" i="9" l="1"/>
  <c r="M164" i="9"/>
  <c r="N164" i="9"/>
  <c r="C160" i="9"/>
  <c r="J160" i="9" l="1"/>
  <c r="D160" i="9" s="1"/>
  <c r="H161" i="9" l="1"/>
  <c r="K160" i="9"/>
  <c r="O160" i="9" s="1"/>
  <c r="P160" i="9"/>
  <c r="I161" i="9"/>
  <c r="L161" i="9"/>
  <c r="J161" i="9" l="1"/>
  <c r="D161" i="9" s="1"/>
  <c r="M165" i="9"/>
  <c r="N165" i="9"/>
  <c r="C161" i="9"/>
  <c r="K161" i="9" l="1"/>
  <c r="O161" i="9" s="1"/>
  <c r="P161" i="9" s="1"/>
  <c r="H162" i="9" l="1"/>
  <c r="I162" i="9" l="1"/>
  <c r="L162" i="9"/>
  <c r="J162" i="9" l="1"/>
  <c r="D162" i="9" s="1"/>
  <c r="M166" i="9"/>
  <c r="N166" i="9"/>
  <c r="C162" i="9"/>
  <c r="K162" i="9" l="1"/>
  <c r="O162" i="9" s="1"/>
  <c r="P162" i="9" s="1"/>
  <c r="H163" i="9" l="1"/>
  <c r="L163" i="9" l="1"/>
  <c r="I163" i="9"/>
  <c r="J163" i="9" l="1"/>
  <c r="D163" i="9" s="1"/>
  <c r="C163" i="9"/>
  <c r="N167" i="9"/>
  <c r="M167" i="9"/>
  <c r="K163" i="9" l="1"/>
  <c r="O163" i="9" s="1"/>
  <c r="P163" i="9"/>
  <c r="H164" i="9" l="1"/>
  <c r="L164" i="9" l="1"/>
  <c r="I164" i="9"/>
  <c r="J164" i="9" l="1"/>
  <c r="D164" i="9" s="1"/>
  <c r="C164" i="9"/>
  <c r="M168" i="9"/>
  <c r="N168" i="9"/>
  <c r="K164" i="9" l="1"/>
  <c r="O164" i="9" s="1"/>
  <c r="P164" i="9" s="1"/>
  <c r="H165" i="9" l="1"/>
  <c r="L165" i="9" l="1"/>
  <c r="I165" i="9"/>
  <c r="J165" i="9" l="1"/>
  <c r="D165" i="9" s="1"/>
  <c r="C165" i="9"/>
  <c r="N169" i="9"/>
  <c r="M169" i="9"/>
  <c r="K165" i="9" l="1"/>
  <c r="O165" i="9" s="1"/>
  <c r="P165" i="9" s="1"/>
  <c r="I166" i="9" l="1"/>
  <c r="L166" i="9" l="1"/>
  <c r="H166" i="9"/>
  <c r="J166" i="9" s="1"/>
  <c r="D166" i="9" s="1"/>
  <c r="K166" i="9" l="1"/>
  <c r="O166" i="9" s="1"/>
  <c r="M170" i="9"/>
  <c r="N170" i="9"/>
  <c r="C166" i="9"/>
  <c r="P166" i="9" l="1"/>
  <c r="L167" i="9"/>
  <c r="C167" i="9" s="1"/>
  <c r="H167" i="9"/>
  <c r="I167" i="9"/>
  <c r="M171" i="9" l="1"/>
  <c r="N171" i="9"/>
  <c r="J167" i="9"/>
  <c r="D167" i="9" l="1"/>
  <c r="H168" i="9"/>
  <c r="K167" i="9" l="1"/>
  <c r="O167" i="9" s="1"/>
  <c r="P167" i="9" s="1"/>
  <c r="I168" i="9"/>
  <c r="L168" i="9"/>
  <c r="M172" i="9" s="1"/>
  <c r="J168" i="9" l="1"/>
  <c r="D168" i="9" s="1"/>
  <c r="C168" i="9"/>
  <c r="N172" i="9"/>
  <c r="K168" i="9" l="1"/>
  <c r="O168" i="9" s="1"/>
  <c r="P168" i="9" s="1"/>
  <c r="L169" i="9" l="1"/>
  <c r="I169" i="9"/>
  <c r="H169" i="9"/>
  <c r="J169" i="9" l="1"/>
  <c r="D169" i="9" s="1"/>
  <c r="C169" i="9"/>
  <c r="N173" i="9"/>
  <c r="M173" i="9"/>
  <c r="K169" i="9" l="1"/>
  <c r="O169" i="9" s="1"/>
  <c r="P169" i="9" s="1"/>
  <c r="H170" i="9" l="1"/>
  <c r="L170" i="9"/>
  <c r="C170" i="9" s="1"/>
  <c r="I170" i="9"/>
  <c r="J170" i="9" l="1"/>
  <c r="D170" i="9" s="1"/>
  <c r="N174" i="9"/>
  <c r="M174" i="9"/>
  <c r="K170" i="9" l="1"/>
  <c r="O170" i="9" s="1"/>
  <c r="P170" i="9"/>
  <c r="I171" i="9"/>
  <c r="L171" i="9"/>
  <c r="N175" i="9" s="1"/>
  <c r="H171" i="9" l="1"/>
  <c r="J171" i="9" s="1"/>
  <c r="D171" i="9" s="1"/>
  <c r="C171" i="9"/>
  <c r="M175" i="9"/>
  <c r="K171" i="9" l="1"/>
  <c r="O171" i="9" s="1"/>
  <c r="P171" i="9"/>
  <c r="L172" i="9" l="1"/>
  <c r="M176" i="9" s="1"/>
  <c r="H172" i="9"/>
  <c r="I172" i="9"/>
  <c r="J172" i="9" l="1"/>
  <c r="D172" i="9" s="1"/>
  <c r="C172" i="9"/>
  <c r="N176" i="9"/>
  <c r="K172" i="9" l="1"/>
  <c r="O172" i="9" s="1"/>
  <c r="P172" i="9"/>
  <c r="H173" i="9"/>
  <c r="L173" i="9" l="1"/>
  <c r="I173" i="9"/>
  <c r="J173" i="9" l="1"/>
  <c r="D173" i="9" s="1"/>
  <c r="N177" i="9"/>
  <c r="M177" i="9"/>
  <c r="C173" i="9"/>
  <c r="K173" i="9" l="1"/>
  <c r="O173" i="9" s="1"/>
  <c r="P173" i="9" s="1"/>
  <c r="H174" i="9" l="1"/>
  <c r="I174" i="9"/>
  <c r="L174" i="9"/>
  <c r="J174" i="9" l="1"/>
  <c r="D174" i="9" s="1"/>
  <c r="C174" i="9"/>
  <c r="N178" i="9"/>
  <c r="M178" i="9"/>
  <c r="K174" i="9" l="1"/>
  <c r="O174" i="9" s="1"/>
  <c r="P174" i="9" s="1"/>
  <c r="I175" i="9"/>
  <c r="H175" i="9"/>
  <c r="J175" i="9" s="1"/>
  <c r="D175" i="9" s="1"/>
  <c r="L175" i="9"/>
  <c r="M179" i="9" s="1"/>
  <c r="K175" i="9" l="1"/>
  <c r="O175" i="9" s="1"/>
  <c r="C175" i="9"/>
  <c r="N179" i="9"/>
  <c r="P175" i="9" l="1"/>
  <c r="I176" i="9"/>
  <c r="H176" i="9"/>
  <c r="J176" i="9" s="1"/>
  <c r="D176" i="9" s="1"/>
  <c r="L176" i="9"/>
  <c r="C176" i="9" s="1"/>
  <c r="K176" i="9" l="1"/>
  <c r="O176" i="9"/>
  <c r="P176" i="9" s="1"/>
  <c r="M180" i="9"/>
  <c r="N180" i="9"/>
  <c r="H177" i="9" l="1"/>
  <c r="I177" i="9" l="1"/>
  <c r="L177" i="9"/>
  <c r="J177" i="9" l="1"/>
  <c r="D177" i="9" s="1"/>
  <c r="M181" i="9"/>
  <c r="N181" i="9"/>
  <c r="C177" i="9"/>
  <c r="K177" i="9" l="1"/>
  <c r="O177" i="9" s="1"/>
  <c r="P177" i="9" s="1"/>
  <c r="H178" i="9" l="1"/>
  <c r="L178" i="9" l="1"/>
  <c r="I178" i="9"/>
  <c r="J178" i="9" l="1"/>
  <c r="D178" i="9" s="1"/>
  <c r="C178" i="9"/>
  <c r="N182" i="9"/>
  <c r="M182" i="9"/>
  <c r="K178" i="9" l="1"/>
  <c r="O178" i="9" s="1"/>
  <c r="P178" i="9" s="1"/>
  <c r="H179" i="9" l="1"/>
  <c r="L179" i="9"/>
  <c r="C179" i="9" s="1"/>
  <c r="I179" i="9"/>
  <c r="J179" i="9" l="1"/>
  <c r="M183" i="9"/>
  <c r="N183" i="9"/>
  <c r="D179" i="9" l="1"/>
  <c r="L180" i="9" l="1"/>
  <c r="K179" i="9"/>
  <c r="O179" i="9" s="1"/>
  <c r="P179" i="9" s="1"/>
  <c r="H180" i="9"/>
  <c r="I180" i="9"/>
  <c r="M184" i="9"/>
  <c r="N184" i="9"/>
  <c r="C180" i="9"/>
  <c r="J180" i="9" l="1"/>
  <c r="D180" i="9" s="1"/>
  <c r="K180" i="9" l="1"/>
  <c r="O180" i="9" s="1"/>
  <c r="P180" i="9"/>
  <c r="H181" i="9"/>
  <c r="I181" i="9" l="1"/>
  <c r="L181" i="9"/>
  <c r="N185" i="9" s="1"/>
  <c r="J181" i="9" l="1"/>
  <c r="D181" i="9" s="1"/>
  <c r="C181" i="9"/>
  <c r="M185" i="9"/>
  <c r="K181" i="9" l="1"/>
  <c r="O181" i="9" s="1"/>
  <c r="P181" i="9"/>
  <c r="H182" i="9"/>
  <c r="L182" i="9" l="1"/>
  <c r="M186" i="9" s="1"/>
  <c r="I182" i="9"/>
  <c r="C182" i="9" l="1"/>
  <c r="N186" i="9"/>
  <c r="J182" i="9"/>
  <c r="D182" i="9" s="1"/>
  <c r="K182" i="9" l="1"/>
  <c r="O182" i="9" s="1"/>
  <c r="P182" i="9"/>
  <c r="H183" i="9"/>
  <c r="I183" i="9" l="1"/>
  <c r="L183" i="9"/>
  <c r="C183" i="9" s="1"/>
  <c r="J183" i="9" l="1"/>
  <c r="D183" i="9" s="1"/>
  <c r="N187" i="9"/>
  <c r="M187" i="9"/>
  <c r="K183" i="9" l="1"/>
  <c r="O183" i="9" s="1"/>
  <c r="P183" i="9"/>
  <c r="H184" i="9" l="1"/>
  <c r="L184" i="9" l="1"/>
  <c r="I184" i="9"/>
  <c r="J184" i="9" l="1"/>
  <c r="D184" i="9" s="1"/>
  <c r="C184" i="9"/>
  <c r="N188" i="9"/>
  <c r="M188" i="9"/>
  <c r="K184" i="9" l="1"/>
  <c r="O184" i="9" s="1"/>
  <c r="P184" i="9"/>
  <c r="H185" i="9" l="1"/>
  <c r="L185" i="9" l="1"/>
  <c r="I185" i="9"/>
  <c r="J185" i="9" l="1"/>
  <c r="D185" i="9" s="1"/>
  <c r="C185" i="9"/>
  <c r="N189" i="9"/>
  <c r="M189" i="9"/>
  <c r="K185" i="9" l="1"/>
  <c r="O185" i="9" s="1"/>
  <c r="P185" i="9"/>
  <c r="H186" i="9" l="1"/>
  <c r="L186" i="9" l="1"/>
  <c r="I186" i="9"/>
  <c r="J186" i="9" l="1"/>
  <c r="D186" i="9" s="1"/>
  <c r="N190" i="9"/>
  <c r="M190" i="9"/>
  <c r="C186" i="9"/>
  <c r="K186" i="9" l="1"/>
  <c r="O186" i="9" s="1"/>
  <c r="P186" i="9" s="1"/>
  <c r="L187" i="9" l="1"/>
  <c r="N191" i="9" s="1"/>
  <c r="H187" i="9"/>
  <c r="I187" i="9"/>
  <c r="M191" i="9" l="1"/>
  <c r="C187" i="9"/>
  <c r="J187" i="9"/>
  <c r="D187" i="9" s="1"/>
  <c r="K187" i="9" l="1"/>
  <c r="O187" i="9" s="1"/>
  <c r="P187" i="9" s="1"/>
  <c r="H188" i="9"/>
  <c r="L188" i="9"/>
  <c r="I188" i="9" l="1"/>
  <c r="C188" i="9"/>
  <c r="N192" i="9"/>
  <c r="M192" i="9"/>
  <c r="J188" i="9" l="1"/>
  <c r="D188" i="9" s="1"/>
  <c r="K188" i="9" l="1"/>
  <c r="O188" i="9" s="1"/>
  <c r="P188" i="9" s="1"/>
  <c r="H189" i="9"/>
  <c r="I189" i="9"/>
  <c r="L189" i="9"/>
  <c r="C189" i="9" s="1"/>
  <c r="J189" i="9" l="1"/>
  <c r="D189" i="9" s="1"/>
  <c r="M193" i="9"/>
  <c r="N193" i="9"/>
  <c r="K189" i="9" l="1"/>
  <c r="O189" i="9" s="1"/>
  <c r="P189" i="9" s="1"/>
  <c r="H190" i="9" l="1"/>
  <c r="I190" i="9" l="1"/>
  <c r="L190" i="9"/>
  <c r="J190" i="9" l="1"/>
  <c r="D190" i="9" s="1"/>
  <c r="N194" i="9"/>
  <c r="M194" i="9"/>
  <c r="C190" i="9"/>
  <c r="K190" i="9" l="1"/>
  <c r="O190" i="9" s="1"/>
  <c r="P190" i="9" s="1"/>
  <c r="L191" i="9" l="1"/>
  <c r="C191" i="9" s="1"/>
  <c r="H191" i="9"/>
  <c r="I191" i="9"/>
  <c r="J191" i="9" l="1"/>
  <c r="N195" i="9"/>
  <c r="M195" i="9"/>
  <c r="D191" i="9" l="1"/>
  <c r="H192" i="9"/>
  <c r="L192" i="9"/>
  <c r="M196" i="9" s="1"/>
  <c r="I192" i="9" l="1"/>
  <c r="K191" i="9"/>
  <c r="O191" i="9" s="1"/>
  <c r="J192" i="9"/>
  <c r="D192" i="9" s="1"/>
  <c r="P191" i="9"/>
  <c r="C192" i="9"/>
  <c r="N196" i="9"/>
  <c r="K192" i="9" l="1"/>
  <c r="O192" i="9"/>
  <c r="P192" i="9" s="1"/>
  <c r="H193" i="9" l="1"/>
  <c r="I193" i="9" l="1"/>
  <c r="L193" i="9"/>
  <c r="C193" i="9" s="1"/>
  <c r="J193" i="9" l="1"/>
  <c r="D193" i="9" s="1"/>
  <c r="M197" i="9"/>
  <c r="N197" i="9"/>
  <c r="K193" i="9" l="1"/>
  <c r="O193" i="9" s="1"/>
  <c r="P193" i="9"/>
  <c r="L194" i="9"/>
  <c r="C194" i="9" s="1"/>
  <c r="H194" i="9"/>
  <c r="I194" i="9"/>
  <c r="M198" i="9" l="1"/>
  <c r="N198" i="9"/>
  <c r="J194" i="9"/>
  <c r="D194" i="9" s="1"/>
  <c r="K194" i="9" l="1"/>
  <c r="O194" i="9" s="1"/>
  <c r="P194" i="9"/>
  <c r="H195" i="9"/>
  <c r="L195" i="9" l="1"/>
  <c r="C195" i="9" s="1"/>
  <c r="I195" i="9"/>
  <c r="J195" i="9" l="1"/>
  <c r="D195" i="9" s="1"/>
  <c r="N199" i="9"/>
  <c r="M199" i="9"/>
  <c r="K195" i="9" l="1"/>
  <c r="O195" i="9" s="1"/>
  <c r="P195" i="9"/>
  <c r="H196" i="9"/>
  <c r="I196" i="9" l="1"/>
  <c r="L196" i="9"/>
  <c r="J196" i="9" l="1"/>
  <c r="D196" i="9" s="1"/>
  <c r="N200" i="9"/>
  <c r="M200" i="9"/>
  <c r="C196" i="9"/>
  <c r="K196" i="9" l="1"/>
  <c r="O196" i="9" s="1"/>
  <c r="P196" i="9"/>
  <c r="H197" i="9" l="1"/>
  <c r="I197" i="9" l="1"/>
  <c r="L197" i="9"/>
  <c r="J197" i="9" l="1"/>
  <c r="D197" i="9" s="1"/>
  <c r="M201" i="9"/>
  <c r="N201" i="9"/>
  <c r="C197" i="9"/>
  <c r="K197" i="9" l="1"/>
  <c r="O197" i="9" s="1"/>
  <c r="P197" i="9"/>
  <c r="H198" i="9" l="1"/>
  <c r="I198" i="9"/>
  <c r="L198" i="9"/>
  <c r="M202" i="9" s="1"/>
  <c r="J198" i="9" l="1"/>
  <c r="D198" i="9" s="1"/>
  <c r="C198" i="9"/>
  <c r="N202" i="9"/>
  <c r="K198" i="9" l="1"/>
  <c r="O198" i="9" s="1"/>
  <c r="P198" i="9"/>
  <c r="H199" i="9"/>
  <c r="L199" i="9" l="1"/>
  <c r="I199" i="9"/>
  <c r="J199" i="9" l="1"/>
  <c r="D199" i="9" s="1"/>
  <c r="N203" i="9"/>
  <c r="M203" i="9"/>
  <c r="C199" i="9"/>
  <c r="K199" i="9" l="1"/>
  <c r="O199" i="9" s="1"/>
  <c r="P199" i="9"/>
  <c r="L200" i="9" l="1"/>
  <c r="M204" i="9" s="1"/>
  <c r="H200" i="9"/>
  <c r="I200" i="9"/>
  <c r="C200" i="9" l="1"/>
  <c r="N204" i="9"/>
  <c r="J200" i="9"/>
  <c r="D200" i="9" s="1"/>
  <c r="K200" i="9" l="1"/>
  <c r="O200" i="9" s="1"/>
  <c r="P200" i="9" s="1"/>
  <c r="L201" i="9"/>
  <c r="N205" i="9" s="1"/>
  <c r="H201" i="9"/>
  <c r="I201" i="9"/>
  <c r="C201" i="9"/>
  <c r="M205" i="9" l="1"/>
  <c r="J201" i="9"/>
  <c r="D201" i="9" s="1"/>
  <c r="K201" i="9" l="1"/>
  <c r="O201" i="9" s="1"/>
  <c r="P201" i="9"/>
  <c r="I202" i="9"/>
  <c r="H202" i="9"/>
  <c r="J202" i="9" s="1"/>
  <c r="D202" i="9" s="1"/>
  <c r="L202" i="9"/>
  <c r="C202" i="9" s="1"/>
  <c r="K202" i="9" l="1"/>
  <c r="O202" i="9" s="1"/>
  <c r="P202" i="9" s="1"/>
  <c r="M206" i="9"/>
  <c r="N206" i="9"/>
  <c r="H203" i="9" l="1"/>
  <c r="L203" i="9" l="1"/>
  <c r="M207" i="9" s="1"/>
  <c r="I203" i="9"/>
  <c r="C203" i="9" l="1"/>
  <c r="N207" i="9"/>
  <c r="J203" i="9"/>
  <c r="D203" i="9" s="1"/>
  <c r="K203" i="9" l="1"/>
  <c r="O203" i="9" s="1"/>
  <c r="P203" i="9"/>
  <c r="H204" i="9"/>
  <c r="I204" i="9" l="1"/>
  <c r="L204" i="9"/>
  <c r="J204" i="9" l="1"/>
  <c r="D204" i="9" s="1"/>
  <c r="M208" i="9"/>
  <c r="N208" i="9"/>
  <c r="C204" i="9"/>
  <c r="K204" i="9" l="1"/>
  <c r="O204" i="9" s="1"/>
  <c r="P204" i="9"/>
  <c r="L205" i="9" l="1"/>
  <c r="C205" i="9" s="1"/>
  <c r="H205" i="9"/>
  <c r="I205" i="9"/>
  <c r="J205" i="9" l="1"/>
  <c r="D205" i="9" s="1"/>
  <c r="M209" i="9"/>
  <c r="N209" i="9"/>
  <c r="K205" i="9" l="1"/>
  <c r="O205" i="9" s="1"/>
  <c r="P205" i="9" s="1"/>
  <c r="H206" i="9"/>
  <c r="L206" i="9" l="1"/>
  <c r="I206" i="9"/>
  <c r="J206" i="9" l="1"/>
  <c r="D206" i="9" s="1"/>
  <c r="M210" i="9"/>
  <c r="N210" i="9"/>
  <c r="C206" i="9"/>
  <c r="K206" i="9" l="1"/>
  <c r="O206" i="9" s="1"/>
  <c r="P206" i="9" s="1"/>
  <c r="L207" i="9" l="1"/>
  <c r="C207" i="9" s="1"/>
  <c r="H207" i="9"/>
  <c r="I207" i="9"/>
  <c r="M211" i="9" l="1"/>
  <c r="N211" i="9"/>
  <c r="J207" i="9"/>
  <c r="D207" i="9" s="1"/>
  <c r="K207" i="9" l="1"/>
  <c r="O207" i="9" s="1"/>
  <c r="P207" i="9"/>
  <c r="H208" i="9"/>
  <c r="I208" i="9"/>
  <c r="L208" i="9"/>
  <c r="J208" i="9" l="1"/>
  <c r="D208" i="9" s="1"/>
  <c r="N212" i="9"/>
  <c r="C208" i="9"/>
  <c r="M212" i="9"/>
  <c r="K208" i="9" l="1"/>
  <c r="O208" i="9" s="1"/>
  <c r="P208" i="9" s="1"/>
  <c r="H209" i="9"/>
  <c r="L209" i="9"/>
  <c r="C209" i="9" s="1"/>
  <c r="I209" i="9" l="1"/>
  <c r="M213" i="9"/>
  <c r="N213" i="9"/>
  <c r="J209" i="9" l="1"/>
  <c r="D209" i="9" s="1"/>
  <c r="K209" i="9" l="1"/>
  <c r="O209" i="9" s="1"/>
  <c r="I210" i="9"/>
  <c r="H210" i="9"/>
  <c r="L210" i="9"/>
  <c r="C210" i="9" s="1"/>
  <c r="P209" i="9"/>
  <c r="J210" i="9"/>
  <c r="D210" i="9" s="1"/>
  <c r="K210" i="9" l="1"/>
  <c r="O210" i="9" s="1"/>
  <c r="P210" i="9" s="1"/>
  <c r="M214" i="9"/>
  <c r="N214" i="9"/>
  <c r="H211" i="9"/>
  <c r="I211" i="9" l="1"/>
  <c r="L211" i="9"/>
  <c r="C211" i="9" s="1"/>
  <c r="J211" i="9" l="1"/>
  <c r="D211" i="9" s="1"/>
  <c r="M215" i="9"/>
  <c r="N215" i="9"/>
  <c r="K211" i="9" l="1"/>
  <c r="O211" i="9" s="1"/>
  <c r="P211" i="9"/>
  <c r="H212" i="9" l="1"/>
  <c r="L212" i="9" l="1"/>
  <c r="C212" i="9" s="1"/>
  <c r="I212" i="9"/>
  <c r="J212" i="9" l="1"/>
  <c r="D212" i="9" s="1"/>
  <c r="N216" i="9"/>
  <c r="M216" i="9"/>
  <c r="K212" i="9" l="1"/>
  <c r="O212" i="9" s="1"/>
  <c r="P212" i="9" s="1"/>
  <c r="H213" i="9" l="1"/>
  <c r="L213" i="9" l="1"/>
  <c r="I213" i="9"/>
  <c r="J213" i="9" l="1"/>
  <c r="D213" i="9" s="1"/>
  <c r="N217" i="9"/>
  <c r="M217" i="9"/>
  <c r="C213" i="9"/>
  <c r="K213" i="9" l="1"/>
  <c r="O213" i="9" s="1"/>
  <c r="P213" i="9"/>
  <c r="I214" i="9" l="1"/>
  <c r="H214" i="9" l="1"/>
  <c r="J214" i="9" s="1"/>
  <c r="D214" i="9" s="1"/>
  <c r="L214" i="9"/>
  <c r="K214" i="9" l="1"/>
  <c r="O214" i="9" s="1"/>
  <c r="N218" i="9"/>
  <c r="C214" i="9"/>
  <c r="M218" i="9"/>
  <c r="P214" i="9"/>
  <c r="K218" i="9" l="1"/>
  <c r="O218" i="9" s="1"/>
  <c r="P218" i="9" s="1"/>
  <c r="H215" i="9"/>
  <c r="L215" i="9"/>
  <c r="C215" i="9" s="1"/>
  <c r="I215" i="9"/>
  <c r="J215" i="9" l="1"/>
  <c r="D215" i="9" s="1"/>
  <c r="M219" i="9"/>
  <c r="N219" i="9"/>
  <c r="K219" i="9" l="1"/>
  <c r="O219" i="9" s="1"/>
  <c r="P219" i="9" s="1"/>
  <c r="K215" i="9"/>
  <c r="O215" i="9" s="1"/>
  <c r="P215" i="9" s="1"/>
  <c r="H216" i="9"/>
  <c r="L216" i="9"/>
  <c r="C216" i="9" s="1"/>
  <c r="I216" i="9"/>
  <c r="J216" i="9" l="1"/>
  <c r="D216" i="9" s="1"/>
  <c r="M220" i="9"/>
  <c r="N220" i="9"/>
  <c r="J8" i="9"/>
  <c r="K220" i="9" l="1"/>
  <c r="O220" i="9" s="1"/>
  <c r="P220" i="9" s="1"/>
  <c r="K216" i="9"/>
  <c r="O216" i="9" s="1"/>
  <c r="P216" i="9" s="1"/>
  <c r="L217" i="9" l="1"/>
  <c r="L8" i="9" l="1"/>
  <c r="K217" i="9"/>
  <c r="O217" i="9" s="1"/>
  <c r="M221" i="9"/>
  <c r="N1" i="9" s="1"/>
  <c r="N221" i="9"/>
  <c r="N8" i="9" l="1"/>
  <c r="T8" i="9" s="1"/>
  <c r="I1" i="9" s="1"/>
  <c r="K221" i="9"/>
  <c r="O221" i="9" s="1"/>
  <c r="O8" i="9" s="1"/>
  <c r="P217" i="9"/>
  <c r="M2" i="9" l="1"/>
  <c r="P221" i="9"/>
  <c r="P8" i="9" s="1"/>
  <c r="N2" i="9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<sst xmlns="http://schemas.openxmlformats.org/spreadsheetml/2006/main" count="302" uniqueCount="91">
  <si>
    <t>CURRENT UPB</t>
  </si>
  <si>
    <t>OUTPUT</t>
  </si>
  <si>
    <t>REPLINE PV</t>
  </si>
  <si>
    <t>CNL</t>
  </si>
  <si>
    <t>WAC</t>
  </si>
  <si>
    <t>REPLINE PRICE</t>
  </si>
  <si>
    <t>Target CNL</t>
  </si>
  <si>
    <t>Amortization term</t>
  </si>
  <si>
    <t>POOL PV</t>
  </si>
  <si>
    <t>CDR GOAL SEEK</t>
  </si>
  <si>
    <t>months to repay</t>
  </si>
  <si>
    <t>Pool Price</t>
  </si>
  <si>
    <t xml:space="preserve"> Accrued Interest to be capitalized</t>
  </si>
  <si>
    <t>WAL</t>
  </si>
  <si>
    <t>Fixed pay</t>
  </si>
  <si>
    <t>Target Price</t>
  </si>
  <si>
    <t>Capitalize Interest</t>
  </si>
  <si>
    <t>Yield Output</t>
  </si>
  <si>
    <t>Yield</t>
  </si>
  <si>
    <t>Period</t>
  </si>
  <si>
    <t>Starting balance</t>
  </si>
  <si>
    <t>Ending balance</t>
  </si>
  <si>
    <t>Accrued Interest to be capped</t>
  </si>
  <si>
    <t>Cumulative accrued int</t>
  </si>
  <si>
    <t>Fixed Pay</t>
  </si>
  <si>
    <t>scheduled payment</t>
  </si>
  <si>
    <t>Interest</t>
  </si>
  <si>
    <t>Scheduled Prin</t>
  </si>
  <si>
    <t>Prepay Prin</t>
  </si>
  <si>
    <t>Default</t>
  </si>
  <si>
    <t>Chargeoffs</t>
  </si>
  <si>
    <t>Recoveries</t>
  </si>
  <si>
    <t>Cashflow</t>
  </si>
  <si>
    <t>PV</t>
  </si>
  <si>
    <t>CPR</t>
  </si>
  <si>
    <t>SMM</t>
  </si>
  <si>
    <t>CDR</t>
  </si>
  <si>
    <t>MDR</t>
  </si>
  <si>
    <t>n</t>
  </si>
  <si>
    <t>decrease 5 wac</t>
  </si>
  <si>
    <t>25 increase</t>
  </si>
  <si>
    <t>term weighted wac</t>
  </si>
  <si>
    <t>wac threshold by term and o fee</t>
  </si>
  <si>
    <t>wac by term</t>
  </si>
  <si>
    <t>min term weighted aggredateg</t>
  </si>
  <si>
    <t>sumproduct of wac term upb /sumpro( term + upb)</t>
  </si>
  <si>
    <t>PRICE</t>
  </si>
  <si>
    <t>JP</t>
  </si>
  <si>
    <t>Yield used</t>
  </si>
  <si>
    <t>SoFi's prior run</t>
  </si>
  <si>
    <t>TOO BIG</t>
  </si>
  <si>
    <t>Ending Performing  balance</t>
  </si>
  <si>
    <t>y</t>
  </si>
  <si>
    <t>dur X MV</t>
  </si>
  <si>
    <t>Mod Duration</t>
  </si>
  <si>
    <t>Balance</t>
  </si>
  <si>
    <t>Mkt Value</t>
  </si>
  <si>
    <t>YIELD X MV</t>
  </si>
  <si>
    <t>YID SIZE</t>
  </si>
  <si>
    <t>collat</t>
  </si>
  <si>
    <t>SNR</t>
  </si>
  <si>
    <t>sub</t>
  </si>
  <si>
    <t>PRIN</t>
  </si>
  <si>
    <t>INT</t>
  </si>
  <si>
    <t>SHIFTING INT</t>
  </si>
  <si>
    <t>PRIN PCT</t>
  </si>
  <si>
    <t>INT PCT</t>
  </si>
  <si>
    <t>CAPPED_OPTIMAL_INTPMT("SNR#1","SUBORD#1")</t>
  </si>
  <si>
    <t>=80%+SHIFT%*(1-80%)</t>
  </si>
  <si>
    <t>#SenPrep ?</t>
  </si>
  <si>
    <t>=1</t>
  </si>
  <si>
    <t>sub pct = 1-( snr bal /coll prev)</t>
  </si>
  <si>
    <t>collat bal</t>
  </si>
  <si>
    <t>snr</t>
  </si>
  <si>
    <t>sm</t>
  </si>
  <si>
    <t>1 RAMP 5 11.4136</t>
  </si>
  <si>
    <t>B/E CDR</t>
  </si>
  <si>
    <t>B/E CNL</t>
  </si>
  <si>
    <t>25C</t>
  </si>
  <si>
    <t>1 RAMP 5 11.4818</t>
  </si>
  <si>
    <t>27.5C</t>
  </si>
  <si>
    <t>Class A write down</t>
  </si>
  <si>
    <t>25 CPR</t>
  </si>
  <si>
    <t>27.5 CPR</t>
  </si>
  <si>
    <t xml:space="preserve">It would take a 11+ CDR for class A to start taking loss.  SSL is protected from the hard credit enhancement from MEZZ and RESID, and the soft CE from the ~6% excess spread </t>
  </si>
  <si>
    <t>2 cnl</t>
  </si>
  <si>
    <t>intex prepay</t>
  </si>
  <si>
    <t>sch bal ( starting bal - sche prin)</t>
  </si>
  <si>
    <t>ACT PRIN</t>
  </si>
  <si>
    <t>GOAL</t>
  </si>
  <si>
    <t>Ultimate goal is to get this price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</si>
</sst>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2">
    <numFmt numFmtId="6" formatCode="&quot;$&quot;#,##0_);[Red]\(&quot;$&quot;#,##0\)"/>
    <numFmt numFmtId="8" formatCode="&quot;$&quot;#,##0.00_);[Red]\(&quot;$&quot;#,##0.00\)"/>
    <numFmt numFmtId="43" formatCode="_(* #,##0.00_);_(* \(#,##0.00\);_(* &quot;-&quot;??_);_(@_)"/>
    <numFmt numFmtId="164" formatCode="0.000%"/>
    <numFmt numFmtId="165" formatCode="_(* #,##0.0000_);_(* \(#,##0.0000\);_(* &quot;-&quot;??_);_(@_)"/>
    <numFmt numFmtId="166" formatCode="_(* #,##0.000_);_(* \(#,##0.000\);_(* &quot;-&quot;??_);_(@_)"/>
    <numFmt numFmtId="167" formatCode="0.00000000"/>
    <numFmt numFmtId="168" formatCode="0.000000000000000%"/>
    <numFmt numFmtId="169" formatCode="0.0%"/>
    <numFmt numFmtId="170" formatCode="0.0000%"/>
    <numFmt numFmtId="171" formatCode="_(* #,##0.00000_);_(* \(#,##0.00000\);_(* &quot;-&quot;??_);_(@_)"/>
    <numFmt numFmtId="172" formatCode="&quot;$&quot;#,##0.00"/>
  </numFmts>
  <fonts count="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8"/>
      <color theme="1"/>
      <name val="Arial"/>
      <family val="2"/>
    </font>
    <font>
      <b/>
      <sz val="9"/>
      <color theme="1"/>
      <name val="Arial"/>
      <family val="2"/>
    </font>
    <font>
      <sz val="8"/>
      <color theme="1"/>
      <name val="Arial"/>
      <family val="2"/>
    </font>
    <font>
      <b/>
      <sz val="9"/>
      <color theme="0"/>
      <name val="Arial"/>
      <family val="2"/>
    </font>
    <font>
      <b/>
      <sz val="11"/>
      <color theme="1"/>
      <name val="Calibri"/>
      <family val="2"/>
      <scheme val="minor"/>
    </font>
    <font>
      <b/>
      <sz val="9"/>
      <color rgb="FFFF0000"/>
      <name val="Arial"/>
      <family val="2"/>
    </font>
    <font>
      <b/>
      <sz val="8"/>
      <color rgb="FFFF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3" tint="0.79998168889431442"/>
        <bgColor indexed="64"/>
      </patternFill>
    </fill>
  </fills>
  <borders count="9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138">
    <xf numFmtId="0" fontId="0" fillId="0" borderId="0" xfId="0"/>
    <xf numFmtId="0" fontId="2" fillId="0" borderId="0" xfId="0" applyFont="1" applyAlignment="1">
      <alignment horizontal="right"/>
    </xf>
    <xf numFmtId="0" fontId="3" fillId="0" borderId="1" xfId="0" applyFont="1" applyBorder="1"/>
    <xf numFmtId="4" fontId="3" fillId="2" borderId="2" xfId="0" applyNumberFormat="1" applyFont="1" applyFill="1" applyBorder="1"/>
    <xf numFmtId="0" fontId="2" fillId="0" borderId="0" xfId="0" applyFont="1" applyAlignment="1">
      <alignment horizontal="right" indent="1"/>
    </xf>
    <xf numFmtId="9" fontId="2" fillId="0" borderId="1" xfId="0" applyNumberFormat="1" applyFont="1" applyBorder="1"/>
    <xf numFmtId="43" fontId="2" fillId="3" borderId="2" xfId="0" applyNumberFormat="1" applyFont="1" applyFill="1" applyBorder="1"/>
    <xf numFmtId="0" fontId="4" fillId="0" borderId="0" xfId="0" applyFont="1"/>
    <xf numFmtId="0" fontId="2" fillId="0" borderId="1" xfId="0" applyFont="1" applyBorder="1"/>
    <xf numFmtId="164" fontId="2" fillId="3" borderId="2" xfId="2" applyNumberFormat="1" applyFont="1" applyFill="1" applyBorder="1"/>
    <xf numFmtId="165" fontId="4" fillId="0" borderId="0" xfId="0" applyNumberFormat="1" applyFont="1"/>
    <xf numFmtId="0" fontId="2" fillId="0" borderId="0" xfId="0" applyFont="1"/>
    <xf numFmtId="0" fontId="3" fillId="0" borderId="3" xfId="0" applyFont="1" applyBorder="1"/>
    <xf numFmtId="10" fontId="3" fillId="2" borderId="4" xfId="2" applyNumberFormat="1" applyFont="1" applyFill="1" applyBorder="1"/>
    <xf numFmtId="0" fontId="2" fillId="0" borderId="0" xfId="0" applyFont="1" applyAlignment="1">
      <alignment horizontal="left" indent="1"/>
    </xf>
    <xf numFmtId="9" fontId="2" fillId="0" borderId="3" xfId="0" applyNumberFormat="1" applyFont="1" applyBorder="1"/>
    <xf numFmtId="9" fontId="2" fillId="3" borderId="4" xfId="2" applyFont="1" applyFill="1" applyBorder="1"/>
    <xf numFmtId="0" fontId="2" fillId="0" borderId="3" xfId="0" applyFont="1" applyBorder="1"/>
    <xf numFmtId="9" fontId="2" fillId="2" borderId="4" xfId="0" applyNumberFormat="1" applyFont="1" applyFill="1" applyBorder="1"/>
    <xf numFmtId="166" fontId="4" fillId="0" borderId="0" xfId="0" applyNumberFormat="1" applyFont="1"/>
    <xf numFmtId="0" fontId="3" fillId="2" borderId="4" xfId="0" applyFont="1" applyFill="1" applyBorder="1"/>
    <xf numFmtId="43" fontId="4" fillId="3" borderId="4" xfId="1" applyFont="1" applyFill="1" applyBorder="1"/>
    <xf numFmtId="9" fontId="2" fillId="3" borderId="4" xfId="0" applyNumberFormat="1" applyFont="1" applyFill="1" applyBorder="1"/>
    <xf numFmtId="10" fontId="4" fillId="3" borderId="4" xfId="2" applyNumberFormat="1" applyFont="1" applyFill="1" applyBorder="1"/>
    <xf numFmtId="0" fontId="2" fillId="0" borderId="4" xfId="0" applyFont="1" applyBorder="1"/>
    <xf numFmtId="43" fontId="3" fillId="2" borderId="4" xfId="1" applyFont="1" applyFill="1" applyBorder="1"/>
    <xf numFmtId="0" fontId="4" fillId="3" borderId="4" xfId="0" applyFont="1" applyFill="1" applyBorder="1"/>
    <xf numFmtId="9" fontId="4" fillId="3" borderId="4" xfId="0" applyNumberFormat="1" applyFont="1" applyFill="1" applyBorder="1"/>
    <xf numFmtId="0" fontId="2" fillId="2" borderId="4" xfId="0" applyFont="1" applyFill="1" applyBorder="1" applyAlignment="1">
      <alignment horizontal="right"/>
    </xf>
    <xf numFmtId="0" fontId="4" fillId="0" borderId="3" xfId="0" applyFont="1" applyBorder="1"/>
    <xf numFmtId="0" fontId="4" fillId="0" borderId="4" xfId="0" applyFont="1" applyBorder="1"/>
    <xf numFmtId="43" fontId="2" fillId="0" borderId="0" xfId="0" applyNumberFormat="1" applyFont="1"/>
    <xf numFmtId="0" fontId="2" fillId="0" borderId="5" xfId="0" applyFont="1" applyBorder="1"/>
    <xf numFmtId="10" fontId="4" fillId="2" borderId="6" xfId="0" applyNumberFormat="1" applyFont="1" applyFill="1" applyBorder="1"/>
    <xf numFmtId="43" fontId="2" fillId="0" borderId="5" xfId="0" applyNumberFormat="1" applyFont="1" applyBorder="1"/>
    <xf numFmtId="0" fontId="4" fillId="3" borderId="6" xfId="0" applyFont="1" applyFill="1" applyBorder="1"/>
    <xf numFmtId="0" fontId="4" fillId="0" borderId="5" xfId="0" applyFont="1" applyBorder="1"/>
    <xf numFmtId="0" fontId="4" fillId="0" borderId="6" xfId="0" applyFont="1" applyBorder="1"/>
    <xf numFmtId="43" fontId="4" fillId="0" borderId="0" xfId="0" applyNumberFormat="1" applyFont="1"/>
    <xf numFmtId="9" fontId="3" fillId="0" borderId="0" xfId="2" applyFont="1"/>
    <xf numFmtId="10" fontId="2" fillId="0" borderId="0" xfId="0" applyNumberFormat="1" applyFont="1"/>
    <xf numFmtId="9" fontId="2" fillId="0" borderId="0" xfId="0" applyNumberFormat="1" applyFont="1"/>
    <xf numFmtId="0" fontId="5" fillId="4" borderId="0" xfId="0" applyFont="1" applyFill="1"/>
    <xf numFmtId="0" fontId="5" fillId="4" borderId="0" xfId="0" applyFont="1" applyFill="1" applyAlignment="1">
      <alignment horizontal="right"/>
    </xf>
    <xf numFmtId="0" fontId="5" fillId="4" borderId="0" xfId="0" applyFont="1" applyFill="1" applyAlignment="1">
      <alignment horizontal="center"/>
    </xf>
    <xf numFmtId="0" fontId="4" fillId="0" borderId="0" xfId="0" applyFont="1" applyAlignment="1">
      <alignment horizontal="left"/>
    </xf>
    <xf numFmtId="4" fontId="4" fillId="0" borderId="0" xfId="0" applyNumberFormat="1" applyFont="1"/>
    <xf numFmtId="4" fontId="4" fillId="0" borderId="0" xfId="0" quotePrefix="1" applyNumberFormat="1" applyFont="1"/>
    <xf numFmtId="43" fontId="4" fillId="0" borderId="0" xfId="1" applyFont="1" applyAlignment="1">
      <alignment horizontal="center"/>
    </xf>
    <xf numFmtId="43" fontId="4" fillId="0" borderId="0" xfId="1" applyFont="1"/>
    <xf numFmtId="43" fontId="4" fillId="0" borderId="0" xfId="0" applyNumberFormat="1" applyFont="1" applyAlignment="1">
      <alignment horizontal="center" vertical="top"/>
    </xf>
    <xf numFmtId="43" fontId="4" fillId="0" borderId="0" xfId="1" applyFont="1" applyFill="1"/>
    <xf numFmtId="43" fontId="4" fillId="0" borderId="0" xfId="1" quotePrefix="1" applyFont="1" applyFill="1"/>
    <xf numFmtId="10" fontId="4" fillId="0" borderId="0" xfId="0" applyNumberFormat="1" applyFont="1"/>
    <xf numFmtId="0" fontId="4" fillId="3" borderId="0" xfId="0" applyFont="1" applyFill="1" applyAlignment="1">
      <alignment horizontal="left"/>
    </xf>
    <xf numFmtId="43" fontId="4" fillId="3" borderId="0" xfId="1" applyFont="1" applyFill="1"/>
    <xf numFmtId="43" fontId="4" fillId="3" borderId="0" xfId="0" applyNumberFormat="1" applyFont="1" applyFill="1" applyAlignment="1">
      <alignment horizontal="center" vertical="top"/>
    </xf>
    <xf numFmtId="43" fontId="4" fillId="3" borderId="0" xfId="1" quotePrefix="1" applyFont="1" applyFill="1"/>
    <xf numFmtId="43" fontId="4" fillId="3" borderId="0" xfId="0" applyNumberFormat="1" applyFont="1" applyFill="1"/>
    <xf numFmtId="0" fontId="4" fillId="3" borderId="0" xfId="0" applyFont="1" applyFill="1"/>
    <xf numFmtId="4" fontId="4" fillId="3" borderId="0" xfId="0" quotePrefix="1" applyNumberFormat="1" applyFont="1" applyFill="1"/>
    <xf numFmtId="43" fontId="4" fillId="0" borderId="0" xfId="1" applyFont="1" applyFill="1" applyAlignment="1">
      <alignment horizontal="center"/>
    </xf>
    <xf numFmtId="167" fontId="4" fillId="0" borderId="0" xfId="0" applyNumberFormat="1" applyFont="1"/>
    <xf numFmtId="2" fontId="4" fillId="0" borderId="0" xfId="0" applyNumberFormat="1" applyFont="1"/>
    <xf numFmtId="164" fontId="4" fillId="0" borderId="0" xfId="2" applyNumberFormat="1" applyFont="1"/>
    <xf numFmtId="168" fontId="4" fillId="0" borderId="0" xfId="0" applyNumberFormat="1" applyFont="1"/>
    <xf numFmtId="4" fontId="0" fillId="0" borderId="0" xfId="0" applyNumberFormat="1"/>
    <xf numFmtId="43" fontId="0" fillId="0" borderId="0" xfId="1" applyFont="1"/>
    <xf numFmtId="43" fontId="0" fillId="0" borderId="0" xfId="0" applyNumberFormat="1"/>
    <xf numFmtId="10" fontId="0" fillId="0" borderId="0" xfId="2" applyNumberFormat="1" applyFont="1"/>
    <xf numFmtId="164" fontId="0" fillId="0" borderId="0" xfId="0" applyNumberFormat="1"/>
    <xf numFmtId="6" fontId="0" fillId="0" borderId="0" xfId="0" applyNumberFormat="1"/>
    <xf numFmtId="0" fontId="0" fillId="0" borderId="1" xfId="0" applyBorder="1"/>
    <xf numFmtId="0" fontId="0" fillId="0" borderId="7" xfId="0" applyBorder="1" applyAlignment="1">
      <alignment horizontal="center"/>
    </xf>
    <xf numFmtId="0" fontId="6" fillId="0" borderId="7" xfId="0" applyFont="1" applyBorder="1" applyAlignment="1">
      <alignment horizontal="center"/>
    </xf>
    <xf numFmtId="0" fontId="6" fillId="0" borderId="2" xfId="0" applyFont="1" applyBorder="1" applyAlignment="1">
      <alignment horizontal="center"/>
    </xf>
    <xf numFmtId="0" fontId="0" fillId="0" borderId="3" xfId="0" applyBorder="1"/>
    <xf numFmtId="0" fontId="6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0" fillId="0" borderId="4" xfId="0" applyBorder="1" applyAlignment="1">
      <alignment horizontal="center"/>
    </xf>
    <xf numFmtId="0" fontId="0" fillId="0" borderId="5" xfId="0" applyBorder="1"/>
    <xf numFmtId="0" fontId="0" fillId="0" borderId="8" xfId="0" applyBorder="1"/>
    <xf numFmtId="0" fontId="0" fillId="0" borderId="6" xfId="0" applyBorder="1"/>
    <xf numFmtId="169" fontId="0" fillId="0" borderId="0" xfId="2" applyNumberFormat="1" applyFont="1"/>
    <xf numFmtId="164" fontId="4" fillId="0" borderId="0" xfId="0" applyNumberFormat="1" applyFont="1"/>
    <xf numFmtId="10" fontId="4" fillId="0" borderId="0" xfId="2" applyNumberFormat="1" applyFont="1"/>
    <xf numFmtId="170" fontId="4" fillId="0" borderId="0" xfId="0" applyNumberFormat="1" applyFont="1"/>
    <xf numFmtId="8" fontId="4" fillId="0" borderId="0" xfId="0" applyNumberFormat="1" applyFont="1"/>
    <xf numFmtId="171" fontId="4" fillId="0" borderId="0" xfId="0" applyNumberFormat="1" applyFont="1"/>
    <xf numFmtId="172" fontId="4" fillId="0" borderId="0" xfId="2" applyNumberFormat="1" applyFont="1"/>
    <xf numFmtId="10" fontId="4" fillId="2" borderId="0" xfId="0" applyNumberFormat="1" applyFont="1" applyFill="1"/>
    <xf numFmtId="43" fontId="4" fillId="2" borderId="0" xfId="1" applyFont="1" applyFill="1" applyBorder="1"/>
    <xf numFmtId="167" fontId="4" fillId="3" borderId="0" xfId="0" applyNumberFormat="1" applyFont="1" applyFill="1"/>
    <xf numFmtId="43" fontId="4" fillId="3" borderId="0" xfId="1" applyFont="1" applyFill="1" applyAlignment="1">
      <alignment horizontal="center"/>
    </xf>
    <xf numFmtId="10" fontId="4" fillId="3" borderId="0" xfId="0" applyNumberFormat="1" applyFont="1" applyFill="1"/>
    <xf numFmtId="170" fontId="4" fillId="3" borderId="0" xfId="0" applyNumberFormat="1" applyFont="1" applyFill="1"/>
    <xf numFmtId="4" fontId="4" fillId="3" borderId="0" xfId="0" applyNumberFormat="1" applyFont="1" applyFill="1"/>
    <xf numFmtId="0" fontId="0" fillId="0" borderId="0" xfId="0" quotePrefix="1"/>
    <xf numFmtId="10" fontId="0" fillId="0" borderId="0" xfId="0" applyNumberFormat="1" applyAlignment="1">
      <alignment horizontal="center"/>
    </xf>
    <xf numFmtId="6" fontId="0" fillId="0" borderId="0" xfId="0" applyNumberFormat="1" applyAlignment="1">
      <alignment horizontal="center"/>
    </xf>
    <xf numFmtId="0" fontId="7" fillId="0" borderId="3" xfId="0" applyFont="1" applyBorder="1"/>
    <xf numFmtId="0" fontId="8" fillId="0" borderId="3" xfId="0" applyFont="1" applyBorder="1"/>
    <xf numFmtId="0" fontId="4" fillId="0" borderId="8" xfId="0" applyFont="1" applyBorder="1"/>
    <xf numFmtId="43" fontId="2" fillId="5" borderId="0" xfId="0" applyNumberFormat="1" applyFont="1" applyFill="1"/>
    <xf numFmtId="43" fontId="4" fillId="5" borderId="0" xfId="0" applyNumberFormat="1" applyFont="1" applyFill="1"/>
    <xf numFmtId="8" fontId="4" fillId="3" borderId="0" xfId="0" applyNumberFormat="1" applyFont="1" applyFill="1"/>
    <xf numFmtId="167" fontId="4" fillId="5" borderId="0" xfId="0" applyNumberFormat="1" applyFont="1" applyFill="1"/>
    <xf numFmtId="0" fontId="4" fillId="5" borderId="0" xfId="0" applyFont="1" applyFill="1" applyAlignment="1">
      <alignment horizontal="left"/>
    </xf>
    <xf numFmtId="43" fontId="4" fillId="5" borderId="0" xfId="1" applyFont="1" applyFill="1"/>
    <xf numFmtId="4" fontId="4" fillId="5" borderId="0" xfId="0" quotePrefix="1" applyNumberFormat="1" applyFont="1" applyFill="1"/>
    <xf numFmtId="43" fontId="4" fillId="5" borderId="0" xfId="1" applyFont="1" applyFill="1" applyAlignment="1">
      <alignment horizontal="center"/>
    </xf>
    <xf numFmtId="43" fontId="4" fillId="5" borderId="0" xfId="0" applyNumberFormat="1" applyFont="1" applyFill="1" applyAlignment="1">
      <alignment horizontal="center" vertical="top"/>
    </xf>
    <xf numFmtId="43" fontId="4" fillId="5" borderId="0" xfId="1" quotePrefix="1" applyFont="1" applyFill="1"/>
    <xf numFmtId="10" fontId="4" fillId="5" borderId="0" xfId="0" applyNumberFormat="1" applyFont="1" applyFill="1"/>
    <xf numFmtId="0" fontId="4" fillId="5" borderId="0" xfId="0" applyFont="1" applyFill="1"/>
    <xf numFmtId="9" fontId="4" fillId="0" borderId="0" xfId="0" applyNumberFormat="1" applyFont="1"/>
    <xf numFmtId="43" fontId="2" fillId="0" borderId="0" xfId="1" applyFont="1"/>
    <xf numFmtId="10" fontId="2" fillId="3" borderId="0" xfId="0" applyNumberFormat="1" applyFont="1" applyFill="1"/>
    <xf numFmtId="164" fontId="2" fillId="3" borderId="0" xfId="0" applyNumberFormat="1" applyFont="1" applyFill="1"/>
    <xf numFmtId="171" fontId="4" fillId="3" borderId="0" xfId="0" applyNumberFormat="1" applyFont="1" applyFill="1"/>
    <xf numFmtId="9" fontId="3" fillId="3" borderId="0" xfId="2" applyFont="1" applyFill="1"/>
    <xf numFmtId="0" fontId="2" fillId="3" borderId="0" xfId="0" applyFont="1" applyFill="1"/>
    <xf numFmtId="165" fontId="4" fillId="0" borderId="1" xfId="0" applyNumberFormat="1" applyFont="1" applyBorder="1"/>
    <xf numFmtId="0" fontId="4" fillId="0" borderId="7" xfId="0" applyFont="1" applyBorder="1"/>
    <xf numFmtId="0" fontId="4" fillId="0" borderId="2" xfId="0" applyFont="1" applyBorder="1"/>
    <xf numFmtId="10" fontId="2" fillId="0" borderId="3" xfId="2" applyNumberFormat="1" applyFont="1" applyBorder="1"/>
    <xf numFmtId="0" fontId="0" fillId="0" borderId="0" xfId="0" applyAlignment="1">
      <alignment horizontal="center"/>
    </xf>
    <xf numFmtId="167" fontId="4" fillId="6" borderId="0" xfId="0" applyNumberFormat="1" applyFont="1" applyFill="1"/>
    <xf numFmtId="0" fontId="4" fillId="6" borderId="0" xfId="0" applyFont="1" applyFill="1" applyAlignment="1">
      <alignment horizontal="left"/>
    </xf>
    <xf numFmtId="43" fontId="4" fillId="6" borderId="0" xfId="1" applyFont="1" applyFill="1"/>
    <xf numFmtId="43" fontId="4" fillId="6" borderId="0" xfId="1" applyFont="1" applyFill="1" applyAlignment="1">
      <alignment horizontal="center"/>
    </xf>
    <xf numFmtId="43" fontId="4" fillId="6" borderId="0" xfId="0" applyNumberFormat="1" applyFont="1" applyFill="1" applyAlignment="1">
      <alignment horizontal="center" vertical="top"/>
    </xf>
    <xf numFmtId="43" fontId="4" fillId="6" borderId="0" xfId="1" quotePrefix="1" applyFont="1" applyFill="1"/>
    <xf numFmtId="43" fontId="4" fillId="6" borderId="0" xfId="0" applyNumberFormat="1" applyFont="1" applyFill="1"/>
    <xf numFmtId="10" fontId="4" fillId="6" borderId="0" xfId="0" applyNumberFormat="1" applyFont="1" applyFill="1"/>
    <xf numFmtId="0" fontId="4" fillId="6" borderId="0" xfId="0" applyFont="1" applyFill="1"/>
    <xf numFmtId="170" fontId="2" fillId="3" borderId="4" xfId="0" applyNumberFormat="1" applyFont="1" applyFill="1" applyBorder="1"/>
    <xf numFmtId="4" fontId="4" fillId="6" borderId="0" xfId="0" applyNumberFormat="1" applyFont="1" applyFill="1"/>
  </cellXfs>
  <cellStyles count="3">
    <cellStyle name="Comma" xfId="1" builtinId="3"/>
    <cellStyle name="Normal" xfId="0" builtinId="0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F14D50-9DE6-4C44-B8DE-2F422318FCB0}">
  <sheetPr codeName="Sheet10"/>
  <dimension ref="A1:W232"/>
  <sheetViews>
    <sheetView showGridLines="0" zoomScaleNormal="100" workbookViewId="0">
      <selection activeCell="D12" sqref="D12"/>
    </sheetView>
  </sheetViews>
  <sheetFormatPr defaultColWidth="9.140625" defaultRowHeight="11.25" x14ac:dyDescent="0.2"/>
  <cols>
    <col min="1" max="1" width="12.5703125" style="7" customWidth="1"/>
    <col min="2" max="2" width="15.42578125" style="7" customWidth="1"/>
    <col min="3" max="3" width="15.7109375" style="7" customWidth="1"/>
    <col min="4" max="4" width="15.85546875" style="7" customWidth="1"/>
    <col min="5" max="5" width="13.140625" style="7" customWidth="1"/>
    <col min="6" max="6" width="15.28515625" style="7" customWidth="1"/>
    <col min="7" max="7" width="17" style="7" customWidth="1"/>
    <col min="8" max="8" width="18" style="7" customWidth="1"/>
    <col min="9" max="15" width="17" style="7" customWidth="1"/>
    <col min="16" max="16" width="15.85546875" style="7" customWidth="1"/>
    <col min="17" max="19" width="9.140625" style="7"/>
    <col min="20" max="20" width="11.140625" style="7" bestFit="1" customWidth="1"/>
    <col min="21" max="21" width="12.85546875" style="7" customWidth="1"/>
    <col min="22" max="22" width="11.42578125" style="7" bestFit="1" customWidth="1"/>
    <col min="23" max="23" width="12.5703125" style="7" bestFit="1" customWidth="1"/>
    <col min="24" max="16384" width="9.140625" style="7"/>
  </cols>
  <sheetData>
    <row r="1" spans="1:23" ht="12" x14ac:dyDescent="0.2">
      <c r="A1" s="1"/>
      <c r="B1" s="2" t="s">
        <v>0</v>
      </c>
      <c r="C1" s="3">
        <v>5240764.8099999977</v>
      </c>
      <c r="D1" s="4" t="s">
        <v>1</v>
      </c>
      <c r="E1" s="5" t="s">
        <v>2</v>
      </c>
      <c r="F1" s="6"/>
      <c r="H1" s="8" t="s">
        <v>3</v>
      </c>
      <c r="I1" s="9">
        <f>T8*(-1)/C1</f>
        <v>-4.3292896602641086E-9</v>
      </c>
      <c r="N1" s="10">
        <f>M8*0.9/C1</f>
        <v>-0.29243866097693061</v>
      </c>
    </row>
    <row r="2" spans="1:23" ht="12" x14ac:dyDescent="0.2">
      <c r="A2" s="11"/>
      <c r="B2" s="12" t="s">
        <v>4</v>
      </c>
      <c r="C2" s="13">
        <v>0.15173639629842497</v>
      </c>
      <c r="D2" s="14"/>
      <c r="E2" s="15" t="s">
        <v>5</v>
      </c>
      <c r="F2" s="16"/>
      <c r="H2" s="17" t="s">
        <v>6</v>
      </c>
      <c r="I2" s="18">
        <v>0.05</v>
      </c>
      <c r="M2" s="19">
        <f>(M8+N8)/C1</f>
        <v>-0.32493184552992294</v>
      </c>
    </row>
    <row r="3" spans="1:23" ht="12" x14ac:dyDescent="0.2">
      <c r="A3" s="11"/>
      <c r="B3" s="12" t="s">
        <v>7</v>
      </c>
      <c r="C3" s="20">
        <v>180</v>
      </c>
      <c r="E3" s="17" t="s">
        <v>8</v>
      </c>
      <c r="F3" s="21"/>
      <c r="H3" s="17" t="s">
        <v>9</v>
      </c>
      <c r="I3" s="22">
        <f>T9</f>
        <v>0.05</v>
      </c>
      <c r="K3" s="46">
        <v>419512.21</v>
      </c>
      <c r="L3" s="49">
        <f>K3/U13</f>
        <v>98354245.456870854</v>
      </c>
      <c r="T3" s="46">
        <v>2339837.2599999998</v>
      </c>
      <c r="U3" s="46">
        <v>3564282.02</v>
      </c>
      <c r="V3" s="46"/>
    </row>
    <row r="4" spans="1:23" ht="12" x14ac:dyDescent="0.2">
      <c r="B4" s="100" t="s">
        <v>10</v>
      </c>
      <c r="C4" s="20">
        <v>30</v>
      </c>
      <c r="E4" s="17" t="s">
        <v>11</v>
      </c>
      <c r="F4" s="23"/>
      <c r="H4" s="17"/>
      <c r="I4" s="24"/>
      <c r="L4" s="38">
        <f>L3-D12</f>
        <v>93113480.646870852</v>
      </c>
    </row>
    <row r="5" spans="1:23" ht="12" x14ac:dyDescent="0.2">
      <c r="B5" s="101" t="s">
        <v>12</v>
      </c>
      <c r="C5" s="25">
        <v>263986.86391300004</v>
      </c>
      <c r="E5" s="17" t="s">
        <v>13</v>
      </c>
      <c r="F5" s="26"/>
      <c r="H5" s="17"/>
      <c r="I5" s="24"/>
      <c r="J5" s="38">
        <f>H12-I12</f>
        <v>0</v>
      </c>
      <c r="T5" s="46"/>
      <c r="U5" s="46"/>
    </row>
    <row r="6" spans="1:23" ht="12" x14ac:dyDescent="0.2">
      <c r="B6" s="101" t="s">
        <v>14</v>
      </c>
      <c r="C6" s="25">
        <v>0</v>
      </c>
      <c r="E6" s="17" t="s">
        <v>15</v>
      </c>
      <c r="F6" s="27"/>
      <c r="H6" s="17"/>
      <c r="I6" s="24"/>
      <c r="V6" s="46"/>
    </row>
    <row r="7" spans="1:23" x14ac:dyDescent="0.2">
      <c r="B7" s="101" t="s">
        <v>16</v>
      </c>
      <c r="C7" s="28" t="s">
        <v>52</v>
      </c>
      <c r="E7" s="17" t="s">
        <v>17</v>
      </c>
      <c r="F7" s="26"/>
      <c r="H7" s="29"/>
      <c r="I7" s="30"/>
      <c r="J7" s="31"/>
      <c r="T7" s="86">
        <f>1-T8</f>
        <v>0.97731121109619101</v>
      </c>
    </row>
    <row r="8" spans="1:23" ht="12" thickBot="1" x14ac:dyDescent="0.25">
      <c r="B8" s="32" t="s">
        <v>18</v>
      </c>
      <c r="C8" s="33">
        <v>0.12</v>
      </c>
      <c r="E8" s="34"/>
      <c r="F8" s="35"/>
      <c r="H8" s="36"/>
      <c r="I8" s="37"/>
      <c r="J8" s="31">
        <f t="shared" ref="J8:Q8" si="0">_xlfn.AGGREGATE(9, 6, J11:J300)</f>
        <v>1555790.1283950566</v>
      </c>
      <c r="K8" s="38" t="e">
        <f>D12+J9</f>
        <v>#REF!</v>
      </c>
      <c r="L8" s="31">
        <f>_xlfn.AGGREGATE(9, 6, L11:L300)</f>
        <v>1702891.3817015751</v>
      </c>
      <c r="M8" s="31">
        <f t="shared" si="0"/>
        <v>-1702891.3817015751</v>
      </c>
      <c r="N8" s="31">
        <f t="shared" si="0"/>
        <v>0</v>
      </c>
      <c r="O8" s="31">
        <f t="shared" si="0"/>
        <v>9075579.636660846</v>
      </c>
      <c r="P8" s="31">
        <f>_xlfn.AGGREGATE(9, 6, P11:P300)</f>
        <v>9075579.636660846</v>
      </c>
      <c r="Q8" s="31">
        <f t="shared" si="0"/>
        <v>0</v>
      </c>
      <c r="T8" s="86">
        <v>2.2688788903808987E-2</v>
      </c>
      <c r="V8" s="46"/>
      <c r="W8" s="46"/>
    </row>
    <row r="9" spans="1:23" ht="41.1" customHeight="1" x14ac:dyDescent="0.2">
      <c r="B9" s="87">
        <f>PMT(C2/12,60,99573468)</f>
        <v>-2377931.1975571988</v>
      </c>
      <c r="C9" s="38">
        <f>B9+C1*C2/12</f>
        <v>-2311663.3003807822</v>
      </c>
      <c r="D9" s="88">
        <f>D12-W13</f>
        <v>-93113480.646870852</v>
      </c>
      <c r="E9" s="38">
        <f>D11-F9-L12</f>
        <v>6035979.5761169977</v>
      </c>
      <c r="F9" s="55">
        <f>H12-C1*C2/1</f>
        <v>-795214.76611699956</v>
      </c>
      <c r="G9" s="38" t="e">
        <f>(#REF!-J12)*S12</f>
        <v>#REF!</v>
      </c>
      <c r="H9" s="46"/>
      <c r="I9" s="38" t="s">
        <v>87</v>
      </c>
      <c r="J9" s="104" t="e">
        <f>#REF!/S12</f>
        <v>#REF!</v>
      </c>
      <c r="K9" s="38" t="e">
        <f>D11-J9</f>
        <v>#REF!</v>
      </c>
      <c r="L9" s="38"/>
      <c r="N9" s="39">
        <v>1</v>
      </c>
      <c r="O9" s="11"/>
      <c r="P9" s="40"/>
      <c r="Q9" s="11"/>
      <c r="R9" s="40">
        <v>0.12</v>
      </c>
      <c r="S9" s="11"/>
      <c r="T9" s="41">
        <v>0.05</v>
      </c>
      <c r="U9" s="11"/>
      <c r="V9" s="49"/>
    </row>
    <row r="10" spans="1:23" ht="22.5" customHeight="1" x14ac:dyDescent="0.2">
      <c r="B10" s="42" t="s">
        <v>19</v>
      </c>
      <c r="C10" s="43" t="s">
        <v>20</v>
      </c>
      <c r="D10" s="43" t="s">
        <v>21</v>
      </c>
      <c r="E10" s="44" t="s">
        <v>22</v>
      </c>
      <c r="F10" s="44" t="s">
        <v>23</v>
      </c>
      <c r="G10" s="44" t="s">
        <v>24</v>
      </c>
      <c r="H10" s="43" t="s">
        <v>25</v>
      </c>
      <c r="I10" s="43" t="s">
        <v>26</v>
      </c>
      <c r="J10" s="43" t="s">
        <v>27</v>
      </c>
      <c r="K10" s="43" t="s">
        <v>28</v>
      </c>
      <c r="L10" s="43" t="s">
        <v>29</v>
      </c>
      <c r="M10" s="43" t="s">
        <v>30</v>
      </c>
      <c r="N10" s="43" t="s">
        <v>31</v>
      </c>
      <c r="O10" s="43" t="s">
        <v>32</v>
      </c>
      <c r="P10" s="43" t="s">
        <v>33</v>
      </c>
      <c r="Q10" s="43"/>
      <c r="R10" s="43" t="s">
        <v>34</v>
      </c>
      <c r="S10" s="43" t="s">
        <v>35</v>
      </c>
      <c r="T10" s="43" t="s">
        <v>36</v>
      </c>
      <c r="U10" s="43" t="s">
        <v>37</v>
      </c>
      <c r="V10" s="38"/>
      <c r="W10" s="38"/>
    </row>
    <row r="11" spans="1:23" x14ac:dyDescent="0.2">
      <c r="A11" s="62">
        <f>D11/C$1</f>
        <v>1</v>
      </c>
      <c r="B11" s="45">
        <v>0</v>
      </c>
      <c r="C11" s="46">
        <f>C1</f>
        <v>5240764.8099999977</v>
      </c>
      <c r="D11" s="47">
        <f>C1</f>
        <v>5240764.8099999977</v>
      </c>
      <c r="E11" s="38">
        <f>C5</f>
        <v>263986.86391300004</v>
      </c>
      <c r="F11" s="38">
        <f>C$5</f>
        <v>263986.86391300004</v>
      </c>
      <c r="O11" s="48">
        <f>K11+I11+J11+M11+N11+G11</f>
        <v>0</v>
      </c>
      <c r="P11" s="38">
        <f t="shared" ref="P11:P74" si="1">O11*(1/((1+P$9)^(B11/12)))</f>
        <v>0</v>
      </c>
    </row>
    <row r="12" spans="1:23" x14ac:dyDescent="0.2">
      <c r="A12" s="62">
        <f t="shared" ref="A12:A75" si="2">D12/C$1</f>
        <v>1</v>
      </c>
      <c r="B12" s="45">
        <f>B11+1</f>
        <v>1</v>
      </c>
      <c r="C12" s="51">
        <f t="shared" ref="C12:C75" si="3">IF(B12&lt;C$4,C$1,D11-L12+N12)</f>
        <v>5240764.8099999977</v>
      </c>
      <c r="D12" s="47" cm="1">
        <f t="array" ref="D12">_xlfn.IFS(AND($C$7="Y",B12&lt;C$4),C12,AND($C$7="Y",B12=C$4),D11+F12-J12-K12-L12+N12,AND($C$7="Y",B12&gt;$C$4),D11-J12-K12-L12+N12, TRUE, D11-J12-K12-L12+N12)</f>
        <v>5240764.8099999977</v>
      </c>
      <c r="E12" s="48">
        <f>IF(AND($C$7="Y",B12&lt;=$C$4),D11*C$2/12-G12,0)</f>
        <v>66267.897176416634</v>
      </c>
      <c r="F12" s="50">
        <f>IF(AND($C$7="Y",B12&lt;=C$4),E12+F11,0)</f>
        <v>330254.76108941669</v>
      </c>
      <c r="G12" s="50">
        <f>IF(AND(C$7="Y",$B12&lt;=$C$4),C$6,0)</f>
        <v>0</v>
      </c>
      <c r="H12" s="51">
        <f>IF(AND($B12&lt;=$C$4,C$7="Y"),0,IF(AND(C$7="N",C$4&gt;0,B12&lt;=C$4),0,(C12-L12+N12)*C$2/12/(1-(1/(1+C$2/12))^(C$3+C$4-B12+1))))</f>
        <v>0</v>
      </c>
      <c r="I12" s="52">
        <f t="shared" ref="I12:I75" si="4">IF(AND(C$7="Y",$B12&lt;=C$4),0,IF(AND(C$7="Y",$B12&gt;C$4),(1-U12)*C$2*D11/12,IF(AND($C$7="N",C$4&gt;0),(1-U12)*D11*C$2/12, (1-U12)*D11*C$2/12)))</f>
        <v>0</v>
      </c>
      <c r="J12" s="57">
        <f t="shared" ref="J12:J75" si="5">IF(AND($B12&lt;=$C$4,C$7="Y"),0,IF(AND(C$7="N",C$4&gt;0,B12&lt;=C$4),0,H12-I12))</f>
        <v>0</v>
      </c>
      <c r="K12" s="51">
        <f>IF(AND(C$7="Y",$B12&lt;=$C$4),0,IF(AND(C$7="N",C$4&gt;0,B12&lt;=C$4),0,S12*(D11-J12)))</f>
        <v>0</v>
      </c>
      <c r="L12" s="49">
        <f>IF(AND(C$7="Y",$B12&lt;=$C$4),0,IF(AND(C$7="N",C$4&gt;0,B12&lt;=C$4),0,U12*C11))</f>
        <v>0</v>
      </c>
      <c r="M12" s="49">
        <f>IFERROR(#REF!*-1,0)</f>
        <v>0</v>
      </c>
      <c r="N12" s="49">
        <f>IFERROR((1-$N$9)*#REF!,0)</f>
        <v>0</v>
      </c>
      <c r="O12" s="48">
        <f t="shared" ref="O12:O75" si="6">K12+I12+J12-L12+N12+G12</f>
        <v>0</v>
      </c>
      <c r="P12" s="38">
        <f t="shared" si="1"/>
        <v>0</v>
      </c>
      <c r="Q12" s="53"/>
      <c r="R12" s="53">
        <f>R$9</f>
        <v>0.12</v>
      </c>
      <c r="S12" s="53">
        <f>1-(1-R12)^(1/12)</f>
        <v>1.0596241035318976E-2</v>
      </c>
      <c r="T12" s="53">
        <f>T$9</f>
        <v>0.05</v>
      </c>
      <c r="U12" s="53">
        <f>1-(1-T12)^(1/12)</f>
        <v>4.2653187775606449E-3</v>
      </c>
      <c r="V12" s="38">
        <f>C$2*D11/12</f>
        <v>66267.897176416634</v>
      </c>
      <c r="W12" s="89">
        <f>S12*D11</f>
        <v>55532.407136177637</v>
      </c>
    </row>
    <row r="13" spans="1:23" s="59" customFormat="1" x14ac:dyDescent="0.2">
      <c r="A13" s="92">
        <f t="shared" si="2"/>
        <v>1</v>
      </c>
      <c r="B13" s="54">
        <f t="shared" ref="B13:B76" si="7">B12+1</f>
        <v>2</v>
      </c>
      <c r="C13" s="51">
        <f>IF(B13&lt;C$4,C$1,D12-L13+N13)</f>
        <v>5240764.8099999977</v>
      </c>
      <c r="D13" s="60" cm="1">
        <f t="array" ref="D13">_xlfn.IFS(AND($C$7="Y",B13&lt;C$4),C13,AND($C$7="Y",B13=C$4),D12+F13-J13-K13-L13+N13,AND($C$7="Y",B13&gt;$C$4),D12-J13-K13-L13+N13, TRUE, D12-J13-K13-L13+N13)</f>
        <v>5240764.8099999977</v>
      </c>
      <c r="E13" s="93">
        <f t="shared" ref="E13:E76" si="8">IF(AND($C$7="Y",B13&lt;=$C$4),D12*C$2/12-G13,0)</f>
        <v>66267.897176416634</v>
      </c>
      <c r="F13" s="56">
        <f t="shared" ref="F13:F76" si="9">IF(AND($C$7="Y",B13&lt;=C$4),E13+F12,0)</f>
        <v>396522.65826583334</v>
      </c>
      <c r="G13" s="56">
        <f>IF(AND(C$7="Y",$B13&lt;=$C$4),C$6,0)</f>
        <v>0</v>
      </c>
      <c r="H13" s="51">
        <f t="shared" ref="H13:H76" si="10">IF(AND($B13&lt;=$C$4,C$7="Y"),0,IF(AND(C$7="N",C$4&gt;0,B13&lt;=C$4),0,(C13-L13+N13)*C$2/12/(1-(1/(1+C$2/12))^(C$3+C$4-B13+1))))</f>
        <v>0</v>
      </c>
      <c r="I13" s="52">
        <f t="shared" si="4"/>
        <v>0</v>
      </c>
      <c r="J13" s="52">
        <f t="shared" si="5"/>
        <v>0</v>
      </c>
      <c r="K13" s="51">
        <f>IF(AND(C$7="Y",$B13&lt;=$C$4),0,IF(AND(C$7="N",C$4&gt;0,B13&lt;=C$4),0,S13*(C13-J13-L13)))</f>
        <v>0</v>
      </c>
      <c r="L13" s="51">
        <f t="shared" ref="L13:L76" si="11">IF(AND(C$7="Y",$B13&lt;=$C$4),0,IF(AND(C$7="N",C$4&gt;0,B13&lt;=C$4),0,U13*D12))</f>
        <v>0</v>
      </c>
      <c r="M13" s="55">
        <f>IFERROR(L9*-1,0)</f>
        <v>0</v>
      </c>
      <c r="N13" s="55">
        <f>IFERROR((1-$N$9)*K8,0)</f>
        <v>0</v>
      </c>
      <c r="O13" s="93">
        <f t="shared" si="6"/>
        <v>0</v>
      </c>
      <c r="P13" s="58">
        <f t="shared" si="1"/>
        <v>0</v>
      </c>
      <c r="Q13" s="94"/>
      <c r="R13" s="94">
        <f t="shared" ref="R13:R76" si="12">R$9</f>
        <v>0.12</v>
      </c>
      <c r="S13" s="95">
        <f t="shared" ref="S13:S76" si="13">1-(1-R13)^(1/12)</f>
        <v>1.0596241035318976E-2</v>
      </c>
      <c r="T13" s="94">
        <f t="shared" ref="T13:T76" si="14">T$9</f>
        <v>0.05</v>
      </c>
      <c r="U13" s="95">
        <f>1-(1-T13)^(1/12)</f>
        <v>4.2653187775606449E-3</v>
      </c>
      <c r="V13" s="96">
        <v>419512.21</v>
      </c>
      <c r="W13" s="55">
        <f>V13/U13</f>
        <v>98354245.456870854</v>
      </c>
    </row>
    <row r="14" spans="1:23" x14ac:dyDescent="0.2">
      <c r="A14" s="62">
        <f t="shared" si="2"/>
        <v>1</v>
      </c>
      <c r="B14" s="45">
        <f t="shared" si="7"/>
        <v>3</v>
      </c>
      <c r="C14" s="51">
        <f t="shared" si="3"/>
        <v>5240764.8099999977</v>
      </c>
      <c r="D14" s="47" cm="1">
        <f t="array" ref="D14">_xlfn.IFS(AND($C$7="Y",B14&lt;C$4),C14,AND($C$7="Y",B14=C$4),D13+F14-J14-K14-L14+N14,AND($C$7="Y",B14&gt;$C$4),D13-J14-K14-L14+N14, TRUE, D13-J14-K14-L14+N14)</f>
        <v>5240764.8099999977</v>
      </c>
      <c r="E14" s="48">
        <f t="shared" si="8"/>
        <v>66267.897176416634</v>
      </c>
      <c r="F14" s="50">
        <f t="shared" si="9"/>
        <v>462790.55544224998</v>
      </c>
      <c r="G14" s="50">
        <f>IF(AND(C$7="Y",$B14&lt;=$C$4),C$6,0)</f>
        <v>0</v>
      </c>
      <c r="H14" s="51">
        <f t="shared" si="10"/>
        <v>0</v>
      </c>
      <c r="I14" s="52">
        <f t="shared" si="4"/>
        <v>0</v>
      </c>
      <c r="J14" s="52">
        <f t="shared" si="5"/>
        <v>0</v>
      </c>
      <c r="K14" s="51">
        <f t="shared" ref="K14:K77" si="15">IF(AND(C$7="Y",$B14&lt;=$C$4),0,IF(AND(C$7="N",C$4&gt;0,B14&lt;=C$4),0,S14*(C14-J14)))</f>
        <v>0</v>
      </c>
      <c r="L14" s="49">
        <f t="shared" si="11"/>
        <v>0</v>
      </c>
      <c r="M14" s="55">
        <f t="shared" ref="M14" si="16">IFERROR(L10*-1,0)</f>
        <v>0</v>
      </c>
      <c r="N14" s="49">
        <f t="shared" ref="N14:N21" si="17">IFERROR((1-$N$9)*L10,0)</f>
        <v>0</v>
      </c>
      <c r="O14" s="48">
        <f t="shared" si="6"/>
        <v>0</v>
      </c>
      <c r="P14" s="38">
        <f t="shared" si="1"/>
        <v>0</v>
      </c>
      <c r="Q14" s="53"/>
      <c r="R14" s="53">
        <f t="shared" si="12"/>
        <v>0.12</v>
      </c>
      <c r="S14" s="53">
        <f t="shared" si="13"/>
        <v>1.0596241035318976E-2</v>
      </c>
      <c r="T14" s="53">
        <f t="shared" si="14"/>
        <v>0.05</v>
      </c>
      <c r="U14" s="53">
        <f t="shared" ref="U14:U77" si="18">1-(1-T14)^(1/12)</f>
        <v>4.2653187775606449E-3</v>
      </c>
    </row>
    <row r="15" spans="1:23" x14ac:dyDescent="0.2">
      <c r="A15" s="62">
        <f t="shared" si="2"/>
        <v>1</v>
      </c>
      <c r="B15" s="45">
        <f t="shared" si="7"/>
        <v>4</v>
      </c>
      <c r="C15" s="51">
        <f t="shared" si="3"/>
        <v>5240764.8099999977</v>
      </c>
      <c r="D15" s="47" cm="1">
        <f t="array" ref="D15">_xlfn.IFS(AND($C$7="Y",B15&lt;C$4),C15,AND($C$7="Y",B15=C$4),D14+F15-J15-K15-L15+N15,AND($C$7="Y",B15&gt;$C$4),D14-J15-K15-L15+N15, TRUE, D14-J15-K15-L15+N15)</f>
        <v>5240764.8099999977</v>
      </c>
      <c r="E15" s="48">
        <f t="shared" si="8"/>
        <v>66267.897176416634</v>
      </c>
      <c r="F15" s="50">
        <f t="shared" si="9"/>
        <v>529058.45261866658</v>
      </c>
      <c r="G15" s="50">
        <f t="shared" ref="G15:G78" si="19">IF($B15&lt;=$C$4,C$6,0)</f>
        <v>0</v>
      </c>
      <c r="H15" s="51">
        <f t="shared" si="10"/>
        <v>0</v>
      </c>
      <c r="I15" s="52">
        <f t="shared" si="4"/>
        <v>0</v>
      </c>
      <c r="J15" s="52">
        <f t="shared" si="5"/>
        <v>0</v>
      </c>
      <c r="K15" s="51">
        <f t="shared" si="15"/>
        <v>0</v>
      </c>
      <c r="L15" s="49">
        <f t="shared" si="11"/>
        <v>0</v>
      </c>
      <c r="M15" s="55">
        <f>IFERROR(L11*-1,0)</f>
        <v>0</v>
      </c>
      <c r="N15" s="49">
        <f>IFERROR((1-$N$9)*L11,0)</f>
        <v>0</v>
      </c>
      <c r="O15" s="48">
        <f t="shared" si="6"/>
        <v>0</v>
      </c>
      <c r="P15" s="38">
        <f t="shared" si="1"/>
        <v>0</v>
      </c>
      <c r="Q15" s="53"/>
      <c r="R15" s="53">
        <f t="shared" si="12"/>
        <v>0.12</v>
      </c>
      <c r="S15" s="53">
        <f t="shared" si="13"/>
        <v>1.0596241035318976E-2</v>
      </c>
      <c r="T15" s="53">
        <f t="shared" si="14"/>
        <v>0.05</v>
      </c>
      <c r="U15" s="53">
        <f t="shared" si="18"/>
        <v>4.2653187775606449E-3</v>
      </c>
    </row>
    <row r="16" spans="1:23" x14ac:dyDescent="0.2">
      <c r="A16" s="62">
        <f t="shared" si="2"/>
        <v>1</v>
      </c>
      <c r="B16" s="45">
        <f t="shared" si="7"/>
        <v>5</v>
      </c>
      <c r="C16" s="51">
        <f t="shared" si="3"/>
        <v>5240764.8099999977</v>
      </c>
      <c r="D16" s="47" cm="1">
        <f t="array" ref="D16">_xlfn.IFS(AND($C$7="Y",B16&lt;C$4),C16,AND($C$7="Y",B16=C$4),D15+F16-J16-K16-L16+N16,AND($C$7="Y",B16&gt;$C$4),D15-J16-K16-L16+N16, TRUE, D15-J16-K16-L16+N16)</f>
        <v>5240764.8099999977</v>
      </c>
      <c r="E16" s="48">
        <f t="shared" si="8"/>
        <v>66267.897176416634</v>
      </c>
      <c r="F16" s="50">
        <f t="shared" si="9"/>
        <v>595326.34979508317</v>
      </c>
      <c r="G16" s="50">
        <f t="shared" si="19"/>
        <v>0</v>
      </c>
      <c r="H16" s="51">
        <f t="shared" si="10"/>
        <v>0</v>
      </c>
      <c r="I16" s="52">
        <f t="shared" si="4"/>
        <v>0</v>
      </c>
      <c r="J16" s="52">
        <f t="shared" si="5"/>
        <v>0</v>
      </c>
      <c r="K16" s="51">
        <f t="shared" si="15"/>
        <v>0</v>
      </c>
      <c r="L16" s="49">
        <f t="shared" si="11"/>
        <v>0</v>
      </c>
      <c r="M16" s="49">
        <f>IFERROR(L12*-1,0)</f>
        <v>0</v>
      </c>
      <c r="N16" s="49">
        <f>IFERROR((1-$N$9)*L12,0)</f>
        <v>0</v>
      </c>
      <c r="O16" s="48">
        <f t="shared" si="6"/>
        <v>0</v>
      </c>
      <c r="P16" s="38">
        <f t="shared" si="1"/>
        <v>0</v>
      </c>
      <c r="Q16" s="53"/>
      <c r="R16" s="53">
        <f t="shared" si="12"/>
        <v>0.12</v>
      </c>
      <c r="S16" s="53">
        <f t="shared" si="13"/>
        <v>1.0596241035318976E-2</v>
      </c>
      <c r="T16" s="53">
        <f t="shared" si="14"/>
        <v>0.05</v>
      </c>
      <c r="U16" s="53">
        <f t="shared" si="18"/>
        <v>4.2653187775606449E-3</v>
      </c>
    </row>
    <row r="17" spans="1:21" x14ac:dyDescent="0.2">
      <c r="A17" s="62">
        <f t="shared" si="2"/>
        <v>1</v>
      </c>
      <c r="B17" s="45">
        <f t="shared" si="7"/>
        <v>6</v>
      </c>
      <c r="C17" s="51">
        <f t="shared" si="3"/>
        <v>5240764.8099999977</v>
      </c>
      <c r="D17" s="47" cm="1">
        <f t="array" ref="D17">_xlfn.IFS(AND($C$7="Y",B17&lt;C$4),C17,AND($C$7="Y",B17=C$4),D16+F17-J17-K17-L17+N17,AND($C$7="Y",B17&gt;$C$4),D16-J17-K17-L17+N17, TRUE, D16-J17-K17-L17+N17)</f>
        <v>5240764.8099999977</v>
      </c>
      <c r="E17" s="48">
        <f t="shared" si="8"/>
        <v>66267.897176416634</v>
      </c>
      <c r="F17" s="50">
        <f t="shared" si="9"/>
        <v>661594.24697149976</v>
      </c>
      <c r="G17" s="50">
        <f t="shared" si="19"/>
        <v>0</v>
      </c>
      <c r="H17" s="51">
        <f t="shared" si="10"/>
        <v>0</v>
      </c>
      <c r="I17" s="52">
        <f t="shared" si="4"/>
        <v>0</v>
      </c>
      <c r="J17" s="52">
        <f t="shared" si="5"/>
        <v>0</v>
      </c>
      <c r="K17" s="51">
        <f t="shared" si="15"/>
        <v>0</v>
      </c>
      <c r="L17" s="49">
        <f t="shared" si="11"/>
        <v>0</v>
      </c>
      <c r="M17" s="49">
        <f t="shared" ref="M17:M20" si="20">IFERROR(L13*-1,0)</f>
        <v>0</v>
      </c>
      <c r="N17" s="49">
        <f>IFERROR((1-$N$9)*L13,0)</f>
        <v>0</v>
      </c>
      <c r="O17" s="48">
        <f t="shared" si="6"/>
        <v>0</v>
      </c>
      <c r="P17" s="38">
        <f t="shared" si="1"/>
        <v>0</v>
      </c>
      <c r="Q17" s="53"/>
      <c r="R17" s="53">
        <f t="shared" si="12"/>
        <v>0.12</v>
      </c>
      <c r="S17" s="53">
        <f t="shared" si="13"/>
        <v>1.0596241035318976E-2</v>
      </c>
      <c r="T17" s="53">
        <f t="shared" si="14"/>
        <v>0.05</v>
      </c>
      <c r="U17" s="53">
        <f t="shared" si="18"/>
        <v>4.2653187775606449E-3</v>
      </c>
    </row>
    <row r="18" spans="1:21" x14ac:dyDescent="0.2">
      <c r="A18" s="62">
        <f t="shared" si="2"/>
        <v>1</v>
      </c>
      <c r="B18" s="45">
        <f t="shared" si="7"/>
        <v>7</v>
      </c>
      <c r="C18" s="51">
        <f t="shared" si="3"/>
        <v>5240764.8099999977</v>
      </c>
      <c r="D18" s="47" cm="1">
        <f t="array" ref="D18">_xlfn.IFS(AND($C$7="Y",B18&lt;C$4),C18,AND($C$7="Y",B18=C$4),D17+F18-J18-K18-L18+N18,AND($C$7="Y",B18&gt;$C$4),D17-J18-K18-L18+N18, TRUE, D17-J18-K18-L18+N18)</f>
        <v>5240764.8099999977</v>
      </c>
      <c r="E18" s="48">
        <f t="shared" si="8"/>
        <v>66267.897176416634</v>
      </c>
      <c r="F18" s="50">
        <f t="shared" si="9"/>
        <v>727862.14414791635</v>
      </c>
      <c r="G18" s="50">
        <f t="shared" si="19"/>
        <v>0</v>
      </c>
      <c r="H18" s="51">
        <f t="shared" si="10"/>
        <v>0</v>
      </c>
      <c r="I18" s="52">
        <f t="shared" si="4"/>
        <v>0</v>
      </c>
      <c r="J18" s="52">
        <f t="shared" si="5"/>
        <v>0</v>
      </c>
      <c r="K18" s="51">
        <f t="shared" si="15"/>
        <v>0</v>
      </c>
      <c r="L18" s="49">
        <f t="shared" si="11"/>
        <v>0</v>
      </c>
      <c r="M18" s="49">
        <f>IFERROR(L14*-1,0)</f>
        <v>0</v>
      </c>
      <c r="N18" s="49">
        <f t="shared" si="17"/>
        <v>0</v>
      </c>
      <c r="O18" s="48">
        <f t="shared" si="6"/>
        <v>0</v>
      </c>
      <c r="P18" s="38">
        <f t="shared" si="1"/>
        <v>0</v>
      </c>
      <c r="Q18" s="53"/>
      <c r="R18" s="53">
        <f t="shared" si="12"/>
        <v>0.12</v>
      </c>
      <c r="S18" s="53">
        <f t="shared" si="13"/>
        <v>1.0596241035318976E-2</v>
      </c>
      <c r="T18" s="53">
        <f t="shared" si="14"/>
        <v>0.05</v>
      </c>
      <c r="U18" s="53">
        <f t="shared" si="18"/>
        <v>4.2653187775606449E-3</v>
      </c>
    </row>
    <row r="19" spans="1:21" x14ac:dyDescent="0.2">
      <c r="A19" s="62">
        <f t="shared" si="2"/>
        <v>1</v>
      </c>
      <c r="B19" s="45">
        <f t="shared" si="7"/>
        <v>8</v>
      </c>
      <c r="C19" s="51">
        <f t="shared" si="3"/>
        <v>5240764.8099999977</v>
      </c>
      <c r="D19" s="47" cm="1">
        <f t="array" ref="D19">_xlfn.IFS(AND($C$7="Y",B19&lt;C$4),C19,AND($C$7="Y",B19=C$4),D18+F19-J19-K19-L19+N19,AND($C$7="Y",B19&gt;$C$4),D18-J19-K19-L19+N19, TRUE, D18-J19-K19-L19+N19)</f>
        <v>5240764.8099999977</v>
      </c>
      <c r="E19" s="48">
        <f t="shared" si="8"/>
        <v>66267.897176416634</v>
      </c>
      <c r="F19" s="50">
        <f t="shared" si="9"/>
        <v>794130.04132433294</v>
      </c>
      <c r="G19" s="50">
        <f t="shared" si="19"/>
        <v>0</v>
      </c>
      <c r="H19" s="51">
        <f t="shared" si="10"/>
        <v>0</v>
      </c>
      <c r="I19" s="52">
        <f t="shared" si="4"/>
        <v>0</v>
      </c>
      <c r="J19" s="52">
        <f t="shared" si="5"/>
        <v>0</v>
      </c>
      <c r="K19" s="51">
        <f t="shared" si="15"/>
        <v>0</v>
      </c>
      <c r="L19" s="49">
        <f t="shared" si="11"/>
        <v>0</v>
      </c>
      <c r="M19" s="49">
        <f t="shared" si="20"/>
        <v>0</v>
      </c>
      <c r="N19" s="49">
        <f t="shared" si="17"/>
        <v>0</v>
      </c>
      <c r="O19" s="48">
        <f t="shared" si="6"/>
        <v>0</v>
      </c>
      <c r="P19" s="38">
        <f t="shared" si="1"/>
        <v>0</v>
      </c>
      <c r="Q19" s="53"/>
      <c r="R19" s="53">
        <f t="shared" si="12"/>
        <v>0.12</v>
      </c>
      <c r="S19" s="53">
        <f t="shared" si="13"/>
        <v>1.0596241035318976E-2</v>
      </c>
      <c r="T19" s="53">
        <f t="shared" si="14"/>
        <v>0.05</v>
      </c>
      <c r="U19" s="53">
        <f t="shared" si="18"/>
        <v>4.2653187775606449E-3</v>
      </c>
    </row>
    <row r="20" spans="1:21" x14ac:dyDescent="0.2">
      <c r="A20" s="62">
        <f t="shared" si="2"/>
        <v>1</v>
      </c>
      <c r="B20" s="45">
        <f t="shared" si="7"/>
        <v>9</v>
      </c>
      <c r="C20" s="51">
        <f t="shared" si="3"/>
        <v>5240764.8099999977</v>
      </c>
      <c r="D20" s="47" cm="1">
        <f t="array" ref="D20">_xlfn.IFS(AND($C$7="Y",B20&lt;C$4),C20,AND($C$7="Y",B20=C$4),D19+F20-J20-K20-L20+N20,AND($C$7="Y",B20&gt;$C$4),D19-J20-K20-L20+N20, TRUE, D19-J20-K20-L20+N20)</f>
        <v>5240764.8099999977</v>
      </c>
      <c r="E20" s="48">
        <f t="shared" si="8"/>
        <v>66267.897176416634</v>
      </c>
      <c r="F20" s="50">
        <f t="shared" si="9"/>
        <v>860397.93850074953</v>
      </c>
      <c r="G20" s="50">
        <f t="shared" si="19"/>
        <v>0</v>
      </c>
      <c r="H20" s="51">
        <f t="shared" si="10"/>
        <v>0</v>
      </c>
      <c r="I20" s="52">
        <f t="shared" si="4"/>
        <v>0</v>
      </c>
      <c r="J20" s="52">
        <f t="shared" si="5"/>
        <v>0</v>
      </c>
      <c r="K20" s="51">
        <f t="shared" si="15"/>
        <v>0</v>
      </c>
      <c r="L20" s="49">
        <f t="shared" si="11"/>
        <v>0</v>
      </c>
      <c r="M20" s="49">
        <f t="shared" si="20"/>
        <v>0</v>
      </c>
      <c r="N20" s="49">
        <f t="shared" si="17"/>
        <v>0</v>
      </c>
      <c r="O20" s="48">
        <f t="shared" si="6"/>
        <v>0</v>
      </c>
      <c r="P20" s="38">
        <f t="shared" si="1"/>
        <v>0</v>
      </c>
      <c r="Q20" s="53"/>
      <c r="R20" s="53">
        <f t="shared" si="12"/>
        <v>0.12</v>
      </c>
      <c r="S20" s="53">
        <f t="shared" si="13"/>
        <v>1.0596241035318976E-2</v>
      </c>
      <c r="T20" s="53">
        <f t="shared" si="14"/>
        <v>0.05</v>
      </c>
      <c r="U20" s="53">
        <f t="shared" si="18"/>
        <v>4.2653187775606449E-3</v>
      </c>
    </row>
    <row r="21" spans="1:21" x14ac:dyDescent="0.2">
      <c r="A21" s="62">
        <f t="shared" si="2"/>
        <v>1</v>
      </c>
      <c r="B21" s="45">
        <f t="shared" si="7"/>
        <v>10</v>
      </c>
      <c r="C21" s="51">
        <f t="shared" si="3"/>
        <v>5240764.8099999977</v>
      </c>
      <c r="D21" s="47" cm="1">
        <f t="array" ref="D21">_xlfn.IFS(AND($C$7="Y",B21&lt;C$4),C21,AND($C$7="Y",B21=C$4),D20+F21-J21-K21-L21+N21,AND($C$7="Y",B21&gt;$C$4),D20-J21-K21-L21+N21, TRUE, D20-J21-K21-L21+N21)</f>
        <v>5240764.8099999977</v>
      </c>
      <c r="E21" s="48">
        <f t="shared" si="8"/>
        <v>66267.897176416634</v>
      </c>
      <c r="F21" s="50">
        <f t="shared" si="9"/>
        <v>926665.83567716612</v>
      </c>
      <c r="G21" s="50">
        <f t="shared" si="19"/>
        <v>0</v>
      </c>
      <c r="H21" s="51">
        <f t="shared" si="10"/>
        <v>0</v>
      </c>
      <c r="I21" s="52">
        <f t="shared" si="4"/>
        <v>0</v>
      </c>
      <c r="J21" s="52">
        <f t="shared" si="5"/>
        <v>0</v>
      </c>
      <c r="K21" s="51">
        <f t="shared" si="15"/>
        <v>0</v>
      </c>
      <c r="L21" s="49">
        <f t="shared" si="11"/>
        <v>0</v>
      </c>
      <c r="M21" s="49">
        <f>IFERROR(L17*-1,0)</f>
        <v>0</v>
      </c>
      <c r="N21" s="49">
        <f t="shared" si="17"/>
        <v>0</v>
      </c>
      <c r="O21" s="48">
        <f t="shared" si="6"/>
        <v>0</v>
      </c>
      <c r="P21" s="38">
        <f t="shared" si="1"/>
        <v>0</v>
      </c>
      <c r="Q21" s="53"/>
      <c r="R21" s="53">
        <f t="shared" si="12"/>
        <v>0.12</v>
      </c>
      <c r="S21" s="53">
        <f t="shared" si="13"/>
        <v>1.0596241035318976E-2</v>
      </c>
      <c r="T21" s="53">
        <f t="shared" si="14"/>
        <v>0.05</v>
      </c>
      <c r="U21" s="53">
        <f t="shared" si="18"/>
        <v>4.2653187775606449E-3</v>
      </c>
    </row>
    <row r="22" spans="1:21" x14ac:dyDescent="0.2">
      <c r="A22" s="62">
        <f t="shared" si="2"/>
        <v>1</v>
      </c>
      <c r="B22" s="45">
        <f t="shared" si="7"/>
        <v>11</v>
      </c>
      <c r="C22" s="51">
        <f t="shared" si="3"/>
        <v>5240764.8099999977</v>
      </c>
      <c r="D22" s="47" cm="1">
        <f t="array" ref="D22">_xlfn.IFS(AND($C$7="Y",B22&lt;C$4),C22,AND($C$7="Y",B22=C$4),D21+F22-J22-K22-L22+N22,AND($C$7="Y",B22&gt;$C$4),D21-J22-K22-L22+N22, TRUE, D21-J22-K22-L22+N22)</f>
        <v>5240764.8099999977</v>
      </c>
      <c r="E22" s="48">
        <f t="shared" si="8"/>
        <v>66267.897176416634</v>
      </c>
      <c r="F22" s="50">
        <f t="shared" si="9"/>
        <v>992933.73285358271</v>
      </c>
      <c r="G22" s="50">
        <f t="shared" si="19"/>
        <v>0</v>
      </c>
      <c r="H22" s="51">
        <f t="shared" si="10"/>
        <v>0</v>
      </c>
      <c r="I22" s="52">
        <f t="shared" si="4"/>
        <v>0</v>
      </c>
      <c r="J22" s="52">
        <f t="shared" si="5"/>
        <v>0</v>
      </c>
      <c r="K22" s="51">
        <f t="shared" si="15"/>
        <v>0</v>
      </c>
      <c r="L22" s="49">
        <f t="shared" si="11"/>
        <v>0</v>
      </c>
      <c r="M22" s="49">
        <f t="shared" ref="M22:M25" si="21">IFERROR(L18*-1,0)</f>
        <v>0</v>
      </c>
      <c r="N22" s="49">
        <f>IFERROR((1-$N$9)*L18,0)</f>
        <v>0</v>
      </c>
      <c r="O22" s="48">
        <f t="shared" si="6"/>
        <v>0</v>
      </c>
      <c r="P22" s="38">
        <f t="shared" si="1"/>
        <v>0</v>
      </c>
      <c r="Q22" s="53"/>
      <c r="R22" s="53">
        <f t="shared" si="12"/>
        <v>0.12</v>
      </c>
      <c r="S22" s="53">
        <f t="shared" si="13"/>
        <v>1.0596241035318976E-2</v>
      </c>
      <c r="T22" s="53">
        <f t="shared" si="14"/>
        <v>0.05</v>
      </c>
      <c r="U22" s="53">
        <f t="shared" si="18"/>
        <v>4.2653187775606449E-3</v>
      </c>
    </row>
    <row r="23" spans="1:21" x14ac:dyDescent="0.2">
      <c r="A23" s="62">
        <f t="shared" si="2"/>
        <v>1</v>
      </c>
      <c r="B23" s="45">
        <f t="shared" si="7"/>
        <v>12</v>
      </c>
      <c r="C23" s="51">
        <f t="shared" si="3"/>
        <v>5240764.8099999977</v>
      </c>
      <c r="D23" s="47" cm="1">
        <f t="array" ref="D23">_xlfn.IFS(AND($C$7="Y",B23&lt;C$4),C23,AND($C$7="Y",B23=C$4),D22+F23-J23-K23-L23+N23,AND($C$7="Y",B23&gt;$C$4),D22-J23-K23-L23+N23, TRUE, D22-J23-K23-L23+N23)</f>
        <v>5240764.8099999977</v>
      </c>
      <c r="E23" s="48">
        <f t="shared" si="8"/>
        <v>66267.897176416634</v>
      </c>
      <c r="F23" s="50">
        <f t="shared" si="9"/>
        <v>1059201.6300299994</v>
      </c>
      <c r="G23" s="50">
        <f t="shared" si="19"/>
        <v>0</v>
      </c>
      <c r="H23" s="51">
        <f t="shared" si="10"/>
        <v>0</v>
      </c>
      <c r="I23" s="52">
        <f t="shared" si="4"/>
        <v>0</v>
      </c>
      <c r="J23" s="52">
        <f t="shared" si="5"/>
        <v>0</v>
      </c>
      <c r="K23" s="51">
        <f t="shared" si="15"/>
        <v>0</v>
      </c>
      <c r="L23" s="49">
        <f t="shared" si="11"/>
        <v>0</v>
      </c>
      <c r="M23" s="49">
        <f t="shared" si="21"/>
        <v>0</v>
      </c>
      <c r="N23" s="49">
        <f t="shared" ref="N23:N30" si="22">IFERROR((1-$N$9)*L19,0)</f>
        <v>0</v>
      </c>
      <c r="O23" s="48">
        <f t="shared" si="6"/>
        <v>0</v>
      </c>
      <c r="P23" s="38">
        <f t="shared" si="1"/>
        <v>0</v>
      </c>
      <c r="Q23" s="53"/>
      <c r="R23" s="53">
        <f t="shared" si="12"/>
        <v>0.12</v>
      </c>
      <c r="S23" s="53">
        <f t="shared" si="13"/>
        <v>1.0596241035318976E-2</v>
      </c>
      <c r="T23" s="53">
        <f t="shared" si="14"/>
        <v>0.05</v>
      </c>
      <c r="U23" s="53">
        <f t="shared" si="18"/>
        <v>4.2653187775606449E-3</v>
      </c>
    </row>
    <row r="24" spans="1:21" x14ac:dyDescent="0.2">
      <c r="A24" s="62">
        <f t="shared" si="2"/>
        <v>1</v>
      </c>
      <c r="B24" s="45">
        <f t="shared" si="7"/>
        <v>13</v>
      </c>
      <c r="C24" s="51">
        <f t="shared" si="3"/>
        <v>5240764.8099999977</v>
      </c>
      <c r="D24" s="47" cm="1">
        <f t="array" ref="D24">_xlfn.IFS(AND($C$7="Y",B24&lt;C$4),C24,AND($C$7="Y",B24=C$4),D23+F24-J24-K24-L24+N24,AND($C$7="Y",B24&gt;$C$4),D23-J24-K24-L24+N24, TRUE, D23-J24-K24-L24+N24)</f>
        <v>5240764.8099999977</v>
      </c>
      <c r="E24" s="48">
        <f t="shared" si="8"/>
        <v>66267.897176416634</v>
      </c>
      <c r="F24" s="50">
        <f t="shared" si="9"/>
        <v>1125469.527206416</v>
      </c>
      <c r="G24" s="50">
        <f t="shared" si="19"/>
        <v>0</v>
      </c>
      <c r="H24" s="51">
        <f t="shared" si="10"/>
        <v>0</v>
      </c>
      <c r="I24" s="52">
        <f t="shared" si="4"/>
        <v>0</v>
      </c>
      <c r="J24" s="52">
        <f t="shared" si="5"/>
        <v>0</v>
      </c>
      <c r="K24" s="51">
        <f t="shared" si="15"/>
        <v>0</v>
      </c>
      <c r="L24" s="49">
        <f t="shared" si="11"/>
        <v>0</v>
      </c>
      <c r="M24" s="49">
        <f t="shared" si="21"/>
        <v>0</v>
      </c>
      <c r="N24" s="49">
        <f t="shared" si="22"/>
        <v>0</v>
      </c>
      <c r="O24" s="48">
        <f t="shared" si="6"/>
        <v>0</v>
      </c>
      <c r="P24" s="38">
        <f t="shared" si="1"/>
        <v>0</v>
      </c>
      <c r="Q24" s="53"/>
      <c r="R24" s="53">
        <f t="shared" si="12"/>
        <v>0.12</v>
      </c>
      <c r="S24" s="53">
        <f t="shared" si="13"/>
        <v>1.0596241035318976E-2</v>
      </c>
      <c r="T24" s="53">
        <f t="shared" si="14"/>
        <v>0.05</v>
      </c>
      <c r="U24" s="53">
        <f t="shared" si="18"/>
        <v>4.2653187775606449E-3</v>
      </c>
    </row>
    <row r="25" spans="1:21" x14ac:dyDescent="0.2">
      <c r="A25" s="62">
        <f t="shared" si="2"/>
        <v>1</v>
      </c>
      <c r="B25" s="45">
        <f t="shared" si="7"/>
        <v>14</v>
      </c>
      <c r="C25" s="51">
        <f t="shared" si="3"/>
        <v>5240764.8099999977</v>
      </c>
      <c r="D25" s="47" cm="1">
        <f t="array" ref="D25">_xlfn.IFS(AND($C$7="Y",B25&lt;C$4),C25,AND($C$7="Y",B25=C$4),D24+F25-J25-K25-L25+N25,AND($C$7="Y",B25&gt;$C$4),D24-J25-K25-L25+N25, TRUE, D24-J25-K25-L25+N25)</f>
        <v>5240764.8099999977</v>
      </c>
      <c r="E25" s="48">
        <f t="shared" si="8"/>
        <v>66267.897176416634</v>
      </c>
      <c r="F25" s="50">
        <f t="shared" si="9"/>
        <v>1191737.4243828326</v>
      </c>
      <c r="G25" s="50">
        <f t="shared" si="19"/>
        <v>0</v>
      </c>
      <c r="H25" s="51">
        <f t="shared" si="10"/>
        <v>0</v>
      </c>
      <c r="I25" s="52">
        <f t="shared" si="4"/>
        <v>0</v>
      </c>
      <c r="J25" s="52">
        <f t="shared" si="5"/>
        <v>0</v>
      </c>
      <c r="K25" s="51">
        <f t="shared" si="15"/>
        <v>0</v>
      </c>
      <c r="L25" s="49">
        <f t="shared" si="11"/>
        <v>0</v>
      </c>
      <c r="M25" s="49">
        <f t="shared" si="21"/>
        <v>0</v>
      </c>
      <c r="N25" s="49">
        <f t="shared" si="22"/>
        <v>0</v>
      </c>
      <c r="O25" s="48">
        <f t="shared" si="6"/>
        <v>0</v>
      </c>
      <c r="P25" s="38">
        <f t="shared" si="1"/>
        <v>0</v>
      </c>
      <c r="Q25" s="53"/>
      <c r="R25" s="53">
        <f t="shared" si="12"/>
        <v>0.12</v>
      </c>
      <c r="S25" s="53">
        <f t="shared" si="13"/>
        <v>1.0596241035318976E-2</v>
      </c>
      <c r="T25" s="53">
        <f t="shared" si="14"/>
        <v>0.05</v>
      </c>
      <c r="U25" s="53">
        <f t="shared" si="18"/>
        <v>4.2653187775606449E-3</v>
      </c>
    </row>
    <row r="26" spans="1:21" x14ac:dyDescent="0.2">
      <c r="A26" s="62">
        <f t="shared" si="2"/>
        <v>1</v>
      </c>
      <c r="B26" s="45">
        <f t="shared" si="7"/>
        <v>15</v>
      </c>
      <c r="C26" s="51">
        <f t="shared" si="3"/>
        <v>5240764.8099999977</v>
      </c>
      <c r="D26" s="47" cm="1">
        <f t="array" ref="D26">_xlfn.IFS(AND($C$7="Y",B26&lt;C$4),C26,AND($C$7="Y",B26=C$4),D25+F26-J26-K26-L26+N26,AND($C$7="Y",B26&gt;$C$4),D25-J26-K26-L26+N26, TRUE, D25-J26-K26-L26+N26)</f>
        <v>5240764.8099999977</v>
      </c>
      <c r="E26" s="48">
        <f t="shared" si="8"/>
        <v>66267.897176416634</v>
      </c>
      <c r="F26" s="50">
        <f t="shared" si="9"/>
        <v>1258005.3215592492</v>
      </c>
      <c r="G26" s="50">
        <f t="shared" si="19"/>
        <v>0</v>
      </c>
      <c r="H26" s="51">
        <f t="shared" si="10"/>
        <v>0</v>
      </c>
      <c r="I26" s="52">
        <f t="shared" si="4"/>
        <v>0</v>
      </c>
      <c r="J26" s="52">
        <f t="shared" si="5"/>
        <v>0</v>
      </c>
      <c r="K26" s="51">
        <f t="shared" si="15"/>
        <v>0</v>
      </c>
      <c r="L26" s="51">
        <f t="shared" si="11"/>
        <v>0</v>
      </c>
      <c r="M26" s="51">
        <f>IFERROR(L22*-1,0)</f>
        <v>0</v>
      </c>
      <c r="N26" s="51">
        <f t="shared" si="22"/>
        <v>0</v>
      </c>
      <c r="O26" s="48">
        <f t="shared" si="6"/>
        <v>0</v>
      </c>
      <c r="P26" s="38">
        <f t="shared" si="1"/>
        <v>0</v>
      </c>
      <c r="Q26" s="53"/>
      <c r="R26" s="53">
        <f t="shared" si="12"/>
        <v>0.12</v>
      </c>
      <c r="S26" s="53">
        <f t="shared" si="13"/>
        <v>1.0596241035318976E-2</v>
      </c>
      <c r="T26" s="53">
        <f t="shared" si="14"/>
        <v>0.05</v>
      </c>
      <c r="U26" s="53">
        <f t="shared" si="18"/>
        <v>4.2653187775606449E-3</v>
      </c>
    </row>
    <row r="27" spans="1:21" x14ac:dyDescent="0.2">
      <c r="A27" s="62">
        <f t="shared" si="2"/>
        <v>1</v>
      </c>
      <c r="B27" s="45">
        <f t="shared" si="7"/>
        <v>16</v>
      </c>
      <c r="C27" s="51">
        <f t="shared" si="3"/>
        <v>5240764.8099999977</v>
      </c>
      <c r="D27" s="47" cm="1">
        <f t="array" ref="D27">_xlfn.IFS(AND($C$7="Y",B27&lt;C$4),C27,AND($C$7="Y",B27=C$4),D26+F27-J27-K27-L27+N27,AND($C$7="Y",B27&gt;$C$4),D26-J27-K27-L27+N27, TRUE, D26-J27-K27-L27+N27)</f>
        <v>5240764.8099999977</v>
      </c>
      <c r="E27" s="48">
        <f t="shared" si="8"/>
        <v>66267.897176416634</v>
      </c>
      <c r="F27" s="50">
        <f t="shared" si="9"/>
        <v>1324273.2187356658</v>
      </c>
      <c r="G27" s="50">
        <f t="shared" si="19"/>
        <v>0</v>
      </c>
      <c r="H27" s="51">
        <f t="shared" si="10"/>
        <v>0</v>
      </c>
      <c r="I27" s="52">
        <f t="shared" si="4"/>
        <v>0</v>
      </c>
      <c r="J27" s="52">
        <f t="shared" si="5"/>
        <v>0</v>
      </c>
      <c r="K27" s="51">
        <f t="shared" si="15"/>
        <v>0</v>
      </c>
      <c r="L27" s="49">
        <f t="shared" si="11"/>
        <v>0</v>
      </c>
      <c r="M27" s="49">
        <f t="shared" ref="M27:M40" si="23">IFERROR(L23*-1,0)</f>
        <v>0</v>
      </c>
      <c r="N27" s="49">
        <f t="shared" si="22"/>
        <v>0</v>
      </c>
      <c r="O27" s="48">
        <f t="shared" si="6"/>
        <v>0</v>
      </c>
      <c r="P27" s="38">
        <f t="shared" si="1"/>
        <v>0</v>
      </c>
      <c r="Q27" s="53"/>
      <c r="R27" s="53">
        <f t="shared" si="12"/>
        <v>0.12</v>
      </c>
      <c r="S27" s="53">
        <f t="shared" si="13"/>
        <v>1.0596241035318976E-2</v>
      </c>
      <c r="T27" s="53">
        <f t="shared" si="14"/>
        <v>0.05</v>
      </c>
      <c r="U27" s="53">
        <f t="shared" si="18"/>
        <v>4.2653187775606449E-3</v>
      </c>
    </row>
    <row r="28" spans="1:21" x14ac:dyDescent="0.2">
      <c r="A28" s="62">
        <f t="shared" si="2"/>
        <v>1</v>
      </c>
      <c r="B28" s="45">
        <f t="shared" si="7"/>
        <v>17</v>
      </c>
      <c r="C28" s="51">
        <f t="shared" si="3"/>
        <v>5240764.8099999977</v>
      </c>
      <c r="D28" s="47" cm="1">
        <f t="array" ref="D28">_xlfn.IFS(AND($C$7="Y",B28&lt;C$4),C28,AND($C$7="Y",B28=C$4),D27+F28-J28-K28-L28+N28,AND($C$7="Y",B28&gt;$C$4),D27-J28-K28-L28+N28, TRUE, D27-J28-K28-L28+N28)</f>
        <v>5240764.8099999977</v>
      </c>
      <c r="E28" s="48">
        <f t="shared" si="8"/>
        <v>66267.897176416634</v>
      </c>
      <c r="F28" s="50">
        <f t="shared" si="9"/>
        <v>1390541.1159120824</v>
      </c>
      <c r="G28" s="50">
        <f t="shared" si="19"/>
        <v>0</v>
      </c>
      <c r="H28" s="51">
        <f t="shared" si="10"/>
        <v>0</v>
      </c>
      <c r="I28" s="52">
        <f t="shared" si="4"/>
        <v>0</v>
      </c>
      <c r="J28" s="52">
        <f t="shared" si="5"/>
        <v>0</v>
      </c>
      <c r="K28" s="51">
        <f t="shared" si="15"/>
        <v>0</v>
      </c>
      <c r="L28" s="49">
        <f t="shared" si="11"/>
        <v>0</v>
      </c>
      <c r="M28" s="49">
        <f t="shared" si="23"/>
        <v>0</v>
      </c>
      <c r="N28" s="49">
        <f t="shared" si="22"/>
        <v>0</v>
      </c>
      <c r="O28" s="48">
        <f t="shared" si="6"/>
        <v>0</v>
      </c>
      <c r="P28" s="38">
        <f t="shared" si="1"/>
        <v>0</v>
      </c>
      <c r="Q28" s="53"/>
      <c r="R28" s="53">
        <f t="shared" si="12"/>
        <v>0.12</v>
      </c>
      <c r="S28" s="53">
        <f t="shared" si="13"/>
        <v>1.0596241035318976E-2</v>
      </c>
      <c r="T28" s="53">
        <f t="shared" si="14"/>
        <v>0.05</v>
      </c>
      <c r="U28" s="53">
        <f t="shared" si="18"/>
        <v>4.2653187775606449E-3</v>
      </c>
    </row>
    <row r="29" spans="1:21" x14ac:dyDescent="0.2">
      <c r="A29" s="62">
        <f t="shared" si="2"/>
        <v>1</v>
      </c>
      <c r="B29" s="45">
        <f t="shared" si="7"/>
        <v>18</v>
      </c>
      <c r="C29" s="51">
        <f t="shared" si="3"/>
        <v>5240764.8099999977</v>
      </c>
      <c r="D29" s="47" cm="1">
        <f t="array" ref="D29">_xlfn.IFS(AND($C$7="Y",B29&lt;C$4),C29,AND($C$7="Y",B29=C$4),D28+F29-J29-K29-L29+N29,AND($C$7="Y",B29&gt;$C$4),D28-J29-K29-L29+N29, TRUE, D28-J29-K29-L29+N29)</f>
        <v>5240764.8099999977</v>
      </c>
      <c r="E29" s="48">
        <f t="shared" si="8"/>
        <v>66267.897176416634</v>
      </c>
      <c r="F29" s="50">
        <f t="shared" si="9"/>
        <v>1456809.013088499</v>
      </c>
      <c r="G29" s="50">
        <f t="shared" si="19"/>
        <v>0</v>
      </c>
      <c r="H29" s="51">
        <f t="shared" si="10"/>
        <v>0</v>
      </c>
      <c r="I29" s="52">
        <f t="shared" si="4"/>
        <v>0</v>
      </c>
      <c r="J29" s="52">
        <f t="shared" si="5"/>
        <v>0</v>
      </c>
      <c r="K29" s="51">
        <f t="shared" si="15"/>
        <v>0</v>
      </c>
      <c r="L29" s="49">
        <f t="shared" si="11"/>
        <v>0</v>
      </c>
      <c r="M29" s="49">
        <f t="shared" si="23"/>
        <v>0</v>
      </c>
      <c r="N29" s="49">
        <f t="shared" si="22"/>
        <v>0</v>
      </c>
      <c r="O29" s="48">
        <f t="shared" si="6"/>
        <v>0</v>
      </c>
      <c r="P29" s="38">
        <f t="shared" si="1"/>
        <v>0</v>
      </c>
      <c r="Q29" s="53"/>
      <c r="R29" s="53">
        <f t="shared" si="12"/>
        <v>0.12</v>
      </c>
      <c r="S29" s="53">
        <f t="shared" si="13"/>
        <v>1.0596241035318976E-2</v>
      </c>
      <c r="T29" s="53">
        <f t="shared" si="14"/>
        <v>0.05</v>
      </c>
      <c r="U29" s="53">
        <f t="shared" si="18"/>
        <v>4.2653187775606449E-3</v>
      </c>
    </row>
    <row r="30" spans="1:21" x14ac:dyDescent="0.2">
      <c r="A30" s="62">
        <f t="shared" si="2"/>
        <v>1</v>
      </c>
      <c r="B30" s="45">
        <f t="shared" si="7"/>
        <v>19</v>
      </c>
      <c r="C30" s="51">
        <f t="shared" si="3"/>
        <v>5240764.8099999977</v>
      </c>
      <c r="D30" s="47" cm="1">
        <f t="array" ref="D30">_xlfn.IFS(AND($C$7="Y",B30&lt;C$4),C30,AND($C$7="Y",B30=C$4),D29+F30-J30-K30-L30+N30,AND($C$7="Y",B30&gt;$C$4),D29-J30-K30-L30+N30, TRUE, D29-J30-K30-L30+N30)</f>
        <v>5240764.8099999977</v>
      </c>
      <c r="E30" s="48">
        <f t="shared" si="8"/>
        <v>66267.897176416634</v>
      </c>
      <c r="F30" s="50">
        <f t="shared" si="9"/>
        <v>1523076.9102649156</v>
      </c>
      <c r="G30" s="50">
        <f t="shared" si="19"/>
        <v>0</v>
      </c>
      <c r="H30" s="51">
        <f t="shared" si="10"/>
        <v>0</v>
      </c>
      <c r="I30" s="52">
        <f t="shared" si="4"/>
        <v>0</v>
      </c>
      <c r="J30" s="52">
        <f t="shared" si="5"/>
        <v>0</v>
      </c>
      <c r="K30" s="51">
        <f t="shared" si="15"/>
        <v>0</v>
      </c>
      <c r="L30" s="49">
        <f t="shared" si="11"/>
        <v>0</v>
      </c>
      <c r="M30" s="49">
        <f t="shared" si="23"/>
        <v>0</v>
      </c>
      <c r="N30" s="49">
        <f t="shared" si="22"/>
        <v>0</v>
      </c>
      <c r="O30" s="48">
        <f t="shared" si="6"/>
        <v>0</v>
      </c>
      <c r="P30" s="38">
        <f t="shared" si="1"/>
        <v>0</v>
      </c>
      <c r="Q30" s="53"/>
      <c r="R30" s="53">
        <f t="shared" si="12"/>
        <v>0.12</v>
      </c>
      <c r="S30" s="53">
        <f t="shared" si="13"/>
        <v>1.0596241035318976E-2</v>
      </c>
      <c r="T30" s="53">
        <f t="shared" si="14"/>
        <v>0.05</v>
      </c>
      <c r="U30" s="53">
        <f t="shared" si="18"/>
        <v>4.2653187775606449E-3</v>
      </c>
    </row>
    <row r="31" spans="1:21" x14ac:dyDescent="0.2">
      <c r="A31" s="62">
        <f t="shared" si="2"/>
        <v>1</v>
      </c>
      <c r="B31" s="45">
        <f t="shared" si="7"/>
        <v>20</v>
      </c>
      <c r="C31" s="51">
        <f t="shared" si="3"/>
        <v>5240764.8099999977</v>
      </c>
      <c r="D31" s="47" cm="1">
        <f t="array" ref="D31">_xlfn.IFS(AND($C$7="Y",B31&lt;C$4),C31,AND($C$7="Y",B31=C$4),D30+F31-J31-K31-L31+N31,AND($C$7="Y",B31&gt;$C$4),D30-J31-K31-L31+N31, TRUE, D30-J31-K31-L31+N31)</f>
        <v>5240764.8099999977</v>
      </c>
      <c r="E31" s="48">
        <f t="shared" si="8"/>
        <v>66267.897176416634</v>
      </c>
      <c r="F31" s="50">
        <f t="shared" si="9"/>
        <v>1589344.8074413321</v>
      </c>
      <c r="G31" s="50">
        <f t="shared" si="19"/>
        <v>0</v>
      </c>
      <c r="H31" s="51">
        <f t="shared" si="10"/>
        <v>0</v>
      </c>
      <c r="I31" s="52">
        <f t="shared" si="4"/>
        <v>0</v>
      </c>
      <c r="J31" s="52">
        <f t="shared" si="5"/>
        <v>0</v>
      </c>
      <c r="K31" s="51">
        <f t="shared" si="15"/>
        <v>0</v>
      </c>
      <c r="L31" s="49">
        <f t="shared" si="11"/>
        <v>0</v>
      </c>
      <c r="M31" s="49">
        <f t="shared" si="23"/>
        <v>0</v>
      </c>
      <c r="N31" s="49">
        <f>IFERROR((1-$N$9)*L27,0)</f>
        <v>0</v>
      </c>
      <c r="O31" s="48">
        <f t="shared" si="6"/>
        <v>0</v>
      </c>
      <c r="P31" s="38">
        <f t="shared" si="1"/>
        <v>0</v>
      </c>
      <c r="Q31" s="53"/>
      <c r="R31" s="53">
        <f t="shared" si="12"/>
        <v>0.12</v>
      </c>
      <c r="S31" s="53">
        <f t="shared" si="13"/>
        <v>1.0596241035318976E-2</v>
      </c>
      <c r="T31" s="53">
        <f t="shared" si="14"/>
        <v>0.05</v>
      </c>
      <c r="U31" s="53">
        <f t="shared" si="18"/>
        <v>4.2653187775606449E-3</v>
      </c>
    </row>
    <row r="32" spans="1:21" x14ac:dyDescent="0.2">
      <c r="A32" s="62">
        <f t="shared" si="2"/>
        <v>1</v>
      </c>
      <c r="B32" s="45">
        <f t="shared" si="7"/>
        <v>21</v>
      </c>
      <c r="C32" s="51">
        <f t="shared" si="3"/>
        <v>5240764.8099999977</v>
      </c>
      <c r="D32" s="47" cm="1">
        <f t="array" ref="D32">_xlfn.IFS(AND($C$7="Y",B32&lt;C$4),C32,AND($C$7="Y",B32=C$4),D31+F32-J32-K32-L32+N32,AND($C$7="Y",B32&gt;$C$4),D31-J32-K32-L32+N32, TRUE, D31-J32-K32-L32+N32)</f>
        <v>5240764.8099999977</v>
      </c>
      <c r="E32" s="48">
        <f t="shared" si="8"/>
        <v>66267.897176416634</v>
      </c>
      <c r="F32" s="50">
        <f t="shared" si="9"/>
        <v>1655612.7046177487</v>
      </c>
      <c r="G32" s="50">
        <f t="shared" si="19"/>
        <v>0</v>
      </c>
      <c r="H32" s="51">
        <f t="shared" si="10"/>
        <v>0</v>
      </c>
      <c r="I32" s="52">
        <f t="shared" si="4"/>
        <v>0</v>
      </c>
      <c r="J32" s="52">
        <f t="shared" si="5"/>
        <v>0</v>
      </c>
      <c r="K32" s="51">
        <f t="shared" si="15"/>
        <v>0</v>
      </c>
      <c r="L32" s="49">
        <f t="shared" si="11"/>
        <v>0</v>
      </c>
      <c r="M32" s="49">
        <f t="shared" si="23"/>
        <v>0</v>
      </c>
      <c r="N32" s="49">
        <f t="shared" ref="N32:N95" si="24">IFERROR((1-$N$9)*L28,0)</f>
        <v>0</v>
      </c>
      <c r="O32" s="48">
        <f t="shared" si="6"/>
        <v>0</v>
      </c>
      <c r="P32" s="38">
        <f t="shared" si="1"/>
        <v>0</v>
      </c>
      <c r="Q32" s="53"/>
      <c r="R32" s="53">
        <f t="shared" si="12"/>
        <v>0.12</v>
      </c>
      <c r="S32" s="53">
        <f t="shared" si="13"/>
        <v>1.0596241035318976E-2</v>
      </c>
      <c r="T32" s="53">
        <f t="shared" si="14"/>
        <v>0.05</v>
      </c>
      <c r="U32" s="53">
        <f t="shared" si="18"/>
        <v>4.2653187775606449E-3</v>
      </c>
    </row>
    <row r="33" spans="1:23" x14ac:dyDescent="0.2">
      <c r="A33" s="62">
        <f t="shared" si="2"/>
        <v>1</v>
      </c>
      <c r="B33" s="45">
        <f t="shared" si="7"/>
        <v>22</v>
      </c>
      <c r="C33" s="51">
        <f t="shared" si="3"/>
        <v>5240764.8099999977</v>
      </c>
      <c r="D33" s="47" cm="1">
        <f t="array" ref="D33">_xlfn.IFS(AND($C$7="Y",B33&lt;C$4),C33,AND($C$7="Y",B33=C$4),D32+F33-J33-K33-L33+N33,AND($C$7="Y",B33&gt;$C$4),D32-J33-K33-L33+N33, TRUE, D32-J33-K33-L33+N33)</f>
        <v>5240764.8099999977</v>
      </c>
      <c r="E33" s="48">
        <f t="shared" si="8"/>
        <v>66267.897176416634</v>
      </c>
      <c r="F33" s="50">
        <f t="shared" si="9"/>
        <v>1721880.6017941653</v>
      </c>
      <c r="G33" s="50">
        <f t="shared" si="19"/>
        <v>0</v>
      </c>
      <c r="H33" s="51">
        <f t="shared" si="10"/>
        <v>0</v>
      </c>
      <c r="I33" s="52">
        <f t="shared" si="4"/>
        <v>0</v>
      </c>
      <c r="J33" s="52">
        <f t="shared" si="5"/>
        <v>0</v>
      </c>
      <c r="K33" s="51">
        <f t="shared" si="15"/>
        <v>0</v>
      </c>
      <c r="L33" s="49">
        <f t="shared" si="11"/>
        <v>0</v>
      </c>
      <c r="M33" s="49">
        <f t="shared" si="23"/>
        <v>0</v>
      </c>
      <c r="N33" s="49">
        <f t="shared" si="24"/>
        <v>0</v>
      </c>
      <c r="O33" s="48">
        <f t="shared" si="6"/>
        <v>0</v>
      </c>
      <c r="P33" s="38">
        <f t="shared" si="1"/>
        <v>0</v>
      </c>
      <c r="Q33" s="53"/>
      <c r="R33" s="53">
        <f t="shared" si="12"/>
        <v>0.12</v>
      </c>
      <c r="S33" s="53">
        <f t="shared" si="13"/>
        <v>1.0596241035318976E-2</v>
      </c>
      <c r="T33" s="53">
        <f t="shared" si="14"/>
        <v>0.05</v>
      </c>
      <c r="U33" s="53">
        <f t="shared" si="18"/>
        <v>4.2653187775606449E-3</v>
      </c>
      <c r="W33" s="49"/>
    </row>
    <row r="34" spans="1:23" x14ac:dyDescent="0.2">
      <c r="A34" s="62">
        <f t="shared" si="2"/>
        <v>1</v>
      </c>
      <c r="B34" s="45">
        <f t="shared" si="7"/>
        <v>23</v>
      </c>
      <c r="C34" s="51">
        <f t="shared" si="3"/>
        <v>5240764.8099999977</v>
      </c>
      <c r="D34" s="47" cm="1">
        <f t="array" ref="D34">_xlfn.IFS(AND($C$7="Y",B34&lt;C$4),C34,AND($C$7="Y",B34=C$4),D33+F34-J34-K34-L34+N34,AND($C$7="Y",B34&gt;$C$4),D33-J34-K34-L34+N34, TRUE, D33-J34-K34-L34+N34)</f>
        <v>5240764.8099999977</v>
      </c>
      <c r="E34" s="48">
        <f t="shared" si="8"/>
        <v>66267.897176416634</v>
      </c>
      <c r="F34" s="50">
        <f t="shared" si="9"/>
        <v>1788148.4989705819</v>
      </c>
      <c r="G34" s="50">
        <f t="shared" si="19"/>
        <v>0</v>
      </c>
      <c r="H34" s="51">
        <f t="shared" si="10"/>
        <v>0</v>
      </c>
      <c r="I34" s="52">
        <f t="shared" si="4"/>
        <v>0</v>
      </c>
      <c r="J34" s="52">
        <f t="shared" si="5"/>
        <v>0</v>
      </c>
      <c r="K34" s="51">
        <f t="shared" si="15"/>
        <v>0</v>
      </c>
      <c r="L34" s="49">
        <f t="shared" si="11"/>
        <v>0</v>
      </c>
      <c r="M34" s="49">
        <f t="shared" si="23"/>
        <v>0</v>
      </c>
      <c r="N34" s="49">
        <f t="shared" si="24"/>
        <v>0</v>
      </c>
      <c r="O34" s="48">
        <f t="shared" si="6"/>
        <v>0</v>
      </c>
      <c r="P34" s="38">
        <f t="shared" si="1"/>
        <v>0</v>
      </c>
      <c r="Q34" s="53"/>
      <c r="R34" s="53">
        <f t="shared" si="12"/>
        <v>0.12</v>
      </c>
      <c r="S34" s="53">
        <f t="shared" si="13"/>
        <v>1.0596241035318976E-2</v>
      </c>
      <c r="T34" s="53">
        <f t="shared" si="14"/>
        <v>0.05</v>
      </c>
      <c r="U34" s="53">
        <f t="shared" si="18"/>
        <v>4.2653187775606449E-3</v>
      </c>
    </row>
    <row r="35" spans="1:23" x14ac:dyDescent="0.2">
      <c r="A35" s="62">
        <f t="shared" si="2"/>
        <v>1</v>
      </c>
      <c r="B35" s="45">
        <f t="shared" si="7"/>
        <v>24</v>
      </c>
      <c r="C35" s="51">
        <f t="shared" si="3"/>
        <v>5240764.8099999977</v>
      </c>
      <c r="D35" s="47" cm="1">
        <f t="array" ref="D35">_xlfn.IFS(AND($C$7="Y",B35&lt;C$4),C35,AND($C$7="Y",B35=C$4),D34+F35-J35-K35-L35+N35,AND($C$7="Y",B35&gt;$C$4),D34-J35-K35-L35+N35, TRUE, D34-J35-K35-L35+N35)</f>
        <v>5240764.8099999977</v>
      </c>
      <c r="E35" s="48">
        <f t="shared" si="8"/>
        <v>66267.897176416634</v>
      </c>
      <c r="F35" s="50">
        <f t="shared" si="9"/>
        <v>1854416.3961469985</v>
      </c>
      <c r="G35" s="50">
        <f t="shared" si="19"/>
        <v>0</v>
      </c>
      <c r="H35" s="51">
        <f t="shared" si="10"/>
        <v>0</v>
      </c>
      <c r="I35" s="52">
        <f t="shared" si="4"/>
        <v>0</v>
      </c>
      <c r="J35" s="52">
        <f t="shared" si="5"/>
        <v>0</v>
      </c>
      <c r="K35" s="51">
        <f t="shared" si="15"/>
        <v>0</v>
      </c>
      <c r="L35" s="49">
        <f t="shared" si="11"/>
        <v>0</v>
      </c>
      <c r="M35" s="49">
        <f t="shared" si="23"/>
        <v>0</v>
      </c>
      <c r="N35" s="49">
        <f t="shared" si="24"/>
        <v>0</v>
      </c>
      <c r="O35" s="48">
        <f t="shared" si="6"/>
        <v>0</v>
      </c>
      <c r="P35" s="38">
        <f t="shared" si="1"/>
        <v>0</v>
      </c>
      <c r="Q35" s="53"/>
      <c r="R35" s="53">
        <f t="shared" si="12"/>
        <v>0.12</v>
      </c>
      <c r="S35" s="53">
        <f t="shared" si="13"/>
        <v>1.0596241035318976E-2</v>
      </c>
      <c r="T35" s="53">
        <f t="shared" si="14"/>
        <v>0.05</v>
      </c>
      <c r="U35" s="53">
        <f t="shared" si="18"/>
        <v>4.2653187775606449E-3</v>
      </c>
    </row>
    <row r="36" spans="1:23" s="59" customFormat="1" x14ac:dyDescent="0.2">
      <c r="A36" s="62">
        <f t="shared" si="2"/>
        <v>1</v>
      </c>
      <c r="B36" s="54">
        <f t="shared" si="7"/>
        <v>25</v>
      </c>
      <c r="C36" s="51">
        <f t="shared" si="3"/>
        <v>5240764.8099999977</v>
      </c>
      <c r="D36" s="47" cm="1">
        <f t="array" ref="D36">_xlfn.IFS(AND($C$7="Y",B36&lt;C$4),C36,AND($C$7="Y",B36=C$4),D35+F36-J36-K36-L36+N36,AND($C$7="Y",B36&gt;$C$4),D35-J36-K36-L36+N36, TRUE, D35-J36-K36-L36+N36)</f>
        <v>5240764.8099999977</v>
      </c>
      <c r="E36" s="48">
        <f t="shared" si="8"/>
        <v>66267.897176416634</v>
      </c>
      <c r="F36" s="50">
        <f t="shared" si="9"/>
        <v>1920684.2933234151</v>
      </c>
      <c r="G36" s="56">
        <f t="shared" si="19"/>
        <v>0</v>
      </c>
      <c r="H36" s="51">
        <f t="shared" si="10"/>
        <v>0</v>
      </c>
      <c r="I36" s="52">
        <f t="shared" si="4"/>
        <v>0</v>
      </c>
      <c r="J36" s="57">
        <f t="shared" si="5"/>
        <v>0</v>
      </c>
      <c r="K36" s="55">
        <f t="shared" si="15"/>
        <v>0</v>
      </c>
      <c r="L36" s="55">
        <f t="shared" si="11"/>
        <v>0</v>
      </c>
      <c r="M36" s="55">
        <f t="shared" si="23"/>
        <v>0</v>
      </c>
      <c r="N36" s="55">
        <f t="shared" si="24"/>
        <v>0</v>
      </c>
      <c r="O36" s="48">
        <f t="shared" si="6"/>
        <v>0</v>
      </c>
      <c r="P36" s="58">
        <f t="shared" si="1"/>
        <v>0</v>
      </c>
      <c r="Q36" s="53"/>
      <c r="R36" s="53">
        <f t="shared" si="12"/>
        <v>0.12</v>
      </c>
      <c r="S36" s="53">
        <f t="shared" si="13"/>
        <v>1.0596241035318976E-2</v>
      </c>
      <c r="T36" s="53">
        <f t="shared" si="14"/>
        <v>0.05</v>
      </c>
      <c r="U36" s="53">
        <f t="shared" si="18"/>
        <v>4.2653187775606449E-3</v>
      </c>
    </row>
    <row r="37" spans="1:23" x14ac:dyDescent="0.2">
      <c r="A37" s="62">
        <f t="shared" si="2"/>
        <v>1</v>
      </c>
      <c r="B37" s="45">
        <f t="shared" si="7"/>
        <v>26</v>
      </c>
      <c r="C37" s="51">
        <f t="shared" si="3"/>
        <v>5240764.8099999977</v>
      </c>
      <c r="D37" s="60" cm="1">
        <f t="array" ref="D37">_xlfn.IFS(AND($C$7="Y",B37&lt;C$4),C37,AND($C$7="Y",B37=C$4),D36+F37-J37-K37-L37+N37,AND($C$7="Y",B37&gt;$C$4),D36-J37-K37-L37+N37, TRUE, D36-J37-K37-L37+N37)</f>
        <v>5240764.8099999977</v>
      </c>
      <c r="E37" s="48">
        <f t="shared" si="8"/>
        <v>66267.897176416634</v>
      </c>
      <c r="F37" s="50">
        <f t="shared" si="9"/>
        <v>1986952.1904998317</v>
      </c>
      <c r="G37" s="50">
        <f t="shared" si="19"/>
        <v>0</v>
      </c>
      <c r="H37" s="51">
        <f t="shared" si="10"/>
        <v>0</v>
      </c>
      <c r="I37" s="52">
        <f t="shared" si="4"/>
        <v>0</v>
      </c>
      <c r="J37" s="52">
        <f t="shared" si="5"/>
        <v>0</v>
      </c>
      <c r="K37" s="51">
        <f t="shared" si="15"/>
        <v>0</v>
      </c>
      <c r="L37" s="49">
        <f t="shared" si="11"/>
        <v>0</v>
      </c>
      <c r="M37" s="49">
        <f t="shared" si="23"/>
        <v>0</v>
      </c>
      <c r="N37" s="49">
        <f t="shared" si="24"/>
        <v>0</v>
      </c>
      <c r="O37" s="48">
        <f t="shared" si="6"/>
        <v>0</v>
      </c>
      <c r="P37" s="38">
        <f t="shared" si="1"/>
        <v>0</v>
      </c>
      <c r="Q37" s="53"/>
      <c r="R37" s="53">
        <f t="shared" si="12"/>
        <v>0.12</v>
      </c>
      <c r="S37" s="53">
        <f t="shared" si="13"/>
        <v>1.0596241035318976E-2</v>
      </c>
      <c r="T37" s="53">
        <f t="shared" si="14"/>
        <v>0.05</v>
      </c>
      <c r="U37" s="53">
        <f t="shared" si="18"/>
        <v>4.2653187775606449E-3</v>
      </c>
    </row>
    <row r="38" spans="1:23" x14ac:dyDescent="0.2">
      <c r="A38" s="62">
        <f t="shared" si="2"/>
        <v>1</v>
      </c>
      <c r="B38" s="45">
        <f t="shared" si="7"/>
        <v>27</v>
      </c>
      <c r="C38" s="51">
        <f t="shared" si="3"/>
        <v>5240764.8099999977</v>
      </c>
      <c r="D38" s="47" cm="1">
        <f t="array" ref="D38">_xlfn.IFS(AND($C$7="Y",B38&lt;C$4),C38,AND($C$7="Y",B38=C$4),D37+F38-J38-K38-L38+N38,AND($C$7="Y",B38&gt;$C$4),D37-J38-K38-L38+N38, TRUE, D37-J38-K38-L38+N38)</f>
        <v>5240764.8099999977</v>
      </c>
      <c r="E38" s="48">
        <f t="shared" si="8"/>
        <v>66267.897176416634</v>
      </c>
      <c r="F38" s="50">
        <f t="shared" si="9"/>
        <v>2053220.0876762483</v>
      </c>
      <c r="G38" s="50">
        <f t="shared" si="19"/>
        <v>0</v>
      </c>
      <c r="H38" s="51">
        <f t="shared" si="10"/>
        <v>0</v>
      </c>
      <c r="I38" s="52">
        <f t="shared" si="4"/>
        <v>0</v>
      </c>
      <c r="J38" s="52">
        <f t="shared" si="5"/>
        <v>0</v>
      </c>
      <c r="K38" s="51">
        <f t="shared" si="15"/>
        <v>0</v>
      </c>
      <c r="L38" s="49">
        <f t="shared" si="11"/>
        <v>0</v>
      </c>
      <c r="M38" s="49">
        <f t="shared" si="23"/>
        <v>0</v>
      </c>
      <c r="N38" s="49">
        <f t="shared" si="24"/>
        <v>0</v>
      </c>
      <c r="O38" s="48">
        <f t="shared" si="6"/>
        <v>0</v>
      </c>
      <c r="P38" s="38">
        <f t="shared" si="1"/>
        <v>0</v>
      </c>
      <c r="Q38" s="53"/>
      <c r="R38" s="53">
        <f t="shared" si="12"/>
        <v>0.12</v>
      </c>
      <c r="S38" s="53">
        <f t="shared" si="13"/>
        <v>1.0596241035318976E-2</v>
      </c>
      <c r="T38" s="53">
        <f t="shared" si="14"/>
        <v>0.05</v>
      </c>
      <c r="U38" s="53">
        <f t="shared" si="18"/>
        <v>4.2653187775606449E-3</v>
      </c>
    </row>
    <row r="39" spans="1:23" x14ac:dyDescent="0.2">
      <c r="A39" s="62">
        <f t="shared" si="2"/>
        <v>1</v>
      </c>
      <c r="B39" s="45">
        <f t="shared" si="7"/>
        <v>28</v>
      </c>
      <c r="C39" s="51">
        <f t="shared" si="3"/>
        <v>5240764.8099999977</v>
      </c>
      <c r="D39" s="47" cm="1">
        <f t="array" ref="D39">_xlfn.IFS(AND($C$7="Y",B39&lt;C$4),C39,AND($C$7="Y",B39=C$4),D38+F39-J39-K39-L39+N39,AND($C$7="Y",B39&gt;$C$4),D38-J39-K39-L39+N39, TRUE, D38-J39-K39-L39+N39)</f>
        <v>5240764.8099999977</v>
      </c>
      <c r="E39" s="48">
        <f t="shared" si="8"/>
        <v>66267.897176416634</v>
      </c>
      <c r="F39" s="50">
        <f t="shared" si="9"/>
        <v>2119487.9848526651</v>
      </c>
      <c r="G39" s="50">
        <f t="shared" si="19"/>
        <v>0</v>
      </c>
      <c r="H39" s="51">
        <f t="shared" si="10"/>
        <v>0</v>
      </c>
      <c r="I39" s="52">
        <f t="shared" si="4"/>
        <v>0</v>
      </c>
      <c r="J39" s="52">
        <f t="shared" si="5"/>
        <v>0</v>
      </c>
      <c r="K39" s="51">
        <f t="shared" si="15"/>
        <v>0</v>
      </c>
      <c r="L39" s="49">
        <f t="shared" si="11"/>
        <v>0</v>
      </c>
      <c r="M39" s="49">
        <f t="shared" si="23"/>
        <v>0</v>
      </c>
      <c r="N39" s="49">
        <f t="shared" si="24"/>
        <v>0</v>
      </c>
      <c r="O39" s="48">
        <f t="shared" si="6"/>
        <v>0</v>
      </c>
      <c r="P39" s="38">
        <f t="shared" si="1"/>
        <v>0</v>
      </c>
      <c r="Q39" s="53"/>
      <c r="R39" s="53">
        <f t="shared" si="12"/>
        <v>0.12</v>
      </c>
      <c r="S39" s="53">
        <f t="shared" si="13"/>
        <v>1.0596241035318976E-2</v>
      </c>
      <c r="T39" s="53">
        <f t="shared" si="14"/>
        <v>0.05</v>
      </c>
      <c r="U39" s="53">
        <f t="shared" si="18"/>
        <v>4.2653187775606449E-3</v>
      </c>
    </row>
    <row r="40" spans="1:23" x14ac:dyDescent="0.2">
      <c r="A40" s="62">
        <f t="shared" si="2"/>
        <v>1</v>
      </c>
      <c r="B40" s="45">
        <f t="shared" si="7"/>
        <v>29</v>
      </c>
      <c r="C40" s="51">
        <f t="shared" si="3"/>
        <v>5240764.8099999977</v>
      </c>
      <c r="D40" s="47" cm="1">
        <f t="array" ref="D40">_xlfn.IFS(AND($C$7="Y",B40&lt;C$4),C40,AND($C$7="Y",B40=C$4),D39+F40-J40-K40-L40+N40,AND($C$7="Y",B40&gt;$C$4),D39-J40-K40-L40+N40, TRUE, D39-J40-K40-L40+N40)</f>
        <v>5240764.8099999977</v>
      </c>
      <c r="E40" s="48">
        <f t="shared" si="8"/>
        <v>66267.897176416634</v>
      </c>
      <c r="F40" s="50">
        <f t="shared" si="9"/>
        <v>2185755.8820290817</v>
      </c>
      <c r="G40" s="50">
        <f t="shared" si="19"/>
        <v>0</v>
      </c>
      <c r="H40" s="51">
        <f t="shared" si="10"/>
        <v>0</v>
      </c>
      <c r="I40" s="52">
        <f t="shared" si="4"/>
        <v>0</v>
      </c>
      <c r="J40" s="52">
        <f t="shared" si="5"/>
        <v>0</v>
      </c>
      <c r="K40" s="51">
        <f t="shared" si="15"/>
        <v>0</v>
      </c>
      <c r="L40" s="49">
        <f t="shared" si="11"/>
        <v>0</v>
      </c>
      <c r="M40" s="49">
        <f t="shared" si="23"/>
        <v>0</v>
      </c>
      <c r="N40" s="49">
        <f t="shared" si="24"/>
        <v>0</v>
      </c>
      <c r="O40" s="48">
        <f t="shared" si="6"/>
        <v>0</v>
      </c>
      <c r="P40" s="38">
        <f t="shared" si="1"/>
        <v>0</v>
      </c>
      <c r="Q40" s="53"/>
      <c r="R40" s="53">
        <f t="shared" si="12"/>
        <v>0.12</v>
      </c>
      <c r="S40" s="53">
        <f t="shared" si="13"/>
        <v>1.0596241035318976E-2</v>
      </c>
      <c r="T40" s="53">
        <f t="shared" si="14"/>
        <v>0.05</v>
      </c>
      <c r="U40" s="53">
        <f t="shared" si="18"/>
        <v>4.2653187775606449E-3</v>
      </c>
    </row>
    <row r="41" spans="1:23" x14ac:dyDescent="0.2">
      <c r="A41" s="62">
        <f t="shared" si="2"/>
        <v>1.4297128111737376</v>
      </c>
      <c r="B41" s="54">
        <f t="shared" si="7"/>
        <v>30</v>
      </c>
      <c r="C41" s="51">
        <f t="shared" si="3"/>
        <v>5240764.8099999977</v>
      </c>
      <c r="D41" s="60" cm="1">
        <f t="array" ref="D41">_xlfn.IFS(AND($C$7="Y",B41&lt;C$4),C41,AND($C$7="Y",B41=C$4),D40+F41-J41-K41-L41+N41,AND($C$7="Y",B41&gt;$C$4),D40-J41-K41-L41+N41, TRUE, D40-J41-K41-L41+N41)</f>
        <v>7492788.589205496</v>
      </c>
      <c r="E41" s="48">
        <f t="shared" si="8"/>
        <v>66267.897176416634</v>
      </c>
      <c r="F41" s="50">
        <f t="shared" si="9"/>
        <v>2252023.7792054983</v>
      </c>
      <c r="G41" s="50">
        <f t="shared" si="19"/>
        <v>0</v>
      </c>
      <c r="H41" s="51">
        <f t="shared" si="10"/>
        <v>0</v>
      </c>
      <c r="I41" s="52">
        <f t="shared" si="4"/>
        <v>0</v>
      </c>
      <c r="J41" s="52">
        <f t="shared" si="5"/>
        <v>0</v>
      </c>
      <c r="K41" s="51">
        <f t="shared" si="15"/>
        <v>0</v>
      </c>
      <c r="L41" s="49">
        <f t="shared" si="11"/>
        <v>0</v>
      </c>
      <c r="M41" s="49">
        <f>IFERROR(L37*-1,0)</f>
        <v>0</v>
      </c>
      <c r="N41" s="49">
        <f t="shared" si="24"/>
        <v>0</v>
      </c>
      <c r="O41" s="48">
        <f t="shared" si="6"/>
        <v>0</v>
      </c>
      <c r="P41" s="38">
        <f t="shared" si="1"/>
        <v>0</v>
      </c>
      <c r="Q41" s="53"/>
      <c r="R41" s="53">
        <f t="shared" si="12"/>
        <v>0.12</v>
      </c>
      <c r="S41" s="53">
        <f t="shared" si="13"/>
        <v>1.0596241035318976E-2</v>
      </c>
      <c r="T41" s="53">
        <f t="shared" si="14"/>
        <v>0.05</v>
      </c>
      <c r="U41" s="53">
        <f t="shared" si="18"/>
        <v>4.2653187775606449E-3</v>
      </c>
    </row>
    <row r="42" spans="1:23" x14ac:dyDescent="0.2">
      <c r="A42" s="62">
        <f t="shared" si="2"/>
        <v>1.4065438796092495</v>
      </c>
      <c r="B42" s="54">
        <f t="shared" si="7"/>
        <v>31</v>
      </c>
      <c r="C42" s="51">
        <f t="shared" si="3"/>
        <v>7460829.4573396659</v>
      </c>
      <c r="D42" s="60" cm="1">
        <f t="array" ref="D42">_xlfn.IFS(AND($C$7="Y",B42&lt;C$4),C42,AND($C$7="Y",B42=C$4),D41+F42-J42-K42-L42+N42,AND($C$7="Y",B42&gt;$C$4),D41-J42-K42-L42+N42, TRUE, D41-J42-K42-L42+N42)</f>
        <v>7371365.6679770285</v>
      </c>
      <c r="E42" s="48">
        <f t="shared" si="8"/>
        <v>0</v>
      </c>
      <c r="F42" s="50">
        <f t="shared" si="9"/>
        <v>0</v>
      </c>
      <c r="G42" s="50">
        <f t="shared" si="19"/>
        <v>0</v>
      </c>
      <c r="H42" s="51">
        <f t="shared" si="10"/>
        <v>104858.44659417165</v>
      </c>
      <c r="I42" s="52">
        <f t="shared" si="4"/>
        <v>94339.947937821213</v>
      </c>
      <c r="J42" s="52">
        <f t="shared" si="5"/>
        <v>10518.498656350435</v>
      </c>
      <c r="K42" s="51">
        <f t="shared" si="15"/>
        <v>78945.290706286818</v>
      </c>
      <c r="L42" s="49">
        <f t="shared" si="11"/>
        <v>31959.131865830335</v>
      </c>
      <c r="M42" s="49">
        <f t="shared" ref="M42:M105" si="25">IFERROR(L38*-1,0)</f>
        <v>0</v>
      </c>
      <c r="N42" s="49">
        <f t="shared" si="24"/>
        <v>0</v>
      </c>
      <c r="O42" s="48">
        <f t="shared" si="6"/>
        <v>151844.60543462815</v>
      </c>
      <c r="P42" s="38">
        <f t="shared" si="1"/>
        <v>151844.60543462815</v>
      </c>
      <c r="Q42" s="53"/>
      <c r="R42" s="53">
        <f t="shared" si="12"/>
        <v>0.12</v>
      </c>
      <c r="S42" s="53">
        <f t="shared" si="13"/>
        <v>1.0596241035318976E-2</v>
      </c>
      <c r="T42" s="53">
        <f t="shared" si="14"/>
        <v>0.05</v>
      </c>
      <c r="U42" s="53">
        <f t="shared" si="18"/>
        <v>4.2653187775606449E-3</v>
      </c>
    </row>
    <row r="43" spans="1:23" x14ac:dyDescent="0.2">
      <c r="A43" s="62">
        <f t="shared" si="2"/>
        <v>1.3837217309138159</v>
      </c>
      <c r="B43" s="45">
        <f t="shared" si="7"/>
        <v>32</v>
      </c>
      <c r="C43" s="51">
        <f t="shared" si="3"/>
        <v>7339924.4435771406</v>
      </c>
      <c r="D43" s="47" cm="1">
        <f t="array" ref="D43">_xlfn.IFS(AND($C$7="Y",B43&lt;C$4),C43,AND($C$7="Y",B43=C$4),D42+F43-J43-K43-L43+N43,AND($C$7="Y",B43&gt;$C$4),D42-J43-K43-L43+N43, TRUE, D42-J43-K43-L43+N43)</f>
        <v>7251760.1542054126</v>
      </c>
      <c r="E43" s="48">
        <f t="shared" si="8"/>
        <v>0</v>
      </c>
      <c r="F43" s="50">
        <f t="shared" si="9"/>
        <v>0</v>
      </c>
      <c r="G43" s="50">
        <f t="shared" si="19"/>
        <v>0</v>
      </c>
      <c r="H43" s="51">
        <f t="shared" si="10"/>
        <v>103311.0810365449</v>
      </c>
      <c r="I43" s="52">
        <f t="shared" si="4"/>
        <v>92811.140347593115</v>
      </c>
      <c r="J43" s="52">
        <f t="shared" si="5"/>
        <v>10499.940688951785</v>
      </c>
      <c r="K43" s="51">
        <f t="shared" si="15"/>
        <v>77664.34868277621</v>
      </c>
      <c r="L43" s="49">
        <f t="shared" si="11"/>
        <v>31441.224399888288</v>
      </c>
      <c r="M43" s="49">
        <f t="shared" si="25"/>
        <v>0</v>
      </c>
      <c r="N43" s="49">
        <f t="shared" si="24"/>
        <v>0</v>
      </c>
      <c r="O43" s="48">
        <f t="shared" si="6"/>
        <v>149534.20531943283</v>
      </c>
      <c r="P43" s="38">
        <f t="shared" si="1"/>
        <v>149534.20531943283</v>
      </c>
      <c r="Q43" s="53"/>
      <c r="R43" s="53">
        <f t="shared" si="12"/>
        <v>0.12</v>
      </c>
      <c r="S43" s="53">
        <f t="shared" si="13"/>
        <v>1.0596241035318976E-2</v>
      </c>
      <c r="T43" s="53">
        <f t="shared" si="14"/>
        <v>0.05</v>
      </c>
      <c r="U43" s="53">
        <f t="shared" si="18"/>
        <v>4.2653187775606449E-3</v>
      </c>
    </row>
    <row r="44" spans="1:23" x14ac:dyDescent="0.2">
      <c r="A44" s="62">
        <f t="shared" si="2"/>
        <v>1.361241234450749</v>
      </c>
      <c r="B44" s="45">
        <f t="shared" si="7"/>
        <v>33</v>
      </c>
      <c r="C44" s="51">
        <f t="shared" si="3"/>
        <v>7220829.0854493137</v>
      </c>
      <c r="D44" s="47" cm="1">
        <f t="array" ref="D44">_xlfn.IFS(AND($C$7="Y",B44&lt;C$4),C44,AND($C$7="Y",B44=C$4),D43+F44-J44-K44-L44+N44,AND($C$7="Y",B44&gt;$C$4),D43-J44-K44-L44+N44, TRUE, D43-J44-K44-L44+N44)</f>
        <v>7133945.1594304414</v>
      </c>
      <c r="E44" s="48">
        <f t="shared" si="8"/>
        <v>0</v>
      </c>
      <c r="F44" s="50">
        <f t="shared" si="9"/>
        <v>0</v>
      </c>
      <c r="G44" s="50">
        <f t="shared" si="19"/>
        <v>0</v>
      </c>
      <c r="H44" s="51">
        <f t="shared" si="10"/>
        <v>101786.55870501397</v>
      </c>
      <c r="I44" s="52">
        <f t="shared" si="4"/>
        <v>91305.215309410894</v>
      </c>
      <c r="J44" s="52">
        <f t="shared" si="5"/>
        <v>10481.343395603079</v>
      </c>
      <c r="K44" s="51">
        <f t="shared" si="15"/>
        <v>76402.58262326906</v>
      </c>
      <c r="L44" s="49">
        <f t="shared" si="11"/>
        <v>30931.068756098426</v>
      </c>
      <c r="M44" s="49">
        <f t="shared" si="25"/>
        <v>0</v>
      </c>
      <c r="N44" s="49">
        <f t="shared" si="24"/>
        <v>0</v>
      </c>
      <c r="O44" s="48">
        <f t="shared" si="6"/>
        <v>147258.07257218458</v>
      </c>
      <c r="P44" s="38">
        <f t="shared" si="1"/>
        <v>147258.07257218458</v>
      </c>
      <c r="Q44" s="53"/>
      <c r="R44" s="53">
        <f t="shared" si="12"/>
        <v>0.12</v>
      </c>
      <c r="S44" s="53">
        <f t="shared" si="13"/>
        <v>1.0596241035318976E-2</v>
      </c>
      <c r="T44" s="53">
        <f t="shared" si="14"/>
        <v>0.05</v>
      </c>
      <c r="U44" s="53">
        <f t="shared" si="18"/>
        <v>4.2653187775606449E-3</v>
      </c>
    </row>
    <row r="45" spans="1:23" x14ac:dyDescent="0.2">
      <c r="A45" s="62">
        <f t="shared" si="2"/>
        <v>1.3390973353503746</v>
      </c>
      <c r="B45" s="45">
        <f t="shared" si="7"/>
        <v>34</v>
      </c>
      <c r="C45" s="51">
        <f t="shared" si="3"/>
        <v>7103516.6091838349</v>
      </c>
      <c r="D45" s="47" cm="1">
        <f t="array" ref="D45">_xlfn.IFS(AND($C$7="Y",B45&lt;C$4),C45,AND($C$7="Y",B45=C$4),D44+F45-J45-K45-L45+N45,AND($C$7="Y",B45&gt;$C$4),D44-J45-K45-L45+N45, TRUE, D44-J45-K45-L45+N45)</f>
        <v>7017894.1922690095</v>
      </c>
      <c r="E45" s="48">
        <f t="shared" si="8"/>
        <v>0</v>
      </c>
      <c r="F45" s="50">
        <f t="shared" si="9"/>
        <v>0</v>
      </c>
      <c r="G45" s="50">
        <f t="shared" si="19"/>
        <v>0</v>
      </c>
      <c r="H45" s="51">
        <f t="shared" si="10"/>
        <v>100284.54237942059</v>
      </c>
      <c r="I45" s="52">
        <f t="shared" si="4"/>
        <v>89821.834276963535</v>
      </c>
      <c r="J45" s="52">
        <f t="shared" si="5"/>
        <v>10462.708102457051</v>
      </c>
      <c r="K45" s="51">
        <f t="shared" si="15"/>
        <v>75159.70881236784</v>
      </c>
      <c r="L45" s="49">
        <f t="shared" si="11"/>
        <v>30428.55024660653</v>
      </c>
      <c r="M45" s="49">
        <f t="shared" si="25"/>
        <v>0</v>
      </c>
      <c r="N45" s="49">
        <f t="shared" si="24"/>
        <v>0</v>
      </c>
      <c r="O45" s="48">
        <f t="shared" si="6"/>
        <v>145015.70094518189</v>
      </c>
      <c r="P45" s="38">
        <f t="shared" si="1"/>
        <v>145015.70094518189</v>
      </c>
      <c r="Q45" s="53"/>
      <c r="R45" s="53">
        <f t="shared" si="12"/>
        <v>0.12</v>
      </c>
      <c r="S45" s="53">
        <f t="shared" si="13"/>
        <v>1.0596241035318976E-2</v>
      </c>
      <c r="T45" s="53">
        <f t="shared" si="14"/>
        <v>0.05</v>
      </c>
      <c r="U45" s="53">
        <f t="shared" si="18"/>
        <v>4.2653187775606449E-3</v>
      </c>
    </row>
    <row r="46" spans="1:23" x14ac:dyDescent="0.2">
      <c r="A46" s="62">
        <f t="shared" si="2"/>
        <v>1.317285053391394</v>
      </c>
      <c r="B46" s="45">
        <f t="shared" si="7"/>
        <v>35</v>
      </c>
      <c r="C46" s="51">
        <f t="shared" si="3"/>
        <v>6987960.6363917906</v>
      </c>
      <c r="D46" s="47" cm="1">
        <f t="array" ref="D46">_xlfn.IFS(AND($C$7="Y",B46&lt;C$4),C46,AND($C$7="Y",B46=C$4),D45+F46-J46-K46-L46+N46,AND($C$7="Y",B46&gt;$C$4),D45-J46-K46-L46+N46, TRUE, D45-J46-K46-L46+N46)</f>
        <v>6903581.152552586</v>
      </c>
      <c r="E46" s="48">
        <f t="shared" si="8"/>
        <v>0</v>
      </c>
      <c r="F46" s="50">
        <f t="shared" si="9"/>
        <v>0</v>
      </c>
      <c r="G46" s="50">
        <f t="shared" si="19"/>
        <v>0</v>
      </c>
      <c r="H46" s="51">
        <f t="shared" si="10"/>
        <v>98804.699818174209</v>
      </c>
      <c r="I46" s="52">
        <f t="shared" si="4"/>
        <v>88360.663703444894</v>
      </c>
      <c r="J46" s="52">
        <f t="shared" si="5"/>
        <v>10444.036114729315</v>
      </c>
      <c r="K46" s="51">
        <f t="shared" si="15"/>
        <v>73935.447724475147</v>
      </c>
      <c r="L46" s="49">
        <f t="shared" si="11"/>
        <v>29933.555877218801</v>
      </c>
      <c r="M46" s="49">
        <f t="shared" si="25"/>
        <v>-31959.131865830335</v>
      </c>
      <c r="N46" s="49">
        <f t="shared" si="24"/>
        <v>0</v>
      </c>
      <c r="O46" s="48">
        <f t="shared" si="6"/>
        <v>142806.59166543055</v>
      </c>
      <c r="P46" s="38">
        <f t="shared" si="1"/>
        <v>142806.59166543055</v>
      </c>
      <c r="Q46" s="53"/>
      <c r="R46" s="53">
        <f t="shared" si="12"/>
        <v>0.12</v>
      </c>
      <c r="S46" s="53">
        <f t="shared" si="13"/>
        <v>1.0596241035318976E-2</v>
      </c>
      <c r="T46" s="53">
        <f t="shared" si="14"/>
        <v>0.05</v>
      </c>
      <c r="U46" s="53">
        <f t="shared" si="18"/>
        <v>4.2653187775606449E-3</v>
      </c>
    </row>
    <row r="47" spans="1:23" x14ac:dyDescent="0.2">
      <c r="A47" s="62">
        <f t="shared" si="2"/>
        <v>1.2957994818987577</v>
      </c>
      <c r="B47" s="45">
        <f t="shared" si="7"/>
        <v>36</v>
      </c>
      <c r="C47" s="51">
        <f t="shared" si="3"/>
        <v>6874135.1782301897</v>
      </c>
      <c r="D47" s="47" cm="1">
        <f t="array" ref="D47">_xlfn.IFS(AND($C$7="Y",B47&lt;C$4),C47,AND($C$7="Y",B47=C$4),D46+F47-J47-K47-L47+N47,AND($C$7="Y",B47&gt;$C$4),D46-J47-K47-L47+N47, TRUE, D46-J47-K47-L47+N47)</f>
        <v>6790980.3255512379</v>
      </c>
      <c r="E47" s="48">
        <f t="shared" si="8"/>
        <v>0</v>
      </c>
      <c r="F47" s="50">
        <f t="shared" si="9"/>
        <v>0</v>
      </c>
      <c r="G47" s="50">
        <f t="shared" si="19"/>
        <v>0</v>
      </c>
      <c r="H47" s="51">
        <f t="shared" si="10"/>
        <v>97346.703684758017</v>
      </c>
      <c r="I47" s="52">
        <f t="shared" si="4"/>
        <v>86921.374967740019</v>
      </c>
      <c r="J47" s="52">
        <f t="shared" si="5"/>
        <v>10425.328717017997</v>
      </c>
      <c r="K47" s="51">
        <f t="shared" si="15"/>
        <v>72729.523961934508</v>
      </c>
      <c r="L47" s="49">
        <f t="shared" si="11"/>
        <v>29445.974322396305</v>
      </c>
      <c r="M47" s="49">
        <f t="shared" si="25"/>
        <v>-31441.224399888288</v>
      </c>
      <c r="N47" s="49">
        <f t="shared" si="24"/>
        <v>0</v>
      </c>
      <c r="O47" s="48">
        <f t="shared" si="6"/>
        <v>140630.25332429624</v>
      </c>
      <c r="P47" s="38">
        <f t="shared" si="1"/>
        <v>140630.25332429624</v>
      </c>
      <c r="Q47" s="53"/>
      <c r="R47" s="53">
        <f t="shared" si="12"/>
        <v>0.12</v>
      </c>
      <c r="S47" s="53">
        <f t="shared" si="13"/>
        <v>1.0596241035318976E-2</v>
      </c>
      <c r="T47" s="53">
        <f t="shared" si="14"/>
        <v>0.05</v>
      </c>
      <c r="U47" s="53">
        <f t="shared" si="18"/>
        <v>4.2653187775606449E-3</v>
      </c>
    </row>
    <row r="48" spans="1:23" x14ac:dyDescent="0.2">
      <c r="A48" s="62">
        <f t="shared" si="2"/>
        <v>1.2746357866578102</v>
      </c>
      <c r="B48" s="45">
        <f t="shared" si="7"/>
        <v>37</v>
      </c>
      <c r="C48" s="51">
        <f t="shared" si="3"/>
        <v>6762014.6296506189</v>
      </c>
      <c r="D48" s="47" cm="1">
        <f t="array" ref="D48">_xlfn.IFS(AND($C$7="Y",B48&lt;C$4),C48,AND($C$7="Y",B48=C$4),D47+F48-J48-K48-L48+N48,AND($C$7="Y",B48&gt;$C$4),D47-J48-K48-L48+N48, TRUE, D47-J48-K48-L48+N48)</f>
        <v>6680066.3762829164</v>
      </c>
      <c r="E48" s="48">
        <f t="shared" si="8"/>
        <v>0</v>
      </c>
      <c r="F48" s="50">
        <f t="shared" si="9"/>
        <v>0</v>
      </c>
      <c r="G48" s="50">
        <f t="shared" si="19"/>
        <v>0</v>
      </c>
      <c r="H48" s="51">
        <f t="shared" si="10"/>
        <v>95910.231475319568</v>
      </c>
      <c r="I48" s="52">
        <f t="shared" si="4"/>
        <v>85503.644301701148</v>
      </c>
      <c r="J48" s="52">
        <f t="shared" si="5"/>
        <v>10406.58717361842</v>
      </c>
      <c r="K48" s="51">
        <f t="shared" si="15"/>
        <v>71541.666194084421</v>
      </c>
      <c r="L48" s="49">
        <f t="shared" si="11"/>
        <v>28965.695900618597</v>
      </c>
      <c r="M48" s="49">
        <f t="shared" si="25"/>
        <v>-30931.068756098426</v>
      </c>
      <c r="N48" s="49">
        <f t="shared" si="24"/>
        <v>0</v>
      </c>
      <c r="O48" s="48">
        <f t="shared" si="6"/>
        <v>138486.20176878539</v>
      </c>
      <c r="P48" s="38">
        <f t="shared" si="1"/>
        <v>138486.20176878539</v>
      </c>
      <c r="Q48" s="53"/>
      <c r="R48" s="53">
        <f t="shared" si="12"/>
        <v>0.12</v>
      </c>
      <c r="S48" s="53">
        <f t="shared" si="13"/>
        <v>1.0596241035318976E-2</v>
      </c>
      <c r="T48" s="53">
        <f t="shared" si="14"/>
        <v>0.05</v>
      </c>
      <c r="U48" s="53">
        <f t="shared" si="18"/>
        <v>4.2653187775606449E-3</v>
      </c>
    </row>
    <row r="49" spans="1:21" x14ac:dyDescent="0.2">
      <c r="A49" s="62">
        <f t="shared" si="2"/>
        <v>1.2537892048444668</v>
      </c>
      <c r="B49" s="45">
        <f t="shared" si="7"/>
        <v>38</v>
      </c>
      <c r="C49" s="51">
        <f t="shared" si="3"/>
        <v>6651573.7637328058</v>
      </c>
      <c r="D49" s="47" cm="1">
        <f t="array" ref="D49">_xlfn.IFS(AND($C$7="Y",B49&lt;C$4),C49,AND($C$7="Y",B49=C$4),D48+F49-J49-K49-L49+N49,AND($C$7="Y",B49&gt;$C$4),D48-J49-K49-L49+N49, TRUE, D48-J49-K49-L49+N49)</f>
        <v>6570814.3439067602</v>
      </c>
      <c r="E49" s="48">
        <f t="shared" si="8"/>
        <v>0</v>
      </c>
      <c r="F49" s="50">
        <f t="shared" si="9"/>
        <v>0</v>
      </c>
      <c r="G49" s="50">
        <f t="shared" si="19"/>
        <v>0</v>
      </c>
      <c r="H49" s="51">
        <f t="shared" si="10"/>
        <v>94494.965447330964</v>
      </c>
      <c r="I49" s="52">
        <f t="shared" si="4"/>
        <v>84107.152718497251</v>
      </c>
      <c r="J49" s="52">
        <f t="shared" si="5"/>
        <v>10387.812728833713</v>
      </c>
      <c r="K49" s="51">
        <f t="shared" si="15"/>
        <v>70371.607097212167</v>
      </c>
      <c r="L49" s="49">
        <f t="shared" si="11"/>
        <v>28492.612550111015</v>
      </c>
      <c r="M49" s="49">
        <f t="shared" si="25"/>
        <v>-30428.55024660653</v>
      </c>
      <c r="N49" s="49">
        <f t="shared" si="24"/>
        <v>0</v>
      </c>
      <c r="O49" s="48">
        <f t="shared" si="6"/>
        <v>136373.95999443211</v>
      </c>
      <c r="P49" s="38">
        <f t="shared" si="1"/>
        <v>136373.95999443211</v>
      </c>
      <c r="Q49" s="53"/>
      <c r="R49" s="53">
        <f t="shared" si="12"/>
        <v>0.12</v>
      </c>
      <c r="S49" s="53">
        <f t="shared" si="13"/>
        <v>1.0596241035318976E-2</v>
      </c>
      <c r="T49" s="53">
        <f t="shared" si="14"/>
        <v>0.05</v>
      </c>
      <c r="U49" s="53">
        <f t="shared" si="18"/>
        <v>4.2653187775606449E-3</v>
      </c>
    </row>
    <row r="50" spans="1:21" x14ac:dyDescent="0.2">
      <c r="A50" s="62">
        <f t="shared" si="2"/>
        <v>1.2332550439711791</v>
      </c>
      <c r="B50" s="45">
        <f t="shared" si="7"/>
        <v>39</v>
      </c>
      <c r="C50" s="51">
        <f t="shared" si="3"/>
        <v>6542787.7261018297</v>
      </c>
      <c r="D50" s="47" cm="1">
        <f t="array" ref="D50">_xlfn.IFS(AND($C$7="Y",B50&lt;C$4),C50,AND($C$7="Y",B50=C$4),D49+F50-J50-K50-L50+N50,AND($C$7="Y",B50&gt;$C$4),D49-J50-K50-L50+N50, TRUE, D49-J50-K50-L50+N50)</f>
        <v>6463199.6361991558</v>
      </c>
      <c r="E50" s="48">
        <f t="shared" si="8"/>
        <v>0</v>
      </c>
      <c r="F50" s="50">
        <f t="shared" si="9"/>
        <v>0</v>
      </c>
      <c r="G50" s="50">
        <f t="shared" si="19"/>
        <v>0</v>
      </c>
      <c r="H50" s="51">
        <f t="shared" si="10"/>
        <v>93100.592549301975</v>
      </c>
      <c r="I50" s="52">
        <f t="shared" si="4"/>
        <v>82731.585942021498</v>
      </c>
      <c r="J50" s="52">
        <f t="shared" si="5"/>
        <v>10369.006607280477</v>
      </c>
      <c r="K50" s="51">
        <f t="shared" si="15"/>
        <v>69219.083295393983</v>
      </c>
      <c r="L50" s="49">
        <f t="shared" si="11"/>
        <v>28026.617804930334</v>
      </c>
      <c r="M50" s="49">
        <f t="shared" si="25"/>
        <v>-29933.555877218801</v>
      </c>
      <c r="N50" s="49">
        <f t="shared" si="24"/>
        <v>0</v>
      </c>
      <c r="O50" s="48">
        <f t="shared" si="6"/>
        <v>134293.0580397656</v>
      </c>
      <c r="P50" s="38">
        <f t="shared" si="1"/>
        <v>134293.0580397656</v>
      </c>
      <c r="Q50" s="53"/>
      <c r="R50" s="53">
        <f t="shared" si="12"/>
        <v>0.12</v>
      </c>
      <c r="S50" s="53">
        <f t="shared" si="13"/>
        <v>1.0596241035318976E-2</v>
      </c>
      <c r="T50" s="53">
        <f t="shared" si="14"/>
        <v>0.05</v>
      </c>
      <c r="U50" s="53">
        <f t="shared" si="18"/>
        <v>4.2653187775606449E-3</v>
      </c>
    </row>
    <row r="51" spans="1:21" x14ac:dyDescent="0.2">
      <c r="A51" s="62">
        <f t="shared" si="2"/>
        <v>1.2130286808484649</v>
      </c>
      <c r="B51" s="45">
        <f t="shared" si="7"/>
        <v>40</v>
      </c>
      <c r="C51" s="51">
        <f t="shared" si="3"/>
        <v>6435632.0294277528</v>
      </c>
      <c r="D51" s="47" cm="1">
        <f t="array" ref="D51">_xlfn.IFS(AND($C$7="Y",B51&lt;C$4),C51,AND($C$7="Y",B51=C$4),D50+F51-J51-K51-L51+N51,AND($C$7="Y",B51&gt;$C$4),D50-J51-K51-L51+N51, TRUE, D50-J51-K51-L51+N51)</f>
        <v>6357198.0241113538</v>
      </c>
      <c r="E51" s="48">
        <f t="shared" si="8"/>
        <v>0</v>
      </c>
      <c r="F51" s="50">
        <f t="shared" si="9"/>
        <v>0</v>
      </c>
      <c r="G51" s="50">
        <f t="shared" si="19"/>
        <v>0</v>
      </c>
      <c r="H51" s="51">
        <f t="shared" si="10"/>
        <v>91726.804351531347</v>
      </c>
      <c r="I51" s="52">
        <f t="shared" si="4"/>
        <v>81376.634337340525</v>
      </c>
      <c r="J51" s="52">
        <f t="shared" si="5"/>
        <v>10350.170014190822</v>
      </c>
      <c r="K51" s="51">
        <f t="shared" si="15"/>
        <v>68083.835302208608</v>
      </c>
      <c r="L51" s="49">
        <f t="shared" si="11"/>
        <v>27567.606771403389</v>
      </c>
      <c r="M51" s="49">
        <f t="shared" si="25"/>
        <v>-29445.974322396305</v>
      </c>
      <c r="N51" s="49">
        <f t="shared" si="24"/>
        <v>0</v>
      </c>
      <c r="O51" s="48">
        <f t="shared" si="6"/>
        <v>132243.03288233659</v>
      </c>
      <c r="P51" s="38">
        <f t="shared" si="1"/>
        <v>132243.03288233659</v>
      </c>
      <c r="Q51" s="53"/>
      <c r="R51" s="53">
        <f t="shared" si="12"/>
        <v>0.12</v>
      </c>
      <c r="S51" s="53">
        <f t="shared" si="13"/>
        <v>1.0596241035318976E-2</v>
      </c>
      <c r="T51" s="53">
        <f t="shared" si="14"/>
        <v>0.05</v>
      </c>
      <c r="U51" s="53">
        <f t="shared" si="18"/>
        <v>4.2653187775606449E-3</v>
      </c>
    </row>
    <row r="52" spans="1:21" x14ac:dyDescent="0.2">
      <c r="A52" s="62">
        <f t="shared" si="2"/>
        <v>1.1931055605617651</v>
      </c>
      <c r="B52" s="45">
        <f t="shared" si="7"/>
        <v>41</v>
      </c>
      <c r="C52" s="51">
        <f t="shared" si="3"/>
        <v>6330082.5480064405</v>
      </c>
      <c r="D52" s="47" cm="1">
        <f t="array" ref="D52">_xlfn.IFS(AND($C$7="Y",B52&lt;C$4),C52,AND($C$7="Y",B52=C$4),D51+F52-J52-K52-L52+N52,AND($C$7="Y",B52&gt;$C$4),D51-J52-K52-L52+N52, TRUE, D51-J52-K52-L52+N52)</f>
        <v>6252785.63640742</v>
      </c>
      <c r="E52" s="48">
        <f t="shared" si="8"/>
        <v>0</v>
      </c>
      <c r="F52" s="50">
        <f t="shared" si="9"/>
        <v>0</v>
      </c>
      <c r="G52" s="50">
        <f t="shared" si="19"/>
        <v>0</v>
      </c>
      <c r="H52" s="51">
        <f t="shared" si="10"/>
        <v>90373.296977880033</v>
      </c>
      <c r="I52" s="52">
        <f t="shared" si="4"/>
        <v>80041.992842170745</v>
      </c>
      <c r="J52" s="52">
        <f t="shared" si="5"/>
        <v>10331.304135709288</v>
      </c>
      <c r="K52" s="51">
        <f t="shared" si="15"/>
        <v>66965.607463311186</v>
      </c>
      <c r="L52" s="49">
        <f t="shared" si="11"/>
        <v>27115.476104913589</v>
      </c>
      <c r="M52" s="49">
        <f t="shared" si="25"/>
        <v>-28965.695900618597</v>
      </c>
      <c r="N52" s="49">
        <f t="shared" si="24"/>
        <v>0</v>
      </c>
      <c r="O52" s="48">
        <f t="shared" si="6"/>
        <v>130223.42833627765</v>
      </c>
      <c r="P52" s="38">
        <f t="shared" si="1"/>
        <v>130223.42833627765</v>
      </c>
      <c r="Q52" s="53"/>
      <c r="R52" s="53">
        <f t="shared" si="12"/>
        <v>0.12</v>
      </c>
      <c r="S52" s="53">
        <f t="shared" si="13"/>
        <v>1.0596241035318976E-2</v>
      </c>
      <c r="T52" s="53">
        <f t="shared" si="14"/>
        <v>0.05</v>
      </c>
      <c r="U52" s="53">
        <f t="shared" si="18"/>
        <v>4.2653187775606449E-3</v>
      </c>
    </row>
    <row r="53" spans="1:21" x14ac:dyDescent="0.2">
      <c r="A53" s="62">
        <f t="shared" si="2"/>
        <v>1.1734811954634063</v>
      </c>
      <c r="B53" s="45">
        <f t="shared" si="7"/>
        <v>42</v>
      </c>
      <c r="C53" s="51">
        <f t="shared" si="3"/>
        <v>6226115.5124203898</v>
      </c>
      <c r="D53" s="47" cm="1">
        <f t="array" ref="D53">_xlfn.IFS(AND($C$7="Y",B53&lt;C$4),C53,AND($C$7="Y",B53=C$4),D52+F53-J53-K53-L53+N53,AND($C$7="Y",B53&gt;$C$4),D52-J53-K53-L53+N53, TRUE, D52-J53-K53-L53+N53)</f>
        <v>6149938.9543813486</v>
      </c>
      <c r="E53" s="48">
        <f t="shared" si="8"/>
        <v>0</v>
      </c>
      <c r="F53" s="50">
        <f t="shared" si="9"/>
        <v>0</v>
      </c>
      <c r="G53" s="50">
        <f t="shared" si="19"/>
        <v>0</v>
      </c>
      <c r="H53" s="51">
        <f t="shared" si="10"/>
        <v>89039.771038552411</v>
      </c>
      <c r="I53" s="52">
        <f t="shared" si="4"/>
        <v>78727.360899365958</v>
      </c>
      <c r="J53" s="52">
        <f t="shared" si="5"/>
        <v>10312.410139186453</v>
      </c>
      <c r="K53" s="51">
        <f t="shared" si="15"/>
        <v>65864.147899855088</v>
      </c>
      <c r="L53" s="49">
        <f t="shared" si="11"/>
        <v>26670.123987030056</v>
      </c>
      <c r="M53" s="49">
        <f t="shared" si="25"/>
        <v>-28492.612550111015</v>
      </c>
      <c r="N53" s="49">
        <f t="shared" si="24"/>
        <v>0</v>
      </c>
      <c r="O53" s="48">
        <f t="shared" si="6"/>
        <v>128233.79495137744</v>
      </c>
      <c r="P53" s="38">
        <f t="shared" si="1"/>
        <v>128233.79495137744</v>
      </c>
      <c r="Q53" s="53"/>
      <c r="R53" s="53">
        <f t="shared" si="12"/>
        <v>0.12</v>
      </c>
      <c r="S53" s="53">
        <f t="shared" si="13"/>
        <v>1.0596241035318976E-2</v>
      </c>
      <c r="T53" s="53">
        <f t="shared" si="14"/>
        <v>0.05</v>
      </c>
      <c r="U53" s="53">
        <f t="shared" si="18"/>
        <v>4.2653187775606449E-3</v>
      </c>
    </row>
    <row r="54" spans="1:21" x14ac:dyDescent="0.2">
      <c r="A54" s="62">
        <f t="shared" si="2"/>
        <v>1.1541511641794435</v>
      </c>
      <c r="B54" s="45">
        <f t="shared" si="7"/>
        <v>43</v>
      </c>
      <c r="C54" s="51">
        <f t="shared" si="3"/>
        <v>6123707.5042783739</v>
      </c>
      <c r="D54" s="47" cm="1">
        <f t="array" ref="D54">_xlfn.IFS(AND($C$7="Y",B54&lt;C$4),C54,AND($C$7="Y",B54=C$4),D53+F54-J54-K54-L54+N54,AND($C$7="Y",B54&gt;$C$4),D53-J54-K54-L54+N54, TRUE, D53-J54-K54-L54+N54)</f>
        <v>6048634.8066521576</v>
      </c>
      <c r="E54" s="48">
        <f t="shared" si="8"/>
        <v>0</v>
      </c>
      <c r="F54" s="50">
        <f t="shared" si="9"/>
        <v>0</v>
      </c>
      <c r="G54" s="50">
        <f t="shared" si="19"/>
        <v>0</v>
      </c>
      <c r="H54" s="51">
        <f t="shared" si="10"/>
        <v>87725.93156386957</v>
      </c>
      <c r="I54" s="52">
        <f t="shared" si="4"/>
        <v>77432.442390401862</v>
      </c>
      <c r="J54" s="52">
        <f t="shared" si="5"/>
        <v>10293.489173467708</v>
      </c>
      <c r="K54" s="51">
        <f t="shared" si="15"/>
        <v>64779.208452748753</v>
      </c>
      <c r="L54" s="49">
        <f t="shared" si="11"/>
        <v>26231.450102974446</v>
      </c>
      <c r="M54" s="49">
        <f t="shared" si="25"/>
        <v>-28026.617804930334</v>
      </c>
      <c r="N54" s="49">
        <f t="shared" si="24"/>
        <v>0</v>
      </c>
      <c r="O54" s="48">
        <f t="shared" si="6"/>
        <v>126273.68991364389</v>
      </c>
      <c r="P54" s="38">
        <f t="shared" si="1"/>
        <v>126273.68991364389</v>
      </c>
      <c r="Q54" s="53"/>
      <c r="R54" s="53">
        <f t="shared" si="12"/>
        <v>0.12</v>
      </c>
      <c r="S54" s="53">
        <f t="shared" si="13"/>
        <v>1.0596241035318976E-2</v>
      </c>
      <c r="T54" s="53">
        <f t="shared" si="14"/>
        <v>0.05</v>
      </c>
      <c r="U54" s="53">
        <f t="shared" si="18"/>
        <v>4.2653187775606449E-3</v>
      </c>
    </row>
    <row r="55" spans="1:21" x14ac:dyDescent="0.2">
      <c r="A55" s="62">
        <f t="shared" si="2"/>
        <v>1.1351111106311649</v>
      </c>
      <c r="B55" s="45">
        <f t="shared" si="7"/>
        <v>44</v>
      </c>
      <c r="C55" s="51">
        <f t="shared" si="3"/>
        <v>6022835.4510327373</v>
      </c>
      <c r="D55" s="47" cm="1">
        <f t="array" ref="D55">_xlfn.IFS(AND($C$7="Y",B55&lt;C$4),C55,AND($C$7="Y",B55=C$4),D54+F55-J55-K55-L55+N55,AND($C$7="Y",B55&gt;$C$4),D54-J55-K55-L55+N55, TRUE, D54-J55-K55-L55+N55)</f>
        <v>5948850.3640358234</v>
      </c>
      <c r="E55" s="48">
        <f t="shared" si="8"/>
        <v>0</v>
      </c>
      <c r="F55" s="50">
        <f t="shared" si="9"/>
        <v>0</v>
      </c>
      <c r="G55" s="50">
        <f t="shared" si="19"/>
        <v>0</v>
      </c>
      <c r="H55" s="51">
        <f t="shared" si="10"/>
        <v>86431.487939020619</v>
      </c>
      <c r="I55" s="52">
        <f t="shared" si="4"/>
        <v>76156.94556984221</v>
      </c>
      <c r="J55" s="52">
        <f t="shared" si="5"/>
        <v>10274.542369178409</v>
      </c>
      <c r="K55" s="51">
        <f t="shared" si="15"/>
        <v>63710.544627735551</v>
      </c>
      <c r="L55" s="49">
        <f t="shared" si="11"/>
        <v>25799.355619420348</v>
      </c>
      <c r="M55" s="49">
        <f t="shared" si="25"/>
        <v>-27567.606771403389</v>
      </c>
      <c r="N55" s="49">
        <f t="shared" si="24"/>
        <v>0</v>
      </c>
      <c r="O55" s="48">
        <f t="shared" si="6"/>
        <v>124342.6769473358</v>
      </c>
      <c r="P55" s="38">
        <f t="shared" si="1"/>
        <v>124342.6769473358</v>
      </c>
      <c r="Q55" s="53"/>
      <c r="R55" s="53">
        <f t="shared" si="12"/>
        <v>0.12</v>
      </c>
      <c r="S55" s="53">
        <f t="shared" si="13"/>
        <v>1.0596241035318976E-2</v>
      </c>
      <c r="T55" s="53">
        <f t="shared" si="14"/>
        <v>0.05</v>
      </c>
      <c r="U55" s="53">
        <f t="shared" si="18"/>
        <v>4.2653187775606449E-3</v>
      </c>
    </row>
    <row r="56" spans="1:21" x14ac:dyDescent="0.2">
      <c r="A56" s="62">
        <f t="shared" si="2"/>
        <v>1.1163567430710397</v>
      </c>
      <c r="B56" s="45">
        <f t="shared" si="7"/>
        <v>45</v>
      </c>
      <c r="C56" s="51">
        <f t="shared" si="3"/>
        <v>5923476.6208732026</v>
      </c>
      <c r="D56" s="47" cm="1">
        <f t="array" ref="D56">_xlfn.IFS(AND($C$7="Y",B56&lt;C$4),C56,AND($C$7="Y",B56=C$4),D55+F56-J56-K56-L56+N56,AND($C$7="Y",B56&gt;$C$4),D55-J56-K56-L56+N56, TRUE, D55-J56-K56-L56+N56)</f>
        <v>5850563.1344929133</v>
      </c>
      <c r="E56" s="48">
        <f t="shared" si="8"/>
        <v>0</v>
      </c>
      <c r="F56" s="50">
        <f t="shared" si="9"/>
        <v>0</v>
      </c>
      <c r="G56" s="50">
        <f t="shared" si="19"/>
        <v>0</v>
      </c>
      <c r="H56" s="51">
        <f t="shared" si="10"/>
        <v>85156.153839777369</v>
      </c>
      <c r="I56" s="52">
        <f t="shared" si="4"/>
        <v>74900.583000772633</v>
      </c>
      <c r="J56" s="52">
        <f t="shared" si="5"/>
        <v>10255.570839004737</v>
      </c>
      <c r="K56" s="51">
        <f t="shared" si="15"/>
        <v>62657.915541284332</v>
      </c>
      <c r="L56" s="49">
        <f t="shared" si="11"/>
        <v>25373.743162620474</v>
      </c>
      <c r="M56" s="49">
        <f t="shared" si="25"/>
        <v>-27115.476104913589</v>
      </c>
      <c r="N56" s="49">
        <f t="shared" si="24"/>
        <v>0</v>
      </c>
      <c r="O56" s="48">
        <f t="shared" si="6"/>
        <v>122440.32621844123</v>
      </c>
      <c r="P56" s="38">
        <f t="shared" si="1"/>
        <v>122440.32621844123</v>
      </c>
      <c r="Q56" s="53"/>
      <c r="R56" s="53">
        <f t="shared" si="12"/>
        <v>0.12</v>
      </c>
      <c r="S56" s="53">
        <f t="shared" si="13"/>
        <v>1.0596241035318976E-2</v>
      </c>
      <c r="T56" s="53">
        <f t="shared" si="14"/>
        <v>0.05</v>
      </c>
      <c r="U56" s="53">
        <f t="shared" si="18"/>
        <v>4.2653187775606449E-3</v>
      </c>
    </row>
    <row r="57" spans="1:21" x14ac:dyDescent="0.2">
      <c r="A57" s="62">
        <f t="shared" si="2"/>
        <v>1.0978838331328988</v>
      </c>
      <c r="B57" s="45">
        <f t="shared" si="7"/>
        <v>46</v>
      </c>
      <c r="C57" s="51">
        <f t="shared" si="3"/>
        <v>5825608.6176960561</v>
      </c>
      <c r="D57" s="47" cm="1">
        <f t="array" ref="D57">_xlfn.IFS(AND($C$7="Y",B57&lt;C$4),C57,AND($C$7="Y",B57=C$4),D56+F57-J57-K57-L57+N57,AND($C$7="Y",B57&gt;$C$4),D56-J57-K57-L57+N57, TRUE, D56-J57-K57-L57+N57)</f>
        <v>5753750.9581508059</v>
      </c>
      <c r="E57" s="48">
        <f t="shared" si="8"/>
        <v>0</v>
      </c>
      <c r="F57" s="50">
        <f t="shared" si="9"/>
        <v>0</v>
      </c>
      <c r="G57" s="50">
        <f t="shared" si="19"/>
        <v>0</v>
      </c>
      <c r="H57" s="51">
        <f t="shared" si="10"/>
        <v>83899.647169158387</v>
      </c>
      <c r="I57" s="52">
        <f t="shared" si="4"/>
        <v>73663.07149118738</v>
      </c>
      <c r="J57" s="52">
        <f t="shared" si="5"/>
        <v>10236.575677971006</v>
      </c>
      <c r="K57" s="51">
        <f t="shared" si="15"/>
        <v>61621.083867278743</v>
      </c>
      <c r="L57" s="49">
        <f t="shared" si="11"/>
        <v>24954.516796856689</v>
      </c>
      <c r="M57" s="49">
        <f t="shared" si="25"/>
        <v>-26670.123987030056</v>
      </c>
      <c r="N57" s="49">
        <f t="shared" si="24"/>
        <v>0</v>
      </c>
      <c r="O57" s="48">
        <f t="shared" si="6"/>
        <v>120566.21423958044</v>
      </c>
      <c r="P57" s="38">
        <f t="shared" si="1"/>
        <v>120566.21423958044</v>
      </c>
      <c r="Q57" s="53"/>
      <c r="R57" s="53">
        <f t="shared" si="12"/>
        <v>0.12</v>
      </c>
      <c r="S57" s="53">
        <f t="shared" si="13"/>
        <v>1.0596241035318976E-2</v>
      </c>
      <c r="T57" s="53">
        <f t="shared" si="14"/>
        <v>0.05</v>
      </c>
      <c r="U57" s="53">
        <f t="shared" si="18"/>
        <v>4.2653187775606449E-3</v>
      </c>
    </row>
    <row r="58" spans="1:21" x14ac:dyDescent="0.2">
      <c r="A58" s="62">
        <f t="shared" si="2"/>
        <v>1.0796882148961373</v>
      </c>
      <c r="B58" s="45">
        <f t="shared" si="7"/>
        <v>47</v>
      </c>
      <c r="C58" s="51">
        <f t="shared" si="3"/>
        <v>5729209.376147598</v>
      </c>
      <c r="D58" s="47" cm="1">
        <f t="array" ref="D58">_xlfn.IFS(AND($C$7="Y",B58&lt;C$4),C58,AND($C$7="Y",B58=C$4),D57+F58-J58-K58-L58+N58,AND($C$7="Y",B58&gt;$C$4),D57-J58-K58-L58+N58, TRUE, D57-J58-K58-L58+N58)</f>
        <v>5658392.0023993915</v>
      </c>
      <c r="E58" s="48">
        <f t="shared" si="8"/>
        <v>0</v>
      </c>
      <c r="F58" s="50">
        <f t="shared" si="9"/>
        <v>0</v>
      </c>
      <c r="G58" s="50">
        <f t="shared" si="19"/>
        <v>0</v>
      </c>
      <c r="H58" s="51">
        <f t="shared" si="10"/>
        <v>82661.689995027991</v>
      </c>
      <c r="I58" s="52">
        <f t="shared" si="4"/>
        <v>72444.132031315341</v>
      </c>
      <c r="J58" s="52">
        <f t="shared" si="5"/>
        <v>10217.55796371265</v>
      </c>
      <c r="K58" s="51">
        <f t="shared" si="15"/>
        <v>60599.815784493563</v>
      </c>
      <c r="L58" s="49">
        <f t="shared" si="11"/>
        <v>24541.582003208187</v>
      </c>
      <c r="M58" s="49">
        <f t="shared" si="25"/>
        <v>-26231.450102974446</v>
      </c>
      <c r="N58" s="49">
        <f t="shared" si="24"/>
        <v>0</v>
      </c>
      <c r="O58" s="48">
        <f t="shared" si="6"/>
        <v>118719.92377631336</v>
      </c>
      <c r="P58" s="38">
        <f t="shared" si="1"/>
        <v>118719.92377631336</v>
      </c>
      <c r="Q58" s="53"/>
      <c r="R58" s="53">
        <f t="shared" si="12"/>
        <v>0.12</v>
      </c>
      <c r="S58" s="53">
        <f t="shared" si="13"/>
        <v>1.0596241035318976E-2</v>
      </c>
      <c r="T58" s="53">
        <f t="shared" si="14"/>
        <v>0.05</v>
      </c>
      <c r="U58" s="53">
        <f t="shared" si="18"/>
        <v>4.2653187775606449E-3</v>
      </c>
    </row>
    <row r="59" spans="1:21" x14ac:dyDescent="0.2">
      <c r="A59" s="62">
        <f t="shared" si="2"/>
        <v>1.0617657839637282</v>
      </c>
      <c r="B59" s="45">
        <f t="shared" si="7"/>
        <v>48</v>
      </c>
      <c r="C59" s="51">
        <f t="shared" si="3"/>
        <v>5634257.1567407586</v>
      </c>
      <c r="D59" s="47" cm="1">
        <f t="array" ref="D59">_xlfn.IFS(AND($C$7="Y",B59&lt;C$4),C59,AND($C$7="Y",B59=C$4),D58+F59-J59-K59-L59+N59,AND($C$7="Y",B59&gt;$C$4),D58-J59-K59-L59+N59, TRUE, D58-J59-K59-L59+N59)</f>
        <v>5564464.7570591671</v>
      </c>
      <c r="E59" s="48">
        <f t="shared" si="8"/>
        <v>0</v>
      </c>
      <c r="F59" s="50">
        <f t="shared" si="9"/>
        <v>0</v>
      </c>
      <c r="G59" s="50">
        <f t="shared" si="19"/>
        <v>0</v>
      </c>
      <c r="H59" s="51">
        <f t="shared" si="10"/>
        <v>81442.008488616877</v>
      </c>
      <c r="I59" s="52">
        <f t="shared" si="4"/>
        <v>71243.489731871072</v>
      </c>
      <c r="J59" s="52">
        <f t="shared" si="5"/>
        <v>10198.518756745805</v>
      </c>
      <c r="K59" s="51">
        <f t="shared" si="15"/>
        <v>59593.880924846351</v>
      </c>
      <c r="L59" s="49">
        <f t="shared" si="11"/>
        <v>24134.845658633101</v>
      </c>
      <c r="M59" s="49">
        <f t="shared" si="25"/>
        <v>-25799.355619420348</v>
      </c>
      <c r="N59" s="49">
        <f t="shared" si="24"/>
        <v>0</v>
      </c>
      <c r="O59" s="48">
        <f t="shared" si="6"/>
        <v>116901.04375483014</v>
      </c>
      <c r="P59" s="38">
        <f t="shared" si="1"/>
        <v>116901.04375483014</v>
      </c>
      <c r="Q59" s="53"/>
      <c r="R59" s="53">
        <f t="shared" si="12"/>
        <v>0.12</v>
      </c>
      <c r="S59" s="53">
        <f t="shared" si="13"/>
        <v>1.0596241035318976E-2</v>
      </c>
      <c r="T59" s="53">
        <f t="shared" si="14"/>
        <v>0.05</v>
      </c>
      <c r="U59" s="53">
        <f t="shared" si="18"/>
        <v>4.2653187775606449E-3</v>
      </c>
    </row>
    <row r="60" spans="1:21" x14ac:dyDescent="0.2">
      <c r="A60" s="62">
        <f t="shared" si="2"/>
        <v>1.0441124965538504</v>
      </c>
      <c r="B60" s="45">
        <f t="shared" si="7"/>
        <v>49</v>
      </c>
      <c r="C60" s="51">
        <f t="shared" si="3"/>
        <v>5540730.5410438087</v>
      </c>
      <c r="D60" s="47" cm="1">
        <f t="array" ref="D60">_xlfn.IFS(AND($C$7="Y",B60&lt;C$4),C60,AND($C$7="Y",B60=C$4),D59+F60-J60-K60-L60+N60,AND($C$7="Y",B60&gt;$C$4),D59-J60-K60-L60+N60, TRUE, D59-J60-K60-L60+N60)</f>
        <v>5471948.0296206633</v>
      </c>
      <c r="E60" s="48">
        <f t="shared" si="8"/>
        <v>0</v>
      </c>
      <c r="F60" s="50">
        <f t="shared" si="9"/>
        <v>0</v>
      </c>
      <c r="G60" s="50">
        <f t="shared" si="19"/>
        <v>0</v>
      </c>
      <c r="H60" s="51">
        <f t="shared" si="10"/>
        <v>80240.332863950491</v>
      </c>
      <c r="I60" s="52">
        <f t="shared" si="4"/>
        <v>70060.873763217489</v>
      </c>
      <c r="J60" s="52">
        <f t="shared" si="5"/>
        <v>10179.459100733002</v>
      </c>
      <c r="K60" s="51">
        <f t="shared" si="15"/>
        <v>58603.052322412987</v>
      </c>
      <c r="L60" s="49">
        <f t="shared" si="11"/>
        <v>23734.216015358899</v>
      </c>
      <c r="M60" s="49">
        <f t="shared" si="25"/>
        <v>-25373.743162620474</v>
      </c>
      <c r="N60" s="49">
        <f t="shared" si="24"/>
        <v>0</v>
      </c>
      <c r="O60" s="48">
        <f t="shared" si="6"/>
        <v>115109.16917100459</v>
      </c>
      <c r="P60" s="38">
        <f t="shared" si="1"/>
        <v>115109.16917100459</v>
      </c>
      <c r="Q60" s="53"/>
      <c r="R60" s="53">
        <f t="shared" si="12"/>
        <v>0.12</v>
      </c>
      <c r="S60" s="53">
        <f t="shared" si="13"/>
        <v>1.0596241035318976E-2</v>
      </c>
      <c r="T60" s="53">
        <f t="shared" si="14"/>
        <v>0.05</v>
      </c>
      <c r="U60" s="53">
        <f t="shared" si="18"/>
        <v>4.2653187775606449E-3</v>
      </c>
    </row>
    <row r="61" spans="1:21" x14ac:dyDescent="0.2">
      <c r="A61" s="62">
        <f t="shared" si="2"/>
        <v>1.0267243686049228</v>
      </c>
      <c r="B61" s="45">
        <f t="shared" si="7"/>
        <v>50</v>
      </c>
      <c r="C61" s="51">
        <f t="shared" si="3"/>
        <v>5448608.4269400863</v>
      </c>
      <c r="D61" s="47" cm="1">
        <f t="array" ref="D61">_xlfn.IFS(AND($C$7="Y",B61&lt;C$4),C61,AND($C$7="Y",B61=C$4),D60+F61-J61-K61-L61+N61,AND($C$7="Y",B61&gt;$C$4),D60-J61-K61-L61+N61, TRUE, D60-J61-K61-L61+N61)</f>
        <v>5380820.9405541457</v>
      </c>
      <c r="E61" s="48">
        <f t="shared" si="8"/>
        <v>0</v>
      </c>
      <c r="F61" s="50">
        <f t="shared" si="9"/>
        <v>0</v>
      </c>
      <c r="G61" s="50">
        <f t="shared" si="19"/>
        <v>0</v>
      </c>
      <c r="H61" s="51">
        <f t="shared" si="10"/>
        <v>79056.397318171672</v>
      </c>
      <c r="I61" s="52">
        <f t="shared" si="4"/>
        <v>68896.017295426573</v>
      </c>
      <c r="J61" s="52">
        <f t="shared" si="5"/>
        <v>10160.380022745099</v>
      </c>
      <c r="K61" s="51">
        <f t="shared" si="15"/>
        <v>57627.106363195875</v>
      </c>
      <c r="L61" s="49">
        <f t="shared" si="11"/>
        <v>23339.602680576987</v>
      </c>
      <c r="M61" s="49">
        <f t="shared" si="25"/>
        <v>-24954.516796856689</v>
      </c>
      <c r="N61" s="49">
        <f t="shared" si="24"/>
        <v>0</v>
      </c>
      <c r="O61" s="48">
        <f t="shared" si="6"/>
        <v>113343.90100079056</v>
      </c>
      <c r="P61" s="38">
        <f t="shared" si="1"/>
        <v>113343.90100079056</v>
      </c>
      <c r="Q61" s="53"/>
      <c r="R61" s="53">
        <f t="shared" si="12"/>
        <v>0.12</v>
      </c>
      <c r="S61" s="53">
        <f t="shared" si="13"/>
        <v>1.0596241035318976E-2</v>
      </c>
      <c r="T61" s="53">
        <f t="shared" si="14"/>
        <v>0.05</v>
      </c>
      <c r="U61" s="53">
        <f t="shared" si="18"/>
        <v>4.2653187775606449E-3</v>
      </c>
    </row>
    <row r="62" spans="1:21" x14ac:dyDescent="0.2">
      <c r="A62" s="62">
        <f t="shared" si="2"/>
        <v>1.0095974748938519</v>
      </c>
      <c r="B62" s="45">
        <f t="shared" si="7"/>
        <v>51</v>
      </c>
      <c r="C62" s="51">
        <f t="shared" si="3"/>
        <v>5357870.0239577089</v>
      </c>
      <c r="D62" s="47" cm="1">
        <f t="array" ref="D62">_xlfn.IFS(AND($C$7="Y",B62&lt;C$4),C62,AND($C$7="Y",B62=C$4),D61+F62-J62-K62-L62+N62,AND($C$7="Y",B62&gt;$C$4),D61-J62-K62-L62+N62, TRUE, D61-J62-K62-L62+N62)</f>
        <v>5291062.9186885552</v>
      </c>
      <c r="E62" s="48">
        <f t="shared" si="8"/>
        <v>0</v>
      </c>
      <c r="F62" s="50">
        <f t="shared" si="9"/>
        <v>0</v>
      </c>
      <c r="G62" s="50">
        <f t="shared" si="19"/>
        <v>0</v>
      </c>
      <c r="H62" s="51">
        <f t="shared" si="10"/>
        <v>77889.939972744862</v>
      </c>
      <c r="I62" s="52">
        <f t="shared" si="4"/>
        <v>67748.657439224873</v>
      </c>
      <c r="J62" s="52">
        <f t="shared" si="5"/>
        <v>10141.282533519989</v>
      </c>
      <c r="K62" s="51">
        <f t="shared" si="15"/>
        <v>56665.822735633694</v>
      </c>
      <c r="L62" s="49">
        <f t="shared" si="11"/>
        <v>22950.916596437128</v>
      </c>
      <c r="M62" s="49">
        <f t="shared" si="25"/>
        <v>-24541.582003208187</v>
      </c>
      <c r="N62" s="49">
        <f t="shared" si="24"/>
        <v>0</v>
      </c>
      <c r="O62" s="48">
        <f t="shared" si="6"/>
        <v>111604.84611194141</v>
      </c>
      <c r="P62" s="38">
        <f t="shared" si="1"/>
        <v>111604.84611194141</v>
      </c>
      <c r="Q62" s="53"/>
      <c r="R62" s="53">
        <f t="shared" si="12"/>
        <v>0.12</v>
      </c>
      <c r="S62" s="53">
        <f t="shared" si="13"/>
        <v>1.0596241035318976E-2</v>
      </c>
      <c r="T62" s="53">
        <f t="shared" si="14"/>
        <v>0.05</v>
      </c>
      <c r="U62" s="53">
        <f t="shared" si="18"/>
        <v>4.2653187775606449E-3</v>
      </c>
    </row>
    <row r="63" spans="1:21" x14ac:dyDescent="0.2">
      <c r="A63" s="62">
        <f t="shared" si="2"/>
        <v>0.99272794816729448</v>
      </c>
      <c r="B63" s="45">
        <f t="shared" si="7"/>
        <v>52</v>
      </c>
      <c r="C63" s="51">
        <f t="shared" si="3"/>
        <v>5268494.8486682177</v>
      </c>
      <c r="D63" s="47" cm="1">
        <f t="array" ref="D63">_xlfn.IFS(AND($C$7="Y",B63&lt;C$4),C63,AND($C$7="Y",B63=C$4),D62+F63-J63-K63-L63+N63,AND($C$7="Y",B63&gt;$C$4),D62-J63-K63-L63+N63, TRUE, D62-J63-K63-L63+N63)</f>
        <v>5202653.6966586588</v>
      </c>
      <c r="E63" s="48">
        <f t="shared" si="8"/>
        <v>0</v>
      </c>
      <c r="F63" s="50">
        <f t="shared" si="9"/>
        <v>0</v>
      </c>
      <c r="G63" s="50">
        <f t="shared" si="19"/>
        <v>0</v>
      </c>
      <c r="H63" s="51">
        <f t="shared" si="10"/>
        <v>76740.702815528086</v>
      </c>
      <c r="I63" s="52">
        <f t="shared" si="4"/>
        <v>66618.535187810936</v>
      </c>
      <c r="J63" s="52">
        <f t="shared" si="5"/>
        <v>10122.16762771715</v>
      </c>
      <c r="K63" s="51">
        <f t="shared" si="15"/>
        <v>55718.984381841612</v>
      </c>
      <c r="L63" s="49">
        <f t="shared" si="11"/>
        <v>22568.070020337127</v>
      </c>
      <c r="M63" s="49">
        <f t="shared" si="25"/>
        <v>-24134.845658633101</v>
      </c>
      <c r="N63" s="49">
        <f t="shared" si="24"/>
        <v>0</v>
      </c>
      <c r="O63" s="48">
        <f t="shared" si="6"/>
        <v>109891.61717703257</v>
      </c>
      <c r="P63" s="38">
        <f t="shared" si="1"/>
        <v>109891.61717703257</v>
      </c>
      <c r="Q63" s="53"/>
      <c r="R63" s="53">
        <f t="shared" si="12"/>
        <v>0.12</v>
      </c>
      <c r="S63" s="53">
        <f t="shared" si="13"/>
        <v>1.0596241035318976E-2</v>
      </c>
      <c r="T63" s="53">
        <f t="shared" si="14"/>
        <v>0.05</v>
      </c>
      <c r="U63" s="53">
        <f t="shared" si="18"/>
        <v>4.2653187775606449E-3</v>
      </c>
    </row>
    <row r="64" spans="1:21" x14ac:dyDescent="0.2">
      <c r="A64" s="62">
        <f t="shared" si="2"/>
        <v>0.97611197828574525</v>
      </c>
      <c r="B64" s="45">
        <f t="shared" si="7"/>
        <v>53</v>
      </c>
      <c r="C64" s="51">
        <f t="shared" si="3"/>
        <v>5180462.7201531557</v>
      </c>
      <c r="D64" s="47" cm="1">
        <f t="array" ref="D64">_xlfn.IFS(AND($C$7="Y",B64&lt;C$4),C64,AND($C$7="Y",B64=C$4),D63+F64-J64-K64-L64+N64,AND($C$7="Y",B64&gt;$C$4),D63-J64-K64-L64+N64, TRUE, D63-J64-K64-L64+N64)</f>
        <v>5115573.3064194154</v>
      </c>
      <c r="E64" s="48">
        <f t="shared" si="8"/>
        <v>0</v>
      </c>
      <c r="F64" s="50">
        <f t="shared" si="9"/>
        <v>0</v>
      </c>
      <c r="G64" s="50">
        <f t="shared" si="19"/>
        <v>0</v>
      </c>
      <c r="H64" s="51">
        <f t="shared" si="10"/>
        <v>75608.431643700809</v>
      </c>
      <c r="I64" s="52">
        <f t="shared" si="4"/>
        <v>65505.395359531314</v>
      </c>
      <c r="J64" s="52">
        <f t="shared" si="5"/>
        <v>10103.036284169495</v>
      </c>
      <c r="K64" s="51">
        <f t="shared" si="15"/>
        <v>54786.377449571402</v>
      </c>
      <c r="L64" s="49">
        <f t="shared" si="11"/>
        <v>22190.97650550348</v>
      </c>
      <c r="M64" s="49">
        <f t="shared" si="25"/>
        <v>-23734.216015358899</v>
      </c>
      <c r="N64" s="49">
        <f t="shared" si="24"/>
        <v>0</v>
      </c>
      <c r="O64" s="48">
        <f t="shared" si="6"/>
        <v>108203.83258776875</v>
      </c>
      <c r="P64" s="38">
        <f t="shared" si="1"/>
        <v>108203.83258776875</v>
      </c>
      <c r="Q64" s="53"/>
      <c r="R64" s="53">
        <f t="shared" si="12"/>
        <v>0.12</v>
      </c>
      <c r="S64" s="53">
        <f t="shared" si="13"/>
        <v>1.0596241035318976E-2</v>
      </c>
      <c r="T64" s="53">
        <f t="shared" si="14"/>
        <v>0.05</v>
      </c>
      <c r="U64" s="53">
        <f t="shared" si="18"/>
        <v>4.2653187775606449E-3</v>
      </c>
    </row>
    <row r="65" spans="1:21" x14ac:dyDescent="0.2">
      <c r="A65" s="62">
        <f t="shared" si="2"/>
        <v>0.95974581138025683</v>
      </c>
      <c r="B65" s="45">
        <f t="shared" si="7"/>
        <v>54</v>
      </c>
      <c r="C65" s="51">
        <f t="shared" si="3"/>
        <v>5093753.7555375565</v>
      </c>
      <c r="D65" s="47" cm="1">
        <f t="array" ref="D65">_xlfn.IFS(AND($C$7="Y",B65&lt;C$4),C65,AND($C$7="Y",B65=C$4),D64+F65-J65-K65-L65+N65,AND($C$7="Y",B65&gt;$C$4),D64-J65-K65-L65+N65, TRUE, D64-J65-K65-L65+N65)</f>
        <v>5029802.0748265451</v>
      </c>
      <c r="E65" s="48">
        <f t="shared" si="8"/>
        <v>0</v>
      </c>
      <c r="F65" s="50">
        <f t="shared" si="9"/>
        <v>0</v>
      </c>
      <c r="G65" s="50">
        <f t="shared" si="19"/>
        <v>0</v>
      </c>
      <c r="H65" s="51">
        <f t="shared" si="10"/>
        <v>74492.87600753404</v>
      </c>
      <c r="I65" s="52">
        <f t="shared" si="4"/>
        <v>64408.986541403101</v>
      </c>
      <c r="J65" s="52">
        <f t="shared" si="5"/>
        <v>10083.889466130939</v>
      </c>
      <c r="K65" s="51">
        <f t="shared" si="15"/>
        <v>53867.791244880558</v>
      </c>
      <c r="L65" s="49">
        <f t="shared" si="11"/>
        <v>21819.550881858726</v>
      </c>
      <c r="M65" s="49">
        <f t="shared" si="25"/>
        <v>-23339.602680576987</v>
      </c>
      <c r="N65" s="49">
        <f t="shared" si="24"/>
        <v>0</v>
      </c>
      <c r="O65" s="48">
        <f t="shared" si="6"/>
        <v>106541.11637055587</v>
      </c>
      <c r="P65" s="38">
        <f t="shared" si="1"/>
        <v>106541.11637055587</v>
      </c>
      <c r="Q65" s="53"/>
      <c r="R65" s="53">
        <f t="shared" si="12"/>
        <v>0.12</v>
      </c>
      <c r="S65" s="53">
        <f t="shared" si="13"/>
        <v>1.0596241035318976E-2</v>
      </c>
      <c r="T65" s="53">
        <f t="shared" si="14"/>
        <v>0.05</v>
      </c>
      <c r="U65" s="53">
        <f t="shared" si="18"/>
        <v>4.2653187775606449E-3</v>
      </c>
    </row>
    <row r="66" spans="1:21" x14ac:dyDescent="0.2">
      <c r="A66" s="62">
        <f t="shared" si="2"/>
        <v>0.94362574902161156</v>
      </c>
      <c r="B66" s="45">
        <f t="shared" si="7"/>
        <v>55</v>
      </c>
      <c r="C66" s="51">
        <f t="shared" si="3"/>
        <v>5008348.3655893737</v>
      </c>
      <c r="D66" s="47" cm="1">
        <f t="array" ref="D66">_xlfn.IFS(AND($C$7="Y",B66&lt;C$4),C66,AND($C$7="Y",B66=C$4),D65+F66-J66-K66-L66+N66,AND($C$7="Y",B66&gt;$C$4),D65-J66-K66-L66+N66, TRUE, D65-J66-K66-L66+N66)</f>
        <v>4945320.6192823518</v>
      </c>
      <c r="E66" s="48">
        <f t="shared" si="8"/>
        <v>0</v>
      </c>
      <c r="F66" s="50">
        <f t="shared" si="9"/>
        <v>0</v>
      </c>
      <c r="G66" s="50">
        <f t="shared" si="19"/>
        <v>0</v>
      </c>
      <c r="H66" s="51">
        <f t="shared" si="10"/>
        <v>73393.789154991391</v>
      </c>
      <c r="I66" s="52">
        <f t="shared" si="4"/>
        <v>63329.061033469858</v>
      </c>
      <c r="J66" s="52">
        <f t="shared" si="5"/>
        <v>10064.728121521533</v>
      </c>
      <c r="K66" s="51">
        <f t="shared" si="15"/>
        <v>52963.018185500252</v>
      </c>
      <c r="L66" s="49">
        <f t="shared" si="11"/>
        <v>21453.709237171155</v>
      </c>
      <c r="M66" s="49">
        <f t="shared" si="25"/>
        <v>-22950.916596437128</v>
      </c>
      <c r="N66" s="49">
        <f t="shared" si="24"/>
        <v>0</v>
      </c>
      <c r="O66" s="48">
        <f t="shared" si="6"/>
        <v>104903.09810332049</v>
      </c>
      <c r="P66" s="38">
        <f t="shared" si="1"/>
        <v>104903.09810332049</v>
      </c>
      <c r="Q66" s="53"/>
      <c r="R66" s="53">
        <f t="shared" si="12"/>
        <v>0.12</v>
      </c>
      <c r="S66" s="53">
        <f t="shared" si="13"/>
        <v>1.0596241035318976E-2</v>
      </c>
      <c r="T66" s="53">
        <f t="shared" si="14"/>
        <v>0.05</v>
      </c>
      <c r="U66" s="53">
        <f t="shared" si="18"/>
        <v>4.2653187775606449E-3</v>
      </c>
    </row>
    <row r="67" spans="1:21" x14ac:dyDescent="0.2">
      <c r="A67" s="62">
        <f t="shared" si="2"/>
        <v>0.92774814740175526</v>
      </c>
      <c r="B67" s="45">
        <f t="shared" si="7"/>
        <v>56</v>
      </c>
      <c r="C67" s="51">
        <f t="shared" si="3"/>
        <v>4924227.2503838688</v>
      </c>
      <c r="D67" s="47" cm="1">
        <f t="array" ref="D67">_xlfn.IFS(AND($C$7="Y",B67&lt;C$4),C67,AND($C$7="Y",B67=C$4),D66+F67-J67-K67-L67+N67,AND($C$7="Y",B67&gt;$C$4),D66-J67-K67-L67+N67, TRUE, D66-J67-K67-L67+N67)</f>
        <v>4862109.8434458096</v>
      </c>
      <c r="E67" s="48">
        <f t="shared" si="8"/>
        <v>0</v>
      </c>
      <c r="F67" s="50">
        <f t="shared" si="9"/>
        <v>0</v>
      </c>
      <c r="G67" s="50">
        <f t="shared" si="19"/>
        <v>0</v>
      </c>
      <c r="H67" s="51">
        <f t="shared" si="10"/>
        <v>72310.927977147745</v>
      </c>
      <c r="I67" s="52">
        <f t="shared" si="4"/>
        <v>62265.374793979194</v>
      </c>
      <c r="J67" s="52">
        <f t="shared" si="5"/>
        <v>10045.553183168551</v>
      </c>
      <c r="K67" s="51">
        <f t="shared" si="15"/>
        <v>52071.853754891519</v>
      </c>
      <c r="L67" s="49">
        <f t="shared" si="11"/>
        <v>21093.368898482851</v>
      </c>
      <c r="M67" s="49">
        <f t="shared" si="25"/>
        <v>-22568.070020337127</v>
      </c>
      <c r="N67" s="49">
        <f t="shared" si="24"/>
        <v>0</v>
      </c>
      <c r="O67" s="48">
        <f t="shared" si="6"/>
        <v>103289.41283355642</v>
      </c>
      <c r="P67" s="38">
        <f t="shared" si="1"/>
        <v>103289.41283355642</v>
      </c>
      <c r="Q67" s="53"/>
      <c r="R67" s="53">
        <f t="shared" si="12"/>
        <v>0.12</v>
      </c>
      <c r="S67" s="53">
        <f t="shared" si="13"/>
        <v>1.0596241035318976E-2</v>
      </c>
      <c r="T67" s="53">
        <f t="shared" si="14"/>
        <v>0.05</v>
      </c>
      <c r="U67" s="53">
        <f t="shared" si="18"/>
        <v>4.2653187775606449E-3</v>
      </c>
    </row>
    <row r="68" spans="1:21" x14ac:dyDescent="0.2">
      <c r="A68" s="62">
        <f t="shared" si="2"/>
        <v>0.91210941652731325</v>
      </c>
      <c r="B68" s="45">
        <f t="shared" si="7"/>
        <v>57</v>
      </c>
      <c r="C68" s="51">
        <f t="shared" si="3"/>
        <v>4841371.3950319979</v>
      </c>
      <c r="D68" s="47" cm="1">
        <f t="array" ref="D68">_xlfn.IFS(AND($C$7="Y",B68&lt;C$4),C68,AND($C$7="Y",B68=C$4),D67+F68-J68-K68-L68+N68,AND($C$7="Y",B68&gt;$C$4),D67-J68-K68-L68+N68, TRUE, D67-J68-K68-L68+N68)</f>
        <v>4780150.9330059737</v>
      </c>
      <c r="E68" s="48">
        <f t="shared" si="8"/>
        <v>0</v>
      </c>
      <c r="F68" s="50">
        <f t="shared" si="9"/>
        <v>0</v>
      </c>
      <c r="G68" s="50">
        <f t="shared" si="19"/>
        <v>0</v>
      </c>
      <c r="H68" s="51">
        <f t="shared" si="10"/>
        <v>71244.052954414292</v>
      </c>
      <c r="I68" s="52">
        <f t="shared" si="4"/>
        <v>61217.687385369478</v>
      </c>
      <c r="J68" s="52">
        <f t="shared" si="5"/>
        <v>10026.365569044814</v>
      </c>
      <c r="K68" s="51">
        <f t="shared" si="15"/>
        <v>51194.096456979714</v>
      </c>
      <c r="L68" s="49">
        <f t="shared" si="11"/>
        <v>20738.448413811861</v>
      </c>
      <c r="M68" s="49">
        <f t="shared" si="25"/>
        <v>-22190.97650550348</v>
      </c>
      <c r="N68" s="49">
        <f t="shared" si="24"/>
        <v>0</v>
      </c>
      <c r="O68" s="48">
        <f t="shared" si="6"/>
        <v>101699.70099758214</v>
      </c>
      <c r="P68" s="38">
        <f t="shared" si="1"/>
        <v>101699.70099758214</v>
      </c>
      <c r="Q68" s="53"/>
      <c r="R68" s="53">
        <f t="shared" si="12"/>
        <v>0.12</v>
      </c>
      <c r="S68" s="53">
        <f t="shared" si="13"/>
        <v>1.0596241035318976E-2</v>
      </c>
      <c r="T68" s="53">
        <f t="shared" si="14"/>
        <v>0.05</v>
      </c>
      <c r="U68" s="53">
        <f t="shared" si="18"/>
        <v>4.2653187775606449E-3</v>
      </c>
    </row>
    <row r="69" spans="1:21" x14ac:dyDescent="0.2">
      <c r="A69" s="62">
        <f t="shared" si="2"/>
        <v>0.89670601942501427</v>
      </c>
      <c r="B69" s="45">
        <f t="shared" si="7"/>
        <v>58</v>
      </c>
      <c r="C69" s="51">
        <f t="shared" si="3"/>
        <v>4759762.0654718494</v>
      </c>
      <c r="D69" s="47" cm="1">
        <f t="array" ref="D69">_xlfn.IFS(AND($C$7="Y",B69&lt;C$4),C69,AND($C$7="Y",B69=C$4),D68+F69-J69-K69-L69+N69,AND($C$7="Y",B69&gt;$C$4),D68-J69-K69-L69+N69, TRUE, D68-J69-K69-L69+N69)</f>
        <v>4699425.3515177891</v>
      </c>
      <c r="E69" s="48">
        <f t="shared" si="8"/>
        <v>0</v>
      </c>
      <c r="F69" s="50">
        <f t="shared" si="9"/>
        <v>0</v>
      </c>
      <c r="G69" s="50">
        <f t="shared" si="19"/>
        <v>0</v>
      </c>
      <c r="H69" s="51">
        <f t="shared" si="10"/>
        <v>70192.928103557322</v>
      </c>
      <c r="I69" s="52">
        <f t="shared" si="4"/>
        <v>60185.761921053861</v>
      </c>
      <c r="J69" s="52">
        <f t="shared" si="5"/>
        <v>10007.166182503461</v>
      </c>
      <c r="K69" s="51">
        <f t="shared" si="15"/>
        <v>50329.547771557125</v>
      </c>
      <c r="L69" s="49">
        <f t="shared" si="11"/>
        <v>20388.867534124416</v>
      </c>
      <c r="M69" s="49">
        <f t="shared" si="25"/>
        <v>-21819.550881858726</v>
      </c>
      <c r="N69" s="49">
        <f t="shared" si="24"/>
        <v>0</v>
      </c>
      <c r="O69" s="48">
        <f t="shared" si="6"/>
        <v>100133.60834099003</v>
      </c>
      <c r="P69" s="38">
        <f t="shared" si="1"/>
        <v>100133.60834099003</v>
      </c>
      <c r="Q69" s="53"/>
      <c r="R69" s="53">
        <f t="shared" si="12"/>
        <v>0.12</v>
      </c>
      <c r="S69" s="53">
        <f t="shared" si="13"/>
        <v>1.0596241035318976E-2</v>
      </c>
      <c r="T69" s="53">
        <f t="shared" si="14"/>
        <v>0.05</v>
      </c>
      <c r="U69" s="53">
        <f t="shared" si="18"/>
        <v>4.2653187775606449E-3</v>
      </c>
    </row>
    <row r="70" spans="1:21" x14ac:dyDescent="0.2">
      <c r="A70" s="62">
        <f t="shared" si="2"/>
        <v>0.88153447135884044</v>
      </c>
      <c r="B70" s="45">
        <f t="shared" si="7"/>
        <v>59</v>
      </c>
      <c r="C70" s="51">
        <f t="shared" si="3"/>
        <v>4679380.8043222157</v>
      </c>
      <c r="D70" s="47" cm="1">
        <f t="array" ref="D70">_xlfn.IFS(AND($C$7="Y",B70&lt;C$4),C70,AND($C$7="Y",B70=C$4),D69+F70-J70-K70-L70+N70,AND($C$7="Y",B70&gt;$C$4),D69-J70-K70-L70+N70, TRUE, D69-J70-K70-L70+N70)</f>
        <v>4619914.8362993617</v>
      </c>
      <c r="E70" s="48">
        <f t="shared" si="8"/>
        <v>0</v>
      </c>
      <c r="F70" s="50">
        <f t="shared" si="9"/>
        <v>0</v>
      </c>
      <c r="G70" s="50">
        <f t="shared" si="19"/>
        <v>0</v>
      </c>
      <c r="H70" s="51">
        <f t="shared" si="10"/>
        <v>69157.320925500069</v>
      </c>
      <c r="I70" s="52">
        <f t="shared" si="4"/>
        <v>59169.365012989867</v>
      </c>
      <c r="J70" s="52">
        <f t="shared" si="5"/>
        <v>9987.9559125102023</v>
      </c>
      <c r="K70" s="51">
        <f t="shared" si="15"/>
        <v>49478.012110343887</v>
      </c>
      <c r="L70" s="49">
        <f t="shared" si="11"/>
        <v>20044.547195573359</v>
      </c>
      <c r="M70" s="49">
        <f t="shared" si="25"/>
        <v>-21453.709237171155</v>
      </c>
      <c r="N70" s="49">
        <f t="shared" si="24"/>
        <v>0</v>
      </c>
      <c r="O70" s="48">
        <f t="shared" si="6"/>
        <v>98590.785840270575</v>
      </c>
      <c r="P70" s="38">
        <f t="shared" si="1"/>
        <v>98590.785840270575</v>
      </c>
      <c r="Q70" s="53"/>
      <c r="R70" s="53">
        <f t="shared" si="12"/>
        <v>0.12</v>
      </c>
      <c r="S70" s="53">
        <f t="shared" si="13"/>
        <v>1.0596241035318976E-2</v>
      </c>
      <c r="T70" s="53">
        <f t="shared" si="14"/>
        <v>0.05</v>
      </c>
      <c r="U70" s="53">
        <f t="shared" si="18"/>
        <v>4.2653187775606449E-3</v>
      </c>
    </row>
    <row r="71" spans="1:21" x14ac:dyDescent="0.2">
      <c r="A71" s="62">
        <f t="shared" si="2"/>
        <v>0.86659133905873487</v>
      </c>
      <c r="B71" s="45">
        <f t="shared" si="7"/>
        <v>60</v>
      </c>
      <c r="C71" s="51">
        <f t="shared" si="3"/>
        <v>4600209.426797363</v>
      </c>
      <c r="D71" s="47" cm="1">
        <f t="array" ref="D71">_xlfn.IFS(AND($C$7="Y",B71&lt;C$4),C71,AND($C$7="Y",B71=C$4),D70+F71-J71-K71-L71+N71,AND($C$7="Y",B71&gt;$C$4),D70-J71-K71-L71+N71, TRUE, D70-J71-K71-L71+N71)</f>
        <v>4541601.3943897942</v>
      </c>
      <c r="E71" s="48">
        <f t="shared" si="8"/>
        <v>0</v>
      </c>
      <c r="F71" s="50">
        <f t="shared" si="9"/>
        <v>0</v>
      </c>
      <c r="G71" s="50">
        <f t="shared" si="19"/>
        <v>0</v>
      </c>
      <c r="H71" s="51">
        <f t="shared" si="10"/>
        <v>68137.002353894815</v>
      </c>
      <c r="I71" s="52">
        <f t="shared" si="4"/>
        <v>58168.266720022919</v>
      </c>
      <c r="J71" s="52">
        <f t="shared" si="5"/>
        <v>9968.7356338718964</v>
      </c>
      <c r="K71" s="51">
        <f t="shared" si="15"/>
        <v>48639.296773697526</v>
      </c>
      <c r="L71" s="49">
        <f t="shared" si="11"/>
        <v>19705.409501998682</v>
      </c>
      <c r="M71" s="49">
        <f t="shared" si="25"/>
        <v>-21093.368898482851</v>
      </c>
      <c r="N71" s="49">
        <f t="shared" si="24"/>
        <v>0</v>
      </c>
      <c r="O71" s="48">
        <f t="shared" si="6"/>
        <v>97070.889625593656</v>
      </c>
      <c r="P71" s="38">
        <f t="shared" si="1"/>
        <v>97070.889625593656</v>
      </c>
      <c r="Q71" s="53"/>
      <c r="R71" s="53">
        <f t="shared" si="12"/>
        <v>0.12</v>
      </c>
      <c r="S71" s="53">
        <f t="shared" si="13"/>
        <v>1.0596241035318976E-2</v>
      </c>
      <c r="T71" s="53">
        <f t="shared" si="14"/>
        <v>0.05</v>
      </c>
      <c r="U71" s="53">
        <f t="shared" si="18"/>
        <v>4.2653187775606449E-3</v>
      </c>
    </row>
    <row r="72" spans="1:21" x14ac:dyDescent="0.2">
      <c r="A72" s="62">
        <f t="shared" si="2"/>
        <v>0.85187323996069308</v>
      </c>
      <c r="B72" s="45">
        <f t="shared" si="7"/>
        <v>61</v>
      </c>
      <c r="C72" s="51">
        <f t="shared" si="3"/>
        <v>4522230.0166821079</v>
      </c>
      <c r="D72" s="47" cm="1">
        <f t="array" ref="D72">_xlfn.IFS(AND($C$7="Y",B72&lt;C$4),C72,AND($C$7="Y",B72=C$4),D71+F72-J72-K72-L72+N72,AND($C$7="Y",B72&gt;$C$4),D71-J72-K72-L72+N72, TRUE, D71-J72-K72-L72+N72)</f>
        <v>4464467.2985666841</v>
      </c>
      <c r="E72" s="48">
        <f t="shared" si="8"/>
        <v>0</v>
      </c>
      <c r="F72" s="50">
        <f t="shared" si="9"/>
        <v>0</v>
      </c>
      <c r="G72" s="50">
        <f t="shared" si="19"/>
        <v>0</v>
      </c>
      <c r="H72" s="51">
        <f t="shared" si="10"/>
        <v>67131.746704454883</v>
      </c>
      <c r="I72" s="52">
        <f t="shared" si="4"/>
        <v>57182.240496992446</v>
      </c>
      <c r="J72" s="52">
        <f t="shared" si="5"/>
        <v>9949.5062074624366</v>
      </c>
      <c r="K72" s="51">
        <f t="shared" si="15"/>
        <v>47813.211907961493</v>
      </c>
      <c r="L72" s="49">
        <f t="shared" si="11"/>
        <v>19371.377707686399</v>
      </c>
      <c r="M72" s="49">
        <f t="shared" si="25"/>
        <v>-20738.448413811861</v>
      </c>
      <c r="N72" s="49">
        <f t="shared" si="24"/>
        <v>0</v>
      </c>
      <c r="O72" s="48">
        <f t="shared" si="6"/>
        <v>95573.580904729984</v>
      </c>
      <c r="P72" s="38">
        <f t="shared" si="1"/>
        <v>95573.580904729984</v>
      </c>
      <c r="Q72" s="53"/>
      <c r="R72" s="53">
        <f t="shared" si="12"/>
        <v>0.12</v>
      </c>
      <c r="S72" s="53">
        <f t="shared" si="13"/>
        <v>1.0596241035318976E-2</v>
      </c>
      <c r="T72" s="53">
        <f t="shared" si="14"/>
        <v>0.05</v>
      </c>
      <c r="U72" s="53">
        <f t="shared" si="18"/>
        <v>4.2653187775606449E-3</v>
      </c>
    </row>
    <row r="73" spans="1:21" x14ac:dyDescent="0.2">
      <c r="A73" s="62">
        <f t="shared" si="2"/>
        <v>0.83737684145807245</v>
      </c>
      <c r="B73" s="45">
        <f t="shared" si="7"/>
        <v>62</v>
      </c>
      <c r="C73" s="51">
        <f t="shared" si="3"/>
        <v>4445424.9223663025</v>
      </c>
      <c r="D73" s="47" cm="1">
        <f t="array" ref="D73">_xlfn.IFS(AND($C$7="Y",B73&lt;C$4),C73,AND($C$7="Y",B73=C$4),D72+F73-J73-K73-L73+N73,AND($C$7="Y",B73&gt;$C$4),D72-J73-K73-L73+N73, TRUE, D72-J73-K73-L73+N73)</f>
        <v>4388495.0834224131</v>
      </c>
      <c r="E73" s="48">
        <f t="shared" si="8"/>
        <v>0</v>
      </c>
      <c r="F73" s="50">
        <f t="shared" si="9"/>
        <v>0</v>
      </c>
      <c r="G73" s="50">
        <f t="shared" si="19"/>
        <v>0</v>
      </c>
      <c r="H73" s="51">
        <f t="shared" si="10"/>
        <v>66141.331625034873</v>
      </c>
      <c r="I73" s="52">
        <f t="shared" si="4"/>
        <v>56211.063144589025</v>
      </c>
      <c r="J73" s="52">
        <f t="shared" si="5"/>
        <v>9930.2684804458477</v>
      </c>
      <c r="K73" s="51">
        <f t="shared" si="15"/>
        <v>46999.570463443248</v>
      </c>
      <c r="L73" s="49">
        <f t="shared" si="11"/>
        <v>19042.376200381925</v>
      </c>
      <c r="M73" s="49">
        <f t="shared" si="25"/>
        <v>-20388.867534124416</v>
      </c>
      <c r="N73" s="49">
        <f t="shared" si="24"/>
        <v>0</v>
      </c>
      <c r="O73" s="48">
        <f t="shared" si="6"/>
        <v>94098.525888096192</v>
      </c>
      <c r="P73" s="38">
        <f t="shared" si="1"/>
        <v>94098.525888096192</v>
      </c>
      <c r="Q73" s="53"/>
      <c r="R73" s="53">
        <f t="shared" si="12"/>
        <v>0.12</v>
      </c>
      <c r="S73" s="53">
        <f t="shared" si="13"/>
        <v>1.0596241035318976E-2</v>
      </c>
      <c r="T73" s="53">
        <f t="shared" si="14"/>
        <v>0.05</v>
      </c>
      <c r="U73" s="53">
        <f t="shared" si="18"/>
        <v>4.2653187775606449E-3</v>
      </c>
    </row>
    <row r="74" spans="1:21" x14ac:dyDescent="0.2">
      <c r="A74" s="62">
        <f t="shared" si="2"/>
        <v>0.82309886016395228</v>
      </c>
      <c r="B74" s="45">
        <f t="shared" si="7"/>
        <v>63</v>
      </c>
      <c r="C74" s="51">
        <f t="shared" si="3"/>
        <v>4369776.7529378589</v>
      </c>
      <c r="D74" s="47" cm="1">
        <f t="array" ref="D74">_xlfn.IFS(AND($C$7="Y",B74&lt;C$4),C74,AND($C$7="Y",B74=C$4),D73+F74-J74-K74-L74+N74,AND($C$7="Y",B74&gt;$C$4),D73-J74-K74-L74+N74, TRUE, D73-J74-K74-L74+N74)</f>
        <v>4313667.54149835</v>
      </c>
      <c r="E74" s="48">
        <f t="shared" si="8"/>
        <v>0</v>
      </c>
      <c r="F74" s="50">
        <f t="shared" si="9"/>
        <v>0</v>
      </c>
      <c r="G74" s="50">
        <f t="shared" si="19"/>
        <v>0</v>
      </c>
      <c r="H74" s="51">
        <f t="shared" si="10"/>
        <v>65165.538046448113</v>
      </c>
      <c r="I74" s="52">
        <f t="shared" si="4"/>
        <v>55254.51475995197</v>
      </c>
      <c r="J74" s="52">
        <f t="shared" si="5"/>
        <v>9911.0232864961436</v>
      </c>
      <c r="K74" s="51">
        <f t="shared" si="15"/>
        <v>46198.188153012678</v>
      </c>
      <c r="L74" s="49">
        <f t="shared" si="11"/>
        <v>18718.330484554186</v>
      </c>
      <c r="M74" s="49">
        <f t="shared" si="25"/>
        <v>-20044.547195573359</v>
      </c>
      <c r="N74" s="49">
        <f t="shared" si="24"/>
        <v>0</v>
      </c>
      <c r="O74" s="48">
        <f t="shared" si="6"/>
        <v>92645.395714906612</v>
      </c>
      <c r="P74" s="38">
        <f t="shared" si="1"/>
        <v>92645.395714906612</v>
      </c>
      <c r="Q74" s="53"/>
      <c r="R74" s="53">
        <f t="shared" si="12"/>
        <v>0.12</v>
      </c>
      <c r="S74" s="53">
        <f t="shared" si="13"/>
        <v>1.0596241035318976E-2</v>
      </c>
      <c r="T74" s="53">
        <f t="shared" si="14"/>
        <v>0.05</v>
      </c>
      <c r="U74" s="53">
        <f t="shared" si="18"/>
        <v>4.2653187775606449E-3</v>
      </c>
    </row>
    <row r="75" spans="1:21" x14ac:dyDescent="0.2">
      <c r="A75" s="62">
        <f t="shared" si="2"/>
        <v>0.80903606118438254</v>
      </c>
      <c r="B75" s="45">
        <f t="shared" si="7"/>
        <v>64</v>
      </c>
      <c r="C75" s="51">
        <f t="shared" si="3"/>
        <v>4295268.3743334431</v>
      </c>
      <c r="D75" s="47" cm="1">
        <f t="array" ref="D75">_xlfn.IFS(AND($C$7="Y",B75&lt;C$4),C75,AND($C$7="Y",B75=C$4),D74+F75-J75-K75-L75+N75,AND($C$7="Y",B75&gt;$C$4),D74-J75-K75-L75+N75, TRUE, D74-J75-K75-L75+N75)</f>
        <v>4239967.7194761168</v>
      </c>
      <c r="E75" s="48">
        <f t="shared" si="8"/>
        <v>0</v>
      </c>
      <c r="F75" s="50">
        <f t="shared" si="9"/>
        <v>0</v>
      </c>
      <c r="G75" s="50">
        <f t="shared" si="19"/>
        <v>0</v>
      </c>
      <c r="H75" s="51">
        <f t="shared" si="10"/>
        <v>64204.150134010677</v>
      </c>
      <c r="I75" s="52">
        <f t="shared" si="4"/>
        <v>54312.378687995915</v>
      </c>
      <c r="J75" s="52">
        <f t="shared" si="5"/>
        <v>9891.7714460147618</v>
      </c>
      <c r="K75" s="51">
        <f t="shared" si="15"/>
        <v>45408.883411311603</v>
      </c>
      <c r="L75" s="49">
        <f t="shared" si="11"/>
        <v>18399.167164906776</v>
      </c>
      <c r="M75" s="49">
        <f t="shared" si="25"/>
        <v>-19705.409501998682</v>
      </c>
      <c r="N75" s="49">
        <f t="shared" si="24"/>
        <v>0</v>
      </c>
      <c r="O75" s="48">
        <f t="shared" si="6"/>
        <v>91213.866380415508</v>
      </c>
      <c r="P75" s="38">
        <f t="shared" ref="P75:P138" si="26">O75*(1/((1+P$9)^(B75/12)))</f>
        <v>91213.866380415508</v>
      </c>
      <c r="Q75" s="53"/>
      <c r="R75" s="53">
        <f t="shared" si="12"/>
        <v>0.12</v>
      </c>
      <c r="S75" s="53">
        <f t="shared" si="13"/>
        <v>1.0596241035318976E-2</v>
      </c>
      <c r="T75" s="53">
        <f t="shared" si="14"/>
        <v>0.05</v>
      </c>
      <c r="U75" s="53">
        <f t="shared" si="18"/>
        <v>4.2653187775606449E-3</v>
      </c>
    </row>
    <row r="76" spans="1:21" x14ac:dyDescent="0.2">
      <c r="A76" s="62">
        <f t="shared" ref="A76:A139" si="27">D76/C$1</f>
        <v>0.79518525740235924</v>
      </c>
      <c r="B76" s="45">
        <f t="shared" si="7"/>
        <v>65</v>
      </c>
      <c r="C76" s="51">
        <f t="shared" ref="C76:C139" si="28">IF(B76&lt;C$4,C$1,D75-L76+N76)</f>
        <v>4221882.9055459844</v>
      </c>
      <c r="D76" s="47" cm="1">
        <f t="array" ref="D76">_xlfn.IFS(AND($C$7="Y",B76&lt;C$4),C76,AND($C$7="Y",B76=C$4),D75+F76-J76-K76-L76+N76,AND($C$7="Y",B76&gt;$C$4),D75-J76-K76-L76+N76, TRUE, D75-J76-K76-L76+N76)</f>
        <v>4167378.9144250746</v>
      </c>
      <c r="E76" s="48">
        <f t="shared" si="8"/>
        <v>0</v>
      </c>
      <c r="F76" s="50">
        <f t="shared" si="9"/>
        <v>0</v>
      </c>
      <c r="G76" s="50">
        <f t="shared" si="19"/>
        <v>0</v>
      </c>
      <c r="H76" s="51">
        <f t="shared" si="10"/>
        <v>63256.955239800969</v>
      </c>
      <c r="I76" s="52">
        <f t="shared" ref="I76:I139" si="29">IF(AND(C$7="Y",$B76&lt;=C$4),0,IF(AND(C$7="Y",$B76&gt;C$4),(1-U76)*C$2*D75/12,IF(AND($C$7="N",C$4&gt;0),(1-U76)*D75*C$2/12, (1-U76)*D75*C$2/12)))</f>
        <v>53384.441473455947</v>
      </c>
      <c r="J76" s="52">
        <f t="shared" ref="J76:J139" si="30">IF(AND($B76&lt;=$C$4,C$7="Y"),0,IF(AND(C$7="N",C$4&gt;0,B76&lt;=C$4),0,H76-I76))</f>
        <v>9872.5137663450223</v>
      </c>
      <c r="K76" s="51">
        <f t="shared" si="15"/>
        <v>44631.477354565373</v>
      </c>
      <c r="L76" s="49">
        <f t="shared" si="11"/>
        <v>18084.813930132466</v>
      </c>
      <c r="M76" s="49">
        <f t="shared" si="25"/>
        <v>-19371.377707686399</v>
      </c>
      <c r="N76" s="49">
        <f t="shared" si="24"/>
        <v>0</v>
      </c>
      <c r="O76" s="48">
        <f t="shared" ref="O76:O139" si="31">K76+I76+J76-L76+N76+G76</f>
        <v>89803.618664233873</v>
      </c>
      <c r="P76" s="38">
        <f t="shared" si="26"/>
        <v>89803.618664233873</v>
      </c>
      <c r="Q76" s="53"/>
      <c r="R76" s="53">
        <f t="shared" si="12"/>
        <v>0.12</v>
      </c>
      <c r="S76" s="53">
        <f t="shared" si="13"/>
        <v>1.0596241035318976E-2</v>
      </c>
      <c r="T76" s="53">
        <f t="shared" si="14"/>
        <v>0.05</v>
      </c>
      <c r="U76" s="53">
        <f t="shared" si="18"/>
        <v>4.2653187775606449E-3</v>
      </c>
    </row>
    <row r="77" spans="1:21" x14ac:dyDescent="0.2">
      <c r="A77" s="62">
        <f t="shared" si="27"/>
        <v>0.78154330877236933</v>
      </c>
      <c r="B77" s="45">
        <f t="shared" ref="B77:B140" si="32">B76+1</f>
        <v>66</v>
      </c>
      <c r="C77" s="51">
        <f t="shared" si="28"/>
        <v>4149603.7148881671</v>
      </c>
      <c r="D77" s="47" cm="1">
        <f t="array" ref="D77">_xlfn.IFS(AND($C$7="Y",B77&lt;C$4),C77,AND($C$7="Y",B77=C$4),D76+F77-J77-K77-L77+N77,AND($C$7="Y",B77&gt;$C$4),D76-J77-K77-L77+N77, TRUE, D76-J77-K77-L77+N77)</f>
        <v>4095884.6701051956</v>
      </c>
      <c r="E77" s="48">
        <f t="shared" ref="E77:E140" si="33">IF(AND($C$7="Y",B77&lt;=$C$4),D76*C$2/12-G77,0)</f>
        <v>0</v>
      </c>
      <c r="F77" s="50">
        <f t="shared" ref="F77:F140" si="34">IF(AND($C$7="Y",B77&lt;=C$4),E77+F76,0)</f>
        <v>0</v>
      </c>
      <c r="G77" s="50">
        <f t="shared" si="19"/>
        <v>0</v>
      </c>
      <c r="H77" s="51">
        <f t="shared" ref="H77:H140" si="35">IF(AND($B77&lt;=$C$4,C$7="Y"),0,IF(AND(C$7="N",C$4&gt;0,B77&lt;=C$4),0,(C77-L77+N77)*C$2/12/(1-(1/(1+C$2/12))^(C$3+C$4-B77+1))))</f>
        <v>62323.743855624489</v>
      </c>
      <c r="I77" s="52">
        <f t="shared" si="29"/>
        <v>52470.492813640616</v>
      </c>
      <c r="J77" s="52">
        <f t="shared" si="30"/>
        <v>9853.2510419838727</v>
      </c>
      <c r="K77" s="51">
        <f t="shared" si="15"/>
        <v>43865.793740987698</v>
      </c>
      <c r="L77" s="49">
        <f t="shared" ref="L77:L140" si="36">IF(AND(C$7="Y",$B77&lt;=$C$4),0,IF(AND(C$7="N",C$4&gt;0,B77&lt;=C$4),0,U77*D76))</f>
        <v>17775.199536907567</v>
      </c>
      <c r="M77" s="49">
        <f t="shared" si="25"/>
        <v>-19042.376200381925</v>
      </c>
      <c r="N77" s="49">
        <f t="shared" si="24"/>
        <v>0</v>
      </c>
      <c r="O77" s="48">
        <f t="shared" si="31"/>
        <v>88414.338059704605</v>
      </c>
      <c r="P77" s="38">
        <f t="shared" si="26"/>
        <v>88414.338059704605</v>
      </c>
      <c r="Q77" s="53"/>
      <c r="R77" s="53">
        <f t="shared" ref="R77:R140" si="37">R$9</f>
        <v>0.12</v>
      </c>
      <c r="S77" s="53">
        <f t="shared" ref="S77:S140" si="38">1-(1-R77)^(1/12)</f>
        <v>1.0596241035318976E-2</v>
      </c>
      <c r="T77" s="53">
        <f t="shared" ref="T77:T140" si="39">T$9</f>
        <v>0.05</v>
      </c>
      <c r="U77" s="53">
        <f t="shared" si="18"/>
        <v>4.2653187775606449E-3</v>
      </c>
    </row>
    <row r="78" spans="1:21" x14ac:dyDescent="0.2">
      <c r="A78" s="62">
        <f t="shared" si="27"/>
        <v>0.768107121625348</v>
      </c>
      <c r="B78" s="45">
        <f t="shared" si="32"/>
        <v>67</v>
      </c>
      <c r="C78" s="51">
        <f t="shared" si="28"/>
        <v>4078414.4163110731</v>
      </c>
      <c r="D78" s="47" cm="1">
        <f t="array" ref="D78">_xlfn.IFS(AND($C$7="Y",B78&lt;C$4),C78,AND($C$7="Y",B78=C$4),D77+F78-J78-K78-L78+N78,AND($C$7="Y",B78&gt;$C$4),D77-J78-K78-L78+N78, TRUE, D77-J78-K78-L78+N78)</f>
        <v>4025468.7733245119</v>
      </c>
      <c r="E78" s="48">
        <f t="shared" si="33"/>
        <v>0</v>
      </c>
      <c r="F78" s="50">
        <f t="shared" si="34"/>
        <v>0</v>
      </c>
      <c r="G78" s="50">
        <f t="shared" si="19"/>
        <v>0</v>
      </c>
      <c r="H78" s="51">
        <f t="shared" si="35"/>
        <v>61404.309566673423</v>
      </c>
      <c r="I78" s="52">
        <f t="shared" si="29"/>
        <v>51570.32551188222</v>
      </c>
      <c r="J78" s="52">
        <f t="shared" si="30"/>
        <v>9833.9840547912027</v>
      </c>
      <c r="K78" s="51">
        <f t="shared" ref="K78:K141" si="40">IF(AND(C$7="Y",$B78&lt;=$C$4),0,IF(AND(C$7="N",C$4&gt;0,B78&lt;=C$4),0,S78*(C78-J78)))</f>
        <v>43111.658931769831</v>
      </c>
      <c r="L78" s="49">
        <f t="shared" si="36"/>
        <v>17470.25379412248</v>
      </c>
      <c r="M78" s="49">
        <f t="shared" si="25"/>
        <v>-18718.330484554186</v>
      </c>
      <c r="N78" s="49">
        <f t="shared" si="24"/>
        <v>0</v>
      </c>
      <c r="O78" s="48">
        <f t="shared" si="31"/>
        <v>87045.714704320766</v>
      </c>
      <c r="P78" s="38">
        <f t="shared" si="26"/>
        <v>87045.714704320766</v>
      </c>
      <c r="Q78" s="53"/>
      <c r="R78" s="53">
        <f t="shared" si="37"/>
        <v>0.12</v>
      </c>
      <c r="S78" s="53">
        <f t="shared" si="38"/>
        <v>1.0596241035318976E-2</v>
      </c>
      <c r="T78" s="53">
        <f t="shared" si="39"/>
        <v>0.05</v>
      </c>
      <c r="U78" s="53">
        <f t="shared" ref="U78:U141" si="41">1-(1-T78)^(1/12)</f>
        <v>4.2653187775606449E-3</v>
      </c>
    </row>
    <row r="79" spans="1:21" x14ac:dyDescent="0.2">
      <c r="A79" s="62">
        <f t="shared" si="27"/>
        <v>0.75487364798389545</v>
      </c>
      <c r="B79" s="45">
        <f t="shared" si="32"/>
        <v>68</v>
      </c>
      <c r="C79" s="51">
        <f t="shared" si="28"/>
        <v>4008298.865777167</v>
      </c>
      <c r="D79" s="47" cm="1">
        <f t="array" ref="D79">_xlfn.IFS(AND($C$7="Y",B79&lt;C$4),C79,AND($C$7="Y",B79=C$4),D78+F79-J79-K79-L79+N79,AND($C$7="Y",B79&gt;$C$4),D78-J79-K79-L79+N79, TRUE, D78-J79-K79-L79+N79)</f>
        <v>3956115.2503503249</v>
      </c>
      <c r="E79" s="48">
        <f t="shared" si="33"/>
        <v>0</v>
      </c>
      <c r="F79" s="50">
        <f t="shared" si="34"/>
        <v>0</v>
      </c>
      <c r="G79" s="50">
        <f t="shared" ref="G79:G142" si="42">IF($B79&lt;=$C$4,C$6,0)</f>
        <v>0</v>
      </c>
      <c r="H79" s="51">
        <f t="shared" si="35"/>
        <v>60498.449005870723</v>
      </c>
      <c r="I79" s="52">
        <f t="shared" si="29"/>
        <v>50683.735431674293</v>
      </c>
      <c r="J79" s="52">
        <f t="shared" si="30"/>
        <v>9814.7135741964303</v>
      </c>
      <c r="K79" s="51">
        <f t="shared" si="40"/>
        <v>42368.901852645729</v>
      </c>
      <c r="L79" s="49">
        <f t="shared" si="36"/>
        <v>17169.907547345058</v>
      </c>
      <c r="M79" s="49">
        <f t="shared" si="25"/>
        <v>-18399.167164906776</v>
      </c>
      <c r="N79" s="49">
        <f t="shared" si="24"/>
        <v>0</v>
      </c>
      <c r="O79" s="48">
        <f t="shared" si="31"/>
        <v>85697.443311171402</v>
      </c>
      <c r="P79" s="38">
        <f t="shared" si="26"/>
        <v>85697.443311171402</v>
      </c>
      <c r="Q79" s="53"/>
      <c r="R79" s="53">
        <f t="shared" si="37"/>
        <v>0.12</v>
      </c>
      <c r="S79" s="53">
        <f t="shared" si="38"/>
        <v>1.0596241035318976E-2</v>
      </c>
      <c r="T79" s="53">
        <f t="shared" si="39"/>
        <v>0.05</v>
      </c>
      <c r="U79" s="53">
        <f t="shared" si="41"/>
        <v>4.2653187775606449E-3</v>
      </c>
    </row>
    <row r="80" spans="1:21" x14ac:dyDescent="0.2">
      <c r="A80" s="62">
        <f t="shared" si="27"/>
        <v>0.74183988488760033</v>
      </c>
      <c r="B80" s="45">
        <f t="shared" si="32"/>
        <v>69</v>
      </c>
      <c r="C80" s="51">
        <f t="shared" si="28"/>
        <v>3939241.1576868114</v>
      </c>
      <c r="D80" s="47" cm="1">
        <f t="array" ref="D80">_xlfn.IFS(AND($C$7="Y",B80&lt;C$4),C80,AND($C$7="Y",B80=C$4),D79+F80-J80-K80-L80+N80,AND($C$7="Y",B80&gt;$C$4),D79-J80-K80-L80+N80, TRUE, D79-J80-K80-L80+N80)</f>
        <v>3887808.3633733848</v>
      </c>
      <c r="E80" s="48">
        <f t="shared" si="33"/>
        <v>0</v>
      </c>
      <c r="F80" s="50">
        <f t="shared" si="34"/>
        <v>0</v>
      </c>
      <c r="G80" s="50">
        <f t="shared" si="42"/>
        <v>0</v>
      </c>
      <c r="H80" s="51">
        <f t="shared" si="35"/>
        <v>59605.961808888576</v>
      </c>
      <c r="I80" s="52">
        <f t="shared" si="29"/>
        <v>49810.521451486034</v>
      </c>
      <c r="J80" s="52">
        <f t="shared" si="30"/>
        <v>9795.4403574025418</v>
      </c>
      <c r="K80" s="51">
        <f t="shared" si="40"/>
        <v>41637.353956024293</v>
      </c>
      <c r="L80" s="49">
        <f t="shared" si="36"/>
        <v>16874.092663513271</v>
      </c>
      <c r="M80" s="49">
        <f t="shared" si="25"/>
        <v>-18084.813930132466</v>
      </c>
      <c r="N80" s="49">
        <f t="shared" si="24"/>
        <v>0</v>
      </c>
      <c r="O80" s="48">
        <f t="shared" si="31"/>
        <v>84369.223101399606</v>
      </c>
      <c r="P80" s="38">
        <f t="shared" si="26"/>
        <v>84369.223101399606</v>
      </c>
      <c r="Q80" s="53"/>
      <c r="R80" s="53">
        <f t="shared" si="37"/>
        <v>0.12</v>
      </c>
      <c r="S80" s="53">
        <f t="shared" si="38"/>
        <v>1.0596241035318976E-2</v>
      </c>
      <c r="T80" s="53">
        <f t="shared" si="39"/>
        <v>0.05</v>
      </c>
      <c r="U80" s="53">
        <f t="shared" si="41"/>
        <v>4.2653187775606449E-3</v>
      </c>
    </row>
    <row r="81" spans="1:21" x14ac:dyDescent="0.2">
      <c r="A81" s="62">
        <f t="shared" si="27"/>
        <v>0.72900287372832195</v>
      </c>
      <c r="B81" s="45">
        <f t="shared" si="32"/>
        <v>70</v>
      </c>
      <c r="C81" s="51">
        <f t="shared" si="28"/>
        <v>3871225.6213575308</v>
      </c>
      <c r="D81" s="47" cm="1">
        <f t="array" ref="D81">_xlfn.IFS(AND($C$7="Y",B81&lt;C$4),C81,AND($C$7="Y",B81=C$4),D80+F81-J81-K81-L81+N81,AND($C$7="Y",B81&gt;$C$4),D80-J81-K81-L81+N81, TRUE, D80-J81-K81-L81+N81)</f>
        <v>3820532.6070242617</v>
      </c>
      <c r="E81" s="48">
        <f t="shared" si="33"/>
        <v>0</v>
      </c>
      <c r="F81" s="50">
        <f t="shared" si="34"/>
        <v>0</v>
      </c>
      <c r="G81" s="50">
        <f t="shared" si="42"/>
        <v>0</v>
      </c>
      <c r="H81" s="51">
        <f t="shared" si="35"/>
        <v>58726.65056983148</v>
      </c>
      <c r="I81" s="52">
        <f t="shared" si="29"/>
        <v>48950.48542024356</v>
      </c>
      <c r="J81" s="52">
        <f t="shared" si="30"/>
        <v>9776.1651495879196</v>
      </c>
      <c r="K81" s="51">
        <f t="shared" si="40"/>
        <v>40916.849183680752</v>
      </c>
      <c r="L81" s="49">
        <f t="shared" si="36"/>
        <v>16582.742015853819</v>
      </c>
      <c r="M81" s="49">
        <f t="shared" si="25"/>
        <v>-17775.199536907567</v>
      </c>
      <c r="N81" s="49">
        <f t="shared" si="24"/>
        <v>0</v>
      </c>
      <c r="O81" s="48">
        <f t="shared" si="31"/>
        <v>83060.757737658409</v>
      </c>
      <c r="P81" s="38">
        <f t="shared" si="26"/>
        <v>83060.757737658409</v>
      </c>
      <c r="Q81" s="53"/>
      <c r="R81" s="53">
        <f t="shared" si="37"/>
        <v>0.12</v>
      </c>
      <c r="S81" s="53">
        <f t="shared" si="38"/>
        <v>1.0596241035318976E-2</v>
      </c>
      <c r="T81" s="53">
        <f t="shared" si="39"/>
        <v>0.05</v>
      </c>
      <c r="U81" s="53">
        <f t="shared" si="41"/>
        <v>4.2653187775606449E-3</v>
      </c>
    </row>
    <row r="82" spans="1:21" x14ac:dyDescent="0.2">
      <c r="A82" s="62">
        <f t="shared" si="27"/>
        <v>0.71635969959528412</v>
      </c>
      <c r="B82" s="45">
        <f t="shared" si="32"/>
        <v>71</v>
      </c>
      <c r="C82" s="51">
        <f t="shared" si="28"/>
        <v>3804236.8175552385</v>
      </c>
      <c r="D82" s="47" cm="1">
        <f t="array" ref="D82">_xlfn.IFS(AND($C$7="Y",B82&lt;C$4),C82,AND($C$7="Y",B82=C$4),D81+F82-J82-K82-L82+N82,AND($C$7="Y",B82&gt;$C$4),D81-J82-K82-L82+N82, TRUE, D81-J82-K82-L82+N82)</f>
        <v>3754272.7049411344</v>
      </c>
      <c r="E82" s="48">
        <f t="shared" si="33"/>
        <v>0</v>
      </c>
      <c r="F82" s="50">
        <f t="shared" si="34"/>
        <v>0</v>
      </c>
      <c r="G82" s="50">
        <f t="shared" si="42"/>
        <v>0</v>
      </c>
      <c r="H82" s="51">
        <f t="shared" si="35"/>
        <v>57860.320797573841</v>
      </c>
      <c r="I82" s="52">
        <f t="shared" si="29"/>
        <v>48103.432113468392</v>
      </c>
      <c r="J82" s="52">
        <f t="shared" si="30"/>
        <v>9756.8886841054482</v>
      </c>
      <c r="K82" s="51">
        <f t="shared" si="40"/>
        <v>40207.22392999853</v>
      </c>
      <c r="L82" s="49">
        <f t="shared" si="36"/>
        <v>16295.789469023308</v>
      </c>
      <c r="M82" s="49">
        <f t="shared" si="25"/>
        <v>-17470.25379412248</v>
      </c>
      <c r="N82" s="49">
        <f t="shared" si="24"/>
        <v>0</v>
      </c>
      <c r="O82" s="48">
        <f t="shared" si="31"/>
        <v>81771.755258549063</v>
      </c>
      <c r="P82" s="38">
        <f t="shared" si="26"/>
        <v>81771.755258549063</v>
      </c>
      <c r="Q82" s="53"/>
      <c r="R82" s="53">
        <f t="shared" si="37"/>
        <v>0.12</v>
      </c>
      <c r="S82" s="53">
        <f t="shared" si="38"/>
        <v>1.0596241035318976E-2</v>
      </c>
      <c r="T82" s="53">
        <f t="shared" si="39"/>
        <v>0.05</v>
      </c>
      <c r="U82" s="53">
        <f t="shared" si="41"/>
        <v>4.2653187775606449E-3</v>
      </c>
    </row>
    <row r="83" spans="1:21" x14ac:dyDescent="0.2">
      <c r="A83" s="62">
        <f t="shared" si="27"/>
        <v>0.70390749062983304</v>
      </c>
      <c r="B83" s="45">
        <f t="shared" si="32"/>
        <v>72</v>
      </c>
      <c r="C83" s="51">
        <f t="shared" si="28"/>
        <v>3738259.5350766657</v>
      </c>
      <c r="D83" s="47" cm="1">
        <f t="array" ref="D83">_xlfn.IFS(AND($C$7="Y",B83&lt;C$4),C83,AND($C$7="Y",B83=C$4),D82+F83-J83-K83-L83+N83,AND($C$7="Y",B83&gt;$C$4),D82-J83-K83-L83+N83, TRUE, D82-J83-K83-L83+N83)</f>
        <v>3689013.6063882322</v>
      </c>
      <c r="E83" s="48">
        <f t="shared" si="33"/>
        <v>0</v>
      </c>
      <c r="F83" s="50">
        <f t="shared" si="34"/>
        <v>0</v>
      </c>
      <c r="G83" s="50">
        <f t="shared" si="42"/>
        <v>0</v>
      </c>
      <c r="H83" s="51">
        <f t="shared" si="35"/>
        <v>57006.780872742755</v>
      </c>
      <c r="I83" s="52">
        <f t="shared" si="29"/>
        <v>47269.169190063236</v>
      </c>
      <c r="J83" s="52">
        <f t="shared" si="30"/>
        <v>9737.6116826795187</v>
      </c>
      <c r="K83" s="51">
        <f t="shared" si="40"/>
        <v>39508.317005753794</v>
      </c>
      <c r="L83" s="49">
        <f t="shared" si="36"/>
        <v>16013.169864468815</v>
      </c>
      <c r="M83" s="49">
        <f t="shared" si="25"/>
        <v>-17169.907547345058</v>
      </c>
      <c r="N83" s="49">
        <f t="shared" si="24"/>
        <v>0</v>
      </c>
      <c r="O83" s="48">
        <f t="shared" si="31"/>
        <v>80501.928014027741</v>
      </c>
      <c r="P83" s="38">
        <f t="shared" si="26"/>
        <v>80501.928014027741</v>
      </c>
      <c r="Q83" s="53"/>
      <c r="R83" s="53">
        <f t="shared" si="37"/>
        <v>0.12</v>
      </c>
      <c r="S83" s="53">
        <f t="shared" si="38"/>
        <v>1.0596241035318976E-2</v>
      </c>
      <c r="T83" s="53">
        <f t="shared" si="39"/>
        <v>0.05</v>
      </c>
      <c r="U83" s="53">
        <f t="shared" si="41"/>
        <v>4.2653187775606449E-3</v>
      </c>
    </row>
    <row r="84" spans="1:21" x14ac:dyDescent="0.2">
      <c r="A84" s="62">
        <f t="shared" si="27"/>
        <v>0.69164341738972146</v>
      </c>
      <c r="B84" s="45">
        <f t="shared" si="32"/>
        <v>73</v>
      </c>
      <c r="C84" s="51">
        <f t="shared" si="28"/>
        <v>3673278.7873822278</v>
      </c>
      <c r="D84" s="47" cm="1">
        <f t="array" ref="D84">_xlfn.IFS(AND($C$7="Y",B84&lt;C$4),C84,AND($C$7="Y",B84=C$4),D83+F84-J84-K84-L84+N84,AND($C$7="Y",B84&gt;$C$4),D83-J84-K84-L84+N84, TRUE, D83-J84-K84-L84+N84)</f>
        <v>3624740.4829241927</v>
      </c>
      <c r="E84" s="48">
        <f t="shared" si="33"/>
        <v>0</v>
      </c>
      <c r="F84" s="50">
        <f t="shared" si="34"/>
        <v>0</v>
      </c>
      <c r="G84" s="50">
        <f t="shared" si="42"/>
        <v>0</v>
      </c>
      <c r="H84" s="51">
        <f t="shared" si="35"/>
        <v>56165.842005336337</v>
      </c>
      <c r="I84" s="52">
        <f t="shared" si="29"/>
        <v>46447.50714973564</v>
      </c>
      <c r="J84" s="52">
        <f t="shared" si="30"/>
        <v>9718.3348556006968</v>
      </c>
      <c r="K84" s="51">
        <f t="shared" si="40"/>
        <v>38819.969602434401</v>
      </c>
      <c r="L84" s="49">
        <f t="shared" si="36"/>
        <v>15734.81900600444</v>
      </c>
      <c r="M84" s="49">
        <f t="shared" si="25"/>
        <v>-16874.092663513271</v>
      </c>
      <c r="N84" s="49">
        <f t="shared" si="24"/>
        <v>0</v>
      </c>
      <c r="O84" s="48">
        <f t="shared" si="31"/>
        <v>79250.992601766295</v>
      </c>
      <c r="P84" s="38">
        <f t="shared" si="26"/>
        <v>79250.992601766295</v>
      </c>
      <c r="Q84" s="53"/>
      <c r="R84" s="53">
        <f t="shared" si="37"/>
        <v>0.12</v>
      </c>
      <c r="S84" s="53">
        <f t="shared" si="38"/>
        <v>1.0596241035318976E-2</v>
      </c>
      <c r="T84" s="53">
        <f t="shared" si="39"/>
        <v>0.05</v>
      </c>
      <c r="U84" s="53">
        <f t="shared" si="41"/>
        <v>4.2653187775606449E-3</v>
      </c>
    </row>
    <row r="85" spans="1:21" x14ac:dyDescent="0.2">
      <c r="A85" s="62">
        <f t="shared" si="27"/>
        <v>0.67956469222277316</v>
      </c>
      <c r="B85" s="45">
        <f t="shared" si="32"/>
        <v>74</v>
      </c>
      <c r="C85" s="51">
        <f t="shared" si="28"/>
        <v>3609279.809278592</v>
      </c>
      <c r="D85" s="47" cm="1">
        <f t="array" ref="D85">_xlfn.IFS(AND($C$7="Y",B85&lt;C$4),C85,AND($C$7="Y",B85=C$4),D84+F85-J85-K85-L85+N85,AND($C$7="Y",B85&gt;$C$4),D84-J85-K85-L85+N85, TRUE, D84-J85-K85-L85+N85)</f>
        <v>3561438.7251195884</v>
      </c>
      <c r="E85" s="48">
        <f t="shared" si="33"/>
        <v>0</v>
      </c>
      <c r="F85" s="50">
        <f t="shared" si="34"/>
        <v>0</v>
      </c>
      <c r="G85" s="50">
        <f t="shared" si="42"/>
        <v>0</v>
      </c>
      <c r="H85" s="51">
        <f t="shared" si="35"/>
        <v>55337.318192968247</v>
      </c>
      <c r="I85" s="52">
        <f t="shared" si="29"/>
        <v>45638.259291050017</v>
      </c>
      <c r="J85" s="52">
        <f t="shared" si="30"/>
        <v>9699.0589019182298</v>
      </c>
      <c r="K85" s="51">
        <f t="shared" si="40"/>
        <v>38142.025257085581</v>
      </c>
      <c r="L85" s="49">
        <f t="shared" si="36"/>
        <v>15460.673645600798</v>
      </c>
      <c r="M85" s="49">
        <f t="shared" si="25"/>
        <v>-16582.742015853819</v>
      </c>
      <c r="N85" s="49">
        <f t="shared" si="24"/>
        <v>0</v>
      </c>
      <c r="O85" s="48">
        <f t="shared" si="31"/>
        <v>78018.669804453035</v>
      </c>
      <c r="P85" s="38">
        <f t="shared" si="26"/>
        <v>78018.669804453035</v>
      </c>
      <c r="Q85" s="53"/>
      <c r="R85" s="53">
        <f t="shared" si="37"/>
        <v>0.12</v>
      </c>
      <c r="S85" s="53">
        <f t="shared" si="38"/>
        <v>1.0596241035318976E-2</v>
      </c>
      <c r="T85" s="53">
        <f t="shared" si="39"/>
        <v>0.05</v>
      </c>
      <c r="U85" s="53">
        <f t="shared" si="41"/>
        <v>4.2653187775606449E-3</v>
      </c>
    </row>
    <row r="86" spans="1:21" x14ac:dyDescent="0.2">
      <c r="A86" s="62">
        <f t="shared" si="27"/>
        <v>0.6676685686497924</v>
      </c>
      <c r="B86" s="45">
        <f t="shared" si="32"/>
        <v>75</v>
      </c>
      <c r="C86" s="51">
        <f t="shared" si="28"/>
        <v>3546248.0536502041</v>
      </c>
      <c r="D86" s="47" cm="1">
        <f t="array" ref="D86">_xlfn.IFS(AND($C$7="Y",B86&lt;C$4),C86,AND($C$7="Y",B86=C$4),D85+F86-J86-K86-L86+N86,AND($C$7="Y",B86&gt;$C$4),D85-J86-K86-L86+N86, TRUE, D85-J86-K86-L86+N86)</f>
        <v>3499093.9393228996</v>
      </c>
      <c r="E86" s="48">
        <f t="shared" si="33"/>
        <v>0</v>
      </c>
      <c r="F86" s="50">
        <f t="shared" si="34"/>
        <v>0</v>
      </c>
      <c r="G86" s="50">
        <f t="shared" si="42"/>
        <v>0</v>
      </c>
      <c r="H86" s="51">
        <f t="shared" si="35"/>
        <v>54521.026179729015</v>
      </c>
      <c r="I86" s="52">
        <f t="shared" si="29"/>
        <v>44841.241670098803</v>
      </c>
      <c r="J86" s="52">
        <f t="shared" si="30"/>
        <v>9679.7845096302117</v>
      </c>
      <c r="K86" s="51">
        <f t="shared" si="40"/>
        <v>37474.329817674356</v>
      </c>
      <c r="L86" s="49">
        <f t="shared" si="36"/>
        <v>15190.671469384224</v>
      </c>
      <c r="M86" s="49">
        <f t="shared" si="25"/>
        <v>-16295.789469023308</v>
      </c>
      <c r="N86" s="49">
        <f t="shared" si="24"/>
        <v>0</v>
      </c>
      <c r="O86" s="48">
        <f t="shared" si="31"/>
        <v>76804.684528019134</v>
      </c>
      <c r="P86" s="38">
        <f t="shared" si="26"/>
        <v>76804.684528019134</v>
      </c>
      <c r="Q86" s="53"/>
      <c r="R86" s="53">
        <f t="shared" si="37"/>
        <v>0.12</v>
      </c>
      <c r="S86" s="53">
        <f t="shared" si="38"/>
        <v>1.0596241035318976E-2</v>
      </c>
      <c r="T86" s="53">
        <f t="shared" si="39"/>
        <v>0.05</v>
      </c>
      <c r="U86" s="53">
        <f t="shared" si="41"/>
        <v>4.2653187775606449E-3</v>
      </c>
    </row>
    <row r="87" spans="1:21" x14ac:dyDescent="0.2">
      <c r="A87" s="62">
        <f t="shared" si="27"/>
        <v>0.65595234075658149</v>
      </c>
      <c r="B87" s="45">
        <f t="shared" si="32"/>
        <v>76</v>
      </c>
      <c r="C87" s="51">
        <f t="shared" si="28"/>
        <v>3484169.1882390571</v>
      </c>
      <c r="D87" s="47" cm="1">
        <f t="array" ref="D87">_xlfn.IFS(AND($C$7="Y",B87&lt;C$4),C87,AND($C$7="Y",B87=C$4),D86+F87-J87-K87-L87+N87,AND($C$7="Y",B87&gt;$C$4),D86-J87-K87-L87+N87, TRUE, D86-J87-K87-L87+N87)</f>
        <v>3437691.9444742198</v>
      </c>
      <c r="E87" s="48">
        <f t="shared" si="33"/>
        <v>0</v>
      </c>
      <c r="F87" s="50">
        <f t="shared" si="34"/>
        <v>0</v>
      </c>
      <c r="G87" s="50">
        <f t="shared" si="42"/>
        <v>0</v>
      </c>
      <c r="H87" s="51">
        <f t="shared" si="35"/>
        <v>53716.785415655591</v>
      </c>
      <c r="I87" s="52">
        <f t="shared" si="29"/>
        <v>44056.273059783598</v>
      </c>
      <c r="J87" s="52">
        <f t="shared" si="30"/>
        <v>9660.5123558719933</v>
      </c>
      <c r="K87" s="51">
        <f t="shared" si="40"/>
        <v>36816.731408965206</v>
      </c>
      <c r="L87" s="49">
        <f t="shared" si="36"/>
        <v>14924.751083842611</v>
      </c>
      <c r="M87" s="49">
        <f t="shared" si="25"/>
        <v>-16013.169864468815</v>
      </c>
      <c r="N87" s="49">
        <f t="shared" si="24"/>
        <v>0</v>
      </c>
      <c r="O87" s="48">
        <f t="shared" si="31"/>
        <v>75608.765740778195</v>
      </c>
      <c r="P87" s="38">
        <f t="shared" si="26"/>
        <v>75608.765740778195</v>
      </c>
      <c r="Q87" s="53"/>
      <c r="R87" s="53">
        <f t="shared" si="37"/>
        <v>0.12</v>
      </c>
      <c r="S87" s="53">
        <f t="shared" si="38"/>
        <v>1.0596241035318976E-2</v>
      </c>
      <c r="T87" s="53">
        <f t="shared" si="39"/>
        <v>0.05</v>
      </c>
      <c r="U87" s="53">
        <f t="shared" si="41"/>
        <v>4.2653187775606449E-3</v>
      </c>
    </row>
    <row r="88" spans="1:21" x14ac:dyDescent="0.2">
      <c r="A88" s="62">
        <f t="shared" si="27"/>
        <v>0.64441334259493033</v>
      </c>
      <c r="B88" s="45">
        <f t="shared" si="32"/>
        <v>77</v>
      </c>
      <c r="C88" s="51">
        <f t="shared" si="28"/>
        <v>3423029.0924719851</v>
      </c>
      <c r="D88" s="47" cm="1">
        <f t="array" ref="D88">_xlfn.IFS(AND($C$7="Y",B88&lt;C$4),C88,AND($C$7="Y",B88=C$4),D87+F88-J88-K88-L88+N88,AND($C$7="Y",B88&gt;$C$4),D87-J88-K88-L88+N88, TRUE, D87-J88-K88-L88+N88)</f>
        <v>3377218.7689659833</v>
      </c>
      <c r="E88" s="48">
        <f t="shared" si="33"/>
        <v>0</v>
      </c>
      <c r="F88" s="50">
        <f t="shared" si="34"/>
        <v>0</v>
      </c>
      <c r="G88" s="50">
        <f t="shared" si="42"/>
        <v>0</v>
      </c>
      <c r="H88" s="51">
        <f t="shared" si="35"/>
        <v>52924.418016799427</v>
      </c>
      <c r="I88" s="52">
        <f t="shared" si="29"/>
        <v>43283.174909697256</v>
      </c>
      <c r="J88" s="52">
        <f t="shared" si="30"/>
        <v>9641.2431071021711</v>
      </c>
      <c r="K88" s="51">
        <f t="shared" si="40"/>
        <v>36169.080398899358</v>
      </c>
      <c r="L88" s="49">
        <f t="shared" si="36"/>
        <v>14662.852002234855</v>
      </c>
      <c r="M88" s="49">
        <f t="shared" si="25"/>
        <v>-15734.81900600444</v>
      </c>
      <c r="N88" s="49">
        <f t="shared" si="24"/>
        <v>0</v>
      </c>
      <c r="O88" s="48">
        <f t="shared" si="31"/>
        <v>74430.646413463939</v>
      </c>
      <c r="P88" s="38">
        <f t="shared" si="26"/>
        <v>74430.646413463939</v>
      </c>
      <c r="Q88" s="53"/>
      <c r="R88" s="53">
        <f t="shared" si="37"/>
        <v>0.12</v>
      </c>
      <c r="S88" s="53">
        <f t="shared" si="38"/>
        <v>1.0596241035318976E-2</v>
      </c>
      <c r="T88" s="53">
        <f t="shared" si="39"/>
        <v>0.05</v>
      </c>
      <c r="U88" s="53">
        <f t="shared" si="41"/>
        <v>4.2653187775606449E-3</v>
      </c>
    </row>
    <row r="89" spans="1:21" x14ac:dyDescent="0.2">
      <c r="A89" s="62">
        <f t="shared" si="27"/>
        <v>0.63304894759244623</v>
      </c>
      <c r="B89" s="45">
        <f t="shared" si="32"/>
        <v>78</v>
      </c>
      <c r="C89" s="51">
        <f t="shared" si="28"/>
        <v>3362813.8543347823</v>
      </c>
      <c r="D89" s="47" cm="1">
        <f t="array" ref="D89">_xlfn.IFS(AND($C$7="Y",B89&lt;C$4),C89,AND($C$7="Y",B89=C$4),D88+F89-J89-K89-L89+N89,AND($C$7="Y",B89&gt;$C$4),D88-J89-K89-L89+N89, TRUE, D88-J89-K89-L89+N89)</f>
        <v>3317660.647550025</v>
      </c>
      <c r="E89" s="48">
        <f t="shared" si="33"/>
        <v>0</v>
      </c>
      <c r="F89" s="50">
        <f t="shared" si="34"/>
        <v>0</v>
      </c>
      <c r="G89" s="50">
        <f t="shared" si="42"/>
        <v>0</v>
      </c>
      <c r="H89" s="51">
        <f t="shared" si="35"/>
        <v>52143.748725885009</v>
      </c>
      <c r="I89" s="52">
        <f t="shared" si="29"/>
        <v>42521.771306598042</v>
      </c>
      <c r="J89" s="52">
        <f t="shared" si="30"/>
        <v>9621.9774192869663</v>
      </c>
      <c r="K89" s="51">
        <f t="shared" si="40"/>
        <v>35531.22936547023</v>
      </c>
      <c r="L89" s="49">
        <f t="shared" si="36"/>
        <v>14404.914631200854</v>
      </c>
      <c r="M89" s="49">
        <f t="shared" si="25"/>
        <v>-15460.673645600798</v>
      </c>
      <c r="N89" s="49">
        <f t="shared" si="24"/>
        <v>0</v>
      </c>
      <c r="O89" s="48">
        <f t="shared" si="31"/>
        <v>73270.063460154386</v>
      </c>
      <c r="P89" s="38">
        <f t="shared" si="26"/>
        <v>73270.063460154386</v>
      </c>
      <c r="Q89" s="53"/>
      <c r="R89" s="53">
        <f t="shared" si="37"/>
        <v>0.12</v>
      </c>
      <c r="S89" s="53">
        <f t="shared" si="38"/>
        <v>1.0596241035318976E-2</v>
      </c>
      <c r="T89" s="53">
        <f t="shared" si="39"/>
        <v>0.05</v>
      </c>
      <c r="U89" s="53">
        <f t="shared" si="41"/>
        <v>4.2653187775606449E-3</v>
      </c>
    </row>
    <row r="90" spans="1:21" x14ac:dyDescent="0.2">
      <c r="A90" s="62">
        <f t="shared" si="27"/>
        <v>0.62185656797109479</v>
      </c>
      <c r="B90" s="45">
        <f t="shared" si="32"/>
        <v>79</v>
      </c>
      <c r="C90" s="51">
        <f t="shared" si="28"/>
        <v>3303509.7672924558</v>
      </c>
      <c r="D90" s="47" cm="1">
        <f t="array" ref="D90">_xlfn.IFS(AND($C$7="Y",B90&lt;C$4),C90,AND($C$7="Y",B90=C$4),D89+F90-J90-K90-L90+N90,AND($C$7="Y",B90&gt;$C$4),D89-J90-K90-L90+N90, TRUE, D89-J90-K90-L90+N90)</f>
        <v>3259004.0182902855</v>
      </c>
      <c r="E90" s="48">
        <f t="shared" si="33"/>
        <v>0</v>
      </c>
      <c r="F90" s="50">
        <f t="shared" si="34"/>
        <v>0</v>
      </c>
      <c r="G90" s="50">
        <f t="shared" si="42"/>
        <v>0</v>
      </c>
      <c r="H90" s="51">
        <f t="shared" si="35"/>
        <v>51374.604873549695</v>
      </c>
      <c r="I90" s="52">
        <f t="shared" si="29"/>
        <v>41771.888935467148</v>
      </c>
      <c r="J90" s="52">
        <f t="shared" si="30"/>
        <v>9602.7159380825469</v>
      </c>
      <c r="K90" s="51">
        <f t="shared" si="40"/>
        <v>34903.033064087744</v>
      </c>
      <c r="L90" s="49">
        <f t="shared" si="36"/>
        <v>14150.88025756913</v>
      </c>
      <c r="M90" s="49">
        <f t="shared" si="25"/>
        <v>-15190.671469384224</v>
      </c>
      <c r="N90" s="49">
        <f t="shared" si="24"/>
        <v>0</v>
      </c>
      <c r="O90" s="48">
        <f t="shared" si="31"/>
        <v>72126.757680068316</v>
      </c>
      <c r="P90" s="38">
        <f t="shared" si="26"/>
        <v>72126.757680068316</v>
      </c>
      <c r="Q90" s="53"/>
      <c r="R90" s="53">
        <f t="shared" si="37"/>
        <v>0.12</v>
      </c>
      <c r="S90" s="53">
        <f t="shared" si="38"/>
        <v>1.0596241035318976E-2</v>
      </c>
      <c r="T90" s="53">
        <f t="shared" si="39"/>
        <v>0.05</v>
      </c>
      <c r="U90" s="53">
        <f t="shared" si="41"/>
        <v>4.2653187775606449E-3</v>
      </c>
    </row>
    <row r="91" spans="1:21" x14ac:dyDescent="0.2">
      <c r="A91" s="62">
        <f t="shared" si="27"/>
        <v>0.61083365417432034</v>
      </c>
      <c r="B91" s="45">
        <f t="shared" si="32"/>
        <v>80</v>
      </c>
      <c r="C91" s="51">
        <f t="shared" si="28"/>
        <v>3245103.3272549263</v>
      </c>
      <c r="D91" s="47" cm="1">
        <f t="array" ref="D91">_xlfn.IFS(AND($C$7="Y",B91&lt;C$4),C91,AND($C$7="Y",B91=C$4),D90+F91-J91-K91-L91+N91,AND($C$7="Y",B91&gt;$C$4),D90-J91-K91-L91+N91, TRUE, D90-J91-K91-L91+N91)</f>
        <v>3201235.5195604865</v>
      </c>
      <c r="E91" s="48">
        <f t="shared" si="33"/>
        <v>0</v>
      </c>
      <c r="F91" s="50">
        <f t="shared" si="34"/>
        <v>0</v>
      </c>
      <c r="G91" s="50">
        <f t="shared" si="42"/>
        <v>0</v>
      </c>
      <c r="H91" s="51">
        <f t="shared" si="35"/>
        <v>50616.816340156351</v>
      </c>
      <c r="I91" s="52">
        <f t="shared" si="29"/>
        <v>41033.357041140916</v>
      </c>
      <c r="J91" s="52">
        <f t="shared" si="30"/>
        <v>9583.4592990154342</v>
      </c>
      <c r="K91" s="51">
        <f t="shared" si="40"/>
        <v>34284.348395424262</v>
      </c>
      <c r="L91" s="49">
        <f t="shared" si="36"/>
        <v>13900.69103535915</v>
      </c>
      <c r="M91" s="49">
        <f t="shared" si="25"/>
        <v>-14924.751083842611</v>
      </c>
      <c r="N91" s="49">
        <f t="shared" si="24"/>
        <v>0</v>
      </c>
      <c r="O91" s="48">
        <f t="shared" si="31"/>
        <v>71000.473700221468</v>
      </c>
      <c r="P91" s="38">
        <f t="shared" si="26"/>
        <v>71000.473700221468</v>
      </c>
      <c r="Q91" s="53"/>
      <c r="R91" s="53">
        <f t="shared" si="37"/>
        <v>0.12</v>
      </c>
      <c r="S91" s="53">
        <f t="shared" si="38"/>
        <v>1.0596241035318976E-2</v>
      </c>
      <c r="T91" s="53">
        <f t="shared" si="39"/>
        <v>0.05</v>
      </c>
      <c r="U91" s="53">
        <f t="shared" si="41"/>
        <v>4.2653187775606449E-3</v>
      </c>
    </row>
    <row r="92" spans="1:21" x14ac:dyDescent="0.2">
      <c r="A92" s="62">
        <f t="shared" si="27"/>
        <v>0.59997769430262149</v>
      </c>
      <c r="B92" s="45">
        <f t="shared" si="32"/>
        <v>81</v>
      </c>
      <c r="C92" s="51">
        <f t="shared" si="28"/>
        <v>3187581.2295875112</v>
      </c>
      <c r="D92" s="47" cm="1">
        <f t="array" ref="D92">_xlfn.IFS(AND($C$7="Y",B92&lt;C$4),C92,AND($C$7="Y",B92=C$4),D91+F92-J92-K92-L92+N92,AND($C$7="Y",B92&gt;$C$4),D91-J92-K92-L92+N92, TRUE, D91-J92-K92-L92+N92)</f>
        <v>3144341.9870861149</v>
      </c>
      <c r="E92" s="48">
        <f t="shared" si="33"/>
        <v>0</v>
      </c>
      <c r="F92" s="50">
        <f t="shared" si="34"/>
        <v>0</v>
      </c>
      <c r="G92" s="50">
        <f t="shared" si="42"/>
        <v>0</v>
      </c>
      <c r="H92" s="51">
        <f t="shared" si="35"/>
        <v>49870.215518170575</v>
      </c>
      <c r="I92" s="52">
        <f t="shared" si="29"/>
        <v>40306.00739050928</v>
      </c>
      <c r="J92" s="52">
        <f t="shared" si="30"/>
        <v>9564.2081276612953</v>
      </c>
      <c r="K92" s="51">
        <f t="shared" si="40"/>
        <v>33675.034373735049</v>
      </c>
      <c r="L92" s="49">
        <f t="shared" si="36"/>
        <v>13654.28997297545</v>
      </c>
      <c r="M92" s="49">
        <f t="shared" si="25"/>
        <v>-14662.852002234855</v>
      </c>
      <c r="N92" s="49">
        <f t="shared" si="24"/>
        <v>0</v>
      </c>
      <c r="O92" s="48">
        <f t="shared" si="31"/>
        <v>69890.959918930166</v>
      </c>
      <c r="P92" s="38">
        <f t="shared" si="26"/>
        <v>69890.959918930166</v>
      </c>
      <c r="Q92" s="53"/>
      <c r="R92" s="53">
        <f t="shared" si="37"/>
        <v>0.12</v>
      </c>
      <c r="S92" s="53">
        <f t="shared" si="38"/>
        <v>1.0596241035318976E-2</v>
      </c>
      <c r="T92" s="53">
        <f t="shared" si="39"/>
        <v>0.05</v>
      </c>
      <c r="U92" s="53">
        <f t="shared" si="41"/>
        <v>4.2653187775606449E-3</v>
      </c>
    </row>
    <row r="93" spans="1:21" x14ac:dyDescent="0.2">
      <c r="A93" s="62">
        <f t="shared" si="27"/>
        <v>0.58928621355745547</v>
      </c>
      <c r="B93" s="45">
        <f t="shared" si="32"/>
        <v>82</v>
      </c>
      <c r="C93" s="51">
        <f t="shared" si="28"/>
        <v>3130930.3661655243</v>
      </c>
      <c r="D93" s="47" cm="1">
        <f t="array" ref="D93">_xlfn.IFS(AND($C$7="Y",B93&lt;C$4),C93,AND($C$7="Y",B93=C$4),D92+F93-J93-K93-L93+N93,AND($C$7="Y",B93&gt;$C$4),D92-J93-K93-L93+N93, TRUE, D92-J93-K93-L93+N93)</f>
        <v>3088310.451030056</v>
      </c>
      <c r="E93" s="48">
        <f t="shared" si="33"/>
        <v>0</v>
      </c>
      <c r="F93" s="50">
        <f t="shared" si="34"/>
        <v>0</v>
      </c>
      <c r="G93" s="50">
        <f t="shared" si="42"/>
        <v>0</v>
      </c>
      <c r="H93" s="51">
        <f t="shared" si="35"/>
        <v>49134.637275093999</v>
      </c>
      <c r="I93" s="52">
        <f t="shared" si="29"/>
        <v>39589.674235272068</v>
      </c>
      <c r="J93" s="52">
        <f t="shared" si="30"/>
        <v>9544.9630398219306</v>
      </c>
      <c r="K93" s="51">
        <f t="shared" si="40"/>
        <v>33074.952095646229</v>
      </c>
      <c r="L93" s="49">
        <f t="shared" si="36"/>
        <v>13411.620920590756</v>
      </c>
      <c r="M93" s="49">
        <f t="shared" si="25"/>
        <v>-14404.914631200854</v>
      </c>
      <c r="N93" s="49">
        <f t="shared" si="24"/>
        <v>0</v>
      </c>
      <c r="O93" s="48">
        <f t="shared" si="31"/>
        <v>68797.968450149478</v>
      </c>
      <c r="P93" s="38">
        <f t="shared" si="26"/>
        <v>68797.968450149478</v>
      </c>
      <c r="Q93" s="53"/>
      <c r="R93" s="53">
        <f t="shared" si="37"/>
        <v>0.12</v>
      </c>
      <c r="S93" s="53">
        <f t="shared" si="38"/>
        <v>1.0596241035318976E-2</v>
      </c>
      <c r="T93" s="53">
        <f t="shared" si="39"/>
        <v>0.05</v>
      </c>
      <c r="U93" s="53">
        <f t="shared" si="41"/>
        <v>4.2653187775606449E-3</v>
      </c>
    </row>
    <row r="94" spans="1:21" x14ac:dyDescent="0.2">
      <c r="A94" s="62">
        <f t="shared" si="27"/>
        <v>0.57875677369334921</v>
      </c>
      <c r="B94" s="45">
        <f t="shared" si="32"/>
        <v>83</v>
      </c>
      <c r="C94" s="51">
        <f t="shared" si="28"/>
        <v>3075137.8224723409</v>
      </c>
      <c r="D94" s="47" cm="1">
        <f t="array" ref="D94">_xlfn.IFS(AND($C$7="Y",B94&lt;C$4),C94,AND($C$7="Y",B94=C$4),D93+F94-J94-K94-L94+N94,AND($C$7="Y",B94&gt;$C$4),D93-J94-K94-L94+N94, TRUE, D93-J94-K94-L94+N94)</f>
        <v>3033128.1331212367</v>
      </c>
      <c r="E94" s="48">
        <f t="shared" si="33"/>
        <v>0</v>
      </c>
      <c r="F94" s="50">
        <f t="shared" si="34"/>
        <v>0</v>
      </c>
      <c r="G94" s="50">
        <f t="shared" si="42"/>
        <v>0</v>
      </c>
      <c r="H94" s="51">
        <f t="shared" si="35"/>
        <v>48409.918916945622</v>
      </c>
      <c r="I94" s="52">
        <f t="shared" si="29"/>
        <v>38884.194275244889</v>
      </c>
      <c r="J94" s="52">
        <f t="shared" si="30"/>
        <v>9525.7246417007336</v>
      </c>
      <c r="K94" s="51">
        <f t="shared" si="40"/>
        <v>32483.964709403321</v>
      </c>
      <c r="L94" s="49">
        <f t="shared" si="36"/>
        <v>13172.628557715283</v>
      </c>
      <c r="M94" s="49">
        <f t="shared" si="25"/>
        <v>-14150.88025756913</v>
      </c>
      <c r="N94" s="49">
        <f t="shared" si="24"/>
        <v>0</v>
      </c>
      <c r="O94" s="48">
        <f t="shared" si="31"/>
        <v>67721.255068633662</v>
      </c>
      <c r="P94" s="38">
        <f t="shared" si="26"/>
        <v>67721.255068633662</v>
      </c>
      <c r="Q94" s="53"/>
      <c r="R94" s="53">
        <f t="shared" si="37"/>
        <v>0.12</v>
      </c>
      <c r="S94" s="53">
        <f t="shared" si="38"/>
        <v>1.0596241035318976E-2</v>
      </c>
      <c r="T94" s="53">
        <f t="shared" si="39"/>
        <v>0.05</v>
      </c>
      <c r="U94" s="53">
        <f t="shared" si="41"/>
        <v>4.2653187775606449E-3</v>
      </c>
    </row>
    <row r="95" spans="1:21" x14ac:dyDescent="0.2">
      <c r="A95" s="62">
        <f t="shared" si="27"/>
        <v>0.56838697247809489</v>
      </c>
      <c r="B95" s="45">
        <f t="shared" si="32"/>
        <v>84</v>
      </c>
      <c r="C95" s="51">
        <f t="shared" si="28"/>
        <v>3020190.8747402872</v>
      </c>
      <c r="D95" s="47" cm="1">
        <f t="array" ref="D95">_xlfn.IFS(AND($C$7="Y",B95&lt;C$4),C95,AND($C$7="Y",B95=C$4),D94+F95-J95-K95-L95+N95,AND($C$7="Y",B95&gt;$C$4),D94-J95-K95-L95+N95, TRUE, D94-J95-K95-L95+N95)</f>
        <v>2978782.443825637</v>
      </c>
      <c r="E95" s="48">
        <f t="shared" si="33"/>
        <v>0</v>
      </c>
      <c r="F95" s="50">
        <f t="shared" si="34"/>
        <v>0</v>
      </c>
      <c r="G95" s="50">
        <f t="shared" si="42"/>
        <v>0</v>
      </c>
      <c r="H95" s="51">
        <f t="shared" si="35"/>
        <v>47695.900152282986</v>
      </c>
      <c r="I95" s="52">
        <f t="shared" si="29"/>
        <v>38189.406622206581</v>
      </c>
      <c r="J95" s="52">
        <f t="shared" si="30"/>
        <v>9506.4935300764046</v>
      </c>
      <c r="K95" s="51">
        <f t="shared" si="40"/>
        <v>31901.937384573554</v>
      </c>
      <c r="L95" s="49">
        <f t="shared" si="36"/>
        <v>12937.258380949474</v>
      </c>
      <c r="M95" s="49">
        <f t="shared" si="25"/>
        <v>-13900.69103535915</v>
      </c>
      <c r="N95" s="49">
        <f t="shared" si="24"/>
        <v>0</v>
      </c>
      <c r="O95" s="48">
        <f t="shared" si="31"/>
        <v>66660.579155907064</v>
      </c>
      <c r="P95" s="38">
        <f t="shared" si="26"/>
        <v>66660.579155907064</v>
      </c>
      <c r="Q95" s="53"/>
      <c r="R95" s="53">
        <f t="shared" si="37"/>
        <v>0.12</v>
      </c>
      <c r="S95" s="53">
        <f t="shared" si="38"/>
        <v>1.0596241035318976E-2</v>
      </c>
      <c r="T95" s="53">
        <f t="shared" si="39"/>
        <v>0.05</v>
      </c>
      <c r="U95" s="53">
        <f t="shared" si="41"/>
        <v>4.2653187775606449E-3</v>
      </c>
    </row>
    <row r="96" spans="1:21" x14ac:dyDescent="0.2">
      <c r="A96" s="62">
        <f t="shared" si="27"/>
        <v>0.55817444316091147</v>
      </c>
      <c r="B96" s="45">
        <f t="shared" si="32"/>
        <v>85</v>
      </c>
      <c r="C96" s="51">
        <f t="shared" si="28"/>
        <v>2966076.9871337195</v>
      </c>
      <c r="D96" s="47" cm="1">
        <f t="array" ref="D96">_xlfn.IFS(AND($C$7="Y",B96&lt;C$4),C96,AND($C$7="Y",B96=C$4),D95+F96-J96-K96-L96+N96,AND($C$7="Y",B96&gt;$C$4),D95-J96-K96-L96+N96, TRUE, D95-J96-K96-L96+N96)</f>
        <v>2925260.979559049</v>
      </c>
      <c r="E96" s="48">
        <f t="shared" si="33"/>
        <v>0</v>
      </c>
      <c r="F96" s="50">
        <f t="shared" si="34"/>
        <v>0</v>
      </c>
      <c r="G96" s="50">
        <f t="shared" si="42"/>
        <v>0</v>
      </c>
      <c r="H96" s="51">
        <f t="shared" si="35"/>
        <v>46992.42305675544</v>
      </c>
      <c r="I96" s="52">
        <f t="shared" si="29"/>
        <v>37505.152764280036</v>
      </c>
      <c r="J96" s="52">
        <f t="shared" si="30"/>
        <v>9487.2702924754049</v>
      </c>
      <c r="K96" s="51">
        <f t="shared" si="40"/>
        <v>31328.737282195303</v>
      </c>
      <c r="L96" s="49">
        <f t="shared" si="36"/>
        <v>12705.456691917476</v>
      </c>
      <c r="M96" s="49">
        <f t="shared" si="25"/>
        <v>-13654.28997297545</v>
      </c>
      <c r="N96" s="49">
        <f t="shared" ref="N96:N159" si="43">IFERROR((1-$N$9)*L92,0)</f>
        <v>0</v>
      </c>
      <c r="O96" s="48">
        <f t="shared" si="31"/>
        <v>65615.703647033282</v>
      </c>
      <c r="P96" s="38">
        <f t="shared" si="26"/>
        <v>65615.703647033282</v>
      </c>
      <c r="Q96" s="53"/>
      <c r="R96" s="53">
        <f t="shared" si="37"/>
        <v>0.12</v>
      </c>
      <c r="S96" s="53">
        <f t="shared" si="38"/>
        <v>1.0596241035318976E-2</v>
      </c>
      <c r="T96" s="53">
        <f t="shared" si="39"/>
        <v>0.05</v>
      </c>
      <c r="U96" s="53">
        <f t="shared" si="41"/>
        <v>4.2653187775606449E-3</v>
      </c>
    </row>
    <row r="97" spans="1:21" x14ac:dyDescent="0.2">
      <c r="A97" s="62">
        <f t="shared" si="27"/>
        <v>0.54811685394845278</v>
      </c>
      <c r="B97" s="45">
        <f t="shared" si="32"/>
        <v>86</v>
      </c>
      <c r="C97" s="51">
        <f t="shared" si="28"/>
        <v>2912783.8089736705</v>
      </c>
      <c r="D97" s="47" cm="1">
        <f t="array" ref="D97">_xlfn.IFS(AND($C$7="Y",B97&lt;C$4),C97,AND($C$7="Y",B97=C$4),D96+F97-J97-K97-L97+N97,AND($C$7="Y",B97&gt;$C$4),D96-J97-K97-L97+N97, TRUE, D96-J97-K97-L97+N97)</f>
        <v>2872551.5199409598</v>
      </c>
      <c r="E97" s="48">
        <f t="shared" si="33"/>
        <v>0</v>
      </c>
      <c r="F97" s="50">
        <f t="shared" si="34"/>
        <v>0</v>
      </c>
      <c r="G97" s="50">
        <f t="shared" si="42"/>
        <v>0</v>
      </c>
      <c r="H97" s="51">
        <f t="shared" si="35"/>
        <v>46299.332038181514</v>
      </c>
      <c r="I97" s="52">
        <f t="shared" si="29"/>
        <v>36831.276530838717</v>
      </c>
      <c r="J97" s="52">
        <f t="shared" si="30"/>
        <v>9468.0555073427968</v>
      </c>
      <c r="K97" s="51">
        <f t="shared" si="40"/>
        <v>30764.233525367934</v>
      </c>
      <c r="L97" s="49">
        <f t="shared" si="36"/>
        <v>12477.170585378657</v>
      </c>
      <c r="M97" s="49">
        <f t="shared" si="25"/>
        <v>-13411.620920590756</v>
      </c>
      <c r="N97" s="49">
        <f t="shared" si="43"/>
        <v>0</v>
      </c>
      <c r="O97" s="48">
        <f t="shared" si="31"/>
        <v>64586.394978170792</v>
      </c>
      <c r="P97" s="38">
        <f t="shared" si="26"/>
        <v>64586.394978170792</v>
      </c>
      <c r="Q97" s="53"/>
      <c r="R97" s="53">
        <f t="shared" si="37"/>
        <v>0.12</v>
      </c>
      <c r="S97" s="53">
        <f t="shared" si="38"/>
        <v>1.0596241035318976E-2</v>
      </c>
      <c r="T97" s="53">
        <f t="shared" si="39"/>
        <v>0.05</v>
      </c>
      <c r="U97" s="53">
        <f t="shared" si="41"/>
        <v>4.2653187775606449E-3</v>
      </c>
    </row>
    <row r="98" spans="1:21" x14ac:dyDescent="0.2">
      <c r="A98" s="62">
        <f t="shared" si="27"/>
        <v>0.53821190748854819</v>
      </c>
      <c r="B98" s="45">
        <f t="shared" si="32"/>
        <v>87</v>
      </c>
      <c r="C98" s="51">
        <f t="shared" si="28"/>
        <v>2860299.1720034452</v>
      </c>
      <c r="D98" s="47" cm="1">
        <f t="array" ref="D98">_xlfn.IFS(AND($C$7="Y",B98&lt;C$4),C98,AND($C$7="Y",B98=C$4),D97+F98-J98-K98-L98+N98,AND($C$7="Y",B98&gt;$C$4),D97-J98-K98-L98+N98, TRUE, D97-J98-K98-L98+N98)</f>
        <v>2820642.0250889575</v>
      </c>
      <c r="E98" s="48">
        <f t="shared" si="33"/>
        <v>0</v>
      </c>
      <c r="F98" s="50">
        <f t="shared" si="34"/>
        <v>0</v>
      </c>
      <c r="G98" s="50">
        <f t="shared" si="42"/>
        <v>0</v>
      </c>
      <c r="H98" s="51">
        <f t="shared" si="35"/>
        <v>45616.473802142733</v>
      </c>
      <c r="I98" s="52">
        <f t="shared" si="29"/>
        <v>36167.624057930967</v>
      </c>
      <c r="J98" s="52">
        <f t="shared" si="30"/>
        <v>9448.8497442117659</v>
      </c>
      <c r="K98" s="51">
        <f t="shared" si="40"/>
        <v>30208.297170275615</v>
      </c>
      <c r="L98" s="49">
        <f t="shared" si="36"/>
        <v>12252.347937514547</v>
      </c>
      <c r="M98" s="49">
        <f t="shared" si="25"/>
        <v>-13172.628557715283</v>
      </c>
      <c r="N98" s="49">
        <f t="shared" si="43"/>
        <v>0</v>
      </c>
      <c r="O98" s="48">
        <f t="shared" si="31"/>
        <v>63572.423034903804</v>
      </c>
      <c r="P98" s="38">
        <f t="shared" si="26"/>
        <v>63572.423034903804</v>
      </c>
      <c r="Q98" s="53"/>
      <c r="R98" s="53">
        <f t="shared" si="37"/>
        <v>0.12</v>
      </c>
      <c r="S98" s="53">
        <f t="shared" si="38"/>
        <v>1.0596241035318976E-2</v>
      </c>
      <c r="T98" s="53">
        <f t="shared" si="39"/>
        <v>0.05</v>
      </c>
      <c r="U98" s="53">
        <f t="shared" si="41"/>
        <v>4.2653187775606449E-3</v>
      </c>
    </row>
    <row r="99" spans="1:21" x14ac:dyDescent="0.2">
      <c r="A99" s="62">
        <f t="shared" si="27"/>
        <v>0.52845734036156067</v>
      </c>
      <c r="B99" s="45">
        <f t="shared" si="32"/>
        <v>88</v>
      </c>
      <c r="C99" s="51">
        <f t="shared" si="28"/>
        <v>2808611.087694569</v>
      </c>
      <c r="D99" s="47" cm="1">
        <f t="array" ref="D99">_xlfn.IFS(AND($C$7="Y",B99&lt;C$4),C99,AND($C$7="Y",B99=C$4),D98+F99-J99-K99-L99+N99,AND($C$7="Y",B99&gt;$C$4),D98-J99-K99-L99+N99, TRUE, D98-J99-K99-L99+N99)</f>
        <v>2769520.6329530585</v>
      </c>
      <c r="E99" s="48">
        <f t="shared" si="33"/>
        <v>0</v>
      </c>
      <c r="F99" s="50">
        <f t="shared" si="34"/>
        <v>0</v>
      </c>
      <c r="G99" s="50">
        <f t="shared" si="42"/>
        <v>0</v>
      </c>
      <c r="H99" s="51">
        <f t="shared" si="35"/>
        <v>44943.697318086466</v>
      </c>
      <c r="I99" s="52">
        <f t="shared" si="29"/>
        <v>35514.043754214457</v>
      </c>
      <c r="J99" s="52">
        <f t="shared" si="30"/>
        <v>9429.6535638720088</v>
      </c>
      <c r="K99" s="51">
        <f t="shared" si="40"/>
        <v>29660.801177638714</v>
      </c>
      <c r="L99" s="49">
        <f t="shared" si="36"/>
        <v>12030.937394388615</v>
      </c>
      <c r="M99" s="49">
        <f t="shared" si="25"/>
        <v>-12937.258380949474</v>
      </c>
      <c r="N99" s="49">
        <f t="shared" si="43"/>
        <v>0</v>
      </c>
      <c r="O99" s="48">
        <f t="shared" si="31"/>
        <v>62573.561101336571</v>
      </c>
      <c r="P99" s="38">
        <f t="shared" si="26"/>
        <v>62573.561101336571</v>
      </c>
      <c r="Q99" s="53"/>
      <c r="R99" s="53">
        <f t="shared" si="37"/>
        <v>0.12</v>
      </c>
      <c r="S99" s="53">
        <f t="shared" si="38"/>
        <v>1.0596241035318976E-2</v>
      </c>
      <c r="T99" s="53">
        <f t="shared" si="39"/>
        <v>0.05</v>
      </c>
      <c r="U99" s="53">
        <f t="shared" si="41"/>
        <v>4.2653187775606449E-3</v>
      </c>
    </row>
    <row r="100" spans="1:21" x14ac:dyDescent="0.2">
      <c r="A100" s="62">
        <f t="shared" si="27"/>
        <v>0.51885092257924847</v>
      </c>
      <c r="B100" s="45">
        <f t="shared" si="32"/>
        <v>89</v>
      </c>
      <c r="C100" s="51">
        <f t="shared" si="28"/>
        <v>2757707.7445924822</v>
      </c>
      <c r="D100" s="47" cm="1">
        <f t="array" ref="D100">_xlfn.IFS(AND($C$7="Y",B100&lt;C$4),C100,AND($C$7="Y",B100=C$4),D99+F100-J100-K100-L100+N100,AND($C$7="Y",B100&gt;$C$4),D99-J100-K100-L100+N100, TRUE, D99-J100-K100-L100+N100)</f>
        <v>2719175.6566893589</v>
      </c>
      <c r="E100" s="48">
        <f t="shared" si="33"/>
        <v>0</v>
      </c>
      <c r="F100" s="50">
        <f t="shared" si="34"/>
        <v>0</v>
      </c>
      <c r="G100" s="50">
        <f t="shared" si="42"/>
        <v>0</v>
      </c>
      <c r="H100" s="51">
        <f t="shared" si="35"/>
        <v>44280.85378593007</v>
      </c>
      <c r="I100" s="52">
        <f t="shared" si="29"/>
        <v>34870.386267393384</v>
      </c>
      <c r="J100" s="52">
        <f t="shared" si="30"/>
        <v>9410.4675185366868</v>
      </c>
      <c r="K100" s="51">
        <f t="shared" si="40"/>
        <v>29121.620384586346</v>
      </c>
      <c r="L100" s="49">
        <f t="shared" si="36"/>
        <v>11812.888360576322</v>
      </c>
      <c r="M100" s="49">
        <f t="shared" si="25"/>
        <v>-12705.456691917476</v>
      </c>
      <c r="N100" s="49">
        <f t="shared" si="43"/>
        <v>0</v>
      </c>
      <c r="O100" s="48">
        <f t="shared" si="31"/>
        <v>61589.585809940094</v>
      </c>
      <c r="P100" s="38">
        <f t="shared" si="26"/>
        <v>61589.585809940094</v>
      </c>
      <c r="Q100" s="53"/>
      <c r="R100" s="53">
        <f t="shared" si="37"/>
        <v>0.12</v>
      </c>
      <c r="S100" s="53">
        <f t="shared" si="38"/>
        <v>1.0596241035318976E-2</v>
      </c>
      <c r="T100" s="53">
        <f t="shared" si="39"/>
        <v>0.05</v>
      </c>
      <c r="U100" s="53">
        <f t="shared" si="41"/>
        <v>4.2653187775606449E-3</v>
      </c>
    </row>
    <row r="101" spans="1:21" x14ac:dyDescent="0.2">
      <c r="A101" s="62">
        <f t="shared" si="27"/>
        <v>0.50939045709102238</v>
      </c>
      <c r="B101" s="45">
        <f t="shared" si="32"/>
        <v>90</v>
      </c>
      <c r="C101" s="51">
        <f t="shared" si="28"/>
        <v>2707577.5057013961</v>
      </c>
      <c r="D101" s="47" cm="1">
        <f t="array" ref="D101">_xlfn.IFS(AND($C$7="Y",B101&lt;C$4),C101,AND($C$7="Y",B101=C$4),D100+F101-J101-K101-L101+N101,AND($C$7="Y",B101&gt;$C$4),D100-J101-K101-L101+N101, TRUE, D100-J101-K101-L101+N101)</f>
        <v>2669595.5820724438</v>
      </c>
      <c r="E101" s="48">
        <f t="shared" si="33"/>
        <v>0</v>
      </c>
      <c r="F101" s="50">
        <f t="shared" si="34"/>
        <v>0</v>
      </c>
      <c r="G101" s="50">
        <f t="shared" si="42"/>
        <v>0</v>
      </c>
      <c r="H101" s="51">
        <f t="shared" si="35"/>
        <v>43627.796603159222</v>
      </c>
      <c r="I101" s="52">
        <f t="shared" si="29"/>
        <v>34236.504451150664</v>
      </c>
      <c r="J101" s="52">
        <f t="shared" si="30"/>
        <v>9391.2921520085583</v>
      </c>
      <c r="K101" s="51">
        <f t="shared" si="40"/>
        <v>28590.631476943952</v>
      </c>
      <c r="L101" s="49">
        <f t="shared" si="36"/>
        <v>11598.150987962919</v>
      </c>
      <c r="M101" s="49">
        <f t="shared" si="25"/>
        <v>-12477.170585378657</v>
      </c>
      <c r="N101" s="49">
        <f t="shared" si="43"/>
        <v>0</v>
      </c>
      <c r="O101" s="48">
        <f t="shared" si="31"/>
        <v>60620.27709214027</v>
      </c>
      <c r="P101" s="38">
        <f t="shared" si="26"/>
        <v>60620.27709214027</v>
      </c>
      <c r="Q101" s="53"/>
      <c r="R101" s="53">
        <f t="shared" si="37"/>
        <v>0.12</v>
      </c>
      <c r="S101" s="53">
        <f t="shared" si="38"/>
        <v>1.0596241035318976E-2</v>
      </c>
      <c r="T101" s="53">
        <f t="shared" si="39"/>
        <v>0.05</v>
      </c>
      <c r="U101" s="53">
        <f t="shared" si="41"/>
        <v>4.2653187775606449E-3</v>
      </c>
    </row>
    <row r="102" spans="1:21" x14ac:dyDescent="0.2">
      <c r="A102" s="62">
        <f t="shared" si="27"/>
        <v>0.50007377929748453</v>
      </c>
      <c r="B102" s="45">
        <f t="shared" si="32"/>
        <v>91</v>
      </c>
      <c r="C102" s="51">
        <f t="shared" si="28"/>
        <v>2658208.9059077371</v>
      </c>
      <c r="D102" s="47" cm="1">
        <f t="array" ref="D102">_xlfn.IFS(AND($C$7="Y",B102&lt;C$4),C102,AND($C$7="Y",B102=C$4),D101+F102-J102-K102-L102+N102,AND($C$7="Y",B102&gt;$C$4),D101-J102-K102-L102+N102, TRUE, D101-J102-K102-L102+N102)</f>
        <v>2620769.0649459623</v>
      </c>
      <c r="E102" s="48">
        <f t="shared" si="33"/>
        <v>0</v>
      </c>
      <c r="F102" s="50">
        <f t="shared" si="34"/>
        <v>0</v>
      </c>
      <c r="G102" s="50">
        <f t="shared" si="42"/>
        <v>0</v>
      </c>
      <c r="H102" s="51">
        <f t="shared" si="35"/>
        <v>42984.381332413002</v>
      </c>
      <c r="I102" s="52">
        <f t="shared" si="29"/>
        <v>33612.253332568253</v>
      </c>
      <c r="J102" s="52">
        <f t="shared" si="30"/>
        <v>9372.1279998447499</v>
      </c>
      <c r="K102" s="51">
        <f t="shared" si="40"/>
        <v>28067.712961929705</v>
      </c>
      <c r="L102" s="49">
        <f t="shared" si="36"/>
        <v>11386.676164706534</v>
      </c>
      <c r="M102" s="49">
        <f t="shared" si="25"/>
        <v>-12252.347937514547</v>
      </c>
      <c r="N102" s="49">
        <f t="shared" si="43"/>
        <v>0</v>
      </c>
      <c r="O102" s="48">
        <f t="shared" si="31"/>
        <v>59665.418129636171</v>
      </c>
      <c r="P102" s="38">
        <f t="shared" si="26"/>
        <v>59665.418129636171</v>
      </c>
      <c r="Q102" s="53"/>
      <c r="R102" s="53">
        <f t="shared" si="37"/>
        <v>0.12</v>
      </c>
      <c r="S102" s="53">
        <f t="shared" si="38"/>
        <v>1.0596241035318976E-2</v>
      </c>
      <c r="T102" s="53">
        <f t="shared" si="39"/>
        <v>0.05</v>
      </c>
      <c r="U102" s="53">
        <f t="shared" si="41"/>
        <v>4.2653187775606449E-3</v>
      </c>
    </row>
    <row r="103" spans="1:21" x14ac:dyDescent="0.2">
      <c r="A103" s="62">
        <f t="shared" si="27"/>
        <v>0.49089875657114718</v>
      </c>
      <c r="B103" s="45">
        <f t="shared" si="32"/>
        <v>92</v>
      </c>
      <c r="C103" s="51">
        <f t="shared" si="28"/>
        <v>2609590.649441598</v>
      </c>
      <c r="D103" s="47" cm="1">
        <f t="array" ref="D103">_xlfn.IFS(AND($C$7="Y",B103&lt;C$4),C103,AND($C$7="Y",B103=C$4),D102+F103-J103-K103-L103+N103,AND($C$7="Y",B103&gt;$C$4),D102-J103-K103-L103+N103, TRUE, D102-J103-K103-L103+N103)</f>
        <v>2572684.9287108234</v>
      </c>
      <c r="E103" s="48">
        <f t="shared" si="33"/>
        <v>0</v>
      </c>
      <c r="F103" s="50">
        <f t="shared" si="34"/>
        <v>0</v>
      </c>
      <c r="G103" s="50">
        <f t="shared" si="42"/>
        <v>0</v>
      </c>
      <c r="H103" s="51">
        <f t="shared" si="35"/>
        <v>42350.465669548772</v>
      </c>
      <c r="I103" s="52">
        <f t="shared" si="29"/>
        <v>32997.490080027877</v>
      </c>
      <c r="J103" s="52">
        <f t="shared" si="30"/>
        <v>9352.9755895208946</v>
      </c>
      <c r="K103" s="51">
        <f t="shared" si="40"/>
        <v>27552.745141253741</v>
      </c>
      <c r="L103" s="49">
        <f t="shared" si="36"/>
        <v>11178.415504364066</v>
      </c>
      <c r="M103" s="49">
        <f t="shared" si="25"/>
        <v>-12030.937394388615</v>
      </c>
      <c r="N103" s="49">
        <f t="shared" si="43"/>
        <v>0</v>
      </c>
      <c r="O103" s="48">
        <f t="shared" si="31"/>
        <v>58724.795306438449</v>
      </c>
      <c r="P103" s="38">
        <f t="shared" si="26"/>
        <v>58724.795306438449</v>
      </c>
      <c r="Q103" s="53"/>
      <c r="R103" s="53">
        <f t="shared" si="37"/>
        <v>0.12</v>
      </c>
      <c r="S103" s="53">
        <f t="shared" si="38"/>
        <v>1.0596241035318976E-2</v>
      </c>
      <c r="T103" s="53">
        <f t="shared" si="39"/>
        <v>0.05</v>
      </c>
      <c r="U103" s="53">
        <f t="shared" si="41"/>
        <v>4.2653187775606449E-3</v>
      </c>
    </row>
    <row r="104" spans="1:21" x14ac:dyDescent="0.2">
      <c r="A104" s="62">
        <f t="shared" si="27"/>
        <v>0.48186328778421916</v>
      </c>
      <c r="B104" s="45">
        <f t="shared" si="32"/>
        <v>93</v>
      </c>
      <c r="C104" s="51">
        <f t="shared" si="28"/>
        <v>2561711.607375646</v>
      </c>
      <c r="D104" s="47" cm="1">
        <f t="array" ref="D104">_xlfn.IFS(AND($C$7="Y",B104&lt;C$4),C104,AND($C$7="Y",B104=C$4),D103+F104-J104-K104-L104+N104,AND($C$7="Y",B104&gt;$C$4),D103-J104-K104-L104+N104, TRUE, D103-J104-K104-L104+N104)</f>
        <v>2525332.1618504375</v>
      </c>
      <c r="E104" s="48">
        <f t="shared" si="33"/>
        <v>0</v>
      </c>
      <c r="F104" s="50">
        <f t="shared" si="34"/>
        <v>0</v>
      </c>
      <c r="G104" s="50">
        <f t="shared" si="42"/>
        <v>0</v>
      </c>
      <c r="H104" s="51">
        <f t="shared" si="35"/>
        <v>41725.909412179688</v>
      </c>
      <c r="I104" s="52">
        <f t="shared" si="29"/>
        <v>32392.07397158552</v>
      </c>
      <c r="J104" s="52">
        <f t="shared" si="30"/>
        <v>9333.8354405941682</v>
      </c>
      <c r="K104" s="51">
        <f t="shared" si="40"/>
        <v>27045.610084614214</v>
      </c>
      <c r="L104" s="49">
        <f t="shared" si="36"/>
        <v>10973.321335177545</v>
      </c>
      <c r="M104" s="49">
        <f t="shared" si="25"/>
        <v>-11812.888360576322</v>
      </c>
      <c r="N104" s="49">
        <f t="shared" si="43"/>
        <v>0</v>
      </c>
      <c r="O104" s="48">
        <f t="shared" si="31"/>
        <v>57798.198161616354</v>
      </c>
      <c r="P104" s="38">
        <f t="shared" si="26"/>
        <v>57798.198161616354</v>
      </c>
      <c r="Q104" s="53"/>
      <c r="R104" s="53">
        <f t="shared" si="37"/>
        <v>0.12</v>
      </c>
      <c r="S104" s="53">
        <f t="shared" si="38"/>
        <v>1.0596241035318976E-2</v>
      </c>
      <c r="T104" s="53">
        <f t="shared" si="39"/>
        <v>0.05</v>
      </c>
      <c r="U104" s="53">
        <f t="shared" si="41"/>
        <v>4.2653187775606449E-3</v>
      </c>
    </row>
    <row r="105" spans="1:21" x14ac:dyDescent="0.2">
      <c r="A105" s="62">
        <f t="shared" si="27"/>
        <v>0.47296530284335925</v>
      </c>
      <c r="B105" s="45">
        <f t="shared" si="32"/>
        <v>94</v>
      </c>
      <c r="C105" s="51">
        <f t="shared" si="28"/>
        <v>2514560.815160919</v>
      </c>
      <c r="D105" s="47" cm="1">
        <f t="array" ref="D105">_xlfn.IFS(AND($C$7="Y",B105&lt;C$4),C105,AND($C$7="Y",B105=C$4),D104+F105-J105-K105-L105+N105,AND($C$7="Y",B105&gt;$C$4),D104-J105-K105-L105+N105, TRUE, D104-J105-K105-L105+N105)</f>
        <v>2478699.915492469</v>
      </c>
      <c r="E105" s="48">
        <f t="shared" si="33"/>
        <v>0</v>
      </c>
      <c r="F105" s="50">
        <f t="shared" si="34"/>
        <v>0</v>
      </c>
      <c r="G105" s="50">
        <f t="shared" si="42"/>
        <v>0</v>
      </c>
      <c r="H105" s="51">
        <f t="shared" si="35"/>
        <v>41110.574428677923</v>
      </c>
      <c r="I105" s="52">
        <f t="shared" si="29"/>
        <v>31795.866363812314</v>
      </c>
      <c r="J105" s="52">
        <f t="shared" si="30"/>
        <v>9314.7080648656083</v>
      </c>
      <c r="K105" s="51">
        <f t="shared" si="40"/>
        <v>26546.191603584317</v>
      </c>
      <c r="L105" s="49">
        <f t="shared" si="36"/>
        <v>10771.346689518488</v>
      </c>
      <c r="M105" s="49">
        <f t="shared" si="25"/>
        <v>-11598.150987962919</v>
      </c>
      <c r="N105" s="49">
        <f t="shared" si="43"/>
        <v>0</v>
      </c>
      <c r="O105" s="48">
        <f t="shared" si="31"/>
        <v>56885.419342743749</v>
      </c>
      <c r="P105" s="38">
        <f t="shared" si="26"/>
        <v>56885.419342743749</v>
      </c>
      <c r="Q105" s="53"/>
      <c r="R105" s="53">
        <f t="shared" si="37"/>
        <v>0.12</v>
      </c>
      <c r="S105" s="53">
        <f t="shared" si="38"/>
        <v>1.0596241035318976E-2</v>
      </c>
      <c r="T105" s="53">
        <f t="shared" si="39"/>
        <v>0.05</v>
      </c>
      <c r="U105" s="53">
        <f t="shared" si="41"/>
        <v>4.2653187775606449E-3</v>
      </c>
    </row>
    <row r="106" spans="1:21" x14ac:dyDescent="0.2">
      <c r="A106" s="62">
        <f t="shared" si="27"/>
        <v>0.4642027622312927</v>
      </c>
      <c r="B106" s="45">
        <f t="shared" si="32"/>
        <v>95</v>
      </c>
      <c r="C106" s="51">
        <f t="shared" si="28"/>
        <v>2468127.470198981</v>
      </c>
      <c r="D106" s="47" cm="1">
        <f t="array" ref="D106">_xlfn.IFS(AND($C$7="Y",B106&lt;C$4),C106,AND($C$7="Y",B106=C$4),D105+F106-J106-K106-L106+N106,AND($C$7="Y",B106&gt;$C$4),D105-J106-K106-L106+N106, TRUE, D105-J106-K106-L106+N106)</f>
        <v>2432777.5010065548</v>
      </c>
      <c r="E106" s="48">
        <f t="shared" si="33"/>
        <v>0</v>
      </c>
      <c r="F106" s="50">
        <f t="shared" si="34"/>
        <v>0</v>
      </c>
      <c r="G106" s="50">
        <f t="shared" si="42"/>
        <v>0</v>
      </c>
      <c r="H106" s="51">
        <f t="shared" si="35"/>
        <v>40504.324627637063</v>
      </c>
      <c r="I106" s="52">
        <f t="shared" si="29"/>
        <v>31208.730661095138</v>
      </c>
      <c r="J106" s="52">
        <f t="shared" si="30"/>
        <v>9295.5939665419246</v>
      </c>
      <c r="K106" s="51">
        <f t="shared" si="40"/>
        <v>26054.375225884523</v>
      </c>
      <c r="L106" s="49">
        <f t="shared" si="36"/>
        <v>10572.445293488012</v>
      </c>
      <c r="M106" s="49">
        <f t="shared" ref="M106:M169" si="44">IFERROR(L102*-1,0)</f>
        <v>-11386.676164706534</v>
      </c>
      <c r="N106" s="49">
        <f t="shared" si="43"/>
        <v>0</v>
      </c>
      <c r="O106" s="48">
        <f t="shared" si="31"/>
        <v>55986.254560033572</v>
      </c>
      <c r="P106" s="38">
        <f t="shared" si="26"/>
        <v>55986.254560033572</v>
      </c>
      <c r="Q106" s="53"/>
      <c r="R106" s="53">
        <f t="shared" si="37"/>
        <v>0.12</v>
      </c>
      <c r="S106" s="53">
        <f t="shared" si="38"/>
        <v>1.0596241035318976E-2</v>
      </c>
      <c r="T106" s="53">
        <f t="shared" si="39"/>
        <v>0.05</v>
      </c>
      <c r="U106" s="53">
        <f t="shared" si="41"/>
        <v>4.2653187775606449E-3</v>
      </c>
    </row>
    <row r="107" spans="1:21" x14ac:dyDescent="0.2">
      <c r="A107" s="62">
        <f t="shared" si="27"/>
        <v>0.455573656555188</v>
      </c>
      <c r="B107" s="45">
        <f t="shared" si="32"/>
        <v>96</v>
      </c>
      <c r="C107" s="51">
        <f t="shared" si="28"/>
        <v>2422400.9294498847</v>
      </c>
      <c r="D107" s="47" cm="1">
        <f t="array" ref="D107">_xlfn.IFS(AND($C$7="Y",B107&lt;C$4),C107,AND($C$7="Y",B107=C$4),D106+F107-J107-K107-L107+N107,AND($C$7="Y",B107&gt;$C$4),D106-J107-K107-L107+N107, TRUE, D106-J107-K107-L107+N107)</f>
        <v>2387554.3876374541</v>
      </c>
      <c r="E107" s="48">
        <f t="shared" si="33"/>
        <v>0</v>
      </c>
      <c r="F107" s="50">
        <f t="shared" si="34"/>
        <v>0</v>
      </c>
      <c r="G107" s="50">
        <f t="shared" si="42"/>
        <v>0</v>
      </c>
      <c r="H107" s="51">
        <f t="shared" si="35"/>
        <v>39907.025927786533</v>
      </c>
      <c r="I107" s="52">
        <f t="shared" si="29"/>
        <v>30630.532285390058</v>
      </c>
      <c r="J107" s="52">
        <f t="shared" si="30"/>
        <v>9276.4936423964755</v>
      </c>
      <c r="K107" s="51">
        <f t="shared" si="40"/>
        <v>25570.048170034261</v>
      </c>
      <c r="L107" s="49">
        <f t="shared" si="36"/>
        <v>10376.571556670318</v>
      </c>
      <c r="M107" s="49">
        <f t="shared" si="44"/>
        <v>-11178.415504364066</v>
      </c>
      <c r="N107" s="49">
        <f t="shared" si="43"/>
        <v>0</v>
      </c>
      <c r="O107" s="48">
        <f t="shared" si="31"/>
        <v>55100.502541150476</v>
      </c>
      <c r="P107" s="38">
        <f t="shared" si="26"/>
        <v>55100.502541150476</v>
      </c>
      <c r="Q107" s="53"/>
      <c r="R107" s="53">
        <f t="shared" si="37"/>
        <v>0.12</v>
      </c>
      <c r="S107" s="53">
        <f t="shared" si="38"/>
        <v>1.0596241035318976E-2</v>
      </c>
      <c r="T107" s="53">
        <f t="shared" si="39"/>
        <v>0.05</v>
      </c>
      <c r="U107" s="53">
        <f t="shared" si="41"/>
        <v>4.2653187775606449E-3</v>
      </c>
    </row>
    <row r="108" spans="1:21" x14ac:dyDescent="0.2">
      <c r="A108" s="62">
        <f t="shared" si="27"/>
        <v>0.44707600610169529</v>
      </c>
      <c r="B108" s="45">
        <f t="shared" si="32"/>
        <v>97</v>
      </c>
      <c r="C108" s="51">
        <f t="shared" si="28"/>
        <v>2377370.7070754166</v>
      </c>
      <c r="D108" s="47" cm="1">
        <f t="array" ref="D108">_xlfn.IFS(AND($C$7="Y",B108&lt;C$4),C108,AND($C$7="Y",B108=C$4),D107+F108-J108-K108-L108+N108,AND($C$7="Y",B108&gt;$C$4),D107-J108-K108-L108+N108, TRUE, D107-J108-K108-L108+N108)</f>
        <v>2343020.2001731088</v>
      </c>
      <c r="E108" s="48">
        <f t="shared" si="33"/>
        <v>0</v>
      </c>
      <c r="F108" s="50">
        <f t="shared" si="34"/>
        <v>0</v>
      </c>
      <c r="G108" s="50">
        <f t="shared" si="42"/>
        <v>0</v>
      </c>
      <c r="H108" s="51">
        <f t="shared" si="35"/>
        <v>39318.546228351748</v>
      </c>
      <c r="I108" s="52">
        <f t="shared" si="29"/>
        <v>30061.138646421852</v>
      </c>
      <c r="J108" s="52">
        <f t="shared" si="30"/>
        <v>9257.407581929896</v>
      </c>
      <c r="K108" s="51">
        <f t="shared" si="40"/>
        <v>25093.0993203775</v>
      </c>
      <c r="L108" s="49">
        <f t="shared" si="36"/>
        <v>10183.68056203734</v>
      </c>
      <c r="M108" s="49">
        <f t="shared" si="44"/>
        <v>-10973.321335177545</v>
      </c>
      <c r="N108" s="49">
        <f t="shared" si="43"/>
        <v>0</v>
      </c>
      <c r="O108" s="48">
        <f t="shared" si="31"/>
        <v>54227.964986691906</v>
      </c>
      <c r="P108" s="38">
        <f t="shared" si="26"/>
        <v>54227.964986691906</v>
      </c>
      <c r="Q108" s="53"/>
      <c r="R108" s="53">
        <f t="shared" si="37"/>
        <v>0.12</v>
      </c>
      <c r="S108" s="53">
        <f t="shared" si="38"/>
        <v>1.0596241035318976E-2</v>
      </c>
      <c r="T108" s="53">
        <f t="shared" si="39"/>
        <v>0.05</v>
      </c>
      <c r="U108" s="53">
        <f t="shared" si="41"/>
        <v>4.2653187775606449E-3</v>
      </c>
    </row>
    <row r="109" spans="1:21" x14ac:dyDescent="0.2">
      <c r="A109" s="62">
        <f t="shared" si="27"/>
        <v>0.43870786039854748</v>
      </c>
      <c r="B109" s="45">
        <f t="shared" si="32"/>
        <v>98</v>
      </c>
      <c r="C109" s="51">
        <f t="shared" si="28"/>
        <v>2333026.4721171064</v>
      </c>
      <c r="D109" s="47" cm="1">
        <f t="array" ref="D109">_xlfn.IFS(AND($C$7="Y",B109&lt;C$4),C109,AND($C$7="Y",B109=C$4),D108+F109-J109-K109-L109+N109,AND($C$7="Y",B109&gt;$C$4),D108-J109-K109-L109+N109, TRUE, D108-J109-K109-L109+N109)</f>
        <v>2299164.7166470992</v>
      </c>
      <c r="E109" s="48">
        <f t="shared" si="33"/>
        <v>0</v>
      </c>
      <c r="F109" s="50">
        <f t="shared" si="34"/>
        <v>0</v>
      </c>
      <c r="G109" s="50">
        <f t="shared" si="42"/>
        <v>0</v>
      </c>
      <c r="H109" s="51">
        <f t="shared" si="35"/>
        <v>38738.755379853537</v>
      </c>
      <c r="I109" s="52">
        <f t="shared" si="29"/>
        <v>29500.419112323132</v>
      </c>
      <c r="J109" s="52">
        <f t="shared" si="30"/>
        <v>9238.3362675304052</v>
      </c>
      <c r="K109" s="51">
        <f t="shared" si="40"/>
        <v>24623.419202476663</v>
      </c>
      <c r="L109" s="49">
        <f t="shared" si="36"/>
        <v>9993.7280560022627</v>
      </c>
      <c r="M109" s="49">
        <f t="shared" si="44"/>
        <v>-10771.346689518488</v>
      </c>
      <c r="N109" s="49">
        <f t="shared" si="43"/>
        <v>0</v>
      </c>
      <c r="O109" s="48">
        <f t="shared" si="31"/>
        <v>53368.446526327942</v>
      </c>
      <c r="P109" s="38">
        <f t="shared" si="26"/>
        <v>53368.446526327942</v>
      </c>
      <c r="Q109" s="53"/>
      <c r="R109" s="53">
        <f t="shared" si="37"/>
        <v>0.12</v>
      </c>
      <c r="S109" s="53">
        <f t="shared" si="38"/>
        <v>1.0596241035318976E-2</v>
      </c>
      <c r="T109" s="53">
        <f t="shared" si="39"/>
        <v>0.05</v>
      </c>
      <c r="U109" s="53">
        <f t="shared" si="41"/>
        <v>4.2653187775606449E-3</v>
      </c>
    </row>
    <row r="110" spans="1:21" x14ac:dyDescent="0.2">
      <c r="A110" s="62">
        <f t="shared" si="27"/>
        <v>0.43046729778262605</v>
      </c>
      <c r="B110" s="45">
        <f t="shared" si="32"/>
        <v>99</v>
      </c>
      <c r="C110" s="51">
        <f t="shared" si="28"/>
        <v>2289358.0462084794</v>
      </c>
      <c r="D110" s="47" cm="1">
        <f t="array" ref="D110">_xlfn.IFS(AND($C$7="Y",B110&lt;C$4),C110,AND($C$7="Y",B110=C$4),D109+F110-J110-K110-L110+N110,AND($C$7="Y",B110&gt;$C$4),D109-J110-K110-L110+N110, TRUE, D109-J110-K110-L110+N110)</f>
        <v>2255977.8660749765</v>
      </c>
      <c r="E110" s="48">
        <f t="shared" si="33"/>
        <v>0</v>
      </c>
      <c r="F110" s="50">
        <f t="shared" si="34"/>
        <v>0</v>
      </c>
      <c r="G110" s="50">
        <f t="shared" si="42"/>
        <v>0</v>
      </c>
      <c r="H110" s="51">
        <f t="shared" si="35"/>
        <v>38167.525155340169</v>
      </c>
      <c r="I110" s="52">
        <f t="shared" si="29"/>
        <v>28948.24498070648</v>
      </c>
      <c r="J110" s="52">
        <f t="shared" si="30"/>
        <v>9219.2801746336881</v>
      </c>
      <c r="K110" s="51">
        <f t="shared" si="40"/>
        <v>24160.899958869413</v>
      </c>
      <c r="L110" s="49">
        <f t="shared" si="36"/>
        <v>9806.6704386197725</v>
      </c>
      <c r="M110" s="49">
        <f t="shared" si="44"/>
        <v>-10572.445293488012</v>
      </c>
      <c r="N110" s="49">
        <f t="shared" si="43"/>
        <v>0</v>
      </c>
      <c r="O110" s="48">
        <f t="shared" si="31"/>
        <v>52521.754675589815</v>
      </c>
      <c r="P110" s="38">
        <f t="shared" si="26"/>
        <v>52521.754675589815</v>
      </c>
      <c r="Q110" s="53"/>
      <c r="R110" s="53">
        <f t="shared" si="37"/>
        <v>0.12</v>
      </c>
      <c r="S110" s="53">
        <f t="shared" si="38"/>
        <v>1.0596241035318976E-2</v>
      </c>
      <c r="T110" s="53">
        <f t="shared" si="39"/>
        <v>0.05</v>
      </c>
      <c r="U110" s="53">
        <f t="shared" si="41"/>
        <v>4.2653187775606449E-3</v>
      </c>
    </row>
    <row r="111" spans="1:21" x14ac:dyDescent="0.2">
      <c r="A111" s="62">
        <f t="shared" si="27"/>
        <v>0.42235242497439618</v>
      </c>
      <c r="B111" s="45">
        <f t="shared" si="32"/>
        <v>100</v>
      </c>
      <c r="C111" s="51">
        <f t="shared" si="28"/>
        <v>2246355.4013210456</v>
      </c>
      <c r="D111" s="47" cm="1">
        <f t="array" ref="D111">_xlfn.IFS(AND($C$7="Y",B111&lt;C$4),C111,AND($C$7="Y",B111=C$4),D110+F111-J111-K111-L111+N111,AND($C$7="Y",B111&gt;$C$4),D110-J111-K111-L111+N111, TRUE, D110-J111-K111-L111+N111)</f>
        <v>2213449.7262239796</v>
      </c>
      <c r="E111" s="48">
        <f t="shared" si="33"/>
        <v>0</v>
      </c>
      <c r="F111" s="50">
        <f t="shared" si="34"/>
        <v>0</v>
      </c>
      <c r="G111" s="50">
        <f t="shared" si="42"/>
        <v>0</v>
      </c>
      <c r="H111" s="51">
        <f t="shared" si="35"/>
        <v>37604.729222045913</v>
      </c>
      <c r="I111" s="52">
        <f t="shared" si="29"/>
        <v>28404.489450163139</v>
      </c>
      <c r="J111" s="52">
        <f t="shared" si="30"/>
        <v>9200.2397718827742</v>
      </c>
      <c r="K111" s="51">
        <f t="shared" si="40"/>
        <v>23705.435325182891</v>
      </c>
      <c r="L111" s="49">
        <f t="shared" si="36"/>
        <v>9622.4647539307916</v>
      </c>
      <c r="M111" s="49">
        <f t="shared" si="44"/>
        <v>-10376.571556670318</v>
      </c>
      <c r="N111" s="49">
        <f t="shared" si="43"/>
        <v>0</v>
      </c>
      <c r="O111" s="48">
        <f t="shared" si="31"/>
        <v>51687.699793298016</v>
      </c>
      <c r="P111" s="38">
        <f t="shared" si="26"/>
        <v>51687.699793298016</v>
      </c>
      <c r="Q111" s="53"/>
      <c r="R111" s="53">
        <f t="shared" si="37"/>
        <v>0.12</v>
      </c>
      <c r="S111" s="53">
        <f t="shared" si="38"/>
        <v>1.0596241035318976E-2</v>
      </c>
      <c r="T111" s="53">
        <f t="shared" si="39"/>
        <v>0.05</v>
      </c>
      <c r="U111" s="53">
        <f t="shared" si="41"/>
        <v>4.2653187775606449E-3</v>
      </c>
    </row>
    <row r="112" spans="1:21" x14ac:dyDescent="0.2">
      <c r="A112" s="62">
        <f t="shared" si="27"/>
        <v>0.41436137665861855</v>
      </c>
      <c r="B112" s="45">
        <f t="shared" si="32"/>
        <v>101</v>
      </c>
      <c r="C112" s="51">
        <f t="shared" si="28"/>
        <v>2204008.6575435302</v>
      </c>
      <c r="D112" s="47" cm="1">
        <f t="array" ref="D112">_xlfn.IFS(AND($C$7="Y",B112&lt;C$4),C112,AND($C$7="Y",B112=C$4),D111+F112-J112-K112-L112+N112,AND($C$7="Y",B112&gt;$C$4),D111-J112-K112-L112+N112, TRUE, D111-J112-K112-L112+N112)</f>
        <v>2171570.5214156425</v>
      </c>
      <c r="E112" s="48">
        <f t="shared" si="33"/>
        <v>0</v>
      </c>
      <c r="F112" s="50">
        <f t="shared" si="34"/>
        <v>0</v>
      </c>
      <c r="G112" s="50">
        <f t="shared" si="42"/>
        <v>0</v>
      </c>
      <c r="H112" s="51">
        <f t="shared" si="35"/>
        <v>37050.243113469871</v>
      </c>
      <c r="I112" s="52">
        <f t="shared" si="29"/>
        <v>27869.027592182058</v>
      </c>
      <c r="J112" s="52">
        <f t="shared" si="30"/>
        <v>9181.2155212878133</v>
      </c>
      <c r="K112" s="51">
        <f t="shared" si="40"/>
        <v>23256.920606600266</v>
      </c>
      <c r="L112" s="49">
        <f t="shared" si="36"/>
        <v>9441.068680449609</v>
      </c>
      <c r="M112" s="49">
        <f t="shared" si="44"/>
        <v>-10183.68056203734</v>
      </c>
      <c r="N112" s="49">
        <f t="shared" si="43"/>
        <v>0</v>
      </c>
      <c r="O112" s="48">
        <f t="shared" si="31"/>
        <v>50866.09503962053</v>
      </c>
      <c r="P112" s="38">
        <f t="shared" si="26"/>
        <v>50866.09503962053</v>
      </c>
      <c r="Q112" s="53"/>
      <c r="R112" s="53">
        <f t="shared" si="37"/>
        <v>0.12</v>
      </c>
      <c r="S112" s="53">
        <f t="shared" si="38"/>
        <v>1.0596241035318976E-2</v>
      </c>
      <c r="T112" s="53">
        <f t="shared" si="39"/>
        <v>0.05</v>
      </c>
      <c r="U112" s="53">
        <f t="shared" si="41"/>
        <v>4.2653187775606449E-3</v>
      </c>
    </row>
    <row r="113" spans="1:21" x14ac:dyDescent="0.2">
      <c r="A113" s="62">
        <f t="shared" si="27"/>
        <v>0.40649231507124101</v>
      </c>
      <c r="B113" s="45">
        <f t="shared" si="32"/>
        <v>102</v>
      </c>
      <c r="C113" s="51">
        <f t="shared" si="28"/>
        <v>2162308.0808938514</v>
      </c>
      <c r="D113" s="47" cm="1">
        <f t="array" ref="D113">_xlfn.IFS(AND($C$7="Y",B113&lt;C$4),C113,AND($C$7="Y",B113=C$4),D112+F113-J113-K113-L113+N113,AND($C$7="Y",B113&gt;$C$4),D112-J113-K113-L113+N113, TRUE, D112-J113-K113-L113+N113)</f>
        <v>2130330.6203607917</v>
      </c>
      <c r="E113" s="48">
        <f t="shared" si="33"/>
        <v>0</v>
      </c>
      <c r="F113" s="50">
        <f t="shared" si="34"/>
        <v>0</v>
      </c>
      <c r="G113" s="50">
        <f t="shared" si="42"/>
        <v>0</v>
      </c>
      <c r="H113" s="51">
        <f t="shared" si="35"/>
        <v>36503.944201868908</v>
      </c>
      <c r="I113" s="52">
        <f t="shared" si="29"/>
        <v>27341.736323483012</v>
      </c>
      <c r="J113" s="52">
        <f t="shared" si="30"/>
        <v>9162.207878385896</v>
      </c>
      <c r="K113" s="51">
        <f t="shared" si="40"/>
        <v>22815.252654674179</v>
      </c>
      <c r="L113" s="49">
        <f t="shared" si="36"/>
        <v>9262.4405217913009</v>
      </c>
      <c r="M113" s="49">
        <f t="shared" si="44"/>
        <v>-9993.7280560022627</v>
      </c>
      <c r="N113" s="49">
        <f t="shared" si="43"/>
        <v>0</v>
      </c>
      <c r="O113" s="48">
        <f t="shared" si="31"/>
        <v>50056.756334751786</v>
      </c>
      <c r="P113" s="38">
        <f t="shared" si="26"/>
        <v>50056.756334751786</v>
      </c>
      <c r="Q113" s="53"/>
      <c r="R113" s="53">
        <f t="shared" si="37"/>
        <v>0.12</v>
      </c>
      <c r="S113" s="53">
        <f t="shared" si="38"/>
        <v>1.0596241035318976E-2</v>
      </c>
      <c r="T113" s="53">
        <f t="shared" si="39"/>
        <v>0.05</v>
      </c>
      <c r="U113" s="53">
        <f t="shared" si="41"/>
        <v>4.2653187775606449E-3</v>
      </c>
    </row>
    <row r="114" spans="1:21" x14ac:dyDescent="0.2">
      <c r="A114" s="62">
        <f t="shared" si="27"/>
        <v>0.39874342959238274</v>
      </c>
      <c r="B114" s="45">
        <f t="shared" si="32"/>
        <v>103</v>
      </c>
      <c r="C114" s="51">
        <f t="shared" si="28"/>
        <v>2121244.0811633542</v>
      </c>
      <c r="D114" s="47" cm="1">
        <f t="array" ref="D114">_xlfn.IFS(AND($C$7="Y",B114&lt;C$4),C114,AND($C$7="Y",B114=C$4),D113+F114-J114-K114-L114+N114,AND($C$7="Y",B114&gt;$C$4),D113-J114-K114-L114+N114, TRUE, D113-J114-K114-L114+N114)</f>
        <v>2089720.5340264712</v>
      </c>
      <c r="E114" s="48">
        <f t="shared" si="33"/>
        <v>0</v>
      </c>
      <c r="F114" s="50">
        <f t="shared" si="34"/>
        <v>0</v>
      </c>
      <c r="G114" s="50">
        <f t="shared" si="42"/>
        <v>0</v>
      </c>
      <c r="H114" s="51">
        <f t="shared" si="35"/>
        <v>35965.71167115881</v>
      </c>
      <c r="I114" s="52">
        <f t="shared" si="29"/>
        <v>26822.49437875759</v>
      </c>
      <c r="J114" s="52">
        <f t="shared" si="30"/>
        <v>9143.2172924012193</v>
      </c>
      <c r="K114" s="51">
        <f t="shared" si="40"/>
        <v>22380.329844482054</v>
      </c>
      <c r="L114" s="49">
        <f t="shared" si="36"/>
        <v>9086.5391974373015</v>
      </c>
      <c r="M114" s="49">
        <f t="shared" si="44"/>
        <v>-9806.6704386197725</v>
      </c>
      <c r="N114" s="49">
        <f t="shared" si="43"/>
        <v>0</v>
      </c>
      <c r="O114" s="48">
        <f t="shared" si="31"/>
        <v>49259.502318203566</v>
      </c>
      <c r="P114" s="38">
        <f t="shared" si="26"/>
        <v>49259.502318203566</v>
      </c>
      <c r="Q114" s="53"/>
      <c r="R114" s="53">
        <f t="shared" si="37"/>
        <v>0.12</v>
      </c>
      <c r="S114" s="53">
        <f t="shared" si="38"/>
        <v>1.0596241035318976E-2</v>
      </c>
      <c r="T114" s="53">
        <f t="shared" si="39"/>
        <v>0.05</v>
      </c>
      <c r="U114" s="53">
        <f t="shared" si="41"/>
        <v>4.2653187775606449E-3</v>
      </c>
    </row>
    <row r="115" spans="1:21" x14ac:dyDescent="0.2">
      <c r="A115" s="62">
        <f t="shared" si="27"/>
        <v>0.39111293634531774</v>
      </c>
      <c r="B115" s="45">
        <f t="shared" si="32"/>
        <v>104</v>
      </c>
      <c r="C115" s="51">
        <f t="shared" si="28"/>
        <v>2080807.209792834</v>
      </c>
      <c r="D115" s="47" cm="1">
        <f t="array" ref="D115">_xlfn.IFS(AND($C$7="Y",B115&lt;C$4),C115,AND($C$7="Y",B115=C$4),D114+F115-J115-K115-L115+N115,AND($C$7="Y",B115&gt;$C$4),D114-J115-K115-L115+N115, TRUE, D114-J115-K115-L115+N115)</f>
        <v>2049730.9135343104</v>
      </c>
      <c r="E115" s="48">
        <f t="shared" si="33"/>
        <v>0</v>
      </c>
      <c r="F115" s="50">
        <f t="shared" si="34"/>
        <v>0</v>
      </c>
      <c r="G115" s="50">
        <f t="shared" si="42"/>
        <v>0</v>
      </c>
      <c r="H115" s="51">
        <f t="shared" si="35"/>
        <v>35435.426490217673</v>
      </c>
      <c r="I115" s="52">
        <f t="shared" si="29"/>
        <v>26311.182283812115</v>
      </c>
      <c r="J115" s="52">
        <f t="shared" si="30"/>
        <v>9124.2442064055576</v>
      </c>
      <c r="K115" s="51">
        <f t="shared" si="40"/>
        <v>21952.052052118226</v>
      </c>
      <c r="L115" s="49">
        <f t="shared" si="36"/>
        <v>8913.3242336371659</v>
      </c>
      <c r="M115" s="49">
        <f t="shared" si="44"/>
        <v>-9622.4647539307916</v>
      </c>
      <c r="N115" s="49">
        <f t="shared" si="43"/>
        <v>0</v>
      </c>
      <c r="O115" s="48">
        <f t="shared" si="31"/>
        <v>48474.154308698737</v>
      </c>
      <c r="P115" s="38">
        <f t="shared" si="26"/>
        <v>48474.154308698737</v>
      </c>
      <c r="Q115" s="53"/>
      <c r="R115" s="53">
        <f t="shared" si="37"/>
        <v>0.12</v>
      </c>
      <c r="S115" s="53">
        <f t="shared" si="38"/>
        <v>1.0596241035318976E-2</v>
      </c>
      <c r="T115" s="53">
        <f t="shared" si="39"/>
        <v>0.05</v>
      </c>
      <c r="U115" s="53">
        <f t="shared" si="41"/>
        <v>4.2653187775606449E-3</v>
      </c>
    </row>
    <row r="116" spans="1:21" x14ac:dyDescent="0.2">
      <c r="A116" s="62">
        <f t="shared" si="27"/>
        <v>0.38359907780136954</v>
      </c>
      <c r="B116" s="45">
        <f t="shared" si="32"/>
        <v>105</v>
      </c>
      <c r="C116" s="51">
        <f t="shared" si="28"/>
        <v>2040988.1577798659</v>
      </c>
      <c r="D116" s="47" cm="1">
        <f t="array" ref="D116">_xlfn.IFS(AND($C$7="Y",B116&lt;C$4),C116,AND($C$7="Y",B116=C$4),D115+F116-J116-K116-L116+N116,AND($C$7="Y",B116&gt;$C$4),D115-J116-K116-L116+N116, TRUE, D115-J116-K116-L116+N116)</f>
        <v>2010352.5480898689</v>
      </c>
      <c r="E116" s="48">
        <f t="shared" si="33"/>
        <v>0</v>
      </c>
      <c r="F116" s="50">
        <f t="shared" si="34"/>
        <v>0</v>
      </c>
      <c r="G116" s="50">
        <f t="shared" si="42"/>
        <v>0</v>
      </c>
      <c r="H116" s="51">
        <f t="shared" si="35"/>
        <v>34912.971386585639</v>
      </c>
      <c r="I116" s="52">
        <f t="shared" si="29"/>
        <v>25807.682329106505</v>
      </c>
      <c r="J116" s="52">
        <f t="shared" si="30"/>
        <v>9105.2890574791345</v>
      </c>
      <c r="K116" s="51">
        <f t="shared" si="40"/>
        <v>21530.320632517793</v>
      </c>
      <c r="L116" s="49">
        <f t="shared" si="36"/>
        <v>8742.755754444428</v>
      </c>
      <c r="M116" s="49">
        <f t="shared" si="44"/>
        <v>-9441.068680449609</v>
      </c>
      <c r="N116" s="49">
        <f t="shared" si="43"/>
        <v>0</v>
      </c>
      <c r="O116" s="48">
        <f t="shared" si="31"/>
        <v>47700.536264659007</v>
      </c>
      <c r="P116" s="38">
        <f t="shared" si="26"/>
        <v>47700.536264659007</v>
      </c>
      <c r="Q116" s="53"/>
      <c r="R116" s="53">
        <f t="shared" si="37"/>
        <v>0.12</v>
      </c>
      <c r="S116" s="53">
        <f t="shared" si="38"/>
        <v>1.0596241035318976E-2</v>
      </c>
      <c r="T116" s="53">
        <f t="shared" si="39"/>
        <v>0.05</v>
      </c>
      <c r="U116" s="53">
        <f t="shared" si="41"/>
        <v>4.2653187775606449E-3</v>
      </c>
    </row>
    <row r="117" spans="1:21" x14ac:dyDescent="0.2">
      <c r="A117" s="62">
        <f t="shared" si="27"/>
        <v>0.37620012239062972</v>
      </c>
      <c r="B117" s="45">
        <f t="shared" si="32"/>
        <v>106</v>
      </c>
      <c r="C117" s="51">
        <f t="shared" si="28"/>
        <v>2001777.7536169842</v>
      </c>
      <c r="D117" s="47" cm="1">
        <f t="array" ref="D117">_xlfn.IFS(AND($C$7="Y",B117&lt;C$4),C117,AND($C$7="Y",B117=C$4),D116+F117-J117-K117-L117+N117,AND($C$7="Y",B117&gt;$C$4),D116-J117-K117-L117+N117, TRUE, D116-J117-K117-L117+N117)</f>
        <v>1971576.3629425045</v>
      </c>
      <c r="E117" s="48">
        <f t="shared" si="33"/>
        <v>0</v>
      </c>
      <c r="F117" s="50">
        <f t="shared" si="34"/>
        <v>0</v>
      </c>
      <c r="G117" s="50">
        <f t="shared" si="42"/>
        <v>0</v>
      </c>
      <c r="H117" s="51">
        <f t="shared" si="35"/>
        <v>34398.230820555458</v>
      </c>
      <c r="I117" s="52">
        <f t="shared" si="29"/>
        <v>25311.878543683135</v>
      </c>
      <c r="J117" s="52">
        <f t="shared" si="30"/>
        <v>9086.3522768723233</v>
      </c>
      <c r="K117" s="51">
        <f t="shared" si="40"/>
        <v>21115.038397607368</v>
      </c>
      <c r="L117" s="49">
        <f t="shared" si="36"/>
        <v>8574.7944728846069</v>
      </c>
      <c r="M117" s="49">
        <f t="shared" si="44"/>
        <v>-9262.4405217913009</v>
      </c>
      <c r="N117" s="49">
        <f t="shared" si="43"/>
        <v>0</v>
      </c>
      <c r="O117" s="48">
        <f t="shared" si="31"/>
        <v>46938.474745278218</v>
      </c>
      <c r="P117" s="38">
        <f t="shared" si="26"/>
        <v>46938.474745278218</v>
      </c>
      <c r="Q117" s="53"/>
      <c r="R117" s="53">
        <f t="shared" si="37"/>
        <v>0.12</v>
      </c>
      <c r="S117" s="53">
        <f t="shared" si="38"/>
        <v>1.0596241035318976E-2</v>
      </c>
      <c r="T117" s="53">
        <f t="shared" si="39"/>
        <v>0.05</v>
      </c>
      <c r="U117" s="53">
        <f t="shared" si="41"/>
        <v>4.2653187775606449E-3</v>
      </c>
    </row>
    <row r="118" spans="1:21" x14ac:dyDescent="0.2">
      <c r="A118" s="62">
        <f t="shared" si="27"/>
        <v>0.36891436411841311</v>
      </c>
      <c r="B118" s="45">
        <f t="shared" si="32"/>
        <v>107</v>
      </c>
      <c r="C118" s="51">
        <f t="shared" si="28"/>
        <v>1963166.961260251</v>
      </c>
      <c r="D118" s="47" cm="1">
        <f t="array" ref="D118">_xlfn.IFS(AND($C$7="Y",B118&lt;C$4),C118,AND($C$7="Y",B118=C$4),D117+F118-J118-K118-L118+N118,AND($C$7="Y",B118&gt;$C$4),D117-J118-K118-L118+N118, TRUE, D117-J118-K118-L118+N118)</f>
        <v>1933393.4173753052</v>
      </c>
      <c r="E118" s="48">
        <f t="shared" si="33"/>
        <v>0</v>
      </c>
      <c r="F118" s="50">
        <f t="shared" si="34"/>
        <v>0</v>
      </c>
      <c r="G118" s="50">
        <f t="shared" si="42"/>
        <v>0</v>
      </c>
      <c r="H118" s="51">
        <f t="shared" si="35"/>
        <v>33891.090959648078</v>
      </c>
      <c r="I118" s="52">
        <f t="shared" si="29"/>
        <v>24823.656669480013</v>
      </c>
      <c r="J118" s="52">
        <f t="shared" si="30"/>
        <v>9067.4342901680648</v>
      </c>
      <c r="K118" s="51">
        <f t="shared" si="40"/>
        <v>20706.109594777794</v>
      </c>
      <c r="L118" s="49">
        <f t="shared" si="36"/>
        <v>8409.4016822533849</v>
      </c>
      <c r="M118" s="49">
        <f t="shared" si="44"/>
        <v>-9086.5391974373015</v>
      </c>
      <c r="N118" s="49">
        <f t="shared" si="43"/>
        <v>0</v>
      </c>
      <c r="O118" s="48">
        <f t="shared" si="31"/>
        <v>46187.798872172483</v>
      </c>
      <c r="P118" s="38">
        <f t="shared" si="26"/>
        <v>46187.798872172483</v>
      </c>
      <c r="Q118" s="53"/>
      <c r="R118" s="53">
        <f t="shared" si="37"/>
        <v>0.12</v>
      </c>
      <c r="S118" s="53">
        <f t="shared" si="38"/>
        <v>1.0596241035318976E-2</v>
      </c>
      <c r="T118" s="53">
        <f t="shared" si="39"/>
        <v>0.05</v>
      </c>
      <c r="U118" s="53">
        <f t="shared" si="41"/>
        <v>4.2653187775606449E-3</v>
      </c>
    </row>
    <row r="119" spans="1:21" x14ac:dyDescent="0.2">
      <c r="A119" s="62">
        <f t="shared" si="27"/>
        <v>0.36174012218736518</v>
      </c>
      <c r="B119" s="45">
        <f t="shared" si="32"/>
        <v>108</v>
      </c>
      <c r="C119" s="51">
        <f t="shared" si="28"/>
        <v>1925146.8781277621</v>
      </c>
      <c r="D119" s="47" cm="1">
        <f t="array" ref="D119">_xlfn.IFS(AND($C$7="Y",B119&lt;C$4),C119,AND($C$7="Y",B119=C$4),D118+F119-J119-K119-L119+N119,AND($C$7="Y",B119&gt;$C$4),D118-J119-K119-L119+N119, TRUE, D118-J119-K119-L119+N119)</f>
        <v>1895794.9027246428</v>
      </c>
      <c r="E119" s="48">
        <f t="shared" si="33"/>
        <v>0</v>
      </c>
      <c r="F119" s="50">
        <f t="shared" si="34"/>
        <v>0</v>
      </c>
      <c r="G119" s="50">
        <f t="shared" si="42"/>
        <v>0</v>
      </c>
      <c r="H119" s="51">
        <f t="shared" si="35"/>
        <v>33391.439653467729</v>
      </c>
      <c r="I119" s="52">
        <f t="shared" si="29"/>
        <v>24342.90413602248</v>
      </c>
      <c r="J119" s="52">
        <f t="shared" si="30"/>
        <v>9048.5355174452488</v>
      </c>
      <c r="K119" s="51">
        <f t="shared" si="40"/>
        <v>20303.439885674117</v>
      </c>
      <c r="L119" s="49">
        <f t="shared" si="36"/>
        <v>8246.5392475430344</v>
      </c>
      <c r="M119" s="49">
        <f t="shared" si="44"/>
        <v>-8913.3242336371659</v>
      </c>
      <c r="N119" s="49">
        <f t="shared" si="43"/>
        <v>0</v>
      </c>
      <c r="O119" s="48">
        <f t="shared" si="31"/>
        <v>45448.340291598812</v>
      </c>
      <c r="P119" s="38">
        <f t="shared" si="26"/>
        <v>45448.340291598812</v>
      </c>
      <c r="Q119" s="53"/>
      <c r="R119" s="53">
        <f t="shared" si="37"/>
        <v>0.12</v>
      </c>
      <c r="S119" s="53">
        <f t="shared" si="38"/>
        <v>1.0596241035318976E-2</v>
      </c>
      <c r="T119" s="53">
        <f t="shared" si="39"/>
        <v>0.05</v>
      </c>
      <c r="U119" s="53">
        <f t="shared" si="41"/>
        <v>4.2653187775606449E-3</v>
      </c>
    </row>
    <row r="120" spans="1:21" x14ac:dyDescent="0.2">
      <c r="A120" s="62">
        <f t="shared" si="27"/>
        <v>0.35467574062513729</v>
      </c>
      <c r="B120" s="45">
        <f t="shared" si="32"/>
        <v>109</v>
      </c>
      <c r="C120" s="51">
        <f t="shared" si="28"/>
        <v>1887708.7331276475</v>
      </c>
      <c r="D120" s="47" cm="1">
        <f t="array" ref="D120">_xlfn.IFS(AND($C$7="Y",B120&lt;C$4),C120,AND($C$7="Y",B120=C$4),D119+F120-J120-K120-L120+N120,AND($C$7="Y",B120&gt;$C$4),D119-J120-K120-L120+N120, TRUE, D119-J120-K120-L120+N120)</f>
        <v>1858772.1404289061</v>
      </c>
      <c r="E120" s="48">
        <f t="shared" si="33"/>
        <v>0</v>
      </c>
      <c r="F120" s="50">
        <f t="shared" si="34"/>
        <v>0</v>
      </c>
      <c r="G120" s="50">
        <f t="shared" si="42"/>
        <v>0</v>
      </c>
      <c r="H120" s="51">
        <f t="shared" si="35"/>
        <v>32899.166408931189</v>
      </c>
      <c r="I120" s="52">
        <f t="shared" si="29"/>
        <v>23869.51003548787</v>
      </c>
      <c r="J120" s="52">
        <f t="shared" si="30"/>
        <v>9029.6563734433184</v>
      </c>
      <c r="K120" s="51">
        <f t="shared" si="40"/>
        <v>19906.936325298066</v>
      </c>
      <c r="L120" s="49">
        <f t="shared" si="36"/>
        <v>8086.1695969951752</v>
      </c>
      <c r="M120" s="49">
        <f t="shared" si="44"/>
        <v>-8742.755754444428</v>
      </c>
      <c r="N120" s="49">
        <f t="shared" si="43"/>
        <v>0</v>
      </c>
      <c r="O120" s="48">
        <f t="shared" si="31"/>
        <v>44719.933137234075</v>
      </c>
      <c r="P120" s="38">
        <f t="shared" si="26"/>
        <v>44719.933137234075</v>
      </c>
      <c r="Q120" s="53"/>
      <c r="R120" s="53">
        <f t="shared" si="37"/>
        <v>0.12</v>
      </c>
      <c r="S120" s="53">
        <f t="shared" si="38"/>
        <v>1.0596241035318976E-2</v>
      </c>
      <c r="T120" s="53">
        <f t="shared" si="39"/>
        <v>0.05</v>
      </c>
      <c r="U120" s="53">
        <f t="shared" si="41"/>
        <v>4.2653187775606449E-3</v>
      </c>
    </row>
    <row r="121" spans="1:21" x14ac:dyDescent="0.2">
      <c r="A121" s="62">
        <f t="shared" si="27"/>
        <v>0.34771958791754709</v>
      </c>
      <c r="B121" s="45">
        <f t="shared" si="32"/>
        <v>110</v>
      </c>
      <c r="C121" s="51">
        <f t="shared" si="28"/>
        <v>1850843.884715128</v>
      </c>
      <c r="D121" s="47" cm="1">
        <f t="array" ref="D121">_xlfn.IFS(AND($C$7="Y",B121&lt;C$4),C121,AND($C$7="Y",B121=C$4),D120+F121-J121-K121-L121+N121,AND($C$7="Y",B121&gt;$C$4),D120-J121-K121-L121+N121, TRUE, D120-J121-K121-L121+N121)</f>
        <v>1822316.5801059813</v>
      </c>
      <c r="E121" s="48">
        <f t="shared" si="33"/>
        <v>0</v>
      </c>
      <c r="F121" s="50">
        <f t="shared" si="34"/>
        <v>0</v>
      </c>
      <c r="G121" s="50">
        <f t="shared" si="42"/>
        <v>0</v>
      </c>
      <c r="H121" s="51">
        <f t="shared" si="35"/>
        <v>32414.162365865821</v>
      </c>
      <c r="I121" s="52">
        <f t="shared" si="29"/>
        <v>23403.365098137587</v>
      </c>
      <c r="J121" s="52">
        <f t="shared" si="30"/>
        <v>9010.7972677282341</v>
      </c>
      <c r="K121" s="51">
        <f t="shared" si="40"/>
        <v>19516.507341418383</v>
      </c>
      <c r="L121" s="49">
        <f t="shared" si="36"/>
        <v>7928.255713778005</v>
      </c>
      <c r="M121" s="49">
        <f t="shared" si="44"/>
        <v>-8574.7944728846069</v>
      </c>
      <c r="N121" s="49">
        <f t="shared" si="43"/>
        <v>0</v>
      </c>
      <c r="O121" s="48">
        <f t="shared" si="31"/>
        <v>44002.413993506205</v>
      </c>
      <c r="P121" s="38">
        <f t="shared" si="26"/>
        <v>44002.413993506205</v>
      </c>
      <c r="Q121" s="53"/>
      <c r="R121" s="53">
        <f t="shared" si="37"/>
        <v>0.12</v>
      </c>
      <c r="S121" s="53">
        <f t="shared" si="38"/>
        <v>1.0596241035318976E-2</v>
      </c>
      <c r="T121" s="53">
        <f t="shared" si="39"/>
        <v>0.05</v>
      </c>
      <c r="U121" s="53">
        <f t="shared" si="41"/>
        <v>4.2653187775606449E-3</v>
      </c>
    </row>
    <row r="122" spans="1:21" x14ac:dyDescent="0.2">
      <c r="A122" s="62">
        <f t="shared" si="27"/>
        <v>0.34087005664714259</v>
      </c>
      <c r="B122" s="45">
        <f t="shared" si="32"/>
        <v>111</v>
      </c>
      <c r="C122" s="51">
        <f t="shared" si="28"/>
        <v>1814543.8189781951</v>
      </c>
      <c r="D122" s="47" cm="1">
        <f t="array" ref="D122">_xlfn.IFS(AND($C$7="Y",B122&lt;C$4),C122,AND($C$7="Y",B122=C$4),D121+F122-J122-K122-L122+N122,AND($C$7="Y",B122&gt;$C$4),D121-J122-K122-L122+N122, TRUE, D121-J122-K122-L122+N122)</f>
        <v>1786419.7976590507</v>
      </c>
      <c r="E122" s="48">
        <f t="shared" si="33"/>
        <v>0</v>
      </c>
      <c r="F122" s="50">
        <f t="shared" si="34"/>
        <v>0</v>
      </c>
      <c r="G122" s="50">
        <f t="shared" si="42"/>
        <v>0</v>
      </c>
      <c r="H122" s="51">
        <f t="shared" si="35"/>
        <v>31936.320272970981</v>
      </c>
      <c r="I122" s="52">
        <f t="shared" si="29"/>
        <v>22944.361668111076</v>
      </c>
      <c r="J122" s="52">
        <f t="shared" si="30"/>
        <v>8991.9586048599049</v>
      </c>
      <c r="K122" s="51">
        <f t="shared" si="40"/>
        <v>19132.062714284453</v>
      </c>
      <c r="L122" s="49">
        <f t="shared" si="36"/>
        <v>7772.7611277861397</v>
      </c>
      <c r="M122" s="49">
        <f t="shared" si="44"/>
        <v>-8409.4016822533849</v>
      </c>
      <c r="N122" s="49">
        <f t="shared" si="43"/>
        <v>0</v>
      </c>
      <c r="O122" s="48">
        <f t="shared" si="31"/>
        <v>43295.621859469291</v>
      </c>
      <c r="P122" s="38">
        <f t="shared" si="26"/>
        <v>43295.621859469291</v>
      </c>
      <c r="Q122" s="53"/>
      <c r="R122" s="53">
        <f t="shared" si="37"/>
        <v>0.12</v>
      </c>
      <c r="S122" s="53">
        <f t="shared" si="38"/>
        <v>1.0596241035318976E-2</v>
      </c>
      <c r="T122" s="53">
        <f t="shared" si="39"/>
        <v>0.05</v>
      </c>
      <c r="U122" s="53">
        <f t="shared" si="41"/>
        <v>4.2653187775606449E-3</v>
      </c>
    </row>
    <row r="123" spans="1:21" x14ac:dyDescent="0.2">
      <c r="A123" s="62">
        <f t="shared" si="27"/>
        <v>0.33412556313708913</v>
      </c>
      <c r="B123" s="45">
        <f t="shared" si="32"/>
        <v>112</v>
      </c>
      <c r="C123" s="51">
        <f t="shared" si="28"/>
        <v>1778800.1477514894</v>
      </c>
      <c r="D123" s="47" cm="1">
        <f t="array" ref="D123">_xlfn.IFS(AND($C$7="Y",B123&lt;C$4),C123,AND($C$7="Y",B123=C$4),D122+F123-J123-K123-L123+N123,AND($C$7="Y",B123&gt;$C$4),D122-J123-K123-L123+N123, TRUE, D122-J123-K123-L123+N123)</f>
        <v>1751073.4934102893</v>
      </c>
      <c r="E123" s="48">
        <f t="shared" si="33"/>
        <v>0</v>
      </c>
      <c r="F123" s="50">
        <f t="shared" si="34"/>
        <v>0</v>
      </c>
      <c r="G123" s="50">
        <f t="shared" si="42"/>
        <v>0</v>
      </c>
      <c r="H123" s="51">
        <f t="shared" si="35"/>
        <v>31465.534464137898</v>
      </c>
      <c r="I123" s="52">
        <f t="shared" si="29"/>
        <v>22492.393679576406</v>
      </c>
      <c r="J123" s="52">
        <f t="shared" si="30"/>
        <v>8973.1407845614922</v>
      </c>
      <c r="K123" s="51">
        <f t="shared" si="40"/>
        <v>18753.513556638725</v>
      </c>
      <c r="L123" s="49">
        <f t="shared" si="36"/>
        <v>7619.6499075612364</v>
      </c>
      <c r="M123" s="49">
        <f t="shared" si="44"/>
        <v>-8246.5392475430344</v>
      </c>
      <c r="N123" s="49">
        <f t="shared" si="43"/>
        <v>0</v>
      </c>
      <c r="O123" s="48">
        <f t="shared" si="31"/>
        <v>42599.398113215386</v>
      </c>
      <c r="P123" s="38">
        <f t="shared" si="26"/>
        <v>42599.398113215386</v>
      </c>
      <c r="Q123" s="53"/>
      <c r="R123" s="53">
        <f t="shared" si="37"/>
        <v>0.12</v>
      </c>
      <c r="S123" s="53">
        <f t="shared" si="38"/>
        <v>1.0596241035318976E-2</v>
      </c>
      <c r="T123" s="53">
        <f t="shared" si="39"/>
        <v>0.05</v>
      </c>
      <c r="U123" s="53">
        <f t="shared" si="41"/>
        <v>4.2653187775606449E-3</v>
      </c>
    </row>
    <row r="124" spans="1:21" x14ac:dyDescent="0.2">
      <c r="A124" s="62">
        <f t="shared" si="27"/>
        <v>0.32748454710030089</v>
      </c>
      <c r="B124" s="45">
        <f t="shared" si="32"/>
        <v>113</v>
      </c>
      <c r="C124" s="51">
        <f t="shared" si="28"/>
        <v>1743604.6067579577</v>
      </c>
      <c r="D124" s="47" cm="1">
        <f t="array" ref="D124">_xlfn.IFS(AND($C$7="Y",B124&lt;C$4),C124,AND($C$7="Y",B124=C$4),D123+F124-J124-K124-L124+N124,AND($C$7="Y",B124&gt;$C$4),D123-J124-K124-L124+N124, TRUE, D123-J124-K124-L124+N124)</f>
        <v>1716269.4902620437</v>
      </c>
      <c r="E124" s="48">
        <f t="shared" si="33"/>
        <v>0</v>
      </c>
      <c r="F124" s="50">
        <f t="shared" si="34"/>
        <v>0</v>
      </c>
      <c r="G124" s="50">
        <f t="shared" si="42"/>
        <v>0</v>
      </c>
      <c r="H124" s="51">
        <f t="shared" si="35"/>
        <v>31001.700835122705</v>
      </c>
      <c r="I124" s="52">
        <f t="shared" si="29"/>
        <v>22047.356633232077</v>
      </c>
      <c r="J124" s="52">
        <f t="shared" si="30"/>
        <v>8954.344201890628</v>
      </c>
      <c r="K124" s="51">
        <f t="shared" si="40"/>
        <v>18380.772294023434</v>
      </c>
      <c r="L124" s="49">
        <f t="shared" si="36"/>
        <v>7468.8866523316228</v>
      </c>
      <c r="M124" s="49">
        <f t="shared" si="44"/>
        <v>-8086.1695969951752</v>
      </c>
      <c r="N124" s="49">
        <f t="shared" si="43"/>
        <v>0</v>
      </c>
      <c r="O124" s="48">
        <f t="shared" si="31"/>
        <v>41913.586476814518</v>
      </c>
      <c r="P124" s="38">
        <f t="shared" si="26"/>
        <v>41913.586476814518</v>
      </c>
      <c r="Q124" s="53"/>
      <c r="R124" s="53">
        <f t="shared" si="37"/>
        <v>0.12</v>
      </c>
      <c r="S124" s="53">
        <f t="shared" si="38"/>
        <v>1.0596241035318976E-2</v>
      </c>
      <c r="T124" s="53">
        <f t="shared" si="39"/>
        <v>0.05</v>
      </c>
      <c r="U124" s="53">
        <f t="shared" si="41"/>
        <v>4.2653187775606449E-3</v>
      </c>
    </row>
    <row r="125" spans="1:21" x14ac:dyDescent="0.2">
      <c r="A125" s="62">
        <f t="shared" si="27"/>
        <v>0.32094547129373757</v>
      </c>
      <c r="B125" s="45">
        <f t="shared" si="32"/>
        <v>114</v>
      </c>
      <c r="C125" s="51">
        <f t="shared" si="28"/>
        <v>1708949.0537778744</v>
      </c>
      <c r="D125" s="47" cm="1">
        <f t="array" ref="D125">_xlfn.IFS(AND($C$7="Y",B125&lt;C$4),C125,AND($C$7="Y",B125=C$4),D124+F125-J125-K125-L125+N125,AND($C$7="Y",B125&gt;$C$4),D124-J125-K125-L125+N125, TRUE, D124-J125-K125-L125+N125)</f>
        <v>1681999.7318850842</v>
      </c>
      <c r="E125" s="48">
        <f t="shared" si="33"/>
        <v>0</v>
      </c>
      <c r="F125" s="50">
        <f t="shared" si="34"/>
        <v>0</v>
      </c>
      <c r="G125" s="50">
        <f t="shared" si="42"/>
        <v>0</v>
      </c>
      <c r="H125" s="51">
        <f t="shared" si="35"/>
        <v>30544.716820567704</v>
      </c>
      <c r="I125" s="52">
        <f t="shared" si="29"/>
        <v>21609.147573154831</v>
      </c>
      <c r="J125" s="52">
        <f t="shared" si="30"/>
        <v>8935.5692474128737</v>
      </c>
      <c r="K125" s="51">
        <f t="shared" si="40"/>
        <v>18013.752645377277</v>
      </c>
      <c r="L125" s="49">
        <f t="shared" si="36"/>
        <v>7320.4364841691313</v>
      </c>
      <c r="M125" s="49">
        <f t="shared" si="44"/>
        <v>-7928.255713778005</v>
      </c>
      <c r="N125" s="49">
        <f t="shared" si="43"/>
        <v>0</v>
      </c>
      <c r="O125" s="48">
        <f t="shared" si="31"/>
        <v>41238.032981775847</v>
      </c>
      <c r="P125" s="38">
        <f t="shared" si="26"/>
        <v>41238.032981775847</v>
      </c>
      <c r="Q125" s="53"/>
      <c r="R125" s="53">
        <f t="shared" si="37"/>
        <v>0.12</v>
      </c>
      <c r="S125" s="53">
        <f t="shared" si="38"/>
        <v>1.0596241035318976E-2</v>
      </c>
      <c r="T125" s="53">
        <f t="shared" si="39"/>
        <v>0.05</v>
      </c>
      <c r="U125" s="53">
        <f t="shared" si="41"/>
        <v>4.2653187775606449E-3</v>
      </c>
    </row>
    <row r="126" spans="1:21" x14ac:dyDescent="0.2">
      <c r="A126" s="62">
        <f t="shared" si="27"/>
        <v>0.31450682117779066</v>
      </c>
      <c r="B126" s="45">
        <f t="shared" si="32"/>
        <v>115</v>
      </c>
      <c r="C126" s="51">
        <f t="shared" si="28"/>
        <v>1674825.4668448227</v>
      </c>
      <c r="D126" s="47" cm="1">
        <f t="array" ref="D126">_xlfn.IFS(AND($C$7="Y",B126&lt;C$4),C126,AND($C$7="Y",B126=C$4),D125+F126-J126-K126-L126+N126,AND($C$7="Y",B126&gt;$C$4),D125-J126-K126-L126+N126, TRUE, D125-J126-K126-L126+N126)</f>
        <v>1648256.2809335273</v>
      </c>
      <c r="E126" s="48">
        <f t="shared" si="33"/>
        <v>0</v>
      </c>
      <c r="F126" s="50">
        <f t="shared" si="34"/>
        <v>0</v>
      </c>
      <c r="G126" s="50">
        <f t="shared" si="42"/>
        <v>0</v>
      </c>
      <c r="H126" s="51">
        <f t="shared" si="35"/>
        <v>30094.481371366139</v>
      </c>
      <c r="I126" s="52">
        <f t="shared" si="29"/>
        <v>21177.665063988385</v>
      </c>
      <c r="J126" s="52">
        <f t="shared" si="30"/>
        <v>8916.8163073777541</v>
      </c>
      <c r="K126" s="51">
        <f t="shared" si="40"/>
        <v>17652.369603917734</v>
      </c>
      <c r="L126" s="49">
        <f t="shared" si="36"/>
        <v>7174.2650402614199</v>
      </c>
      <c r="M126" s="49">
        <f t="shared" si="44"/>
        <v>-7772.7611277861397</v>
      </c>
      <c r="N126" s="49">
        <f t="shared" si="43"/>
        <v>0</v>
      </c>
      <c r="O126" s="48">
        <f t="shared" si="31"/>
        <v>40572.585935022449</v>
      </c>
      <c r="P126" s="38">
        <f t="shared" si="26"/>
        <v>40572.585935022449</v>
      </c>
      <c r="Q126" s="53"/>
      <c r="R126" s="53">
        <f t="shared" si="37"/>
        <v>0.12</v>
      </c>
      <c r="S126" s="53">
        <f t="shared" si="38"/>
        <v>1.0596241035318976E-2</v>
      </c>
      <c r="T126" s="53">
        <f t="shared" si="39"/>
        <v>0.05</v>
      </c>
      <c r="U126" s="53">
        <f t="shared" si="41"/>
        <v>4.2653187775606449E-3</v>
      </c>
    </row>
    <row r="127" spans="1:21" x14ac:dyDescent="0.2">
      <c r="A127" s="62">
        <f t="shared" si="27"/>
        <v>0.30816710458068197</v>
      </c>
      <c r="B127" s="45">
        <f t="shared" si="32"/>
        <v>116</v>
      </c>
      <c r="C127" s="51">
        <f t="shared" si="28"/>
        <v>1641225.9424682292</v>
      </c>
      <c r="D127" s="47" cm="1">
        <f t="array" ref="D127">_xlfn.IFS(AND($C$7="Y",B127&lt;C$4),C127,AND($C$7="Y",B127=C$4),D126+F127-J127-K127-L127+N127,AND($C$7="Y",B127&gt;$C$4),D126-J127-K127-L127+N127, TRUE, D126-J127-K127-L127+N127)</f>
        <v>1615031.3172860271</v>
      </c>
      <c r="E127" s="48">
        <f t="shared" si="33"/>
        <v>0</v>
      </c>
      <c r="F127" s="50">
        <f t="shared" si="34"/>
        <v>0</v>
      </c>
      <c r="G127" s="50">
        <f t="shared" si="42"/>
        <v>0</v>
      </c>
      <c r="H127" s="51">
        <f t="shared" si="35"/>
        <v>29650.894932365314</v>
      </c>
      <c r="I127" s="52">
        <f t="shared" si="29"/>
        <v>20752.809168467938</v>
      </c>
      <c r="J127" s="52">
        <f t="shared" si="30"/>
        <v>8898.0857638973757</v>
      </c>
      <c r="K127" s="51">
        <f t="shared" si="40"/>
        <v>17296.539418304717</v>
      </c>
      <c r="L127" s="49">
        <f t="shared" si="36"/>
        <v>7030.3384652980476</v>
      </c>
      <c r="M127" s="49">
        <f t="shared" si="44"/>
        <v>-7619.6499075612364</v>
      </c>
      <c r="N127" s="49">
        <f t="shared" si="43"/>
        <v>0</v>
      </c>
      <c r="O127" s="48">
        <f t="shared" si="31"/>
        <v>39917.095885371986</v>
      </c>
      <c r="P127" s="38">
        <f t="shared" si="26"/>
        <v>39917.095885371986</v>
      </c>
      <c r="Q127" s="53"/>
      <c r="R127" s="53">
        <f t="shared" si="37"/>
        <v>0.12</v>
      </c>
      <c r="S127" s="53">
        <f t="shared" si="38"/>
        <v>1.0596241035318976E-2</v>
      </c>
      <c r="T127" s="53">
        <f t="shared" si="39"/>
        <v>0.05</v>
      </c>
      <c r="U127" s="53">
        <f t="shared" si="41"/>
        <v>4.2653187775606449E-3</v>
      </c>
    </row>
    <row r="128" spans="1:21" x14ac:dyDescent="0.2">
      <c r="A128" s="62">
        <f t="shared" si="27"/>
        <v>0.30192485136780056</v>
      </c>
      <c r="B128" s="45">
        <f t="shared" si="32"/>
        <v>117</v>
      </c>
      <c r="C128" s="51">
        <f t="shared" si="28"/>
        <v>1608142.6938820586</v>
      </c>
      <c r="D128" s="47" cm="1">
        <f t="array" ref="D128">_xlfn.IFS(AND($C$7="Y",B128&lt;C$4),C128,AND($C$7="Y",B128=C$4),D127+F128-J128-K128-L128+N128,AND($C$7="Y",B128&gt;$C$4),D127-J128-K128-L128+N128, TRUE, D127-J128-K128-L128+N128)</f>
        <v>1582317.1363128489</v>
      </c>
      <c r="E128" s="48">
        <f t="shared" si="33"/>
        <v>0</v>
      </c>
      <c r="F128" s="50">
        <f t="shared" si="34"/>
        <v>0</v>
      </c>
      <c r="G128" s="50">
        <f t="shared" si="42"/>
        <v>0</v>
      </c>
      <c r="H128" s="51">
        <f t="shared" si="35"/>
        <v>29213.859420403707</v>
      </c>
      <c r="I128" s="52">
        <f t="shared" si="29"/>
        <v>20334.481425275397</v>
      </c>
      <c r="J128" s="52">
        <f t="shared" si="30"/>
        <v>8879.3779951283104</v>
      </c>
      <c r="K128" s="51">
        <f t="shared" si="40"/>
        <v>16946.179574081387</v>
      </c>
      <c r="L128" s="49">
        <f t="shared" si="36"/>
        <v>6888.6234039685951</v>
      </c>
      <c r="M128" s="49">
        <f t="shared" si="44"/>
        <v>-7468.8866523316228</v>
      </c>
      <c r="N128" s="49">
        <f t="shared" si="43"/>
        <v>0</v>
      </c>
      <c r="O128" s="48">
        <f t="shared" si="31"/>
        <v>39271.415590516495</v>
      </c>
      <c r="P128" s="38">
        <f t="shared" si="26"/>
        <v>39271.415590516495</v>
      </c>
      <c r="Q128" s="53"/>
      <c r="R128" s="53">
        <f t="shared" si="37"/>
        <v>0.12</v>
      </c>
      <c r="S128" s="53">
        <f t="shared" si="38"/>
        <v>1.0596241035318976E-2</v>
      </c>
      <c r="T128" s="53">
        <f t="shared" si="39"/>
        <v>0.05</v>
      </c>
      <c r="U128" s="53">
        <f t="shared" si="41"/>
        <v>4.2653187775606449E-3</v>
      </c>
    </row>
    <row r="129" spans="1:21" x14ac:dyDescent="0.2">
      <c r="A129" s="62">
        <f t="shared" si="27"/>
        <v>0.29577861311590392</v>
      </c>
      <c r="B129" s="45">
        <f t="shared" si="32"/>
        <v>118</v>
      </c>
      <c r="C129" s="51">
        <f t="shared" si="28"/>
        <v>1575568.0493192778</v>
      </c>
      <c r="D129" s="47" cm="1">
        <f t="array" ref="D129">_xlfn.IFS(AND($C$7="Y",B129&lt;C$4),C129,AND($C$7="Y",B129=C$4),D128+F129-J129-K129-L129+N129,AND($C$7="Y",B129&gt;$C$4),D128-J129-K129-L129+N129, TRUE, D128-J129-K129-L129+N129)</f>
        <v>1550106.1471684331</v>
      </c>
      <c r="E129" s="48">
        <f t="shared" si="33"/>
        <v>0</v>
      </c>
      <c r="F129" s="50">
        <f t="shared" si="34"/>
        <v>0</v>
      </c>
      <c r="G129" s="50">
        <f t="shared" si="42"/>
        <v>0</v>
      </c>
      <c r="H129" s="51">
        <f t="shared" si="35"/>
        <v>28783.2782026772</v>
      </c>
      <c r="I129" s="52">
        <f t="shared" si="29"/>
        <v>19922.584827220526</v>
      </c>
      <c r="J129" s="52">
        <f t="shared" si="30"/>
        <v>8860.6933754566744</v>
      </c>
      <c r="K129" s="51">
        <f t="shared" si="40"/>
        <v>16601.208775388011</v>
      </c>
      <c r="L129" s="49">
        <f t="shared" si="36"/>
        <v>6749.0869935711808</v>
      </c>
      <c r="M129" s="49">
        <f t="shared" si="44"/>
        <v>-7320.4364841691313</v>
      </c>
      <c r="N129" s="49">
        <f t="shared" si="43"/>
        <v>0</v>
      </c>
      <c r="O129" s="48">
        <f t="shared" si="31"/>
        <v>38635.399984494026</v>
      </c>
      <c r="P129" s="38">
        <f t="shared" si="26"/>
        <v>38635.399984494026</v>
      </c>
      <c r="Q129" s="53"/>
      <c r="R129" s="53">
        <f t="shared" si="37"/>
        <v>0.12</v>
      </c>
      <c r="S129" s="53">
        <f t="shared" si="38"/>
        <v>1.0596241035318976E-2</v>
      </c>
      <c r="T129" s="53">
        <f t="shared" si="39"/>
        <v>0.05</v>
      </c>
      <c r="U129" s="53">
        <f t="shared" si="41"/>
        <v>4.2653187775606449E-3</v>
      </c>
    </row>
    <row r="130" spans="1:21" x14ac:dyDescent="0.2">
      <c r="A130" s="62">
        <f t="shared" si="27"/>
        <v>0.28972696279211058</v>
      </c>
      <c r="B130" s="45">
        <f t="shared" si="32"/>
        <v>119</v>
      </c>
      <c r="C130" s="51">
        <f t="shared" si="28"/>
        <v>1543494.4503117034</v>
      </c>
      <c r="D130" s="47" cm="1">
        <f t="array" ref="D130">_xlfn.IFS(AND($C$7="Y",B130&lt;C$4),C130,AND($C$7="Y",B130=C$4),D129+F130-J130-K130-L130+N130,AND($C$7="Y",B130&gt;$C$4),D129-J130-K130-L130+N130, TRUE, D129-J130-K130-L130+N130)</f>
        <v>1518390.8711090717</v>
      </c>
      <c r="E130" s="48">
        <f t="shared" si="33"/>
        <v>0</v>
      </c>
      <c r="F130" s="50">
        <f t="shared" si="34"/>
        <v>0</v>
      </c>
      <c r="G130" s="50">
        <f t="shared" si="42"/>
        <v>0</v>
      </c>
      <c r="H130" s="51">
        <f t="shared" si="35"/>
        <v>28359.056075429999</v>
      </c>
      <c r="I130" s="52">
        <f t="shared" si="29"/>
        <v>19517.023799743019</v>
      </c>
      <c r="J130" s="52">
        <f t="shared" si="30"/>
        <v>8842.0322756869791</v>
      </c>
      <c r="K130" s="51">
        <f t="shared" si="40"/>
        <v>16261.546926944729</v>
      </c>
      <c r="L130" s="49">
        <f t="shared" si="36"/>
        <v>6611.6968567297017</v>
      </c>
      <c r="M130" s="49">
        <f t="shared" si="44"/>
        <v>-7174.2650402614199</v>
      </c>
      <c r="N130" s="49">
        <f t="shared" si="43"/>
        <v>0</v>
      </c>
      <c r="O130" s="48">
        <f t="shared" si="31"/>
        <v>38008.906145645029</v>
      </c>
      <c r="P130" s="38">
        <f t="shared" si="26"/>
        <v>38008.906145645029</v>
      </c>
      <c r="Q130" s="53"/>
      <c r="R130" s="53">
        <f t="shared" si="37"/>
        <v>0.12</v>
      </c>
      <c r="S130" s="53">
        <f t="shared" si="38"/>
        <v>1.0596241035318976E-2</v>
      </c>
      <c r="T130" s="53">
        <f t="shared" si="39"/>
        <v>0.05</v>
      </c>
      <c r="U130" s="53">
        <f t="shared" si="41"/>
        <v>4.2653187775606449E-3</v>
      </c>
    </row>
    <row r="131" spans="1:21" x14ac:dyDescent="0.2">
      <c r="A131" s="62">
        <f t="shared" si="27"/>
        <v>0.28376849443761243</v>
      </c>
      <c r="B131" s="45">
        <f t="shared" si="32"/>
        <v>120</v>
      </c>
      <c r="C131" s="51">
        <f t="shared" si="28"/>
        <v>1511914.4500148534</v>
      </c>
      <c r="D131" s="47" cm="1">
        <f t="array" ref="D131">_xlfn.IFS(AND($C$7="Y",B131&lt;C$4),C131,AND($C$7="Y",B131=C$4),D130+F131-J131-K131-L131+N131,AND($C$7="Y",B131&gt;$C$4),D130-J131-K131-L131+N131, TRUE, D130-J131-K131-L131+N131)</f>
        <v>1487163.9398353193</v>
      </c>
      <c r="E131" s="48">
        <f t="shared" si="33"/>
        <v>0</v>
      </c>
      <c r="F131" s="50">
        <f t="shared" si="34"/>
        <v>0</v>
      </c>
      <c r="G131" s="50">
        <f t="shared" si="42"/>
        <v>0</v>
      </c>
      <c r="H131" s="51">
        <f t="shared" si="35"/>
        <v>27941.099242965804</v>
      </c>
      <c r="I131" s="52">
        <f t="shared" si="29"/>
        <v>19117.704179730754</v>
      </c>
      <c r="J131" s="52">
        <f t="shared" si="30"/>
        <v>8823.3950632350497</v>
      </c>
      <c r="K131" s="51">
        <f t="shared" si="40"/>
        <v>15927.11511629923</v>
      </c>
      <c r="L131" s="49">
        <f t="shared" si="36"/>
        <v>6476.421094218188</v>
      </c>
      <c r="M131" s="49">
        <f t="shared" si="44"/>
        <v>-7030.3384652980476</v>
      </c>
      <c r="N131" s="49">
        <f t="shared" si="43"/>
        <v>0</v>
      </c>
      <c r="O131" s="48">
        <f t="shared" si="31"/>
        <v>37391.79326504685</v>
      </c>
      <c r="P131" s="38">
        <f t="shared" si="26"/>
        <v>37391.79326504685</v>
      </c>
      <c r="Q131" s="53"/>
      <c r="R131" s="53">
        <f t="shared" si="37"/>
        <v>0.12</v>
      </c>
      <c r="S131" s="53">
        <f t="shared" si="38"/>
        <v>1.0596241035318976E-2</v>
      </c>
      <c r="T131" s="53">
        <f t="shared" si="39"/>
        <v>0.05</v>
      </c>
      <c r="U131" s="53">
        <f t="shared" si="41"/>
        <v>4.2653187775606449E-3</v>
      </c>
    </row>
    <row r="132" spans="1:21" x14ac:dyDescent="0.2">
      <c r="A132" s="62">
        <f t="shared" si="27"/>
        <v>0.27790182285603626</v>
      </c>
      <c r="B132" s="45">
        <f t="shared" si="32"/>
        <v>121</v>
      </c>
      <c r="C132" s="51">
        <f t="shared" si="28"/>
        <v>1480820.7115574286</v>
      </c>
      <c r="D132" s="47" cm="1">
        <f t="array" ref="D132">_xlfn.IFS(AND($C$7="Y",B132&lt;C$4),C132,AND($C$7="Y",B132=C$4),D131+F132-J132-K132-L132+N132,AND($C$7="Y",B132&gt;$C$4),D131-J132-K132-L132+N132, TRUE, D131-J132-K132-L132+N132)</f>
        <v>1456418.093858768</v>
      </c>
      <c r="E132" s="48">
        <f t="shared" si="33"/>
        <v>0</v>
      </c>
      <c r="F132" s="50">
        <f t="shared" si="34"/>
        <v>0</v>
      </c>
      <c r="G132" s="50">
        <f t="shared" si="42"/>
        <v>0</v>
      </c>
      <c r="H132" s="51">
        <f t="shared" si="35"/>
        <v>27529.315296974812</v>
      </c>
      <c r="I132" s="52">
        <f t="shared" si="29"/>
        <v>18724.53319464947</v>
      </c>
      <c r="J132" s="52">
        <f t="shared" si="30"/>
        <v>8804.7821023253418</v>
      </c>
      <c r="K132" s="51">
        <f t="shared" si="40"/>
        <v>15597.83559633537</v>
      </c>
      <c r="L132" s="49">
        <f t="shared" si="36"/>
        <v>6343.2282778906565</v>
      </c>
      <c r="M132" s="49">
        <f t="shared" si="44"/>
        <v>-6888.6234039685951</v>
      </c>
      <c r="N132" s="49">
        <f t="shared" si="43"/>
        <v>0</v>
      </c>
      <c r="O132" s="48">
        <f t="shared" si="31"/>
        <v>36783.92261541952</v>
      </c>
      <c r="P132" s="38">
        <f t="shared" si="26"/>
        <v>36783.92261541952</v>
      </c>
      <c r="Q132" s="53"/>
      <c r="R132" s="53">
        <f t="shared" si="37"/>
        <v>0.12</v>
      </c>
      <c r="S132" s="53">
        <f t="shared" si="38"/>
        <v>1.0596241035318976E-2</v>
      </c>
      <c r="T132" s="53">
        <f t="shared" si="39"/>
        <v>0.05</v>
      </c>
      <c r="U132" s="53">
        <f t="shared" si="41"/>
        <v>4.2653187775606449E-3</v>
      </c>
    </row>
    <row r="133" spans="1:21" x14ac:dyDescent="0.2">
      <c r="A133" s="62">
        <f t="shared" si="27"/>
        <v>0.2721255833063842</v>
      </c>
      <c r="B133" s="45">
        <f t="shared" si="32"/>
        <v>122</v>
      </c>
      <c r="C133" s="51">
        <f t="shared" si="28"/>
        <v>1450206.006415053</v>
      </c>
      <c r="D133" s="47" cm="1">
        <f t="array" ref="D133">_xlfn.IFS(AND($C$7="Y",B133&lt;C$4),C133,AND($C$7="Y",B133=C$4),D132+F133-J133-K133-L133+N133,AND($C$7="Y",B133&gt;$C$4),D132-J133-K133-L133+N133, TRUE, D132-J133-K133-L133+N133)</f>
        <v>1426146.1808928212</v>
      </c>
      <c r="E133" s="48">
        <f t="shared" si="33"/>
        <v>0</v>
      </c>
      <c r="F133" s="50">
        <f t="shared" si="34"/>
        <v>0</v>
      </c>
      <c r="G133" s="50">
        <f t="shared" si="42"/>
        <v>0</v>
      </c>
      <c r="H133" s="51">
        <f t="shared" si="35"/>
        <v>27123.613196172337</v>
      </c>
      <c r="I133" s="52">
        <f t="shared" si="29"/>
        <v>18337.419441979229</v>
      </c>
      <c r="J133" s="52">
        <f t="shared" si="30"/>
        <v>8786.1937541931075</v>
      </c>
      <c r="K133" s="51">
        <f t="shared" si="40"/>
        <v>15273.631768038795</v>
      </c>
      <c r="L133" s="49">
        <f t="shared" si="36"/>
        <v>6212.087443714885</v>
      </c>
      <c r="M133" s="49">
        <f t="shared" si="44"/>
        <v>-6749.0869935711808</v>
      </c>
      <c r="N133" s="49">
        <f t="shared" si="43"/>
        <v>0</v>
      </c>
      <c r="O133" s="48">
        <f t="shared" si="31"/>
        <v>36185.157520496243</v>
      </c>
      <c r="P133" s="38">
        <f t="shared" si="26"/>
        <v>36185.157520496243</v>
      </c>
      <c r="Q133" s="53"/>
      <c r="R133" s="53">
        <f t="shared" si="37"/>
        <v>0.12</v>
      </c>
      <c r="S133" s="53">
        <f t="shared" si="38"/>
        <v>1.0596241035318976E-2</v>
      </c>
      <c r="T133" s="53">
        <f t="shared" si="39"/>
        <v>0.05</v>
      </c>
      <c r="U133" s="53">
        <f t="shared" si="41"/>
        <v>4.2653187775606449E-3</v>
      </c>
    </row>
    <row r="134" spans="1:21" x14ac:dyDescent="0.2">
      <c r="A134" s="62">
        <f t="shared" si="27"/>
        <v>0.2664384312004846</v>
      </c>
      <c r="B134" s="45">
        <f t="shared" si="32"/>
        <v>123</v>
      </c>
      <c r="C134" s="51">
        <f t="shared" si="28"/>
        <v>1420063.2128079126</v>
      </c>
      <c r="D134" s="47" cm="1">
        <f t="array" ref="D134">_xlfn.IFS(AND($C$7="Y",B134&lt;C$4),C134,AND($C$7="Y",B134=C$4),D133+F134-J134-K134-L134+N134,AND($C$7="Y",B134&gt;$C$4),D133-J134-K134-L134+N134, TRUE, D133-J134-K134-L134+N134)</f>
        <v>1396341.154267105</v>
      </c>
      <c r="E134" s="48">
        <f t="shared" si="33"/>
        <v>0</v>
      </c>
      <c r="F134" s="50">
        <f t="shared" si="34"/>
        <v>0</v>
      </c>
      <c r="G134" s="50">
        <f t="shared" si="42"/>
        <v>0</v>
      </c>
      <c r="H134" s="51">
        <f t="shared" si="35"/>
        <v>26723.903246244943</v>
      </c>
      <c r="I134" s="52">
        <f t="shared" si="29"/>
        <v>17956.272868953001</v>
      </c>
      <c r="J134" s="52">
        <f t="shared" si="30"/>
        <v>8767.6303772919418</v>
      </c>
      <c r="K134" s="51">
        <f t="shared" si="40"/>
        <v>14954.428163515737</v>
      </c>
      <c r="L134" s="49">
        <f t="shared" si="36"/>
        <v>6082.9680849085507</v>
      </c>
      <c r="M134" s="49">
        <f t="shared" si="44"/>
        <v>-6611.6968567297017</v>
      </c>
      <c r="N134" s="49">
        <f t="shared" si="43"/>
        <v>0</v>
      </c>
      <c r="O134" s="48">
        <f t="shared" si="31"/>
        <v>35595.363324852129</v>
      </c>
      <c r="P134" s="38">
        <f t="shared" si="26"/>
        <v>35595.363324852129</v>
      </c>
      <c r="Q134" s="53"/>
      <c r="R134" s="53">
        <f t="shared" si="37"/>
        <v>0.12</v>
      </c>
      <c r="S134" s="53">
        <f t="shared" si="38"/>
        <v>1.0596241035318976E-2</v>
      </c>
      <c r="T134" s="53">
        <f t="shared" si="39"/>
        <v>0.05</v>
      </c>
      <c r="U134" s="53">
        <f t="shared" si="41"/>
        <v>4.2653187775606449E-3</v>
      </c>
    </row>
    <row r="135" spans="1:21" x14ac:dyDescent="0.2">
      <c r="A135" s="62">
        <f t="shared" si="27"/>
        <v>0.26083904180488521</v>
      </c>
      <c r="B135" s="45">
        <f t="shared" si="32"/>
        <v>124</v>
      </c>
      <c r="C135" s="51">
        <f t="shared" si="28"/>
        <v>1390385.3141219288</v>
      </c>
      <c r="D135" s="47" cm="1">
        <f t="array" ref="D135">_xlfn.IFS(AND($C$7="Y",B135&lt;C$4),C135,AND($C$7="Y",B135=C$4),D134+F135-J135-K135-L135+N135,AND($C$7="Y",B135&gt;$C$4),D134-J135-K135-L135+N135, TRUE, D134-J135-K135-L135+N135)</f>
        <v>1366996.0713651606</v>
      </c>
      <c r="E135" s="48">
        <f t="shared" si="33"/>
        <v>0</v>
      </c>
      <c r="F135" s="50">
        <f t="shared" si="34"/>
        <v>0</v>
      </c>
      <c r="G135" s="50">
        <f t="shared" si="42"/>
        <v>0</v>
      </c>
      <c r="H135" s="51">
        <f t="shared" si="35"/>
        <v>26330.097080099866</v>
      </c>
      <c r="I135" s="52">
        <f t="shared" si="29"/>
        <v>17581.004752592922</v>
      </c>
      <c r="J135" s="52">
        <f t="shared" si="30"/>
        <v>8749.0923275069435</v>
      </c>
      <c r="K135" s="51">
        <f t="shared" si="40"/>
        <v>14640.150429261123</v>
      </c>
      <c r="L135" s="49">
        <f t="shared" si="36"/>
        <v>5955.8401451761883</v>
      </c>
      <c r="M135" s="49">
        <f t="shared" si="44"/>
        <v>-6476.421094218188</v>
      </c>
      <c r="N135" s="49">
        <f t="shared" si="43"/>
        <v>0</v>
      </c>
      <c r="O135" s="48">
        <f t="shared" si="31"/>
        <v>35014.407364184801</v>
      </c>
      <c r="P135" s="38">
        <f t="shared" si="26"/>
        <v>35014.407364184801</v>
      </c>
      <c r="Q135" s="53"/>
      <c r="R135" s="53">
        <f t="shared" si="37"/>
        <v>0.12</v>
      </c>
      <c r="S135" s="53">
        <f t="shared" si="38"/>
        <v>1.0596241035318976E-2</v>
      </c>
      <c r="T135" s="53">
        <f t="shared" si="39"/>
        <v>0.05</v>
      </c>
      <c r="U135" s="53">
        <f t="shared" si="41"/>
        <v>4.2653187775606449E-3</v>
      </c>
    </row>
    <row r="136" spans="1:21" x14ac:dyDescent="0.2">
      <c r="A136" s="62">
        <f t="shared" si="27"/>
        <v>0.25532610994712224</v>
      </c>
      <c r="B136" s="45">
        <f t="shared" si="32"/>
        <v>125</v>
      </c>
      <c r="C136" s="51">
        <f t="shared" si="28"/>
        <v>1361165.3973531153</v>
      </c>
      <c r="D136" s="47" cm="1">
        <f t="array" ref="D136">_xlfn.IFS(AND($C$7="Y",B136&lt;C$4),C136,AND($C$7="Y",B136=C$4),D135+F136-J136-K136-L136+N136,AND($C$7="Y",B136&gt;$C$4),D135-J136-K136-L136+N136, TRUE, D135-J136-K136-L136+N136)</f>
        <v>1338104.0920850686</v>
      </c>
      <c r="E136" s="48">
        <f t="shared" si="33"/>
        <v>0</v>
      </c>
      <c r="F136" s="50">
        <f t="shared" si="34"/>
        <v>0</v>
      </c>
      <c r="G136" s="50">
        <f t="shared" si="42"/>
        <v>0</v>
      </c>
      <c r="H136" s="51">
        <f t="shared" si="35"/>
        <v>25942.107638413956</v>
      </c>
      <c r="I136" s="52">
        <f t="shared" si="29"/>
        <v>17211.527680039613</v>
      </c>
      <c r="J136" s="52">
        <f t="shared" si="30"/>
        <v>8730.5799583743428</v>
      </c>
      <c r="K136" s="51">
        <f t="shared" si="40"/>
        <v>14330.72530967228</v>
      </c>
      <c r="L136" s="49">
        <f t="shared" si="36"/>
        <v>5830.6740120454515</v>
      </c>
      <c r="M136" s="49">
        <f t="shared" si="44"/>
        <v>-6343.2282778906565</v>
      </c>
      <c r="N136" s="49">
        <f t="shared" si="43"/>
        <v>0</v>
      </c>
      <c r="O136" s="48">
        <f t="shared" si="31"/>
        <v>34442.158936040789</v>
      </c>
      <c r="P136" s="38">
        <f t="shared" si="26"/>
        <v>34442.158936040789</v>
      </c>
      <c r="Q136" s="53"/>
      <c r="R136" s="53">
        <f t="shared" si="37"/>
        <v>0.12</v>
      </c>
      <c r="S136" s="53">
        <f t="shared" si="38"/>
        <v>1.0596241035318976E-2</v>
      </c>
      <c r="T136" s="53">
        <f t="shared" si="39"/>
        <v>0.05</v>
      </c>
      <c r="U136" s="53">
        <f t="shared" si="41"/>
        <v>4.2653187775606449E-3</v>
      </c>
    </row>
    <row r="137" spans="1:21" x14ac:dyDescent="0.2">
      <c r="A137" s="62">
        <f t="shared" si="27"/>
        <v>0.24989834972629801</v>
      </c>
      <c r="B137" s="45">
        <f t="shared" si="32"/>
        <v>126</v>
      </c>
      <c r="C137" s="51">
        <f t="shared" si="28"/>
        <v>1332396.6515747674</v>
      </c>
      <c r="D137" s="47" cm="1">
        <f t="array" ref="D137">_xlfn.IFS(AND($C$7="Y",B137&lt;C$4),C137,AND($C$7="Y",B137=C$4),D136+F137-J137-K137-L137+N137,AND($C$7="Y",B137&gt;$C$4),D136-J137-K137-L137+N137, TRUE, D136-J137-K137-L137+N137)</f>
        <v>1309658.4773226553</v>
      </c>
      <c r="E137" s="48">
        <f t="shared" si="33"/>
        <v>0</v>
      </c>
      <c r="F137" s="50">
        <f t="shared" si="34"/>
        <v>0</v>
      </c>
      <c r="G137" s="50">
        <f t="shared" si="42"/>
        <v>0</v>
      </c>
      <c r="H137" s="51">
        <f t="shared" si="35"/>
        <v>25559.849150478094</v>
      </c>
      <c r="I137" s="52">
        <f t="shared" si="29"/>
        <v>16847.755529170281</v>
      </c>
      <c r="J137" s="52">
        <f t="shared" si="30"/>
        <v>8712.093621307813</v>
      </c>
      <c r="K137" s="51">
        <f t="shared" si="40"/>
        <v>14026.080630804508</v>
      </c>
      <c r="L137" s="49">
        <f t="shared" si="36"/>
        <v>5707.4405103011813</v>
      </c>
      <c r="M137" s="49">
        <f t="shared" si="44"/>
        <v>-6212.087443714885</v>
      </c>
      <c r="N137" s="49">
        <f t="shared" si="43"/>
        <v>0</v>
      </c>
      <c r="O137" s="48">
        <f t="shared" si="31"/>
        <v>33878.489270981416</v>
      </c>
      <c r="P137" s="38">
        <f t="shared" si="26"/>
        <v>33878.489270981416</v>
      </c>
      <c r="Q137" s="53"/>
      <c r="R137" s="53">
        <f t="shared" si="37"/>
        <v>0.12</v>
      </c>
      <c r="S137" s="53">
        <f t="shared" si="38"/>
        <v>1.0596241035318976E-2</v>
      </c>
      <c r="T137" s="53">
        <f t="shared" si="39"/>
        <v>0.05</v>
      </c>
      <c r="U137" s="53">
        <f t="shared" si="41"/>
        <v>4.2653187775606449E-3</v>
      </c>
    </row>
    <row r="138" spans="1:21" x14ac:dyDescent="0.2">
      <c r="A138" s="62">
        <f t="shared" si="27"/>
        <v>0.24455449422790312</v>
      </c>
      <c r="B138" s="45">
        <f t="shared" si="32"/>
        <v>127</v>
      </c>
      <c r="C138" s="51">
        <f t="shared" si="28"/>
        <v>1304072.3664271394</v>
      </c>
      <c r="D138" s="47" cm="1">
        <f t="array" ref="D138">_xlfn.IFS(AND($C$7="Y",B138&lt;C$4),C138,AND($C$7="Y",B138=C$4),D137+F138-J138-K138-L138+N138,AND($C$7="Y",B138&gt;$C$4),D137-J138-K138-L138+N138, TRUE, D137-J138-K138-L138+N138)</f>
        <v>1281652.5874769422</v>
      </c>
      <c r="E138" s="48">
        <f t="shared" si="33"/>
        <v>0</v>
      </c>
      <c r="F138" s="50">
        <f t="shared" si="34"/>
        <v>0</v>
      </c>
      <c r="G138" s="50">
        <f t="shared" si="42"/>
        <v>0</v>
      </c>
      <c r="H138" s="51">
        <f t="shared" si="35"/>
        <v>25183.237115333442</v>
      </c>
      <c r="I138" s="52">
        <f t="shared" si="29"/>
        <v>16489.603449501108</v>
      </c>
      <c r="J138" s="52">
        <f t="shared" si="30"/>
        <v>8693.6336658323344</v>
      </c>
      <c r="K138" s="51">
        <f t="shared" si="40"/>
        <v>13726.145284364857</v>
      </c>
      <c r="L138" s="49">
        <f t="shared" si="36"/>
        <v>5586.1108955158033</v>
      </c>
      <c r="M138" s="49">
        <f t="shared" si="44"/>
        <v>-6082.9680849085507</v>
      </c>
      <c r="N138" s="49">
        <f t="shared" si="43"/>
        <v>0</v>
      </c>
      <c r="O138" s="48">
        <f t="shared" si="31"/>
        <v>33323.271504182492</v>
      </c>
      <c r="P138" s="38">
        <f t="shared" si="26"/>
        <v>33323.271504182492</v>
      </c>
      <c r="Q138" s="53"/>
      <c r="R138" s="53">
        <f t="shared" si="37"/>
        <v>0.12</v>
      </c>
      <c r="S138" s="53">
        <f t="shared" si="38"/>
        <v>1.0596241035318976E-2</v>
      </c>
      <c r="T138" s="53">
        <f t="shared" si="39"/>
        <v>0.05</v>
      </c>
      <c r="U138" s="53">
        <f t="shared" si="41"/>
        <v>4.2653187775606449E-3</v>
      </c>
    </row>
    <row r="139" spans="1:21" x14ac:dyDescent="0.2">
      <c r="A139" s="62">
        <f t="shared" si="27"/>
        <v>0.23929329524281809</v>
      </c>
      <c r="B139" s="45">
        <f t="shared" si="32"/>
        <v>128</v>
      </c>
      <c r="C139" s="51">
        <f t="shared" si="28"/>
        <v>1276185.9306292676</v>
      </c>
      <c r="D139" s="47" cm="1">
        <f t="array" ref="D139">_xlfn.IFS(AND($C$7="Y",B139&lt;C$4),C139,AND($C$7="Y",B139=C$4),D138+F139-J139-K139-L139+N139,AND($C$7="Y",B139&gt;$C$4),D138-J139-K139-L139+N139, TRUE, D138-J139-K139-L139+N139)</f>
        <v>1254079.8809775009</v>
      </c>
      <c r="E139" s="48">
        <f t="shared" si="33"/>
        <v>0</v>
      </c>
      <c r="F139" s="50">
        <f t="shared" si="34"/>
        <v>0</v>
      </c>
      <c r="G139" s="50">
        <f t="shared" si="42"/>
        <v>0</v>
      </c>
      <c r="H139" s="51">
        <f t="shared" si="35"/>
        <v>24812.188283195839</v>
      </c>
      <c r="I139" s="52">
        <f t="shared" si="29"/>
        <v>16136.987843369736</v>
      </c>
      <c r="J139" s="52">
        <f t="shared" si="30"/>
        <v>8675.2004398261033</v>
      </c>
      <c r="K139" s="51">
        <f t="shared" si="40"/>
        <v>13430.849211940478</v>
      </c>
      <c r="L139" s="49">
        <f t="shared" si="36"/>
        <v>5466.6568476745888</v>
      </c>
      <c r="M139" s="49">
        <f t="shared" si="44"/>
        <v>-5955.8401451761883</v>
      </c>
      <c r="N139" s="49">
        <f t="shared" si="43"/>
        <v>0</v>
      </c>
      <c r="O139" s="48">
        <f t="shared" si="31"/>
        <v>32776.38064746173</v>
      </c>
      <c r="P139" s="38">
        <f t="shared" ref="P139:P202" si="45">O139*(1/((1+P$9)^(B139/12)))</f>
        <v>32776.38064746173</v>
      </c>
      <c r="Q139" s="53"/>
      <c r="R139" s="53">
        <f t="shared" si="37"/>
        <v>0.12</v>
      </c>
      <c r="S139" s="53">
        <f t="shared" si="38"/>
        <v>1.0596241035318976E-2</v>
      </c>
      <c r="T139" s="53">
        <f t="shared" si="39"/>
        <v>0.05</v>
      </c>
      <c r="U139" s="53">
        <f t="shared" si="41"/>
        <v>4.2653187775606449E-3</v>
      </c>
    </row>
    <row r="140" spans="1:21" x14ac:dyDescent="0.2">
      <c r="A140" s="62">
        <f t="shared" ref="A140:A203" si="46">D140/C$1</f>
        <v>0.2341135229904312</v>
      </c>
      <c r="B140" s="45">
        <f t="shared" si="32"/>
        <v>129</v>
      </c>
      <c r="C140" s="51">
        <f t="shared" ref="C140:C203" si="47">IF(B140&lt;C$4,C$1,D139-L140+N140)</f>
        <v>1248730.8305126065</v>
      </c>
      <c r="D140" s="47" cm="1">
        <f t="array" ref="D140">_xlfn.IFS(AND($C$7="Y",B140&lt;C$4),C140,AND($C$7="Y",B140=C$4),D139+F140-J140-K140-L140+N140,AND($C$7="Y",B140&gt;$C$4),D139-J140-K140-L140+N140, TRUE, D139-J140-K140-L140+N140)</f>
        <v>1226933.9128333773</v>
      </c>
      <c r="E140" s="48">
        <f t="shared" si="33"/>
        <v>0</v>
      </c>
      <c r="F140" s="50">
        <f t="shared" si="34"/>
        <v>0</v>
      </c>
      <c r="G140" s="50">
        <f t="shared" si="42"/>
        <v>0</v>
      </c>
      <c r="H140" s="51">
        <f t="shared" si="35"/>
        <v>24446.620637164728</v>
      </c>
      <c r="I140" s="52">
        <f t="shared" ref="I140:I203" si="48">IF(AND(C$7="Y",$B140&lt;=C$4),0,IF(AND(C$7="Y",$B140&gt;C$4),(1-U140)*C$2*D139/12,IF(AND($C$7="N",C$4&gt;0),(1-U140)*D139*C$2/12, (1-U140)*D139*C$2/12)))</f>
        <v>15789.826347393517</v>
      </c>
      <c r="J140" s="52">
        <f t="shared" ref="J140:J203" si="49">IF(AND($B140&lt;=$C$4,C$7="Y"),0,IF(AND(C$7="N",C$4&gt;0,B140&lt;=C$4),0,H140-I140))</f>
        <v>8656.794289771211</v>
      </c>
      <c r="K140" s="51">
        <f t="shared" si="40"/>
        <v>13140.123389458038</v>
      </c>
      <c r="L140" s="49">
        <f t="shared" si="36"/>
        <v>5349.0504648943534</v>
      </c>
      <c r="M140" s="49">
        <f t="shared" si="44"/>
        <v>-5830.6740120454515</v>
      </c>
      <c r="N140" s="49">
        <f t="shared" si="43"/>
        <v>0</v>
      </c>
      <c r="O140" s="48">
        <f t="shared" ref="O140:O203" si="50">K140+I140+J140-L140+N140+G140</f>
        <v>32237.693561728411</v>
      </c>
      <c r="P140" s="38">
        <f t="shared" si="45"/>
        <v>32237.693561728411</v>
      </c>
      <c r="Q140" s="53"/>
      <c r="R140" s="53">
        <f t="shared" si="37"/>
        <v>0.12</v>
      </c>
      <c r="S140" s="53">
        <f t="shared" si="38"/>
        <v>1.0596241035318976E-2</v>
      </c>
      <c r="T140" s="53">
        <f t="shared" si="39"/>
        <v>0.05</v>
      </c>
      <c r="U140" s="53">
        <f t="shared" si="41"/>
        <v>4.2653187775606449E-3</v>
      </c>
    </row>
    <row r="141" spans="1:21" x14ac:dyDescent="0.2">
      <c r="A141" s="62">
        <f t="shared" si="46"/>
        <v>0.2290139658458093</v>
      </c>
      <c r="B141" s="45">
        <f t="shared" ref="B141:B204" si="51">B140+1</f>
        <v>130</v>
      </c>
      <c r="C141" s="51">
        <f t="shared" si="47"/>
        <v>1221700.6485761432</v>
      </c>
      <c r="D141" s="47" cm="1">
        <f t="array" ref="D141">_xlfn.IFS(AND($C$7="Y",B141&lt;C$4),C141,AND($C$7="Y",B141=C$4),D140+F141-J141-K141-L141+N141,AND($C$7="Y",B141&gt;$C$4),D140-J141-K141-L141+N141, TRUE, D140-J141-K141-L141+N141)</f>
        <v>1200208.3332032587</v>
      </c>
      <c r="E141" s="48">
        <f t="shared" ref="E141:E204" si="52">IF(AND($C$7="Y",B141&lt;=$C$4),D140*C$2/12-G141,0)</f>
        <v>0</v>
      </c>
      <c r="F141" s="50">
        <f t="shared" ref="F141:F204" si="53">IF(AND($C$7="Y",B141&lt;=C$4),E141+F140,0)</f>
        <v>0</v>
      </c>
      <c r="G141" s="50">
        <f t="shared" si="42"/>
        <v>0</v>
      </c>
      <c r="H141" s="51">
        <f t="shared" ref="H141:H204" si="54">IF(AND($B141&lt;=$C$4,C$7="Y"),0,IF(AND(C$7="N",C$4&gt;0,B141&lt;=C$4),0,(C141-L141+N141)*C$2/12/(1-(1/(1+C$2/12))^(C$3+C$4-B141+1))))</f>
        <v>24086.453375213281</v>
      </c>
      <c r="I141" s="52">
        <f t="shared" si="48"/>
        <v>15448.037814199371</v>
      </c>
      <c r="J141" s="52">
        <f t="shared" si="49"/>
        <v>8638.4155610139096</v>
      </c>
      <c r="K141" s="51">
        <f t="shared" si="40"/>
        <v>12853.899811870584</v>
      </c>
      <c r="L141" s="49">
        <f t="shared" ref="L141:L204" si="55">IF(AND(C$7="Y",$B141&lt;=$C$4),0,IF(AND(C$7="N",C$4&gt;0,B141&lt;=C$4),0,U141*D140))</f>
        <v>5233.2642572341592</v>
      </c>
      <c r="M141" s="49">
        <f t="shared" si="44"/>
        <v>-5707.4405103011813</v>
      </c>
      <c r="N141" s="49">
        <f t="shared" si="43"/>
        <v>0</v>
      </c>
      <c r="O141" s="48">
        <f t="shared" si="50"/>
        <v>31707.088929849706</v>
      </c>
      <c r="P141" s="38">
        <f t="shared" si="45"/>
        <v>31707.088929849706</v>
      </c>
      <c r="Q141" s="53"/>
      <c r="R141" s="53">
        <f t="shared" ref="R141:R204" si="56">R$9</f>
        <v>0.12</v>
      </c>
      <c r="S141" s="53">
        <f t="shared" ref="S141:S204" si="57">1-(1-R141)^(1/12)</f>
        <v>1.0596241035318976E-2</v>
      </c>
      <c r="T141" s="53">
        <f t="shared" ref="T141:T204" si="58">T$9</f>
        <v>0.05</v>
      </c>
      <c r="U141" s="53">
        <f t="shared" si="41"/>
        <v>4.2653187775606449E-3</v>
      </c>
    </row>
    <row r="142" spans="1:21" x14ac:dyDescent="0.2">
      <c r="A142" s="62">
        <f t="shared" si="46"/>
        <v>0.22399343007086001</v>
      </c>
      <c r="B142" s="45">
        <f t="shared" si="51"/>
        <v>131</v>
      </c>
      <c r="C142" s="51">
        <f t="shared" si="47"/>
        <v>1195089.0620626621</v>
      </c>
      <c r="D142" s="47" cm="1">
        <f t="array" ref="D142">_xlfn.IFS(AND($C$7="Y",B142&lt;C$4),C142,AND($C$7="Y",B142=C$4),D141+F142-J142-K142-L142+N142,AND($C$7="Y",B142&gt;$C$4),D141-J142-K142-L142+N142, TRUE, D141-J142-K142-L142+N142)</f>
        <v>1173896.8859865584</v>
      </c>
      <c r="E142" s="48">
        <f t="shared" si="52"/>
        <v>0</v>
      </c>
      <c r="F142" s="50">
        <f t="shared" si="53"/>
        <v>0</v>
      </c>
      <c r="G142" s="50">
        <f t="shared" si="42"/>
        <v>0</v>
      </c>
      <c r="H142" s="51">
        <f t="shared" si="54"/>
        <v>23731.606892456348</v>
      </c>
      <c r="I142" s="52">
        <f t="shared" si="48"/>
        <v>15111.54229442109</v>
      </c>
      <c r="J142" s="52">
        <f t="shared" si="49"/>
        <v>8620.0645980352583</v>
      </c>
      <c r="K142" s="51">
        <f t="shared" ref="K142:K205" si="59">IF(AND(C$7="Y",$B142&lt;=$C$4),0,IF(AND(C$7="N",C$4&gt;0,B142&lt;=C$4),0,S142*(C142-J142)))</f>
        <v>12572.111478068446</v>
      </c>
      <c r="L142" s="49">
        <f t="shared" si="55"/>
        <v>5119.2711405966229</v>
      </c>
      <c r="M142" s="49">
        <f t="shared" si="44"/>
        <v>-5586.1108955158033</v>
      </c>
      <c r="N142" s="49">
        <f t="shared" si="43"/>
        <v>0</v>
      </c>
      <c r="O142" s="48">
        <f t="shared" si="50"/>
        <v>31184.447229928173</v>
      </c>
      <c r="P142" s="38">
        <f t="shared" si="45"/>
        <v>31184.447229928173</v>
      </c>
      <c r="Q142" s="53"/>
      <c r="R142" s="53">
        <f t="shared" si="56"/>
        <v>0.12</v>
      </c>
      <c r="S142" s="53">
        <f t="shared" si="57"/>
        <v>1.0596241035318976E-2</v>
      </c>
      <c r="T142" s="53">
        <f t="shared" si="58"/>
        <v>0.05</v>
      </c>
      <c r="U142" s="53">
        <f t="shared" ref="U142:U205" si="60">1-(1-T142)^(1/12)</f>
        <v>4.2653187775606449E-3</v>
      </c>
    </row>
    <row r="143" spans="1:21" x14ac:dyDescent="0.2">
      <c r="A143" s="62">
        <f t="shared" si="46"/>
        <v>0.21905073954942397</v>
      </c>
      <c r="B143" s="45">
        <f t="shared" si="51"/>
        <v>132</v>
      </c>
      <c r="C143" s="51">
        <f t="shared" si="47"/>
        <v>1168889.8415558399</v>
      </c>
      <c r="D143" s="47" cm="1">
        <f t="array" ref="D143">_xlfn.IFS(AND($C$7="Y",B143&lt;C$4),C143,AND($C$7="Y",B143=C$4),D142+F143-J143-K143-L143+N143,AND($C$7="Y",B143&gt;$C$4),D142-J143-K143-L143+N143, TRUE, D142-J143-K143-L143+N143)</f>
        <v>1147993.4074350959</v>
      </c>
      <c r="E143" s="48">
        <f t="shared" si="52"/>
        <v>0</v>
      </c>
      <c r="F143" s="50">
        <f t="shared" si="53"/>
        <v>0</v>
      </c>
      <c r="G143" s="50">
        <f t="shared" ref="G143:G206" si="61">IF($B143&lt;=$C$4,C$6,0)</f>
        <v>0</v>
      </c>
      <c r="H143" s="51">
        <f t="shared" si="54"/>
        <v>23382.002763693086</v>
      </c>
      <c r="I143" s="52">
        <f t="shared" si="48"/>
        <v>14780.261018960009</v>
      </c>
      <c r="J143" s="52">
        <f t="shared" si="49"/>
        <v>8601.7417447330772</v>
      </c>
      <c r="K143" s="51">
        <f t="shared" si="59"/>
        <v>12294.692376010729</v>
      </c>
      <c r="L143" s="49">
        <f t="shared" si="55"/>
        <v>5007.0444307184353</v>
      </c>
      <c r="M143" s="49">
        <f t="shared" si="44"/>
        <v>-5466.6568476745888</v>
      </c>
      <c r="N143" s="49">
        <f t="shared" si="43"/>
        <v>0</v>
      </c>
      <c r="O143" s="48">
        <f t="shared" si="50"/>
        <v>30669.650708985384</v>
      </c>
      <c r="P143" s="38">
        <f t="shared" si="45"/>
        <v>30669.650708985384</v>
      </c>
      <c r="Q143" s="53"/>
      <c r="R143" s="53">
        <f t="shared" si="56"/>
        <v>0.12</v>
      </c>
      <c r="S143" s="53">
        <f t="shared" si="57"/>
        <v>1.0596241035318976E-2</v>
      </c>
      <c r="T143" s="53">
        <f t="shared" si="58"/>
        <v>0.05</v>
      </c>
      <c r="U143" s="53">
        <f t="shared" si="60"/>
        <v>4.2653187775606449E-3</v>
      </c>
    </row>
    <row r="144" spans="1:21" x14ac:dyDescent="0.2">
      <c r="A144" s="62">
        <f t="shared" si="46"/>
        <v>0.21418473552623657</v>
      </c>
      <c r="B144" s="45">
        <f t="shared" si="51"/>
        <v>133</v>
      </c>
      <c r="C144" s="51">
        <f t="shared" si="47"/>
        <v>1143096.8495978471</v>
      </c>
      <c r="D144" s="47" cm="1">
        <f t="array" ref="D144">_xlfn.IFS(AND($C$7="Y",B144&lt;C$4),C144,AND($C$7="Y",B144=C$4),D143+F144-J144-K144-L144+N144,AND($C$7="Y",B144&gt;$C$4),D143-J144-K144-L144+N144, TRUE, D143-J144-K144-L144+N144)</f>
        <v>1122491.824785057</v>
      </c>
      <c r="E144" s="48">
        <f t="shared" si="52"/>
        <v>0</v>
      </c>
      <c r="F144" s="50">
        <f t="shared" si="53"/>
        <v>0</v>
      </c>
      <c r="G144" s="50">
        <f t="shared" si="61"/>
        <v>0</v>
      </c>
      <c r="H144" s="51">
        <f t="shared" si="54"/>
        <v>23037.563726221073</v>
      </c>
      <c r="I144" s="52">
        <f t="shared" si="48"/>
        <v>14454.116381505002</v>
      </c>
      <c r="J144" s="52">
        <f t="shared" si="49"/>
        <v>8583.4473447160708</v>
      </c>
      <c r="K144" s="51">
        <f t="shared" si="59"/>
        <v>12021.577468073971</v>
      </c>
      <c r="L144" s="49">
        <f t="shared" si="55"/>
        <v>4896.5578372487425</v>
      </c>
      <c r="M144" s="49">
        <f t="shared" si="44"/>
        <v>-5349.0504648943534</v>
      </c>
      <c r="N144" s="49">
        <f t="shared" si="43"/>
        <v>0</v>
      </c>
      <c r="O144" s="48">
        <f t="shared" si="50"/>
        <v>30162.5833570463</v>
      </c>
      <c r="P144" s="38">
        <f t="shared" si="45"/>
        <v>30162.5833570463</v>
      </c>
      <c r="Q144" s="53"/>
      <c r="R144" s="53">
        <f t="shared" si="56"/>
        <v>0.12</v>
      </c>
      <c r="S144" s="53">
        <f t="shared" si="57"/>
        <v>1.0596241035318976E-2</v>
      </c>
      <c r="T144" s="53">
        <f t="shared" si="58"/>
        <v>0.05</v>
      </c>
      <c r="U144" s="53">
        <f t="shared" si="60"/>
        <v>4.2653187775606449E-3</v>
      </c>
    </row>
    <row r="145" spans="1:21" x14ac:dyDescent="0.2">
      <c r="A145" s="62">
        <f t="shared" si="46"/>
        <v>0.20939427634969898</v>
      </c>
      <c r="B145" s="45">
        <f t="shared" si="51"/>
        <v>134</v>
      </c>
      <c r="C145" s="51">
        <f t="shared" si="47"/>
        <v>1117704.039327143</v>
      </c>
      <c r="D145" s="47" cm="1">
        <f t="array" ref="D145">_xlfn.IFS(AND($C$7="Y",B145&lt;C$4),C145,AND($C$7="Y",B145=C$4),D144+F145-J145-K145-L145+N145,AND($C$7="Y",B145&gt;$C$4),D144-J145-K145-L145+N145, TRUE, D144-J145-K145-L145+N145)</f>
        <v>1097386.1549089171</v>
      </c>
      <c r="E145" s="48">
        <f t="shared" si="52"/>
        <v>0</v>
      </c>
      <c r="F145" s="50">
        <f t="shared" si="53"/>
        <v>0</v>
      </c>
      <c r="G145" s="50">
        <f t="shared" si="61"/>
        <v>0</v>
      </c>
      <c r="H145" s="51">
        <f t="shared" si="54"/>
        <v>22698.213662919181</v>
      </c>
      <c r="I145" s="52">
        <f t="shared" si="48"/>
        <v>14133.031921307811</v>
      </c>
      <c r="J145" s="52">
        <f t="shared" si="49"/>
        <v>8565.1817416113699</v>
      </c>
      <c r="K145" s="51">
        <f t="shared" si="59"/>
        <v>11752.702676614621</v>
      </c>
      <c r="L145" s="49">
        <f t="shared" si="55"/>
        <v>4787.7854579140167</v>
      </c>
      <c r="M145" s="49">
        <f t="shared" si="44"/>
        <v>-5233.2642572341592</v>
      </c>
      <c r="N145" s="49">
        <f t="shared" si="43"/>
        <v>0</v>
      </c>
      <c r="O145" s="48">
        <f t="shared" si="50"/>
        <v>29663.130881619785</v>
      </c>
      <c r="P145" s="38">
        <f t="shared" si="45"/>
        <v>29663.130881619785</v>
      </c>
      <c r="Q145" s="53"/>
      <c r="R145" s="53">
        <f t="shared" si="56"/>
        <v>0.12</v>
      </c>
      <c r="S145" s="53">
        <f t="shared" si="57"/>
        <v>1.0596241035318976E-2</v>
      </c>
      <c r="T145" s="53">
        <f t="shared" si="58"/>
        <v>0.05</v>
      </c>
      <c r="U145" s="53">
        <f t="shared" si="60"/>
        <v>4.2653187775606449E-3</v>
      </c>
    </row>
    <row r="146" spans="1:21" x14ac:dyDescent="0.2">
      <c r="A146" s="62">
        <f t="shared" si="46"/>
        <v>0.20467823721839959</v>
      </c>
      <c r="B146" s="45">
        <f t="shared" si="51"/>
        <v>135</v>
      </c>
      <c r="C146" s="51">
        <f t="shared" si="47"/>
        <v>1092705.4531361491</v>
      </c>
      <c r="D146" s="47" cm="1">
        <f t="array" ref="D146">_xlfn.IFS(AND($C$7="Y",B146&lt;C$4),C146,AND($C$7="Y",B146=C$4),D145+F146-J146-K146-L146+N146,AND($C$7="Y",B146&gt;$C$4),D145-J146-K146-L146+N146, TRUE, D145-J146-K146-L146+N146)</f>
        <v>1072670.5029870204</v>
      </c>
      <c r="E146" s="48">
        <f t="shared" si="52"/>
        <v>0</v>
      </c>
      <c r="F146" s="50">
        <f t="shared" si="53"/>
        <v>0</v>
      </c>
      <c r="G146" s="50">
        <f t="shared" si="61"/>
        <v>0</v>
      </c>
      <c r="H146" s="51">
        <f t="shared" si="54"/>
        <v>22363.877585596241</v>
      </c>
      <c r="I146" s="52">
        <f t="shared" si="48"/>
        <v>13816.93230620973</v>
      </c>
      <c r="J146" s="52">
        <f t="shared" si="49"/>
        <v>8546.9452793865112</v>
      </c>
      <c r="K146" s="51">
        <f t="shared" si="59"/>
        <v>11488.004869742017</v>
      </c>
      <c r="L146" s="49">
        <f t="shared" si="55"/>
        <v>4680.7017727680786</v>
      </c>
      <c r="M146" s="49">
        <f t="shared" si="44"/>
        <v>-5119.2711405966229</v>
      </c>
      <c r="N146" s="49">
        <f t="shared" si="43"/>
        <v>0</v>
      </c>
      <c r="O146" s="48">
        <f t="shared" si="50"/>
        <v>29171.180682570179</v>
      </c>
      <c r="P146" s="38">
        <f t="shared" si="45"/>
        <v>29171.180682570179</v>
      </c>
      <c r="Q146" s="53"/>
      <c r="R146" s="53">
        <f t="shared" si="56"/>
        <v>0.12</v>
      </c>
      <c r="S146" s="53">
        <f t="shared" si="57"/>
        <v>1.0596241035318976E-2</v>
      </c>
      <c r="T146" s="53">
        <f t="shared" si="58"/>
        <v>0.05</v>
      </c>
      <c r="U146" s="53">
        <f t="shared" si="60"/>
        <v>4.2653187775606449E-3</v>
      </c>
    </row>
    <row r="147" spans="1:21" x14ac:dyDescent="0.2">
      <c r="A147" s="62">
        <f t="shared" si="46"/>
        <v>0.20003550993132799</v>
      </c>
      <c r="B147" s="45">
        <f t="shared" si="51"/>
        <v>136</v>
      </c>
      <c r="C147" s="51">
        <f t="shared" si="47"/>
        <v>1068095.2213484945</v>
      </c>
      <c r="D147" s="47" cm="1">
        <f t="array" ref="D147">_xlfn.IFS(AND($C$7="Y",B147&lt;C$4),C147,AND($C$7="Y",B147=C$4),D146+F147-J147-K147-L147+N147,AND($C$7="Y",B147&gt;$C$4),D146-J147-K147-L147+N147, TRUE, D146-J147-K147-L147+N147)</f>
        <v>1048339.0611985087</v>
      </c>
      <c r="E147" s="48">
        <f t="shared" si="52"/>
        <v>0</v>
      </c>
      <c r="F147" s="50">
        <f t="shared" si="53"/>
        <v>0</v>
      </c>
      <c r="G147" s="50">
        <f t="shared" si="61"/>
        <v>0</v>
      </c>
      <c r="H147" s="51">
        <f t="shared" si="54"/>
        <v>22034.481618602971</v>
      </c>
      <c r="I147" s="52">
        <f t="shared" si="48"/>
        <v>13505.743315915759</v>
      </c>
      <c r="J147" s="52">
        <f t="shared" si="49"/>
        <v>8528.7383026872121</v>
      </c>
      <c r="K147" s="51">
        <f t="shared" si="59"/>
        <v>11227.421847298592</v>
      </c>
      <c r="L147" s="49">
        <f t="shared" si="55"/>
        <v>4575.2816385259603</v>
      </c>
      <c r="M147" s="49">
        <f t="shared" si="44"/>
        <v>-5007.0444307184353</v>
      </c>
      <c r="N147" s="49">
        <f t="shared" si="43"/>
        <v>0</v>
      </c>
      <c r="O147" s="48">
        <f t="shared" si="50"/>
        <v>28686.621827375599</v>
      </c>
      <c r="P147" s="38">
        <f t="shared" si="45"/>
        <v>28686.621827375599</v>
      </c>
      <c r="Q147" s="53"/>
      <c r="R147" s="53">
        <f t="shared" si="56"/>
        <v>0.12</v>
      </c>
      <c r="S147" s="53">
        <f t="shared" si="57"/>
        <v>1.0596241035318976E-2</v>
      </c>
      <c r="T147" s="53">
        <f t="shared" si="58"/>
        <v>0.05</v>
      </c>
      <c r="U147" s="53">
        <f t="shared" si="60"/>
        <v>4.2653187775606449E-3</v>
      </c>
    </row>
    <row r="148" spans="1:21" x14ac:dyDescent="0.2">
      <c r="A148" s="62">
        <f t="shared" si="46"/>
        <v>0.19546500264172179</v>
      </c>
      <c r="B148" s="45">
        <f t="shared" si="51"/>
        <v>137</v>
      </c>
      <c r="C148" s="51">
        <f t="shared" si="47"/>
        <v>1043867.5609155284</v>
      </c>
      <c r="D148" s="47" cm="1">
        <f t="array" ref="D148">_xlfn.IFS(AND($C$7="Y",B148&lt;C$4),C148,AND($C$7="Y",B148=C$4),D147+F148-J148-K148-L148+N148,AND($C$7="Y",B148&gt;$C$4),D147-J148-K148-L148+N148, TRUE, D147-J148-K148-L148+N148)</f>
        <v>1024386.1074312922</v>
      </c>
      <c r="E148" s="48">
        <f t="shared" si="52"/>
        <v>0</v>
      </c>
      <c r="F148" s="50">
        <f t="shared" si="53"/>
        <v>0</v>
      </c>
      <c r="G148" s="50">
        <f t="shared" si="61"/>
        <v>0</v>
      </c>
      <c r="H148" s="51">
        <f t="shared" si="54"/>
        <v>21709.952982704646</v>
      </c>
      <c r="I148" s="52">
        <f t="shared" si="48"/>
        <v>13199.391825512408</v>
      </c>
      <c r="J148" s="52">
        <f t="shared" si="49"/>
        <v>8510.5611571922382</v>
      </c>
      <c r="K148" s="51">
        <f t="shared" si="59"/>
        <v>10970.892327044021</v>
      </c>
      <c r="L148" s="49">
        <f t="shared" si="55"/>
        <v>4471.500282980297</v>
      </c>
      <c r="M148" s="49">
        <f t="shared" si="44"/>
        <v>-4896.5578372487425</v>
      </c>
      <c r="N148" s="49">
        <f t="shared" si="43"/>
        <v>0</v>
      </c>
      <c r="O148" s="48">
        <f t="shared" si="50"/>
        <v>28209.345026768369</v>
      </c>
      <c r="P148" s="38">
        <f t="shared" si="45"/>
        <v>28209.345026768369</v>
      </c>
      <c r="Q148" s="53"/>
      <c r="R148" s="53">
        <f t="shared" si="56"/>
        <v>0.12</v>
      </c>
      <c r="S148" s="53">
        <f t="shared" si="57"/>
        <v>1.0596241035318976E-2</v>
      </c>
      <c r="T148" s="53">
        <f t="shared" si="58"/>
        <v>0.05</v>
      </c>
      <c r="U148" s="53">
        <f t="shared" si="60"/>
        <v>4.2653187775606449E-3</v>
      </c>
    </row>
    <row r="149" spans="1:21" x14ac:dyDescent="0.2">
      <c r="A149" s="62">
        <f t="shared" si="46"/>
        <v>0.19096563961449101</v>
      </c>
      <c r="B149" s="45">
        <f t="shared" si="51"/>
        <v>138</v>
      </c>
      <c r="C149" s="51">
        <f t="shared" si="47"/>
        <v>1020016.7741317933</v>
      </c>
      <c r="D149" s="47" cm="1">
        <f t="array" ref="D149">_xlfn.IFS(AND($C$7="Y",B149&lt;C$4),C149,AND($C$7="Y",B149=C$4),D148+F149-J149-K149-L149+N149,AND($C$7="Y",B149&gt;$C$4),D148-J149-K149-L149+N149, TRUE, D148-J149-K149-L149+N149)</f>
        <v>1000806.004010766</v>
      </c>
      <c r="E149" s="48">
        <f t="shared" si="52"/>
        <v>0</v>
      </c>
      <c r="F149" s="50">
        <f t="shared" si="53"/>
        <v>0</v>
      </c>
      <c r="G149" s="50">
        <f t="shared" si="61"/>
        <v>0</v>
      </c>
      <c r="H149" s="51">
        <f t="shared" si="54"/>
        <v>21390.219979212237</v>
      </c>
      <c r="I149" s="52">
        <f t="shared" si="48"/>
        <v>12897.805789225235</v>
      </c>
      <c r="J149" s="52">
        <f t="shared" si="49"/>
        <v>8492.4141899870028</v>
      </c>
      <c r="K149" s="51">
        <f t="shared" si="59"/>
        <v>10718.355931040131</v>
      </c>
      <c r="L149" s="49">
        <f t="shared" si="55"/>
        <v>4369.3332994989469</v>
      </c>
      <c r="M149" s="49">
        <f t="shared" si="44"/>
        <v>-4787.7854579140167</v>
      </c>
      <c r="N149" s="49">
        <f t="shared" si="43"/>
        <v>0</v>
      </c>
      <c r="O149" s="48">
        <f t="shared" si="50"/>
        <v>27739.242610753419</v>
      </c>
      <c r="P149" s="38">
        <f t="shared" si="45"/>
        <v>27739.242610753419</v>
      </c>
      <c r="Q149" s="53"/>
      <c r="R149" s="53">
        <f t="shared" si="56"/>
        <v>0.12</v>
      </c>
      <c r="S149" s="53">
        <f t="shared" si="57"/>
        <v>1.0596241035318976E-2</v>
      </c>
      <c r="T149" s="53">
        <f t="shared" si="58"/>
        <v>0.05</v>
      </c>
      <c r="U149" s="53">
        <f t="shared" si="60"/>
        <v>4.2653187775606449E-3</v>
      </c>
    </row>
    <row r="150" spans="1:21" x14ac:dyDescent="0.2">
      <c r="A150" s="62">
        <f t="shared" si="46"/>
        <v>0.18653636098716156</v>
      </c>
      <c r="B150" s="45">
        <f t="shared" si="51"/>
        <v>139</v>
      </c>
      <c r="C150" s="51">
        <f t="shared" si="47"/>
        <v>996537.24736916344</v>
      </c>
      <c r="D150" s="47" cm="1">
        <f t="array" ref="D150">_xlfn.IFS(AND($C$7="Y",B150&lt;C$4),C150,AND($C$7="Y",B150=C$4),D149+F150-J150-K150-L150+N150,AND($C$7="Y",B150&gt;$C$4),D149-J150-K150-L150+N150, TRUE, D149-J150-K150-L150+N150)</f>
        <v>977593.19644697267</v>
      </c>
      <c r="E150" s="48">
        <f t="shared" si="52"/>
        <v>0</v>
      </c>
      <c r="F150" s="50">
        <f t="shared" si="53"/>
        <v>0</v>
      </c>
      <c r="G150" s="50">
        <f t="shared" si="61"/>
        <v>0</v>
      </c>
      <c r="H150" s="51">
        <f t="shared" si="54"/>
        <v>21075.211974369879</v>
      </c>
      <c r="I150" s="52">
        <f t="shared" si="48"/>
        <v>12600.914224412414</v>
      </c>
      <c r="J150" s="52">
        <f t="shared" si="49"/>
        <v>8474.2977499574645</v>
      </c>
      <c r="K150" s="51">
        <f t="shared" si="59"/>
        <v>10469.753172233337</v>
      </c>
      <c r="L150" s="49">
        <f t="shared" si="55"/>
        <v>4268.7566416025547</v>
      </c>
      <c r="M150" s="49">
        <f t="shared" si="44"/>
        <v>-4680.7017727680786</v>
      </c>
      <c r="N150" s="49">
        <f t="shared" si="43"/>
        <v>0</v>
      </c>
      <c r="O150" s="48">
        <f t="shared" si="50"/>
        <v>27276.208505000661</v>
      </c>
      <c r="P150" s="38">
        <f t="shared" si="45"/>
        <v>27276.208505000661</v>
      </c>
      <c r="Q150" s="53"/>
      <c r="R150" s="53">
        <f t="shared" si="56"/>
        <v>0.12</v>
      </c>
      <c r="S150" s="53">
        <f t="shared" si="57"/>
        <v>1.0596241035318976E-2</v>
      </c>
      <c r="T150" s="53">
        <f t="shared" si="58"/>
        <v>0.05</v>
      </c>
      <c r="U150" s="53">
        <f t="shared" si="60"/>
        <v>4.2653187775606449E-3</v>
      </c>
    </row>
    <row r="151" spans="1:21" x14ac:dyDescent="0.2">
      <c r="A151" s="62">
        <f t="shared" si="46"/>
        <v>0.18217612253428228</v>
      </c>
      <c r="B151" s="45">
        <f t="shared" si="51"/>
        <v>140</v>
      </c>
      <c r="C151" s="51">
        <f t="shared" si="47"/>
        <v>973423.44982935186</v>
      </c>
      <c r="D151" s="47" cm="1">
        <f t="array" ref="D151">_xlfn.IFS(AND($C$7="Y",B151&lt;C$4),C151,AND($C$7="Y",B151=C$4),D150+F151-J151-K151-L151+N151,AND($C$7="Y",B151&gt;$C$4),D150-J151-K151-L151+N151, TRUE, D150-J151-K151-L151+N151)</f>
        <v>954742.21219991415</v>
      </c>
      <c r="E151" s="48">
        <f t="shared" si="52"/>
        <v>0</v>
      </c>
      <c r="F151" s="50">
        <f t="shared" si="53"/>
        <v>0</v>
      </c>
      <c r="G151" s="50">
        <f t="shared" si="61"/>
        <v>0</v>
      </c>
      <c r="H151" s="51">
        <f t="shared" si="54"/>
        <v>20764.859383996743</v>
      </c>
      <c r="I151" s="52">
        <f t="shared" si="48"/>
        <v>12308.647195790545</v>
      </c>
      <c r="J151" s="52">
        <f t="shared" si="49"/>
        <v>8456.2121882061983</v>
      </c>
      <c r="K151" s="51">
        <f t="shared" si="59"/>
        <v>10225.025441231506</v>
      </c>
      <c r="L151" s="49">
        <f t="shared" si="55"/>
        <v>4169.7466176208045</v>
      </c>
      <c r="M151" s="49">
        <f t="shared" si="44"/>
        <v>-4575.2816385259603</v>
      </c>
      <c r="N151" s="49">
        <f t="shared" si="43"/>
        <v>0</v>
      </c>
      <c r="O151" s="48">
        <f t="shared" si="50"/>
        <v>26820.138207607444</v>
      </c>
      <c r="P151" s="38">
        <f t="shared" si="45"/>
        <v>26820.138207607444</v>
      </c>
      <c r="Q151" s="53"/>
      <c r="R151" s="53">
        <f t="shared" si="56"/>
        <v>0.12</v>
      </c>
      <c r="S151" s="53">
        <f t="shared" si="57"/>
        <v>1.0596241035318976E-2</v>
      </c>
      <c r="T151" s="53">
        <f t="shared" si="58"/>
        <v>0.05</v>
      </c>
      <c r="U151" s="53">
        <f t="shared" si="60"/>
        <v>4.2653187775606449E-3</v>
      </c>
    </row>
    <row r="152" spans="1:21" x14ac:dyDescent="0.2">
      <c r="A152" s="62">
        <f t="shared" si="46"/>
        <v>0.17788389543523969</v>
      </c>
      <c r="B152" s="45">
        <f t="shared" si="51"/>
        <v>141</v>
      </c>
      <c r="C152" s="51">
        <f t="shared" si="47"/>
        <v>950669.93231448811</v>
      </c>
      <c r="D152" s="47" cm="1">
        <f t="array" ref="D152">_xlfn.IFS(AND($C$7="Y",B152&lt;C$4),C152,AND($C$7="Y",B152=C$4),D151+F152-J152-K152-L152+N152,AND($C$7="Y",B152&gt;$C$4),D151-J152-K152-L152+N152, TRUE, D151-J152-K152-L152+N152)</f>
        <v>932247.65946272342</v>
      </c>
      <c r="E152" s="48">
        <f t="shared" si="52"/>
        <v>0</v>
      </c>
      <c r="F152" s="50">
        <f t="shared" si="53"/>
        <v>0</v>
      </c>
      <c r="G152" s="50">
        <f t="shared" si="61"/>
        <v>0</v>
      </c>
      <c r="H152" s="51">
        <f t="shared" si="54"/>
        <v>20459.093658381636</v>
      </c>
      <c r="I152" s="52">
        <f t="shared" si="48"/>
        <v>12020.935799888999</v>
      </c>
      <c r="J152" s="52">
        <f t="shared" si="49"/>
        <v>8438.1578584926374</v>
      </c>
      <c r="K152" s="51">
        <f t="shared" si="59"/>
        <v>9984.1149932720327</v>
      </c>
      <c r="L152" s="49">
        <f t="shared" si="55"/>
        <v>4072.2798854260836</v>
      </c>
      <c r="M152" s="49">
        <f t="shared" si="44"/>
        <v>-4471.500282980297</v>
      </c>
      <c r="N152" s="49">
        <f t="shared" si="43"/>
        <v>0</v>
      </c>
      <c r="O152" s="48">
        <f t="shared" si="50"/>
        <v>26370.928766227589</v>
      </c>
      <c r="P152" s="38">
        <f t="shared" si="45"/>
        <v>26370.928766227589</v>
      </c>
      <c r="Q152" s="53"/>
      <c r="R152" s="53">
        <f t="shared" si="56"/>
        <v>0.12</v>
      </c>
      <c r="S152" s="53">
        <f t="shared" si="57"/>
        <v>1.0596241035318976E-2</v>
      </c>
      <c r="T152" s="53">
        <f t="shared" si="58"/>
        <v>0.05</v>
      </c>
      <c r="U152" s="53">
        <f t="shared" si="60"/>
        <v>4.2653187775606449E-3</v>
      </c>
    </row>
    <row r="153" spans="1:21" x14ac:dyDescent="0.2">
      <c r="A153" s="62">
        <f t="shared" si="46"/>
        <v>0.17365866604542451</v>
      </c>
      <c r="B153" s="45">
        <f t="shared" si="51"/>
        <v>142</v>
      </c>
      <c r="C153" s="51">
        <f t="shared" si="47"/>
        <v>928271.3260154801</v>
      </c>
      <c r="D153" s="47" cm="1">
        <f t="array" ref="D153">_xlfn.IFS(AND($C$7="Y",B153&lt;C$4),C153,AND($C$7="Y",B153=C$4),D152+F153-J153-K153-L153+N153,AND($C$7="Y",B153&gt;$C$4),D152-J153-K153-L153+N153, TRUE, D152-J153-K153-L153+N153)</f>
        <v>910104.2259624023</v>
      </c>
      <c r="E153" s="48">
        <f t="shared" si="52"/>
        <v>0</v>
      </c>
      <c r="F153" s="50">
        <f t="shared" si="53"/>
        <v>0</v>
      </c>
      <c r="G153" s="50">
        <f t="shared" si="61"/>
        <v>0</v>
      </c>
      <c r="H153" s="51">
        <f t="shared" si="54"/>
        <v>20157.847267428868</v>
      </c>
      <c r="I153" s="52">
        <f t="shared" si="48"/>
        <v>11737.71214972911</v>
      </c>
      <c r="J153" s="52">
        <f t="shared" si="49"/>
        <v>8420.1351176997578</v>
      </c>
      <c r="K153" s="51">
        <f t="shared" si="59"/>
        <v>9746.9649353780896</v>
      </c>
      <c r="L153" s="49">
        <f t="shared" si="55"/>
        <v>3976.3334472433157</v>
      </c>
      <c r="M153" s="49">
        <f t="shared" si="44"/>
        <v>-4369.3332994989469</v>
      </c>
      <c r="N153" s="49">
        <f t="shared" si="43"/>
        <v>0</v>
      </c>
      <c r="O153" s="48">
        <f t="shared" si="50"/>
        <v>25928.478755563639</v>
      </c>
      <c r="P153" s="38">
        <f t="shared" si="45"/>
        <v>25928.478755563639</v>
      </c>
      <c r="Q153" s="53"/>
      <c r="R153" s="53">
        <f t="shared" si="56"/>
        <v>0.12</v>
      </c>
      <c r="S153" s="53">
        <f t="shared" si="57"/>
        <v>1.0596241035318976E-2</v>
      </c>
      <c r="T153" s="53">
        <f t="shared" si="58"/>
        <v>0.05</v>
      </c>
      <c r="U153" s="53">
        <f t="shared" si="60"/>
        <v>4.2653187775606449E-3</v>
      </c>
    </row>
    <row r="154" spans="1:21" x14ac:dyDescent="0.2">
      <c r="A154" s="62">
        <f t="shared" si="46"/>
        <v>0.16949943567069525</v>
      </c>
      <c r="B154" s="45">
        <f t="shared" si="51"/>
        <v>143</v>
      </c>
      <c r="C154" s="51">
        <f t="shared" si="47"/>
        <v>906222.34131786751</v>
      </c>
      <c r="D154" s="47" cm="1">
        <f t="array" ref="D154">_xlfn.IFS(AND($C$7="Y",B154&lt;C$4),C154,AND($C$7="Y",B154=C$4),D153+F154-J154-K154-L154+N154,AND($C$7="Y",B154&gt;$C$4),D153-J154-K154-L154+N154, TRUE, D153-J154-K154-L154+N154)</f>
        <v>888306.67777783808</v>
      </c>
      <c r="E154" s="48">
        <f t="shared" si="52"/>
        <v>0</v>
      </c>
      <c r="F154" s="50">
        <f t="shared" si="53"/>
        <v>0</v>
      </c>
      <c r="G154" s="50">
        <f t="shared" si="61"/>
        <v>0</v>
      </c>
      <c r="H154" s="51">
        <f t="shared" si="54"/>
        <v>19861.0536860541</v>
      </c>
      <c r="I154" s="52">
        <f t="shared" si="48"/>
        <v>11458.909359724543</v>
      </c>
      <c r="J154" s="52">
        <f t="shared" si="49"/>
        <v>8402.1443263295569</v>
      </c>
      <c r="K154" s="51">
        <f t="shared" si="59"/>
        <v>9513.5192136999012</v>
      </c>
      <c r="L154" s="49">
        <f t="shared" si="55"/>
        <v>3881.8846445347308</v>
      </c>
      <c r="M154" s="49">
        <f t="shared" si="44"/>
        <v>-4268.7566416025547</v>
      </c>
      <c r="N154" s="49">
        <f t="shared" si="43"/>
        <v>0</v>
      </c>
      <c r="O154" s="48">
        <f t="shared" si="50"/>
        <v>25492.688255219269</v>
      </c>
      <c r="P154" s="38">
        <f t="shared" si="45"/>
        <v>25492.688255219269</v>
      </c>
      <c r="Q154" s="53"/>
      <c r="R154" s="53">
        <f t="shared" si="56"/>
        <v>0.12</v>
      </c>
      <c r="S154" s="53">
        <f t="shared" si="57"/>
        <v>1.0596241035318976E-2</v>
      </c>
      <c r="T154" s="53">
        <f t="shared" si="58"/>
        <v>0.05</v>
      </c>
      <c r="U154" s="53">
        <f t="shared" si="60"/>
        <v>4.2653187775606449E-3</v>
      </c>
    </row>
    <row r="155" spans="1:21" x14ac:dyDescent="0.2">
      <c r="A155" s="62">
        <f t="shared" si="46"/>
        <v>0.16540522034508393</v>
      </c>
      <c r="B155" s="45">
        <f t="shared" si="51"/>
        <v>144</v>
      </c>
      <c r="C155" s="51">
        <f t="shared" si="47"/>
        <v>884517.76662487979</v>
      </c>
      <c r="D155" s="47" cm="1">
        <f t="array" ref="D155">_xlfn.IFS(AND($C$7="Y",B155&lt;C$4),C155,AND($C$7="Y",B155=C$4),D154+F155-J155-K155-L155+N155,AND($C$7="Y",B155&gt;$C$4),D154-J155-K155-L155+N155, TRUE, D154-J155-K155-L155+N155)</f>
        <v>866849.85817481158</v>
      </c>
      <c r="E155" s="48">
        <f t="shared" si="52"/>
        <v>0</v>
      </c>
      <c r="F155" s="50">
        <f t="shared" si="53"/>
        <v>0</v>
      </c>
      <c r="G155" s="50">
        <f t="shared" si="61"/>
        <v>0</v>
      </c>
      <c r="H155" s="51">
        <f t="shared" si="54"/>
        <v>19568.647379829341</v>
      </c>
      <c r="I155" s="52">
        <f t="shared" si="48"/>
        <v>11184.461530799212</v>
      </c>
      <c r="J155" s="52">
        <f t="shared" si="49"/>
        <v>8384.1858490301292</v>
      </c>
      <c r="K155" s="51">
        <f t="shared" si="59"/>
        <v>9283.7226010380109</v>
      </c>
      <c r="L155" s="49">
        <f t="shared" si="55"/>
        <v>3788.9111529583261</v>
      </c>
      <c r="M155" s="49">
        <f t="shared" si="44"/>
        <v>-4169.7466176208045</v>
      </c>
      <c r="N155" s="49">
        <f t="shared" si="43"/>
        <v>0</v>
      </c>
      <c r="O155" s="48">
        <f t="shared" si="50"/>
        <v>25063.458827909031</v>
      </c>
      <c r="P155" s="38">
        <f t="shared" si="45"/>
        <v>25063.458827909031</v>
      </c>
      <c r="Q155" s="53"/>
      <c r="R155" s="53">
        <f t="shared" si="56"/>
        <v>0.12</v>
      </c>
      <c r="S155" s="53">
        <f t="shared" si="57"/>
        <v>1.0596241035318976E-2</v>
      </c>
      <c r="T155" s="53">
        <f t="shared" si="58"/>
        <v>0.05</v>
      </c>
      <c r="U155" s="53">
        <f t="shared" si="60"/>
        <v>4.2653187775606449E-3</v>
      </c>
    </row>
    <row r="156" spans="1:21" x14ac:dyDescent="0.2">
      <c r="A156" s="62">
        <f t="shared" si="46"/>
        <v>0.16137505061168933</v>
      </c>
      <c r="B156" s="45">
        <f t="shared" si="51"/>
        <v>145</v>
      </c>
      <c r="C156" s="51">
        <f t="shared" si="47"/>
        <v>863152.46719741274</v>
      </c>
      <c r="D156" s="47" cm="1">
        <f t="array" ref="D156">_xlfn.IFS(AND($C$7="Y",B156&lt;C$4),C156,AND($C$7="Y",B156=C$4),D155+F156-J156-K156-L156+N156,AND($C$7="Y",B156&gt;$C$4),D155-J156-K156-L156+N156, TRUE, D155-J156-K156-L156+N156)</f>
        <v>845728.68645771011</v>
      </c>
      <c r="E156" s="48">
        <f t="shared" si="52"/>
        <v>0</v>
      </c>
      <c r="F156" s="50">
        <f t="shared" si="53"/>
        <v>0</v>
      </c>
      <c r="G156" s="50">
        <f t="shared" si="61"/>
        <v>0</v>
      </c>
      <c r="H156" s="51">
        <f t="shared" si="54"/>
        <v>19280.563790876349</v>
      </c>
      <c r="I156" s="52">
        <f t="shared" si="48"/>
        <v>10914.303735719157</v>
      </c>
      <c r="J156" s="52">
        <f t="shared" si="49"/>
        <v>8366.2600551571923</v>
      </c>
      <c r="K156" s="51">
        <f t="shared" si="59"/>
        <v>9057.5206845454341</v>
      </c>
      <c r="L156" s="49">
        <f t="shared" si="55"/>
        <v>3697.3909773988057</v>
      </c>
      <c r="M156" s="49">
        <f t="shared" si="44"/>
        <v>-4072.2798854260836</v>
      </c>
      <c r="N156" s="49">
        <f t="shared" si="43"/>
        <v>0</v>
      </c>
      <c r="O156" s="48">
        <f t="shared" si="50"/>
        <v>24640.693498022978</v>
      </c>
      <c r="P156" s="38">
        <f t="shared" si="45"/>
        <v>24640.693498022978</v>
      </c>
      <c r="Q156" s="53"/>
      <c r="R156" s="53">
        <f t="shared" si="56"/>
        <v>0.12</v>
      </c>
      <c r="S156" s="53">
        <f t="shared" si="57"/>
        <v>1.0596241035318976E-2</v>
      </c>
      <c r="T156" s="53">
        <f t="shared" si="58"/>
        <v>0.05</v>
      </c>
      <c r="U156" s="53">
        <f t="shared" si="60"/>
        <v>4.2653187775606449E-3</v>
      </c>
    </row>
    <row r="157" spans="1:21" x14ac:dyDescent="0.2">
      <c r="A157" s="62">
        <f t="shared" si="46"/>
        <v>0.1574079713067035</v>
      </c>
      <c r="B157" s="45">
        <f t="shared" si="51"/>
        <v>146</v>
      </c>
      <c r="C157" s="51">
        <f t="shared" si="47"/>
        <v>842121.38401064032</v>
      </c>
      <c r="D157" s="47" cm="1">
        <f t="array" ref="D157">_xlfn.IFS(AND($C$7="Y",B157&lt;C$4),C157,AND($C$7="Y",B157=C$4),D156+F157-J157-K157-L157+N157,AND($C$7="Y",B157&gt;$C$4),D156-J157-K157-L157+N157, TRUE, D156-J157-K157-L157+N157)</f>
        <v>824938.15683766105</v>
      </c>
      <c r="E157" s="48">
        <f t="shared" si="52"/>
        <v>0</v>
      </c>
      <c r="F157" s="50">
        <f t="shared" si="53"/>
        <v>0</v>
      </c>
      <c r="G157" s="50">
        <f t="shared" si="61"/>
        <v>0</v>
      </c>
      <c r="H157" s="51">
        <f t="shared" si="54"/>
        <v>18996.739324008257</v>
      </c>
      <c r="I157" s="52">
        <f t="shared" si="48"/>
        <v>10648.372004634721</v>
      </c>
      <c r="J157" s="52">
        <f t="shared" si="49"/>
        <v>8348.3673193735358</v>
      </c>
      <c r="K157" s="51">
        <f t="shared" si="59"/>
        <v>8834.8598536056943</v>
      </c>
      <c r="L157" s="49">
        <f t="shared" si="55"/>
        <v>3607.3024470697701</v>
      </c>
      <c r="M157" s="49">
        <f t="shared" si="44"/>
        <v>-3976.3334472433157</v>
      </c>
      <c r="N157" s="49">
        <f t="shared" si="43"/>
        <v>0</v>
      </c>
      <c r="O157" s="48">
        <f t="shared" si="50"/>
        <v>24224.296730544178</v>
      </c>
      <c r="P157" s="38">
        <f t="shared" si="45"/>
        <v>24224.296730544178</v>
      </c>
      <c r="Q157" s="53"/>
      <c r="R157" s="53">
        <f t="shared" si="56"/>
        <v>0.12</v>
      </c>
      <c r="S157" s="53">
        <f t="shared" si="57"/>
        <v>1.0596241035318976E-2</v>
      </c>
      <c r="T157" s="53">
        <f t="shared" si="58"/>
        <v>0.05</v>
      </c>
      <c r="U157" s="53">
        <f t="shared" si="60"/>
        <v>4.2653187775606449E-3</v>
      </c>
    </row>
    <row r="158" spans="1:21" x14ac:dyDescent="0.2">
      <c r="A158" s="62">
        <f t="shared" si="46"/>
        <v>0.1535030413465171</v>
      </c>
      <c r="B158" s="45">
        <f t="shared" si="51"/>
        <v>147</v>
      </c>
      <c r="C158" s="51">
        <f t="shared" si="47"/>
        <v>821419.53262697509</v>
      </c>
      <c r="D158" s="47" cm="1">
        <f t="array" ref="D158">_xlfn.IFS(AND($C$7="Y",B158&lt;C$4),C158,AND($C$7="Y",B158=C$4),D157+F158-J158-K158-L158+N158,AND($C$7="Y",B158&gt;$C$4),D157-J158-K158-L158+N158, TRUE, D157-J158-K158-L158+N158)</f>
        <v>804473.33731680154</v>
      </c>
      <c r="E158" s="48">
        <f t="shared" si="52"/>
        <v>0</v>
      </c>
      <c r="F158" s="50">
        <f t="shared" si="53"/>
        <v>0</v>
      </c>
      <c r="G158" s="50">
        <f t="shared" si="61"/>
        <v>0</v>
      </c>
      <c r="H158" s="51">
        <f t="shared" si="54"/>
        <v>18717.11133311941</v>
      </c>
      <c r="I158" s="52">
        <f t="shared" si="48"/>
        <v>10386.603310829476</v>
      </c>
      <c r="J158" s="52">
        <f t="shared" si="49"/>
        <v>8330.5080222899342</v>
      </c>
      <c r="K158" s="51">
        <f t="shared" si="59"/>
        <v>8615.6872878836457</v>
      </c>
      <c r="L158" s="49">
        <f t="shared" si="55"/>
        <v>3518.624210685944</v>
      </c>
      <c r="M158" s="49">
        <f t="shared" si="44"/>
        <v>-3881.8846445347308</v>
      </c>
      <c r="N158" s="49">
        <f t="shared" si="43"/>
        <v>0</v>
      </c>
      <c r="O158" s="48">
        <f t="shared" si="50"/>
        <v>23814.174410317115</v>
      </c>
      <c r="P158" s="38">
        <f t="shared" si="45"/>
        <v>23814.174410317115</v>
      </c>
      <c r="Q158" s="53"/>
      <c r="R158" s="53">
        <f t="shared" si="56"/>
        <v>0.12</v>
      </c>
      <c r="S158" s="53">
        <f t="shared" si="57"/>
        <v>1.0596241035318976E-2</v>
      </c>
      <c r="T158" s="53">
        <f t="shared" si="58"/>
        <v>0.05</v>
      </c>
      <c r="U158" s="53">
        <f t="shared" si="60"/>
        <v>4.2653187775606449E-3</v>
      </c>
    </row>
    <row r="159" spans="1:21" x14ac:dyDescent="0.2">
      <c r="A159" s="62">
        <f t="shared" si="46"/>
        <v>0.14965933351784966</v>
      </c>
      <c r="B159" s="45">
        <f t="shared" si="51"/>
        <v>148</v>
      </c>
      <c r="C159" s="51">
        <f t="shared" si="47"/>
        <v>801042.00208509725</v>
      </c>
      <c r="D159" s="47" cm="1">
        <f t="array" ref="D159">_xlfn.IFS(AND($C$7="Y",B159&lt;C$4),C159,AND($C$7="Y",B159=C$4),D158+F159-J159-K159-L159+N159,AND($C$7="Y",B159&gt;$C$4),D158-J159-K159-L159+N159, TRUE, D158-J159-K159-L159+N159)</f>
        <v>784329.36858839961</v>
      </c>
      <c r="E159" s="48">
        <f t="shared" si="52"/>
        <v>0</v>
      </c>
      <c r="F159" s="50">
        <f t="shared" si="53"/>
        <v>0</v>
      </c>
      <c r="G159" s="50">
        <f t="shared" si="61"/>
        <v>0</v>
      </c>
      <c r="H159" s="51">
        <f t="shared" si="54"/>
        <v>18441.618107823968</v>
      </c>
      <c r="I159" s="52">
        <f t="shared" si="48"/>
        <v>10128.935556672341</v>
      </c>
      <c r="J159" s="52">
        <f t="shared" si="49"/>
        <v>8312.6825511516272</v>
      </c>
      <c r="K159" s="51">
        <f t="shared" si="59"/>
        <v>8399.9509455460829</v>
      </c>
      <c r="L159" s="49">
        <f t="shared" si="55"/>
        <v>3431.3352317042322</v>
      </c>
      <c r="M159" s="49">
        <f t="shared" si="44"/>
        <v>-3788.9111529583261</v>
      </c>
      <c r="N159" s="49">
        <f t="shared" si="43"/>
        <v>0</v>
      </c>
      <c r="O159" s="48">
        <f t="shared" si="50"/>
        <v>23410.233821665821</v>
      </c>
      <c r="P159" s="38">
        <f t="shared" si="45"/>
        <v>23410.233821665821</v>
      </c>
      <c r="Q159" s="53"/>
      <c r="R159" s="53">
        <f t="shared" si="56"/>
        <v>0.12</v>
      </c>
      <c r="S159" s="53">
        <f t="shared" si="57"/>
        <v>1.0596241035318976E-2</v>
      </c>
      <c r="T159" s="53">
        <f t="shared" si="58"/>
        <v>0.05</v>
      </c>
      <c r="U159" s="53">
        <f t="shared" si="60"/>
        <v>4.2653187775606449E-3</v>
      </c>
    </row>
    <row r="160" spans="1:21" x14ac:dyDescent="0.2">
      <c r="A160" s="62">
        <f t="shared" si="46"/>
        <v>0.14587593427084997</v>
      </c>
      <c r="B160" s="45">
        <f t="shared" si="51"/>
        <v>149</v>
      </c>
      <c r="C160" s="51">
        <f t="shared" si="47"/>
        <v>780983.95380476722</v>
      </c>
      <c r="D160" s="47" cm="1">
        <f t="array" ref="D160">_xlfn.IFS(AND($C$7="Y",B160&lt;C$4),C160,AND($C$7="Y",B160=C$4),D159+F160-J160-K160-L160+N160,AND($C$7="Y",B160&gt;$C$4),D159-J160-K160-L160+N160, TRUE, D159-J160-K160-L160+N160)</f>
        <v>764501.46295254317</v>
      </c>
      <c r="E160" s="48">
        <f t="shared" si="52"/>
        <v>0</v>
      </c>
      <c r="F160" s="50">
        <f t="shared" si="53"/>
        <v>0</v>
      </c>
      <c r="G160" s="50">
        <f t="shared" si="61"/>
        <v>0</v>
      </c>
      <c r="H160" s="51">
        <f t="shared" si="54"/>
        <v>18170.198860344193</v>
      </c>
      <c r="I160" s="52">
        <f t="shared" si="48"/>
        <v>9875.3075597692496</v>
      </c>
      <c r="J160" s="52">
        <f t="shared" si="49"/>
        <v>8294.8913005749437</v>
      </c>
      <c r="K160" s="51">
        <f t="shared" si="59"/>
        <v>8187.5995516490711</v>
      </c>
      <c r="L160" s="49">
        <f t="shared" si="55"/>
        <v>3345.414783632385</v>
      </c>
      <c r="M160" s="49">
        <f t="shared" si="44"/>
        <v>-3697.3909773988057</v>
      </c>
      <c r="N160" s="49">
        <f t="shared" ref="N160:N223" si="62">IFERROR((1-$N$9)*L156,0)</f>
        <v>0</v>
      </c>
      <c r="O160" s="48">
        <f t="shared" si="50"/>
        <v>23012.38362836088</v>
      </c>
      <c r="P160" s="38">
        <f t="shared" si="45"/>
        <v>23012.38362836088</v>
      </c>
      <c r="Q160" s="53"/>
      <c r="R160" s="53">
        <f t="shared" si="56"/>
        <v>0.12</v>
      </c>
      <c r="S160" s="53">
        <f t="shared" si="57"/>
        <v>1.0596241035318976E-2</v>
      </c>
      <c r="T160" s="53">
        <f t="shared" si="58"/>
        <v>0.05</v>
      </c>
      <c r="U160" s="53">
        <f t="shared" si="60"/>
        <v>4.2653187775606449E-3</v>
      </c>
    </row>
    <row r="161" spans="1:21" x14ac:dyDescent="0.2">
      <c r="A161" s="62">
        <f t="shared" si="46"/>
        <v>0.1421519435151129</v>
      </c>
      <c r="B161" s="45">
        <f t="shared" si="51"/>
        <v>150</v>
      </c>
      <c r="C161" s="51">
        <f t="shared" si="47"/>
        <v>761240.62050713913</v>
      </c>
      <c r="D161" s="47" cm="1">
        <f t="array" ref="D161">_xlfn.IFS(AND($C$7="Y",B161&lt;C$4),C161,AND($C$7="Y",B161=C$4),D160+F161-J161-K161-L161+N161,AND($C$7="Y",B161&gt;$C$4),D160-J161-K161-L161+N161, TRUE, D160-J161-K161-L161+N161)</f>
        <v>744984.90324711113</v>
      </c>
      <c r="E161" s="48">
        <f t="shared" si="52"/>
        <v>0</v>
      </c>
      <c r="F161" s="50">
        <f t="shared" si="53"/>
        <v>0</v>
      </c>
      <c r="G161" s="50">
        <f t="shared" si="61"/>
        <v>0</v>
      </c>
      <c r="H161" s="51">
        <f t="shared" si="54"/>
        <v>17902.79371264996</v>
      </c>
      <c r="I161" s="52">
        <f t="shared" si="48"/>
        <v>9625.659039310849</v>
      </c>
      <c r="J161" s="52">
        <f t="shared" si="49"/>
        <v>8277.134673339111</v>
      </c>
      <c r="K161" s="51">
        <f t="shared" si="59"/>
        <v>7978.5825866889309</v>
      </c>
      <c r="L161" s="49">
        <f t="shared" si="55"/>
        <v>3260.842445404066</v>
      </c>
      <c r="M161" s="49">
        <f t="shared" si="44"/>
        <v>-3607.3024470697701</v>
      </c>
      <c r="N161" s="49">
        <f t="shared" si="62"/>
        <v>0</v>
      </c>
      <c r="O161" s="48">
        <f t="shared" si="50"/>
        <v>22620.533853934827</v>
      </c>
      <c r="P161" s="38">
        <f t="shared" si="45"/>
        <v>22620.533853934827</v>
      </c>
      <c r="Q161" s="53"/>
      <c r="R161" s="53">
        <f t="shared" si="56"/>
        <v>0.12</v>
      </c>
      <c r="S161" s="53">
        <f t="shared" si="57"/>
        <v>1.0596241035318976E-2</v>
      </c>
      <c r="T161" s="53">
        <f t="shared" si="58"/>
        <v>0.05</v>
      </c>
      <c r="U161" s="53">
        <f t="shared" si="60"/>
        <v>4.2653187775606449E-3</v>
      </c>
    </row>
    <row r="162" spans="1:21" x14ac:dyDescent="0.2">
      <c r="A162" s="62">
        <f t="shared" si="46"/>
        <v>0.13848647441855716</v>
      </c>
      <c r="B162" s="45">
        <f t="shared" si="51"/>
        <v>151</v>
      </c>
      <c r="C162" s="51">
        <f t="shared" si="47"/>
        <v>741807.305150292</v>
      </c>
      <c r="D162" s="47" cm="1">
        <f t="array" ref="D162">_xlfn.IFS(AND($C$7="Y",B162&lt;C$4),C162,AND($C$7="Y",B162=C$4),D161+F162-J162-K162-L162+N162,AND($C$7="Y",B162&gt;$C$4),D161-J162-K162-L162+N162, TRUE, D161-J162-K162-L162+N162)</f>
        <v>725775.04179373931</v>
      </c>
      <c r="E162" s="48">
        <f t="shared" si="52"/>
        <v>0</v>
      </c>
      <c r="F162" s="50">
        <f t="shared" si="53"/>
        <v>0</v>
      </c>
      <c r="G162" s="50">
        <f t="shared" si="61"/>
        <v>0</v>
      </c>
      <c r="H162" s="51">
        <f t="shared" si="54"/>
        <v>17639.343683851424</v>
      </c>
      <c r="I162" s="52">
        <f t="shared" si="48"/>
        <v>9379.9306026126142</v>
      </c>
      <c r="J162" s="52">
        <f t="shared" si="49"/>
        <v>8259.4130812388103</v>
      </c>
      <c r="K162" s="51">
        <f t="shared" si="59"/>
        <v>7772.8502753138364</v>
      </c>
      <c r="L162" s="49">
        <f t="shared" si="55"/>
        <v>3177.5980968191034</v>
      </c>
      <c r="M162" s="49">
        <f t="shared" si="44"/>
        <v>-3518.624210685944</v>
      </c>
      <c r="N162" s="49">
        <f t="shared" si="62"/>
        <v>0</v>
      </c>
      <c r="O162" s="48">
        <f t="shared" si="50"/>
        <v>22234.595862346159</v>
      </c>
      <c r="P162" s="38">
        <f t="shared" si="45"/>
        <v>22234.595862346159</v>
      </c>
      <c r="Q162" s="53"/>
      <c r="R162" s="53">
        <f t="shared" si="56"/>
        <v>0.12</v>
      </c>
      <c r="S162" s="53">
        <f t="shared" si="57"/>
        <v>1.0596241035318976E-2</v>
      </c>
      <c r="T162" s="53">
        <f t="shared" si="58"/>
        <v>0.05</v>
      </c>
      <c r="U162" s="53">
        <f t="shared" si="60"/>
        <v>4.2653187775606449E-3</v>
      </c>
    </row>
    <row r="163" spans="1:21" x14ac:dyDescent="0.2">
      <c r="A163" s="62">
        <f t="shared" si="46"/>
        <v>0.13487865320910958</v>
      </c>
      <c r="B163" s="45">
        <f t="shared" si="51"/>
        <v>152</v>
      </c>
      <c r="C163" s="51">
        <f t="shared" si="47"/>
        <v>722679.37987969164</v>
      </c>
      <c r="D163" s="47" cm="1">
        <f t="array" ref="D163">_xlfn.IFS(AND($C$7="Y",B163&lt;C$4),C163,AND($C$7="Y",B163=C$4),D162+F163-J163-K163-L163+N163,AND($C$7="Y",B163&gt;$C$4),D162-J163-K163-L163+N163, TRUE, D162-J163-K163-L163+N163)</f>
        <v>706867.2993584947</v>
      </c>
      <c r="E163" s="48">
        <f t="shared" si="52"/>
        <v>0</v>
      </c>
      <c r="F163" s="50">
        <f t="shared" si="53"/>
        <v>0</v>
      </c>
      <c r="G163" s="50">
        <f t="shared" si="61"/>
        <v>0</v>
      </c>
      <c r="H163" s="51">
        <f t="shared" si="54"/>
        <v>17379.790677847755</v>
      </c>
      <c r="I163" s="52">
        <f t="shared" si="48"/>
        <v>9138.0637318437421</v>
      </c>
      <c r="J163" s="52">
        <f t="shared" si="49"/>
        <v>8241.7269460040134</v>
      </c>
      <c r="K163" s="51">
        <f t="shared" si="59"/>
        <v>7570.3535751929185</v>
      </c>
      <c r="L163" s="49">
        <f t="shared" si="55"/>
        <v>3095.6619140476982</v>
      </c>
      <c r="M163" s="49">
        <f t="shared" si="44"/>
        <v>-3431.3352317042322</v>
      </c>
      <c r="N163" s="49">
        <f t="shared" si="62"/>
        <v>0</v>
      </c>
      <c r="O163" s="48">
        <f t="shared" si="50"/>
        <v>21854.482338992973</v>
      </c>
      <c r="P163" s="38">
        <f t="shared" si="45"/>
        <v>21854.482338992973</v>
      </c>
      <c r="Q163" s="53"/>
      <c r="R163" s="53">
        <f t="shared" si="56"/>
        <v>0.12</v>
      </c>
      <c r="S163" s="53">
        <f t="shared" si="57"/>
        <v>1.0596241035318976E-2</v>
      </c>
      <c r="T163" s="53">
        <f t="shared" si="58"/>
        <v>0.05</v>
      </c>
      <c r="U163" s="53">
        <f t="shared" si="60"/>
        <v>4.2653187775606449E-3</v>
      </c>
    </row>
    <row r="164" spans="1:21" x14ac:dyDescent="0.2">
      <c r="A164" s="62">
        <f t="shared" si="46"/>
        <v>0.13132761897913978</v>
      </c>
      <c r="B164" s="45">
        <f t="shared" si="51"/>
        <v>153</v>
      </c>
      <c r="C164" s="51">
        <f t="shared" si="47"/>
        <v>703852.2849932973</v>
      </c>
      <c r="D164" s="47" cm="1">
        <f t="array" ref="D164">_xlfn.IFS(AND($C$7="Y",B164&lt;C$4),C164,AND($C$7="Y",B164=C$4),D163+F164-J164-K164-L164+N164,AND($C$7="Y",B164&gt;$C$4),D163-J164-K164-L164+N164, TRUE, D163-J164-K164-L164+N164)</f>
        <v>688257.16412696359</v>
      </c>
      <c r="E164" s="48">
        <f t="shared" si="52"/>
        <v>0</v>
      </c>
      <c r="F164" s="50">
        <f t="shared" si="53"/>
        <v>0</v>
      </c>
      <c r="G164" s="50">
        <f t="shared" si="61"/>
        <v>0</v>
      </c>
      <c r="H164" s="51">
        <f t="shared" si="54"/>
        <v>17124.077471235134</v>
      </c>
      <c r="I164" s="52">
        <f t="shared" si="48"/>
        <v>8900.0007709412439</v>
      </c>
      <c r="J164" s="52">
        <f t="shared" si="49"/>
        <v>8224.0767002938901</v>
      </c>
      <c r="K164" s="51">
        <f t="shared" si="59"/>
        <v>7371.0441660397382</v>
      </c>
      <c r="L164" s="49">
        <f t="shared" si="55"/>
        <v>3015.014365197369</v>
      </c>
      <c r="M164" s="49">
        <f t="shared" si="44"/>
        <v>-3345.414783632385</v>
      </c>
      <c r="N164" s="49">
        <f t="shared" si="62"/>
        <v>0</v>
      </c>
      <c r="O164" s="48">
        <f t="shared" si="50"/>
        <v>21480.107272077505</v>
      </c>
      <c r="P164" s="38">
        <f t="shared" si="45"/>
        <v>21480.107272077505</v>
      </c>
      <c r="Q164" s="53"/>
      <c r="R164" s="53">
        <f t="shared" si="56"/>
        <v>0.12</v>
      </c>
      <c r="S164" s="53">
        <f t="shared" si="57"/>
        <v>1.0596241035318976E-2</v>
      </c>
      <c r="T164" s="53">
        <f t="shared" si="58"/>
        <v>0.05</v>
      </c>
      <c r="U164" s="53">
        <f t="shared" si="60"/>
        <v>4.2653187775606449E-3</v>
      </c>
    </row>
    <row r="165" spans="1:21" x14ac:dyDescent="0.2">
      <c r="A165" s="62">
        <f t="shared" si="46"/>
        <v>0.12783252349258972</v>
      </c>
      <c r="B165" s="45">
        <f t="shared" si="51"/>
        <v>154</v>
      </c>
      <c r="C165" s="51">
        <f t="shared" si="47"/>
        <v>685321.52792102227</v>
      </c>
      <c r="D165" s="47" cm="1">
        <f t="array" ref="D165">_xlfn.IFS(AND($C$7="Y",B165&lt;C$4),C165,AND($C$7="Y",B165=C$4),D164+F165-J165-K165-L165+N165,AND($C$7="Y",B165&gt;$C$4),D164-J165-K165-L165+N165, TRUE, D164-J165-K165-L165+N165)</f>
        <v>669940.19069346227</v>
      </c>
      <c r="E165" s="48">
        <f t="shared" si="52"/>
        <v>0</v>
      </c>
      <c r="F165" s="50">
        <f t="shared" si="53"/>
        <v>0</v>
      </c>
      <c r="G165" s="50">
        <f t="shared" si="61"/>
        <v>0</v>
      </c>
      <c r="H165" s="51">
        <f t="shared" si="54"/>
        <v>16872.147701478552</v>
      </c>
      <c r="I165" s="52">
        <f t="shared" si="48"/>
        <v>8665.6849127055284</v>
      </c>
      <c r="J165" s="52">
        <f t="shared" si="49"/>
        <v>8206.4627887730239</v>
      </c>
      <c r="K165" s="51">
        <f t="shared" si="59"/>
        <v>7174.8744387870211</v>
      </c>
      <c r="L165" s="49">
        <f t="shared" si="55"/>
        <v>2935.6362059413764</v>
      </c>
      <c r="M165" s="49">
        <f t="shared" si="44"/>
        <v>-3260.842445404066</v>
      </c>
      <c r="N165" s="49">
        <f t="shared" si="62"/>
        <v>0</v>
      </c>
      <c r="O165" s="48">
        <f t="shared" si="50"/>
        <v>21111.385934324197</v>
      </c>
      <c r="P165" s="38">
        <f t="shared" si="45"/>
        <v>21111.385934324197</v>
      </c>
      <c r="Q165" s="53"/>
      <c r="R165" s="53">
        <f t="shared" si="56"/>
        <v>0.12</v>
      </c>
      <c r="S165" s="53">
        <f t="shared" si="57"/>
        <v>1.0596241035318976E-2</v>
      </c>
      <c r="T165" s="53">
        <f t="shared" si="58"/>
        <v>0.05</v>
      </c>
      <c r="U165" s="53">
        <f t="shared" si="60"/>
        <v>4.2653187775606449E-3</v>
      </c>
    </row>
    <row r="166" spans="1:21" x14ac:dyDescent="0.2">
      <c r="A166" s="62">
        <f t="shared" si="46"/>
        <v>0.12439253099473989</v>
      </c>
      <c r="B166" s="45">
        <f t="shared" si="51"/>
        <v>155</v>
      </c>
      <c r="C166" s="51">
        <f t="shared" si="47"/>
        <v>667082.68221825489</v>
      </c>
      <c r="D166" s="47" cm="1">
        <f t="array" ref="D166">_xlfn.IFS(AND($C$7="Y",B166&lt;C$4),C166,AND($C$7="Y",B166=C$4),D165+F166-J166-K166-L166+N166,AND($C$7="Y",B166&gt;$C$4),D165-J166-K166-L166+N166, TRUE, D165-J166-K166-L166+N166)</f>
        <v>651911.9990640668</v>
      </c>
      <c r="E166" s="48">
        <f t="shared" si="52"/>
        <v>0</v>
      </c>
      <c r="F166" s="50">
        <f t="shared" si="53"/>
        <v>0</v>
      </c>
      <c r="G166" s="50">
        <f t="shared" si="61"/>
        <v>0</v>
      </c>
      <c r="H166" s="51">
        <f t="shared" si="54"/>
        <v>16623.945855352471</v>
      </c>
      <c r="I166" s="52">
        <f t="shared" si="48"/>
        <v>8435.0601860737843</v>
      </c>
      <c r="J166" s="52">
        <f t="shared" si="49"/>
        <v>8188.8856692786867</v>
      </c>
      <c r="K166" s="51">
        <f t="shared" si="59"/>
        <v>6981.7974849093744</v>
      </c>
      <c r="L166" s="49">
        <f t="shared" si="55"/>
        <v>2857.508475207384</v>
      </c>
      <c r="M166" s="49">
        <f t="shared" si="44"/>
        <v>-3177.5980968191034</v>
      </c>
      <c r="N166" s="49">
        <f t="shared" si="62"/>
        <v>0</v>
      </c>
      <c r="O166" s="48">
        <f t="shared" si="50"/>
        <v>20748.234865054459</v>
      </c>
      <c r="P166" s="38">
        <f t="shared" si="45"/>
        <v>20748.234865054459</v>
      </c>
      <c r="Q166" s="53"/>
      <c r="R166" s="53">
        <f t="shared" si="56"/>
        <v>0.12</v>
      </c>
      <c r="S166" s="53">
        <f t="shared" si="57"/>
        <v>1.0596241035318976E-2</v>
      </c>
      <c r="T166" s="53">
        <f t="shared" si="58"/>
        <v>0.05</v>
      </c>
      <c r="U166" s="53">
        <f t="shared" si="60"/>
        <v>4.2653187775606449E-3</v>
      </c>
    </row>
    <row r="167" spans="1:21" x14ac:dyDescent="0.2">
      <c r="A167" s="62">
        <f t="shared" si="46"/>
        <v>0.12100681802455508</v>
      </c>
      <c r="B167" s="45">
        <f t="shared" si="51"/>
        <v>156</v>
      </c>
      <c r="C167" s="51">
        <f t="shared" si="47"/>
        <v>649131.38657314179</v>
      </c>
      <c r="D167" s="47" cm="1">
        <f t="array" ref="D167">_xlfn.IFS(AND($C$7="Y",B167&lt;C$4),C167,AND($C$7="Y",B167=C$4),D166+F167-J167-K167-L167+N167,AND($C$7="Y",B167&gt;$C$4),D166-J167-K167-L167+N167, TRUE, D166-J167-K167-L167+N167)</f>
        <v>634168.27367316175</v>
      </c>
      <c r="E167" s="48">
        <f t="shared" si="52"/>
        <v>0</v>
      </c>
      <c r="F167" s="50">
        <f t="shared" si="53"/>
        <v>0</v>
      </c>
      <c r="G167" s="50">
        <f t="shared" si="61"/>
        <v>0</v>
      </c>
      <c r="H167" s="51">
        <f t="shared" si="54"/>
        <v>16379.417257656698</v>
      </c>
      <c r="I167" s="52">
        <f t="shared" si="48"/>
        <v>8208.0714435673617</v>
      </c>
      <c r="J167" s="52">
        <f t="shared" si="49"/>
        <v>8171.3458140893363</v>
      </c>
      <c r="K167" s="51">
        <f t="shared" si="59"/>
        <v>6791.7670858907959</v>
      </c>
      <c r="L167" s="49">
        <f t="shared" si="55"/>
        <v>2780.6124909250616</v>
      </c>
      <c r="M167" s="49">
        <f t="shared" si="44"/>
        <v>-3095.6619140476982</v>
      </c>
      <c r="N167" s="49">
        <f t="shared" si="62"/>
        <v>0</v>
      </c>
      <c r="O167" s="48">
        <f t="shared" si="50"/>
        <v>20390.571852622434</v>
      </c>
      <c r="P167" s="38">
        <f t="shared" si="45"/>
        <v>20390.571852622434</v>
      </c>
      <c r="Q167" s="53"/>
      <c r="R167" s="53">
        <f t="shared" si="56"/>
        <v>0.12</v>
      </c>
      <c r="S167" s="53">
        <f t="shared" si="57"/>
        <v>1.0596241035318976E-2</v>
      </c>
      <c r="T167" s="53">
        <f t="shared" si="58"/>
        <v>0.05</v>
      </c>
      <c r="U167" s="53">
        <f t="shared" si="60"/>
        <v>4.2653187775606449E-3</v>
      </c>
    </row>
    <row r="168" spans="1:21" x14ac:dyDescent="0.2">
      <c r="A168" s="62">
        <f t="shared" si="46"/>
        <v>0.11767457322954954</v>
      </c>
      <c r="B168" s="45">
        <f t="shared" si="51"/>
        <v>157</v>
      </c>
      <c r="C168" s="51">
        <f t="shared" si="47"/>
        <v>631463.34382733039</v>
      </c>
      <c r="D168" s="47" cm="1">
        <f t="array" ref="D168">_xlfn.IFS(AND($C$7="Y",B168&lt;C$4),C168,AND($C$7="Y",B168=C$4),D167+F168-J168-K168-L168+N168,AND($C$7="Y",B168&gt;$C$4),D167-J168-K168-L168+N168, TRUE, D167-J168-K168-L168+N168)</f>
        <v>616704.76241319103</v>
      </c>
      <c r="E168" s="48">
        <f t="shared" si="52"/>
        <v>0</v>
      </c>
      <c r="F168" s="50">
        <f t="shared" si="53"/>
        <v>0</v>
      </c>
      <c r="G168" s="50">
        <f t="shared" si="61"/>
        <v>0</v>
      </c>
      <c r="H168" s="51">
        <f t="shared" si="54"/>
        <v>16138.508060215181</v>
      </c>
      <c r="I168" s="52">
        <f t="shared" si="48"/>
        <v>7984.6643489093658</v>
      </c>
      <c r="J168" s="52">
        <f t="shared" si="49"/>
        <v>8153.8437113058153</v>
      </c>
      <c r="K168" s="51">
        <f t="shared" si="59"/>
        <v>6604.7377028335786</v>
      </c>
      <c r="L168" s="49">
        <f t="shared" si="55"/>
        <v>2704.9298458313547</v>
      </c>
      <c r="M168" s="49">
        <f t="shared" si="44"/>
        <v>-3015.014365197369</v>
      </c>
      <c r="N168" s="49">
        <f t="shared" si="62"/>
        <v>0</v>
      </c>
      <c r="O168" s="48">
        <f t="shared" si="50"/>
        <v>20038.315917217409</v>
      </c>
      <c r="P168" s="38">
        <f t="shared" si="45"/>
        <v>20038.315917217409</v>
      </c>
      <c r="Q168" s="53"/>
      <c r="R168" s="53">
        <f t="shared" si="56"/>
        <v>0.12</v>
      </c>
      <c r="S168" s="53">
        <f t="shared" si="57"/>
        <v>1.0596241035318976E-2</v>
      </c>
      <c r="T168" s="53">
        <f t="shared" si="58"/>
        <v>0.05</v>
      </c>
      <c r="U168" s="53">
        <f t="shared" si="60"/>
        <v>4.2653187775606449E-3</v>
      </c>
    </row>
    <row r="169" spans="1:21" x14ac:dyDescent="0.2">
      <c r="A169" s="62">
        <f t="shared" si="46"/>
        <v>0.11439499718311076</v>
      </c>
      <c r="B169" s="45">
        <f t="shared" si="51"/>
        <v>158</v>
      </c>
      <c r="C169" s="51">
        <f t="shared" si="47"/>
        <v>614074.32000985893</v>
      </c>
      <c r="D169" s="47" cm="1">
        <f t="array" ref="D169">_xlfn.IFS(AND($C$7="Y",B169&lt;C$4),C169,AND($C$7="Y",B169=C$4),D168+F169-J169-K169-L169+N169,AND($C$7="Y",B169&gt;$C$4),D168-J169-K169-L169+N169, TRUE, D168-J169-K169-L169+N169)</f>
        <v>599517.27567729575</v>
      </c>
      <c r="E169" s="48">
        <f t="shared" si="52"/>
        <v>0</v>
      </c>
      <c r="F169" s="50">
        <f t="shared" si="53"/>
        <v>0</v>
      </c>
      <c r="G169" s="50">
        <f t="shared" si="61"/>
        <v>0</v>
      </c>
      <c r="H169" s="51">
        <f t="shared" si="54"/>
        <v>15901.165231166504</v>
      </c>
      <c r="I169" s="52">
        <f t="shared" si="48"/>
        <v>7764.7853648084829</v>
      </c>
      <c r="J169" s="52">
        <f t="shared" si="49"/>
        <v>8136.379866358021</v>
      </c>
      <c r="K169" s="51">
        <f t="shared" si="59"/>
        <v>6420.6644662052176</v>
      </c>
      <c r="L169" s="49">
        <f t="shared" si="55"/>
        <v>2630.4424033320597</v>
      </c>
      <c r="M169" s="49">
        <f t="shared" si="44"/>
        <v>-2935.6362059413764</v>
      </c>
      <c r="N169" s="49">
        <f t="shared" si="62"/>
        <v>0</v>
      </c>
      <c r="O169" s="48">
        <f t="shared" si="50"/>
        <v>19691.387294039661</v>
      </c>
      <c r="P169" s="38">
        <f t="shared" si="45"/>
        <v>19691.387294039661</v>
      </c>
      <c r="Q169" s="53"/>
      <c r="R169" s="53">
        <f t="shared" si="56"/>
        <v>0.12</v>
      </c>
      <c r="S169" s="53">
        <f t="shared" si="57"/>
        <v>1.0596241035318976E-2</v>
      </c>
      <c r="T169" s="53">
        <f t="shared" si="58"/>
        <v>0.05</v>
      </c>
      <c r="U169" s="53">
        <f t="shared" si="60"/>
        <v>4.2653187775606449E-3</v>
      </c>
    </row>
    <row r="170" spans="1:21" x14ac:dyDescent="0.2">
      <c r="A170" s="62">
        <f t="shared" si="46"/>
        <v>0.11116730220421893</v>
      </c>
      <c r="B170" s="45">
        <f t="shared" si="51"/>
        <v>159</v>
      </c>
      <c r="C170" s="51">
        <f t="shared" si="47"/>
        <v>596960.14338387735</v>
      </c>
      <c r="D170" s="47" cm="1">
        <f t="array" ref="D170">_xlfn.IFS(AND($C$7="Y",B170&lt;C$4),C170,AND($C$7="Y",B170=C$4),D169+F170-J170-K170-L170+N170,AND($C$7="Y",B170&gt;$C$4),D169-J170-K170-L170+N170, TRUE, D169-J170-K170-L170+N170)</f>
        <v>582601.68541450577</v>
      </c>
      <c r="E170" s="48">
        <f t="shared" si="52"/>
        <v>0</v>
      </c>
      <c r="F170" s="50">
        <f t="shared" si="53"/>
        <v>0</v>
      </c>
      <c r="G170" s="50">
        <f t="shared" si="61"/>
        <v>0</v>
      </c>
      <c r="H170" s="51">
        <f t="shared" si="54"/>
        <v>15667.33654455688</v>
      </c>
      <c r="I170" s="52">
        <f t="shared" si="48"/>
        <v>7548.3817409050507</v>
      </c>
      <c r="J170" s="52">
        <f t="shared" si="49"/>
        <v>8118.954803651829</v>
      </c>
      <c r="K170" s="51">
        <f t="shared" si="59"/>
        <v>6239.503165719786</v>
      </c>
      <c r="L170" s="49">
        <f t="shared" si="55"/>
        <v>2557.1322934183713</v>
      </c>
      <c r="M170" s="49">
        <f t="shared" ref="M170:M232" si="63">IFERROR(L166*-1,0)</f>
        <v>-2857.508475207384</v>
      </c>
      <c r="N170" s="49">
        <f t="shared" si="62"/>
        <v>0</v>
      </c>
      <c r="O170" s="48">
        <f t="shared" si="50"/>
        <v>19349.707416858295</v>
      </c>
      <c r="P170" s="38">
        <f t="shared" si="45"/>
        <v>19349.707416858295</v>
      </c>
      <c r="Q170" s="53"/>
      <c r="R170" s="53">
        <f t="shared" si="56"/>
        <v>0.12</v>
      </c>
      <c r="S170" s="53">
        <f t="shared" si="57"/>
        <v>1.0596241035318976E-2</v>
      </c>
      <c r="T170" s="53">
        <f t="shared" si="58"/>
        <v>0.05</v>
      </c>
      <c r="U170" s="53">
        <f t="shared" si="60"/>
        <v>4.2653187775606449E-3</v>
      </c>
    </row>
    <row r="171" spans="1:21" x14ac:dyDescent="0.2">
      <c r="A171" s="62">
        <f t="shared" si="46"/>
        <v>0.10799071217949696</v>
      </c>
      <c r="B171" s="45">
        <f t="shared" si="51"/>
        <v>160</v>
      </c>
      <c r="C171" s="51">
        <f t="shared" si="47"/>
        <v>580116.70350586879</v>
      </c>
      <c r="D171" s="47" cm="1">
        <f t="array" ref="D171">_xlfn.IFS(AND($C$7="Y",B171&lt;C$4),C171,AND($C$7="Y",B171=C$4),D170+F171-J171-K171-L171+N171,AND($C$7="Y",B171&gt;$C$4),D170-J171-K171-L171+N171, TRUE, D170-J171-K171-L171+N171)</f>
        <v>565953.92419714585</v>
      </c>
      <c r="E171" s="48">
        <f t="shared" si="52"/>
        <v>0</v>
      </c>
      <c r="F171" s="50">
        <f t="shared" si="53"/>
        <v>0</v>
      </c>
      <c r="G171" s="50">
        <f t="shared" si="61"/>
        <v>0</v>
      </c>
      <c r="H171" s="51">
        <f t="shared" si="54"/>
        <v>15436.970570248086</v>
      </c>
      <c r="I171" s="52">
        <f t="shared" si="48"/>
        <v>7335.4015018752007</v>
      </c>
      <c r="J171" s="52">
        <f t="shared" si="49"/>
        <v>8101.5690683728853</v>
      </c>
      <c r="K171" s="51">
        <f t="shared" si="59"/>
        <v>6061.2102403500958</v>
      </c>
      <c r="L171" s="49">
        <f t="shared" si="55"/>
        <v>2484.9819086369712</v>
      </c>
      <c r="M171" s="49">
        <f t="shared" si="63"/>
        <v>-2780.6124909250616</v>
      </c>
      <c r="N171" s="49">
        <f t="shared" si="62"/>
        <v>0</v>
      </c>
      <c r="O171" s="48">
        <f t="shared" si="50"/>
        <v>19013.198901961212</v>
      </c>
      <c r="P171" s="38">
        <f t="shared" si="45"/>
        <v>19013.198901961212</v>
      </c>
      <c r="Q171" s="53"/>
      <c r="R171" s="53">
        <f t="shared" si="56"/>
        <v>0.12</v>
      </c>
      <c r="S171" s="53">
        <f t="shared" si="57"/>
        <v>1.0596241035318976E-2</v>
      </c>
      <c r="T171" s="53">
        <f t="shared" si="58"/>
        <v>0.05</v>
      </c>
      <c r="U171" s="53">
        <f t="shared" si="60"/>
        <v>4.2653187775606449E-3</v>
      </c>
    </row>
    <row r="172" spans="1:21" x14ac:dyDescent="0.2">
      <c r="A172" s="62">
        <f t="shared" si="46"/>
        <v>0.10486446238752331</v>
      </c>
      <c r="B172" s="45">
        <f t="shared" si="51"/>
        <v>161</v>
      </c>
      <c r="C172" s="51">
        <f t="shared" si="47"/>
        <v>563539.95029703365</v>
      </c>
      <c r="D172" s="47" cm="1">
        <f t="array" ref="D172">_xlfn.IFS(AND($C$7="Y",B172&lt;C$4),C172,AND($C$7="Y",B172=C$4),D171+F172-J172-K172-L172+N172,AND($C$7="Y",B172&gt;$C$4),D171-J172-K172-L172+N172, TRUE, D171-J172-K172-L172+N172)</f>
        <v>549569.98430010048</v>
      </c>
      <c r="E172" s="48">
        <f t="shared" si="52"/>
        <v>0</v>
      </c>
      <c r="F172" s="50">
        <f t="shared" si="53"/>
        <v>0</v>
      </c>
      <c r="G172" s="50">
        <f t="shared" si="61"/>
        <v>0</v>
      </c>
      <c r="H172" s="51">
        <f t="shared" si="54"/>
        <v>15210.01666415506</v>
      </c>
      <c r="I172" s="52">
        <f t="shared" si="48"/>
        <v>7125.7934356887845</v>
      </c>
      <c r="J172" s="52">
        <f t="shared" si="49"/>
        <v>8084.2232284662759</v>
      </c>
      <c r="K172" s="51">
        <f t="shared" si="59"/>
        <v>5885.7427684668919</v>
      </c>
      <c r="L172" s="49">
        <f t="shared" si="55"/>
        <v>2413.9739001122202</v>
      </c>
      <c r="M172" s="49">
        <f t="shared" si="63"/>
        <v>-2704.9298458313547</v>
      </c>
      <c r="N172" s="49">
        <f t="shared" si="62"/>
        <v>0</v>
      </c>
      <c r="O172" s="48">
        <f t="shared" si="50"/>
        <v>18681.78553250973</v>
      </c>
      <c r="P172" s="38">
        <f t="shared" si="45"/>
        <v>18681.78553250973</v>
      </c>
      <c r="Q172" s="53"/>
      <c r="R172" s="53">
        <f t="shared" si="56"/>
        <v>0.12</v>
      </c>
      <c r="S172" s="53">
        <f t="shared" si="57"/>
        <v>1.0596241035318976E-2</v>
      </c>
      <c r="T172" s="53">
        <f t="shared" si="58"/>
        <v>0.05</v>
      </c>
      <c r="U172" s="53">
        <f t="shared" si="60"/>
        <v>4.2653187775606449E-3</v>
      </c>
    </row>
    <row r="173" spans="1:21" x14ac:dyDescent="0.2">
      <c r="A173" s="62">
        <f t="shared" si="46"/>
        <v>0.10178779932533681</v>
      </c>
      <c r="B173" s="45">
        <f t="shared" si="51"/>
        <v>162</v>
      </c>
      <c r="C173" s="51">
        <f t="shared" si="47"/>
        <v>547225.89312648156</v>
      </c>
      <c r="D173" s="47" cm="1">
        <f t="array" ref="D173">_xlfn.IFS(AND($C$7="Y",B173&lt;C$4),C173,AND($C$7="Y",B173=C$4),D172+F173-J173-K173-L173+N173,AND($C$7="Y",B173&gt;$C$4),D172-J173-K173-L173+N173, TRUE, D172-J173-K173-L173+N173)</f>
        <v>533445.91679156665</v>
      </c>
      <c r="E173" s="48">
        <f t="shared" si="52"/>
        <v>0</v>
      </c>
      <c r="F173" s="50">
        <f t="shared" si="53"/>
        <v>0</v>
      </c>
      <c r="G173" s="50">
        <f t="shared" si="61"/>
        <v>0</v>
      </c>
      <c r="H173" s="51">
        <f t="shared" si="54"/>
        <v>14986.424958830499</v>
      </c>
      <c r="I173" s="52">
        <f t="shared" si="48"/>
        <v>6919.5070820166138</v>
      </c>
      <c r="J173" s="52">
        <f t="shared" si="49"/>
        <v>8066.9178768138854</v>
      </c>
      <c r="K173" s="51">
        <f t="shared" si="59"/>
        <v>5713.0584581010562</v>
      </c>
      <c r="L173" s="49">
        <f t="shared" si="55"/>
        <v>2344.0911736189273</v>
      </c>
      <c r="M173" s="49">
        <f t="shared" si="63"/>
        <v>-2630.4424033320597</v>
      </c>
      <c r="N173" s="49">
        <f t="shared" si="62"/>
        <v>0</v>
      </c>
      <c r="O173" s="48">
        <f t="shared" si="50"/>
        <v>18355.392243312628</v>
      </c>
      <c r="P173" s="38">
        <f t="shared" si="45"/>
        <v>18355.392243312628</v>
      </c>
      <c r="Q173" s="53"/>
      <c r="R173" s="53">
        <f t="shared" si="56"/>
        <v>0.12</v>
      </c>
      <c r="S173" s="53">
        <f t="shared" si="57"/>
        <v>1.0596241035318976E-2</v>
      </c>
      <c r="T173" s="53">
        <f t="shared" si="58"/>
        <v>0.05</v>
      </c>
      <c r="U173" s="53">
        <f t="shared" si="60"/>
        <v>4.2653187775606449E-3</v>
      </c>
    </row>
    <row r="174" spans="1:21" x14ac:dyDescent="0.2">
      <c r="A174" s="62">
        <f t="shared" si="46"/>
        <v>9.8759980537059006E-2</v>
      </c>
      <c r="B174" s="45">
        <f t="shared" si="51"/>
        <v>163</v>
      </c>
      <c r="C174" s="51">
        <f t="shared" si="47"/>
        <v>531170.59990586247</v>
      </c>
      <c r="D174" s="47" cm="1">
        <f t="array" ref="D174">_xlfn.IFS(AND($C$7="Y",B174&lt;C$4),C174,AND($C$7="Y",B174=C$4),D173+F174-J174-K174-L174+N174,AND($C$7="Y",B174&gt;$C$4),D173-J174-K174-L174+N174, TRUE, D173-J174-K174-L174+N174)</f>
        <v>517577.83063490351</v>
      </c>
      <c r="E174" s="48">
        <f t="shared" si="52"/>
        <v>0</v>
      </c>
      <c r="F174" s="50">
        <f t="shared" si="53"/>
        <v>0</v>
      </c>
      <c r="G174" s="50">
        <f t="shared" si="61"/>
        <v>0</v>
      </c>
      <c r="H174" s="51">
        <f t="shared" si="54"/>
        <v>14766.146354416645</v>
      </c>
      <c r="I174" s="52">
        <f t="shared" si="48"/>
        <v>6716.4927207823412</v>
      </c>
      <c r="J174" s="52">
        <f t="shared" si="49"/>
        <v>8049.6536336343042</v>
      </c>
      <c r="K174" s="51">
        <f t="shared" si="59"/>
        <v>5543.1156373246777</v>
      </c>
      <c r="L174" s="49">
        <f t="shared" si="55"/>
        <v>2275.3168857041223</v>
      </c>
      <c r="M174" s="49">
        <f t="shared" si="63"/>
        <v>-2557.1322934183713</v>
      </c>
      <c r="N174" s="49">
        <f t="shared" si="62"/>
        <v>0</v>
      </c>
      <c r="O174" s="48">
        <f t="shared" si="50"/>
        <v>18033.945106037201</v>
      </c>
      <c r="P174" s="38">
        <f t="shared" si="45"/>
        <v>18033.945106037201</v>
      </c>
      <c r="Q174" s="53"/>
      <c r="R174" s="53">
        <f t="shared" si="56"/>
        <v>0.12</v>
      </c>
      <c r="S174" s="53">
        <f t="shared" si="57"/>
        <v>1.0596241035318976E-2</v>
      </c>
      <c r="T174" s="53">
        <f t="shared" si="58"/>
        <v>0.05</v>
      </c>
      <c r="U174" s="53">
        <f t="shared" si="60"/>
        <v>4.2653187775606449E-3</v>
      </c>
    </row>
    <row r="175" spans="1:21" x14ac:dyDescent="0.2">
      <c r="A175" s="62">
        <f t="shared" si="46"/>
        <v>9.5780274444555183E-2</v>
      </c>
      <c r="B175" s="45">
        <f t="shared" si="51"/>
        <v>164</v>
      </c>
      <c r="C175" s="51">
        <f t="shared" si="47"/>
        <v>515370.19619504735</v>
      </c>
      <c r="D175" s="47" cm="1">
        <f t="array" ref="D175">_xlfn.IFS(AND($C$7="Y",B175&lt;C$4),C175,AND($C$7="Y",B175=C$4),D174+F175-J175-K175-L175+N175,AND($C$7="Y",B175&gt;$C$4),D174-J175-K175-L175+N175, TRUE, D174-J175-K175-L175+N175)</f>
        <v>501961.89180116687</v>
      </c>
      <c r="E175" s="48">
        <f t="shared" si="52"/>
        <v>0</v>
      </c>
      <c r="F175" s="50">
        <f t="shared" si="53"/>
        <v>0</v>
      </c>
      <c r="G175" s="50">
        <f t="shared" si="61"/>
        <v>0</v>
      </c>
      <c r="H175" s="51">
        <f t="shared" si="54"/>
        <v>14549.13250998802</v>
      </c>
      <c r="I175" s="52">
        <f t="shared" si="48"/>
        <v>6516.701360854061</v>
      </c>
      <c r="J175" s="52">
        <f t="shared" si="49"/>
        <v>8032.4311491339586</v>
      </c>
      <c r="K175" s="51">
        <f t="shared" si="59"/>
        <v>5375.8732447465245</v>
      </c>
      <c r="L175" s="49">
        <f t="shared" si="55"/>
        <v>2207.6344398561573</v>
      </c>
      <c r="M175" s="49">
        <f t="shared" si="63"/>
        <v>-2484.9819086369712</v>
      </c>
      <c r="N175" s="49">
        <f t="shared" si="62"/>
        <v>0</v>
      </c>
      <c r="O175" s="48">
        <f t="shared" si="50"/>
        <v>17717.371314878386</v>
      </c>
      <c r="P175" s="38">
        <f t="shared" si="45"/>
        <v>17717.371314878386</v>
      </c>
      <c r="Q175" s="53"/>
      <c r="R175" s="53">
        <f t="shared" si="56"/>
        <v>0.12</v>
      </c>
      <c r="S175" s="53">
        <f t="shared" si="57"/>
        <v>1.0596241035318976E-2</v>
      </c>
      <c r="T175" s="53">
        <f t="shared" si="58"/>
        <v>0.05</v>
      </c>
      <c r="U175" s="53">
        <f t="shared" si="60"/>
        <v>4.2653187775606449E-3</v>
      </c>
    </row>
    <row r="176" spans="1:21" x14ac:dyDescent="0.2">
      <c r="A176" s="62">
        <f t="shared" si="46"/>
        <v>9.2847960180050135E-2</v>
      </c>
      <c r="B176" s="45">
        <f t="shared" si="51"/>
        <v>165</v>
      </c>
      <c r="C176" s="51">
        <f t="shared" si="47"/>
        <v>499820.86431844748</v>
      </c>
      <c r="D176" s="47" cm="1">
        <f t="array" ref="D176">_xlfn.IFS(AND($C$7="Y",B176&lt;C$4),C176,AND($C$7="Y",B176=C$4),D175+F176-J176-K176-L176+N176,AND($C$7="Y",B176&gt;$C$4),D175-J176-K176-L176+N176, TRUE, D175-J176-K176-L176+N176)</f>
        <v>486594.32239188778</v>
      </c>
      <c r="E176" s="48">
        <f t="shared" si="52"/>
        <v>0</v>
      </c>
      <c r="F176" s="50">
        <f t="shared" si="53"/>
        <v>0</v>
      </c>
      <c r="G176" s="50">
        <f t="shared" si="61"/>
        <v>0</v>
      </c>
      <c r="H176" s="51">
        <f t="shared" si="54"/>
        <v>14335.335835312866</v>
      </c>
      <c r="I176" s="52">
        <f t="shared" si="48"/>
        <v>6320.0847288704381</v>
      </c>
      <c r="J176" s="52">
        <f t="shared" si="49"/>
        <v>8015.251106442428</v>
      </c>
      <c r="K176" s="51">
        <f t="shared" si="59"/>
        <v>5211.2908201172604</v>
      </c>
      <c r="L176" s="49">
        <f t="shared" si="55"/>
        <v>2141.0274827193816</v>
      </c>
      <c r="M176" s="49">
        <f t="shared" si="63"/>
        <v>-2413.9739001122202</v>
      </c>
      <c r="N176" s="49">
        <f t="shared" si="62"/>
        <v>0</v>
      </c>
      <c r="O176" s="48">
        <f t="shared" si="50"/>
        <v>17405.599172710743</v>
      </c>
      <c r="P176" s="38">
        <f t="shared" si="45"/>
        <v>17405.599172710743</v>
      </c>
      <c r="Q176" s="53"/>
      <c r="R176" s="53">
        <f t="shared" si="56"/>
        <v>0.12</v>
      </c>
      <c r="S176" s="53">
        <f t="shared" si="57"/>
        <v>1.0596241035318976E-2</v>
      </c>
      <c r="T176" s="53">
        <f t="shared" si="58"/>
        <v>0.05</v>
      </c>
      <c r="U176" s="53">
        <f t="shared" si="60"/>
        <v>4.2653187775606449E-3</v>
      </c>
    </row>
    <row r="177" spans="1:21" x14ac:dyDescent="0.2">
      <c r="A177" s="62">
        <f t="shared" si="46"/>
        <v>8.9962327420609042E-2</v>
      </c>
      <c r="B177" s="45">
        <f t="shared" si="51"/>
        <v>166</v>
      </c>
      <c r="C177" s="51">
        <f t="shared" si="47"/>
        <v>484518.84249153524</v>
      </c>
      <c r="D177" s="47" cm="1">
        <f t="array" ref="D177">_xlfn.IFS(AND($C$7="Y",B177&lt;C$4),C177,AND($C$7="Y",B177=C$4),D176+F177-J177-K177-L177+N177,AND($C$7="Y",B177&gt;$C$4),D176-J177-K177-L177+N177, TRUE, D176-J177-K177-L177+N177)</f>
        <v>471471.3997716257</v>
      </c>
      <c r="E177" s="48">
        <f t="shared" si="52"/>
        <v>0</v>
      </c>
      <c r="F177" s="50">
        <f t="shared" si="53"/>
        <v>0</v>
      </c>
      <c r="G177" s="50">
        <f t="shared" si="61"/>
        <v>0</v>
      </c>
      <c r="H177" s="51">
        <f t="shared" si="54"/>
        <v>14124.709483066059</v>
      </c>
      <c r="I177" s="52">
        <f t="shared" si="48"/>
        <v>6126.5952581958118</v>
      </c>
      <c r="J177" s="52">
        <f t="shared" si="49"/>
        <v>7998.1142248702472</v>
      </c>
      <c r="K177" s="51">
        <f t="shared" si="59"/>
        <v>5049.328495039319</v>
      </c>
      <c r="L177" s="49">
        <f t="shared" si="55"/>
        <v>2075.4799003525172</v>
      </c>
      <c r="M177" s="49">
        <f t="shared" si="63"/>
        <v>-2344.0911736189273</v>
      </c>
      <c r="N177" s="49">
        <f t="shared" si="62"/>
        <v>0</v>
      </c>
      <c r="O177" s="48">
        <f t="shared" si="50"/>
        <v>17098.558077752859</v>
      </c>
      <c r="P177" s="38">
        <f t="shared" si="45"/>
        <v>17098.558077752859</v>
      </c>
      <c r="Q177" s="53"/>
      <c r="R177" s="53">
        <f t="shared" si="56"/>
        <v>0.12</v>
      </c>
      <c r="S177" s="53">
        <f t="shared" si="57"/>
        <v>1.0596241035318976E-2</v>
      </c>
      <c r="T177" s="53">
        <f t="shared" si="58"/>
        <v>0.05</v>
      </c>
      <c r="U177" s="53">
        <f t="shared" si="60"/>
        <v>4.2653187775606449E-3</v>
      </c>
    </row>
    <row r="178" spans="1:21" x14ac:dyDescent="0.2">
      <c r="A178" s="62">
        <f t="shared" si="46"/>
        <v>8.7122676224386381E-2</v>
      </c>
      <c r="B178" s="45">
        <f t="shared" si="51"/>
        <v>167</v>
      </c>
      <c r="C178" s="51">
        <f t="shared" si="47"/>
        <v>469460.42395709699</v>
      </c>
      <c r="D178" s="47" cm="1">
        <f t="array" ref="D178">_xlfn.IFS(AND($C$7="Y",B178&lt;C$4),C178,AND($C$7="Y",B178=C$4),D177+F178-J178-K178-L178+N178,AND($C$7="Y",B178&gt;$C$4),D177-J178-K178-L178+N178, TRUE, D177-J178-K178-L178+N178)</f>
        <v>456589.45570978761</v>
      </c>
      <c r="E178" s="48">
        <f t="shared" si="52"/>
        <v>0</v>
      </c>
      <c r="F178" s="50">
        <f t="shared" si="53"/>
        <v>0</v>
      </c>
      <c r="G178" s="50">
        <f t="shared" si="61"/>
        <v>0</v>
      </c>
      <c r="H178" s="51">
        <f t="shared" si="54"/>
        <v>13917.207341531715</v>
      </c>
      <c r="I178" s="52">
        <f t="shared" si="48"/>
        <v>5936.1860779983899</v>
      </c>
      <c r="J178" s="52">
        <f t="shared" si="49"/>
        <v>7981.0212635333255</v>
      </c>
      <c r="K178" s="51">
        <f t="shared" si="59"/>
        <v>4889.9469837760298</v>
      </c>
      <c r="L178" s="49">
        <f t="shared" si="55"/>
        <v>2010.9758145287167</v>
      </c>
      <c r="M178" s="49">
        <f t="shared" si="63"/>
        <v>-2275.3168857041223</v>
      </c>
      <c r="N178" s="49">
        <f t="shared" si="62"/>
        <v>0</v>
      </c>
      <c r="O178" s="48">
        <f t="shared" si="50"/>
        <v>16796.178510779031</v>
      </c>
      <c r="P178" s="38">
        <f t="shared" si="45"/>
        <v>16796.178510779031</v>
      </c>
      <c r="Q178" s="53"/>
      <c r="R178" s="53">
        <f t="shared" si="56"/>
        <v>0.12</v>
      </c>
      <c r="S178" s="53">
        <f t="shared" si="57"/>
        <v>1.0596241035318976E-2</v>
      </c>
      <c r="T178" s="53">
        <f t="shared" si="58"/>
        <v>0.05</v>
      </c>
      <c r="U178" s="53">
        <f t="shared" si="60"/>
        <v>4.2653187775606449E-3</v>
      </c>
    </row>
    <row r="179" spans="1:21" x14ac:dyDescent="0.2">
      <c r="A179" s="62">
        <f t="shared" si="46"/>
        <v>8.4328316868537936E-2</v>
      </c>
      <c r="B179" s="45">
        <f t="shared" si="51"/>
        <v>168</v>
      </c>
      <c r="C179" s="51">
        <f t="shared" si="47"/>
        <v>454641.95613071247</v>
      </c>
      <c r="D179" s="47" cm="1">
        <f t="array" ref="D179">_xlfn.IFS(AND($C$7="Y",B179&lt;C$4),C179,AND($C$7="Y",B179=C$4),D178+F179-J179-K179-L179+N179,AND($C$7="Y",B179&gt;$C$4),D178-J179-K179-L179+N179, TRUE, D178-J179-K179-L179+N179)</f>
        <v>441944.87553116283</v>
      </c>
      <c r="E179" s="48">
        <f t="shared" si="52"/>
        <v>0</v>
      </c>
      <c r="F179" s="50">
        <f t="shared" si="53"/>
        <v>0</v>
      </c>
      <c r="G179" s="50">
        <f t="shared" si="61"/>
        <v>0</v>
      </c>
      <c r="H179" s="51">
        <f t="shared" si="54"/>
        <v>13712.784027840586</v>
      </c>
      <c r="I179" s="52">
        <f t="shared" si="48"/>
        <v>5748.8110024450771</v>
      </c>
      <c r="J179" s="52">
        <f t="shared" si="49"/>
        <v>7963.9730253955086</v>
      </c>
      <c r="K179" s="51">
        <f t="shared" si="59"/>
        <v>4733.1075741540753</v>
      </c>
      <c r="L179" s="49">
        <f t="shared" si="55"/>
        <v>1947.4995790751516</v>
      </c>
      <c r="M179" s="49">
        <f t="shared" si="63"/>
        <v>-2207.6344398561573</v>
      </c>
      <c r="N179" s="49">
        <f t="shared" si="62"/>
        <v>0</v>
      </c>
      <c r="O179" s="48">
        <f t="shared" si="50"/>
        <v>16498.39202291951</v>
      </c>
      <c r="P179" s="38">
        <f t="shared" si="45"/>
        <v>16498.39202291951</v>
      </c>
      <c r="Q179" s="53"/>
      <c r="R179" s="53">
        <f t="shared" si="56"/>
        <v>0.12</v>
      </c>
      <c r="S179" s="53">
        <f t="shared" si="57"/>
        <v>1.0596241035318976E-2</v>
      </c>
      <c r="T179" s="53">
        <f t="shared" si="58"/>
        <v>0.05</v>
      </c>
      <c r="U179" s="53">
        <f t="shared" si="60"/>
        <v>4.2653187775606449E-3</v>
      </c>
    </row>
    <row r="180" spans="1:21" x14ac:dyDescent="0.2">
      <c r="A180" s="62">
        <f t="shared" si="46"/>
        <v>8.1578569688680797E-2</v>
      </c>
      <c r="B180" s="45">
        <f t="shared" si="51"/>
        <v>169</v>
      </c>
      <c r="C180" s="51">
        <f t="shared" si="47"/>
        <v>440059.83975491306</v>
      </c>
      <c r="D180" s="47" cm="1">
        <f t="array" ref="D180">_xlfn.IFS(AND($C$7="Y",B180&lt;C$4),C180,AND($C$7="Y",B180=C$4),D179+F180-J180-K180-L180+N180,AND($C$7="Y",B180&gt;$C$4),D179-J180-K180-L180+N180, TRUE, D179-J180-K180-L180+N180)</f>
        <v>427534.09727457078</v>
      </c>
      <c r="E180" s="48">
        <f t="shared" si="52"/>
        <v>0</v>
      </c>
      <c r="F180" s="50">
        <f t="shared" si="53"/>
        <v>0</v>
      </c>
      <c r="G180" s="50">
        <f t="shared" si="61"/>
        <v>0</v>
      </c>
      <c r="H180" s="51">
        <f t="shared" si="54"/>
        <v>13511.394881795512</v>
      </c>
      <c r="I180" s="52">
        <f t="shared" si="48"/>
        <v>5564.4245200060732</v>
      </c>
      <c r="J180" s="52">
        <f t="shared" si="49"/>
        <v>7946.9703617894384</v>
      </c>
      <c r="K180" s="51">
        <f t="shared" si="59"/>
        <v>4578.7721185528453</v>
      </c>
      <c r="L180" s="49">
        <f t="shared" si="55"/>
        <v>1885.0357762497708</v>
      </c>
      <c r="M180" s="49">
        <f t="shared" si="63"/>
        <v>-2141.0274827193816</v>
      </c>
      <c r="N180" s="49">
        <f t="shared" si="62"/>
        <v>0</v>
      </c>
      <c r="O180" s="48">
        <f t="shared" si="50"/>
        <v>16205.131224098584</v>
      </c>
      <c r="P180" s="38">
        <f t="shared" si="45"/>
        <v>16205.131224098584</v>
      </c>
      <c r="Q180" s="53"/>
      <c r="R180" s="53">
        <f t="shared" si="56"/>
        <v>0.12</v>
      </c>
      <c r="S180" s="53">
        <f t="shared" si="57"/>
        <v>1.0596241035318976E-2</v>
      </c>
      <c r="T180" s="53">
        <f t="shared" si="58"/>
        <v>0.05</v>
      </c>
      <c r="U180" s="53">
        <f t="shared" si="60"/>
        <v>4.2653187775606449E-3</v>
      </c>
    </row>
    <row r="181" spans="1:21" x14ac:dyDescent="0.2">
      <c r="A181" s="62">
        <f t="shared" si="46"/>
        <v>7.8872764919774879E-2</v>
      </c>
      <c r="B181" s="45">
        <f t="shared" si="51"/>
        <v>170</v>
      </c>
      <c r="C181" s="51">
        <f t="shared" si="47"/>
        <v>425710.5280614181</v>
      </c>
      <c r="D181" s="47" cm="1">
        <f t="array" ref="D181">_xlfn.IFS(AND($C$7="Y",B181&lt;C$4),C181,AND($C$7="Y",B181=C$4),D180+F181-J181-K181-L181+N181,AND($C$7="Y",B181&gt;$C$4),D180-J181-K181-L181+N181, TRUE, D180-J181-K181-L181+N181)</f>
        <v>413353.61085895851</v>
      </c>
      <c r="E181" s="48">
        <f t="shared" si="52"/>
        <v>0</v>
      </c>
      <c r="F181" s="50">
        <f t="shared" si="53"/>
        <v>0</v>
      </c>
      <c r="G181" s="50">
        <f t="shared" si="61"/>
        <v>0</v>
      </c>
      <c r="H181" s="51">
        <f t="shared" si="54"/>
        <v>13312.995960347611</v>
      </c>
      <c r="I181" s="52">
        <f t="shared" si="48"/>
        <v>5382.9817828615924</v>
      </c>
      <c r="J181" s="52">
        <f t="shared" si="49"/>
        <v>7930.0141774860185</v>
      </c>
      <c r="K181" s="51">
        <f t="shared" si="59"/>
        <v>4426.9030249735706</v>
      </c>
      <c r="L181" s="49">
        <f t="shared" si="55"/>
        <v>1823.5692131526662</v>
      </c>
      <c r="M181" s="49">
        <f t="shared" si="63"/>
        <v>-2075.4799003525172</v>
      </c>
      <c r="N181" s="49">
        <f t="shared" si="62"/>
        <v>0</v>
      </c>
      <c r="O181" s="48">
        <f t="shared" si="50"/>
        <v>15916.329772168516</v>
      </c>
      <c r="P181" s="38">
        <f t="shared" si="45"/>
        <v>15916.329772168516</v>
      </c>
      <c r="Q181" s="53"/>
      <c r="R181" s="53">
        <f t="shared" si="56"/>
        <v>0.12</v>
      </c>
      <c r="S181" s="53">
        <f t="shared" si="57"/>
        <v>1.0596241035318976E-2</v>
      </c>
      <c r="T181" s="53">
        <f t="shared" si="58"/>
        <v>0.05</v>
      </c>
      <c r="U181" s="53">
        <f t="shared" si="60"/>
        <v>4.2653187775606449E-3</v>
      </c>
    </row>
    <row r="182" spans="1:21" x14ac:dyDescent="0.2">
      <c r="A182" s="62">
        <f t="shared" si="46"/>
        <v>7.6210242538285899E-2</v>
      </c>
      <c r="B182" s="45">
        <f t="shared" si="51"/>
        <v>171</v>
      </c>
      <c r="C182" s="51">
        <f t="shared" si="47"/>
        <v>411590.52594078932</v>
      </c>
      <c r="D182" s="47" cm="1">
        <f t="array" ref="D182">_xlfn.IFS(AND($C$7="Y",B182&lt;C$4),C182,AND($C$7="Y",B182=C$4),D181+F182-J182-K182-L182+N182,AND($C$7="Y",B182&gt;$C$4),D181-J182-K182-L182+N182, TRUE, D181-J182-K182-L182+N182)</f>
        <v>399399.95725621365</v>
      </c>
      <c r="E182" s="48">
        <f t="shared" si="52"/>
        <v>0</v>
      </c>
      <c r="F182" s="50">
        <f t="shared" si="53"/>
        <v>0</v>
      </c>
      <c r="G182" s="50">
        <f t="shared" si="61"/>
        <v>0</v>
      </c>
      <c r="H182" s="51">
        <f t="shared" si="54"/>
        <v>13117.544032797681</v>
      </c>
      <c r="I182" s="52">
        <f t="shared" si="48"/>
        <v>5204.4385964023977</v>
      </c>
      <c r="J182" s="52">
        <f t="shared" si="49"/>
        <v>7913.1054363952835</v>
      </c>
      <c r="K182" s="51">
        <f t="shared" si="59"/>
        <v>4277.4632481803737</v>
      </c>
      <c r="L182" s="49">
        <f t="shared" si="55"/>
        <v>1763.0849181692115</v>
      </c>
      <c r="M182" s="49">
        <f t="shared" si="63"/>
        <v>-2010.9758145287167</v>
      </c>
      <c r="N182" s="49">
        <f t="shared" si="62"/>
        <v>0</v>
      </c>
      <c r="O182" s="48">
        <f t="shared" si="50"/>
        <v>15631.922362808842</v>
      </c>
      <c r="P182" s="38">
        <f t="shared" si="45"/>
        <v>15631.922362808842</v>
      </c>
      <c r="Q182" s="53"/>
      <c r="R182" s="53">
        <f t="shared" si="56"/>
        <v>0.12</v>
      </c>
      <c r="S182" s="53">
        <f t="shared" si="57"/>
        <v>1.0596241035318976E-2</v>
      </c>
      <c r="T182" s="53">
        <f t="shared" si="58"/>
        <v>0.05</v>
      </c>
      <c r="U182" s="53">
        <f t="shared" si="60"/>
        <v>4.2653187775606449E-3</v>
      </c>
    </row>
    <row r="183" spans="1:21" x14ac:dyDescent="0.2">
      <c r="A183" s="62">
        <f t="shared" si="46"/>
        <v>7.3590352105472809E-2</v>
      </c>
      <c r="B183" s="45">
        <f t="shared" si="51"/>
        <v>172</v>
      </c>
      <c r="C183" s="51">
        <f t="shared" si="47"/>
        <v>397696.38911877183</v>
      </c>
      <c r="D183" s="47" cm="1">
        <f t="array" ref="D183">_xlfn.IFS(AND($C$7="Y",B183&lt;C$4),C183,AND($C$7="Y",B183=C$4),D182+F183-J183-K183-L183+N183,AND($C$7="Y",B183&gt;$C$4),D182-J183-K183-L183+N183, TRUE, D182-J183-K183-L183+N183)</f>
        <v>385669.72766987112</v>
      </c>
      <c r="E183" s="48">
        <f t="shared" si="52"/>
        <v>0</v>
      </c>
      <c r="F183" s="50">
        <f t="shared" si="53"/>
        <v>0</v>
      </c>
      <c r="G183" s="50">
        <f t="shared" si="61"/>
        <v>0</v>
      </c>
      <c r="H183" s="51">
        <f t="shared" si="54"/>
        <v>12924.996576811131</v>
      </c>
      <c r="I183" s="52">
        <f t="shared" si="48"/>
        <v>5028.7514088148819</v>
      </c>
      <c r="J183" s="52">
        <f t="shared" si="49"/>
        <v>7896.2451679962487</v>
      </c>
      <c r="K183" s="51">
        <f t="shared" si="59"/>
        <v>4130.4162809044519</v>
      </c>
      <c r="L183" s="49">
        <f t="shared" si="55"/>
        <v>1703.5681374418471</v>
      </c>
      <c r="M183" s="49">
        <f t="shared" si="63"/>
        <v>-1947.4995790751516</v>
      </c>
      <c r="N183" s="49">
        <f t="shared" si="62"/>
        <v>0</v>
      </c>
      <c r="O183" s="48">
        <f t="shared" si="50"/>
        <v>15351.844720273735</v>
      </c>
      <c r="P183" s="38">
        <f t="shared" si="45"/>
        <v>15351.844720273735</v>
      </c>
      <c r="Q183" s="53"/>
      <c r="R183" s="53">
        <f t="shared" si="56"/>
        <v>0.12</v>
      </c>
      <c r="S183" s="53">
        <f t="shared" si="57"/>
        <v>1.0596241035318976E-2</v>
      </c>
      <c r="T183" s="53">
        <f t="shared" si="58"/>
        <v>0.05</v>
      </c>
      <c r="U183" s="53">
        <f t="shared" si="60"/>
        <v>4.2653187775606449E-3</v>
      </c>
    </row>
    <row r="184" spans="1:21" x14ac:dyDescent="0.2">
      <c r="A184" s="62">
        <f t="shared" si="46"/>
        <v>7.1012452611623936E-2</v>
      </c>
      <c r="B184" s="45">
        <f t="shared" si="51"/>
        <v>173</v>
      </c>
      <c r="C184" s="51">
        <f t="shared" si="47"/>
        <v>384024.72333850415</v>
      </c>
      <c r="D184" s="47" cm="1">
        <f t="array" ref="D184">_xlfn.IFS(AND($C$7="Y",B184&lt;C$4),C184,AND($C$7="Y",B184=C$4),D183+F184-J184-K184-L184+N184,AND($C$7="Y",B184&gt;$C$4),D183-J184-K184-L184+N184, TRUE, D183-J184-K184-L184+N184)</f>
        <v>372159.56271879119</v>
      </c>
      <c r="E184" s="48">
        <f t="shared" si="52"/>
        <v>0</v>
      </c>
      <c r="F184" s="50">
        <f t="shared" si="53"/>
        <v>0</v>
      </c>
      <c r="G184" s="50">
        <f t="shared" si="61"/>
        <v>0</v>
      </c>
      <c r="H184" s="51">
        <f t="shared" si="54"/>
        <v>12735.311775351829</v>
      </c>
      <c r="I184" s="52">
        <f t="shared" si="48"/>
        <v>4855.8773007403561</v>
      </c>
      <c r="J184" s="52">
        <f t="shared" si="49"/>
        <v>7879.434474611473</v>
      </c>
      <c r="K184" s="51">
        <f t="shared" si="59"/>
        <v>3985.7261451014892</v>
      </c>
      <c r="L184" s="49">
        <f t="shared" si="55"/>
        <v>1645.0043313670014</v>
      </c>
      <c r="M184" s="49">
        <f t="shared" si="63"/>
        <v>-1885.0357762497708</v>
      </c>
      <c r="N184" s="49">
        <f t="shared" si="62"/>
        <v>0</v>
      </c>
      <c r="O184" s="48">
        <f t="shared" si="50"/>
        <v>15076.033589086315</v>
      </c>
      <c r="P184" s="38">
        <f t="shared" si="45"/>
        <v>15076.033589086315</v>
      </c>
      <c r="Q184" s="53"/>
      <c r="R184" s="53">
        <f t="shared" si="56"/>
        <v>0.12</v>
      </c>
      <c r="S184" s="53">
        <f t="shared" si="57"/>
        <v>1.0596241035318976E-2</v>
      </c>
      <c r="T184" s="53">
        <f t="shared" si="58"/>
        <v>0.05</v>
      </c>
      <c r="U184" s="53">
        <f t="shared" si="60"/>
        <v>4.2653187775606449E-3</v>
      </c>
    </row>
    <row r="185" spans="1:21" x14ac:dyDescent="0.2">
      <c r="A185" s="62">
        <f t="shared" si="46"/>
        <v>6.8475912321042123E-2</v>
      </c>
      <c r="B185" s="45">
        <f t="shared" si="51"/>
        <v>174</v>
      </c>
      <c r="C185" s="51">
        <f t="shared" si="47"/>
        <v>370572.183547678</v>
      </c>
      <c r="D185" s="47" cm="1">
        <f t="array" ref="D185">_xlfn.IFS(AND($C$7="Y",B185&lt;C$4),C185,AND($C$7="Y",B185=C$4),D184+F185-J185-K185-L185+N185,AND($C$7="Y",B185&gt;$C$4),D184-J185-K185-L185+N185, TRUE, D184-J185-K185-L185+N185)</f>
        <v>358866.15162476286</v>
      </c>
      <c r="E185" s="48">
        <f t="shared" si="52"/>
        <v>0</v>
      </c>
      <c r="F185" s="50">
        <f t="shared" si="53"/>
        <v>0</v>
      </c>
      <c r="G185" s="50">
        <f t="shared" si="61"/>
        <v>0</v>
      </c>
      <c r="H185" s="51">
        <f t="shared" si="54"/>
        <v>12548.448514660908</v>
      </c>
      <c r="I185" s="52">
        <f t="shared" si="48"/>
        <v>4685.7739749969287</v>
      </c>
      <c r="J185" s="52">
        <f t="shared" si="49"/>
        <v>7862.674539663979</v>
      </c>
      <c r="K185" s="51">
        <f t="shared" si="59"/>
        <v>3843.3573832511156</v>
      </c>
      <c r="L185" s="49">
        <f t="shared" si="55"/>
        <v>1587.3791711132185</v>
      </c>
      <c r="M185" s="49">
        <f t="shared" si="63"/>
        <v>-1823.5692131526662</v>
      </c>
      <c r="N185" s="49">
        <f t="shared" si="62"/>
        <v>0</v>
      </c>
      <c r="O185" s="48">
        <f t="shared" si="50"/>
        <v>14804.426726798803</v>
      </c>
      <c r="P185" s="38">
        <f t="shared" si="45"/>
        <v>14804.426726798803</v>
      </c>
      <c r="Q185" s="53"/>
      <c r="R185" s="53">
        <f t="shared" si="56"/>
        <v>0.12</v>
      </c>
      <c r="S185" s="53">
        <f t="shared" si="57"/>
        <v>1.0596241035318976E-2</v>
      </c>
      <c r="T185" s="53">
        <f t="shared" si="58"/>
        <v>0.05</v>
      </c>
      <c r="U185" s="53">
        <f t="shared" si="60"/>
        <v>4.2653187775606449E-3</v>
      </c>
    </row>
    <row r="186" spans="1:21" x14ac:dyDescent="0.2">
      <c r="A186" s="62">
        <f t="shared" si="46"/>
        <v>6.5980108617551297E-2</v>
      </c>
      <c r="B186" s="45">
        <f t="shared" si="51"/>
        <v>175</v>
      </c>
      <c r="C186" s="51">
        <f t="shared" si="47"/>
        <v>357335.47308960685</v>
      </c>
      <c r="D186" s="47" cm="1">
        <f t="array" ref="D186">_xlfn.IFS(AND($C$7="Y",B186&lt;C$4),C186,AND($C$7="Y",B186=C$4),D185+F186-J186-K186-L186+N186,AND($C$7="Y",B186&gt;$C$4),D185-J186-K186-L186+N186, TRUE, D185-J186-K186-L186+N186)</f>
        <v>345786.23140284041</v>
      </c>
      <c r="E186" s="48">
        <f t="shared" si="52"/>
        <v>0</v>
      </c>
      <c r="F186" s="50">
        <f t="shared" si="53"/>
        <v>0</v>
      </c>
      <c r="G186" s="50">
        <f t="shared" si="61"/>
        <v>0</v>
      </c>
      <c r="H186" s="51">
        <f t="shared" si="54"/>
        <v>12364.366383431652</v>
      </c>
      <c r="I186" s="52">
        <f t="shared" si="48"/>
        <v>4518.3997463508131</v>
      </c>
      <c r="J186" s="52">
        <f t="shared" si="49"/>
        <v>7845.9666370808391</v>
      </c>
      <c r="K186" s="51">
        <f t="shared" si="59"/>
        <v>3703.2750496856324</v>
      </c>
      <c r="L186" s="49">
        <f t="shared" si="55"/>
        <v>1530.6785351560266</v>
      </c>
      <c r="M186" s="49">
        <f t="shared" si="63"/>
        <v>-1763.0849181692115</v>
      </c>
      <c r="N186" s="49">
        <f t="shared" si="62"/>
        <v>0</v>
      </c>
      <c r="O186" s="48">
        <f t="shared" si="50"/>
        <v>14536.962897961257</v>
      </c>
      <c r="P186" s="38">
        <f t="shared" si="45"/>
        <v>14536.962897961257</v>
      </c>
      <c r="Q186" s="53"/>
      <c r="R186" s="53">
        <f t="shared" si="56"/>
        <v>0.12</v>
      </c>
      <c r="S186" s="53">
        <f t="shared" si="57"/>
        <v>1.0596241035318976E-2</v>
      </c>
      <c r="T186" s="53">
        <f t="shared" si="58"/>
        <v>0.05</v>
      </c>
      <c r="U186" s="53">
        <f t="shared" si="60"/>
        <v>4.2653187775606449E-3</v>
      </c>
    </row>
    <row r="187" spans="1:21" x14ac:dyDescent="0.2">
      <c r="A187" s="62">
        <f t="shared" si="46"/>
        <v>6.3524427850262896E-2</v>
      </c>
      <c r="B187" s="45">
        <f t="shared" si="51"/>
        <v>176</v>
      </c>
      <c r="C187" s="51">
        <f t="shared" si="47"/>
        <v>344311.34289701591</v>
      </c>
      <c r="D187" s="47" cm="1">
        <f t="array" ref="D187">_xlfn.IFS(AND($C$7="Y",B187&lt;C$4),C187,AND($C$7="Y",B187=C$4),D186+F187-J187-K187-L187+N187,AND($C$7="Y",B187&gt;$C$4),D186-J187-K187-L187+N187, TRUE, D186-J187-K187-L187+N187)</f>
        <v>332916.58605304157</v>
      </c>
      <c r="E187" s="48">
        <f t="shared" si="52"/>
        <v>0</v>
      </c>
      <c r="F187" s="50">
        <f t="shared" si="53"/>
        <v>0</v>
      </c>
      <c r="G187" s="50">
        <f t="shared" si="61"/>
        <v>0</v>
      </c>
      <c r="H187" s="51">
        <f t="shared" si="54"/>
        <v>12183.025673363105</v>
      </c>
      <c r="I187" s="52">
        <f t="shared" si="48"/>
        <v>4353.7135313220415</v>
      </c>
      <c r="J187" s="52">
        <f t="shared" si="49"/>
        <v>7829.3121420410635</v>
      </c>
      <c r="K187" s="51">
        <f t="shared" si="59"/>
        <v>3565.4447019333265</v>
      </c>
      <c r="L187" s="49">
        <f t="shared" si="55"/>
        <v>1474.8885058244655</v>
      </c>
      <c r="M187" s="49">
        <f t="shared" si="63"/>
        <v>-1703.5681374418471</v>
      </c>
      <c r="N187" s="49">
        <f t="shared" si="62"/>
        <v>0</v>
      </c>
      <c r="O187" s="48">
        <f t="shared" si="50"/>
        <v>14273.581869471966</v>
      </c>
      <c r="P187" s="38">
        <f t="shared" si="45"/>
        <v>14273.581869471966</v>
      </c>
      <c r="Q187" s="53"/>
      <c r="R187" s="53">
        <f t="shared" si="56"/>
        <v>0.12</v>
      </c>
      <c r="S187" s="53">
        <f t="shared" si="57"/>
        <v>1.0596241035318976E-2</v>
      </c>
      <c r="T187" s="53">
        <f t="shared" si="58"/>
        <v>0.05</v>
      </c>
      <c r="U187" s="53">
        <f t="shared" si="60"/>
        <v>4.2653187775606449E-3</v>
      </c>
    </row>
    <row r="188" spans="1:21" x14ac:dyDescent="0.2">
      <c r="A188" s="62">
        <f t="shared" si="46"/>
        <v>6.1108265179299869E-2</v>
      </c>
      <c r="B188" s="45">
        <f t="shared" si="51"/>
        <v>177</v>
      </c>
      <c r="C188" s="51">
        <f t="shared" si="47"/>
        <v>331496.59068718815</v>
      </c>
      <c r="D188" s="47" cm="1">
        <f t="array" ref="D188">_xlfn.IFS(AND($C$7="Y",B188&lt;C$4),C188,AND($C$7="Y",B188=C$4),D187+F188-J188-K188-L188+N188,AND($C$7="Y",B188&gt;$C$4),D187-J188-K188-L188+N188, TRUE, D187-J188-K188-L188+N188)</f>
        <v>320254.04575182294</v>
      </c>
      <c r="E188" s="48">
        <f t="shared" si="52"/>
        <v>0</v>
      </c>
      <c r="F188" s="50">
        <f t="shared" si="53"/>
        <v>0</v>
      </c>
      <c r="G188" s="50">
        <f t="shared" si="61"/>
        <v>0</v>
      </c>
      <c r="H188" s="51">
        <f t="shared" si="54"/>
        <v>12004.387381313172</v>
      </c>
      <c r="I188" s="52">
        <f t="shared" si="48"/>
        <v>4191.6748380073295</v>
      </c>
      <c r="J188" s="52">
        <f t="shared" si="49"/>
        <v>7812.7125433058427</v>
      </c>
      <c r="K188" s="51">
        <f t="shared" si="59"/>
        <v>3429.832392059393</v>
      </c>
      <c r="L188" s="49">
        <f t="shared" si="55"/>
        <v>1419.9953658534225</v>
      </c>
      <c r="M188" s="49">
        <f t="shared" si="63"/>
        <v>-1645.0043313670014</v>
      </c>
      <c r="N188" s="49">
        <f t="shared" si="62"/>
        <v>0</v>
      </c>
      <c r="O188" s="48">
        <f t="shared" si="50"/>
        <v>14014.224407519143</v>
      </c>
      <c r="P188" s="38">
        <f t="shared" si="45"/>
        <v>14014.224407519143</v>
      </c>
      <c r="Q188" s="53"/>
      <c r="R188" s="53">
        <f t="shared" si="56"/>
        <v>0.12</v>
      </c>
      <c r="S188" s="53">
        <f t="shared" si="57"/>
        <v>1.0596241035318976E-2</v>
      </c>
      <c r="T188" s="53">
        <f t="shared" si="58"/>
        <v>0.05</v>
      </c>
      <c r="U188" s="53">
        <f t="shared" si="60"/>
        <v>4.2653187775606449E-3</v>
      </c>
    </row>
    <row r="189" spans="1:21" x14ac:dyDescent="0.2">
      <c r="A189" s="62">
        <f t="shared" si="46"/>
        <v>5.8731024421125148E-2</v>
      </c>
      <c r="B189" s="45">
        <f t="shared" si="51"/>
        <v>178</v>
      </c>
      <c r="C189" s="51">
        <f t="shared" si="47"/>
        <v>318888.06015688792</v>
      </c>
      <c r="D189" s="47" cm="1">
        <f t="array" ref="D189">_xlfn.IFS(AND($C$7="Y",B189&lt;C$4),C189,AND($C$7="Y",B189=C$4),D188+F189-J189-K189-L189+N189,AND($C$7="Y",B189&gt;$C$4),D188-J189-K189-L189+N189, TRUE, D188-J189-K189-L189+N189)</f>
        <v>307795.48604148318</v>
      </c>
      <c r="E189" s="48">
        <f t="shared" si="52"/>
        <v>0</v>
      </c>
      <c r="F189" s="50">
        <f t="shared" si="53"/>
        <v>0</v>
      </c>
      <c r="G189" s="50">
        <f t="shared" si="61"/>
        <v>0</v>
      </c>
      <c r="H189" s="51">
        <f t="shared" si="54"/>
        <v>11828.413213320187</v>
      </c>
      <c r="I189" s="52">
        <f t="shared" si="48"/>
        <v>4032.2437559001278</v>
      </c>
      <c r="J189" s="52">
        <f t="shared" si="49"/>
        <v>7796.1694574200592</v>
      </c>
      <c r="K189" s="51">
        <f t="shared" si="59"/>
        <v>3296.4046579846672</v>
      </c>
      <c r="L189" s="49">
        <f t="shared" si="55"/>
        <v>1365.9855949350163</v>
      </c>
      <c r="M189" s="49">
        <f t="shared" si="63"/>
        <v>-1587.3791711132185</v>
      </c>
      <c r="N189" s="49">
        <f t="shared" si="62"/>
        <v>0</v>
      </c>
      <c r="O189" s="48">
        <f t="shared" si="50"/>
        <v>13758.832276369838</v>
      </c>
      <c r="P189" s="38">
        <f t="shared" si="45"/>
        <v>13758.832276369838</v>
      </c>
      <c r="Q189" s="53"/>
      <c r="R189" s="53">
        <f t="shared" si="56"/>
        <v>0.12</v>
      </c>
      <c r="S189" s="53">
        <f t="shared" si="57"/>
        <v>1.0596241035318976E-2</v>
      </c>
      <c r="T189" s="53">
        <f t="shared" si="58"/>
        <v>0.05</v>
      </c>
      <c r="U189" s="53">
        <f t="shared" si="60"/>
        <v>4.2653187775606449E-3</v>
      </c>
    </row>
    <row r="190" spans="1:21" x14ac:dyDescent="0.2">
      <c r="A190" s="62">
        <f t="shared" si="46"/>
        <v>5.6392117893061082E-2</v>
      </c>
      <c r="B190" s="45">
        <f t="shared" si="51"/>
        <v>179</v>
      </c>
      <c r="C190" s="51">
        <f t="shared" si="47"/>
        <v>306482.64017522201</v>
      </c>
      <c r="D190" s="47" cm="1">
        <f t="array" ref="D190">_xlfn.IFS(AND($C$7="Y",B190&lt;C$4),C190,AND($C$7="Y",B190=C$4),D189+F190-J190-K190-L190+N190,AND($C$7="Y",B190&gt;$C$4),D189-J190-K190-L190+N190, TRUE, D189-J190-K190-L190+N190)</f>
        <v>295537.82701532572</v>
      </c>
      <c r="E190" s="48">
        <f t="shared" si="52"/>
        <v>0</v>
      </c>
      <c r="F190" s="50">
        <f t="shared" si="53"/>
        <v>0</v>
      </c>
      <c r="G190" s="50">
        <f t="shared" si="61"/>
        <v>0</v>
      </c>
      <c r="H190" s="51">
        <f t="shared" si="54"/>
        <v>11655.065590821938</v>
      </c>
      <c r="I190" s="52">
        <f t="shared" si="48"/>
        <v>3875.3809456845897</v>
      </c>
      <c r="J190" s="52">
        <f t="shared" si="49"/>
        <v>7779.6846451373476</v>
      </c>
      <c r="K190" s="51">
        <f t="shared" si="59"/>
        <v>3165.1285147589424</v>
      </c>
      <c r="L190" s="49">
        <f t="shared" si="55"/>
        <v>1312.8458662611436</v>
      </c>
      <c r="M190" s="49">
        <f t="shared" si="63"/>
        <v>-1530.6785351560266</v>
      </c>
      <c r="N190" s="49">
        <f t="shared" si="62"/>
        <v>0</v>
      </c>
      <c r="O190" s="48">
        <f t="shared" si="50"/>
        <v>13507.348239319737</v>
      </c>
      <c r="P190" s="38">
        <f t="shared" si="45"/>
        <v>13507.348239319737</v>
      </c>
      <c r="Q190" s="53"/>
      <c r="R190" s="53">
        <f t="shared" si="56"/>
        <v>0.12</v>
      </c>
      <c r="S190" s="53">
        <f t="shared" si="57"/>
        <v>1.0596241035318976E-2</v>
      </c>
      <c r="T190" s="53">
        <f t="shared" si="58"/>
        <v>0.05</v>
      </c>
      <c r="U190" s="53">
        <f t="shared" si="60"/>
        <v>4.2653187775606449E-3</v>
      </c>
    </row>
    <row r="191" spans="1:21" x14ac:dyDescent="0.2">
      <c r="A191" s="62">
        <f t="shared" si="46"/>
        <v>5.4090966256510171E-2</v>
      </c>
      <c r="B191" s="45">
        <f t="shared" si="51"/>
        <v>180</v>
      </c>
      <c r="C191" s="51">
        <f t="shared" si="47"/>
        <v>294277.26397227775</v>
      </c>
      <c r="D191" s="47" cm="1">
        <f t="array" ref="D191">_xlfn.IFS(AND($C$7="Y",B191&lt;C$4),C191,AND($C$7="Y",B191=C$4),D190+F191-J191-K191-L191+N191,AND($C$7="Y",B191&gt;$C$4),D190-J191-K191-L191+N191, TRUE, D190-J191-K191-L191+N191)</f>
        <v>283478.03249601583</v>
      </c>
      <c r="E191" s="48">
        <f t="shared" si="52"/>
        <v>0</v>
      </c>
      <c r="F191" s="50">
        <f t="shared" si="53"/>
        <v>0</v>
      </c>
      <c r="G191" s="50">
        <f t="shared" si="61"/>
        <v>0</v>
      </c>
      <c r="H191" s="51">
        <f t="shared" si="54"/>
        <v>11484.307659476679</v>
      </c>
      <c r="I191" s="52">
        <f t="shared" si="48"/>
        <v>3721.0476289761464</v>
      </c>
      <c r="J191" s="52">
        <f t="shared" si="49"/>
        <v>7763.2600305005326</v>
      </c>
      <c r="K191" s="51">
        <f t="shared" si="59"/>
        <v>3035.9714457614027</v>
      </c>
      <c r="L191" s="49">
        <f t="shared" si="55"/>
        <v>1260.5630430479384</v>
      </c>
      <c r="M191" s="49">
        <f t="shared" si="63"/>
        <v>-1474.8885058244655</v>
      </c>
      <c r="N191" s="49">
        <f t="shared" si="62"/>
        <v>0</v>
      </c>
      <c r="O191" s="48">
        <f t="shared" si="50"/>
        <v>13259.716062190144</v>
      </c>
      <c r="P191" s="38">
        <f t="shared" si="45"/>
        <v>13259.716062190144</v>
      </c>
      <c r="Q191" s="53"/>
      <c r="R191" s="53">
        <f t="shared" si="56"/>
        <v>0.12</v>
      </c>
      <c r="S191" s="53">
        <f t="shared" si="57"/>
        <v>1.0596241035318976E-2</v>
      </c>
      <c r="T191" s="53">
        <f t="shared" si="58"/>
        <v>0.05</v>
      </c>
      <c r="U191" s="53">
        <f t="shared" si="60"/>
        <v>4.2653187775606449E-3</v>
      </c>
    </row>
    <row r="192" spans="1:21" x14ac:dyDescent="0.2">
      <c r="A192" s="62">
        <f t="shared" si="46"/>
        <v>5.1826998358294719E-2</v>
      </c>
      <c r="B192" s="45">
        <f t="shared" si="51"/>
        <v>181</v>
      </c>
      <c r="C192" s="51">
        <f t="shared" si="47"/>
        <v>282268.90832098463</v>
      </c>
      <c r="D192" s="47" cm="1">
        <f t="array" ref="D192">_xlfn.IFS(AND($C$7="Y",B192&lt;C$4),C192,AND($C$7="Y",B192=C$4),D191+F192-J192-K192-L192+N192,AND($C$7="Y",B192&gt;$C$4),D191-J192-K192-L192+N192, TRUE, D191-J192-K192-L192+N192)</f>
        <v>271613.10920407862</v>
      </c>
      <c r="E192" s="48">
        <f t="shared" si="52"/>
        <v>0</v>
      </c>
      <c r="F192" s="50">
        <f t="shared" si="53"/>
        <v>0</v>
      </c>
      <c r="G192" s="50">
        <f t="shared" si="61"/>
        <v>0</v>
      </c>
      <c r="H192" s="51">
        <f t="shared" si="54"/>
        <v>11316.103301086976</v>
      </c>
      <c r="I192" s="52">
        <f t="shared" si="48"/>
        <v>3569.2055779763923</v>
      </c>
      <c r="J192" s="52">
        <f t="shared" si="49"/>
        <v>7746.8977231105837</v>
      </c>
      <c r="K192" s="51">
        <f t="shared" si="59"/>
        <v>2908.9013937954642</v>
      </c>
      <c r="L192" s="49">
        <f t="shared" si="55"/>
        <v>1209.1241750312031</v>
      </c>
      <c r="M192" s="49">
        <f t="shared" si="63"/>
        <v>-1419.9953658534225</v>
      </c>
      <c r="N192" s="49">
        <f t="shared" si="62"/>
        <v>0</v>
      </c>
      <c r="O192" s="48">
        <f t="shared" si="50"/>
        <v>13015.880519851236</v>
      </c>
      <c r="P192" s="38">
        <f t="shared" si="45"/>
        <v>13015.880519851236</v>
      </c>
      <c r="Q192" s="53"/>
      <c r="R192" s="53">
        <f t="shared" si="56"/>
        <v>0.12</v>
      </c>
      <c r="S192" s="53">
        <f t="shared" si="57"/>
        <v>1.0596241035318976E-2</v>
      </c>
      <c r="T192" s="53">
        <f t="shared" si="58"/>
        <v>0.05</v>
      </c>
      <c r="U192" s="53">
        <f t="shared" si="60"/>
        <v>4.2653187775606449E-3</v>
      </c>
    </row>
    <row r="193" spans="1:21" x14ac:dyDescent="0.2">
      <c r="A193" s="62">
        <f t="shared" si="46"/>
        <v>4.9599651069415981E-2</v>
      </c>
      <c r="B193" s="45">
        <f t="shared" si="51"/>
        <v>182</v>
      </c>
      <c r="C193" s="51">
        <f t="shared" si="47"/>
        <v>270454.59270915884</v>
      </c>
      <c r="D193" s="47" cm="1">
        <f t="array" ref="D193">_xlfn.IFS(AND($C$7="Y",B193&lt;C$4),C193,AND($C$7="Y",B193=C$4),D192+F193-J193-K193-L193+N193,AND($C$7="Y",B193&gt;$C$4),D192-J193-K193-L193+N193, TRUE, D192-J193-K193-L193+N193)</f>
        <v>259940.10591287405</v>
      </c>
      <c r="E193" s="48">
        <f t="shared" si="52"/>
        <v>0</v>
      </c>
      <c r="F193" s="50">
        <f t="shared" si="53"/>
        <v>0</v>
      </c>
      <c r="G193" s="50">
        <f t="shared" si="61"/>
        <v>0</v>
      </c>
      <c r="H193" s="51">
        <f t="shared" si="54"/>
        <v>11150.417149249864</v>
      </c>
      <c r="I193" s="52">
        <f t="shared" si="48"/>
        <v>3419.8171050038368</v>
      </c>
      <c r="J193" s="52">
        <f t="shared" si="49"/>
        <v>7730.6000442460281</v>
      </c>
      <c r="K193" s="51">
        <f t="shared" si="59"/>
        <v>2783.8867520387912</v>
      </c>
      <c r="L193" s="49">
        <f t="shared" si="55"/>
        <v>1158.5164949197865</v>
      </c>
      <c r="M193" s="49">
        <f t="shared" si="63"/>
        <v>-1365.9855949350163</v>
      </c>
      <c r="N193" s="49">
        <f t="shared" si="62"/>
        <v>0</v>
      </c>
      <c r="O193" s="48">
        <f t="shared" si="50"/>
        <v>12775.787406368871</v>
      </c>
      <c r="P193" s="38">
        <f t="shared" si="45"/>
        <v>12775.787406368871</v>
      </c>
      <c r="Q193" s="53"/>
      <c r="R193" s="53">
        <f t="shared" si="56"/>
        <v>0.12</v>
      </c>
      <c r="S193" s="53">
        <f t="shared" si="57"/>
        <v>1.0596241035318976E-2</v>
      </c>
      <c r="T193" s="53">
        <f t="shared" si="58"/>
        <v>0.05</v>
      </c>
      <c r="U193" s="53">
        <f t="shared" si="60"/>
        <v>4.2653187775606449E-3</v>
      </c>
    </row>
    <row r="194" spans="1:21" x14ac:dyDescent="0.2">
      <c r="A194" s="62">
        <f t="shared" si="46"/>
        <v>4.7408369120388191E-2</v>
      </c>
      <c r="B194" s="45">
        <f t="shared" si="51"/>
        <v>183</v>
      </c>
      <c r="C194" s="51">
        <f t="shared" si="47"/>
        <v>258831.37849808275</v>
      </c>
      <c r="D194" s="47" cm="1">
        <f t="array" ref="D194">_xlfn.IFS(AND($C$7="Y",B194&lt;C$4),C194,AND($C$7="Y",B194=C$4),D193+F194-J194-K194-L194+N194,AND($C$7="Y",B194&gt;$C$4),D193-J194-K194-L194+N194, TRUE, D193-J194-K194-L194+N194)</f>
        <v>248456.11258562098</v>
      </c>
      <c r="E194" s="48">
        <f t="shared" si="52"/>
        <v>0</v>
      </c>
      <c r="F194" s="50">
        <f t="shared" si="53"/>
        <v>0</v>
      </c>
      <c r="G194" s="50">
        <f t="shared" si="61"/>
        <v>0</v>
      </c>
      <c r="H194" s="51">
        <f t="shared" si="54"/>
        <v>10987.2146095151</v>
      </c>
      <c r="I194" s="52">
        <f t="shared" si="48"/>
        <v>3272.8450518543928</v>
      </c>
      <c r="J194" s="52">
        <f t="shared" si="49"/>
        <v>7714.3695576607079</v>
      </c>
      <c r="K194" s="51">
        <f t="shared" si="59"/>
        <v>2660.896354801062</v>
      </c>
      <c r="L194" s="49">
        <f t="shared" si="55"/>
        <v>1108.7274147912844</v>
      </c>
      <c r="M194" s="49">
        <f t="shared" si="63"/>
        <v>-1312.8458662611436</v>
      </c>
      <c r="N194" s="49">
        <f t="shared" si="62"/>
        <v>0</v>
      </c>
      <c r="O194" s="48">
        <f t="shared" si="50"/>
        <v>12539.383549524877</v>
      </c>
      <c r="P194" s="38">
        <f t="shared" si="45"/>
        <v>12539.383549524877</v>
      </c>
      <c r="Q194" s="53"/>
      <c r="R194" s="53">
        <f t="shared" si="56"/>
        <v>0.12</v>
      </c>
      <c r="S194" s="53">
        <f t="shared" si="57"/>
        <v>1.0596241035318976E-2</v>
      </c>
      <c r="T194" s="53">
        <f t="shared" si="58"/>
        <v>0.05</v>
      </c>
      <c r="U194" s="53">
        <f t="shared" si="60"/>
        <v>4.2653187775606449E-3</v>
      </c>
    </row>
    <row r="195" spans="1:21" x14ac:dyDescent="0.2">
      <c r="A195" s="62">
        <f t="shared" si="46"/>
        <v>4.525260493211776E-2</v>
      </c>
      <c r="B195" s="45">
        <f t="shared" si="51"/>
        <v>184</v>
      </c>
      <c r="C195" s="51">
        <f t="shared" si="47"/>
        <v>247396.36806320981</v>
      </c>
      <c r="D195" s="47" cm="1">
        <f t="array" ref="D195">_xlfn.IFS(AND($C$7="Y",B195&lt;C$4),C195,AND($C$7="Y",B195=C$4),D194+F195-J195-K195-L195+N195,AND($C$7="Y",B195&gt;$C$4),D194-J195-K195-L195+N195, TRUE, D194-J195-K195-L195+N195)</f>
        <v>237158.25948907508</v>
      </c>
      <c r="E195" s="48">
        <f t="shared" si="52"/>
        <v>0</v>
      </c>
      <c r="F195" s="50">
        <f t="shared" si="53"/>
        <v>0</v>
      </c>
      <c r="G195" s="50">
        <f t="shared" si="61"/>
        <v>0</v>
      </c>
      <c r="H195" s="51">
        <f t="shared" si="54"/>
        <v>10826.461885038865</v>
      </c>
      <c r="I195" s="52">
        <f t="shared" si="48"/>
        <v>3128.2527789358505</v>
      </c>
      <c r="J195" s="52">
        <f t="shared" si="49"/>
        <v>7698.2091061030151</v>
      </c>
      <c r="K195" s="51">
        <f t="shared" si="59"/>
        <v>2539.899468031706</v>
      </c>
      <c r="L195" s="49">
        <f t="shared" si="55"/>
        <v>1059.7445224111709</v>
      </c>
      <c r="M195" s="49">
        <f t="shared" si="63"/>
        <v>-1260.5630430479384</v>
      </c>
      <c r="N195" s="49">
        <f t="shared" si="62"/>
        <v>0</v>
      </c>
      <c r="O195" s="48">
        <f t="shared" si="50"/>
        <v>12306.616830659401</v>
      </c>
      <c r="P195" s="38">
        <f t="shared" si="45"/>
        <v>12306.616830659401</v>
      </c>
      <c r="Q195" s="53"/>
      <c r="R195" s="53">
        <f t="shared" si="56"/>
        <v>0.12</v>
      </c>
      <c r="S195" s="53">
        <f t="shared" si="57"/>
        <v>1.0596241035318976E-2</v>
      </c>
      <c r="T195" s="53">
        <f t="shared" si="58"/>
        <v>0.05</v>
      </c>
      <c r="U195" s="53">
        <f t="shared" si="60"/>
        <v>4.2653187775606449E-3</v>
      </c>
    </row>
    <row r="196" spans="1:21" x14ac:dyDescent="0.2">
      <c r="A196" s="62">
        <f t="shared" si="46"/>
        <v>4.3131818441063591E-2</v>
      </c>
      <c r="B196" s="45">
        <f t="shared" si="51"/>
        <v>185</v>
      </c>
      <c r="C196" s="51">
        <f t="shared" si="47"/>
        <v>236146.70391162272</v>
      </c>
      <c r="D196" s="47" cm="1">
        <f t="array" ref="D196">_xlfn.IFS(AND($C$7="Y",B196&lt;C$4),C196,AND($C$7="Y",B196=C$4),D195+F196-J196-K196-L196+N196,AND($C$7="Y",B196&gt;$C$4),D195-J196-K196-L196+N196, TRUE, D195-J196-K196-L196+N196)</f>
        <v>226043.71627723504</v>
      </c>
      <c r="E196" s="48">
        <f t="shared" si="52"/>
        <v>0</v>
      </c>
      <c r="F196" s="50">
        <f t="shared" si="53"/>
        <v>0</v>
      </c>
      <c r="G196" s="50">
        <f t="shared" si="61"/>
        <v>0</v>
      </c>
      <c r="H196" s="51">
        <f t="shared" si="54"/>
        <v>10668.126008989431</v>
      </c>
      <c r="I196" s="52">
        <f t="shared" si="48"/>
        <v>2986.0041541084006</v>
      </c>
      <c r="J196" s="52">
        <f t="shared" si="49"/>
        <v>7682.1218548810302</v>
      </c>
      <c r="K196" s="51">
        <f t="shared" si="59"/>
        <v>2420.865779506646</v>
      </c>
      <c r="L196" s="49">
        <f t="shared" si="55"/>
        <v>1011.5555774523519</v>
      </c>
      <c r="M196" s="49">
        <f t="shared" si="63"/>
        <v>-1209.1241750312031</v>
      </c>
      <c r="N196" s="49">
        <f t="shared" si="62"/>
        <v>0</v>
      </c>
      <c r="O196" s="48">
        <f t="shared" si="50"/>
        <v>12077.436211043725</v>
      </c>
      <c r="P196" s="38">
        <f t="shared" si="45"/>
        <v>12077.436211043725</v>
      </c>
      <c r="Q196" s="53"/>
      <c r="R196" s="53">
        <f t="shared" si="56"/>
        <v>0.12</v>
      </c>
      <c r="S196" s="53">
        <f t="shared" si="57"/>
        <v>1.0596241035318976E-2</v>
      </c>
      <c r="T196" s="53">
        <f t="shared" si="58"/>
        <v>0.05</v>
      </c>
      <c r="U196" s="53">
        <f t="shared" si="60"/>
        <v>4.2653187775606449E-3</v>
      </c>
    </row>
    <row r="197" spans="1:21" x14ac:dyDescent="0.2">
      <c r="A197" s="62">
        <f t="shared" si="46"/>
        <v>4.1045476917112793E-2</v>
      </c>
      <c r="B197" s="45">
        <f t="shared" si="51"/>
        <v>186</v>
      </c>
      <c r="C197" s="51">
        <f t="shared" si="47"/>
        <v>225079.56776964816</v>
      </c>
      <c r="D197" s="47" cm="1">
        <f t="array" ref="D197">_xlfn.IFS(AND($C$7="Y",B197&lt;C$4),C197,AND($C$7="Y",B197=C$4),D196+F197-J197-K197-L197+N197,AND($C$7="Y",B197&gt;$C$4),D196-J197-K197-L197+N197, TRUE, D196-J197-K197-L197+N197)</f>
        <v>215109.69103687193</v>
      </c>
      <c r="E197" s="48">
        <f t="shared" si="52"/>
        <v>0</v>
      </c>
      <c r="F197" s="50">
        <f t="shared" si="53"/>
        <v>0</v>
      </c>
      <c r="G197" s="50">
        <f t="shared" si="61"/>
        <v>0</v>
      </c>
      <c r="H197" s="51">
        <f t="shared" si="54"/>
        <v>10512.174885317856</v>
      </c>
      <c r="I197" s="52">
        <f t="shared" si="48"/>
        <v>2846.0635411477942</v>
      </c>
      <c r="J197" s="52">
        <f t="shared" si="49"/>
        <v>7666.1113441700618</v>
      </c>
      <c r="K197" s="51">
        <f t="shared" si="59"/>
        <v>2303.7653886061853</v>
      </c>
      <c r="L197" s="49">
        <f t="shared" si="55"/>
        <v>964.14850758688146</v>
      </c>
      <c r="M197" s="49">
        <f t="shared" si="63"/>
        <v>-1158.5164949197865</v>
      </c>
      <c r="N197" s="49">
        <f t="shared" si="62"/>
        <v>0</v>
      </c>
      <c r="O197" s="48">
        <f t="shared" si="50"/>
        <v>11851.791766337159</v>
      </c>
      <c r="P197" s="38">
        <f t="shared" si="45"/>
        <v>11851.791766337159</v>
      </c>
      <c r="Q197" s="53"/>
      <c r="R197" s="53">
        <f t="shared" si="56"/>
        <v>0.12</v>
      </c>
      <c r="S197" s="53">
        <f t="shared" si="57"/>
        <v>1.0596241035318976E-2</v>
      </c>
      <c r="T197" s="53">
        <f t="shared" si="58"/>
        <v>0.05</v>
      </c>
      <c r="U197" s="53">
        <f t="shared" si="60"/>
        <v>4.2653187775606449E-3</v>
      </c>
    </row>
    <row r="198" spans="1:21" x14ac:dyDescent="0.2">
      <c r="A198" s="62">
        <f t="shared" si="46"/>
        <v>3.8993054772215298E-2</v>
      </c>
      <c r="B198" s="45">
        <f t="shared" si="51"/>
        <v>187</v>
      </c>
      <c r="C198" s="51">
        <f t="shared" si="47"/>
        <v>214192.17963245709</v>
      </c>
      <c r="D198" s="47" cm="1">
        <f t="array" ref="D198">_xlfn.IFS(AND($C$7="Y",B198&lt;C$4),C198,AND($C$7="Y",B198=C$4),D197+F198-J198-K198-L198+N198,AND($C$7="Y",B198&gt;$C$4),D197-J198-K198-L198+N198, TRUE, D197-J198-K198-L198+N198)</f>
        <v>204353.42928462839</v>
      </c>
      <c r="E198" s="48">
        <f t="shared" si="52"/>
        <v>0</v>
      </c>
      <c r="F198" s="50">
        <f t="shared" si="53"/>
        <v>0</v>
      </c>
      <c r="G198" s="50">
        <f t="shared" si="61"/>
        <v>0</v>
      </c>
      <c r="H198" s="51">
        <f t="shared" si="54"/>
        <v>10358.577339982296</v>
      </c>
      <c r="I198" s="52">
        <f t="shared" si="48"/>
        <v>2708.3957877278281</v>
      </c>
      <c r="J198" s="52">
        <f t="shared" si="49"/>
        <v>7650.1815522544675</v>
      </c>
      <c r="K198" s="51">
        <f t="shared" si="59"/>
        <v>2188.568795574216</v>
      </c>
      <c r="L198" s="49">
        <f t="shared" si="55"/>
        <v>917.51140441483858</v>
      </c>
      <c r="M198" s="49">
        <f t="shared" si="63"/>
        <v>-1108.7274147912844</v>
      </c>
      <c r="N198" s="49">
        <f t="shared" si="62"/>
        <v>0</v>
      </c>
      <c r="O198" s="48">
        <f t="shared" si="50"/>
        <v>11629.634731141672</v>
      </c>
      <c r="P198" s="38">
        <f t="shared" si="45"/>
        <v>11629.634731141672</v>
      </c>
      <c r="Q198" s="53"/>
      <c r="R198" s="53">
        <f t="shared" si="56"/>
        <v>0.12</v>
      </c>
      <c r="S198" s="53">
        <f t="shared" si="57"/>
        <v>1.0596241035318976E-2</v>
      </c>
      <c r="T198" s="53">
        <f t="shared" si="58"/>
        <v>0.05</v>
      </c>
      <c r="U198" s="53">
        <f t="shared" si="60"/>
        <v>4.2653187775606449E-3</v>
      </c>
    </row>
    <row r="199" spans="1:21" x14ac:dyDescent="0.2">
      <c r="A199" s="62">
        <f t="shared" si="46"/>
        <v>3.6974033357310053E-2</v>
      </c>
      <c r="B199" s="45">
        <f t="shared" si="51"/>
        <v>188</v>
      </c>
      <c r="C199" s="51">
        <f t="shared" si="47"/>
        <v>203481.79676544174</v>
      </c>
      <c r="D199" s="47" cm="1">
        <f t="array" ref="D199">_xlfn.IFS(AND($C$7="Y",B199&lt;C$4),C199,AND($C$7="Y",B199=C$4),D198+F199-J199-K199-L199+N199,AND($C$7="Y",B199&gt;$C$4),D198-J199-K199-L199+N199, TRUE, D198-J199-K199-L199+N199)</f>
        <v>193772.21290275661</v>
      </c>
      <c r="E199" s="48">
        <f t="shared" si="52"/>
        <v>0</v>
      </c>
      <c r="F199" s="50">
        <f t="shared" si="53"/>
        <v>0</v>
      </c>
      <c r="G199" s="50">
        <f t="shared" si="61"/>
        <v>0</v>
      </c>
      <c r="H199" s="51">
        <f t="shared" si="54"/>
        <v>10207.303185357909</v>
      </c>
      <c r="I199" s="52">
        <f t="shared" si="48"/>
        <v>2572.9662127930533</v>
      </c>
      <c r="J199" s="52">
        <f t="shared" si="49"/>
        <v>7634.3369725648554</v>
      </c>
      <c r="K199" s="51">
        <f t="shared" si="59"/>
        <v>2075.2468901202651</v>
      </c>
      <c r="L199" s="49">
        <f t="shared" si="55"/>
        <v>871.63251918663684</v>
      </c>
      <c r="M199" s="49">
        <f t="shared" si="63"/>
        <v>-1059.7445224111709</v>
      </c>
      <c r="N199" s="49">
        <f t="shared" si="62"/>
        <v>0</v>
      </c>
      <c r="O199" s="48">
        <f t="shared" si="50"/>
        <v>11410.917556291537</v>
      </c>
      <c r="P199" s="38">
        <f t="shared" si="45"/>
        <v>11410.917556291537</v>
      </c>
      <c r="Q199" s="53"/>
      <c r="R199" s="53">
        <f t="shared" si="56"/>
        <v>0.12</v>
      </c>
      <c r="S199" s="53">
        <f t="shared" si="57"/>
        <v>1.0596241035318976E-2</v>
      </c>
      <c r="T199" s="53">
        <f t="shared" si="58"/>
        <v>0.05</v>
      </c>
      <c r="U199" s="53">
        <f t="shared" si="60"/>
        <v>4.2653187775606449E-3</v>
      </c>
    </row>
    <row r="200" spans="1:21" x14ac:dyDescent="0.2">
      <c r="A200" s="62">
        <f t="shared" si="46"/>
        <v>3.4987900744399475E-2</v>
      </c>
      <c r="B200" s="45">
        <f t="shared" si="51"/>
        <v>189</v>
      </c>
      <c r="C200" s="51">
        <f t="shared" si="47"/>
        <v>192945.712644493</v>
      </c>
      <c r="D200" s="47" cm="1">
        <f t="array" ref="D200">_xlfn.IFS(AND($C$7="Y",B200&lt;C$4),C200,AND($C$7="Y",B200=C$4),D199+F200-J200-K200-L200+N200,AND($C$7="Y",B200&gt;$C$4),D199-J200-K200-L200+N200, TRUE, D199-J200-K200-L200+N200)</f>
        <v>183363.35899702148</v>
      </c>
      <c r="E200" s="48">
        <f t="shared" si="52"/>
        <v>0</v>
      </c>
      <c r="F200" s="50">
        <f t="shared" si="53"/>
        <v>0</v>
      </c>
      <c r="G200" s="50">
        <f t="shared" si="61"/>
        <v>0</v>
      </c>
      <c r="H200" s="51">
        <f t="shared" si="54"/>
        <v>10058.323301442453</v>
      </c>
      <c r="I200" s="52">
        <f t="shared" si="48"/>
        <v>2439.7405931589014</v>
      </c>
      <c r="J200" s="52">
        <f t="shared" si="49"/>
        <v>7618.5827082835513</v>
      </c>
      <c r="K200" s="51">
        <f t="shared" si="59"/>
        <v>1963.7709391879544</v>
      </c>
      <c r="L200" s="49">
        <f t="shared" si="55"/>
        <v>826.50025826360684</v>
      </c>
      <c r="M200" s="49">
        <f t="shared" si="63"/>
        <v>-1011.5555774523519</v>
      </c>
      <c r="N200" s="49">
        <f t="shared" si="62"/>
        <v>0</v>
      </c>
      <c r="O200" s="48">
        <f t="shared" si="50"/>
        <v>11195.593982366801</v>
      </c>
      <c r="P200" s="38">
        <f t="shared" si="45"/>
        <v>11195.593982366801</v>
      </c>
      <c r="Q200" s="53"/>
      <c r="R200" s="53">
        <f t="shared" si="56"/>
        <v>0.12</v>
      </c>
      <c r="S200" s="53">
        <f t="shared" si="57"/>
        <v>1.0596241035318976E-2</v>
      </c>
      <c r="T200" s="53">
        <f t="shared" si="58"/>
        <v>0.05</v>
      </c>
      <c r="U200" s="53">
        <f t="shared" si="60"/>
        <v>4.2653187775606449E-3</v>
      </c>
    </row>
    <row r="201" spans="1:21" x14ac:dyDescent="0.2">
      <c r="A201" s="62">
        <f t="shared" si="46"/>
        <v>3.3034151489725119E-2</v>
      </c>
      <c r="B201" s="45">
        <f t="shared" si="51"/>
        <v>190</v>
      </c>
      <c r="C201" s="51">
        <f t="shared" si="47"/>
        <v>182581.25581877489</v>
      </c>
      <c r="D201" s="47" cm="1">
        <f t="array" ref="D201">_xlfn.IFS(AND($C$7="Y",B201&lt;C$4),C201,AND($C$7="Y",B201=C$4),D200+F201-J201-K201-L201+N201,AND($C$7="Y",B201&gt;$C$4),D200-J201-K201-L201+N201, TRUE, D200-J201-K201-L201+N201)</f>
        <v>173124.2186555604</v>
      </c>
      <c r="E201" s="48">
        <f t="shared" si="52"/>
        <v>0</v>
      </c>
      <c r="F201" s="50">
        <f t="shared" si="53"/>
        <v>0</v>
      </c>
      <c r="G201" s="50">
        <f t="shared" si="61"/>
        <v>0</v>
      </c>
      <c r="H201" s="51">
        <f t="shared" si="54"/>
        <v>9911.6097386835754</v>
      </c>
      <c r="I201" s="52">
        <f t="shared" si="48"/>
        <v>2308.6851491318116</v>
      </c>
      <c r="J201" s="52">
        <f t="shared" si="49"/>
        <v>7602.9245895517633</v>
      </c>
      <c r="K201" s="51">
        <f t="shared" si="59"/>
        <v>1854.1125736627303</v>
      </c>
      <c r="L201" s="49">
        <f t="shared" si="55"/>
        <v>782.10317824658932</v>
      </c>
      <c r="M201" s="49">
        <f t="shared" si="63"/>
        <v>-964.14850758688146</v>
      </c>
      <c r="N201" s="49">
        <f t="shared" si="62"/>
        <v>0</v>
      </c>
      <c r="O201" s="48">
        <f t="shared" si="50"/>
        <v>10983.619134099716</v>
      </c>
      <c r="P201" s="38">
        <f t="shared" si="45"/>
        <v>10983.619134099716</v>
      </c>
      <c r="Q201" s="53"/>
      <c r="R201" s="53">
        <f t="shared" si="56"/>
        <v>0.12</v>
      </c>
      <c r="S201" s="53">
        <f t="shared" si="57"/>
        <v>1.0596241035318976E-2</v>
      </c>
      <c r="T201" s="53">
        <f t="shared" si="58"/>
        <v>0.05</v>
      </c>
      <c r="U201" s="53">
        <f t="shared" si="60"/>
        <v>4.2653187775606449E-3</v>
      </c>
    </row>
    <row r="202" spans="1:21" x14ac:dyDescent="0.2">
      <c r="A202" s="62">
        <f t="shared" si="46"/>
        <v>3.1112286372774321E-2</v>
      </c>
      <c r="B202" s="45">
        <f t="shared" si="51"/>
        <v>191</v>
      </c>
      <c r="C202" s="51">
        <f t="shared" si="47"/>
        <v>172385.78867487833</v>
      </c>
      <c r="D202" s="47" cm="1">
        <f t="array" ref="D202">_xlfn.IFS(AND($C$7="Y",B202&lt;C$4),C202,AND($C$7="Y",B202=C$4),D201+F202-J202-K202-L202+N202,AND($C$7="Y",B202&gt;$C$4),D201-J202-K202-L202+N202, TRUE, D201-J202-K202-L202+N202)</f>
        <v>163052.17558107813</v>
      </c>
      <c r="E202" s="48">
        <f t="shared" si="52"/>
        <v>0</v>
      </c>
      <c r="F202" s="50">
        <f t="shared" si="53"/>
        <v>0</v>
      </c>
      <c r="G202" s="50">
        <f t="shared" si="61"/>
        <v>0</v>
      </c>
      <c r="H202" s="51">
        <f t="shared" si="54"/>
        <v>9767.1358489594659</v>
      </c>
      <c r="I202" s="52">
        <f t="shared" si="48"/>
        <v>2179.7665288823232</v>
      </c>
      <c r="J202" s="52">
        <f t="shared" si="49"/>
        <v>7587.3693200771431</v>
      </c>
      <c r="K202" s="51">
        <f t="shared" si="59"/>
        <v>1746.2437737230493</v>
      </c>
      <c r="L202" s="49">
        <f t="shared" si="55"/>
        <v>738.42998068207669</v>
      </c>
      <c r="M202" s="49">
        <f t="shared" si="63"/>
        <v>-917.51140441483858</v>
      </c>
      <c r="N202" s="49">
        <f t="shared" si="62"/>
        <v>0</v>
      </c>
      <c r="O202" s="48">
        <f t="shared" si="50"/>
        <v>10774.94964200044</v>
      </c>
      <c r="P202" s="38">
        <f t="shared" si="45"/>
        <v>10774.94964200044</v>
      </c>
      <c r="Q202" s="53"/>
      <c r="R202" s="53">
        <f t="shared" si="56"/>
        <v>0.12</v>
      </c>
      <c r="S202" s="53">
        <f t="shared" si="57"/>
        <v>1.0596241035318976E-2</v>
      </c>
      <c r="T202" s="53">
        <f t="shared" si="58"/>
        <v>0.05</v>
      </c>
      <c r="U202" s="53">
        <f t="shared" si="60"/>
        <v>4.2653187775606449E-3</v>
      </c>
    </row>
    <row r="203" spans="1:21" x14ac:dyDescent="0.2">
      <c r="A203" s="62">
        <f t="shared" si="46"/>
        <v>2.9221812104167841E-2</v>
      </c>
      <c r="B203" s="45">
        <f t="shared" si="51"/>
        <v>192</v>
      </c>
      <c r="C203" s="51">
        <f t="shared" si="47"/>
        <v>162356.70607485005</v>
      </c>
      <c r="D203" s="47" cm="1">
        <f t="array" ref="D203">_xlfn.IFS(AND($C$7="Y",B203&lt;C$4),C203,AND($C$7="Y",B203=C$4),D202+F203-J203-K203-L203+N203,AND($C$7="Y",B203&gt;$C$4),D202-J203-K203-L203+N203, TRUE, D202-J203-K203-L203+N203)</f>
        <v>153144.64455995482</v>
      </c>
      <c r="E203" s="48">
        <f t="shared" si="52"/>
        <v>0</v>
      </c>
      <c r="F203" s="50">
        <f t="shared" si="53"/>
        <v>0</v>
      </c>
      <c r="G203" s="50">
        <f t="shared" si="61"/>
        <v>0</v>
      </c>
      <c r="H203" s="51">
        <f t="shared" si="54"/>
        <v>9624.8764536736526</v>
      </c>
      <c r="I203" s="52">
        <f t="shared" si="48"/>
        <v>2052.9517912233623</v>
      </c>
      <c r="J203" s="52">
        <f t="shared" si="49"/>
        <v>7571.9246624502903</v>
      </c>
      <c r="K203" s="51">
        <f t="shared" si="59"/>
        <v>1640.1368524449481</v>
      </c>
      <c r="L203" s="49">
        <f t="shared" si="55"/>
        <v>695.46950622808777</v>
      </c>
      <c r="M203" s="49">
        <f t="shared" si="63"/>
        <v>-871.63251918663684</v>
      </c>
      <c r="N203" s="49">
        <f t="shared" si="62"/>
        <v>0</v>
      </c>
      <c r="O203" s="48">
        <f t="shared" si="50"/>
        <v>10569.543799890513</v>
      </c>
      <c r="P203" s="38">
        <f t="shared" ref="P203:P266" si="64">O203*(1/((1+P$9)^(B203/12)))</f>
        <v>10569.543799890513</v>
      </c>
      <c r="Q203" s="53"/>
      <c r="R203" s="53">
        <f t="shared" si="56"/>
        <v>0.12</v>
      </c>
      <c r="S203" s="53">
        <f t="shared" si="57"/>
        <v>1.0596241035318976E-2</v>
      </c>
      <c r="T203" s="53">
        <f t="shared" si="58"/>
        <v>0.05</v>
      </c>
      <c r="U203" s="53">
        <f t="shared" si="60"/>
        <v>4.2653187775606449E-3</v>
      </c>
    </row>
    <row r="204" spans="1:21" x14ac:dyDescent="0.2">
      <c r="A204" s="62">
        <f t="shared" ref="A204:A232" si="65">D204/C$1</f>
        <v>2.7362240993139719E-2</v>
      </c>
      <c r="B204" s="45">
        <f t="shared" si="51"/>
        <v>193</v>
      </c>
      <c r="C204" s="51">
        <f t="shared" ref="C204:C216" si="66">IF(B204&lt;C$4,C$1,D203-L204+N204)</f>
        <v>152491.43383183039</v>
      </c>
      <c r="D204" s="47" cm="1">
        <f t="array" ref="D204">_xlfn.IFS(AND($C$7="Y",B204&lt;C$4),C204,AND($C$7="Y",B204=C$4),D203+F204-J204-K204-L204+N204,AND($C$7="Y",B204&gt;$C$4),D203-J204-K204-L204+N204, TRUE, D203-J204-K204-L204+N204)</f>
        <v>143399.06971958603</v>
      </c>
      <c r="E204" s="48">
        <f t="shared" si="52"/>
        <v>0</v>
      </c>
      <c r="F204" s="50">
        <f t="shared" si="53"/>
        <v>0</v>
      </c>
      <c r="G204" s="50">
        <f t="shared" si="61"/>
        <v>0</v>
      </c>
      <c r="H204" s="51">
        <f t="shared" si="54"/>
        <v>9484.8080614408882</v>
      </c>
      <c r="I204" s="52">
        <f t="shared" ref="I204:I216" si="67">IF(AND(C$7="Y",$B204&lt;=C$4),0,IF(AND(C$7="Y",$B204&gt;C$4),(1-U204)*C$2*D203/12,IF(AND($C$7="N",C$4&gt;0),(1-U204)*D203*C$2/12, (1-U204)*D203*C$2/12)))</f>
        <v>1928.2083863351388</v>
      </c>
      <c r="J204" s="52">
        <f t="shared" ref="J204:J216" si="68">IF(AND($B204&lt;=$C$4,C$7="Y"),0,IF(AND(C$7="N",C$4&gt;0,B204&lt;=C$4),0,H204-I204))</f>
        <v>7556.5996751057492</v>
      </c>
      <c r="K204" s="51">
        <f t="shared" si="59"/>
        <v>1535.7644371386361</v>
      </c>
      <c r="L204" s="49">
        <f t="shared" si="55"/>
        <v>653.21072812442594</v>
      </c>
      <c r="M204" s="49">
        <f t="shared" si="63"/>
        <v>-826.50025826360684</v>
      </c>
      <c r="N204" s="49">
        <f t="shared" si="62"/>
        <v>0</v>
      </c>
      <c r="O204" s="48">
        <f t="shared" ref="O204:O267" si="69">K204+I204+J204-L204+N204+G204</f>
        <v>10367.361770455098</v>
      </c>
      <c r="P204" s="38">
        <f t="shared" si="64"/>
        <v>10367.361770455098</v>
      </c>
      <c r="Q204" s="53"/>
      <c r="R204" s="53">
        <f t="shared" si="56"/>
        <v>0.12</v>
      </c>
      <c r="S204" s="53">
        <f t="shared" si="57"/>
        <v>1.0596241035318976E-2</v>
      </c>
      <c r="T204" s="53">
        <f t="shared" si="58"/>
        <v>0.05</v>
      </c>
      <c r="U204" s="53">
        <f t="shared" si="60"/>
        <v>4.2653187775606449E-3</v>
      </c>
    </row>
    <row r="205" spans="1:21" x14ac:dyDescent="0.2">
      <c r="A205" s="62">
        <f t="shared" si="65"/>
        <v>2.5533090562008441E-2</v>
      </c>
      <c r="B205" s="45">
        <f t="shared" ref="B205:B220" si="70">B204+1</f>
        <v>194</v>
      </c>
      <c r="C205" s="51">
        <f t="shared" si="66"/>
        <v>142787.42697482635</v>
      </c>
      <c r="D205" s="47" cm="1">
        <f t="array" ref="D205">_xlfn.IFS(AND($C$7="Y",B205&lt;C$4),C205,AND($C$7="Y",B205=C$4),D204+F205-J205-K205-L205+N205,AND($C$7="Y",B205&gt;$C$4),D204-J205-K205-L205+N205, TRUE, D204-J205-K205-L205+N205)</f>
        <v>133812.9225079169</v>
      </c>
      <c r="E205" s="48">
        <f t="shared" ref="E205:E216" si="71">IF(AND($C$7="Y",B205&lt;=$C$4),D204*C$2/12-G205,0)</f>
        <v>0</v>
      </c>
      <c r="F205" s="50">
        <f t="shared" ref="F205:F216" si="72">IF(AND($C$7="Y",B205&lt;=C$4),E205+F204,0)</f>
        <v>0</v>
      </c>
      <c r="G205" s="50">
        <f t="shared" si="61"/>
        <v>0</v>
      </c>
      <c r="H205" s="51">
        <f t="shared" ref="H205:H216" si="73">IF(AND($B205&lt;=$C$4,C$7="Y"),0,IF(AND(C$7="N",C$4&gt;0,B205&lt;=C$4),0,(C205-L205+N205)*C$2/12/(1-(1/(1+C$2/12))^(C$3+C$4-B205+1))))</f>
        <v>9346.909153023309</v>
      </c>
      <c r="I205" s="52">
        <f t="shared" si="67"/>
        <v>1805.5041338237222</v>
      </c>
      <c r="J205" s="52">
        <f t="shared" si="68"/>
        <v>7541.4050191995866</v>
      </c>
      <c r="K205" s="51">
        <f t="shared" si="59"/>
        <v>1433.0994477098634</v>
      </c>
      <c r="L205" s="49">
        <f t="shared" ref="L205:L232" si="74">IF(AND(C$7="Y",$B205&lt;=$C$4),0,IF(AND(C$7="N",C$4&gt;0,B205&lt;=C$4),0,U205*D204))</f>
        <v>611.64274475967841</v>
      </c>
      <c r="M205" s="49">
        <f t="shared" si="63"/>
        <v>-782.10317824658932</v>
      </c>
      <c r="N205" s="49">
        <f t="shared" si="62"/>
        <v>0</v>
      </c>
      <c r="O205" s="48">
        <f t="shared" si="69"/>
        <v>10168.365855973494</v>
      </c>
      <c r="P205" s="38">
        <f t="shared" si="64"/>
        <v>10168.365855973494</v>
      </c>
      <c r="Q205" s="53"/>
      <c r="R205" s="53">
        <f t="shared" ref="R205:R216" si="75">R$9</f>
        <v>0.12</v>
      </c>
      <c r="S205" s="53">
        <f t="shared" ref="S205:S216" si="76">1-(1-R205)^(1/12)</f>
        <v>1.0596241035318976E-2</v>
      </c>
      <c r="T205" s="53">
        <f t="shared" ref="T205:T216" si="77">T$9</f>
        <v>0.05</v>
      </c>
      <c r="U205" s="53">
        <f t="shared" si="60"/>
        <v>4.2653187775606449E-3</v>
      </c>
    </row>
    <row r="206" spans="1:21" x14ac:dyDescent="0.2">
      <c r="A206" s="62">
        <f t="shared" si="65"/>
        <v>2.3733883090263745E-2</v>
      </c>
      <c r="B206" s="45">
        <f t="shared" si="70"/>
        <v>195</v>
      </c>
      <c r="C206" s="51">
        <f t="shared" si="66"/>
        <v>133242.1677368636</v>
      </c>
      <c r="D206" s="47" cm="1">
        <f t="array" ref="D206">_xlfn.IFS(AND($C$7="Y",B206&lt;C$4),C206,AND($C$7="Y",B206=C$4),D205+F206-J206-K206-L206+N206,AND($C$7="Y",B206&gt;$C$4),D205-J206-K206-L206+N206, TRUE, D205-J206-K206-L206+N206)</f>
        <v>124383.69930410823</v>
      </c>
      <c r="E206" s="48">
        <f t="shared" si="71"/>
        <v>0</v>
      </c>
      <c r="F206" s="50">
        <f t="shared" si="72"/>
        <v>0</v>
      </c>
      <c r="G206" s="50">
        <f t="shared" si="61"/>
        <v>0</v>
      </c>
      <c r="H206" s="51">
        <f t="shared" si="73"/>
        <v>9211.1605589663905</v>
      </c>
      <c r="I206" s="52">
        <f t="shared" si="67"/>
        <v>1684.8071972818291</v>
      </c>
      <c r="J206" s="52">
        <f t="shared" si="68"/>
        <v>7526.3533616845616</v>
      </c>
      <c r="K206" s="51">
        <f t="shared" ref="K206:K232" si="78">IF(AND(C$7="Y",$B206&lt;=$C$4),0,IF(AND(C$7="N",C$4&gt;0,B206&lt;=C$4),0,S206*(C206-J206)))</f>
        <v>1332.1150710708152</v>
      </c>
      <c r="L206" s="49">
        <f t="shared" si="74"/>
        <v>570.75477105328537</v>
      </c>
      <c r="M206" s="49">
        <f t="shared" si="63"/>
        <v>-738.42998068207669</v>
      </c>
      <c r="N206" s="49">
        <f t="shared" si="62"/>
        <v>0</v>
      </c>
      <c r="O206" s="48">
        <f t="shared" si="69"/>
        <v>9972.5208589839203</v>
      </c>
      <c r="P206" s="38">
        <f t="shared" si="64"/>
        <v>9972.5208589839203</v>
      </c>
      <c r="Q206" s="53"/>
      <c r="R206" s="53">
        <f t="shared" si="75"/>
        <v>0.12</v>
      </c>
      <c r="S206" s="53">
        <f t="shared" si="76"/>
        <v>1.0596241035318976E-2</v>
      </c>
      <c r="T206" s="53">
        <f t="shared" si="77"/>
        <v>0.05</v>
      </c>
      <c r="U206" s="53">
        <f t="shared" ref="U206:U216" si="79">1-(1-T206)^(1/12)</f>
        <v>4.2653187775606449E-3</v>
      </c>
    </row>
    <row r="207" spans="1:21" x14ac:dyDescent="0.2">
      <c r="A207" s="62">
        <f t="shared" si="65"/>
        <v>2.1964145063869556E-2</v>
      </c>
      <c r="B207" s="45">
        <f t="shared" si="70"/>
        <v>196</v>
      </c>
      <c r="C207" s="51">
        <f t="shared" si="66"/>
        <v>123853.16317584396</v>
      </c>
      <c r="D207" s="47" cm="1">
        <f t="array" ref="D207">_xlfn.IFS(AND($C$7="Y",B207&lt;C$4),C207,AND($C$7="Y",B207=C$4),D206+F207-J207-K207-L207+N207,AND($C$7="Y",B207&gt;$C$4),D206-J207-K207-L207+N207, TRUE, D206-J207-K207-L207+N207)</f>
        <v>115108.91853246272</v>
      </c>
      <c r="E207" s="48">
        <f t="shared" si="71"/>
        <v>0</v>
      </c>
      <c r="F207" s="50">
        <f t="shared" si="72"/>
        <v>0</v>
      </c>
      <c r="G207" s="50">
        <f t="shared" ref="G207:G216" si="80">IF($B207&lt;=$C$4,C$6,0)</f>
        <v>0</v>
      </c>
      <c r="H207" s="51">
        <f t="shared" si="73"/>
        <v>9077.5459673554633</v>
      </c>
      <c r="I207" s="52">
        <f t="shared" si="67"/>
        <v>1566.0860542052794</v>
      </c>
      <c r="J207" s="52">
        <f t="shared" si="68"/>
        <v>7511.4599131501836</v>
      </c>
      <c r="K207" s="51">
        <f t="shared" si="78"/>
        <v>1232.7847302310595</v>
      </c>
      <c r="L207" s="49">
        <f t="shared" si="74"/>
        <v>530.53612826426979</v>
      </c>
      <c r="M207" s="49">
        <f t="shared" si="63"/>
        <v>-695.46950622808777</v>
      </c>
      <c r="N207" s="49">
        <f t="shared" si="62"/>
        <v>0</v>
      </c>
      <c r="O207" s="48">
        <f t="shared" si="69"/>
        <v>9779.7945693222537</v>
      </c>
      <c r="P207" s="38">
        <f t="shared" si="64"/>
        <v>9779.7945693222537</v>
      </c>
      <c r="Q207" s="53"/>
      <c r="R207" s="53">
        <f t="shared" si="75"/>
        <v>0.12</v>
      </c>
      <c r="S207" s="53">
        <f t="shared" si="76"/>
        <v>1.0596241035318976E-2</v>
      </c>
      <c r="T207" s="53">
        <f t="shared" si="77"/>
        <v>0.05</v>
      </c>
      <c r="U207" s="53">
        <f t="shared" si="79"/>
        <v>4.2653187775606449E-3</v>
      </c>
    </row>
    <row r="208" spans="1:21" x14ac:dyDescent="0.2">
      <c r="A208" s="62">
        <f t="shared" si="65"/>
        <v>2.0223406494817145E-2</v>
      </c>
      <c r="B208" s="45">
        <f t="shared" si="70"/>
        <v>197</v>
      </c>
      <c r="C208" s="51">
        <f t="shared" si="66"/>
        <v>114617.94230078151</v>
      </c>
      <c r="D208" s="47" cm="1">
        <f t="array" ref="D208">_xlfn.IFS(AND($C$7="Y",B208&lt;C$4),C208,AND($C$7="Y",B208=C$4),D207+F208-J208-K208-L208+N208,AND($C$7="Y",B208&gt;$C$4),D207-J208-K208-L208+N208, TRUE, D207-J208-K208-L208+N208)</f>
        <v>105986.1170963631</v>
      </c>
      <c r="E208" s="48">
        <f t="shared" si="71"/>
        <v>0</v>
      </c>
      <c r="F208" s="50">
        <f t="shared" si="72"/>
        <v>0</v>
      </c>
      <c r="G208" s="50">
        <f t="shared" si="80"/>
        <v>0</v>
      </c>
      <c r="H208" s="51">
        <f t="shared" si="73"/>
        <v>8946.052617967518</v>
      </c>
      <c r="I208" s="52">
        <f t="shared" si="67"/>
        <v>1449.3094596551157</v>
      </c>
      <c r="J208" s="52">
        <f t="shared" si="68"/>
        <v>7496.7431583124026</v>
      </c>
      <c r="K208" s="51">
        <f t="shared" si="78"/>
        <v>1135.0820461060071</v>
      </c>
      <c r="L208" s="49">
        <f t="shared" si="74"/>
        <v>490.97623168121174</v>
      </c>
      <c r="M208" s="49">
        <f t="shared" si="63"/>
        <v>-653.21072812442594</v>
      </c>
      <c r="N208" s="49">
        <f t="shared" si="62"/>
        <v>0</v>
      </c>
      <c r="O208" s="48">
        <f t="shared" si="69"/>
        <v>9590.1584323923125</v>
      </c>
      <c r="P208" s="38">
        <f t="shared" si="64"/>
        <v>9590.1584323923125</v>
      </c>
      <c r="Q208" s="53"/>
      <c r="R208" s="53">
        <f t="shared" si="75"/>
        <v>0.12</v>
      </c>
      <c r="S208" s="53">
        <f t="shared" si="76"/>
        <v>1.0596241035318976E-2</v>
      </c>
      <c r="T208" s="53">
        <f t="shared" si="77"/>
        <v>0.05</v>
      </c>
      <c r="U208" s="53">
        <f t="shared" si="79"/>
        <v>4.2653187775606449E-3</v>
      </c>
    </row>
    <row r="209" spans="1:21" x14ac:dyDescent="0.2">
      <c r="A209" s="62">
        <f t="shared" si="65"/>
        <v>1.8511200059658287E-2</v>
      </c>
      <c r="B209" s="45">
        <f t="shared" si="70"/>
        <v>198</v>
      </c>
      <c r="C209" s="51">
        <f t="shared" si="66"/>
        <v>105534.05252095124</v>
      </c>
      <c r="D209" s="47" cm="1">
        <f t="array" ref="D209">_xlfn.IFS(AND($C$7="Y",B209&lt;C$4),C209,AND($C$7="Y",B209=C$4),D208+F209-J209-K209-L209+N209,AND($C$7="Y",B209&gt;$C$4),D208-J209-K209-L209+N209, TRUE, D208-J209-K209-L209+N209)</f>
        <v>97012.845863527007</v>
      </c>
      <c r="E209" s="48">
        <f t="shared" si="71"/>
        <v>0</v>
      </c>
      <c r="F209" s="50">
        <f t="shared" si="72"/>
        <v>0</v>
      </c>
      <c r="G209" s="50">
        <f t="shared" si="80"/>
        <v>0</v>
      </c>
      <c r="H209" s="51">
        <f t="shared" si="73"/>
        <v>8816.6722696171491</v>
      </c>
      <c r="I209" s="52">
        <f t="shared" si="67"/>
        <v>1334.4464013581544</v>
      </c>
      <c r="J209" s="52">
        <f t="shared" si="68"/>
        <v>7482.2258682589945</v>
      </c>
      <c r="K209" s="51">
        <f t="shared" si="78"/>
        <v>1038.9807891652406</v>
      </c>
      <c r="L209" s="49">
        <f t="shared" si="74"/>
        <v>452.06457541185881</v>
      </c>
      <c r="M209" s="49">
        <f t="shared" si="63"/>
        <v>-611.64274475967841</v>
      </c>
      <c r="N209" s="49">
        <f t="shared" si="62"/>
        <v>0</v>
      </c>
      <c r="O209" s="48">
        <f t="shared" si="69"/>
        <v>9403.5884833705295</v>
      </c>
      <c r="P209" s="38">
        <f t="shared" si="64"/>
        <v>9403.5884833705295</v>
      </c>
      <c r="Q209" s="53"/>
      <c r="R209" s="53">
        <f t="shared" si="75"/>
        <v>0.12</v>
      </c>
      <c r="S209" s="53">
        <f t="shared" si="76"/>
        <v>1.0596241035318976E-2</v>
      </c>
      <c r="T209" s="53">
        <f t="shared" si="77"/>
        <v>0.05</v>
      </c>
      <c r="U209" s="53">
        <f t="shared" si="79"/>
        <v>4.2653187775606449E-3</v>
      </c>
    </row>
    <row r="210" spans="1:21" x14ac:dyDescent="0.2">
      <c r="A210" s="62">
        <f t="shared" si="65"/>
        <v>1.682705997985642E-2</v>
      </c>
      <c r="B210" s="45">
        <f t="shared" si="70"/>
        <v>199</v>
      </c>
      <c r="C210" s="51">
        <f t="shared" si="66"/>
        <v>96599.055150400702</v>
      </c>
      <c r="D210" s="47" cm="1">
        <f t="array" ref="D210">_xlfn.IFS(AND($C$7="Y",B210&lt;C$4),C210,AND($C$7="Y",B210=C$4),D209+F210-J210-K210-L210+N210,AND($C$7="Y",B210&gt;$C$4),D209-J210-K210-L210+N210, TRUE, D209-J210-K210-L210+N210)</f>
        <v>88186.663798190799</v>
      </c>
      <c r="E210" s="48">
        <f t="shared" si="71"/>
        <v>0</v>
      </c>
      <c r="F210" s="50">
        <f t="shared" si="72"/>
        <v>0</v>
      </c>
      <c r="G210" s="50">
        <f t="shared" si="80"/>
        <v>0</v>
      </c>
      <c r="H210" s="51">
        <f t="shared" si="73"/>
        <v>8689.4025784829755</v>
      </c>
      <c r="I210" s="52">
        <f t="shared" si="67"/>
        <v>1221.4660428628843</v>
      </c>
      <c r="J210" s="52">
        <f t="shared" si="68"/>
        <v>7467.9365356200915</v>
      </c>
      <c r="K210" s="51">
        <f t="shared" si="78"/>
        <v>944.45481658982146</v>
      </c>
      <c r="L210" s="49">
        <f t="shared" si="74"/>
        <v>413.79071312629827</v>
      </c>
      <c r="M210" s="49">
        <f t="shared" si="63"/>
        <v>-570.75477105328537</v>
      </c>
      <c r="N210" s="49">
        <f t="shared" si="62"/>
        <v>0</v>
      </c>
      <c r="O210" s="48">
        <f t="shared" si="69"/>
        <v>9220.0666819464986</v>
      </c>
      <c r="P210" s="38">
        <f t="shared" si="64"/>
        <v>9220.0666819464986</v>
      </c>
      <c r="Q210" s="53"/>
      <c r="R210" s="53">
        <f t="shared" si="75"/>
        <v>0.12</v>
      </c>
      <c r="S210" s="53">
        <f t="shared" si="76"/>
        <v>1.0596241035318976E-2</v>
      </c>
      <c r="T210" s="53">
        <f t="shared" si="77"/>
        <v>0.05</v>
      </c>
      <c r="U210" s="53">
        <f t="shared" si="79"/>
        <v>4.2653187775606449E-3</v>
      </c>
    </row>
    <row r="211" spans="1:21" x14ac:dyDescent="0.2">
      <c r="A211" s="62">
        <f t="shared" si="65"/>
        <v>1.5170520524298904E-2</v>
      </c>
      <c r="B211" s="45">
        <f t="shared" si="70"/>
        <v>200</v>
      </c>
      <c r="C211" s="51">
        <f t="shared" si="66"/>
        <v>87810.519565161943</v>
      </c>
      <c r="D211" s="47" cm="1">
        <f t="array" ref="D211">_xlfn.IFS(AND($C$7="Y",B211&lt;C$4),C211,AND($C$7="Y",B211=C$4),D210+F211-J211-K211-L211+N211,AND($C$7="Y",B211&gt;$C$4),D210-J211-K211-L211+N211, TRUE, D210-J211-K211-L211+N211)</f>
        <v>79505.130113128413</v>
      </c>
      <c r="E211" s="48">
        <f t="shared" si="71"/>
        <v>0</v>
      </c>
      <c r="F211" s="50">
        <f t="shared" si="72"/>
        <v>0</v>
      </c>
      <c r="G211" s="50">
        <f t="shared" si="80"/>
        <v>0</v>
      </c>
      <c r="H211" s="51">
        <f t="shared" si="73"/>
        <v>8564.2491134701086</v>
      </c>
      <c r="I211" s="52">
        <f t="shared" si="67"/>
        <v>1110.3376496591677</v>
      </c>
      <c r="J211" s="52">
        <f t="shared" si="68"/>
        <v>7453.9114638109404</v>
      </c>
      <c r="K211" s="51">
        <f t="shared" si="78"/>
        <v>851.47798822258073</v>
      </c>
      <c r="L211" s="49">
        <f t="shared" si="74"/>
        <v>376.14423302885075</v>
      </c>
      <c r="M211" s="49">
        <f t="shared" si="63"/>
        <v>-530.53612826426979</v>
      </c>
      <c r="N211" s="49">
        <f t="shared" si="62"/>
        <v>0</v>
      </c>
      <c r="O211" s="48">
        <f t="shared" si="69"/>
        <v>9039.5828686638397</v>
      </c>
      <c r="P211" s="38">
        <f t="shared" si="64"/>
        <v>9039.5828686638397</v>
      </c>
      <c r="Q211" s="53"/>
      <c r="R211" s="53">
        <f t="shared" si="75"/>
        <v>0.12</v>
      </c>
      <c r="S211" s="53">
        <f t="shared" si="76"/>
        <v>1.0596241035318976E-2</v>
      </c>
      <c r="T211" s="53">
        <f t="shared" si="77"/>
        <v>0.05</v>
      </c>
      <c r="U211" s="53">
        <f t="shared" si="79"/>
        <v>4.2653187775606449E-3</v>
      </c>
    </row>
    <row r="212" spans="1:21" x14ac:dyDescent="0.2">
      <c r="A212" s="62">
        <f t="shared" si="65"/>
        <v>1.35411139418546E-2</v>
      </c>
      <c r="B212" s="45">
        <f t="shared" si="70"/>
        <v>201</v>
      </c>
      <c r="C212" s="51">
        <f t="shared" si="66"/>
        <v>79166.01538874449</v>
      </c>
      <c r="D212" s="47" cm="1">
        <f t="array" ref="D212">_xlfn.IFS(AND($C$7="Y",B212&lt;C$4),C212,AND($C$7="Y",B212=C$4),D211+F212-J212-K212-L212+N212,AND($C$7="Y",B212&gt;$C$4),D211-J212-K212-L212+N212, TRUE, D211-J212-K212-L212+N212)</f>
        <v>70965.793434671941</v>
      </c>
      <c r="E212" s="48">
        <f t="shared" si="71"/>
        <v>0</v>
      </c>
      <c r="F212" s="50">
        <f t="shared" si="72"/>
        <v>0</v>
      </c>
      <c r="G212" s="50">
        <f t="shared" si="80"/>
        <v>0</v>
      </c>
      <c r="H212" s="51">
        <f t="shared" si="73"/>
        <v>8441.2283939102253</v>
      </c>
      <c r="I212" s="52">
        <f t="shared" si="67"/>
        <v>1001.0304903661453</v>
      </c>
      <c r="J212" s="52">
        <f t="shared" si="68"/>
        <v>7440.19790354408</v>
      </c>
      <c r="K212" s="51">
        <f t="shared" si="78"/>
        <v>760.02405052847996</v>
      </c>
      <c r="L212" s="49">
        <f t="shared" si="74"/>
        <v>339.11472438392889</v>
      </c>
      <c r="M212" s="49">
        <f t="shared" si="63"/>
        <v>-490.97623168121174</v>
      </c>
      <c r="N212" s="49">
        <f t="shared" si="62"/>
        <v>0</v>
      </c>
      <c r="O212" s="48">
        <f t="shared" si="69"/>
        <v>8862.1377200547759</v>
      </c>
      <c r="P212" s="38">
        <f t="shared" si="64"/>
        <v>8862.1377200547759</v>
      </c>
      <c r="Q212" s="53"/>
      <c r="R212" s="53">
        <f t="shared" si="75"/>
        <v>0.12</v>
      </c>
      <c r="S212" s="53">
        <f t="shared" si="76"/>
        <v>1.0596241035318976E-2</v>
      </c>
      <c r="T212" s="53">
        <f t="shared" si="77"/>
        <v>0.05</v>
      </c>
      <c r="U212" s="53">
        <f t="shared" si="79"/>
        <v>4.2653187775606449E-3</v>
      </c>
    </row>
    <row r="213" spans="1:21" x14ac:dyDescent="0.2">
      <c r="A213" s="62">
        <f t="shared" si="65"/>
        <v>1.1938367502654755E-2</v>
      </c>
      <c r="B213" s="45">
        <f t="shared" si="70"/>
        <v>202</v>
      </c>
      <c r="C213" s="51">
        <f t="shared" si="66"/>
        <v>70663.101703370543</v>
      </c>
      <c r="D213" s="47" cm="1">
        <f t="array" ref="D213">_xlfn.IFS(AND($C$7="Y",B213&lt;C$4),C213,AND($C$7="Y",B213=C$4),D212+F213-J213-K213-L213+N213,AND($C$7="Y",B213&gt;$C$4),D212-J213-K213-L213+N213, TRUE, D212-J213-K213-L213+N213)</f>
        <v>62566.17629676059</v>
      </c>
      <c r="E213" s="48">
        <f t="shared" si="71"/>
        <v>0</v>
      </c>
      <c r="F213" s="50">
        <f t="shared" si="72"/>
        <v>0</v>
      </c>
      <c r="G213" s="50">
        <f t="shared" si="80"/>
        <v>0</v>
      </c>
      <c r="H213" s="51">
        <f t="shared" si="73"/>
        <v>8320.3726363913356</v>
      </c>
      <c r="I213" s="52">
        <f t="shared" si="67"/>
        <v>893.51370031154511</v>
      </c>
      <c r="J213" s="52">
        <f t="shared" si="68"/>
        <v>7426.8589360797905</v>
      </c>
      <c r="K213" s="51">
        <f t="shared" si="78"/>
        <v>670.06647053015911</v>
      </c>
      <c r="L213" s="49">
        <f t="shared" si="74"/>
        <v>302.69173130139615</v>
      </c>
      <c r="M213" s="49">
        <f t="shared" si="63"/>
        <v>-452.06457541185881</v>
      </c>
      <c r="N213" s="49">
        <f t="shared" si="62"/>
        <v>0</v>
      </c>
      <c r="O213" s="48">
        <f t="shared" si="69"/>
        <v>8687.747375620098</v>
      </c>
      <c r="P213" s="38">
        <f t="shared" si="64"/>
        <v>8687.747375620098</v>
      </c>
      <c r="Q213" s="53"/>
      <c r="R213" s="53">
        <f t="shared" si="75"/>
        <v>0.12</v>
      </c>
      <c r="S213" s="53">
        <f t="shared" si="76"/>
        <v>1.0596241035318976E-2</v>
      </c>
      <c r="T213" s="53">
        <f t="shared" si="77"/>
        <v>0.05</v>
      </c>
      <c r="U213" s="53">
        <f t="shared" si="79"/>
        <v>4.2653187775606449E-3</v>
      </c>
    </row>
    <row r="214" spans="1:21" x14ac:dyDescent="0.2">
      <c r="A214" s="62">
        <f t="shared" si="65"/>
        <v>1.0361799083772955E-2</v>
      </c>
      <c r="B214" s="45">
        <f t="shared" si="70"/>
        <v>203</v>
      </c>
      <c r="C214" s="51">
        <f t="shared" si="66"/>
        <v>62299.311610161851</v>
      </c>
      <c r="D214" s="47" cm="1">
        <f t="array" ref="D214">_xlfn.IFS(AND($C$7="Y",B214&lt;C$4),C214,AND($C$7="Y",B214=C$4),D213+F214-J214-K214-L214+N214,AND($C$7="Y",B214&gt;$C$4),D213-J214-K214-L214+N214, TRUE, D213-J214-K214-L214+N214)</f>
        <v>54303.752006527524</v>
      </c>
      <c r="E214" s="48">
        <f t="shared" si="71"/>
        <v>0</v>
      </c>
      <c r="F214" s="50">
        <f t="shared" si="72"/>
        <v>0</v>
      </c>
      <c r="G214" s="50">
        <f t="shared" si="80"/>
        <v>0</v>
      </c>
      <c r="H214" s="51">
        <f t="shared" si="73"/>
        <v>8201.7375018894472</v>
      </c>
      <c r="I214" s="52">
        <f t="shared" si="67"/>
        <v>787.7560862998821</v>
      </c>
      <c r="J214" s="52">
        <f t="shared" si="68"/>
        <v>7413.9814155895656</v>
      </c>
      <c r="K214" s="51">
        <f t="shared" si="78"/>
        <v>581.57818804475846</v>
      </c>
      <c r="L214" s="49">
        <f t="shared" si="74"/>
        <v>266.86468659874265</v>
      </c>
      <c r="M214" s="49">
        <f t="shared" si="63"/>
        <v>-413.79071312629827</v>
      </c>
      <c r="N214" s="49">
        <f t="shared" si="62"/>
        <v>0</v>
      </c>
      <c r="O214" s="48">
        <f t="shared" si="69"/>
        <v>8516.4510033354636</v>
      </c>
      <c r="P214" s="38">
        <f t="shared" si="64"/>
        <v>8516.4510033354636</v>
      </c>
      <c r="Q214" s="53"/>
      <c r="R214" s="53">
        <f t="shared" si="75"/>
        <v>0.12</v>
      </c>
      <c r="S214" s="53">
        <f t="shared" si="76"/>
        <v>1.0596241035318976E-2</v>
      </c>
      <c r="T214" s="53">
        <f t="shared" si="77"/>
        <v>0.05</v>
      </c>
      <c r="U214" s="53">
        <f t="shared" si="79"/>
        <v>4.2653187775606449E-3</v>
      </c>
    </row>
    <row r="215" spans="1:21" x14ac:dyDescent="0.2">
      <c r="A215" s="62">
        <f t="shared" si="65"/>
        <v>8.8109102474753509E-3</v>
      </c>
      <c r="B215" s="45">
        <f t="shared" si="70"/>
        <v>204</v>
      </c>
      <c r="C215" s="51">
        <f t="shared" si="66"/>
        <v>54072.129193402085</v>
      </c>
      <c r="D215" s="47" cm="1">
        <f t="array" ref="D215">_xlfn.IFS(AND($C$7="Y",B215&lt;C$4),C215,AND($C$7="Y",B215=C$4),D214+F215-J215-K215-L215+N215,AND($C$7="Y",B215&gt;$C$4),D214-J215-K215-L215+N215, TRUE, D214-J215-K215-L215+N215)</f>
        <v>46175.908369037192</v>
      </c>
      <c r="E215" s="48">
        <f t="shared" si="71"/>
        <v>0</v>
      </c>
      <c r="F215" s="50">
        <f t="shared" si="72"/>
        <v>0</v>
      </c>
      <c r="G215" s="50">
        <f t="shared" si="80"/>
        <v>0</v>
      </c>
      <c r="H215" s="51">
        <f t="shared" si="73"/>
        <v>8085.4154325114969</v>
      </c>
      <c r="I215" s="52">
        <f t="shared" si="67"/>
        <v>683.7258353324745</v>
      </c>
      <c r="J215" s="52">
        <f t="shared" si="68"/>
        <v>7401.6895971790227</v>
      </c>
      <c r="K215" s="51">
        <f t="shared" si="78"/>
        <v>494.5312271858744</v>
      </c>
      <c r="L215" s="49">
        <f t="shared" si="74"/>
        <v>231.6228131254384</v>
      </c>
      <c r="M215" s="49">
        <f t="shared" si="63"/>
        <v>-376.14423302885075</v>
      </c>
      <c r="N215" s="49">
        <f t="shared" si="62"/>
        <v>0</v>
      </c>
      <c r="O215" s="48">
        <f t="shared" si="69"/>
        <v>8348.3238465719332</v>
      </c>
      <c r="P215" s="38">
        <f t="shared" si="64"/>
        <v>8348.3238465719332</v>
      </c>
      <c r="Q215" s="53"/>
      <c r="R215" s="53">
        <f t="shared" si="75"/>
        <v>0.12</v>
      </c>
      <c r="S215" s="53">
        <f t="shared" si="76"/>
        <v>1.0596241035318976E-2</v>
      </c>
      <c r="T215" s="53">
        <f t="shared" si="77"/>
        <v>0.05</v>
      </c>
      <c r="U215" s="53">
        <f t="shared" si="79"/>
        <v>4.2653187775606449E-3</v>
      </c>
    </row>
    <row r="216" spans="1:21" x14ac:dyDescent="0.2">
      <c r="A216" s="62">
        <f t="shared" si="65"/>
        <v>7.2851747006601924E-3</v>
      </c>
      <c r="B216" s="45">
        <f t="shared" si="70"/>
        <v>205</v>
      </c>
      <c r="C216" s="51">
        <f t="shared" si="66"/>
        <v>45978.953399999817</v>
      </c>
      <c r="D216" s="47" cm="1">
        <f t="array" ref="D216">_xlfn.IFS(AND($C$7="Y",B216&lt;C$4),C216,AND($C$7="Y",B216=C$4),D215+F216-J216-K216-L216+N216,AND($C$7="Y",B216&gt;$C$4),D215-J216-K216-L216+N216, TRUE, D215-J216-K216-L216+N216)</f>
        <v>38179.887205922205</v>
      </c>
      <c r="E216" s="48">
        <f t="shared" si="71"/>
        <v>0</v>
      </c>
      <c r="F216" s="50">
        <f t="shared" si="72"/>
        <v>0</v>
      </c>
      <c r="G216" s="50">
        <f t="shared" si="80"/>
        <v>0</v>
      </c>
      <c r="H216" s="51">
        <f t="shared" si="73"/>
        <v>7971.560203326846</v>
      </c>
      <c r="I216" s="52">
        <f t="shared" si="67"/>
        <v>581.39005787409894</v>
      </c>
      <c r="J216" s="52">
        <f t="shared" si="68"/>
        <v>7390.1701454527474</v>
      </c>
      <c r="K216" s="51">
        <f t="shared" si="78"/>
        <v>408.89604862486141</v>
      </c>
      <c r="L216" s="49">
        <f t="shared" si="74"/>
        <v>196.95496903737407</v>
      </c>
      <c r="M216" s="49">
        <f t="shared" si="63"/>
        <v>-339.11472438392889</v>
      </c>
      <c r="N216" s="49">
        <f t="shared" si="62"/>
        <v>0</v>
      </c>
      <c r="O216" s="48">
        <f t="shared" si="69"/>
        <v>8183.5012829143334</v>
      </c>
      <c r="P216" s="38">
        <f t="shared" si="64"/>
        <v>8183.5012829143334</v>
      </c>
      <c r="Q216" s="53"/>
      <c r="R216" s="53">
        <f t="shared" si="75"/>
        <v>0.12</v>
      </c>
      <c r="S216" s="53">
        <f t="shared" si="76"/>
        <v>1.0596241035318976E-2</v>
      </c>
      <c r="T216" s="53">
        <f t="shared" si="77"/>
        <v>0.05</v>
      </c>
      <c r="U216" s="53">
        <f t="shared" si="79"/>
        <v>4.2653187775606449E-3</v>
      </c>
    </row>
    <row r="217" spans="1:21" x14ac:dyDescent="0.2">
      <c r="A217" s="62">
        <f t="shared" si="65"/>
        <v>0</v>
      </c>
      <c r="B217" s="45">
        <f t="shared" si="70"/>
        <v>206</v>
      </c>
      <c r="C217" s="49"/>
      <c r="D217" s="46"/>
      <c r="E217" s="61"/>
      <c r="F217" s="50"/>
      <c r="G217" s="50"/>
      <c r="H217" s="51"/>
      <c r="I217" s="51"/>
      <c r="J217" s="51"/>
      <c r="K217" s="51">
        <f t="shared" si="78"/>
        <v>0</v>
      </c>
      <c r="L217" s="49">
        <f t="shared" si="74"/>
        <v>0</v>
      </c>
      <c r="M217" s="49">
        <f t="shared" si="63"/>
        <v>-302.69173130139615</v>
      </c>
      <c r="N217" s="49">
        <f t="shared" si="62"/>
        <v>0</v>
      </c>
      <c r="O217" s="48">
        <f t="shared" si="69"/>
        <v>0</v>
      </c>
      <c r="P217" s="38">
        <f t="shared" si="64"/>
        <v>0</v>
      </c>
      <c r="Q217" s="53"/>
      <c r="R217" s="53"/>
      <c r="S217" s="53"/>
    </row>
    <row r="218" spans="1:21" x14ac:dyDescent="0.2">
      <c r="A218" s="62">
        <f t="shared" si="65"/>
        <v>0</v>
      </c>
      <c r="B218" s="45">
        <f t="shared" si="70"/>
        <v>207</v>
      </c>
      <c r="C218" s="49"/>
      <c r="D218" s="46"/>
      <c r="E218" s="61"/>
      <c r="F218" s="50"/>
      <c r="G218" s="56"/>
      <c r="H218" s="51"/>
      <c r="I218" s="51">
        <f t="shared" ref="I218:I232" si="81">IF($B217&lt;=25,0,C$2*D217/12)</f>
        <v>0</v>
      </c>
      <c r="J218" s="51">
        <f t="shared" ref="J218:J232" si="82">H218-I218</f>
        <v>0</v>
      </c>
      <c r="K218" s="51" t="e">
        <f t="shared" si="78"/>
        <v>#REF!</v>
      </c>
      <c r="L218" s="49">
        <f t="shared" si="74"/>
        <v>0</v>
      </c>
      <c r="M218" s="49">
        <f t="shared" si="63"/>
        <v>-266.86468659874265</v>
      </c>
      <c r="N218" s="49">
        <f t="shared" si="62"/>
        <v>0</v>
      </c>
      <c r="O218" s="48" t="e">
        <f t="shared" si="69"/>
        <v>#REF!</v>
      </c>
      <c r="P218" s="38" t="e">
        <f t="shared" si="64"/>
        <v>#REF!</v>
      </c>
      <c r="Q218" s="53"/>
      <c r="R218" s="53" t="e">
        <f>INDEX(#REF!,MATCH(#REF!,#REF!,0),MATCH(ActiveCDR,#REF!,0))%</f>
        <v>#REF!</v>
      </c>
      <c r="S218" s="53" t="e">
        <f>1-(1-R218)^(1/12)</f>
        <v>#REF!</v>
      </c>
    </row>
    <row r="219" spans="1:21" x14ac:dyDescent="0.2">
      <c r="A219" s="62">
        <f t="shared" si="65"/>
        <v>0</v>
      </c>
      <c r="B219" s="45">
        <f t="shared" si="70"/>
        <v>208</v>
      </c>
      <c r="C219" s="49"/>
      <c r="D219" s="46"/>
      <c r="E219" s="61"/>
      <c r="F219" s="50"/>
      <c r="G219" s="56"/>
      <c r="H219" s="51"/>
      <c r="I219" s="51">
        <f t="shared" si="81"/>
        <v>0</v>
      </c>
      <c r="J219" s="51">
        <f t="shared" si="82"/>
        <v>0</v>
      </c>
      <c r="K219" s="51" t="e">
        <f t="shared" si="78"/>
        <v>#REF!</v>
      </c>
      <c r="L219" s="49">
        <f t="shared" si="74"/>
        <v>0</v>
      </c>
      <c r="M219" s="49">
        <f t="shared" si="63"/>
        <v>-231.6228131254384</v>
      </c>
      <c r="N219" s="49">
        <f t="shared" si="62"/>
        <v>0</v>
      </c>
      <c r="O219" s="48" t="e">
        <f t="shared" si="69"/>
        <v>#REF!</v>
      </c>
      <c r="P219" s="38" t="e">
        <f t="shared" si="64"/>
        <v>#REF!</v>
      </c>
      <c r="Q219" s="53"/>
      <c r="R219" s="53" t="e">
        <f>INDEX(#REF!,MATCH(#REF!,#REF!,0),MATCH(ActiveCDR,#REF!,0))%</f>
        <v>#REF!</v>
      </c>
      <c r="S219" s="53" t="e">
        <f t="shared" ref="S219:S221" si="83">1-(1-R219)^(1/12)</f>
        <v>#REF!</v>
      </c>
    </row>
    <row r="220" spans="1:21" x14ac:dyDescent="0.2">
      <c r="A220" s="62">
        <f t="shared" si="65"/>
        <v>0</v>
      </c>
      <c r="B220" s="45">
        <f t="shared" si="70"/>
        <v>209</v>
      </c>
      <c r="C220" s="49"/>
      <c r="D220" s="46"/>
      <c r="E220" s="61"/>
      <c r="F220" s="50"/>
      <c r="G220" s="56"/>
      <c r="H220" s="51"/>
      <c r="I220" s="51">
        <f t="shared" si="81"/>
        <v>0</v>
      </c>
      <c r="J220" s="51">
        <f t="shared" si="82"/>
        <v>0</v>
      </c>
      <c r="K220" s="51" t="e">
        <f t="shared" si="78"/>
        <v>#REF!</v>
      </c>
      <c r="L220" s="49">
        <f t="shared" si="74"/>
        <v>0</v>
      </c>
      <c r="M220" s="49">
        <f t="shared" si="63"/>
        <v>-196.95496903737407</v>
      </c>
      <c r="N220" s="49">
        <f t="shared" si="62"/>
        <v>0</v>
      </c>
      <c r="O220" s="48" t="e">
        <f t="shared" si="69"/>
        <v>#REF!</v>
      </c>
      <c r="P220" s="38" t="e">
        <f t="shared" si="64"/>
        <v>#REF!</v>
      </c>
      <c r="Q220" s="53"/>
      <c r="R220" s="53" t="e">
        <f>INDEX(#REF!,MATCH(#REF!,#REF!,0),MATCH(ActiveCDR,#REF!,0))%</f>
        <v>#REF!</v>
      </c>
      <c r="S220" s="53" t="e">
        <f t="shared" si="83"/>
        <v>#REF!</v>
      </c>
    </row>
    <row r="221" spans="1:21" x14ac:dyDescent="0.2">
      <c r="A221" s="62">
        <f t="shared" si="65"/>
        <v>0</v>
      </c>
      <c r="B221" s="45"/>
      <c r="C221" s="49"/>
      <c r="D221" s="46"/>
      <c r="E221" s="61"/>
      <c r="F221" s="50"/>
      <c r="G221" s="56"/>
      <c r="H221" s="51"/>
      <c r="I221" s="51">
        <f t="shared" si="81"/>
        <v>0</v>
      </c>
      <c r="J221" s="51">
        <f t="shared" si="82"/>
        <v>0</v>
      </c>
      <c r="K221" s="51">
        <f t="shared" si="78"/>
        <v>0</v>
      </c>
      <c r="L221" s="49">
        <f t="shared" si="74"/>
        <v>0</v>
      </c>
      <c r="M221" s="49">
        <f t="shared" si="63"/>
        <v>0</v>
      </c>
      <c r="N221" s="49">
        <f t="shared" si="62"/>
        <v>0</v>
      </c>
      <c r="O221" s="48">
        <f t="shared" si="69"/>
        <v>0</v>
      </c>
      <c r="P221" s="38">
        <f t="shared" si="64"/>
        <v>0</v>
      </c>
      <c r="Q221" s="53"/>
      <c r="R221" s="53" t="e">
        <f>INDEX(#REF!,MATCH(#REF!,#REF!,0),MATCH(ActiveCDR,#REF!,0))%</f>
        <v>#REF!</v>
      </c>
      <c r="S221" s="53" t="e">
        <f t="shared" si="83"/>
        <v>#REF!</v>
      </c>
    </row>
    <row r="222" spans="1:21" x14ac:dyDescent="0.2">
      <c r="A222" s="62">
        <f t="shared" si="65"/>
        <v>0</v>
      </c>
      <c r="B222" s="45"/>
      <c r="C222" s="49"/>
      <c r="D222" s="46"/>
      <c r="E222" s="61"/>
      <c r="F222" s="50"/>
      <c r="G222" s="56"/>
      <c r="H222" s="51"/>
      <c r="I222" s="51">
        <f t="shared" si="81"/>
        <v>0</v>
      </c>
      <c r="J222" s="51">
        <f t="shared" si="82"/>
        <v>0</v>
      </c>
      <c r="K222" s="51">
        <f t="shared" si="78"/>
        <v>0</v>
      </c>
      <c r="L222" s="49">
        <f t="shared" si="74"/>
        <v>0</v>
      </c>
      <c r="M222" s="49">
        <f t="shared" si="63"/>
        <v>0</v>
      </c>
      <c r="N222" s="49">
        <f t="shared" si="62"/>
        <v>0</v>
      </c>
      <c r="O222" s="48">
        <f t="shared" si="69"/>
        <v>0</v>
      </c>
      <c r="P222" s="38">
        <f t="shared" si="64"/>
        <v>0</v>
      </c>
      <c r="Q222" s="53"/>
      <c r="R222" s="53"/>
      <c r="S222" s="53"/>
    </row>
    <row r="223" spans="1:21" x14ac:dyDescent="0.2">
      <c r="A223" s="62">
        <f t="shared" si="65"/>
        <v>0</v>
      </c>
      <c r="B223" s="45"/>
      <c r="C223" s="49"/>
      <c r="D223" s="46"/>
      <c r="E223" s="61"/>
      <c r="F223" s="50"/>
      <c r="G223" s="56"/>
      <c r="H223" s="51"/>
      <c r="I223" s="51">
        <f t="shared" si="81"/>
        <v>0</v>
      </c>
      <c r="J223" s="51">
        <f t="shared" si="82"/>
        <v>0</v>
      </c>
      <c r="K223" s="51">
        <f t="shared" si="78"/>
        <v>0</v>
      </c>
      <c r="L223" s="49">
        <f t="shared" si="74"/>
        <v>0</v>
      </c>
      <c r="M223" s="49">
        <f t="shared" si="63"/>
        <v>0</v>
      </c>
      <c r="N223" s="49">
        <f t="shared" si="62"/>
        <v>0</v>
      </c>
      <c r="O223" s="48">
        <f t="shared" si="69"/>
        <v>0</v>
      </c>
      <c r="P223" s="38">
        <f t="shared" si="64"/>
        <v>0</v>
      </c>
      <c r="Q223" s="53"/>
      <c r="R223" s="53"/>
      <c r="S223" s="53"/>
    </row>
    <row r="224" spans="1:21" x14ac:dyDescent="0.2">
      <c r="A224" s="62">
        <f t="shared" si="65"/>
        <v>0</v>
      </c>
      <c r="B224" s="45"/>
      <c r="C224" s="49"/>
      <c r="D224" s="46"/>
      <c r="E224" s="61"/>
      <c r="F224" s="50"/>
      <c r="G224" s="56"/>
      <c r="H224" s="51"/>
      <c r="I224" s="51">
        <f t="shared" si="81"/>
        <v>0</v>
      </c>
      <c r="J224" s="51">
        <f t="shared" si="82"/>
        <v>0</v>
      </c>
      <c r="K224" s="51">
        <f t="shared" si="78"/>
        <v>0</v>
      </c>
      <c r="L224" s="49">
        <f t="shared" si="74"/>
        <v>0</v>
      </c>
      <c r="M224" s="49">
        <f t="shared" si="63"/>
        <v>0</v>
      </c>
      <c r="N224" s="49">
        <f t="shared" ref="N224:N232" si="84">IFERROR((1-$N$9)*L220,0)</f>
        <v>0</v>
      </c>
      <c r="O224" s="48">
        <f t="shared" si="69"/>
        <v>0</v>
      </c>
      <c r="P224" s="38">
        <f t="shared" si="64"/>
        <v>0</v>
      </c>
      <c r="Q224" s="53"/>
      <c r="R224" s="53"/>
      <c r="S224" s="53"/>
    </row>
    <row r="225" spans="1:19" x14ac:dyDescent="0.2">
      <c r="A225" s="62">
        <f t="shared" si="65"/>
        <v>0</v>
      </c>
      <c r="B225" s="45"/>
      <c r="C225" s="49"/>
      <c r="D225" s="46"/>
      <c r="E225" s="61"/>
      <c r="F225" s="50"/>
      <c r="G225" s="56"/>
      <c r="H225" s="51"/>
      <c r="I225" s="51">
        <f t="shared" si="81"/>
        <v>0</v>
      </c>
      <c r="J225" s="51">
        <f t="shared" si="82"/>
        <v>0</v>
      </c>
      <c r="K225" s="51">
        <f t="shared" si="78"/>
        <v>0</v>
      </c>
      <c r="L225" s="49">
        <f t="shared" si="74"/>
        <v>0</v>
      </c>
      <c r="M225" s="49">
        <f t="shared" si="63"/>
        <v>0</v>
      </c>
      <c r="N225" s="49">
        <f t="shared" si="84"/>
        <v>0</v>
      </c>
      <c r="O225" s="48">
        <f t="shared" si="69"/>
        <v>0</v>
      </c>
      <c r="P225" s="38">
        <f t="shared" si="64"/>
        <v>0</v>
      </c>
      <c r="Q225" s="53"/>
      <c r="R225" s="53"/>
      <c r="S225" s="53"/>
    </row>
    <row r="226" spans="1:19" x14ac:dyDescent="0.2">
      <c r="A226" s="62">
        <f t="shared" si="65"/>
        <v>0</v>
      </c>
      <c r="B226" s="45"/>
      <c r="C226" s="49"/>
      <c r="D226" s="46"/>
      <c r="E226" s="61"/>
      <c r="F226" s="50"/>
      <c r="G226" s="56"/>
      <c r="H226" s="51"/>
      <c r="I226" s="51">
        <f t="shared" si="81"/>
        <v>0</v>
      </c>
      <c r="J226" s="51">
        <f t="shared" si="82"/>
        <v>0</v>
      </c>
      <c r="K226" s="51">
        <f t="shared" si="78"/>
        <v>0</v>
      </c>
      <c r="L226" s="49">
        <f t="shared" si="74"/>
        <v>0</v>
      </c>
      <c r="M226" s="49">
        <f t="shared" si="63"/>
        <v>0</v>
      </c>
      <c r="N226" s="49">
        <f t="shared" si="84"/>
        <v>0</v>
      </c>
      <c r="O226" s="48">
        <f t="shared" si="69"/>
        <v>0</v>
      </c>
      <c r="P226" s="38">
        <f t="shared" si="64"/>
        <v>0</v>
      </c>
      <c r="Q226" s="53"/>
      <c r="R226" s="53"/>
      <c r="S226" s="53"/>
    </row>
    <row r="227" spans="1:19" x14ac:dyDescent="0.2">
      <c r="A227" s="62">
        <f t="shared" si="65"/>
        <v>0</v>
      </c>
      <c r="B227" s="45"/>
      <c r="C227" s="49"/>
      <c r="D227" s="46"/>
      <c r="E227" s="61"/>
      <c r="F227" s="50"/>
      <c r="G227" s="56"/>
      <c r="H227" s="51"/>
      <c r="I227" s="51">
        <f t="shared" si="81"/>
        <v>0</v>
      </c>
      <c r="J227" s="51">
        <f t="shared" si="82"/>
        <v>0</v>
      </c>
      <c r="K227" s="51">
        <f t="shared" si="78"/>
        <v>0</v>
      </c>
      <c r="L227" s="49">
        <f t="shared" si="74"/>
        <v>0</v>
      </c>
      <c r="M227" s="49">
        <f t="shared" si="63"/>
        <v>0</v>
      </c>
      <c r="N227" s="49">
        <f t="shared" si="84"/>
        <v>0</v>
      </c>
      <c r="O227" s="48">
        <f t="shared" si="69"/>
        <v>0</v>
      </c>
      <c r="P227" s="38">
        <f t="shared" si="64"/>
        <v>0</v>
      </c>
      <c r="Q227" s="53"/>
      <c r="R227" s="53"/>
      <c r="S227" s="53"/>
    </row>
    <row r="228" spans="1:19" x14ac:dyDescent="0.2">
      <c r="A228" s="62">
        <f t="shared" si="65"/>
        <v>0</v>
      </c>
      <c r="B228" s="45"/>
      <c r="C228" s="49"/>
      <c r="D228" s="46"/>
      <c r="E228" s="61"/>
      <c r="F228" s="50"/>
      <c r="G228" s="56"/>
      <c r="H228" s="51"/>
      <c r="I228" s="51">
        <f t="shared" si="81"/>
        <v>0</v>
      </c>
      <c r="J228" s="51">
        <f t="shared" si="82"/>
        <v>0</v>
      </c>
      <c r="K228" s="51">
        <f t="shared" si="78"/>
        <v>0</v>
      </c>
      <c r="L228" s="49">
        <f t="shared" si="74"/>
        <v>0</v>
      </c>
      <c r="M228" s="49">
        <f t="shared" si="63"/>
        <v>0</v>
      </c>
      <c r="N228" s="49">
        <f t="shared" si="84"/>
        <v>0</v>
      </c>
      <c r="O228" s="48">
        <f t="shared" si="69"/>
        <v>0</v>
      </c>
      <c r="P228" s="38">
        <f t="shared" si="64"/>
        <v>0</v>
      </c>
      <c r="Q228" s="53"/>
      <c r="R228" s="53"/>
      <c r="S228" s="53"/>
    </row>
    <row r="229" spans="1:19" x14ac:dyDescent="0.2">
      <c r="A229" s="62">
        <f t="shared" si="65"/>
        <v>0</v>
      </c>
      <c r="B229" s="45"/>
      <c r="C229" s="49"/>
      <c r="D229" s="46"/>
      <c r="E229" s="61"/>
      <c r="F229" s="50"/>
      <c r="G229" s="56"/>
      <c r="H229" s="51"/>
      <c r="I229" s="51">
        <f t="shared" si="81"/>
        <v>0</v>
      </c>
      <c r="J229" s="51">
        <f t="shared" si="82"/>
        <v>0</v>
      </c>
      <c r="K229" s="51">
        <f t="shared" si="78"/>
        <v>0</v>
      </c>
      <c r="L229" s="49">
        <f t="shared" si="74"/>
        <v>0</v>
      </c>
      <c r="M229" s="49">
        <f t="shared" si="63"/>
        <v>0</v>
      </c>
      <c r="N229" s="49">
        <f t="shared" si="84"/>
        <v>0</v>
      </c>
      <c r="O229" s="48">
        <f t="shared" si="69"/>
        <v>0</v>
      </c>
      <c r="P229" s="38">
        <f t="shared" si="64"/>
        <v>0</v>
      </c>
      <c r="Q229" s="53"/>
      <c r="R229" s="53"/>
      <c r="S229" s="53"/>
    </row>
    <row r="230" spans="1:19" x14ac:dyDescent="0.2">
      <c r="A230" s="62">
        <f t="shared" si="65"/>
        <v>0</v>
      </c>
      <c r="B230" s="45"/>
      <c r="C230" s="49"/>
      <c r="D230" s="46"/>
      <c r="E230" s="61"/>
      <c r="F230" s="50"/>
      <c r="G230" s="56"/>
      <c r="H230" s="51"/>
      <c r="I230" s="51">
        <f t="shared" si="81"/>
        <v>0</v>
      </c>
      <c r="J230" s="51">
        <f t="shared" si="82"/>
        <v>0</v>
      </c>
      <c r="K230" s="51">
        <f t="shared" si="78"/>
        <v>0</v>
      </c>
      <c r="L230" s="49">
        <f t="shared" si="74"/>
        <v>0</v>
      </c>
      <c r="M230" s="49">
        <f t="shared" si="63"/>
        <v>0</v>
      </c>
      <c r="N230" s="49">
        <f t="shared" si="84"/>
        <v>0</v>
      </c>
      <c r="O230" s="48">
        <f t="shared" si="69"/>
        <v>0</v>
      </c>
      <c r="P230" s="38">
        <f t="shared" si="64"/>
        <v>0</v>
      </c>
      <c r="Q230" s="53"/>
      <c r="R230" s="53"/>
      <c r="S230" s="53"/>
    </row>
    <row r="231" spans="1:19" x14ac:dyDescent="0.2">
      <c r="A231" s="62">
        <f t="shared" si="65"/>
        <v>0</v>
      </c>
      <c r="B231" s="45"/>
      <c r="C231" s="49"/>
      <c r="D231" s="46"/>
      <c r="E231" s="61"/>
      <c r="F231" s="50"/>
      <c r="G231" s="56"/>
      <c r="H231" s="51"/>
      <c r="I231" s="51">
        <f t="shared" si="81"/>
        <v>0</v>
      </c>
      <c r="J231" s="51">
        <f t="shared" si="82"/>
        <v>0</v>
      </c>
      <c r="K231" s="51">
        <f t="shared" si="78"/>
        <v>0</v>
      </c>
      <c r="L231" s="49">
        <f t="shared" si="74"/>
        <v>0</v>
      </c>
      <c r="M231" s="49">
        <f t="shared" si="63"/>
        <v>0</v>
      </c>
      <c r="N231" s="49">
        <f t="shared" si="84"/>
        <v>0</v>
      </c>
      <c r="O231" s="48">
        <f t="shared" si="69"/>
        <v>0</v>
      </c>
      <c r="P231" s="38">
        <f t="shared" si="64"/>
        <v>0</v>
      </c>
      <c r="Q231" s="53"/>
      <c r="R231" s="53"/>
      <c r="S231" s="53"/>
    </row>
    <row r="232" spans="1:19" x14ac:dyDescent="0.2">
      <c r="A232" s="62">
        <f t="shared" si="65"/>
        <v>0</v>
      </c>
      <c r="B232" s="45"/>
      <c r="C232" s="49"/>
      <c r="D232" s="46"/>
      <c r="E232" s="61"/>
      <c r="F232" s="50"/>
      <c r="G232" s="56"/>
      <c r="H232" s="51"/>
      <c r="I232" s="51">
        <f t="shared" si="81"/>
        <v>0</v>
      </c>
      <c r="J232" s="51">
        <f t="shared" si="82"/>
        <v>0</v>
      </c>
      <c r="K232" s="51">
        <f t="shared" si="78"/>
        <v>0</v>
      </c>
      <c r="L232" s="49">
        <f t="shared" si="74"/>
        <v>0</v>
      </c>
      <c r="M232" s="49">
        <f t="shared" si="63"/>
        <v>0</v>
      </c>
      <c r="N232" s="49">
        <f t="shared" si="84"/>
        <v>0</v>
      </c>
      <c r="O232" s="48">
        <f t="shared" si="69"/>
        <v>0</v>
      </c>
      <c r="P232" s="38">
        <f t="shared" si="64"/>
        <v>0</v>
      </c>
      <c r="Q232" s="53"/>
      <c r="R232" s="53"/>
      <c r="S232" s="53"/>
    </row>
  </sheetData>
  <pageMargins left="0.7" right="0.7" top="0.75" bottom="0.75" header="0.3" footer="0.3"/>
  <pageSetup orientation="portrait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43A2F4-CD64-4F51-AE40-52EC4CC8A465}">
  <sheetPr codeName="Sheet1"/>
  <dimension ref="A1:AD232"/>
  <sheetViews>
    <sheetView showGridLines="0" topLeftCell="D1" zoomScale="110" zoomScaleNormal="110" workbookViewId="0">
      <selection activeCell="E13" sqref="E13"/>
    </sheetView>
  </sheetViews>
  <sheetFormatPr defaultColWidth="9.140625" defaultRowHeight="11.25" x14ac:dyDescent="0.2"/>
  <cols>
    <col min="1" max="1" width="12.5703125" style="7" customWidth="1"/>
    <col min="2" max="2" width="37.5703125" style="7" customWidth="1"/>
    <col min="3" max="3" width="15.7109375" style="7" customWidth="1"/>
    <col min="4" max="5" width="19.5703125" style="7" customWidth="1"/>
    <col min="6" max="6" width="15.28515625" style="7" customWidth="1"/>
    <col min="7" max="7" width="17" style="7" customWidth="1"/>
    <col min="8" max="8" width="18" style="7" customWidth="1"/>
    <col min="9" max="15" width="17" style="7" customWidth="1"/>
    <col min="16" max="16" width="15.85546875" style="7" customWidth="1"/>
    <col min="17" max="19" width="9.140625" style="7"/>
    <col min="20" max="20" width="16.42578125" style="7" customWidth="1"/>
    <col min="21" max="21" width="12.28515625" style="7" bestFit="1" customWidth="1"/>
    <col min="22" max="22" width="9.140625" style="7"/>
    <col min="23" max="23" width="10.85546875" style="7" bestFit="1" customWidth="1"/>
    <col min="24" max="24" width="10.5703125" style="7" bestFit="1" customWidth="1"/>
    <col min="25" max="25" width="18.42578125" style="7" bestFit="1" customWidth="1"/>
    <col min="26" max="16384" width="9.140625" style="7"/>
  </cols>
  <sheetData>
    <row r="1" spans="1:30" ht="12" x14ac:dyDescent="0.2">
      <c r="A1" s="1"/>
      <c r="B1" s="2" t="s">
        <v>0</v>
      </c>
      <c r="C1" s="3">
        <v>8651556.7455042917</v>
      </c>
      <c r="D1" s="4" t="s">
        <v>1</v>
      </c>
      <c r="E1" s="5" t="s">
        <v>2</v>
      </c>
      <c r="F1" s="6"/>
      <c r="H1" s="8" t="s">
        <v>3</v>
      </c>
      <c r="I1" s="9">
        <f>T8*(-1)/C1</f>
        <v>0</v>
      </c>
      <c r="N1" s="10">
        <f>M8*0.9/C1</f>
        <v>-0.5248528782438513</v>
      </c>
    </row>
    <row r="2" spans="1:30" ht="12" x14ac:dyDescent="0.2">
      <c r="A2" s="11"/>
      <c r="B2" s="12" t="s">
        <v>4</v>
      </c>
      <c r="C2" s="13">
        <v>0.2</v>
      </c>
      <c r="D2" s="14"/>
      <c r="E2" s="15" t="s">
        <v>5</v>
      </c>
      <c r="F2" s="16"/>
      <c r="H2" s="17" t="s">
        <v>6</v>
      </c>
      <c r="I2" s="18">
        <v>0.05</v>
      </c>
      <c r="M2" s="19">
        <f>(M8+N8)/C1</f>
        <v>0</v>
      </c>
      <c r="S2" s="7">
        <v>19.241</v>
      </c>
      <c r="T2" s="46">
        <v>147662666.18000001</v>
      </c>
      <c r="U2" s="49">
        <f>T2*0.01*S2</f>
        <v>28411773.599693801</v>
      </c>
    </row>
    <row r="3" spans="1:30" ht="12" x14ac:dyDescent="0.2">
      <c r="A3" s="11"/>
      <c r="B3" s="12" t="s">
        <v>7</v>
      </c>
      <c r="C3" s="20">
        <v>180</v>
      </c>
      <c r="E3" s="17" t="s">
        <v>8</v>
      </c>
      <c r="F3" s="21"/>
      <c r="H3" s="17" t="s">
        <v>9</v>
      </c>
      <c r="I3" s="22">
        <f>T9</f>
        <v>0.05</v>
      </c>
      <c r="S3" s="7">
        <v>19.241</v>
      </c>
      <c r="T3" s="46">
        <v>145520942.81</v>
      </c>
      <c r="U3" s="49">
        <f>T3*0.01*S3</f>
        <v>27999684.606072102</v>
      </c>
    </row>
    <row r="4" spans="1:30" ht="12" x14ac:dyDescent="0.2">
      <c r="B4" s="12" t="s">
        <v>10</v>
      </c>
      <c r="C4" s="20">
        <v>25</v>
      </c>
      <c r="E4" s="17" t="s">
        <v>11</v>
      </c>
      <c r="F4" s="23"/>
      <c r="H4" s="17"/>
      <c r="I4" s="24"/>
    </row>
    <row r="5" spans="1:30" ht="12" x14ac:dyDescent="0.2">
      <c r="B5" s="17" t="s">
        <v>12</v>
      </c>
      <c r="C5" s="25">
        <v>108488</v>
      </c>
      <c r="E5" s="17" t="s">
        <v>13</v>
      </c>
      <c r="F5" s="26"/>
      <c r="H5" s="17"/>
      <c r="I5" s="24"/>
    </row>
    <row r="6" spans="1:30" ht="12" x14ac:dyDescent="0.2">
      <c r="B6" s="17" t="s">
        <v>14</v>
      </c>
      <c r="C6" s="25">
        <v>2000</v>
      </c>
      <c r="E6" s="17" t="s">
        <v>15</v>
      </c>
      <c r="F6" s="27"/>
      <c r="H6" s="17"/>
      <c r="I6" s="24"/>
    </row>
    <row r="7" spans="1:30" x14ac:dyDescent="0.2">
      <c r="B7" s="17" t="s">
        <v>16</v>
      </c>
      <c r="C7" s="28" t="s">
        <v>52</v>
      </c>
      <c r="E7" s="17" t="s">
        <v>17</v>
      </c>
      <c r="F7" s="26"/>
      <c r="H7" s="29"/>
      <c r="I7" s="30"/>
      <c r="J7" s="31"/>
    </row>
    <row r="8" spans="1:30" ht="12" thickBot="1" x14ac:dyDescent="0.25">
      <c r="B8" s="32" t="s">
        <v>18</v>
      </c>
      <c r="C8" s="33">
        <v>7.6287820978055976E-2</v>
      </c>
      <c r="E8" s="34"/>
      <c r="F8" s="35"/>
      <c r="H8" s="36"/>
      <c r="I8" s="37"/>
      <c r="J8" s="31">
        <f t="shared" ref="J8:Q8" si="0">_xlfn.AGGREGATE(9, 6, J11:J300)</f>
        <v>7294627.3056114968</v>
      </c>
      <c r="K8" s="31">
        <f t="shared" si="0"/>
        <v>5014213.2660313277</v>
      </c>
      <c r="L8" s="31">
        <f t="shared" si="0"/>
        <v>5045327.17685326</v>
      </c>
      <c r="M8" s="31">
        <f t="shared" si="0"/>
        <v>-5045327.17685326</v>
      </c>
      <c r="N8" s="31">
        <f t="shared" si="0"/>
        <v>5045327.17685326</v>
      </c>
      <c r="O8" s="31">
        <f t="shared" si="0"/>
        <v>31986663.913603388</v>
      </c>
      <c r="P8" s="31">
        <f t="shared" si="0"/>
        <v>31986663.913603388</v>
      </c>
      <c r="Q8" s="31">
        <f t="shared" si="0"/>
        <v>0</v>
      </c>
      <c r="T8" s="38">
        <f>N8+M8</f>
        <v>0</v>
      </c>
    </row>
    <row r="9" spans="1:30" ht="45" customHeight="1" x14ac:dyDescent="0.2">
      <c r="N9" s="39"/>
      <c r="O9" s="11"/>
      <c r="P9" s="40"/>
      <c r="Q9" s="11"/>
      <c r="R9" s="40">
        <v>0.05</v>
      </c>
      <c r="S9" s="11"/>
      <c r="T9" s="41">
        <v>0.05</v>
      </c>
      <c r="U9" s="11"/>
      <c r="V9" s="11"/>
      <c r="W9" s="11"/>
      <c r="AD9" s="7">
        <v>240514</v>
      </c>
    </row>
    <row r="10" spans="1:30" ht="22.5" customHeight="1" x14ac:dyDescent="0.2">
      <c r="B10" s="42" t="s">
        <v>19</v>
      </c>
      <c r="C10" s="43" t="s">
        <v>20</v>
      </c>
      <c r="D10" s="43" t="s">
        <v>21</v>
      </c>
      <c r="E10" s="44" t="s">
        <v>22</v>
      </c>
      <c r="F10" s="44" t="s">
        <v>23</v>
      </c>
      <c r="G10" s="44" t="s">
        <v>24</v>
      </c>
      <c r="H10" s="43" t="s">
        <v>25</v>
      </c>
      <c r="I10" s="43" t="s">
        <v>26</v>
      </c>
      <c r="J10" s="43" t="s">
        <v>27</v>
      </c>
      <c r="K10" s="43" t="s">
        <v>28</v>
      </c>
      <c r="L10" s="43" t="s">
        <v>29</v>
      </c>
      <c r="M10" s="43" t="s">
        <v>30</v>
      </c>
      <c r="N10" s="43" t="s">
        <v>31</v>
      </c>
      <c r="O10" s="43" t="s">
        <v>32</v>
      </c>
      <c r="P10" s="43" t="s">
        <v>33</v>
      </c>
      <c r="Q10" s="43"/>
      <c r="R10" s="43" t="s">
        <v>34</v>
      </c>
      <c r="S10" s="43" t="s">
        <v>35</v>
      </c>
      <c r="T10" s="43" t="s">
        <v>36</v>
      </c>
      <c r="U10" s="43" t="s">
        <v>37</v>
      </c>
      <c r="V10" s="43"/>
      <c r="W10" s="43"/>
      <c r="AD10" s="7">
        <v>124388486</v>
      </c>
    </row>
    <row r="11" spans="1:30" x14ac:dyDescent="0.2">
      <c r="A11" s="62">
        <f>D11/C$1</f>
        <v>1</v>
      </c>
      <c r="B11" s="45">
        <v>0</v>
      </c>
      <c r="C11" s="46">
        <f>C1</f>
        <v>8651556.7455042917</v>
      </c>
      <c r="D11" s="47">
        <f>C1</f>
        <v>8651556.7455042917</v>
      </c>
      <c r="E11" s="38">
        <f>C5</f>
        <v>108488</v>
      </c>
      <c r="F11" s="38">
        <f>C$5</f>
        <v>108488</v>
      </c>
      <c r="O11" s="48">
        <f>K11+I11+J11+M11+N11+G11</f>
        <v>0</v>
      </c>
      <c r="P11" s="38">
        <f>O11*(1/((1+P$9)^(B11/12)))</f>
        <v>0</v>
      </c>
      <c r="AD11" s="85">
        <f>AD9/AD10</f>
        <v>1.9335712471007967E-3</v>
      </c>
    </row>
    <row r="12" spans="1:30" x14ac:dyDescent="0.2">
      <c r="A12" s="62">
        <f t="shared" ref="A12:A75" si="1">D12/C$1</f>
        <v>1</v>
      </c>
      <c r="B12" s="45">
        <f>B11+1</f>
        <v>1</v>
      </c>
      <c r="C12" s="49">
        <f t="shared" ref="C12:C36" si="2">IF(B12&lt;C$4,C$1,D11)</f>
        <v>8651556.7455042917</v>
      </c>
      <c r="D12" s="47" cm="1">
        <f t="array" ref="D12">_xlfn.IFS(AND($C$7="Y",B12&lt;C$4),C12,AND($C$7="Y",B12=C$4),D11+F12-J12-K12-L12+N12,AND($C$7="Y",B12&gt;$C$4),D11-J12-K12-L12+N12, TRUE, D11-J12-K12-L12+N12)</f>
        <v>8651556.7455042917</v>
      </c>
      <c r="E12" s="48">
        <f>IF(AND($C$7="Y",B12&lt;=$C$4),D11*C$2/12-G12,0)</f>
        <v>142192.61242507154</v>
      </c>
      <c r="F12" s="50">
        <f>IF(AND($C$7="Y",B12&lt;=C$4),E12+F11,0)</f>
        <v>250680.61242507154</v>
      </c>
      <c r="G12" s="50">
        <f>IF(AND(C$7="Y",$B12&lt;=$C$4),C$6,0)</f>
        <v>2000</v>
      </c>
      <c r="H12" s="51">
        <f>IF(AND($B12&lt;=$C$4,C$7="Y"),0,IF(AND(C$7="N",C$4&gt;0,B12&lt;=C$4),0,D11*C$2/12/(1-(1/(1+C$2/12))^(C$3+C$4-B12+1))))</f>
        <v>0</v>
      </c>
      <c r="I12" s="52">
        <f>IF(AND(C$7="Y",$B12&lt;=C$4),0,IF(AND(C$7="Y",$B12&gt;C$4),(1-U12)*C$2*D11/12,IF(AND($C$7="N",C$4&gt;0),(1-U12)*D11*C$2/12, (1-U12)*D11*C$2/12)))</f>
        <v>0</v>
      </c>
      <c r="J12" s="52">
        <f>IF(AND($B12&lt;=$C$4,C$7="Y"),0,IF(AND(C$7="N",C$4&gt;0,B12&lt;=C$4),0,H12-I12))</f>
        <v>0</v>
      </c>
      <c r="K12" s="51">
        <f>IF(AND(C$7="Y",$B12&lt;=$C$4),0,IF(AND(C$7="N",C$4&gt;0,B12&lt;=C$4),0,S12*(C12-J12)))</f>
        <v>0</v>
      </c>
      <c r="L12" s="49">
        <f>IF(AND(C$7="Y",$B12&lt;=$C$4),0,IF(AND(C$7="N",C$4&gt;0,B12&lt;=C$4),0,U12*D11))</f>
        <v>0</v>
      </c>
      <c r="M12" s="49">
        <f>IFERROR(#REF!*-1,0)</f>
        <v>0</v>
      </c>
      <c r="N12" s="49">
        <f>IFERROR((1-$N$9)*#REF!,0)</f>
        <v>0</v>
      </c>
      <c r="O12" s="48">
        <f>K12+I12+J12-L12+N12+G12</f>
        <v>2000</v>
      </c>
      <c r="P12" s="38">
        <f>O12*(1/((1+P$9)^(B12/12)))</f>
        <v>2000</v>
      </c>
      <c r="Q12" s="53"/>
      <c r="R12" s="53">
        <f>R$9</f>
        <v>0.05</v>
      </c>
      <c r="S12" s="53">
        <f>1-(1-R12)^(1/12)</f>
        <v>4.2653187775606449E-3</v>
      </c>
      <c r="T12" s="53">
        <f>T$9</f>
        <v>0.05</v>
      </c>
      <c r="U12" s="84">
        <f>1-(1-T12)^(1/12)</f>
        <v>4.2653187775606449E-3</v>
      </c>
      <c r="V12" s="63">
        <f>U12*I12</f>
        <v>0</v>
      </c>
      <c r="W12" s="63">
        <f>D11*U12*C$2/12</f>
        <v>615.02745736218196</v>
      </c>
      <c r="X12" s="64">
        <f>12*W12/D11</f>
        <v>8.5306375551212903E-4</v>
      </c>
      <c r="Y12" s="65">
        <f>20%-X12</f>
        <v>0.19914693624448787</v>
      </c>
      <c r="Z12" s="63"/>
    </row>
    <row r="13" spans="1:30" x14ac:dyDescent="0.2">
      <c r="A13" s="62">
        <f t="shared" si="1"/>
        <v>1</v>
      </c>
      <c r="B13" s="45">
        <f t="shared" ref="B13:B76" si="3">B12+1</f>
        <v>2</v>
      </c>
      <c r="C13" s="49">
        <f t="shared" si="2"/>
        <v>8651556.7455042917</v>
      </c>
      <c r="D13" s="47" cm="1">
        <f t="array" ref="D13">_xlfn.IFS(AND($C$7="Y",B13&lt;C$4),C13,AND($C$7="Y",B13=C$4),D12+F13-J13-K13-L13+N13,AND($C$7="Y",B13&gt;$C$4),D12-J13-K13-L13+N13, TRUE, D12-J13-K13-L13+N13)</f>
        <v>8651556.7455042917</v>
      </c>
      <c r="E13" s="48">
        <f t="shared" ref="E13:E76" si="4">IF(AND($C$7="Y",B13&lt;=$C$4),D12*C$2/12-G13,0)</f>
        <v>142192.61242507154</v>
      </c>
      <c r="F13" s="50">
        <f>IF(AND($C$7="Y",B13&lt;=C$4),E13+F12,0)</f>
        <v>392873.22485014307</v>
      </c>
      <c r="G13" s="50">
        <f>IF(AND(C$7="Y",$B13&lt;=$C$4),C$6,0)</f>
        <v>2000</v>
      </c>
      <c r="H13" s="51">
        <f t="shared" ref="H13:H36" si="5">IF(AND($B13&lt;=$C$4,C$7="Y"),0,IF(AND(C$7="N",C$4&gt;0,B13&lt;=C$4),0,D12*C$2/12/(1-(1/(1+C$2/12))^(C$3+C$4-B13+1))))</f>
        <v>0</v>
      </c>
      <c r="I13" s="52">
        <f t="shared" ref="I13:I76" si="6">IF(AND(C$7="Y",$B13&lt;=C$4),0,IF(AND(C$7="Y",$B13&gt;C$4),(1-U13)*C$2*D12/12,IF(AND($C$7="N",C$4&gt;0),(1-U13)*D12*C$2/12, (1-U13)*D12*C$2/12)))</f>
        <v>0</v>
      </c>
      <c r="J13" s="52">
        <f>IF(AND($B13&lt;=$C$4,C$7="Y"),0,IF(AND(C$7="N",C$4&gt;0,B13&lt;=C$4),0,H13-I13))</f>
        <v>0</v>
      </c>
      <c r="K13" s="51">
        <f t="shared" ref="K13:K26" si="7">IF(AND(C$7="Y",$B13&lt;=$C$4),0,IF(AND(C$7="N",C$4&gt;0,B13&lt;=C$4),0,S13*(C13-J13)))</f>
        <v>0</v>
      </c>
      <c r="L13" s="49">
        <f t="shared" ref="L13:L18" si="8">IF(AND(C$7="Y",$B13&lt;=$C$4),0,IF(AND(C$7="N",C$4&gt;0,B13&lt;=C$4),0,U13*D12))</f>
        <v>0</v>
      </c>
      <c r="M13" s="49">
        <f t="shared" ref="M13" si="9">IFERROR(L9*-1,0)</f>
        <v>0</v>
      </c>
      <c r="N13" s="49">
        <f>IFERROR((1-$N$9)*L9,0)</f>
        <v>0</v>
      </c>
      <c r="O13" s="48">
        <f t="shared" ref="O13:O31" si="10">K13+I13+J13-L13+N13+G13</f>
        <v>2000</v>
      </c>
      <c r="P13" s="38">
        <f t="shared" ref="P13:P36" si="11">O13*(1/((1+P$9)^(B13/12)))</f>
        <v>2000</v>
      </c>
      <c r="Q13" s="53"/>
      <c r="R13" s="53">
        <f t="shared" ref="R13:R76" si="12">R$9</f>
        <v>0.05</v>
      </c>
      <c r="S13" s="53">
        <f t="shared" ref="S13:S76" si="13">1-(1-R13)^(1/12)</f>
        <v>4.2653187775606449E-3</v>
      </c>
      <c r="T13" s="53">
        <f t="shared" ref="T13:T76" si="14">T$9</f>
        <v>0.05</v>
      </c>
      <c r="U13" s="53">
        <f>1-(1-T13)^(1/12)</f>
        <v>4.2653187775606449E-3</v>
      </c>
      <c r="V13" s="53"/>
      <c r="W13" s="63">
        <f t="shared" ref="W13:W76" si="15">D12*U13*C$2/12</f>
        <v>615.02745736218196</v>
      </c>
      <c r="X13" s="64">
        <f t="shared" ref="X13:X76" si="16">12*W13/D12</f>
        <v>8.5306375551212903E-4</v>
      </c>
      <c r="Z13" s="63"/>
    </row>
    <row r="14" spans="1:30" x14ac:dyDescent="0.2">
      <c r="A14" s="62">
        <f t="shared" si="1"/>
        <v>1</v>
      </c>
      <c r="B14" s="45">
        <f t="shared" si="3"/>
        <v>3</v>
      </c>
      <c r="C14" s="49">
        <f t="shared" si="2"/>
        <v>8651556.7455042917</v>
      </c>
      <c r="D14" s="47" cm="1">
        <f t="array" ref="D14">_xlfn.IFS(AND($C$7="Y",B14&lt;C$4),C14,AND($C$7="Y",B14=C$4),D13+F14-J14-K14-L14+N14,AND($C$7="Y",B14&gt;$C$4),D13-J14-K14-L14+N14, TRUE, D13-J14-K14-L14+N14)</f>
        <v>8651556.7455042917</v>
      </c>
      <c r="E14" s="48">
        <f t="shared" si="4"/>
        <v>142192.61242507154</v>
      </c>
      <c r="F14" s="50">
        <f t="shared" ref="F14:F76" si="17">IF(AND($C$7="Y",B14&lt;=C$4),E14+F13,0)</f>
        <v>535065.83727521461</v>
      </c>
      <c r="G14" s="50">
        <f>IF(AND(C$7="Y",$B14&lt;=$C$4),C$6,0)</f>
        <v>2000</v>
      </c>
      <c r="H14" s="51">
        <f t="shared" si="5"/>
        <v>0</v>
      </c>
      <c r="I14" s="52">
        <f t="shared" si="6"/>
        <v>0</v>
      </c>
      <c r="J14" s="52">
        <f t="shared" ref="J14:J26" si="18">IF(AND($B14&lt;=$C$4,C$7="Y"),0,IF(AND(C$7="N",C$4&gt;0,B14&lt;=C$4),0,H14-I14))</f>
        <v>0</v>
      </c>
      <c r="K14" s="51">
        <f t="shared" si="7"/>
        <v>0</v>
      </c>
      <c r="L14" s="49">
        <f t="shared" si="8"/>
        <v>0</v>
      </c>
      <c r="M14" s="49">
        <f>IFERROR(L10*-1,0)</f>
        <v>0</v>
      </c>
      <c r="N14" s="49">
        <f t="shared" ref="N14:N21" si="19">IFERROR((1-$N$9)*L10,0)</f>
        <v>0</v>
      </c>
      <c r="O14" s="48">
        <f t="shared" si="10"/>
        <v>2000</v>
      </c>
      <c r="P14" s="38">
        <f t="shared" si="11"/>
        <v>2000</v>
      </c>
      <c r="Q14" s="53"/>
      <c r="R14" s="53">
        <f t="shared" si="12"/>
        <v>0.05</v>
      </c>
      <c r="S14" s="53">
        <f t="shared" si="13"/>
        <v>4.2653187775606449E-3</v>
      </c>
      <c r="T14" s="53">
        <f t="shared" si="14"/>
        <v>0.05</v>
      </c>
      <c r="U14" s="53">
        <f t="shared" ref="U14:U77" si="20">1-(1-T14)^(1/12)</f>
        <v>4.2653187775606449E-3</v>
      </c>
      <c r="V14" s="53"/>
      <c r="W14" s="63">
        <f t="shared" si="15"/>
        <v>615.02745736218196</v>
      </c>
      <c r="X14" s="64">
        <f t="shared" si="16"/>
        <v>8.5306375551212903E-4</v>
      </c>
      <c r="Z14" s="63"/>
    </row>
    <row r="15" spans="1:30" x14ac:dyDescent="0.2">
      <c r="A15" s="62">
        <f t="shared" si="1"/>
        <v>1</v>
      </c>
      <c r="B15" s="45">
        <f t="shared" si="3"/>
        <v>4</v>
      </c>
      <c r="C15" s="49">
        <f t="shared" si="2"/>
        <v>8651556.7455042917</v>
      </c>
      <c r="D15" s="47" cm="1">
        <f t="array" ref="D15">_xlfn.IFS(AND($C$7="Y",B15&lt;C$4),C15,AND($C$7="Y",B15=C$4),D14+F15-J15-K15-L15+N15,AND($C$7="Y",B15&gt;$C$4),D14-J15-K15-L15+N15, TRUE, D14-J15-K15-L15+N15)</f>
        <v>8651556.7455042917</v>
      </c>
      <c r="E15" s="48">
        <f t="shared" si="4"/>
        <v>142192.61242507154</v>
      </c>
      <c r="F15" s="50">
        <f t="shared" si="17"/>
        <v>677258.44970028615</v>
      </c>
      <c r="G15" s="50">
        <f t="shared" ref="G15:G78" si="21">IF($B15&lt;=$C$4,C$6,0)</f>
        <v>2000</v>
      </c>
      <c r="H15" s="51">
        <f t="shared" si="5"/>
        <v>0</v>
      </c>
      <c r="I15" s="52">
        <f t="shared" si="6"/>
        <v>0</v>
      </c>
      <c r="J15" s="52">
        <f t="shared" si="18"/>
        <v>0</v>
      </c>
      <c r="K15" s="51">
        <f t="shared" si="7"/>
        <v>0</v>
      </c>
      <c r="L15" s="49">
        <f t="shared" si="8"/>
        <v>0</v>
      </c>
      <c r="M15" s="49">
        <f t="shared" ref="M15:M20" si="22">IFERROR(L11*-1,0)</f>
        <v>0</v>
      </c>
      <c r="N15" s="49">
        <f t="shared" si="19"/>
        <v>0</v>
      </c>
      <c r="O15" s="48">
        <f t="shared" si="10"/>
        <v>2000</v>
      </c>
      <c r="P15" s="38">
        <f t="shared" si="11"/>
        <v>2000</v>
      </c>
      <c r="Q15" s="53"/>
      <c r="R15" s="53">
        <f t="shared" si="12"/>
        <v>0.05</v>
      </c>
      <c r="S15" s="53">
        <f t="shared" si="13"/>
        <v>4.2653187775606449E-3</v>
      </c>
      <c r="T15" s="53">
        <f t="shared" si="14"/>
        <v>0.05</v>
      </c>
      <c r="U15" s="53">
        <f t="shared" si="20"/>
        <v>4.2653187775606449E-3</v>
      </c>
      <c r="V15" s="53"/>
      <c r="W15" s="63">
        <f t="shared" si="15"/>
        <v>615.02745736218196</v>
      </c>
      <c r="X15" s="64">
        <f t="shared" si="16"/>
        <v>8.5306375551212903E-4</v>
      </c>
      <c r="Z15" s="63"/>
    </row>
    <row r="16" spans="1:30" x14ac:dyDescent="0.2">
      <c r="A16" s="62">
        <f t="shared" si="1"/>
        <v>1</v>
      </c>
      <c r="B16" s="45">
        <f t="shared" si="3"/>
        <v>5</v>
      </c>
      <c r="C16" s="49">
        <f t="shared" si="2"/>
        <v>8651556.7455042917</v>
      </c>
      <c r="D16" s="47" cm="1">
        <f t="array" ref="D16">_xlfn.IFS(AND($C$7="Y",B16&lt;C$4),C16,AND($C$7="Y",B16=C$4),D15+F16-J16-K16-L16+N16,AND($C$7="Y",B16&gt;$C$4),D15-J16-K16-L16+N16, TRUE, D15-J16-K16-L16+N16)</f>
        <v>8651556.7455042917</v>
      </c>
      <c r="E16" s="48">
        <f>IF(AND($C$7="Y",B16&lt;=$C$4),D15*C$2/12-G16,0)</f>
        <v>142192.61242507154</v>
      </c>
      <c r="F16" s="50">
        <f t="shared" si="17"/>
        <v>819451.06212535768</v>
      </c>
      <c r="G16" s="50">
        <f t="shared" si="21"/>
        <v>2000</v>
      </c>
      <c r="H16" s="51">
        <f t="shared" si="5"/>
        <v>0</v>
      </c>
      <c r="I16" s="52">
        <f t="shared" si="6"/>
        <v>0</v>
      </c>
      <c r="J16" s="52">
        <f t="shared" si="18"/>
        <v>0</v>
      </c>
      <c r="K16" s="51">
        <f t="shared" si="7"/>
        <v>0</v>
      </c>
      <c r="L16" s="49">
        <f t="shared" si="8"/>
        <v>0</v>
      </c>
      <c r="M16" s="49">
        <f t="shared" si="22"/>
        <v>0</v>
      </c>
      <c r="N16" s="49">
        <f t="shared" si="19"/>
        <v>0</v>
      </c>
      <c r="O16" s="48">
        <f t="shared" si="10"/>
        <v>2000</v>
      </c>
      <c r="P16" s="38">
        <f t="shared" si="11"/>
        <v>2000</v>
      </c>
      <c r="Q16" s="53"/>
      <c r="R16" s="53">
        <f t="shared" si="12"/>
        <v>0.05</v>
      </c>
      <c r="S16" s="53">
        <f t="shared" si="13"/>
        <v>4.2653187775606449E-3</v>
      </c>
      <c r="T16" s="53">
        <f t="shared" si="14"/>
        <v>0.05</v>
      </c>
      <c r="U16" s="53">
        <f t="shared" si="20"/>
        <v>4.2653187775606449E-3</v>
      </c>
      <c r="V16" s="53"/>
      <c r="W16" s="63">
        <f t="shared" si="15"/>
        <v>615.02745736218196</v>
      </c>
      <c r="X16" s="64">
        <f t="shared" si="16"/>
        <v>8.5306375551212903E-4</v>
      </c>
      <c r="Z16" s="63"/>
    </row>
    <row r="17" spans="1:29" x14ac:dyDescent="0.2">
      <c r="A17" s="62">
        <f t="shared" si="1"/>
        <v>1</v>
      </c>
      <c r="B17" s="45">
        <f t="shared" si="3"/>
        <v>6</v>
      </c>
      <c r="C17" s="49">
        <f t="shared" si="2"/>
        <v>8651556.7455042917</v>
      </c>
      <c r="D17" s="47" cm="1">
        <f t="array" ref="D17">_xlfn.IFS(AND($C$7="Y",B17&lt;C$4),C17,AND($C$7="Y",B17=C$4),D16+F17-J17-K17-L17+N17,AND($C$7="Y",B17&gt;$C$4),D16-J17-K17-L17+N17, TRUE, D16-J17-K17-L17+N17)</f>
        <v>8651556.7455042917</v>
      </c>
      <c r="E17" s="48">
        <f t="shared" si="4"/>
        <v>142192.61242507154</v>
      </c>
      <c r="F17" s="50">
        <f t="shared" si="17"/>
        <v>961643.67455042922</v>
      </c>
      <c r="G17" s="50">
        <f t="shared" si="21"/>
        <v>2000</v>
      </c>
      <c r="H17" s="51">
        <f t="shared" si="5"/>
        <v>0</v>
      </c>
      <c r="I17" s="52">
        <f t="shared" si="6"/>
        <v>0</v>
      </c>
      <c r="J17" s="52">
        <f t="shared" si="18"/>
        <v>0</v>
      </c>
      <c r="K17" s="51">
        <f t="shared" si="7"/>
        <v>0</v>
      </c>
      <c r="L17" s="49">
        <f t="shared" si="8"/>
        <v>0</v>
      </c>
      <c r="M17" s="49">
        <f t="shared" si="22"/>
        <v>0</v>
      </c>
      <c r="N17" s="49">
        <f t="shared" si="19"/>
        <v>0</v>
      </c>
      <c r="O17" s="48">
        <f t="shared" si="10"/>
        <v>2000</v>
      </c>
      <c r="P17" s="38">
        <f t="shared" si="11"/>
        <v>2000</v>
      </c>
      <c r="Q17" s="53"/>
      <c r="R17" s="53">
        <f t="shared" si="12"/>
        <v>0.05</v>
      </c>
      <c r="S17" s="53">
        <f t="shared" si="13"/>
        <v>4.2653187775606449E-3</v>
      </c>
      <c r="T17" s="53">
        <f t="shared" si="14"/>
        <v>0.05</v>
      </c>
      <c r="U17" s="53">
        <f t="shared" si="20"/>
        <v>4.2653187775606449E-3</v>
      </c>
      <c r="V17" s="53"/>
      <c r="W17" s="63">
        <f t="shared" si="15"/>
        <v>615.02745736218196</v>
      </c>
      <c r="X17" s="64">
        <f t="shared" si="16"/>
        <v>8.5306375551212903E-4</v>
      </c>
      <c r="Z17" s="63"/>
    </row>
    <row r="18" spans="1:29" x14ac:dyDescent="0.2">
      <c r="A18" s="62">
        <f t="shared" si="1"/>
        <v>1</v>
      </c>
      <c r="B18" s="45">
        <f t="shared" si="3"/>
        <v>7</v>
      </c>
      <c r="C18" s="49">
        <f t="shared" si="2"/>
        <v>8651556.7455042917</v>
      </c>
      <c r="D18" s="47" cm="1">
        <f t="array" ref="D18">_xlfn.IFS(AND($C$7="Y",B18&lt;C$4),C18,AND($C$7="Y",B18=C$4),D17+F18-J18-K18-L18+N18,AND($C$7="Y",B18&gt;$C$4),D17-J18-K18-L18+N18, TRUE, D17-J18-K18-L18+N18)</f>
        <v>8651556.7455042917</v>
      </c>
      <c r="E18" s="48">
        <f t="shared" si="4"/>
        <v>142192.61242507154</v>
      </c>
      <c r="F18" s="50">
        <f t="shared" si="17"/>
        <v>1103836.2869755006</v>
      </c>
      <c r="G18" s="50">
        <f t="shared" si="21"/>
        <v>2000</v>
      </c>
      <c r="H18" s="51">
        <f t="shared" si="5"/>
        <v>0</v>
      </c>
      <c r="I18" s="52">
        <f t="shared" si="6"/>
        <v>0</v>
      </c>
      <c r="J18" s="52">
        <f t="shared" si="18"/>
        <v>0</v>
      </c>
      <c r="K18" s="51">
        <f t="shared" si="7"/>
        <v>0</v>
      </c>
      <c r="L18" s="49">
        <f t="shared" si="8"/>
        <v>0</v>
      </c>
      <c r="M18" s="49">
        <f t="shared" si="22"/>
        <v>0</v>
      </c>
      <c r="N18" s="49">
        <f t="shared" si="19"/>
        <v>0</v>
      </c>
      <c r="O18" s="48">
        <f t="shared" si="10"/>
        <v>2000</v>
      </c>
      <c r="P18" s="38">
        <f t="shared" si="11"/>
        <v>2000</v>
      </c>
      <c r="Q18" s="53"/>
      <c r="R18" s="53">
        <f t="shared" si="12"/>
        <v>0.05</v>
      </c>
      <c r="S18" s="53">
        <f t="shared" si="13"/>
        <v>4.2653187775606449E-3</v>
      </c>
      <c r="T18" s="53">
        <f t="shared" si="14"/>
        <v>0.05</v>
      </c>
      <c r="U18" s="53">
        <f t="shared" si="20"/>
        <v>4.2653187775606449E-3</v>
      </c>
      <c r="V18" s="53"/>
      <c r="W18" s="63">
        <f t="shared" si="15"/>
        <v>615.02745736218196</v>
      </c>
      <c r="X18" s="64">
        <f t="shared" si="16"/>
        <v>8.5306375551212903E-4</v>
      </c>
      <c r="Z18" s="63"/>
    </row>
    <row r="19" spans="1:29" x14ac:dyDescent="0.2">
      <c r="A19" s="62">
        <f t="shared" si="1"/>
        <v>1</v>
      </c>
      <c r="B19" s="45">
        <f t="shared" si="3"/>
        <v>8</v>
      </c>
      <c r="C19" s="49">
        <f t="shared" si="2"/>
        <v>8651556.7455042917</v>
      </c>
      <c r="D19" s="47" cm="1">
        <f t="array" ref="D19">_xlfn.IFS(AND($C$7="Y",B19&lt;C$4),C19,AND($C$7="Y",B19=C$4),D18+F19-J19-K19-L19+N19,AND($C$7="Y",B19&gt;$C$4),D18-J19-K19-L19+N19, TRUE, D18-J19-K19-L19+N19)</f>
        <v>8651556.7455042917</v>
      </c>
      <c r="E19" s="48">
        <f t="shared" si="4"/>
        <v>142192.61242507154</v>
      </c>
      <c r="F19" s="50">
        <f t="shared" si="17"/>
        <v>1246028.8994005723</v>
      </c>
      <c r="G19" s="50">
        <f t="shared" si="21"/>
        <v>2000</v>
      </c>
      <c r="H19" s="51">
        <f t="shared" si="5"/>
        <v>0</v>
      </c>
      <c r="I19" s="52">
        <f t="shared" si="6"/>
        <v>0</v>
      </c>
      <c r="J19" s="52">
        <f t="shared" si="18"/>
        <v>0</v>
      </c>
      <c r="K19" s="51">
        <f t="shared" si="7"/>
        <v>0</v>
      </c>
      <c r="L19" s="49">
        <f>IF(AND(C$7="Y",$B19&lt;=$C$4),0,IF(AND(C$7="N",C$4&gt;0,B19&lt;=C$4),0,U19*D18))</f>
        <v>0</v>
      </c>
      <c r="M19" s="49">
        <f t="shared" si="22"/>
        <v>0</v>
      </c>
      <c r="N19" s="49">
        <f t="shared" si="19"/>
        <v>0</v>
      </c>
      <c r="O19" s="48">
        <f t="shared" si="10"/>
        <v>2000</v>
      </c>
      <c r="P19" s="38">
        <f t="shared" si="11"/>
        <v>2000</v>
      </c>
      <c r="Q19" s="53"/>
      <c r="R19" s="53">
        <f t="shared" si="12"/>
        <v>0.05</v>
      </c>
      <c r="S19" s="53">
        <f t="shared" si="13"/>
        <v>4.2653187775606449E-3</v>
      </c>
      <c r="T19" s="53">
        <f t="shared" si="14"/>
        <v>0.05</v>
      </c>
      <c r="U19" s="53">
        <f t="shared" si="20"/>
        <v>4.2653187775606449E-3</v>
      </c>
      <c r="V19" s="53"/>
      <c r="W19" s="63">
        <f t="shared" si="15"/>
        <v>615.02745736218196</v>
      </c>
      <c r="X19" s="64">
        <f t="shared" si="16"/>
        <v>8.5306375551212903E-4</v>
      </c>
      <c r="Z19" s="63"/>
    </row>
    <row r="20" spans="1:29" x14ac:dyDescent="0.2">
      <c r="A20" s="62">
        <f t="shared" si="1"/>
        <v>1</v>
      </c>
      <c r="B20" s="45">
        <f t="shared" si="3"/>
        <v>9</v>
      </c>
      <c r="C20" s="49">
        <f t="shared" si="2"/>
        <v>8651556.7455042917</v>
      </c>
      <c r="D20" s="47" cm="1">
        <f t="array" ref="D20">_xlfn.IFS(AND($C$7="Y",B20&lt;C$4),C20,AND($C$7="Y",B20=C$4),D19+F20-J20-K20-L20+N20,AND($C$7="Y",B20&gt;$C$4),D19-J20-K20-L20+N20, TRUE, D19-J20-K20-L20+N20)</f>
        <v>8651556.7455042917</v>
      </c>
      <c r="E20" s="48">
        <f t="shared" si="4"/>
        <v>142192.61242507154</v>
      </c>
      <c r="F20" s="50">
        <f t="shared" si="17"/>
        <v>1388221.5118256439</v>
      </c>
      <c r="G20" s="50">
        <f t="shared" si="21"/>
        <v>2000</v>
      </c>
      <c r="H20" s="51">
        <f t="shared" si="5"/>
        <v>0</v>
      </c>
      <c r="I20" s="52">
        <f t="shared" si="6"/>
        <v>0</v>
      </c>
      <c r="J20" s="52">
        <f t="shared" si="18"/>
        <v>0</v>
      </c>
      <c r="K20" s="51">
        <f t="shared" si="7"/>
        <v>0</v>
      </c>
      <c r="L20" s="49">
        <f t="shared" ref="L20:L35" si="23">IF(AND(C$7="Y",$B20&lt;=$C$4),0,IF(AND(C$7="N",C$4&gt;0,B20&lt;=C$4),0,U20*D19))</f>
        <v>0</v>
      </c>
      <c r="M20" s="49">
        <f t="shared" si="22"/>
        <v>0</v>
      </c>
      <c r="N20" s="49">
        <f t="shared" si="19"/>
        <v>0</v>
      </c>
      <c r="O20" s="48">
        <f t="shared" si="10"/>
        <v>2000</v>
      </c>
      <c r="P20" s="38">
        <f t="shared" si="11"/>
        <v>2000</v>
      </c>
      <c r="Q20" s="53"/>
      <c r="R20" s="53">
        <f t="shared" si="12"/>
        <v>0.05</v>
      </c>
      <c r="S20" s="53">
        <f t="shared" si="13"/>
        <v>4.2653187775606449E-3</v>
      </c>
      <c r="T20" s="53">
        <f t="shared" si="14"/>
        <v>0.05</v>
      </c>
      <c r="U20" s="53">
        <f t="shared" si="20"/>
        <v>4.2653187775606449E-3</v>
      </c>
      <c r="V20" s="53"/>
      <c r="W20" s="63">
        <f t="shared" si="15"/>
        <v>615.02745736218196</v>
      </c>
      <c r="X20" s="64">
        <f t="shared" si="16"/>
        <v>8.5306375551212903E-4</v>
      </c>
      <c r="Z20" s="63"/>
    </row>
    <row r="21" spans="1:29" x14ac:dyDescent="0.2">
      <c r="A21" s="62">
        <f t="shared" si="1"/>
        <v>1</v>
      </c>
      <c r="B21" s="45">
        <f t="shared" si="3"/>
        <v>10</v>
      </c>
      <c r="C21" s="49">
        <f t="shared" si="2"/>
        <v>8651556.7455042917</v>
      </c>
      <c r="D21" s="47" cm="1">
        <f t="array" ref="D21">_xlfn.IFS(AND($C$7="Y",B21&lt;C$4),C21,AND($C$7="Y",B21=C$4),D20+F21-J21-K21-L21+N21,AND($C$7="Y",B21&gt;$C$4),D20-J21-K21-L21+N21, TRUE, D20-J21-K21-L21+N21)</f>
        <v>8651556.7455042917</v>
      </c>
      <c r="E21" s="48">
        <f t="shared" si="4"/>
        <v>142192.61242507154</v>
      </c>
      <c r="F21" s="50">
        <f t="shared" si="17"/>
        <v>1530414.1242507156</v>
      </c>
      <c r="G21" s="50">
        <f t="shared" si="21"/>
        <v>2000</v>
      </c>
      <c r="H21" s="51">
        <f t="shared" si="5"/>
        <v>0</v>
      </c>
      <c r="I21" s="52">
        <f t="shared" si="6"/>
        <v>0</v>
      </c>
      <c r="J21" s="52">
        <f t="shared" si="18"/>
        <v>0</v>
      </c>
      <c r="K21" s="51">
        <f t="shared" si="7"/>
        <v>0</v>
      </c>
      <c r="L21" s="49">
        <f t="shared" si="23"/>
        <v>0</v>
      </c>
      <c r="M21" s="49">
        <f>IFERROR(L17*-1,0)</f>
        <v>0</v>
      </c>
      <c r="N21" s="49">
        <f t="shared" si="19"/>
        <v>0</v>
      </c>
      <c r="O21" s="48">
        <f t="shared" si="10"/>
        <v>2000</v>
      </c>
      <c r="P21" s="38">
        <f t="shared" si="11"/>
        <v>2000</v>
      </c>
      <c r="Q21" s="53"/>
      <c r="R21" s="53">
        <f t="shared" si="12"/>
        <v>0.05</v>
      </c>
      <c r="S21" s="53">
        <f t="shared" si="13"/>
        <v>4.2653187775606449E-3</v>
      </c>
      <c r="T21" s="53">
        <f t="shared" si="14"/>
        <v>0.05</v>
      </c>
      <c r="U21" s="53">
        <f t="shared" si="20"/>
        <v>4.2653187775606449E-3</v>
      </c>
      <c r="V21" s="53"/>
      <c r="W21" s="63">
        <f t="shared" si="15"/>
        <v>615.02745736218196</v>
      </c>
      <c r="X21" s="64">
        <f t="shared" si="16"/>
        <v>8.5306375551212903E-4</v>
      </c>
      <c r="Z21" s="63"/>
      <c r="AC21" s="7">
        <v>0.4</v>
      </c>
    </row>
    <row r="22" spans="1:29" x14ac:dyDescent="0.2">
      <c r="A22" s="62">
        <f t="shared" si="1"/>
        <v>1</v>
      </c>
      <c r="B22" s="45">
        <f t="shared" si="3"/>
        <v>11</v>
      </c>
      <c r="C22" s="49">
        <f t="shared" si="2"/>
        <v>8651556.7455042917</v>
      </c>
      <c r="D22" s="47" cm="1">
        <f t="array" ref="D22">_xlfn.IFS(AND($C$7="Y",B22&lt;C$4),C22,AND($C$7="Y",B22=C$4),D21+F22-J22-K22-L22+N22,AND($C$7="Y",B22&gt;$C$4),D21-J22-K22-L22+N22, TRUE, D21-J22-K22-L22+N22)</f>
        <v>8651556.7455042917</v>
      </c>
      <c r="E22" s="48">
        <f t="shared" si="4"/>
        <v>142192.61242507154</v>
      </c>
      <c r="F22" s="50">
        <f t="shared" si="17"/>
        <v>1672606.7366757873</v>
      </c>
      <c r="G22" s="50">
        <f t="shared" si="21"/>
        <v>2000</v>
      </c>
      <c r="H22" s="51">
        <f t="shared" si="5"/>
        <v>0</v>
      </c>
      <c r="I22" s="52">
        <f t="shared" si="6"/>
        <v>0</v>
      </c>
      <c r="J22" s="52">
        <f t="shared" si="18"/>
        <v>0</v>
      </c>
      <c r="K22" s="51">
        <f t="shared" si="7"/>
        <v>0</v>
      </c>
      <c r="L22" s="49">
        <f t="shared" si="23"/>
        <v>0</v>
      </c>
      <c r="M22" s="49">
        <f t="shared" ref="M22:M25" si="24">IFERROR(L18*-1,0)</f>
        <v>0</v>
      </c>
      <c r="N22" s="49">
        <f>IFERROR((1-$N$9)*L18,0)</f>
        <v>0</v>
      </c>
      <c r="O22" s="48">
        <f t="shared" si="10"/>
        <v>2000</v>
      </c>
      <c r="P22" s="38">
        <f t="shared" si="11"/>
        <v>2000</v>
      </c>
      <c r="Q22" s="53"/>
      <c r="R22" s="53">
        <f t="shared" si="12"/>
        <v>0.05</v>
      </c>
      <c r="S22" s="53">
        <f t="shared" si="13"/>
        <v>4.2653187775606449E-3</v>
      </c>
      <c r="T22" s="53">
        <f t="shared" si="14"/>
        <v>0.05</v>
      </c>
      <c r="U22" s="53">
        <f t="shared" si="20"/>
        <v>4.2653187775606449E-3</v>
      </c>
      <c r="V22" s="53"/>
      <c r="W22" s="63">
        <f t="shared" si="15"/>
        <v>615.02745736218196</v>
      </c>
      <c r="X22" s="64">
        <f t="shared" si="16"/>
        <v>8.5306375551212903E-4</v>
      </c>
      <c r="Z22" s="63"/>
    </row>
    <row r="23" spans="1:29" x14ac:dyDescent="0.2">
      <c r="A23" s="62">
        <f t="shared" si="1"/>
        <v>1</v>
      </c>
      <c r="B23" s="45">
        <f t="shared" si="3"/>
        <v>12</v>
      </c>
      <c r="C23" s="49">
        <f t="shared" si="2"/>
        <v>8651556.7455042917</v>
      </c>
      <c r="D23" s="47" cm="1">
        <f t="array" ref="D23">_xlfn.IFS(AND($C$7="Y",B23&lt;C$4),C23,AND($C$7="Y",B23=C$4),D22+F23-J23-K23-L23+N23,AND($C$7="Y",B23&gt;$C$4),D22-J23-K23-L23+N23, TRUE, D22-J23-K23-L23+N23)</f>
        <v>8651556.7455042917</v>
      </c>
      <c r="E23" s="48">
        <f t="shared" si="4"/>
        <v>142192.61242507154</v>
      </c>
      <c r="F23" s="50">
        <f t="shared" si="17"/>
        <v>1814799.3491008589</v>
      </c>
      <c r="G23" s="50">
        <f t="shared" si="21"/>
        <v>2000</v>
      </c>
      <c r="H23" s="51">
        <f t="shared" si="5"/>
        <v>0</v>
      </c>
      <c r="I23" s="52">
        <f t="shared" si="6"/>
        <v>0</v>
      </c>
      <c r="J23" s="52">
        <f t="shared" si="18"/>
        <v>0</v>
      </c>
      <c r="K23" s="51">
        <f t="shared" si="7"/>
        <v>0</v>
      </c>
      <c r="L23" s="49">
        <f t="shared" si="23"/>
        <v>0</v>
      </c>
      <c r="M23" s="49">
        <f t="shared" si="24"/>
        <v>0</v>
      </c>
      <c r="N23" s="49">
        <f t="shared" ref="N23:N30" si="25">IFERROR((1-$N$9)*L19,0)</f>
        <v>0</v>
      </c>
      <c r="O23" s="48">
        <f t="shared" si="10"/>
        <v>2000</v>
      </c>
      <c r="P23" s="38">
        <f t="shared" si="11"/>
        <v>2000</v>
      </c>
      <c r="Q23" s="53"/>
      <c r="R23" s="53">
        <f t="shared" si="12"/>
        <v>0.05</v>
      </c>
      <c r="S23" s="53">
        <f t="shared" si="13"/>
        <v>4.2653187775606449E-3</v>
      </c>
      <c r="T23" s="53">
        <f t="shared" si="14"/>
        <v>0.05</v>
      </c>
      <c r="U23" s="53">
        <f t="shared" si="20"/>
        <v>4.2653187775606449E-3</v>
      </c>
      <c r="V23" s="53"/>
      <c r="W23" s="63">
        <f t="shared" si="15"/>
        <v>615.02745736218196</v>
      </c>
      <c r="X23" s="64">
        <f t="shared" si="16"/>
        <v>8.5306375551212903E-4</v>
      </c>
      <c r="Z23" s="63"/>
    </row>
    <row r="24" spans="1:29" x14ac:dyDescent="0.2">
      <c r="A24" s="62">
        <f t="shared" si="1"/>
        <v>1</v>
      </c>
      <c r="B24" s="45">
        <f t="shared" si="3"/>
        <v>13</v>
      </c>
      <c r="C24" s="49">
        <f t="shared" si="2"/>
        <v>8651556.7455042917</v>
      </c>
      <c r="D24" s="47" cm="1">
        <f t="array" ref="D24">_xlfn.IFS(AND($C$7="Y",B24&lt;C$4),C24,AND($C$7="Y",B24=C$4),D23+F24-J24-K24-L24+N24,AND($C$7="Y",B24&gt;$C$4),D23-J24-K24-L24+N24, TRUE, D23-J24-K24-L24+N24)</f>
        <v>8651556.7455042917</v>
      </c>
      <c r="E24" s="48">
        <f t="shared" si="4"/>
        <v>142192.61242507154</v>
      </c>
      <c r="F24" s="50">
        <f t="shared" si="17"/>
        <v>1956991.9615259306</v>
      </c>
      <c r="G24" s="50">
        <f t="shared" si="21"/>
        <v>2000</v>
      </c>
      <c r="H24" s="51">
        <f t="shared" si="5"/>
        <v>0</v>
      </c>
      <c r="I24" s="52">
        <f t="shared" si="6"/>
        <v>0</v>
      </c>
      <c r="J24" s="52">
        <f t="shared" si="18"/>
        <v>0</v>
      </c>
      <c r="K24" s="51">
        <f t="shared" si="7"/>
        <v>0</v>
      </c>
      <c r="L24" s="49">
        <f t="shared" si="23"/>
        <v>0</v>
      </c>
      <c r="M24" s="49">
        <f t="shared" si="24"/>
        <v>0</v>
      </c>
      <c r="N24" s="49">
        <f t="shared" si="25"/>
        <v>0</v>
      </c>
      <c r="O24" s="48">
        <f t="shared" si="10"/>
        <v>2000</v>
      </c>
      <c r="P24" s="38">
        <f t="shared" si="11"/>
        <v>2000</v>
      </c>
      <c r="Q24" s="53"/>
      <c r="R24" s="53">
        <f t="shared" si="12"/>
        <v>0.05</v>
      </c>
      <c r="S24" s="53">
        <f t="shared" si="13"/>
        <v>4.2653187775606449E-3</v>
      </c>
      <c r="T24" s="53">
        <f t="shared" si="14"/>
        <v>0.05</v>
      </c>
      <c r="U24" s="53">
        <f t="shared" si="20"/>
        <v>4.2653187775606449E-3</v>
      </c>
      <c r="V24" s="53"/>
      <c r="W24" s="63">
        <f t="shared" si="15"/>
        <v>615.02745736218196</v>
      </c>
      <c r="X24" s="64">
        <f t="shared" si="16"/>
        <v>8.5306375551212903E-4</v>
      </c>
      <c r="Z24" s="63"/>
    </row>
    <row r="25" spans="1:29" x14ac:dyDescent="0.2">
      <c r="A25" s="62">
        <f t="shared" si="1"/>
        <v>1</v>
      </c>
      <c r="B25" s="45">
        <f t="shared" si="3"/>
        <v>14</v>
      </c>
      <c r="C25" s="49">
        <f t="shared" si="2"/>
        <v>8651556.7455042917</v>
      </c>
      <c r="D25" s="47" cm="1">
        <f t="array" ref="D25">_xlfn.IFS(AND($C$7="Y",B25&lt;C$4),C25,AND($C$7="Y",B25=C$4),D24+F25-J25-K25-L25+N25,AND($C$7="Y",B25&gt;$C$4),D24-J25-K25-L25+N25, TRUE, D24-J25-K25-L25+N25)</f>
        <v>8651556.7455042917</v>
      </c>
      <c r="E25" s="48">
        <f t="shared" si="4"/>
        <v>142192.61242507154</v>
      </c>
      <c r="F25" s="50">
        <f t="shared" si="17"/>
        <v>2099184.5739510022</v>
      </c>
      <c r="G25" s="50">
        <f t="shared" si="21"/>
        <v>2000</v>
      </c>
      <c r="H25" s="51">
        <f t="shared" si="5"/>
        <v>0</v>
      </c>
      <c r="I25" s="52">
        <f t="shared" si="6"/>
        <v>0</v>
      </c>
      <c r="J25" s="52">
        <f t="shared" si="18"/>
        <v>0</v>
      </c>
      <c r="K25" s="51">
        <f t="shared" si="7"/>
        <v>0</v>
      </c>
      <c r="L25" s="49">
        <f t="shared" si="23"/>
        <v>0</v>
      </c>
      <c r="M25" s="49">
        <f t="shared" si="24"/>
        <v>0</v>
      </c>
      <c r="N25" s="49">
        <f t="shared" si="25"/>
        <v>0</v>
      </c>
      <c r="O25" s="48">
        <f t="shared" si="10"/>
        <v>2000</v>
      </c>
      <c r="P25" s="38">
        <f t="shared" si="11"/>
        <v>2000</v>
      </c>
      <c r="Q25" s="53"/>
      <c r="R25" s="53">
        <f t="shared" si="12"/>
        <v>0.05</v>
      </c>
      <c r="S25" s="53">
        <f t="shared" si="13"/>
        <v>4.2653187775606449E-3</v>
      </c>
      <c r="T25" s="53">
        <f t="shared" si="14"/>
        <v>0.05</v>
      </c>
      <c r="U25" s="53">
        <f t="shared" si="20"/>
        <v>4.2653187775606449E-3</v>
      </c>
      <c r="V25" s="53"/>
      <c r="W25" s="63">
        <f t="shared" si="15"/>
        <v>615.02745736218196</v>
      </c>
      <c r="X25" s="64">
        <f t="shared" si="16"/>
        <v>8.5306375551212903E-4</v>
      </c>
      <c r="Z25" s="63"/>
    </row>
    <row r="26" spans="1:29" x14ac:dyDescent="0.2">
      <c r="A26" s="62">
        <f t="shared" si="1"/>
        <v>1</v>
      </c>
      <c r="B26" s="45">
        <f t="shared" si="3"/>
        <v>15</v>
      </c>
      <c r="C26" s="51">
        <f t="shared" si="2"/>
        <v>8651556.7455042917</v>
      </c>
      <c r="D26" s="47" cm="1">
        <f t="array" ref="D26">_xlfn.IFS(AND($C$7="Y",B26&lt;C$4),C26,AND($C$7="Y",B26=C$4),D25+F26-J26-K26-L26+N26,AND($C$7="Y",B26&gt;$C$4),D25-J26-K26-L26+N26, TRUE, D25-J26-K26-L26+N26)</f>
        <v>8651556.7455042917</v>
      </c>
      <c r="E26" s="48">
        <f t="shared" si="4"/>
        <v>142192.61242507154</v>
      </c>
      <c r="F26" s="50">
        <f t="shared" si="17"/>
        <v>2241377.1863760739</v>
      </c>
      <c r="G26" s="50">
        <f t="shared" si="21"/>
        <v>2000</v>
      </c>
      <c r="H26" s="51">
        <f t="shared" si="5"/>
        <v>0</v>
      </c>
      <c r="I26" s="52">
        <f t="shared" si="6"/>
        <v>0</v>
      </c>
      <c r="J26" s="52">
        <f t="shared" si="18"/>
        <v>0</v>
      </c>
      <c r="K26" s="51">
        <f t="shared" si="7"/>
        <v>0</v>
      </c>
      <c r="L26" s="51">
        <f t="shared" si="23"/>
        <v>0</v>
      </c>
      <c r="M26" s="51">
        <f>IFERROR(L22*-1,0)</f>
        <v>0</v>
      </c>
      <c r="N26" s="51">
        <f t="shared" si="25"/>
        <v>0</v>
      </c>
      <c r="O26" s="48">
        <f t="shared" si="10"/>
        <v>2000</v>
      </c>
      <c r="P26" s="38">
        <f t="shared" si="11"/>
        <v>2000</v>
      </c>
      <c r="Q26" s="53"/>
      <c r="R26" s="53">
        <f t="shared" si="12"/>
        <v>0.05</v>
      </c>
      <c r="S26" s="53">
        <f t="shared" si="13"/>
        <v>4.2653187775606449E-3</v>
      </c>
      <c r="T26" s="53">
        <f t="shared" si="14"/>
        <v>0.05</v>
      </c>
      <c r="U26" s="53">
        <f t="shared" si="20"/>
        <v>4.2653187775606449E-3</v>
      </c>
      <c r="V26" s="53"/>
      <c r="W26" s="63">
        <f t="shared" si="15"/>
        <v>615.02745736218196</v>
      </c>
      <c r="X26" s="64">
        <f t="shared" si="16"/>
        <v>8.5306375551212903E-4</v>
      </c>
      <c r="Z26" s="63"/>
    </row>
    <row r="27" spans="1:29" x14ac:dyDescent="0.2">
      <c r="A27" s="62">
        <f t="shared" si="1"/>
        <v>1</v>
      </c>
      <c r="B27" s="45">
        <f t="shared" si="3"/>
        <v>16</v>
      </c>
      <c r="C27" s="49">
        <f t="shared" si="2"/>
        <v>8651556.7455042917</v>
      </c>
      <c r="D27" s="47" cm="1">
        <f t="array" ref="D27">_xlfn.IFS(AND($C$7="Y",B27&lt;C$4),C27,AND($C$7="Y",B27=C$4),D26+F27-J27-K27-L27+N27,AND($C$7="Y",B27&gt;$C$4),D26-J27-K27-L27+N27, TRUE, D26-J27-K27-L27+N27)</f>
        <v>8651556.7455042917</v>
      </c>
      <c r="E27" s="48">
        <f t="shared" si="4"/>
        <v>142192.61242507154</v>
      </c>
      <c r="F27" s="50">
        <f t="shared" si="17"/>
        <v>2383569.7988011455</v>
      </c>
      <c r="G27" s="50">
        <f t="shared" si="21"/>
        <v>2000</v>
      </c>
      <c r="H27" s="51">
        <f t="shared" si="5"/>
        <v>0</v>
      </c>
      <c r="I27" s="52">
        <f t="shared" si="6"/>
        <v>0</v>
      </c>
      <c r="J27" s="52">
        <f>IF(AND($B27&lt;=$C$4,C$7="Y"),0,IF(AND(C$7="N",C$4&gt;0,B27&lt;=C$4),0,H27-I27))</f>
        <v>0</v>
      </c>
      <c r="K27" s="51">
        <f>IF(AND(C$7="Y",$B27&lt;=$C$4),0,IF(AND(C$7="N",C$4&gt;0,B27&lt;=C$4),0,S27*(C27-J27)))</f>
        <v>0</v>
      </c>
      <c r="L27" s="49">
        <f t="shared" si="23"/>
        <v>0</v>
      </c>
      <c r="M27" s="49">
        <f t="shared" ref="M27:M40" si="26">IFERROR(L23*-1,0)</f>
        <v>0</v>
      </c>
      <c r="N27" s="49">
        <f t="shared" si="25"/>
        <v>0</v>
      </c>
      <c r="O27" s="48">
        <f t="shared" si="10"/>
        <v>2000</v>
      </c>
      <c r="P27" s="38">
        <f t="shared" si="11"/>
        <v>2000</v>
      </c>
      <c r="Q27" s="53"/>
      <c r="R27" s="53">
        <f t="shared" si="12"/>
        <v>0.05</v>
      </c>
      <c r="S27" s="53">
        <f t="shared" si="13"/>
        <v>4.2653187775606449E-3</v>
      </c>
      <c r="T27" s="53">
        <f t="shared" si="14"/>
        <v>0.05</v>
      </c>
      <c r="U27" s="53">
        <f t="shared" si="20"/>
        <v>4.2653187775606449E-3</v>
      </c>
      <c r="V27" s="53"/>
      <c r="W27" s="63">
        <f t="shared" si="15"/>
        <v>615.02745736218196</v>
      </c>
      <c r="X27" s="64">
        <f t="shared" si="16"/>
        <v>8.5306375551212903E-4</v>
      </c>
      <c r="Z27" s="63"/>
    </row>
    <row r="28" spans="1:29" x14ac:dyDescent="0.2">
      <c r="A28" s="62">
        <f t="shared" si="1"/>
        <v>1</v>
      </c>
      <c r="B28" s="45">
        <f t="shared" si="3"/>
        <v>17</v>
      </c>
      <c r="C28" s="49">
        <f t="shared" si="2"/>
        <v>8651556.7455042917</v>
      </c>
      <c r="D28" s="47" cm="1">
        <f t="array" ref="D28">_xlfn.IFS(AND($C$7="Y",B28&lt;C$4),C28,AND($C$7="Y",B28=C$4),D27+F28-J28-K28-L28+N28,AND($C$7="Y",B28&gt;$C$4),D27-J28-K28-L28+N28, TRUE, D27-J28-K28-L28+N28)</f>
        <v>8651556.7455042917</v>
      </c>
      <c r="E28" s="48">
        <f t="shared" si="4"/>
        <v>142192.61242507154</v>
      </c>
      <c r="F28" s="50">
        <f t="shared" si="17"/>
        <v>2525762.4112262172</v>
      </c>
      <c r="G28" s="50">
        <f t="shared" si="21"/>
        <v>2000</v>
      </c>
      <c r="H28" s="51">
        <f t="shared" si="5"/>
        <v>0</v>
      </c>
      <c r="I28" s="52">
        <f t="shared" si="6"/>
        <v>0</v>
      </c>
      <c r="J28" s="52">
        <f t="shared" ref="J28:J36" si="27">IF(AND($B28&lt;=$C$4,C$7="Y"),0,IF(AND(C$7="N",C$4&gt;0,B28&lt;=C$4),0,H28-I28))</f>
        <v>0</v>
      </c>
      <c r="K28" s="51">
        <f t="shared" ref="K28:K36" si="28">IF(AND(C$7="Y",$B28&lt;=$C$4),0,IF(AND(C$7="N",C$4&gt;0,B28&lt;=C$4),0,S28*(C28-J28)))</f>
        <v>0</v>
      </c>
      <c r="L28" s="49">
        <f t="shared" si="23"/>
        <v>0</v>
      </c>
      <c r="M28" s="49">
        <f t="shared" si="26"/>
        <v>0</v>
      </c>
      <c r="N28" s="49">
        <f t="shared" si="25"/>
        <v>0</v>
      </c>
      <c r="O28" s="48">
        <f t="shared" si="10"/>
        <v>2000</v>
      </c>
      <c r="P28" s="38">
        <f t="shared" si="11"/>
        <v>2000</v>
      </c>
      <c r="Q28" s="53"/>
      <c r="R28" s="53">
        <f t="shared" si="12"/>
        <v>0.05</v>
      </c>
      <c r="S28" s="53">
        <f t="shared" si="13"/>
        <v>4.2653187775606449E-3</v>
      </c>
      <c r="T28" s="53">
        <f t="shared" si="14"/>
        <v>0.05</v>
      </c>
      <c r="U28" s="53">
        <f t="shared" si="20"/>
        <v>4.2653187775606449E-3</v>
      </c>
      <c r="V28" s="53"/>
      <c r="W28" s="63">
        <f t="shared" si="15"/>
        <v>615.02745736218196</v>
      </c>
      <c r="X28" s="64">
        <f t="shared" si="16"/>
        <v>8.5306375551212903E-4</v>
      </c>
      <c r="Z28" s="63"/>
    </row>
    <row r="29" spans="1:29" x14ac:dyDescent="0.2">
      <c r="A29" s="62">
        <f t="shared" si="1"/>
        <v>1</v>
      </c>
      <c r="B29" s="45">
        <f t="shared" si="3"/>
        <v>18</v>
      </c>
      <c r="C29" s="49">
        <f t="shared" si="2"/>
        <v>8651556.7455042917</v>
      </c>
      <c r="D29" s="47" cm="1">
        <f t="array" ref="D29">_xlfn.IFS(AND($C$7="Y",B29&lt;C$4),C29,AND($C$7="Y",B29=C$4),D28+F29-J29-K29-L29+N29,AND($C$7="Y",B29&gt;$C$4),D28-J29-K29-L29+N29, TRUE, D28-J29-K29-L29+N29)</f>
        <v>8651556.7455042917</v>
      </c>
      <c r="E29" s="48">
        <f t="shared" si="4"/>
        <v>142192.61242507154</v>
      </c>
      <c r="F29" s="50">
        <f t="shared" si="17"/>
        <v>2667955.0236512888</v>
      </c>
      <c r="G29" s="50">
        <f t="shared" si="21"/>
        <v>2000</v>
      </c>
      <c r="H29" s="51">
        <f t="shared" si="5"/>
        <v>0</v>
      </c>
      <c r="I29" s="52">
        <f t="shared" si="6"/>
        <v>0</v>
      </c>
      <c r="J29" s="52">
        <f t="shared" si="27"/>
        <v>0</v>
      </c>
      <c r="K29" s="51">
        <f t="shared" si="28"/>
        <v>0</v>
      </c>
      <c r="L29" s="49">
        <f t="shared" si="23"/>
        <v>0</v>
      </c>
      <c r="M29" s="49">
        <f t="shared" si="26"/>
        <v>0</v>
      </c>
      <c r="N29" s="49">
        <f t="shared" si="25"/>
        <v>0</v>
      </c>
      <c r="O29" s="48">
        <f t="shared" si="10"/>
        <v>2000</v>
      </c>
      <c r="P29" s="38">
        <f t="shared" si="11"/>
        <v>2000</v>
      </c>
      <c r="Q29" s="53"/>
      <c r="R29" s="53">
        <f t="shared" si="12"/>
        <v>0.05</v>
      </c>
      <c r="S29" s="53">
        <f t="shared" si="13"/>
        <v>4.2653187775606449E-3</v>
      </c>
      <c r="T29" s="53">
        <f t="shared" si="14"/>
        <v>0.05</v>
      </c>
      <c r="U29" s="53">
        <f t="shared" si="20"/>
        <v>4.2653187775606449E-3</v>
      </c>
      <c r="V29" s="53"/>
      <c r="W29" s="63">
        <f t="shared" si="15"/>
        <v>615.02745736218196</v>
      </c>
      <c r="X29" s="64">
        <f t="shared" si="16"/>
        <v>8.5306375551212903E-4</v>
      </c>
      <c r="Z29" s="63"/>
    </row>
    <row r="30" spans="1:29" x14ac:dyDescent="0.2">
      <c r="A30" s="62">
        <f t="shared" si="1"/>
        <v>1</v>
      </c>
      <c r="B30" s="45">
        <f t="shared" si="3"/>
        <v>19</v>
      </c>
      <c r="C30" s="49">
        <f t="shared" si="2"/>
        <v>8651556.7455042917</v>
      </c>
      <c r="D30" s="47" cm="1">
        <f t="array" ref="D30">_xlfn.IFS(AND($C$7="Y",B30&lt;C$4),C30,AND($C$7="Y",B30=C$4),D29+F30-J30-K30-L30+N30,AND($C$7="Y",B30&gt;$C$4),D29-J30-K30-L30+N30, TRUE, D29-J30-K30-L30+N30)</f>
        <v>8651556.7455042917</v>
      </c>
      <c r="E30" s="48">
        <f t="shared" si="4"/>
        <v>142192.61242507154</v>
      </c>
      <c r="F30" s="50">
        <f t="shared" si="17"/>
        <v>2810147.6360763605</v>
      </c>
      <c r="G30" s="50">
        <f t="shared" si="21"/>
        <v>2000</v>
      </c>
      <c r="H30" s="51">
        <f t="shared" si="5"/>
        <v>0</v>
      </c>
      <c r="I30" s="52">
        <f t="shared" si="6"/>
        <v>0</v>
      </c>
      <c r="J30" s="52">
        <f t="shared" si="27"/>
        <v>0</v>
      </c>
      <c r="K30" s="51">
        <f t="shared" si="28"/>
        <v>0</v>
      </c>
      <c r="L30" s="49">
        <f t="shared" si="23"/>
        <v>0</v>
      </c>
      <c r="M30" s="49">
        <f t="shared" si="26"/>
        <v>0</v>
      </c>
      <c r="N30" s="49">
        <f t="shared" si="25"/>
        <v>0</v>
      </c>
      <c r="O30" s="48">
        <f t="shared" si="10"/>
        <v>2000</v>
      </c>
      <c r="P30" s="38">
        <f t="shared" si="11"/>
        <v>2000</v>
      </c>
      <c r="Q30" s="53"/>
      <c r="R30" s="53">
        <f t="shared" si="12"/>
        <v>0.05</v>
      </c>
      <c r="S30" s="53">
        <f t="shared" si="13"/>
        <v>4.2653187775606449E-3</v>
      </c>
      <c r="T30" s="53">
        <f t="shared" si="14"/>
        <v>0.05</v>
      </c>
      <c r="U30" s="53">
        <f t="shared" si="20"/>
        <v>4.2653187775606449E-3</v>
      </c>
      <c r="V30" s="53"/>
      <c r="W30" s="63">
        <f t="shared" si="15"/>
        <v>615.02745736218196</v>
      </c>
      <c r="X30" s="64">
        <f t="shared" si="16"/>
        <v>8.5306375551212903E-4</v>
      </c>
      <c r="Z30" s="63"/>
    </row>
    <row r="31" spans="1:29" x14ac:dyDescent="0.2">
      <c r="A31" s="62">
        <f t="shared" si="1"/>
        <v>1</v>
      </c>
      <c r="B31" s="45">
        <f t="shared" si="3"/>
        <v>20</v>
      </c>
      <c r="C31" s="49">
        <f t="shared" si="2"/>
        <v>8651556.7455042917</v>
      </c>
      <c r="D31" s="47" cm="1">
        <f t="array" ref="D31">_xlfn.IFS(AND($C$7="Y",B31&lt;C$4),C31,AND($C$7="Y",B31=C$4),D30+F31-J31-K31-L31+N31,AND($C$7="Y",B31&gt;$C$4),D30-J31-K31-L31+N31, TRUE, D30-J31-K31-L31+N31)</f>
        <v>8651556.7455042917</v>
      </c>
      <c r="E31" s="48">
        <f t="shared" si="4"/>
        <v>142192.61242507154</v>
      </c>
      <c r="F31" s="50">
        <f t="shared" si="17"/>
        <v>2952340.2485014321</v>
      </c>
      <c r="G31" s="50">
        <f t="shared" si="21"/>
        <v>2000</v>
      </c>
      <c r="H31" s="51">
        <f t="shared" si="5"/>
        <v>0</v>
      </c>
      <c r="I31" s="52">
        <f t="shared" si="6"/>
        <v>0</v>
      </c>
      <c r="J31" s="52">
        <f t="shared" si="27"/>
        <v>0</v>
      </c>
      <c r="K31" s="51">
        <f t="shared" si="28"/>
        <v>0</v>
      </c>
      <c r="L31" s="49">
        <f t="shared" si="23"/>
        <v>0</v>
      </c>
      <c r="M31" s="49">
        <f t="shared" si="26"/>
        <v>0</v>
      </c>
      <c r="N31" s="49">
        <f>IFERROR((1-$N$9)*L27,0)</f>
        <v>0</v>
      </c>
      <c r="O31" s="48">
        <f t="shared" si="10"/>
        <v>2000</v>
      </c>
      <c r="P31" s="38">
        <f t="shared" si="11"/>
        <v>2000</v>
      </c>
      <c r="Q31" s="53"/>
      <c r="R31" s="53">
        <f t="shared" si="12"/>
        <v>0.05</v>
      </c>
      <c r="S31" s="53">
        <f t="shared" si="13"/>
        <v>4.2653187775606449E-3</v>
      </c>
      <c r="T31" s="53">
        <f t="shared" si="14"/>
        <v>0.05</v>
      </c>
      <c r="U31" s="53">
        <f t="shared" si="20"/>
        <v>4.2653187775606449E-3</v>
      </c>
      <c r="V31" s="53"/>
      <c r="W31" s="63">
        <f t="shared" si="15"/>
        <v>615.02745736218196</v>
      </c>
      <c r="X31" s="64">
        <f t="shared" si="16"/>
        <v>8.5306375551212903E-4</v>
      </c>
      <c r="Z31" s="63"/>
    </row>
    <row r="32" spans="1:29" x14ac:dyDescent="0.2">
      <c r="A32" s="62">
        <f t="shared" si="1"/>
        <v>1</v>
      </c>
      <c r="B32" s="45">
        <f t="shared" si="3"/>
        <v>21</v>
      </c>
      <c r="C32" s="49">
        <f t="shared" si="2"/>
        <v>8651556.7455042917</v>
      </c>
      <c r="D32" s="47" cm="1">
        <f t="array" ref="D32">_xlfn.IFS(AND($C$7="Y",B32&lt;C$4),C32,AND($C$7="Y",B32=C$4),D31+F32-J32-K32-L32+N32,AND($C$7="Y",B32&gt;$C$4),D31-J32-K32-L32+N32, TRUE, D31-J32-K32-L32+N32)</f>
        <v>8651556.7455042917</v>
      </c>
      <c r="E32" s="48">
        <f t="shared" si="4"/>
        <v>142192.61242507154</v>
      </c>
      <c r="F32" s="50">
        <f t="shared" si="17"/>
        <v>3094532.8609265038</v>
      </c>
      <c r="G32" s="50">
        <f t="shared" si="21"/>
        <v>2000</v>
      </c>
      <c r="H32" s="51">
        <f t="shared" si="5"/>
        <v>0</v>
      </c>
      <c r="I32" s="52">
        <f t="shared" si="6"/>
        <v>0</v>
      </c>
      <c r="J32" s="52">
        <f t="shared" si="27"/>
        <v>0</v>
      </c>
      <c r="K32" s="51">
        <f t="shared" si="28"/>
        <v>0</v>
      </c>
      <c r="L32" s="49">
        <f t="shared" si="23"/>
        <v>0</v>
      </c>
      <c r="M32" s="49">
        <f t="shared" si="26"/>
        <v>0</v>
      </c>
      <c r="N32" s="49">
        <f t="shared" ref="N32:N95" si="29">IFERROR((1-$N$9)*L28,0)</f>
        <v>0</v>
      </c>
      <c r="O32" s="48">
        <f>K32+I32+J32-L32+N32+G32</f>
        <v>2000</v>
      </c>
      <c r="P32" s="38">
        <f t="shared" si="11"/>
        <v>2000</v>
      </c>
      <c r="Q32" s="53"/>
      <c r="R32" s="53">
        <f t="shared" si="12"/>
        <v>0.05</v>
      </c>
      <c r="S32" s="53">
        <f t="shared" si="13"/>
        <v>4.2653187775606449E-3</v>
      </c>
      <c r="T32" s="53">
        <f t="shared" si="14"/>
        <v>0.05</v>
      </c>
      <c r="U32" s="53">
        <f t="shared" si="20"/>
        <v>4.2653187775606449E-3</v>
      </c>
      <c r="V32" s="53"/>
      <c r="W32" s="63">
        <f t="shared" si="15"/>
        <v>615.02745736218196</v>
      </c>
      <c r="X32" s="64">
        <f t="shared" si="16"/>
        <v>8.5306375551212903E-4</v>
      </c>
      <c r="Z32" s="63"/>
    </row>
    <row r="33" spans="1:26" x14ac:dyDescent="0.2">
      <c r="A33" s="62">
        <f t="shared" si="1"/>
        <v>1</v>
      </c>
      <c r="B33" s="45">
        <f t="shared" si="3"/>
        <v>22</v>
      </c>
      <c r="C33" s="49">
        <f t="shared" si="2"/>
        <v>8651556.7455042917</v>
      </c>
      <c r="D33" s="47" cm="1">
        <f t="array" ref="D33">_xlfn.IFS(AND($C$7="Y",B33&lt;C$4),C33,AND($C$7="Y",B33=C$4),D32+F33-J33-K33-L33+N33,AND($C$7="Y",B33&gt;$C$4),D32-J33-K33-L33+N33, TRUE, D32-J33-K33-L33+N33)</f>
        <v>8651556.7455042917</v>
      </c>
      <c r="E33" s="48">
        <f t="shared" si="4"/>
        <v>142192.61242507154</v>
      </c>
      <c r="F33" s="50">
        <f t="shared" si="17"/>
        <v>3236725.4733515754</v>
      </c>
      <c r="G33" s="50">
        <f t="shared" si="21"/>
        <v>2000</v>
      </c>
      <c r="H33" s="51">
        <f t="shared" si="5"/>
        <v>0</v>
      </c>
      <c r="I33" s="52">
        <f t="shared" si="6"/>
        <v>0</v>
      </c>
      <c r="J33" s="52">
        <f t="shared" si="27"/>
        <v>0</v>
      </c>
      <c r="K33" s="51">
        <f t="shared" si="28"/>
        <v>0</v>
      </c>
      <c r="L33" s="49">
        <f t="shared" si="23"/>
        <v>0</v>
      </c>
      <c r="M33" s="49">
        <f t="shared" si="26"/>
        <v>0</v>
      </c>
      <c r="N33" s="49">
        <f t="shared" si="29"/>
        <v>0</v>
      </c>
      <c r="O33" s="48">
        <f t="shared" ref="O33:O35" si="30">K33+I33+J33-L33+N33+G33</f>
        <v>2000</v>
      </c>
      <c r="P33" s="38">
        <f t="shared" si="11"/>
        <v>2000</v>
      </c>
      <c r="Q33" s="53"/>
      <c r="R33" s="53">
        <f t="shared" si="12"/>
        <v>0.05</v>
      </c>
      <c r="S33" s="53">
        <f t="shared" si="13"/>
        <v>4.2653187775606449E-3</v>
      </c>
      <c r="T33" s="53">
        <f t="shared" si="14"/>
        <v>0.05</v>
      </c>
      <c r="U33" s="53">
        <f t="shared" si="20"/>
        <v>4.2653187775606449E-3</v>
      </c>
      <c r="V33" s="53"/>
      <c r="W33" s="63">
        <f t="shared" si="15"/>
        <v>615.02745736218196</v>
      </c>
      <c r="X33" s="64">
        <f t="shared" si="16"/>
        <v>8.5306375551212903E-4</v>
      </c>
      <c r="Y33" s="49"/>
      <c r="Z33" s="63"/>
    </row>
    <row r="34" spans="1:26" x14ac:dyDescent="0.2">
      <c r="A34" s="62">
        <f t="shared" si="1"/>
        <v>1</v>
      </c>
      <c r="B34" s="45">
        <f t="shared" si="3"/>
        <v>23</v>
      </c>
      <c r="C34" s="49">
        <f t="shared" si="2"/>
        <v>8651556.7455042917</v>
      </c>
      <c r="D34" s="47" cm="1">
        <f t="array" ref="D34">_xlfn.IFS(AND($C$7="Y",B34&lt;C$4),C34,AND($C$7="Y",B34=C$4),D33+F34-J34-K34-L34+N34,AND($C$7="Y",B34&gt;$C$4),D33-J34-K34-L34+N34, TRUE, D33-J34-K34-L34+N34)</f>
        <v>8651556.7455042917</v>
      </c>
      <c r="E34" s="48">
        <f t="shared" si="4"/>
        <v>142192.61242507154</v>
      </c>
      <c r="F34" s="50">
        <f t="shared" si="17"/>
        <v>3378918.0857766471</v>
      </c>
      <c r="G34" s="50">
        <f t="shared" si="21"/>
        <v>2000</v>
      </c>
      <c r="H34" s="51">
        <f t="shared" si="5"/>
        <v>0</v>
      </c>
      <c r="I34" s="52">
        <f t="shared" si="6"/>
        <v>0</v>
      </c>
      <c r="J34" s="52">
        <f t="shared" si="27"/>
        <v>0</v>
      </c>
      <c r="K34" s="51">
        <f t="shared" si="28"/>
        <v>0</v>
      </c>
      <c r="L34" s="49">
        <f t="shared" si="23"/>
        <v>0</v>
      </c>
      <c r="M34" s="49">
        <f t="shared" si="26"/>
        <v>0</v>
      </c>
      <c r="N34" s="49">
        <f t="shared" si="29"/>
        <v>0</v>
      </c>
      <c r="O34" s="48">
        <f t="shared" si="30"/>
        <v>2000</v>
      </c>
      <c r="P34" s="38">
        <f t="shared" si="11"/>
        <v>2000</v>
      </c>
      <c r="Q34" s="53"/>
      <c r="R34" s="53">
        <f t="shared" si="12"/>
        <v>0.05</v>
      </c>
      <c r="S34" s="53">
        <f t="shared" si="13"/>
        <v>4.2653187775606449E-3</v>
      </c>
      <c r="T34" s="53">
        <f t="shared" si="14"/>
        <v>0.05</v>
      </c>
      <c r="U34" s="53">
        <f t="shared" si="20"/>
        <v>4.2653187775606449E-3</v>
      </c>
      <c r="V34" s="53"/>
      <c r="W34" s="63">
        <f t="shared" si="15"/>
        <v>615.02745736218196</v>
      </c>
      <c r="X34" s="64">
        <f t="shared" si="16"/>
        <v>8.5306375551212903E-4</v>
      </c>
      <c r="Z34" s="63"/>
    </row>
    <row r="35" spans="1:26" x14ac:dyDescent="0.2">
      <c r="A35" s="62">
        <f t="shared" si="1"/>
        <v>1</v>
      </c>
      <c r="B35" s="45">
        <f t="shared" si="3"/>
        <v>24</v>
      </c>
      <c r="C35" s="49">
        <f t="shared" si="2"/>
        <v>8651556.7455042917</v>
      </c>
      <c r="D35" s="47" cm="1">
        <f t="array" ref="D35">_xlfn.IFS(AND($C$7="Y",B35&lt;C$4),C35,AND($C$7="Y",B35=C$4),D34+F35-J35-K35-L35+N35,AND($C$7="Y",B35&gt;$C$4),D34-J35-K35-L35+N35, TRUE, D34-J35-K35-L35+N35)</f>
        <v>8651556.7455042917</v>
      </c>
      <c r="E35" s="48">
        <f t="shared" si="4"/>
        <v>142192.61242507154</v>
      </c>
      <c r="F35" s="50">
        <f t="shared" si="17"/>
        <v>3521110.6982017187</v>
      </c>
      <c r="G35" s="50">
        <f t="shared" si="21"/>
        <v>2000</v>
      </c>
      <c r="H35" s="51">
        <f t="shared" si="5"/>
        <v>0</v>
      </c>
      <c r="I35" s="52">
        <f t="shared" si="6"/>
        <v>0</v>
      </c>
      <c r="J35" s="52">
        <f t="shared" si="27"/>
        <v>0</v>
      </c>
      <c r="K35" s="51">
        <f t="shared" si="28"/>
        <v>0</v>
      </c>
      <c r="L35" s="49">
        <f t="shared" si="23"/>
        <v>0</v>
      </c>
      <c r="M35" s="49">
        <f t="shared" si="26"/>
        <v>0</v>
      </c>
      <c r="N35" s="49">
        <f t="shared" si="29"/>
        <v>0</v>
      </c>
      <c r="O35" s="48">
        <f t="shared" si="30"/>
        <v>2000</v>
      </c>
      <c r="P35" s="38">
        <f t="shared" si="11"/>
        <v>2000</v>
      </c>
      <c r="Q35" s="53"/>
      <c r="R35" s="53">
        <f t="shared" si="12"/>
        <v>0.05</v>
      </c>
      <c r="S35" s="53">
        <f t="shared" si="13"/>
        <v>4.2653187775606449E-3</v>
      </c>
      <c r="T35" s="53">
        <f t="shared" si="14"/>
        <v>0.05</v>
      </c>
      <c r="U35" s="53">
        <f t="shared" si="20"/>
        <v>4.2653187775606449E-3</v>
      </c>
      <c r="V35" s="53"/>
      <c r="W35" s="63">
        <f t="shared" si="15"/>
        <v>615.02745736218196</v>
      </c>
      <c r="X35" s="64">
        <f t="shared" si="16"/>
        <v>8.5306375551212903E-4</v>
      </c>
      <c r="Z35" s="63"/>
    </row>
    <row r="36" spans="1:26" s="59" customFormat="1" x14ac:dyDescent="0.2">
      <c r="A36" s="62">
        <f t="shared" si="1"/>
        <v>1.4234270684903494</v>
      </c>
      <c r="B36" s="54">
        <f t="shared" si="3"/>
        <v>25</v>
      </c>
      <c r="C36" s="55">
        <f t="shared" si="2"/>
        <v>8651556.7455042917</v>
      </c>
      <c r="D36" s="47" cm="1">
        <f t="array" ref="D36">_xlfn.IFS(AND($C$7="Y",B36&lt;C$4),C36,AND($C$7="Y",B36=C$4),D35+F36-J36-K36-L36+N36,AND($C$7="Y",B36&gt;$C$4),D35-J36-K36-L36+N36, TRUE, D35-J36-K36-L36+N36)</f>
        <v>12314860.056131082</v>
      </c>
      <c r="E36" s="48">
        <f t="shared" si="4"/>
        <v>142192.61242507154</v>
      </c>
      <c r="F36" s="50">
        <f>IF(AND($C$7="Y",B36&lt;=C$4),E36+F35,0)</f>
        <v>3663303.3106267904</v>
      </c>
      <c r="G36" s="56">
        <f t="shared" si="21"/>
        <v>2000</v>
      </c>
      <c r="H36" s="51">
        <f t="shared" si="5"/>
        <v>0</v>
      </c>
      <c r="I36" s="52">
        <f t="shared" si="6"/>
        <v>0</v>
      </c>
      <c r="J36" s="57">
        <f t="shared" si="27"/>
        <v>0</v>
      </c>
      <c r="K36" s="55">
        <f t="shared" si="28"/>
        <v>0</v>
      </c>
      <c r="L36" s="55">
        <f>IF(AND(C$7="Y",$B36&lt;=$C$4),0,IF(AND(C$7="N",C$4&gt;0,B36&lt;=C$4),0,U36*D35))</f>
        <v>0</v>
      </c>
      <c r="M36" s="55">
        <f t="shared" si="26"/>
        <v>0</v>
      </c>
      <c r="N36" s="55">
        <f t="shared" si="29"/>
        <v>0</v>
      </c>
      <c r="O36" s="48">
        <f>K36+I36+J36-L36+N36+G36</f>
        <v>2000</v>
      </c>
      <c r="P36" s="58">
        <f t="shared" si="11"/>
        <v>2000</v>
      </c>
      <c r="Q36" s="53"/>
      <c r="R36" s="53">
        <f t="shared" si="12"/>
        <v>0.05</v>
      </c>
      <c r="S36" s="53">
        <f t="shared" si="13"/>
        <v>4.2653187775606449E-3</v>
      </c>
      <c r="T36" s="53">
        <f t="shared" si="14"/>
        <v>0.05</v>
      </c>
      <c r="U36" s="53">
        <f t="shared" si="20"/>
        <v>4.2653187775606449E-3</v>
      </c>
      <c r="V36" s="53"/>
      <c r="W36" s="63">
        <f t="shared" si="15"/>
        <v>615.02745736218196</v>
      </c>
      <c r="X36" s="64">
        <f t="shared" si="16"/>
        <v>8.5306375551212903E-4</v>
      </c>
      <c r="Z36" s="63"/>
    </row>
    <row r="37" spans="1:26" x14ac:dyDescent="0.2">
      <c r="A37" s="62">
        <f t="shared" si="1"/>
        <v>1.4099131965913663</v>
      </c>
      <c r="B37" s="45">
        <f t="shared" si="3"/>
        <v>26</v>
      </c>
      <c r="C37" s="49">
        <f>IF(B37&lt;C$4,C$1,D36)</f>
        <v>12314860.056131082</v>
      </c>
      <c r="D37" s="60" cm="1">
        <f t="array" ref="D37">_xlfn.IFS(AND($C$7="Y",B37&lt;C$4),C37,AND($C$7="Y",B37=C$4),D36+F37-J37-K37-L37+N37,AND($C$7="Y",B37&gt;$C$4),D36-J37-K37-L37+N37, TRUE, D36-J37-K37-L37+N37)</f>
        <v>12197944.026545553</v>
      </c>
      <c r="E37" s="48">
        <f t="shared" si="4"/>
        <v>0</v>
      </c>
      <c r="F37" s="50">
        <f t="shared" si="17"/>
        <v>0</v>
      </c>
      <c r="G37" s="50">
        <f t="shared" si="21"/>
        <v>0</v>
      </c>
      <c r="H37" s="51">
        <f>IF(AND($B37&lt;=$C$4,C$7="Y"),0,IF(AND(C$7="N",C$4&gt;0,B37&lt;=C$4),0,D36*C$2/12/(1-(1/(1+C$2/12))^(C$3+C$4-B37+1))))</f>
        <v>216285.45652387483</v>
      </c>
      <c r="I37" s="52">
        <f t="shared" si="6"/>
        <v>204372.22087151057</v>
      </c>
      <c r="J37" s="52">
        <f>IF(AND($B37&lt;=$C$4,C$7="Y"),0,IF(AND(C$7="N",C$4&gt;0,B37&lt;=C$4),0,H37-I37))</f>
        <v>11913.235652364267</v>
      </c>
      <c r="K37" s="51">
        <f>IF(AND(C$7="Y",$B37&lt;=$C$4),0,IF(AND(C$7="N",C$4&gt;0,B37&lt;=C$4),0,S37*(C37-J37)))</f>
        <v>52475.990092717904</v>
      </c>
      <c r="L37" s="49">
        <f t="shared" ref="L37:L40" si="31">IF(AND(C$7="Y",$B37&lt;=$C$4),0,IF(AND(C$7="N",C$4&gt;0,B37&lt;=C$4),0,U37*D36))</f>
        <v>52526.803840447443</v>
      </c>
      <c r="M37" s="49">
        <f t="shared" si="26"/>
        <v>0</v>
      </c>
      <c r="N37" s="49">
        <f t="shared" si="29"/>
        <v>0</v>
      </c>
      <c r="O37" s="48">
        <f t="shared" ref="O37:O100" si="32">K37+I37+J37-L37+N37+G37</f>
        <v>216234.64277614525</v>
      </c>
      <c r="P37" s="38">
        <f>O37*(1/((1+P$9)^(B37/12)))</f>
        <v>216234.64277614525</v>
      </c>
      <c r="Q37" s="53"/>
      <c r="R37" s="53">
        <f t="shared" si="12"/>
        <v>0.05</v>
      </c>
      <c r="S37" s="53">
        <f t="shared" si="13"/>
        <v>4.2653187775606449E-3</v>
      </c>
      <c r="T37" s="53">
        <f t="shared" si="14"/>
        <v>0.05</v>
      </c>
      <c r="U37" s="53">
        <f t="shared" si="20"/>
        <v>4.2653187775606449E-3</v>
      </c>
      <c r="V37" s="53"/>
      <c r="W37" s="63">
        <f t="shared" si="15"/>
        <v>875.44673067412407</v>
      </c>
      <c r="X37" s="64">
        <f t="shared" si="16"/>
        <v>8.5306375551212914E-4</v>
      </c>
      <c r="Z37" s="63"/>
    </row>
    <row r="38" spans="1:26" x14ac:dyDescent="0.2">
      <c r="A38" s="62">
        <f t="shared" si="1"/>
        <v>1.3965055044891972</v>
      </c>
      <c r="B38" s="45">
        <f t="shared" si="3"/>
        <v>27</v>
      </c>
      <c r="C38" s="49">
        <f t="shared" ref="C38:C101" si="33">IF(B38&lt;C$4,C$1,D37)</f>
        <v>12197944.026545553</v>
      </c>
      <c r="D38" s="47" cm="1">
        <f t="array" ref="D38">_xlfn.IFS(AND($C$7="Y",B38&lt;C$4),C38,AND($C$7="Y",B38=C$4),D37+F38-J38-K38-L38+N38,AND($C$7="Y",B38&gt;$C$4),D37-J38-K38-L38+N38, TRUE, D37-J38-K38-L38+N38)</f>
        <v>12081946.617497388</v>
      </c>
      <c r="E38" s="48">
        <f t="shared" si="4"/>
        <v>0</v>
      </c>
      <c r="F38" s="50">
        <f t="shared" si="17"/>
        <v>0</v>
      </c>
      <c r="G38" s="50">
        <f t="shared" si="21"/>
        <v>0</v>
      </c>
      <c r="H38" s="51">
        <f t="shared" ref="H38:H101" si="34">IF(AND($B38&lt;=$C$4,C$7="Y"),0,IF(AND(C$7="N",C$4&gt;0,B38&lt;=C$4),0,D37*C$2/12/(1-(1/(1+C$2/12))^(C$3+C$4-B38+1))))</f>
        <v>214424.25249145372</v>
      </c>
      <c r="I38" s="52">
        <f t="shared" si="6"/>
        <v>202431.93178069158</v>
      </c>
      <c r="J38" s="52">
        <f t="shared" ref="J38:J101" si="35">IF(AND($B38&lt;=$C$4,C$7="Y"),0,IF(AND(C$7="N",C$4&gt;0,B38&lt;=C$4),0,H38-I38))</f>
        <v>11992.320710762142</v>
      </c>
      <c r="K38" s="51">
        <f>IF(AND(C$7="Y",$B38&lt;=$C$4),0,IF(AND(C$7="N",C$4&gt;0,B38&lt;=C$4),0,S38*(C38-J38)))</f>
        <v>51976.96863334431</v>
      </c>
      <c r="L38" s="49">
        <f t="shared" si="31"/>
        <v>52028.119704058445</v>
      </c>
      <c r="M38" s="49">
        <f t="shared" si="26"/>
        <v>0</v>
      </c>
      <c r="N38" s="49">
        <f t="shared" si="29"/>
        <v>0</v>
      </c>
      <c r="O38" s="48">
        <f t="shared" si="32"/>
        <v>214373.10142073961</v>
      </c>
      <c r="P38" s="38">
        <f t="shared" ref="P38:P101" si="36">O38*(1/((1+P$9)^(B38/12)))</f>
        <v>214373.10142073961</v>
      </c>
      <c r="Q38" s="53"/>
      <c r="R38" s="53">
        <f t="shared" si="12"/>
        <v>0.05</v>
      </c>
      <c r="S38" s="53">
        <f t="shared" si="13"/>
        <v>4.2653187775606449E-3</v>
      </c>
      <c r="T38" s="53">
        <f t="shared" si="14"/>
        <v>0.05</v>
      </c>
      <c r="U38" s="53">
        <f t="shared" si="20"/>
        <v>4.2653187775606449E-3</v>
      </c>
      <c r="V38" s="53"/>
      <c r="W38" s="63">
        <f t="shared" si="15"/>
        <v>867.13532840097412</v>
      </c>
      <c r="X38" s="64">
        <f t="shared" si="16"/>
        <v>8.5306375551212892E-4</v>
      </c>
      <c r="Z38" s="63"/>
    </row>
    <row r="39" spans="1:26" x14ac:dyDescent="0.2">
      <c r="A39" s="62">
        <f t="shared" si="1"/>
        <v>1.3832029993312429</v>
      </c>
      <c r="B39" s="45">
        <f t="shared" si="3"/>
        <v>28</v>
      </c>
      <c r="C39" s="49">
        <f t="shared" si="33"/>
        <v>12081946.617497388</v>
      </c>
      <c r="D39" s="47" cm="1">
        <f t="array" ref="D39">_xlfn.IFS(AND($C$7="Y",B39&lt;C$4),C39,AND($C$7="Y",B39=C$4),D38+F39-J39-K39-L39+N39,AND($C$7="Y",B39&gt;$C$4),D38-J39-K39-L39+N39, TRUE, D38-J39-K39-L39+N39)</f>
        <v>11966859.239265982</v>
      </c>
      <c r="E39" s="48">
        <f t="shared" si="4"/>
        <v>0</v>
      </c>
      <c r="F39" s="50">
        <f t="shared" si="17"/>
        <v>0</v>
      </c>
      <c r="G39" s="50">
        <f t="shared" si="21"/>
        <v>0</v>
      </c>
      <c r="H39" s="51">
        <f t="shared" si="34"/>
        <v>212579.05002641812</v>
      </c>
      <c r="I39" s="52">
        <f t="shared" si="6"/>
        <v>200506.88772867151</v>
      </c>
      <c r="J39" s="52">
        <f t="shared" si="35"/>
        <v>12072.162297746603</v>
      </c>
      <c r="K39" s="51">
        <f t="shared" ref="K39:K102" si="37">IF(AND(C$7="Y",$B39&lt;=$C$4),0,IF(AND(C$7="N",C$4&gt;0,B39&lt;=C$4),0,S39*(C39-J39)))</f>
        <v>51481.862156562594</v>
      </c>
      <c r="L39" s="49">
        <f t="shared" si="31"/>
        <v>51533.353777096927</v>
      </c>
      <c r="M39" s="49">
        <f t="shared" si="26"/>
        <v>0</v>
      </c>
      <c r="N39" s="49">
        <f t="shared" si="29"/>
        <v>0</v>
      </c>
      <c r="O39" s="48">
        <f t="shared" si="32"/>
        <v>212527.55840588376</v>
      </c>
      <c r="P39" s="38">
        <f t="shared" si="36"/>
        <v>212527.55840588376</v>
      </c>
      <c r="Q39" s="53"/>
      <c r="R39" s="53">
        <f t="shared" si="12"/>
        <v>0.05</v>
      </c>
      <c r="S39" s="53">
        <f t="shared" si="13"/>
        <v>4.2653187775606449E-3</v>
      </c>
      <c r="T39" s="53">
        <f t="shared" si="14"/>
        <v>0.05</v>
      </c>
      <c r="U39" s="53">
        <f t="shared" si="20"/>
        <v>4.2653187775606449E-3</v>
      </c>
      <c r="V39" s="53"/>
      <c r="W39" s="63">
        <f t="shared" si="15"/>
        <v>858.88922961828212</v>
      </c>
      <c r="X39" s="64">
        <f t="shared" si="16"/>
        <v>8.5306375551212892E-4</v>
      </c>
      <c r="Z39" s="63"/>
    </row>
    <row r="40" spans="1:26" x14ac:dyDescent="0.2">
      <c r="A40" s="62">
        <f t="shared" si="1"/>
        <v>1.3700046961780115</v>
      </c>
      <c r="B40" s="45">
        <f t="shared" si="3"/>
        <v>29</v>
      </c>
      <c r="C40" s="49">
        <f t="shared" si="33"/>
        <v>11966859.239265982</v>
      </c>
      <c r="D40" s="47" cm="1">
        <f t="array" ref="D40">_xlfn.IFS(AND($C$7="Y",B40&lt;C$4),C40,AND($C$7="Y",B40=C$4),D39+F40-J40-K40-L40+N40,AND($C$7="Y",B40&gt;$C$4),D39-J40-K40-L40+N40, TRUE, D39-J40-K40-L40+N40)</f>
        <v>11852673.370591432</v>
      </c>
      <c r="E40" s="48">
        <f t="shared" si="4"/>
        <v>0</v>
      </c>
      <c r="F40" s="50">
        <f t="shared" si="17"/>
        <v>0</v>
      </c>
      <c r="G40" s="50">
        <f t="shared" si="21"/>
        <v>0</v>
      </c>
      <c r="H40" s="51">
        <f t="shared" si="34"/>
        <v>210749.71141310639</v>
      </c>
      <c r="I40" s="52">
        <f t="shared" si="6"/>
        <v>198596.94616407194</v>
      </c>
      <c r="J40" s="52">
        <f t="shared" si="35"/>
        <v>12152.765249034448</v>
      </c>
      <c r="K40" s="51">
        <f t="shared" si="37"/>
        <v>50990.634003850297</v>
      </c>
      <c r="L40" s="49">
        <f t="shared" si="31"/>
        <v>51042.46942166629</v>
      </c>
      <c r="M40" s="49">
        <f t="shared" si="26"/>
        <v>0</v>
      </c>
      <c r="N40" s="49">
        <f t="shared" si="29"/>
        <v>0</v>
      </c>
      <c r="O40" s="48">
        <f t="shared" si="32"/>
        <v>210697.87599529041</v>
      </c>
      <c r="P40" s="38">
        <f t="shared" si="36"/>
        <v>210697.87599529041</v>
      </c>
      <c r="Q40" s="53"/>
      <c r="R40" s="53">
        <f t="shared" si="12"/>
        <v>0.05</v>
      </c>
      <c r="S40" s="53">
        <f t="shared" si="13"/>
        <v>4.2653187775606449E-3</v>
      </c>
      <c r="T40" s="53">
        <f t="shared" si="14"/>
        <v>0.05</v>
      </c>
      <c r="U40" s="53">
        <f t="shared" si="20"/>
        <v>4.2653187775606449E-3</v>
      </c>
      <c r="V40" s="53"/>
      <c r="W40" s="63">
        <f t="shared" si="15"/>
        <v>850.70782369443816</v>
      </c>
      <c r="X40" s="64">
        <f t="shared" si="16"/>
        <v>8.5306375551212903E-4</v>
      </c>
      <c r="Z40" s="63"/>
    </row>
    <row r="41" spans="1:26" x14ac:dyDescent="0.2">
      <c r="A41" s="62">
        <f t="shared" si="1"/>
        <v>1.3629809881339021</v>
      </c>
      <c r="B41" s="54">
        <f t="shared" si="3"/>
        <v>30</v>
      </c>
      <c r="C41" s="55">
        <f t="shared" si="33"/>
        <v>11852673.370591432</v>
      </c>
      <c r="D41" s="60" cm="1">
        <f t="array" ref="D41">_xlfn.IFS(AND($C$7="Y",B41&lt;C$4),C41,AND($C$7="Y",B41=C$4),D40+F41-J41-K41-L41+N41,AND($C$7="Y",B41&gt;$C$4),D40-J41-K41-L41+N41, TRUE, D40-J41-K41-L41+N41)</f>
        <v>11791907.361883966</v>
      </c>
      <c r="E41" s="48">
        <f t="shared" si="4"/>
        <v>0</v>
      </c>
      <c r="F41" s="50">
        <f t="shared" si="17"/>
        <v>0</v>
      </c>
      <c r="G41" s="50">
        <f t="shared" si="21"/>
        <v>0</v>
      </c>
      <c r="H41" s="51">
        <f t="shared" si="34"/>
        <v>208936.10011920659</v>
      </c>
      <c r="I41" s="52">
        <f t="shared" si="6"/>
        <v>196701.96567165924</v>
      </c>
      <c r="J41" s="52">
        <f t="shared" si="35"/>
        <v>12234.134447547345</v>
      </c>
      <c r="K41" s="51">
        <f t="shared" si="37"/>
        <v>50503.247808490334</v>
      </c>
      <c r="L41" s="49">
        <f>IF(AND(C$7="Y",$B41&lt;=$C$4),0,IF(AND(C$7="N",C$4&gt;0,B41&lt;=C$4),0,U41*D40))</f>
        <v>50555.430291876655</v>
      </c>
      <c r="M41" s="49">
        <f>IFERROR(L37*-1,0)</f>
        <v>-52526.803840447443</v>
      </c>
      <c r="N41" s="49">
        <f t="shared" si="29"/>
        <v>52526.803840447443</v>
      </c>
      <c r="O41" s="48">
        <f t="shared" si="32"/>
        <v>261410.7214762677</v>
      </c>
      <c r="P41" s="38">
        <f t="shared" si="36"/>
        <v>261410.7214762677</v>
      </c>
      <c r="Q41" s="53"/>
      <c r="R41" s="53">
        <f t="shared" si="12"/>
        <v>0.05</v>
      </c>
      <c r="S41" s="53">
        <f t="shared" si="13"/>
        <v>4.2653187775606449E-3</v>
      </c>
      <c r="T41" s="53">
        <f t="shared" si="14"/>
        <v>0.05</v>
      </c>
      <c r="U41" s="53">
        <f t="shared" si="20"/>
        <v>4.2653187775606449E-3</v>
      </c>
      <c r="V41" s="53"/>
      <c r="W41" s="63">
        <f t="shared" si="15"/>
        <v>842.59050486461092</v>
      </c>
      <c r="X41" s="64">
        <f t="shared" si="16"/>
        <v>8.5306375551212903E-4</v>
      </c>
      <c r="Z41" s="63"/>
    </row>
    <row r="42" spans="1:26" x14ac:dyDescent="0.2">
      <c r="A42" s="62">
        <f t="shared" si="1"/>
        <v>1.3559437594741319</v>
      </c>
      <c r="B42" s="54">
        <f t="shared" si="3"/>
        <v>31</v>
      </c>
      <c r="C42" s="55">
        <f t="shared" si="33"/>
        <v>11791907.361883966</v>
      </c>
      <c r="D42" s="60" cm="1">
        <f t="array" ref="D42">_xlfn.IFS(AND($C$7="Y",B42&lt;C$4),C42,AND($C$7="Y",B42=C$4),D41+F42-J42-K42-L42+N42,AND($C$7="Y",B42&gt;$C$4),D41-J42-K42-L42+N42, TRUE, D41-J42-K42-L42+N42)</f>
        <v>11731024.378802875</v>
      </c>
      <c r="E42" s="48">
        <f t="shared" si="4"/>
        <v>0</v>
      </c>
      <c r="F42" s="50">
        <f t="shared" si="17"/>
        <v>0</v>
      </c>
      <c r="G42" s="50">
        <f t="shared" si="21"/>
        <v>0</v>
      </c>
      <c r="H42" s="51">
        <f t="shared" si="34"/>
        <v>208064.90152225984</v>
      </c>
      <c r="I42" s="52">
        <f t="shared" si="6"/>
        <v>195693.51863316775</v>
      </c>
      <c r="J42" s="52">
        <f t="shared" si="35"/>
        <v>12371.382889092085</v>
      </c>
      <c r="K42" s="51">
        <f t="shared" si="37"/>
        <v>50243.476002158051</v>
      </c>
      <c r="L42" s="49">
        <f t="shared" ref="L42:L105" si="38">IF(AND(C$7="Y",$B42&lt;=$C$4),0,IF(AND(C$7="N",C$4&gt;0,B42&lt;=C$4),0,U42*D41))</f>
        <v>50296.243893899285</v>
      </c>
      <c r="M42" s="49">
        <f t="shared" ref="M42:M105" si="39">IFERROR(L38*-1,0)</f>
        <v>-52028.119704058445</v>
      </c>
      <c r="N42" s="49">
        <f t="shared" si="29"/>
        <v>52028.119704058445</v>
      </c>
      <c r="O42" s="48">
        <f t="shared" si="32"/>
        <v>260040.25333457705</v>
      </c>
      <c r="P42" s="38">
        <f t="shared" si="36"/>
        <v>260040.25333457705</v>
      </c>
      <c r="Q42" s="53"/>
      <c r="R42" s="53">
        <f t="shared" si="12"/>
        <v>0.05</v>
      </c>
      <c r="S42" s="53">
        <f t="shared" si="13"/>
        <v>4.2653187775606449E-3</v>
      </c>
      <c r="T42" s="53">
        <f t="shared" si="14"/>
        <v>0.05</v>
      </c>
      <c r="U42" s="53">
        <f t="shared" si="20"/>
        <v>4.2653187775606449E-3</v>
      </c>
      <c r="V42" s="53"/>
      <c r="W42" s="63">
        <f t="shared" si="15"/>
        <v>838.27073156498818</v>
      </c>
      <c r="X42" s="64">
        <f t="shared" si="16"/>
        <v>8.5306375551212903E-4</v>
      </c>
      <c r="Z42" s="63"/>
    </row>
    <row r="43" spans="1:26" x14ac:dyDescent="0.2">
      <c r="A43" s="62">
        <f t="shared" si="1"/>
        <v>1.3488934031741509</v>
      </c>
      <c r="B43" s="45">
        <f t="shared" si="3"/>
        <v>32</v>
      </c>
      <c r="C43" s="49">
        <f t="shared" si="33"/>
        <v>11731024.378802875</v>
      </c>
      <c r="D43" s="47" cm="1">
        <f t="array" ref="D43">_xlfn.IFS(AND($C$7="Y",B43&lt;C$4),C43,AND($C$7="Y",B43=C$4),D42+F43-J43-K43-L43+N43,AND($C$7="Y",B43&gt;$C$4),D42-J43-K43-L43+N43, TRUE, D42-J43-K43-L43+N43)</f>
        <v>11670027.821197566</v>
      </c>
      <c r="E43" s="48">
        <f t="shared" si="4"/>
        <v>0</v>
      </c>
      <c r="F43" s="50">
        <f t="shared" si="17"/>
        <v>0</v>
      </c>
      <c r="G43" s="50">
        <f t="shared" si="21"/>
        <v>0</v>
      </c>
      <c r="H43" s="51">
        <f t="shared" si="34"/>
        <v>207193.28438886651</v>
      </c>
      <c r="I43" s="52">
        <f t="shared" si="6"/>
        <v>194683.1303373324</v>
      </c>
      <c r="J43" s="52">
        <f t="shared" si="35"/>
        <v>12510.154051534104</v>
      </c>
      <c r="K43" s="51">
        <f t="shared" si="37"/>
        <v>49983.198767943417</v>
      </c>
      <c r="L43" s="49">
        <f t="shared" si="38"/>
        <v>50036.558562929604</v>
      </c>
      <c r="M43" s="49">
        <f t="shared" si="39"/>
        <v>-51533.353777096927</v>
      </c>
      <c r="N43" s="49">
        <f t="shared" si="29"/>
        <v>51533.353777096927</v>
      </c>
      <c r="O43" s="48">
        <f t="shared" si="32"/>
        <v>258673.27837097726</v>
      </c>
      <c r="P43" s="38">
        <f t="shared" si="36"/>
        <v>258673.27837097726</v>
      </c>
      <c r="Q43" s="53"/>
      <c r="R43" s="53">
        <f t="shared" si="12"/>
        <v>0.05</v>
      </c>
      <c r="S43" s="53">
        <f t="shared" si="13"/>
        <v>4.2653187775606449E-3</v>
      </c>
      <c r="T43" s="53">
        <f t="shared" si="14"/>
        <v>0.05</v>
      </c>
      <c r="U43" s="53">
        <f t="shared" si="20"/>
        <v>4.2653187775606449E-3</v>
      </c>
      <c r="V43" s="53"/>
      <c r="W43" s="63">
        <f t="shared" si="15"/>
        <v>833.94264271549343</v>
      </c>
      <c r="X43" s="64">
        <f t="shared" si="16"/>
        <v>8.5306375551212903E-4</v>
      </c>
      <c r="Z43" s="63"/>
    </row>
    <row r="44" spans="1:26" x14ac:dyDescent="0.2">
      <c r="A44" s="62">
        <f t="shared" si="1"/>
        <v>1.3418303028164094</v>
      </c>
      <c r="B44" s="45">
        <f t="shared" si="3"/>
        <v>33</v>
      </c>
      <c r="C44" s="49">
        <f t="shared" si="33"/>
        <v>11670027.821197566</v>
      </c>
      <c r="D44" s="47" cm="1">
        <f t="array" ref="D44">_xlfn.IFS(AND($C$7="Y",B44&lt;C$4),C44,AND($C$7="Y",B44=C$4),D43+F44-J44-K44-L44+N44,AND($C$7="Y",B44&gt;$C$4),D43-J44-K44-L44+N44, TRUE, D43-J44-K44-L44+N44)</f>
        <v>11608921.007653372</v>
      </c>
      <c r="E44" s="48">
        <f t="shared" si="4"/>
        <v>0</v>
      </c>
      <c r="F44" s="50">
        <f t="shared" si="17"/>
        <v>0</v>
      </c>
      <c r="G44" s="50">
        <f t="shared" si="21"/>
        <v>0</v>
      </c>
      <c r="H44" s="51">
        <f t="shared" si="34"/>
        <v>206321.32083170564</v>
      </c>
      <c r="I44" s="52">
        <f t="shared" si="6"/>
        <v>193670.85720661926</v>
      </c>
      <c r="J44" s="52">
        <f t="shared" si="35"/>
        <v>12650.463625086384</v>
      </c>
      <c r="K44" s="51">
        <f t="shared" si="37"/>
        <v>49722.430540364185</v>
      </c>
      <c r="L44" s="49">
        <f t="shared" si="38"/>
        <v>49776.38880040912</v>
      </c>
      <c r="M44" s="49">
        <f t="shared" si="39"/>
        <v>-51042.46942166629</v>
      </c>
      <c r="N44" s="49">
        <f t="shared" si="29"/>
        <v>51042.46942166629</v>
      </c>
      <c r="O44" s="48">
        <f t="shared" si="32"/>
        <v>257309.83199332698</v>
      </c>
      <c r="P44" s="38">
        <f t="shared" si="36"/>
        <v>257309.83199332698</v>
      </c>
      <c r="Q44" s="53"/>
      <c r="R44" s="53">
        <f t="shared" si="12"/>
        <v>0.05</v>
      </c>
      <c r="S44" s="53">
        <f t="shared" si="13"/>
        <v>4.2653187775606449E-3</v>
      </c>
      <c r="T44" s="53">
        <f t="shared" si="14"/>
        <v>0.05</v>
      </c>
      <c r="U44" s="53">
        <f t="shared" si="20"/>
        <v>4.2653187775606449E-3</v>
      </c>
      <c r="V44" s="53"/>
      <c r="W44" s="63">
        <f t="shared" si="15"/>
        <v>829.60648000681874</v>
      </c>
      <c r="X44" s="64">
        <f t="shared" si="16"/>
        <v>8.5306375551212903E-4</v>
      </c>
      <c r="Z44" s="63"/>
    </row>
    <row r="45" spans="1:26" x14ac:dyDescent="0.2">
      <c r="A45" s="62">
        <f t="shared" si="1"/>
        <v>1.3347548326875562</v>
      </c>
      <c r="B45" s="45">
        <f t="shared" si="3"/>
        <v>34</v>
      </c>
      <c r="C45" s="49">
        <f t="shared" si="33"/>
        <v>11608921.007653372</v>
      </c>
      <c r="D45" s="47" cm="1">
        <f t="array" ref="D45">_xlfn.IFS(AND($C$7="Y",B45&lt;C$4),C45,AND($C$7="Y",B45=C$4),D44+F45-J45-K45-L45+N45,AND($C$7="Y",B45&gt;$C$4),D44-J45-K45-L45+N45, TRUE, D44-J45-K45-L45+N45)</f>
        <v>11547707.176332479</v>
      </c>
      <c r="E45" s="48">
        <f t="shared" si="4"/>
        <v>0</v>
      </c>
      <c r="F45" s="50">
        <f t="shared" si="17"/>
        <v>0</v>
      </c>
      <c r="G45" s="50">
        <f t="shared" si="21"/>
        <v>0</v>
      </c>
      <c r="H45" s="51">
        <f t="shared" si="34"/>
        <v>205449.08175977343</v>
      </c>
      <c r="I45" s="52">
        <f t="shared" si="6"/>
        <v>192656.7543148702</v>
      </c>
      <c r="J45" s="52">
        <f t="shared" si="35"/>
        <v>12792.327444903232</v>
      </c>
      <c r="K45" s="51">
        <f t="shared" si="37"/>
        <v>49461.185406702723</v>
      </c>
      <c r="L45" s="49">
        <f t="shared" si="38"/>
        <v>49515.748761162169</v>
      </c>
      <c r="M45" s="49">
        <f t="shared" si="39"/>
        <v>-50555.430291876655</v>
      </c>
      <c r="N45" s="49">
        <f t="shared" si="29"/>
        <v>50555.430291876655</v>
      </c>
      <c r="O45" s="48">
        <f t="shared" si="32"/>
        <v>255949.94869719064</v>
      </c>
      <c r="P45" s="38">
        <f t="shared" si="36"/>
        <v>255949.94869719064</v>
      </c>
      <c r="Q45" s="53"/>
      <c r="R45" s="53">
        <f t="shared" si="12"/>
        <v>0.05</v>
      </c>
      <c r="S45" s="53">
        <f t="shared" si="13"/>
        <v>4.2653187775606449E-3</v>
      </c>
      <c r="T45" s="53">
        <f t="shared" si="14"/>
        <v>0.05</v>
      </c>
      <c r="U45" s="53">
        <f t="shared" si="20"/>
        <v>4.2653187775606449E-3</v>
      </c>
      <c r="V45" s="53"/>
      <c r="W45" s="63">
        <f t="shared" si="15"/>
        <v>825.26247935270294</v>
      </c>
      <c r="X45" s="64">
        <f t="shared" si="16"/>
        <v>8.5306375551212903E-4</v>
      </c>
      <c r="Z45" s="63"/>
    </row>
    <row r="46" spans="1:26" x14ac:dyDescent="0.2">
      <c r="A46" s="62">
        <f t="shared" si="1"/>
        <v>1.3276932542036568</v>
      </c>
      <c r="B46" s="45">
        <f t="shared" si="3"/>
        <v>35</v>
      </c>
      <c r="C46" s="49">
        <f t="shared" si="33"/>
        <v>11547707.176332479</v>
      </c>
      <c r="D46" s="47" cm="1">
        <f t="array" ref="D46">_xlfn.IFS(AND($C$7="Y",B46&lt;C$4),C46,AND($C$7="Y",B46=C$4),D45+F46-J46-K46-L46+N46,AND($C$7="Y",B46&gt;$C$4),D45-J46-K46-L46+N46, TRUE, D45-J46-K46-L46+N46)</f>
        <v>11486613.529366191</v>
      </c>
      <c r="E46" s="48">
        <f t="shared" si="4"/>
        <v>0</v>
      </c>
      <c r="F46" s="50">
        <f t="shared" si="17"/>
        <v>0</v>
      </c>
      <c r="G46" s="50">
        <f t="shared" si="21"/>
        <v>0</v>
      </c>
      <c r="H46" s="51">
        <f t="shared" si="34"/>
        <v>204576.63689387636</v>
      </c>
      <c r="I46" s="52">
        <f t="shared" si="6"/>
        <v>191640.87540125826</v>
      </c>
      <c r="J46" s="52">
        <f t="shared" si="35"/>
        <v>12935.761492618098</v>
      </c>
      <c r="K46" s="51">
        <f t="shared" si="37"/>
        <v>49199.477110586231</v>
      </c>
      <c r="L46" s="49">
        <f t="shared" si="38"/>
        <v>49254.652256982736</v>
      </c>
      <c r="M46" s="49">
        <f t="shared" si="39"/>
        <v>-50296.243893899285</v>
      </c>
      <c r="N46" s="49">
        <f t="shared" si="29"/>
        <v>50296.243893899285</v>
      </c>
      <c r="O46" s="48">
        <f t="shared" si="32"/>
        <v>254817.70564137914</v>
      </c>
      <c r="P46" s="38">
        <f t="shared" si="36"/>
        <v>254817.70564137914</v>
      </c>
      <c r="Q46" s="53"/>
      <c r="R46" s="53">
        <f t="shared" si="12"/>
        <v>0.05</v>
      </c>
      <c r="S46" s="53">
        <f t="shared" si="13"/>
        <v>4.2653187775606449E-3</v>
      </c>
      <c r="T46" s="53">
        <f t="shared" si="14"/>
        <v>0.05</v>
      </c>
      <c r="U46" s="53">
        <f t="shared" si="20"/>
        <v>4.2653187775606449E-3</v>
      </c>
      <c r="V46" s="53"/>
      <c r="W46" s="63">
        <f t="shared" si="15"/>
        <v>820.91087094971226</v>
      </c>
      <c r="X46" s="64">
        <f t="shared" si="16"/>
        <v>8.5306375551212892E-4</v>
      </c>
      <c r="Z46" s="63"/>
    </row>
    <row r="47" spans="1:26" x14ac:dyDescent="0.2">
      <c r="A47" s="62">
        <f t="shared" si="1"/>
        <v>1.3206451792464056</v>
      </c>
      <c r="B47" s="45">
        <f t="shared" si="3"/>
        <v>36</v>
      </c>
      <c r="C47" s="49">
        <f t="shared" si="33"/>
        <v>11486613.529366191</v>
      </c>
      <c r="D47" s="47" cm="1">
        <f t="array" ref="D47">_xlfn.IFS(AND($C$7="Y",B47&lt;C$4),C47,AND($C$7="Y",B47=C$4),D46+F47-J47-K47-L47+N47,AND($C$7="Y",B47&gt;$C$4),D46-J47-K47-L47+N47, TRUE, D46-J47-K47-L47+N47)</f>
        <v>11425636.708926965</v>
      </c>
      <c r="E47" s="48">
        <f t="shared" si="4"/>
        <v>0</v>
      </c>
      <c r="F47" s="50">
        <f t="shared" si="17"/>
        <v>0</v>
      </c>
      <c r="G47" s="50">
        <f t="shared" si="21"/>
        <v>0</v>
      </c>
      <c r="H47" s="51">
        <f t="shared" si="34"/>
        <v>203708.02805677659</v>
      </c>
      <c r="I47" s="52">
        <f t="shared" si="6"/>
        <v>190626.99101648005</v>
      </c>
      <c r="J47" s="52">
        <f t="shared" si="35"/>
        <v>13081.037040296535</v>
      </c>
      <c r="K47" s="51">
        <f t="shared" si="37"/>
        <v>48938.273584469825</v>
      </c>
      <c r="L47" s="49">
        <f t="shared" si="38"/>
        <v>48994.068377387768</v>
      </c>
      <c r="M47" s="49">
        <f t="shared" si="39"/>
        <v>-50036.558562929604</v>
      </c>
      <c r="N47" s="49">
        <f t="shared" si="29"/>
        <v>50036.558562929604</v>
      </c>
      <c r="O47" s="48">
        <f t="shared" si="32"/>
        <v>253688.79182678825</v>
      </c>
      <c r="P47" s="38">
        <f t="shared" si="36"/>
        <v>253688.79182678825</v>
      </c>
      <c r="Q47" s="53"/>
      <c r="R47" s="53">
        <f t="shared" si="12"/>
        <v>0.05</v>
      </c>
      <c r="S47" s="53">
        <f t="shared" si="13"/>
        <v>4.2653187775606449E-3</v>
      </c>
      <c r="T47" s="53">
        <f t="shared" si="14"/>
        <v>0.05</v>
      </c>
      <c r="U47" s="53">
        <f t="shared" si="20"/>
        <v>4.2653187775606449E-3</v>
      </c>
      <c r="V47" s="53"/>
      <c r="W47" s="63">
        <f t="shared" si="15"/>
        <v>816.56780628979607</v>
      </c>
      <c r="X47" s="64">
        <f t="shared" si="16"/>
        <v>8.5306375551212892E-4</v>
      </c>
      <c r="Z47" s="63"/>
    </row>
    <row r="48" spans="1:26" x14ac:dyDescent="0.2">
      <c r="A48" s="62">
        <f t="shared" si="1"/>
        <v>1.3136102222023869</v>
      </c>
      <c r="B48" s="45">
        <f t="shared" si="3"/>
        <v>37</v>
      </c>
      <c r="C48" s="49">
        <f t="shared" si="33"/>
        <v>11425636.708926965</v>
      </c>
      <c r="D48" s="47" cm="1">
        <f t="array" ref="D48">_xlfn.IFS(AND($C$7="Y",B48&lt;C$4),C48,AND($C$7="Y",B48=C$4),D47+F48-J48-K48-L48+N48,AND($C$7="Y",B48&gt;$C$4),D47-J48-K48-L48+N48, TRUE, D47-J48-K48-L48+N48)</f>
        <v>11364773.378858453</v>
      </c>
      <c r="E48" s="48">
        <f t="shared" si="4"/>
        <v>0</v>
      </c>
      <c r="F48" s="50">
        <f t="shared" si="17"/>
        <v>0</v>
      </c>
      <c r="G48" s="50">
        <f t="shared" si="21"/>
        <v>0</v>
      </c>
      <c r="H48" s="51">
        <f t="shared" si="34"/>
        <v>202843.22109003525</v>
      </c>
      <c r="I48" s="52">
        <f t="shared" si="6"/>
        <v>189615.04543544655</v>
      </c>
      <c r="J48" s="52">
        <f t="shared" si="35"/>
        <v>13228.175654588704</v>
      </c>
      <c r="K48" s="51">
        <f t="shared" si="37"/>
        <v>48677.560414160005</v>
      </c>
      <c r="L48" s="49">
        <f t="shared" si="38"/>
        <v>48733.982800172387</v>
      </c>
      <c r="M48" s="49">
        <f t="shared" si="39"/>
        <v>-49776.38880040912</v>
      </c>
      <c r="N48" s="49">
        <f t="shared" si="29"/>
        <v>49776.38880040912</v>
      </c>
      <c r="O48" s="48">
        <f t="shared" si="32"/>
        <v>252563.18750443202</v>
      </c>
      <c r="P48" s="38">
        <f t="shared" si="36"/>
        <v>252563.18750443202</v>
      </c>
      <c r="Q48" s="53"/>
      <c r="R48" s="53">
        <f t="shared" si="12"/>
        <v>0.05</v>
      </c>
      <c r="S48" s="53">
        <f t="shared" si="13"/>
        <v>4.2653187775606449E-3</v>
      </c>
      <c r="T48" s="53">
        <f t="shared" si="14"/>
        <v>0.05</v>
      </c>
      <c r="U48" s="53">
        <f t="shared" si="20"/>
        <v>4.2653187775606449E-3</v>
      </c>
      <c r="V48" s="53"/>
      <c r="W48" s="63">
        <f t="shared" si="15"/>
        <v>812.23304666953982</v>
      </c>
      <c r="X48" s="64">
        <f t="shared" si="16"/>
        <v>8.5306375551212892E-4</v>
      </c>
      <c r="Z48" s="63"/>
    </row>
    <row r="49" spans="1:26" x14ac:dyDescent="0.2">
      <c r="A49" s="62">
        <f t="shared" si="1"/>
        <v>1.3065879998726684</v>
      </c>
      <c r="B49" s="45">
        <f t="shared" si="3"/>
        <v>38</v>
      </c>
      <c r="C49" s="49">
        <f t="shared" si="33"/>
        <v>11364773.378858453</v>
      </c>
      <c r="D49" s="47" cm="1">
        <f t="array" ref="D49">_xlfn.IFS(AND($C$7="Y",B49&lt;C$4),C49,AND($C$7="Y",B49=C$4),D48+F49-J49-K49-L49+N49,AND($C$7="Y",B49&gt;$C$4),D48-J49-K49-L49+N49, TRUE, D48-J49-K49-L49+N49)</f>
        <v>11304020.223893344</v>
      </c>
      <c r="E49" s="48">
        <f t="shared" si="4"/>
        <v>0</v>
      </c>
      <c r="F49" s="50">
        <f t="shared" si="17"/>
        <v>0</v>
      </c>
      <c r="G49" s="50">
        <f t="shared" si="21"/>
        <v>0</v>
      </c>
      <c r="H49" s="51">
        <f t="shared" si="34"/>
        <v>201982.18244659601</v>
      </c>
      <c r="I49" s="52">
        <f t="shared" si="6"/>
        <v>188604.98329271478</v>
      </c>
      <c r="J49" s="52">
        <f t="shared" si="35"/>
        <v>13377.199153881229</v>
      </c>
      <c r="K49" s="51">
        <f t="shared" si="37"/>
        <v>48417.323276824078</v>
      </c>
      <c r="L49" s="49">
        <f t="shared" si="38"/>
        <v>48474.381295566294</v>
      </c>
      <c r="M49" s="49">
        <f t="shared" si="39"/>
        <v>-49515.748761162169</v>
      </c>
      <c r="N49" s="49">
        <f t="shared" si="29"/>
        <v>49515.748761162169</v>
      </c>
      <c r="O49" s="48">
        <f t="shared" si="32"/>
        <v>251440.87318901595</v>
      </c>
      <c r="P49" s="38">
        <f t="shared" si="36"/>
        <v>251440.87318901595</v>
      </c>
      <c r="Q49" s="53"/>
      <c r="R49" s="53">
        <f t="shared" si="12"/>
        <v>0.05</v>
      </c>
      <c r="S49" s="53">
        <f t="shared" si="13"/>
        <v>4.2653187775606449E-3</v>
      </c>
      <c r="T49" s="53">
        <f t="shared" si="14"/>
        <v>0.05</v>
      </c>
      <c r="U49" s="53">
        <f t="shared" si="20"/>
        <v>4.2653187775606449E-3</v>
      </c>
      <c r="V49" s="53"/>
      <c r="W49" s="63">
        <f t="shared" si="15"/>
        <v>807.906354926105</v>
      </c>
      <c r="X49" s="64">
        <f t="shared" si="16"/>
        <v>8.5306375551212903E-4</v>
      </c>
      <c r="Z49" s="63"/>
    </row>
    <row r="50" spans="1:26" x14ac:dyDescent="0.2">
      <c r="A50" s="62">
        <f t="shared" si="1"/>
        <v>1.2995781313832566</v>
      </c>
      <c r="B50" s="45">
        <f t="shared" si="3"/>
        <v>39</v>
      </c>
      <c r="C50" s="49">
        <f t="shared" si="33"/>
        <v>11304020.223893344</v>
      </c>
      <c r="D50" s="47" cm="1">
        <f t="array" ref="D50">_xlfn.IFS(AND($C$7="Y",B50&lt;C$4),C50,AND($C$7="Y",B50=C$4),D49+F50-J50-K50-L50+N50,AND($C$7="Y",B50&gt;$C$4),D49-J50-K50-L50+N50, TRUE, D49-J50-K50-L50+N50)</f>
        <v>11243373.948878676</v>
      </c>
      <c r="E50" s="48">
        <f t="shared" si="4"/>
        <v>0</v>
      </c>
      <c r="F50" s="50">
        <f t="shared" si="17"/>
        <v>0</v>
      </c>
      <c r="G50" s="50">
        <f t="shared" si="21"/>
        <v>0</v>
      </c>
      <c r="H50" s="51">
        <f t="shared" si="34"/>
        <v>201124.87918061815</v>
      </c>
      <c r="I50" s="52">
        <f t="shared" si="6"/>
        <v>187596.74956950743</v>
      </c>
      <c r="J50" s="52">
        <f t="shared" si="35"/>
        <v>13528.129611110722</v>
      </c>
      <c r="K50" s="51">
        <f t="shared" si="37"/>
        <v>48157.547937642026</v>
      </c>
      <c r="L50" s="49">
        <f t="shared" si="38"/>
        <v>48215.24972289757</v>
      </c>
      <c r="M50" s="49">
        <f t="shared" si="39"/>
        <v>-49254.652256982736</v>
      </c>
      <c r="N50" s="49">
        <f t="shared" si="29"/>
        <v>49254.652256982736</v>
      </c>
      <c r="O50" s="48">
        <f t="shared" si="32"/>
        <v>250321.82965234533</v>
      </c>
      <c r="P50" s="38">
        <f t="shared" si="36"/>
        <v>250321.82965234533</v>
      </c>
      <c r="Q50" s="53"/>
      <c r="R50" s="53">
        <f t="shared" si="12"/>
        <v>0.05</v>
      </c>
      <c r="S50" s="53">
        <f t="shared" si="13"/>
        <v>4.2653187775606449E-3</v>
      </c>
      <c r="T50" s="53">
        <f t="shared" si="14"/>
        <v>0.05</v>
      </c>
      <c r="U50" s="53">
        <f t="shared" si="20"/>
        <v>4.2653187775606449E-3</v>
      </c>
      <c r="V50" s="53"/>
      <c r="W50" s="63">
        <f t="shared" si="15"/>
        <v>803.58749538162613</v>
      </c>
      <c r="X50" s="64">
        <f t="shared" si="16"/>
        <v>8.5306375551212903E-4</v>
      </c>
      <c r="Z50" s="63"/>
    </row>
    <row r="51" spans="1:26" x14ac:dyDescent="0.2">
      <c r="A51" s="62">
        <f t="shared" si="1"/>
        <v>1.2925803485525003</v>
      </c>
      <c r="B51" s="45">
        <f t="shared" si="3"/>
        <v>40</v>
      </c>
      <c r="C51" s="49">
        <f t="shared" si="33"/>
        <v>11243373.948878676</v>
      </c>
      <c r="D51" s="47" cm="1">
        <f t="array" ref="D51">_xlfn.IFS(AND($C$7="Y",B51&lt;C$4),C51,AND($C$7="Y",B51=C$4),D50+F51-J51-K51-L51+N51,AND($C$7="Y",B51&gt;$C$4),D50-J51-K51-L51+N51, TRUE, D50-J51-K51-L51+N51)</f>
        <v>11182832.233625673</v>
      </c>
      <c r="E51" s="48">
        <f t="shared" si="4"/>
        <v>0</v>
      </c>
      <c r="F51" s="50">
        <f t="shared" si="17"/>
        <v>0</v>
      </c>
      <c r="G51" s="50">
        <f t="shared" si="21"/>
        <v>0</v>
      </c>
      <c r="H51" s="51">
        <f t="shared" si="34"/>
        <v>200271.27893746985</v>
      </c>
      <c r="I51" s="52">
        <f t="shared" si="6"/>
        <v>186590.28958085645</v>
      </c>
      <c r="J51" s="52">
        <f t="shared" si="35"/>
        <v>13680.989356613398</v>
      </c>
      <c r="K51" s="51">
        <f t="shared" si="37"/>
        <v>47898.220246490026</v>
      </c>
      <c r="L51" s="49">
        <f t="shared" si="38"/>
        <v>47956.574027288392</v>
      </c>
      <c r="M51" s="49">
        <f t="shared" si="39"/>
        <v>-48994.068377387768</v>
      </c>
      <c r="N51" s="49">
        <f t="shared" si="29"/>
        <v>48994.068377387768</v>
      </c>
      <c r="O51" s="48">
        <f t="shared" si="32"/>
        <v>249206.99353405926</v>
      </c>
      <c r="P51" s="38">
        <f t="shared" si="36"/>
        <v>249206.99353405926</v>
      </c>
      <c r="Q51" s="53"/>
      <c r="R51" s="53">
        <f t="shared" si="12"/>
        <v>0.05</v>
      </c>
      <c r="S51" s="53">
        <f t="shared" si="13"/>
        <v>4.2653187775606449E-3</v>
      </c>
      <c r="T51" s="53">
        <f t="shared" si="14"/>
        <v>0.05</v>
      </c>
      <c r="U51" s="53">
        <f t="shared" si="20"/>
        <v>4.2653187775606449E-3</v>
      </c>
      <c r="V51" s="53"/>
      <c r="W51" s="63">
        <f t="shared" si="15"/>
        <v>799.27623378813996</v>
      </c>
      <c r="X51" s="64">
        <f t="shared" si="16"/>
        <v>8.5306375551212903E-4</v>
      </c>
      <c r="Z51" s="63"/>
    </row>
    <row r="52" spans="1:26" x14ac:dyDescent="0.2">
      <c r="A52" s="62">
        <f t="shared" si="1"/>
        <v>1.2855943810949571</v>
      </c>
      <c r="B52" s="45">
        <f t="shared" si="3"/>
        <v>41</v>
      </c>
      <c r="C52" s="49">
        <f t="shared" si="33"/>
        <v>11182832.233625673</v>
      </c>
      <c r="D52" s="47" cm="1">
        <f t="array" ref="D52">_xlfn.IFS(AND($C$7="Y",B52&lt;C$4),C52,AND($C$7="Y",B52=C$4),D51+F52-J52-K52-L52+N52,AND($C$7="Y",B52&gt;$C$4),D51-J52-K52-L52+N52, TRUE, D51-J52-K52-L52+N52)</f>
        <v>11122392.73974449</v>
      </c>
      <c r="E52" s="48">
        <f t="shared" si="4"/>
        <v>0</v>
      </c>
      <c r="F52" s="50">
        <f t="shared" si="17"/>
        <v>0</v>
      </c>
      <c r="G52" s="50">
        <f t="shared" si="21"/>
        <v>0</v>
      </c>
      <c r="H52" s="51">
        <f t="shared" si="34"/>
        <v>199421.36698522398</v>
      </c>
      <c r="I52" s="52">
        <f t="shared" si="6"/>
        <v>185585.56482188799</v>
      </c>
      <c r="J52" s="52">
        <f t="shared" si="35"/>
        <v>13835.802163335989</v>
      </c>
      <c r="K52" s="51">
        <f t="shared" si="37"/>
        <v>47639.330205624137</v>
      </c>
      <c r="L52" s="49">
        <f t="shared" si="38"/>
        <v>47698.344312394031</v>
      </c>
      <c r="M52" s="49">
        <f t="shared" si="39"/>
        <v>-48733.982800172387</v>
      </c>
      <c r="N52" s="49">
        <f t="shared" si="29"/>
        <v>48733.982800172387</v>
      </c>
      <c r="O52" s="48">
        <f t="shared" si="32"/>
        <v>248096.33567862646</v>
      </c>
      <c r="P52" s="38">
        <f t="shared" si="36"/>
        <v>248096.33567862646</v>
      </c>
      <c r="Q52" s="53"/>
      <c r="R52" s="53">
        <f t="shared" si="12"/>
        <v>0.05</v>
      </c>
      <c r="S52" s="53">
        <f t="shared" si="13"/>
        <v>4.2653187775606449E-3</v>
      </c>
      <c r="T52" s="53">
        <f t="shared" si="14"/>
        <v>0.05</v>
      </c>
      <c r="U52" s="53">
        <f t="shared" si="20"/>
        <v>4.2653187775606449E-3</v>
      </c>
      <c r="V52" s="53"/>
      <c r="W52" s="63">
        <f t="shared" si="15"/>
        <v>794.97240520656715</v>
      </c>
      <c r="X52" s="64">
        <f t="shared" si="16"/>
        <v>8.5306375551212892E-4</v>
      </c>
      <c r="Z52" s="63"/>
    </row>
    <row r="53" spans="1:26" x14ac:dyDescent="0.2">
      <c r="A53" s="62">
        <f t="shared" si="1"/>
        <v>1.278619956615898</v>
      </c>
      <c r="B53" s="45">
        <f t="shared" si="3"/>
        <v>42</v>
      </c>
      <c r="C53" s="49">
        <f t="shared" si="33"/>
        <v>11122392.73974449</v>
      </c>
      <c r="D53" s="47" cm="1">
        <f t="array" ref="D53">_xlfn.IFS(AND($C$7="Y",B53&lt;C$4),C53,AND($C$7="Y",B53=C$4),D52+F53-J53-K53-L53+N53,AND($C$7="Y",B53&gt;$C$4),D52-J53-K53-L53+N53, TRUE, D52-J53-K53-L53+N53)</f>
        <v>11062053.110596677</v>
      </c>
      <c r="E53" s="48">
        <f t="shared" si="4"/>
        <v>0</v>
      </c>
      <c r="F53" s="50">
        <f t="shared" si="17"/>
        <v>0</v>
      </c>
      <c r="G53" s="50">
        <f t="shared" si="21"/>
        <v>0</v>
      </c>
      <c r="H53" s="51">
        <f t="shared" si="34"/>
        <v>198575.12858641022</v>
      </c>
      <c r="I53" s="52">
        <f t="shared" si="6"/>
        <v>184582.53648567092</v>
      </c>
      <c r="J53" s="52">
        <f t="shared" si="35"/>
        <v>13992.592100739304</v>
      </c>
      <c r="K53" s="51">
        <f t="shared" si="37"/>
        <v>47380.867738402332</v>
      </c>
      <c r="L53" s="49">
        <f t="shared" si="38"/>
        <v>47440.550604236363</v>
      </c>
      <c r="M53" s="49">
        <f t="shared" si="39"/>
        <v>-48474.381295566294</v>
      </c>
      <c r="N53" s="49">
        <f t="shared" si="29"/>
        <v>48474.381295566294</v>
      </c>
      <c r="O53" s="48">
        <f t="shared" si="32"/>
        <v>246989.82701614249</v>
      </c>
      <c r="P53" s="38">
        <f t="shared" si="36"/>
        <v>246989.82701614249</v>
      </c>
      <c r="Q53" s="53"/>
      <c r="R53" s="53">
        <f t="shared" si="12"/>
        <v>0.05</v>
      </c>
      <c r="S53" s="53">
        <f t="shared" si="13"/>
        <v>4.2653187775606449E-3</v>
      </c>
      <c r="T53" s="53">
        <f t="shared" si="14"/>
        <v>0.05</v>
      </c>
      <c r="U53" s="53">
        <f t="shared" si="20"/>
        <v>4.2653187775606449E-3</v>
      </c>
      <c r="V53" s="53"/>
      <c r="W53" s="63">
        <f t="shared" si="15"/>
        <v>790.67584340393944</v>
      </c>
      <c r="X53" s="64">
        <f t="shared" si="16"/>
        <v>8.5306375551212914E-4</v>
      </c>
      <c r="Z53" s="63"/>
    </row>
    <row r="54" spans="1:26" x14ac:dyDescent="0.2">
      <c r="A54" s="62">
        <f t="shared" si="1"/>
        <v>1.2716568006050417</v>
      </c>
      <c r="B54" s="45">
        <f t="shared" si="3"/>
        <v>43</v>
      </c>
      <c r="C54" s="49">
        <f t="shared" si="33"/>
        <v>11062053.110596677</v>
      </c>
      <c r="D54" s="47" cm="1">
        <f t="array" ref="D54">_xlfn.IFS(AND($C$7="Y",B54&lt;C$4),C54,AND($C$7="Y",B54=C$4),D53+F54-J54-K54-L54+N54,AND($C$7="Y",B54&gt;$C$4),D53-J54-K54-L54+N54, TRUE, D53-J54-K54-L54+N54)</f>
        <v>11001810.971240954</v>
      </c>
      <c r="E54" s="48">
        <f t="shared" si="4"/>
        <v>0</v>
      </c>
      <c r="F54" s="50">
        <f t="shared" si="17"/>
        <v>0</v>
      </c>
      <c r="G54" s="50">
        <f t="shared" si="21"/>
        <v>0</v>
      </c>
      <c r="H54" s="51">
        <f t="shared" si="34"/>
        <v>197732.54900098208</v>
      </c>
      <c r="I54" s="52">
        <f t="shared" si="6"/>
        <v>183581.16546242792</v>
      </c>
      <c r="J54" s="52">
        <f t="shared" si="35"/>
        <v>14151.383538554161</v>
      </c>
      <c r="K54" s="51">
        <f t="shared" si="37"/>
        <v>47122.822689065695</v>
      </c>
      <c r="L54" s="49">
        <f t="shared" si="38"/>
        <v>47183.182851001147</v>
      </c>
      <c r="M54" s="49">
        <f t="shared" si="39"/>
        <v>-48215.24972289757</v>
      </c>
      <c r="N54" s="49">
        <f t="shared" si="29"/>
        <v>48215.24972289757</v>
      </c>
      <c r="O54" s="48">
        <f t="shared" si="32"/>
        <v>245887.43856194417</v>
      </c>
      <c r="P54" s="38">
        <f t="shared" si="36"/>
        <v>245887.43856194417</v>
      </c>
      <c r="Q54" s="53"/>
      <c r="R54" s="53">
        <f t="shared" si="12"/>
        <v>0.05</v>
      </c>
      <c r="S54" s="53">
        <f t="shared" si="13"/>
        <v>4.2653187775606449E-3</v>
      </c>
      <c r="T54" s="53">
        <f t="shared" si="14"/>
        <v>0.05</v>
      </c>
      <c r="U54" s="53">
        <f t="shared" si="20"/>
        <v>4.2653187775606449E-3</v>
      </c>
      <c r="V54" s="53"/>
      <c r="W54" s="63">
        <f t="shared" si="15"/>
        <v>786.38638085001912</v>
      </c>
      <c r="X54" s="64">
        <f t="shared" si="16"/>
        <v>8.5306375551212892E-4</v>
      </c>
      <c r="Z54" s="63"/>
    </row>
    <row r="55" spans="1:26" x14ac:dyDescent="0.2">
      <c r="A55" s="62">
        <f t="shared" si="1"/>
        <v>1.2647046364295189</v>
      </c>
      <c r="B55" s="45">
        <f t="shared" si="3"/>
        <v>44</v>
      </c>
      <c r="C55" s="49">
        <f t="shared" si="33"/>
        <v>11001810.971240954</v>
      </c>
      <c r="D55" s="47" cm="1">
        <f t="array" ref="D55">_xlfn.IFS(AND($C$7="Y",B55&lt;C$4),C55,AND($C$7="Y",B55=C$4),D54+F55-J55-K55-L55+N55,AND($C$7="Y",B55&gt;$C$4),D54-J55-K55-L55+N55, TRUE, D54-J55-K55-L55+N55)</f>
        <v>10941663.928372357</v>
      </c>
      <c r="E55" s="48">
        <f t="shared" si="4"/>
        <v>0</v>
      </c>
      <c r="F55" s="50">
        <f t="shared" si="17"/>
        <v>0</v>
      </c>
      <c r="G55" s="50">
        <f t="shared" si="21"/>
        <v>0</v>
      </c>
      <c r="H55" s="51">
        <f t="shared" si="34"/>
        <v>196893.61348922466</v>
      </c>
      <c r="I55" s="52">
        <f t="shared" si="6"/>
        <v>182581.4123386358</v>
      </c>
      <c r="J55" s="52">
        <f t="shared" si="35"/>
        <v>14312.201150588866</v>
      </c>
      <c r="K55" s="51">
        <f t="shared" si="37"/>
        <v>46865.184822490926</v>
      </c>
      <c r="L55" s="49">
        <f t="shared" si="38"/>
        <v>46926.230922806761</v>
      </c>
      <c r="M55" s="49">
        <f t="shared" si="39"/>
        <v>-47956.574027288392</v>
      </c>
      <c r="N55" s="49">
        <f t="shared" si="29"/>
        <v>47956.574027288392</v>
      </c>
      <c r="O55" s="48">
        <f t="shared" si="32"/>
        <v>244789.14141619721</v>
      </c>
      <c r="P55" s="38">
        <f t="shared" si="36"/>
        <v>244789.14141619721</v>
      </c>
      <c r="Q55" s="53"/>
      <c r="R55" s="53">
        <f t="shared" si="12"/>
        <v>0.05</v>
      </c>
      <c r="S55" s="53">
        <f t="shared" si="13"/>
        <v>4.2653187775606449E-3</v>
      </c>
      <c r="T55" s="53">
        <f t="shared" si="14"/>
        <v>0.05</v>
      </c>
      <c r="U55" s="53">
        <f t="shared" si="20"/>
        <v>4.2653187775606449E-3</v>
      </c>
      <c r="V55" s="53"/>
      <c r="W55" s="63">
        <f t="shared" si="15"/>
        <v>782.10384871344604</v>
      </c>
      <c r="X55" s="64">
        <f t="shared" si="16"/>
        <v>8.5306375551212903E-4</v>
      </c>
      <c r="Z55" s="63"/>
    </row>
    <row r="56" spans="1:26" x14ac:dyDescent="0.2">
      <c r="A56" s="62">
        <f t="shared" si="1"/>
        <v>1.2577631857972078</v>
      </c>
      <c r="B56" s="45">
        <f t="shared" si="3"/>
        <v>45</v>
      </c>
      <c r="C56" s="49">
        <f t="shared" si="33"/>
        <v>10941663.928372357</v>
      </c>
      <c r="D56" s="47" cm="1">
        <f t="array" ref="D56">_xlfn.IFS(AND($C$7="Y",B56&lt;C$4),C56,AND($C$7="Y",B56=C$4),D55+F56-J56-K56-L56+N56,AND($C$7="Y",B56&gt;$C$4),D55-J56-K56-L56+N56, TRUE, D55-J56-K56-L56+N56)</f>
        <v>10881609.574330801</v>
      </c>
      <c r="E56" s="48">
        <f t="shared" si="4"/>
        <v>0</v>
      </c>
      <c r="F56" s="50">
        <f t="shared" si="17"/>
        <v>0</v>
      </c>
      <c r="G56" s="50">
        <f t="shared" si="21"/>
        <v>0</v>
      </c>
      <c r="H56" s="51">
        <f t="shared" si="34"/>
        <v>196058.30731460446</v>
      </c>
      <c r="I56" s="52">
        <f t="shared" si="6"/>
        <v>181583.2373960152</v>
      </c>
      <c r="J56" s="52">
        <f t="shared" si="35"/>
        <v>14475.069918589259</v>
      </c>
      <c r="K56" s="51">
        <f t="shared" si="37"/>
        <v>46607.94382391432</v>
      </c>
      <c r="L56" s="49">
        <f t="shared" si="38"/>
        <v>46669.684611444587</v>
      </c>
      <c r="M56" s="49">
        <f t="shared" si="39"/>
        <v>-47698.344312394031</v>
      </c>
      <c r="N56" s="49">
        <f t="shared" si="29"/>
        <v>47698.344312394031</v>
      </c>
      <c r="O56" s="48">
        <f t="shared" si="32"/>
        <v>243694.91083946824</v>
      </c>
      <c r="P56" s="38">
        <f t="shared" si="36"/>
        <v>243694.91083946824</v>
      </c>
      <c r="Q56" s="53"/>
      <c r="R56" s="53">
        <f t="shared" si="12"/>
        <v>0.05</v>
      </c>
      <c r="S56" s="53">
        <f t="shared" si="13"/>
        <v>4.2653187775606449E-3</v>
      </c>
      <c r="T56" s="53">
        <f t="shared" si="14"/>
        <v>0.05</v>
      </c>
      <c r="U56" s="53">
        <f t="shared" si="20"/>
        <v>4.2653187775606449E-3</v>
      </c>
      <c r="V56" s="53"/>
      <c r="W56" s="63">
        <f t="shared" si="15"/>
        <v>777.82807685740988</v>
      </c>
      <c r="X56" s="64">
        <f t="shared" si="16"/>
        <v>8.5306375551212903E-4</v>
      </c>
      <c r="Z56" s="63"/>
    </row>
    <row r="57" spans="1:26" x14ac:dyDescent="0.2">
      <c r="A57" s="62">
        <f t="shared" si="1"/>
        <v>1.2508321687253929</v>
      </c>
      <c r="B57" s="45">
        <f t="shared" si="3"/>
        <v>46</v>
      </c>
      <c r="C57" s="49">
        <f t="shared" si="33"/>
        <v>10881609.574330801</v>
      </c>
      <c r="D57" s="47" cm="1">
        <f t="array" ref="D57">_xlfn.IFS(AND($C$7="Y",B57&lt;C$4),C57,AND($C$7="Y",B57=C$4),D56+F57-J57-K57-L57+N57,AND($C$7="Y",B57&gt;$C$4),D56-J57-K57-L57+N57, TRUE, D56-J57-K57-L57+N57)</f>
        <v>10821645.486829937</v>
      </c>
      <c r="E57" s="48">
        <f t="shared" si="4"/>
        <v>0</v>
      </c>
      <c r="F57" s="50">
        <f t="shared" si="17"/>
        <v>0</v>
      </c>
      <c r="G57" s="50">
        <f t="shared" si="21"/>
        <v>0</v>
      </c>
      <c r="H57" s="51">
        <f t="shared" si="34"/>
        <v>195226.61581969049</v>
      </c>
      <c r="I57" s="52">
        <f t="shared" si="6"/>
        <v>180586.6006780554</v>
      </c>
      <c r="J57" s="52">
        <f t="shared" si="35"/>
        <v>14640.015141635085</v>
      </c>
      <c r="K57" s="51">
        <f t="shared" si="37"/>
        <v>46351.089315989477</v>
      </c>
      <c r="L57" s="49">
        <f t="shared" si="38"/>
        <v>46413.533647476863</v>
      </c>
      <c r="M57" s="49">
        <f t="shared" si="39"/>
        <v>-47440.550604236363</v>
      </c>
      <c r="N57" s="49">
        <f t="shared" si="29"/>
        <v>47440.550604236363</v>
      </c>
      <c r="O57" s="48">
        <f t="shared" si="32"/>
        <v>242604.72209243948</v>
      </c>
      <c r="P57" s="38">
        <f t="shared" si="36"/>
        <v>242604.72209243948</v>
      </c>
      <c r="Q57" s="53"/>
      <c r="R57" s="53">
        <f t="shared" si="12"/>
        <v>0.05</v>
      </c>
      <c r="S57" s="53">
        <f t="shared" si="13"/>
        <v>4.2653187775606449E-3</v>
      </c>
      <c r="T57" s="53">
        <f t="shared" si="14"/>
        <v>0.05</v>
      </c>
      <c r="U57" s="53">
        <f t="shared" si="20"/>
        <v>4.2653187775606449E-3</v>
      </c>
      <c r="V57" s="53"/>
      <c r="W57" s="63">
        <f t="shared" si="15"/>
        <v>773.55889412461431</v>
      </c>
      <c r="X57" s="64">
        <f t="shared" si="16"/>
        <v>8.5306375551212892E-4</v>
      </c>
      <c r="Z57" s="63"/>
    </row>
    <row r="58" spans="1:26" x14ac:dyDescent="0.2">
      <c r="A58" s="62">
        <f t="shared" si="1"/>
        <v>1.2439113035091867</v>
      </c>
      <c r="B58" s="45">
        <f t="shared" si="3"/>
        <v>47</v>
      </c>
      <c r="C58" s="49">
        <f t="shared" si="33"/>
        <v>10821645.486829937</v>
      </c>
      <c r="D58" s="47" cm="1">
        <f t="array" ref="D58">_xlfn.IFS(AND($C$7="Y",B58&lt;C$4),C58,AND($C$7="Y",B58=C$4),D57+F58-J58-K58-L58+N58,AND($C$7="Y",B58&gt;$C$4),D57-J58-K58-L58+N58, TRUE, D57-J58-K58-L58+N58)</f>
        <v>10761769.228683941</v>
      </c>
      <c r="E58" s="48">
        <f t="shared" si="4"/>
        <v>0</v>
      </c>
      <c r="F58" s="50">
        <f t="shared" si="17"/>
        <v>0</v>
      </c>
      <c r="G58" s="50">
        <f t="shared" si="21"/>
        <v>0</v>
      </c>
      <c r="H58" s="51">
        <f t="shared" si="34"/>
        <v>194398.52442581856</v>
      </c>
      <c r="I58" s="52">
        <f t="shared" si="6"/>
        <v>179591.46198551427</v>
      </c>
      <c r="J58" s="52">
        <f t="shared" si="35"/>
        <v>14807.062440304289</v>
      </c>
      <c r="K58" s="51">
        <f t="shared" si="37"/>
        <v>46094.610857612992</v>
      </c>
      <c r="L58" s="49">
        <f t="shared" si="38"/>
        <v>46157.767699080134</v>
      </c>
      <c r="M58" s="49">
        <f t="shared" si="39"/>
        <v>-47183.182851001147</v>
      </c>
      <c r="N58" s="49">
        <f t="shared" si="29"/>
        <v>47183.182851001147</v>
      </c>
      <c r="O58" s="48">
        <f t="shared" si="32"/>
        <v>241518.55043535255</v>
      </c>
      <c r="P58" s="38">
        <f t="shared" si="36"/>
        <v>241518.55043535255</v>
      </c>
      <c r="Q58" s="53"/>
      <c r="R58" s="53">
        <f t="shared" si="12"/>
        <v>0.05</v>
      </c>
      <c r="S58" s="53">
        <f t="shared" si="13"/>
        <v>4.2653187775606449E-3</v>
      </c>
      <c r="T58" s="53">
        <f t="shared" si="14"/>
        <v>0.05</v>
      </c>
      <c r="U58" s="53">
        <f t="shared" si="20"/>
        <v>4.2653187775606449E-3</v>
      </c>
      <c r="V58" s="53"/>
      <c r="W58" s="63">
        <f t="shared" si="15"/>
        <v>769.29612831800216</v>
      </c>
      <c r="X58" s="64">
        <f t="shared" si="16"/>
        <v>8.5306375551212892E-4</v>
      </c>
      <c r="Z58" s="63"/>
    </row>
    <row r="59" spans="1:26" x14ac:dyDescent="0.2">
      <c r="A59" s="62">
        <f t="shared" si="1"/>
        <v>1.2370003066897088</v>
      </c>
      <c r="B59" s="45">
        <f t="shared" si="3"/>
        <v>48</v>
      </c>
      <c r="C59" s="49">
        <f t="shared" si="33"/>
        <v>10761769.228683941</v>
      </c>
      <c r="D59" s="47" cm="1">
        <f t="array" ref="D59">_xlfn.IFS(AND($C$7="Y",B59&lt;C$4),C59,AND($C$7="Y",B59=C$4),D58+F59-J59-K59-L59+N59,AND($C$7="Y",B59&gt;$C$4),D58-J59-K59-L59+N59, TRUE, D58-J59-K59-L59+N59)</f>
        <v>10701978.347532228</v>
      </c>
      <c r="E59" s="48">
        <f t="shared" si="4"/>
        <v>0</v>
      </c>
      <c r="F59" s="50">
        <f t="shared" si="17"/>
        <v>0</v>
      </c>
      <c r="G59" s="50">
        <f t="shared" si="21"/>
        <v>0</v>
      </c>
      <c r="H59" s="51">
        <f t="shared" si="34"/>
        <v>193574.01863278169</v>
      </c>
      <c r="I59" s="52">
        <f t="shared" si="6"/>
        <v>178597.78087188434</v>
      </c>
      <c r="J59" s="52">
        <f t="shared" si="35"/>
        <v>14976.237760897347</v>
      </c>
      <c r="K59" s="51">
        <f t="shared" si="37"/>
        <v>45838.497942741182</v>
      </c>
      <c r="L59" s="49">
        <f t="shared" si="38"/>
        <v>45902.376370879952</v>
      </c>
      <c r="M59" s="49">
        <f t="shared" si="39"/>
        <v>-46926.230922806761</v>
      </c>
      <c r="N59" s="49">
        <f t="shared" si="29"/>
        <v>46926.230922806761</v>
      </c>
      <c r="O59" s="48">
        <f t="shared" si="32"/>
        <v>240436.37112744967</v>
      </c>
      <c r="P59" s="38">
        <f t="shared" si="36"/>
        <v>240436.37112744967</v>
      </c>
      <c r="Q59" s="53"/>
      <c r="R59" s="53">
        <f t="shared" si="12"/>
        <v>0.05</v>
      </c>
      <c r="S59" s="53">
        <f t="shared" si="13"/>
        <v>4.2653187775606449E-3</v>
      </c>
      <c r="T59" s="53">
        <f t="shared" si="14"/>
        <v>0.05</v>
      </c>
      <c r="U59" s="53">
        <f t="shared" si="20"/>
        <v>4.2653187775606449E-3</v>
      </c>
      <c r="V59" s="53"/>
      <c r="W59" s="63">
        <f t="shared" si="15"/>
        <v>765.0396061813326</v>
      </c>
      <c r="X59" s="64">
        <f t="shared" si="16"/>
        <v>8.5306375551212903E-4</v>
      </c>
      <c r="Z59" s="63"/>
    </row>
    <row r="60" spans="1:26" x14ac:dyDescent="0.2">
      <c r="A60" s="62">
        <f t="shared" si="1"/>
        <v>1.2300988930220149</v>
      </c>
      <c r="B60" s="45">
        <f t="shared" si="3"/>
        <v>49</v>
      </c>
      <c r="C60" s="49">
        <f t="shared" si="33"/>
        <v>10701978.347532228</v>
      </c>
      <c r="D60" s="47" cm="1">
        <f t="array" ref="D60">_xlfn.IFS(AND($C$7="Y",B60&lt;C$4),C60,AND($C$7="Y",B60=C$4),D59+F60-J60-K60-L60+N60,AND($C$7="Y",B60&gt;$C$4),D59-J60-K60-L60+N60, TRUE, D59-J60-K60-L60+N60)</f>
        <v>10642270.375561975</v>
      </c>
      <c r="E60" s="48">
        <f t="shared" si="4"/>
        <v>0</v>
      </c>
      <c r="F60" s="50">
        <f t="shared" si="17"/>
        <v>0</v>
      </c>
      <c r="G60" s="50">
        <f t="shared" si="21"/>
        <v>0</v>
      </c>
      <c r="H60" s="51">
        <f t="shared" si="34"/>
        <v>192753.08401854889</v>
      </c>
      <c r="I60" s="52">
        <f t="shared" si="6"/>
        <v>177605.51663882416</v>
      </c>
      <c r="J60" s="52">
        <f t="shared" si="35"/>
        <v>15147.567379724729</v>
      </c>
      <c r="K60" s="51">
        <f t="shared" si="37"/>
        <v>45582.739999197547</v>
      </c>
      <c r="L60" s="49">
        <f t="shared" si="38"/>
        <v>45647.349202776655</v>
      </c>
      <c r="M60" s="49">
        <f t="shared" si="39"/>
        <v>-46669.684611444587</v>
      </c>
      <c r="N60" s="49">
        <f t="shared" si="29"/>
        <v>46669.684611444587</v>
      </c>
      <c r="O60" s="48">
        <f t="shared" si="32"/>
        <v>239358.15942641438</v>
      </c>
      <c r="P60" s="38">
        <f t="shared" si="36"/>
        <v>239358.15942641438</v>
      </c>
      <c r="Q60" s="53"/>
      <c r="R60" s="53">
        <f t="shared" si="12"/>
        <v>0.05</v>
      </c>
      <c r="S60" s="53">
        <f t="shared" si="13"/>
        <v>4.2653187775606449E-3</v>
      </c>
      <c r="T60" s="53">
        <f t="shared" si="14"/>
        <v>0.05</v>
      </c>
      <c r="U60" s="53">
        <f t="shared" si="20"/>
        <v>4.2653187775606449E-3</v>
      </c>
      <c r="V60" s="53"/>
      <c r="W60" s="63">
        <f t="shared" si="15"/>
        <v>760.78915337961098</v>
      </c>
      <c r="X60" s="64">
        <f t="shared" si="16"/>
        <v>8.5306375551212914E-4</v>
      </c>
      <c r="Z60" s="63"/>
    </row>
    <row r="61" spans="1:26" x14ac:dyDescent="0.2">
      <c r="A61" s="62">
        <f t="shared" si="1"/>
        <v>1.2232067754447713</v>
      </c>
      <c r="B61" s="45">
        <f t="shared" si="3"/>
        <v>50</v>
      </c>
      <c r="C61" s="49">
        <f t="shared" si="33"/>
        <v>10642270.375561975</v>
      </c>
      <c r="D61" s="47" cm="1">
        <f t="array" ref="D61">_xlfn.IFS(AND($C$7="Y",B61&lt;C$4),C61,AND($C$7="Y",B61=C$4),D60+F61-J61-K61-L61+N61,AND($C$7="Y",B61&gt;$C$4),D60-J61-K61-L61+N61, TRUE, D60-J61-K61-L61+N61)</f>
        <v>10582642.829245765</v>
      </c>
      <c r="E61" s="48">
        <f t="shared" si="4"/>
        <v>0</v>
      </c>
      <c r="F61" s="50">
        <f t="shared" si="17"/>
        <v>0</v>
      </c>
      <c r="G61" s="50">
        <f t="shared" si="21"/>
        <v>0</v>
      </c>
      <c r="H61" s="51">
        <f t="shared" si="34"/>
        <v>191935.70623900977</v>
      </c>
      <c r="I61" s="52">
        <f t="shared" si="6"/>
        <v>176614.62833155354</v>
      </c>
      <c r="J61" s="52">
        <f t="shared" si="35"/>
        <v>15321.077907456231</v>
      </c>
      <c r="K61" s="51">
        <f t="shared" si="37"/>
        <v>45327.326387470726</v>
      </c>
      <c r="L61" s="49">
        <f t="shared" si="38"/>
        <v>45392.675668761869</v>
      </c>
      <c r="M61" s="49">
        <f t="shared" si="39"/>
        <v>-46413.533647476863</v>
      </c>
      <c r="N61" s="49">
        <f t="shared" si="29"/>
        <v>46413.533647476863</v>
      </c>
      <c r="O61" s="48">
        <f t="shared" si="32"/>
        <v>238283.89060519551</v>
      </c>
      <c r="P61" s="38">
        <f t="shared" si="36"/>
        <v>238283.89060519551</v>
      </c>
      <c r="Q61" s="53"/>
      <c r="R61" s="53">
        <f t="shared" si="12"/>
        <v>0.05</v>
      </c>
      <c r="S61" s="53">
        <f t="shared" si="13"/>
        <v>4.2653187775606449E-3</v>
      </c>
      <c r="T61" s="53">
        <f t="shared" si="14"/>
        <v>0.05</v>
      </c>
      <c r="U61" s="53">
        <f t="shared" si="20"/>
        <v>4.2653187775606449E-3</v>
      </c>
      <c r="V61" s="53"/>
      <c r="W61" s="63">
        <f t="shared" si="15"/>
        <v>756.54459447936449</v>
      </c>
      <c r="X61" s="64">
        <f t="shared" si="16"/>
        <v>8.5306375551212892E-4</v>
      </c>
      <c r="Z61" s="63"/>
    </row>
    <row r="62" spans="1:26" x14ac:dyDescent="0.2">
      <c r="A62" s="62">
        <f t="shared" si="1"/>
        <v>1.2163236650495468</v>
      </c>
      <c r="B62" s="45">
        <f t="shared" si="3"/>
        <v>51</v>
      </c>
      <c r="C62" s="49">
        <f t="shared" si="33"/>
        <v>10582642.829245765</v>
      </c>
      <c r="D62" s="47" cm="1">
        <f t="array" ref="D62">_xlfn.IFS(AND($C$7="Y",B62&lt;C$4),C62,AND($C$7="Y",B62=C$4),D61+F62-J62-K62-L62+N62,AND($C$7="Y",B62&gt;$C$4),D61-J62-K62-L62+N62, TRUE, D61-J62-K62-L62+N62)</f>
        <v>10523093.209075909</v>
      </c>
      <c r="E62" s="48">
        <f t="shared" si="4"/>
        <v>0</v>
      </c>
      <c r="F62" s="50">
        <f t="shared" si="17"/>
        <v>0</v>
      </c>
      <c r="G62" s="50">
        <f t="shared" si="21"/>
        <v>0</v>
      </c>
      <c r="H62" s="51">
        <f t="shared" si="34"/>
        <v>191121.87102806053</v>
      </c>
      <c r="I62" s="52">
        <f t="shared" si="6"/>
        <v>175625.07473449942</v>
      </c>
      <c r="J62" s="52">
        <f t="shared" si="35"/>
        <v>15496.796293561114</v>
      </c>
      <c r="K62" s="51">
        <f t="shared" si="37"/>
        <v>45072.246399576514</v>
      </c>
      <c r="L62" s="49">
        <f t="shared" si="38"/>
        <v>45138.34517579947</v>
      </c>
      <c r="M62" s="49">
        <f t="shared" si="39"/>
        <v>-46157.767699080134</v>
      </c>
      <c r="N62" s="49">
        <f t="shared" si="29"/>
        <v>46157.767699080134</v>
      </c>
      <c r="O62" s="48">
        <f t="shared" si="32"/>
        <v>237213.53995091771</v>
      </c>
      <c r="P62" s="38">
        <f t="shared" si="36"/>
        <v>237213.53995091771</v>
      </c>
      <c r="Q62" s="53"/>
      <c r="R62" s="53">
        <f t="shared" si="12"/>
        <v>0.05</v>
      </c>
      <c r="S62" s="53">
        <f t="shared" si="13"/>
        <v>4.2653187775606449E-3</v>
      </c>
      <c r="T62" s="53">
        <f t="shared" si="14"/>
        <v>0.05</v>
      </c>
      <c r="U62" s="53">
        <f t="shared" si="20"/>
        <v>4.2653187775606449E-3</v>
      </c>
      <c r="V62" s="53"/>
      <c r="W62" s="63">
        <f t="shared" si="15"/>
        <v>752.30575292999117</v>
      </c>
      <c r="X62" s="64">
        <f t="shared" si="16"/>
        <v>8.5306375551212892E-4</v>
      </c>
      <c r="Z62" s="63"/>
    </row>
    <row r="63" spans="1:26" x14ac:dyDescent="0.2">
      <c r="A63" s="62">
        <f t="shared" si="1"/>
        <v>1.2094492710497113</v>
      </c>
      <c r="B63" s="45">
        <f t="shared" si="3"/>
        <v>52</v>
      </c>
      <c r="C63" s="49">
        <f t="shared" si="33"/>
        <v>10523093.209075909</v>
      </c>
      <c r="D63" s="47" cm="1">
        <f t="array" ref="D63">_xlfn.IFS(AND($C$7="Y",B63&lt;C$4),C63,AND($C$7="Y",B63=C$4),D62+F63-J63-K63-L63+N63,AND($C$7="Y",B63&gt;$C$4),D62-J63-K63-L63+N63, TRUE, D62-J63-K63-L63+N63)</f>
        <v>10463618.999295378</v>
      </c>
      <c r="E63" s="48">
        <f t="shared" si="4"/>
        <v>0</v>
      </c>
      <c r="F63" s="50">
        <f t="shared" si="17"/>
        <v>0</v>
      </c>
      <c r="G63" s="50">
        <f t="shared" si="21"/>
        <v>0</v>
      </c>
      <c r="H63" s="51">
        <f t="shared" si="34"/>
        <v>190311.56419770152</v>
      </c>
      <c r="I63" s="52">
        <f t="shared" si="6"/>
        <v>174636.81436688695</v>
      </c>
      <c r="J63" s="52">
        <f t="shared" si="35"/>
        <v>15674.749830814573</v>
      </c>
      <c r="K63" s="51">
        <f t="shared" si="37"/>
        <v>44817.489257905443</v>
      </c>
      <c r="L63" s="49">
        <f t="shared" si="38"/>
        <v>44884.347062692381</v>
      </c>
      <c r="M63" s="49">
        <f t="shared" si="39"/>
        <v>-45902.376370879952</v>
      </c>
      <c r="N63" s="49">
        <f t="shared" si="29"/>
        <v>45902.376370879952</v>
      </c>
      <c r="O63" s="48">
        <f t="shared" si="32"/>
        <v>236147.08276379452</v>
      </c>
      <c r="P63" s="38">
        <f t="shared" si="36"/>
        <v>236147.08276379452</v>
      </c>
      <c r="Q63" s="53"/>
      <c r="R63" s="53">
        <f t="shared" si="12"/>
        <v>0.05</v>
      </c>
      <c r="S63" s="53">
        <f t="shared" si="13"/>
        <v>4.2653187775606449E-3</v>
      </c>
      <c r="T63" s="53">
        <f t="shared" si="14"/>
        <v>0.05</v>
      </c>
      <c r="U63" s="53">
        <f t="shared" si="20"/>
        <v>4.2653187775606449E-3</v>
      </c>
      <c r="V63" s="53"/>
      <c r="W63" s="63">
        <f t="shared" si="15"/>
        <v>748.07245104487311</v>
      </c>
      <c r="X63" s="64">
        <f t="shared" si="16"/>
        <v>8.5306375551212914E-4</v>
      </c>
      <c r="Z63" s="63"/>
    </row>
    <row r="64" spans="1:26" x14ac:dyDescent="0.2">
      <c r="A64" s="62">
        <f t="shared" si="1"/>
        <v>1.2025833007489379</v>
      </c>
      <c r="B64" s="45">
        <f t="shared" si="3"/>
        <v>53</v>
      </c>
      <c r="C64" s="49">
        <f t="shared" si="33"/>
        <v>10463618.999295378</v>
      </c>
      <c r="D64" s="47" cm="1">
        <f t="array" ref="D64">_xlfn.IFS(AND($C$7="Y",B64&lt;C$4),C64,AND($C$7="Y",B64=C$4),D63+F64-J64-K64-L64+N64,AND($C$7="Y",B64&gt;$C$4),D63-J64-K64-L64+N64, TRUE, D63-J64-K64-L64+N64)</f>
        <v>10404217.667625291</v>
      </c>
      <c r="E64" s="48">
        <f t="shared" si="4"/>
        <v>0</v>
      </c>
      <c r="F64" s="50">
        <f t="shared" si="17"/>
        <v>0</v>
      </c>
      <c r="G64" s="50">
        <f t="shared" si="21"/>
        <v>0</v>
      </c>
      <c r="H64" s="51">
        <f t="shared" si="34"/>
        <v>189504.7716381466</v>
      </c>
      <c r="I64" s="52">
        <f t="shared" si="6"/>
        <v>173649.80547827404</v>
      </c>
      <c r="J64" s="52">
        <f t="shared" si="35"/>
        <v>15854.966159872565</v>
      </c>
      <c r="K64" s="51">
        <f t="shared" si="37"/>
        <v>44563.044114055607</v>
      </c>
      <c r="L64" s="49">
        <f t="shared" si="38"/>
        <v>44630.670598934899</v>
      </c>
      <c r="M64" s="49">
        <f t="shared" si="39"/>
        <v>-45647.349202776655</v>
      </c>
      <c r="N64" s="49">
        <f t="shared" si="29"/>
        <v>45647.349202776655</v>
      </c>
      <c r="O64" s="48">
        <f t="shared" si="32"/>
        <v>235084.49435604396</v>
      </c>
      <c r="P64" s="38">
        <f t="shared" si="36"/>
        <v>235084.49435604396</v>
      </c>
      <c r="Q64" s="53"/>
      <c r="R64" s="53">
        <f t="shared" si="12"/>
        <v>0.05</v>
      </c>
      <c r="S64" s="53">
        <f t="shared" si="13"/>
        <v>4.2653187775606449E-3</v>
      </c>
      <c r="T64" s="53">
        <f t="shared" si="14"/>
        <v>0.05</v>
      </c>
      <c r="U64" s="53">
        <f t="shared" si="20"/>
        <v>4.2653187775606449E-3</v>
      </c>
      <c r="V64" s="53"/>
      <c r="W64" s="63">
        <f t="shared" si="15"/>
        <v>743.84450998224838</v>
      </c>
      <c r="X64" s="64">
        <f t="shared" si="16"/>
        <v>8.5306375551212903E-4</v>
      </c>
      <c r="Z64" s="63"/>
    </row>
    <row r="65" spans="1:26" x14ac:dyDescent="0.2">
      <c r="A65" s="62">
        <f t="shared" si="1"/>
        <v>1.1957254595093036</v>
      </c>
      <c r="B65" s="45">
        <f t="shared" si="3"/>
        <v>54</v>
      </c>
      <c r="C65" s="49">
        <f t="shared" si="33"/>
        <v>10404217.667625291</v>
      </c>
      <c r="D65" s="47" cm="1">
        <f t="array" ref="D65">_xlfn.IFS(AND($C$7="Y",B65&lt;C$4),C65,AND($C$7="Y",B65=C$4),D64+F65-J65-K65-L65+N65,AND($C$7="Y",B65&gt;$C$4),D64-J65-K65-L65+N65, TRUE, D64-J65-K65-L65+N65)</f>
        <v>10344886.664988935</v>
      </c>
      <c r="E65" s="48">
        <f t="shared" si="4"/>
        <v>0</v>
      </c>
      <c r="F65" s="50">
        <f t="shared" si="17"/>
        <v>0</v>
      </c>
      <c r="G65" s="50">
        <f t="shared" si="21"/>
        <v>0</v>
      </c>
      <c r="H65" s="51">
        <f t="shared" si="34"/>
        <v>188701.47931794458</v>
      </c>
      <c r="I65" s="52">
        <f t="shared" si="6"/>
        <v>172664.006044029</v>
      </c>
      <c r="J65" s="52">
        <f t="shared" si="35"/>
        <v>16037.473273915588</v>
      </c>
      <c r="K65" s="51">
        <f t="shared" si="37"/>
        <v>44308.90004765051</v>
      </c>
      <c r="L65" s="49">
        <f t="shared" si="38"/>
        <v>44377.30498355037</v>
      </c>
      <c r="M65" s="49">
        <f t="shared" si="39"/>
        <v>-45392.675668761869</v>
      </c>
      <c r="N65" s="49">
        <f t="shared" si="29"/>
        <v>45392.675668761869</v>
      </c>
      <c r="O65" s="48">
        <f t="shared" si="32"/>
        <v>234025.75005080659</v>
      </c>
      <c r="P65" s="38">
        <f t="shared" si="36"/>
        <v>234025.75005080659</v>
      </c>
      <c r="Q65" s="53"/>
      <c r="R65" s="53">
        <f t="shared" si="12"/>
        <v>0.05</v>
      </c>
      <c r="S65" s="53">
        <f t="shared" si="13"/>
        <v>4.2653187775606449E-3</v>
      </c>
      <c r="T65" s="53">
        <f t="shared" si="14"/>
        <v>0.05</v>
      </c>
      <c r="U65" s="53">
        <f t="shared" si="20"/>
        <v>4.2653187775606449E-3</v>
      </c>
      <c r="V65" s="53"/>
      <c r="W65" s="63">
        <f t="shared" si="15"/>
        <v>739.62174972583955</v>
      </c>
      <c r="X65" s="64">
        <f t="shared" si="16"/>
        <v>8.5306375551212903E-4</v>
      </c>
      <c r="Z65" s="63"/>
    </row>
    <row r="66" spans="1:26" x14ac:dyDescent="0.2">
      <c r="A66" s="62">
        <f t="shared" si="1"/>
        <v>1.1888754507189878</v>
      </c>
      <c r="B66" s="45">
        <f t="shared" si="3"/>
        <v>55</v>
      </c>
      <c r="C66" s="49">
        <f t="shared" si="33"/>
        <v>10344886.664988935</v>
      </c>
      <c r="D66" s="47" cm="1">
        <f t="array" ref="D66">_xlfn.IFS(AND($C$7="Y",B66&lt;C$4),C66,AND($C$7="Y",B66=C$4),D65+F66-J66-K66-L66+N66,AND($C$7="Y",B66&gt;$C$4),D65-J66-K66-L66+N66, TRUE, D65-J66-K66-L66+N66)</f>
        <v>10285623.425232314</v>
      </c>
      <c r="E66" s="48">
        <f t="shared" si="4"/>
        <v>0</v>
      </c>
      <c r="F66" s="50">
        <f t="shared" si="17"/>
        <v>0</v>
      </c>
      <c r="G66" s="50">
        <f t="shared" si="21"/>
        <v>0</v>
      </c>
      <c r="H66" s="51">
        <f t="shared" si="34"/>
        <v>187901.67328411431</v>
      </c>
      <c r="I66" s="52">
        <f t="shared" si="6"/>
        <v>171679.37376075034</v>
      </c>
      <c r="J66" s="52">
        <f t="shared" si="35"/>
        <v>16222.299523363967</v>
      </c>
      <c r="K66" s="51">
        <f t="shared" si="37"/>
        <v>44055.046065141803</v>
      </c>
      <c r="L66" s="49">
        <f t="shared" si="38"/>
        <v>44124.239343914021</v>
      </c>
      <c r="M66" s="49">
        <f t="shared" si="39"/>
        <v>-45138.34517579947</v>
      </c>
      <c r="N66" s="49">
        <f t="shared" si="29"/>
        <v>45138.34517579947</v>
      </c>
      <c r="O66" s="48">
        <f t="shared" si="32"/>
        <v>232970.82518114155</v>
      </c>
      <c r="P66" s="38">
        <f t="shared" si="36"/>
        <v>232970.82518114155</v>
      </c>
      <c r="Q66" s="53"/>
      <c r="R66" s="53">
        <f t="shared" si="12"/>
        <v>0.05</v>
      </c>
      <c r="S66" s="53">
        <f t="shared" si="13"/>
        <v>4.2653187775606449E-3</v>
      </c>
      <c r="T66" s="53">
        <f t="shared" si="14"/>
        <v>0.05</v>
      </c>
      <c r="U66" s="53">
        <f t="shared" si="20"/>
        <v>4.2653187775606449E-3</v>
      </c>
      <c r="V66" s="53"/>
      <c r="W66" s="63">
        <f t="shared" si="15"/>
        <v>735.40398906523376</v>
      </c>
      <c r="X66" s="64">
        <f t="shared" si="16"/>
        <v>8.5306375551212903E-4</v>
      </c>
      <c r="Z66" s="63"/>
    </row>
    <row r="67" spans="1:26" x14ac:dyDescent="0.2">
      <c r="A67" s="62">
        <f t="shared" si="1"/>
        <v>1.182032975759566</v>
      </c>
      <c r="B67" s="45">
        <f t="shared" si="3"/>
        <v>56</v>
      </c>
      <c r="C67" s="49">
        <f t="shared" si="33"/>
        <v>10285623.425232314</v>
      </c>
      <c r="D67" s="47" cm="1">
        <f t="array" ref="D67">_xlfn.IFS(AND($C$7="Y",B67&lt;C$4),C67,AND($C$7="Y",B67=C$4),D66+F67-J67-K67-L67+N67,AND($C$7="Y",B67&gt;$C$4),D66-J67-K67-L67+N67, TRUE, D66-J67-K67-L67+N67)</f>
        <v>10226425.364841184</v>
      </c>
      <c r="E67" s="48">
        <f t="shared" si="4"/>
        <v>0</v>
      </c>
      <c r="F67" s="50">
        <f t="shared" si="17"/>
        <v>0</v>
      </c>
      <c r="G67" s="50">
        <f t="shared" si="21"/>
        <v>0</v>
      </c>
      <c r="H67" s="51">
        <f t="shared" si="34"/>
        <v>187105.3396622944</v>
      </c>
      <c r="I67" s="52">
        <f t="shared" si="6"/>
        <v>170695.8660416292</v>
      </c>
      <c r="J67" s="52">
        <f t="shared" si="35"/>
        <v>16409.473620665201</v>
      </c>
      <c r="K67" s="51">
        <f t="shared" si="37"/>
        <v>43801.471098596921</v>
      </c>
      <c r="L67" s="49">
        <f t="shared" si="38"/>
        <v>43871.462734561028</v>
      </c>
      <c r="M67" s="49">
        <f t="shared" si="39"/>
        <v>-44884.347062692381</v>
      </c>
      <c r="N67" s="49">
        <f t="shared" si="29"/>
        <v>44884.347062692381</v>
      </c>
      <c r="O67" s="48">
        <f t="shared" si="32"/>
        <v>231919.69508902269</v>
      </c>
      <c r="P67" s="38">
        <f t="shared" si="36"/>
        <v>231919.69508902269</v>
      </c>
      <c r="Q67" s="53"/>
      <c r="R67" s="53">
        <f t="shared" si="12"/>
        <v>0.05</v>
      </c>
      <c r="S67" s="53">
        <f t="shared" si="13"/>
        <v>4.2653187775606449E-3</v>
      </c>
      <c r="T67" s="53">
        <f t="shared" si="14"/>
        <v>0.05</v>
      </c>
      <c r="U67" s="53">
        <f t="shared" si="20"/>
        <v>4.2653187775606449E-3</v>
      </c>
      <c r="V67" s="53"/>
      <c r="W67" s="63">
        <f t="shared" si="15"/>
        <v>731.19104557601713</v>
      </c>
      <c r="X67" s="64">
        <f t="shared" si="16"/>
        <v>8.5306375551212903E-4</v>
      </c>
      <c r="Z67" s="63"/>
    </row>
    <row r="68" spans="1:26" x14ac:dyDescent="0.2">
      <c r="A68" s="62">
        <f t="shared" si="1"/>
        <v>1.1751977339728896</v>
      </c>
      <c r="B68" s="45">
        <f t="shared" si="3"/>
        <v>57</v>
      </c>
      <c r="C68" s="49">
        <f t="shared" si="33"/>
        <v>10226425.364841184</v>
      </c>
      <c r="D68" s="47" cm="1">
        <f t="array" ref="D68">_xlfn.IFS(AND($C$7="Y",B68&lt;C$4),C68,AND($C$7="Y",B68=C$4),D67+F68-J68-K68-L68+N68,AND($C$7="Y",B68&gt;$C$4),D67-J68-K68-L68+N68, TRUE, D67-J68-K68-L68+N68)</f>
        <v>10167289.882654512</v>
      </c>
      <c r="E68" s="48">
        <f t="shared" si="4"/>
        <v>0</v>
      </c>
      <c r="F68" s="50">
        <f t="shared" si="17"/>
        <v>0</v>
      </c>
      <c r="G68" s="50">
        <f t="shared" si="21"/>
        <v>0</v>
      </c>
      <c r="H68" s="51">
        <f t="shared" si="34"/>
        <v>186312.46465690841</v>
      </c>
      <c r="I68" s="52">
        <f t="shared" si="6"/>
        <v>169713.44001175341</v>
      </c>
      <c r="J68" s="52">
        <f t="shared" si="35"/>
        <v>16599.024645155005</v>
      </c>
      <c r="K68" s="51">
        <f t="shared" si="37"/>
        <v>43548.1640044714</v>
      </c>
      <c r="L68" s="49">
        <f t="shared" si="38"/>
        <v>43618.964135979571</v>
      </c>
      <c r="M68" s="49">
        <f t="shared" si="39"/>
        <v>-44630.670598934899</v>
      </c>
      <c r="N68" s="49">
        <f t="shared" si="29"/>
        <v>44630.670598934899</v>
      </c>
      <c r="O68" s="48">
        <f t="shared" si="32"/>
        <v>230872.33512433514</v>
      </c>
      <c r="P68" s="38">
        <f t="shared" si="36"/>
        <v>230872.33512433514</v>
      </c>
      <c r="Q68" s="53"/>
      <c r="R68" s="53">
        <f t="shared" si="12"/>
        <v>0.05</v>
      </c>
      <c r="S68" s="53">
        <f t="shared" si="13"/>
        <v>4.2653187775606449E-3</v>
      </c>
      <c r="T68" s="53">
        <f t="shared" si="14"/>
        <v>0.05</v>
      </c>
      <c r="U68" s="53">
        <f t="shared" si="20"/>
        <v>4.2653187775606449E-3</v>
      </c>
      <c r="V68" s="53"/>
      <c r="W68" s="63">
        <f t="shared" si="15"/>
        <v>726.98273559965958</v>
      </c>
      <c r="X68" s="64">
        <f t="shared" si="16"/>
        <v>8.5306375551212914E-4</v>
      </c>
      <c r="Z68" s="63"/>
    </row>
    <row r="69" spans="1:26" x14ac:dyDescent="0.2">
      <c r="A69" s="62">
        <f t="shared" si="1"/>
        <v>1.1683694226275476</v>
      </c>
      <c r="B69" s="45">
        <f t="shared" si="3"/>
        <v>58</v>
      </c>
      <c r="C69" s="49">
        <f t="shared" si="33"/>
        <v>10167289.882654512</v>
      </c>
      <c r="D69" s="47" cm="1">
        <f t="array" ref="D69">_xlfn.IFS(AND($C$7="Y",B69&lt;C$4),C69,AND($C$7="Y",B69=C$4),D68+F69-J69-K69-L69+N69,AND($C$7="Y",B69&gt;$C$4),D68-J69-K69-L69+N69, TRUE, D68-J69-K69-L69+N69)</f>
        <v>10108214.359574314</v>
      </c>
      <c r="E69" s="48">
        <f t="shared" si="4"/>
        <v>0</v>
      </c>
      <c r="F69" s="50">
        <f t="shared" si="17"/>
        <v>0</v>
      </c>
      <c r="G69" s="50">
        <f t="shared" si="21"/>
        <v>0</v>
      </c>
      <c r="H69" s="51">
        <f t="shared" si="34"/>
        <v>185523.03455134659</v>
      </c>
      <c r="I69" s="52">
        <f t="shared" si="6"/>
        <v>168732.05250335205</v>
      </c>
      <c r="J69" s="52">
        <f t="shared" si="35"/>
        <v>16790.982047994534</v>
      </c>
      <c r="K69" s="51">
        <f t="shared" si="37"/>
        <v>43295.113562365666</v>
      </c>
      <c r="L69" s="49">
        <f t="shared" si="38"/>
        <v>43366.732453388657</v>
      </c>
      <c r="M69" s="49">
        <f t="shared" si="39"/>
        <v>-44377.30498355037</v>
      </c>
      <c r="N69" s="49">
        <f t="shared" si="29"/>
        <v>44377.30498355037</v>
      </c>
      <c r="O69" s="48">
        <f t="shared" si="32"/>
        <v>229828.72064387397</v>
      </c>
      <c r="P69" s="38">
        <f t="shared" si="36"/>
        <v>229828.72064387397</v>
      </c>
      <c r="Q69" s="53"/>
      <c r="R69" s="53">
        <f t="shared" si="12"/>
        <v>0.05</v>
      </c>
      <c r="S69" s="53">
        <f t="shared" si="13"/>
        <v>4.2653187775606449E-3</v>
      </c>
      <c r="T69" s="53">
        <f t="shared" si="14"/>
        <v>0.05</v>
      </c>
      <c r="U69" s="53">
        <f t="shared" si="20"/>
        <v>4.2653187775606449E-3</v>
      </c>
      <c r="V69" s="53"/>
      <c r="W69" s="63">
        <f t="shared" si="15"/>
        <v>722.77887422314427</v>
      </c>
      <c r="X69" s="64">
        <f t="shared" si="16"/>
        <v>8.5306375551212903E-4</v>
      </c>
      <c r="Z69" s="63"/>
    </row>
    <row r="70" spans="1:26" x14ac:dyDescent="0.2">
      <c r="A70" s="62">
        <f t="shared" si="1"/>
        <v>1.1615477368848972</v>
      </c>
      <c r="B70" s="45">
        <f t="shared" si="3"/>
        <v>59</v>
      </c>
      <c r="C70" s="49">
        <f t="shared" si="33"/>
        <v>10108214.359574314</v>
      </c>
      <c r="D70" s="47" cm="1">
        <f t="array" ref="D70">_xlfn.IFS(AND($C$7="Y",B70&lt;C$4),C70,AND($C$7="Y",B70=C$4),D69+F70-J70-K70-L70+N70,AND($C$7="Y",B70&gt;$C$4),D69-J70-K70-L70+N70, TRUE, D69-J70-K70-L70+N70)</f>
        <v>10049196.158271777</v>
      </c>
      <c r="E70" s="48">
        <f t="shared" si="4"/>
        <v>0</v>
      </c>
      <c r="F70" s="50">
        <f t="shared" si="17"/>
        <v>0</v>
      </c>
      <c r="G70" s="50">
        <f t="shared" si="21"/>
        <v>0</v>
      </c>
      <c r="H70" s="51">
        <f t="shared" si="34"/>
        <v>184737.0357081641</v>
      </c>
      <c r="I70" s="52">
        <f t="shared" si="6"/>
        <v>167751.66005098022</v>
      </c>
      <c r="J70" s="52">
        <f t="shared" si="35"/>
        <v>16985.375657183875</v>
      </c>
      <c r="K70" s="51">
        <f t="shared" si="37"/>
        <v>43042.308473765959</v>
      </c>
      <c r="L70" s="49">
        <f t="shared" si="38"/>
        <v>43114.75651550047</v>
      </c>
      <c r="M70" s="49">
        <f t="shared" si="39"/>
        <v>-44124.239343914021</v>
      </c>
      <c r="N70" s="49">
        <f t="shared" si="29"/>
        <v>44124.239343914021</v>
      </c>
      <c r="O70" s="48">
        <f t="shared" si="32"/>
        <v>228788.82701034361</v>
      </c>
      <c r="P70" s="38">
        <f t="shared" si="36"/>
        <v>228788.82701034361</v>
      </c>
      <c r="Q70" s="53"/>
      <c r="R70" s="53">
        <f t="shared" si="12"/>
        <v>0.05</v>
      </c>
      <c r="S70" s="53">
        <f t="shared" si="13"/>
        <v>4.2653187775606449E-3</v>
      </c>
      <c r="T70" s="53">
        <f t="shared" si="14"/>
        <v>0.05</v>
      </c>
      <c r="U70" s="53">
        <f t="shared" si="20"/>
        <v>4.2653187775606449E-3</v>
      </c>
      <c r="V70" s="53"/>
      <c r="W70" s="63">
        <f t="shared" si="15"/>
        <v>718.57927525834123</v>
      </c>
      <c r="X70" s="64">
        <f t="shared" si="16"/>
        <v>8.5306375551212903E-4</v>
      </c>
      <c r="Z70" s="63"/>
    </row>
    <row r="71" spans="1:26" x14ac:dyDescent="0.2">
      <c r="A71" s="62">
        <f t="shared" si="1"/>
        <v>1.1547323697646652</v>
      </c>
      <c r="B71" s="45">
        <f t="shared" si="3"/>
        <v>60</v>
      </c>
      <c r="C71" s="49">
        <f t="shared" si="33"/>
        <v>10049196.158271777</v>
      </c>
      <c r="D71" s="47" cm="1">
        <f t="array" ref="D71">_xlfn.IFS(AND($C$7="Y",B71&lt;C$4),C71,AND($C$7="Y",B71=C$4),D70+F71-J71-K71-L71+N71,AND($C$7="Y",B71&gt;$C$4),D70-J71-K71-L71+N71, TRUE, D70-J71-K71-L71+N71)</f>
        <v>9990232.6228896454</v>
      </c>
      <c r="E71" s="48">
        <f t="shared" si="4"/>
        <v>0</v>
      </c>
      <c r="F71" s="50">
        <f t="shared" si="17"/>
        <v>0</v>
      </c>
      <c r="G71" s="50">
        <f t="shared" si="21"/>
        <v>0</v>
      </c>
      <c r="H71" s="51">
        <f t="shared" si="34"/>
        <v>183954.45456929668</v>
      </c>
      <c r="I71" s="52">
        <f t="shared" si="6"/>
        <v>166772.21888664181</v>
      </c>
      <c r="J71" s="52">
        <f t="shared" si="35"/>
        <v>17182.235682654864</v>
      </c>
      <c r="K71" s="51">
        <f t="shared" si="37"/>
        <v>42789.737360769199</v>
      </c>
      <c r="L71" s="49">
        <f t="shared" si="38"/>
        <v>42863.025073266901</v>
      </c>
      <c r="M71" s="49">
        <f t="shared" si="39"/>
        <v>-43871.462734561028</v>
      </c>
      <c r="N71" s="49">
        <f t="shared" si="29"/>
        <v>43871.462734561028</v>
      </c>
      <c r="O71" s="48">
        <f t="shared" si="32"/>
        <v>227752.62959136002</v>
      </c>
      <c r="P71" s="38">
        <f t="shared" si="36"/>
        <v>227752.62959136002</v>
      </c>
      <c r="Q71" s="53"/>
      <c r="R71" s="53">
        <f t="shared" si="12"/>
        <v>0.05</v>
      </c>
      <c r="S71" s="53">
        <f t="shared" si="13"/>
        <v>4.2653187775606449E-3</v>
      </c>
      <c r="T71" s="53">
        <f t="shared" si="14"/>
        <v>0.05</v>
      </c>
      <c r="U71" s="53">
        <f t="shared" si="20"/>
        <v>4.2653187775606449E-3</v>
      </c>
      <c r="V71" s="53"/>
      <c r="W71" s="63">
        <f t="shared" si="15"/>
        <v>714.38375122111495</v>
      </c>
      <c r="X71" s="64">
        <f t="shared" si="16"/>
        <v>8.5306375551212892E-4</v>
      </c>
      <c r="Z71" s="63"/>
    </row>
    <row r="72" spans="1:26" x14ac:dyDescent="0.2">
      <c r="A72" s="62">
        <f t="shared" si="1"/>
        <v>1.1479230121101047</v>
      </c>
      <c r="B72" s="45">
        <f t="shared" si="3"/>
        <v>61</v>
      </c>
      <c r="C72" s="49">
        <f t="shared" si="33"/>
        <v>9990232.6228896454</v>
      </c>
      <c r="D72" s="47" cm="1">
        <f t="array" ref="D72">_xlfn.IFS(AND($C$7="Y",B72&lt;C$4),C72,AND($C$7="Y",B72=C$4),D71+F72-J72-K72-L72+N72,AND($C$7="Y",B72&gt;$C$4),D71-J72-K72-L72+N72, TRUE, D71-J72-K72-L72+N72)</f>
        <v>9931321.0787407812</v>
      </c>
      <c r="E72" s="48">
        <f t="shared" si="4"/>
        <v>0</v>
      </c>
      <c r="F72" s="50">
        <f t="shared" si="17"/>
        <v>0</v>
      </c>
      <c r="G72" s="50">
        <f t="shared" si="21"/>
        <v>0</v>
      </c>
      <c r="H72" s="51">
        <f t="shared" si="34"/>
        <v>183175.27765629467</v>
      </c>
      <c r="I72" s="52">
        <f t="shared" si="6"/>
        <v>165793.68493485058</v>
      </c>
      <c r="J72" s="52">
        <f t="shared" si="35"/>
        <v>17381.592721444089</v>
      </c>
      <c r="K72" s="51">
        <f t="shared" si="37"/>
        <v>42537.388764791453</v>
      </c>
      <c r="L72" s="49">
        <f t="shared" si="38"/>
        <v>42611.526798610139</v>
      </c>
      <c r="M72" s="49">
        <f t="shared" si="39"/>
        <v>-43618.964135979571</v>
      </c>
      <c r="N72" s="49">
        <f t="shared" si="29"/>
        <v>43618.964135979571</v>
      </c>
      <c r="O72" s="48">
        <f t="shared" si="32"/>
        <v>226720.10375845555</v>
      </c>
      <c r="P72" s="38">
        <f t="shared" si="36"/>
        <v>226720.10375845555</v>
      </c>
      <c r="Q72" s="53"/>
      <c r="R72" s="53">
        <f t="shared" si="12"/>
        <v>0.05</v>
      </c>
      <c r="S72" s="53">
        <f t="shared" si="13"/>
        <v>4.2653187775606449E-3</v>
      </c>
      <c r="T72" s="53">
        <f t="shared" si="14"/>
        <v>0.05</v>
      </c>
      <c r="U72" s="53">
        <f t="shared" si="20"/>
        <v>4.2653187775606449E-3</v>
      </c>
      <c r="V72" s="53"/>
      <c r="W72" s="63">
        <f t="shared" si="15"/>
        <v>710.19211331016902</v>
      </c>
      <c r="X72" s="64">
        <f t="shared" si="16"/>
        <v>8.5306375551212903E-4</v>
      </c>
      <c r="Z72" s="63"/>
    </row>
    <row r="73" spans="1:26" x14ac:dyDescent="0.2">
      <c r="A73" s="62">
        <f t="shared" si="1"/>
        <v>1.1411193525527026</v>
      </c>
      <c r="B73" s="45">
        <f t="shared" si="3"/>
        <v>62</v>
      </c>
      <c r="C73" s="49">
        <f t="shared" si="33"/>
        <v>9931321.0787407812</v>
      </c>
      <c r="D73" s="47" cm="1">
        <f t="array" ref="D73">_xlfn.IFS(AND($C$7="Y",B73&lt;C$4),C73,AND($C$7="Y",B73=C$4),D72+F73-J73-K73-L73+N73,AND($C$7="Y",B73&gt;$C$4),D72-J73-K73-L73+N73, TRUE, D72-J73-K73-L73+N73)</f>
        <v>9872458.8320028242</v>
      </c>
      <c r="E73" s="48">
        <f t="shared" si="4"/>
        <v>0</v>
      </c>
      <c r="F73" s="50">
        <f t="shared" si="17"/>
        <v>0</v>
      </c>
      <c r="G73" s="50">
        <f t="shared" si="21"/>
        <v>0</v>
      </c>
      <c r="H73" s="51">
        <f t="shared" si="34"/>
        <v>182399.4915705754</v>
      </c>
      <c r="I73" s="52">
        <f t="shared" si="6"/>
        <v>164816.0138076274</v>
      </c>
      <c r="J73" s="52">
        <f t="shared" si="35"/>
        <v>17583.477762947994</v>
      </c>
      <c r="K73" s="51">
        <f t="shared" si="37"/>
        <v>42285.251145259768</v>
      </c>
      <c r="L73" s="49">
        <f t="shared" si="38"/>
        <v>42360.250283136891</v>
      </c>
      <c r="M73" s="49">
        <f t="shared" si="39"/>
        <v>-43366.732453388657</v>
      </c>
      <c r="N73" s="49">
        <f t="shared" si="29"/>
        <v>43366.732453388657</v>
      </c>
      <c r="O73" s="48">
        <f t="shared" si="32"/>
        <v>225691.22488608691</v>
      </c>
      <c r="P73" s="38">
        <f t="shared" si="36"/>
        <v>225691.22488608691</v>
      </c>
      <c r="Q73" s="53"/>
      <c r="R73" s="53">
        <f t="shared" si="12"/>
        <v>0.05</v>
      </c>
      <c r="S73" s="53">
        <f t="shared" si="13"/>
        <v>4.2653187775606449E-3</v>
      </c>
      <c r="T73" s="53">
        <f t="shared" si="14"/>
        <v>0.05</v>
      </c>
      <c r="U73" s="53">
        <f t="shared" si="20"/>
        <v>4.2653187775606449E-3</v>
      </c>
      <c r="V73" s="53"/>
      <c r="W73" s="63">
        <f t="shared" si="15"/>
        <v>706.00417138561488</v>
      </c>
      <c r="X73" s="64">
        <f t="shared" si="16"/>
        <v>8.5306375551212892E-4</v>
      </c>
      <c r="Z73" s="63"/>
    </row>
    <row r="74" spans="1:26" x14ac:dyDescent="0.2">
      <c r="A74" s="62">
        <f t="shared" si="1"/>
        <v>1.1343210774764341</v>
      </c>
      <c r="B74" s="45">
        <f t="shared" si="3"/>
        <v>63</v>
      </c>
      <c r="C74" s="49">
        <f t="shared" si="33"/>
        <v>9872458.8320028242</v>
      </c>
      <c r="D74" s="47" cm="1">
        <f t="array" ref="D74">_xlfn.IFS(AND($C$7="Y",B74&lt;C$4),C74,AND($C$7="Y",B74=C$4),D73+F74-J74-K74-L74+N74,AND($C$7="Y",B74&gt;$C$4),D73-J74-K74-L74+N74, TRUE, D73-J74-K74-L74+N74)</f>
        <v>9813643.1694089398</v>
      </c>
      <c r="E74" s="48">
        <f t="shared" si="4"/>
        <v>0</v>
      </c>
      <c r="F74" s="50">
        <f t="shared" si="17"/>
        <v>0</v>
      </c>
      <c r="G74" s="50">
        <f t="shared" si="21"/>
        <v>0</v>
      </c>
      <c r="H74" s="51">
        <f t="shared" si="34"/>
        <v>181627.0829936956</v>
      </c>
      <c r="I74" s="52">
        <f t="shared" si="6"/>
        <v>163839.16079943313</v>
      </c>
      <c r="J74" s="52">
        <f t="shared" si="35"/>
        <v>17787.922194262472</v>
      </c>
      <c r="K74" s="51">
        <f t="shared" si="37"/>
        <v>42033.312878287099</v>
      </c>
      <c r="L74" s="49">
        <f t="shared" si="38"/>
        <v>42109.184036836079</v>
      </c>
      <c r="M74" s="49">
        <f t="shared" si="39"/>
        <v>-43114.75651550047</v>
      </c>
      <c r="N74" s="49">
        <f t="shared" si="29"/>
        <v>43114.75651550047</v>
      </c>
      <c r="O74" s="48">
        <f t="shared" si="32"/>
        <v>224665.96835064708</v>
      </c>
      <c r="P74" s="38">
        <f t="shared" si="36"/>
        <v>224665.96835064708</v>
      </c>
      <c r="Q74" s="53"/>
      <c r="R74" s="53">
        <f t="shared" si="12"/>
        <v>0.05</v>
      </c>
      <c r="S74" s="53">
        <f t="shared" si="13"/>
        <v>4.2653187775606449E-3</v>
      </c>
      <c r="T74" s="53">
        <f t="shared" si="14"/>
        <v>0.05</v>
      </c>
      <c r="U74" s="53">
        <f t="shared" si="20"/>
        <v>4.2653187775606449E-3</v>
      </c>
      <c r="V74" s="53"/>
      <c r="W74" s="63">
        <f t="shared" si="15"/>
        <v>701.81973394726799</v>
      </c>
      <c r="X74" s="64">
        <f t="shared" si="16"/>
        <v>8.5306375551212892E-4</v>
      </c>
      <c r="Z74" s="63"/>
    </row>
    <row r="75" spans="1:26" x14ac:dyDescent="0.2">
      <c r="A75" s="62">
        <f t="shared" si="1"/>
        <v>1.1275278709815486</v>
      </c>
      <c r="B75" s="45">
        <f t="shared" si="3"/>
        <v>64</v>
      </c>
      <c r="C75" s="49">
        <f t="shared" si="33"/>
        <v>9813643.1694089398</v>
      </c>
      <c r="D75" s="47" cm="1">
        <f t="array" ref="D75">_xlfn.IFS(AND($C$7="Y",B75&lt;C$4),C75,AND($C$7="Y",B75=C$4),D74+F75-J75-K75-L75+N75,AND($C$7="Y",B75&gt;$C$4),D74-J75-K75-L75+N75, TRUE, D74-J75-K75-L75+N75)</f>
        <v>9754871.3579345103</v>
      </c>
      <c r="E75" s="48">
        <f t="shared" si="4"/>
        <v>0</v>
      </c>
      <c r="F75" s="50">
        <f t="shared" si="17"/>
        <v>0</v>
      </c>
      <c r="G75" s="50">
        <f t="shared" si="21"/>
        <v>0</v>
      </c>
      <c r="H75" s="51">
        <f t="shared" si="34"/>
        <v>180858.03868764406</v>
      </c>
      <c r="I75" s="52">
        <f t="shared" si="6"/>
        <v>162863.08088203633</v>
      </c>
      <c r="J75" s="52">
        <f t="shared" si="35"/>
        <v>17994.95780560773</v>
      </c>
      <c r="K75" s="51">
        <f t="shared" si="37"/>
        <v>41781.562255330042</v>
      </c>
      <c r="L75" s="49">
        <f t="shared" si="38"/>
        <v>41858.316486759715</v>
      </c>
      <c r="M75" s="49">
        <f t="shared" si="39"/>
        <v>-42863.025073266901</v>
      </c>
      <c r="N75" s="49">
        <f t="shared" si="29"/>
        <v>42863.025073266901</v>
      </c>
      <c r="O75" s="48">
        <f t="shared" si="32"/>
        <v>223644.30952948128</v>
      </c>
      <c r="P75" s="38">
        <f t="shared" si="36"/>
        <v>223644.30952948128</v>
      </c>
      <c r="Q75" s="53"/>
      <c r="R75" s="53">
        <f t="shared" si="12"/>
        <v>0.05</v>
      </c>
      <c r="S75" s="53">
        <f t="shared" si="13"/>
        <v>4.2653187775606449E-3</v>
      </c>
      <c r="T75" s="53">
        <f t="shared" si="14"/>
        <v>0.05</v>
      </c>
      <c r="U75" s="53">
        <f t="shared" si="20"/>
        <v>4.2653187775606449E-3</v>
      </c>
      <c r="V75" s="53"/>
      <c r="W75" s="63">
        <f t="shared" si="15"/>
        <v>697.63860811266193</v>
      </c>
      <c r="X75" s="64">
        <f t="shared" si="16"/>
        <v>8.5306375551212903E-4</v>
      </c>
      <c r="Z75" s="63"/>
    </row>
    <row r="76" spans="1:26" x14ac:dyDescent="0.2">
      <c r="A76" s="62">
        <f t="shared" ref="A76:A139" si="40">D76/C$1</f>
        <v>1.1207394148478862</v>
      </c>
      <c r="B76" s="45">
        <f t="shared" si="3"/>
        <v>65</v>
      </c>
      <c r="C76" s="49">
        <f t="shared" si="33"/>
        <v>9754871.3579345103</v>
      </c>
      <c r="D76" s="47" cm="1">
        <f t="array" ref="D76">_xlfn.IFS(AND($C$7="Y",B76&lt;C$4),C76,AND($C$7="Y",B76=C$4),D75+F76-J76-K76-L76+N76,AND($C$7="Y",B76&gt;$C$4),D75-J76-K76-L76+N76, TRUE, D75-J76-K76-L76+N76)</f>
        <v>9696140.6444797628</v>
      </c>
      <c r="E76" s="48">
        <f t="shared" si="4"/>
        <v>0</v>
      </c>
      <c r="F76" s="50">
        <f t="shared" si="17"/>
        <v>0</v>
      </c>
      <c r="G76" s="50">
        <f t="shared" si="21"/>
        <v>0</v>
      </c>
      <c r="H76" s="51">
        <f t="shared" si="34"/>
        <v>180092.34549515534</v>
      </c>
      <c r="I76" s="52">
        <f t="shared" si="6"/>
        <v>161887.72869931374</v>
      </c>
      <c r="J76" s="52">
        <f t="shared" si="35"/>
        <v>18204.616795841604</v>
      </c>
      <c r="K76" s="51">
        <f t="shared" si="37"/>
        <v>41529.987481828975</v>
      </c>
      <c r="L76" s="49">
        <f t="shared" si="38"/>
        <v>41607.635975686571</v>
      </c>
      <c r="M76" s="49">
        <f t="shared" si="39"/>
        <v>-42611.526798610139</v>
      </c>
      <c r="N76" s="49">
        <f t="shared" si="29"/>
        <v>42611.526798610139</v>
      </c>
      <c r="O76" s="48">
        <f t="shared" si="32"/>
        <v>222626.22379990789</v>
      </c>
      <c r="P76" s="38">
        <f t="shared" si="36"/>
        <v>222626.22379990789</v>
      </c>
      <c r="Q76" s="53"/>
      <c r="R76" s="53">
        <f t="shared" si="12"/>
        <v>0.05</v>
      </c>
      <c r="S76" s="53">
        <f t="shared" si="13"/>
        <v>4.2653187775606449E-3</v>
      </c>
      <c r="T76" s="53">
        <f t="shared" si="14"/>
        <v>0.05</v>
      </c>
      <c r="U76" s="53">
        <f t="shared" si="20"/>
        <v>4.2653187775606449E-3</v>
      </c>
      <c r="V76" s="53"/>
      <c r="W76" s="63">
        <f t="shared" si="15"/>
        <v>693.46059959477623</v>
      </c>
      <c r="X76" s="64">
        <f t="shared" si="16"/>
        <v>8.5306375551212892E-4</v>
      </c>
      <c r="Z76" s="63"/>
    </row>
    <row r="77" spans="1:26" x14ac:dyDescent="0.2">
      <c r="A77" s="62">
        <f t="shared" si="40"/>
        <v>1.1139553884977125</v>
      </c>
      <c r="B77" s="45">
        <f t="shared" ref="B77:B140" si="41">B76+1</f>
        <v>66</v>
      </c>
      <c r="C77" s="49">
        <f t="shared" si="33"/>
        <v>9696140.6444797628</v>
      </c>
      <c r="D77" s="47" cm="1">
        <f t="array" ref="D77">_xlfn.IFS(AND($C$7="Y",B77&lt;C$4),C77,AND($C$7="Y",B77=C$4),D76+F77-J77-K77-L77+N77,AND($C$7="Y",B77&gt;$C$4),D76-J77-K77-L77+N77, TRUE, D76-J77-K77-L77+N77)</f>
        <v>9637448.2555482388</v>
      </c>
      <c r="E77" s="48">
        <f t="shared" ref="E77:E140" si="42">IF(AND($C$7="Y",B77&lt;=$C$4),D76*C$2/12-G77,0)</f>
        <v>0</v>
      </c>
      <c r="F77" s="50">
        <f t="shared" ref="F77:F140" si="43">IF(AND($C$7="Y",B77&lt;=C$4),E77+F76,0)</f>
        <v>0</v>
      </c>
      <c r="G77" s="50">
        <f t="shared" si="21"/>
        <v>0</v>
      </c>
      <c r="H77" s="51">
        <f t="shared" si="34"/>
        <v>179329.99034004562</v>
      </c>
      <c r="I77" s="52">
        <f t="shared" ref="I77:I140" si="44">IF(AND(C$7="Y",$B77&lt;=C$4),0,IF(AND(C$7="Y",$B77&gt;C$4),(1-U77)*C$2*D76/12,IF(AND($C$7="N",C$4&gt;0),(1-U77)*D76*C$2/12, (1-U77)*D76*C$2/12)))</f>
        <v>160913.05856198326</v>
      </c>
      <c r="J77" s="52">
        <f t="shared" si="35"/>
        <v>18416.931778062368</v>
      </c>
      <c r="K77" s="51">
        <f t="shared" si="37"/>
        <v>41278.576675830482</v>
      </c>
      <c r="L77" s="49">
        <f t="shared" si="38"/>
        <v>41357.130760768508</v>
      </c>
      <c r="M77" s="49">
        <f t="shared" si="39"/>
        <v>-42360.250283136891</v>
      </c>
      <c r="N77" s="49">
        <f t="shared" si="29"/>
        <v>42360.250283136891</v>
      </c>
      <c r="O77" s="48">
        <f t="shared" si="32"/>
        <v>221611.68653824448</v>
      </c>
      <c r="P77" s="38">
        <f t="shared" si="36"/>
        <v>221611.68653824448</v>
      </c>
      <c r="Q77" s="53"/>
      <c r="R77" s="53">
        <f t="shared" ref="R77:R140" si="45">R$9</f>
        <v>0.05</v>
      </c>
      <c r="S77" s="53">
        <f t="shared" ref="S77:S140" si="46">1-(1-R77)^(1/12)</f>
        <v>4.2653187775606449E-3</v>
      </c>
      <c r="T77" s="53">
        <f t="shared" ref="T77:T140" si="47">T$9</f>
        <v>0.05</v>
      </c>
      <c r="U77" s="53">
        <f t="shared" si="20"/>
        <v>4.2653187775606449E-3</v>
      </c>
      <c r="V77" s="53"/>
      <c r="W77" s="63">
        <f t="shared" ref="W77:W140" si="48">D76*U77*C$2/12</f>
        <v>689.28551267947523</v>
      </c>
      <c r="X77" s="64">
        <f t="shared" ref="X77:X140" si="49">12*W77/D76</f>
        <v>8.5306375551212914E-4</v>
      </c>
      <c r="Z77" s="63"/>
    </row>
    <row r="78" spans="1:26" x14ac:dyDescent="0.2">
      <c r="A78" s="62">
        <f t="shared" si="40"/>
        <v>1.1071754689580644</v>
      </c>
      <c r="B78" s="45">
        <f t="shared" si="41"/>
        <v>67</v>
      </c>
      <c r="C78" s="49">
        <f t="shared" si="33"/>
        <v>9637448.2555482388</v>
      </c>
      <c r="D78" s="47" cm="1">
        <f t="array" ref="D78">_xlfn.IFS(AND($C$7="Y",B78&lt;C$4),C78,AND($C$7="Y",B78=C$4),D77+F78-J78-K78-L78+N78,AND($C$7="Y",B78&gt;$C$4),D77-J78-K78-L78+N78, TRUE, D77-J78-K78-L78+N78)</f>
        <v>9578791.39692102</v>
      </c>
      <c r="E78" s="48">
        <f t="shared" si="42"/>
        <v>0</v>
      </c>
      <c r="F78" s="50">
        <f t="shared" si="43"/>
        <v>0</v>
      </c>
      <c r="G78" s="50">
        <f t="shared" si="21"/>
        <v>0</v>
      </c>
      <c r="H78" s="51">
        <f t="shared" si="34"/>
        <v>178570.96022757192</v>
      </c>
      <c r="I78" s="52">
        <f t="shared" si="44"/>
        <v>159939.02444226798</v>
      </c>
      <c r="J78" s="52">
        <f t="shared" si="35"/>
        <v>18631.93578530394</v>
      </c>
      <c r="K78" s="51">
        <f t="shared" si="37"/>
        <v>41027.31786659162</v>
      </c>
      <c r="L78" s="49">
        <f t="shared" si="38"/>
        <v>41106.789012158981</v>
      </c>
      <c r="M78" s="49">
        <f t="shared" si="39"/>
        <v>-42109.184036836079</v>
      </c>
      <c r="N78" s="49">
        <f t="shared" si="29"/>
        <v>42109.184036836079</v>
      </c>
      <c r="O78" s="48">
        <f t="shared" si="32"/>
        <v>220600.67311884064</v>
      </c>
      <c r="P78" s="38">
        <f t="shared" si="36"/>
        <v>220600.67311884064</v>
      </c>
      <c r="Q78" s="53"/>
      <c r="R78" s="53">
        <f t="shared" si="45"/>
        <v>0.05</v>
      </c>
      <c r="S78" s="53">
        <f t="shared" si="46"/>
        <v>4.2653187775606449E-3</v>
      </c>
      <c r="T78" s="53">
        <f t="shared" si="47"/>
        <v>0.05</v>
      </c>
      <c r="U78" s="53">
        <f t="shared" ref="U78:U141" si="50">1-(1-T78)^(1/12)</f>
        <v>4.2653187775606449E-3</v>
      </c>
      <c r="V78" s="53"/>
      <c r="W78" s="63">
        <f t="shared" si="48"/>
        <v>685.11315020264965</v>
      </c>
      <c r="X78" s="64">
        <f t="shared" si="49"/>
        <v>8.5306375551212892E-4</v>
      </c>
      <c r="Z78" s="63"/>
    </row>
    <row r="79" spans="1:26" x14ac:dyDescent="0.2">
      <c r="A79" s="62">
        <f t="shared" si="40"/>
        <v>1.1003993308225992</v>
      </c>
      <c r="B79" s="45">
        <f t="shared" si="41"/>
        <v>68</v>
      </c>
      <c r="C79" s="49">
        <f t="shared" si="33"/>
        <v>9578791.39692102</v>
      </c>
      <c r="D79" s="47" cm="1">
        <f t="array" ref="D79">_xlfn.IFS(AND($C$7="Y",B79&lt;C$4),C79,AND($C$7="Y",B79=C$4),D78+F79-J79-K79-L79+N79,AND($C$7="Y",B79&gt;$C$4),D78-J79-K79-L79+N79, TRUE, D78-J79-K79-L79+N79)</f>
        <v>9520167.2533266675</v>
      </c>
      <c r="E79" s="48">
        <f t="shared" si="42"/>
        <v>0</v>
      </c>
      <c r="F79" s="50">
        <f t="shared" si="43"/>
        <v>0</v>
      </c>
      <c r="G79" s="50">
        <f t="shared" ref="G79:G142" si="51">IF($B79&lt;=$C$4,C$6,0)</f>
        <v>0</v>
      </c>
      <c r="H79" s="51">
        <f t="shared" si="34"/>
        <v>177815.24224481467</v>
      </c>
      <c r="I79" s="52">
        <f t="shared" si="44"/>
        <v>158965.57996848994</v>
      </c>
      <c r="J79" s="52">
        <f t="shared" si="35"/>
        <v>18849.662276324729</v>
      </c>
      <c r="K79" s="51">
        <f t="shared" si="37"/>
        <v>40776.198993165708</v>
      </c>
      <c r="L79" s="49">
        <f t="shared" si="38"/>
        <v>40856.598811623589</v>
      </c>
      <c r="M79" s="49">
        <f t="shared" si="39"/>
        <v>-41858.316486759715</v>
      </c>
      <c r="N79" s="49">
        <f t="shared" si="29"/>
        <v>41858.316486759715</v>
      </c>
      <c r="O79" s="48">
        <f t="shared" si="32"/>
        <v>219593.15891311652</v>
      </c>
      <c r="P79" s="38">
        <f t="shared" si="36"/>
        <v>219593.15891311652</v>
      </c>
      <c r="Q79" s="53"/>
      <c r="R79" s="53">
        <f t="shared" si="45"/>
        <v>0.05</v>
      </c>
      <c r="S79" s="53">
        <f t="shared" si="46"/>
        <v>4.2653187775606449E-3</v>
      </c>
      <c r="T79" s="53">
        <f t="shared" si="47"/>
        <v>0.05</v>
      </c>
      <c r="U79" s="53">
        <f t="shared" si="50"/>
        <v>4.2653187775606449E-3</v>
      </c>
      <c r="V79" s="53"/>
      <c r="W79" s="63">
        <f t="shared" si="48"/>
        <v>680.94331352705979</v>
      </c>
      <c r="X79" s="64">
        <f t="shared" si="49"/>
        <v>8.5306375551212903E-4</v>
      </c>
      <c r="Z79" s="63"/>
    </row>
    <row r="80" spans="1:26" x14ac:dyDescent="0.2">
      <c r="A80" s="62">
        <f t="shared" si="40"/>
        <v>1.0936266462129356</v>
      </c>
      <c r="B80" s="45">
        <f t="shared" si="41"/>
        <v>69</v>
      </c>
      <c r="C80" s="49">
        <f t="shared" si="33"/>
        <v>9520167.2533266675</v>
      </c>
      <c r="D80" s="47" cm="1">
        <f t="array" ref="D80">_xlfn.IFS(AND($C$7="Y",B80&lt;C$4),C80,AND($C$7="Y",B80=C$4),D79+F80-J80-K80-L80+N80,AND($C$7="Y",B80&gt;$C$4),D79-J80-K80-L80+N80, TRUE, D79-J80-K80-L80+N80)</f>
        <v>9461572.9881067593</v>
      </c>
      <c r="E80" s="48">
        <f t="shared" si="42"/>
        <v>0</v>
      </c>
      <c r="F80" s="50">
        <f t="shared" si="43"/>
        <v>0</v>
      </c>
      <c r="G80" s="50">
        <f t="shared" si="51"/>
        <v>0</v>
      </c>
      <c r="H80" s="51">
        <f t="shared" si="34"/>
        <v>177062.82356108591</v>
      </c>
      <c r="I80" s="52">
        <f t="shared" si="44"/>
        <v>157992.67841959224</v>
      </c>
      <c r="J80" s="52">
        <f t="shared" si="35"/>
        <v>19070.145141493675</v>
      </c>
      <c r="K80" s="51">
        <f t="shared" si="37"/>
        <v>40525.207902969363</v>
      </c>
      <c r="L80" s="49">
        <f t="shared" si="38"/>
        <v>40606.548151132185</v>
      </c>
      <c r="M80" s="49">
        <f t="shared" si="39"/>
        <v>-41607.635975686571</v>
      </c>
      <c r="N80" s="49">
        <f t="shared" si="29"/>
        <v>41607.635975686571</v>
      </c>
      <c r="O80" s="48">
        <f t="shared" si="32"/>
        <v>218589.11928860965</v>
      </c>
      <c r="P80" s="38">
        <f t="shared" si="36"/>
        <v>218589.11928860965</v>
      </c>
      <c r="Q80" s="53"/>
      <c r="R80" s="53">
        <f t="shared" si="45"/>
        <v>0.05</v>
      </c>
      <c r="S80" s="53">
        <f t="shared" si="46"/>
        <v>4.2653187775606449E-3</v>
      </c>
      <c r="T80" s="53">
        <f t="shared" si="47"/>
        <v>0.05</v>
      </c>
      <c r="U80" s="53">
        <f t="shared" si="50"/>
        <v>4.2653187775606449E-3</v>
      </c>
      <c r="V80" s="53"/>
      <c r="W80" s="63">
        <f t="shared" si="48"/>
        <v>676.7758025188698</v>
      </c>
      <c r="X80" s="64">
        <f t="shared" si="49"/>
        <v>8.5306375551212903E-4</v>
      </c>
      <c r="Z80" s="63"/>
    </row>
    <row r="81" spans="1:26" x14ac:dyDescent="0.2">
      <c r="A81" s="62">
        <f t="shared" si="40"/>
        <v>1.0868570847394816</v>
      </c>
      <c r="B81" s="45">
        <f t="shared" si="41"/>
        <v>70</v>
      </c>
      <c r="C81" s="49">
        <f t="shared" si="33"/>
        <v>9461572.9881067593</v>
      </c>
      <c r="D81" s="47" cm="1">
        <f t="array" ref="D81">_xlfn.IFS(AND($C$7="Y",B81&lt;C$4),C81,AND($C$7="Y",B81=C$4),D80+F81-J81-K81-L81+N81,AND($C$7="Y",B81&gt;$C$4),D80-J81-K81-L81+N81, TRUE, D80-J81-K81-L81+N81)</f>
        <v>9403005.7428769916</v>
      </c>
      <c r="E81" s="48">
        <f t="shared" si="42"/>
        <v>0</v>
      </c>
      <c r="F81" s="50">
        <f t="shared" si="43"/>
        <v>0</v>
      </c>
      <c r="G81" s="50">
        <f t="shared" si="51"/>
        <v>0</v>
      </c>
      <c r="H81" s="51">
        <f t="shared" si="34"/>
        <v>176313.69142836294</v>
      </c>
      <c r="I81" s="52">
        <f t="shared" si="44"/>
        <v>157020.2727195888</v>
      </c>
      <c r="J81" s="52">
        <f t="shared" si="35"/>
        <v>19293.418708774145</v>
      </c>
      <c r="K81" s="51">
        <f t="shared" si="37"/>
        <v>40274.332350330471</v>
      </c>
      <c r="L81" s="49">
        <f t="shared" si="38"/>
        <v>40356.624931432343</v>
      </c>
      <c r="M81" s="49">
        <f t="shared" si="39"/>
        <v>-41357.130760768508</v>
      </c>
      <c r="N81" s="49">
        <f t="shared" si="29"/>
        <v>41357.130760768508</v>
      </c>
      <c r="O81" s="48">
        <f t="shared" si="32"/>
        <v>217588.52960802958</v>
      </c>
      <c r="P81" s="38">
        <f t="shared" si="36"/>
        <v>217588.52960802958</v>
      </c>
      <c r="Q81" s="53"/>
      <c r="R81" s="53">
        <f t="shared" si="45"/>
        <v>0.05</v>
      </c>
      <c r="S81" s="53">
        <f t="shared" si="46"/>
        <v>4.2653187775606449E-3</v>
      </c>
      <c r="T81" s="53">
        <f t="shared" si="47"/>
        <v>0.05</v>
      </c>
      <c r="U81" s="53">
        <f t="shared" si="50"/>
        <v>4.2653187775606449E-3</v>
      </c>
      <c r="V81" s="53"/>
      <c r="W81" s="63">
        <f t="shared" si="48"/>
        <v>672.61041552387235</v>
      </c>
      <c r="X81" s="64">
        <f t="shared" si="49"/>
        <v>8.5306375551212903E-4</v>
      </c>
      <c r="Z81" s="63"/>
    </row>
    <row r="82" spans="1:26" x14ac:dyDescent="0.2">
      <c r="A82" s="62">
        <f t="shared" si="40"/>
        <v>1.0800903134617352</v>
      </c>
      <c r="B82" s="45">
        <f t="shared" si="41"/>
        <v>71</v>
      </c>
      <c r="C82" s="49">
        <f t="shared" si="33"/>
        <v>9403005.7428769916</v>
      </c>
      <c r="D82" s="47" cm="1">
        <f t="array" ref="D82">_xlfn.IFS(AND($C$7="Y",B82&lt;C$4),C82,AND($C$7="Y",B82=C$4),D81+F82-J82-K82-L82+N82,AND($C$7="Y",B82&gt;$C$4),D81-J82-K82-L82+N82, TRUE, D81-J82-K82-L82+N82)</f>
        <v>9344462.6371837202</v>
      </c>
      <c r="E82" s="48">
        <f t="shared" si="42"/>
        <v>0</v>
      </c>
      <c r="F82" s="50">
        <f t="shared" si="43"/>
        <v>0</v>
      </c>
      <c r="G82" s="50">
        <f t="shared" si="51"/>
        <v>0</v>
      </c>
      <c r="H82" s="51">
        <f t="shared" si="34"/>
        <v>175567.83318174974</v>
      </c>
      <c r="I82" s="52">
        <f t="shared" si="44"/>
        <v>156048.31543193979</v>
      </c>
      <c r="J82" s="52">
        <f t="shared" si="35"/>
        <v>19519.517749809951</v>
      </c>
      <c r="K82" s="51">
        <f t="shared" si="37"/>
        <v>40023.559995016622</v>
      </c>
      <c r="L82" s="49">
        <f t="shared" si="38"/>
        <v>40106.816960603814</v>
      </c>
      <c r="M82" s="49">
        <f t="shared" si="39"/>
        <v>-41106.789012158981</v>
      </c>
      <c r="N82" s="49">
        <f t="shared" si="29"/>
        <v>41106.789012158981</v>
      </c>
      <c r="O82" s="48">
        <f t="shared" si="32"/>
        <v>216591.36522832152</v>
      </c>
      <c r="P82" s="38">
        <f t="shared" si="36"/>
        <v>216591.36522832152</v>
      </c>
      <c r="Q82" s="53"/>
      <c r="R82" s="53">
        <f t="shared" si="45"/>
        <v>0.05</v>
      </c>
      <c r="S82" s="53">
        <f t="shared" si="46"/>
        <v>4.2653187775606449E-3</v>
      </c>
      <c r="T82" s="53">
        <f t="shared" si="47"/>
        <v>0.05</v>
      </c>
      <c r="U82" s="53">
        <f t="shared" si="50"/>
        <v>4.2653187775606449E-3</v>
      </c>
      <c r="V82" s="53"/>
      <c r="W82" s="63">
        <f t="shared" si="48"/>
        <v>668.44694934339691</v>
      </c>
      <c r="X82" s="64">
        <f t="shared" si="49"/>
        <v>8.5306375551212903E-4</v>
      </c>
      <c r="Z82" s="63"/>
    </row>
    <row r="83" spans="1:26" x14ac:dyDescent="0.2">
      <c r="A83" s="62">
        <f t="shared" si="40"/>
        <v>1.0733259968480531</v>
      </c>
      <c r="B83" s="45">
        <f t="shared" si="41"/>
        <v>72</v>
      </c>
      <c r="C83" s="49">
        <f t="shared" si="33"/>
        <v>9344462.6371837202</v>
      </c>
      <c r="D83" s="47" cm="1">
        <f t="array" ref="D83">_xlfn.IFS(AND($C$7="Y",B83&lt;C$4),C83,AND($C$7="Y",B83=C$4),D82+F83-J83-K83-L83+N83,AND($C$7="Y",B83&gt;$C$4),D82-J83-K83-L83+N83, TRUE, D82-J83-K83-L83+N83)</f>
        <v>9285940.7681558914</v>
      </c>
      <c r="E83" s="48">
        <f t="shared" si="42"/>
        <v>0</v>
      </c>
      <c r="F83" s="50">
        <f t="shared" si="43"/>
        <v>0</v>
      </c>
      <c r="G83" s="50">
        <f t="shared" si="51"/>
        <v>0</v>
      </c>
      <c r="H83" s="51">
        <f t="shared" si="34"/>
        <v>174825.23623996659</v>
      </c>
      <c r="I83" s="52">
        <f t="shared" si="44"/>
        <v>155076.7587538521</v>
      </c>
      <c r="J83" s="52">
        <f t="shared" si="35"/>
        <v>19748.477486114483</v>
      </c>
      <c r="K83" s="51">
        <f t="shared" si="37"/>
        <v>39772.878400743823</v>
      </c>
      <c r="L83" s="49">
        <f t="shared" si="38"/>
        <v>39857.111952593586</v>
      </c>
      <c r="M83" s="49">
        <f t="shared" si="39"/>
        <v>-40856.598811623589</v>
      </c>
      <c r="N83" s="49">
        <f t="shared" si="29"/>
        <v>40856.598811623589</v>
      </c>
      <c r="O83" s="48">
        <f t="shared" si="32"/>
        <v>215597.60149974041</v>
      </c>
      <c r="P83" s="38">
        <f t="shared" si="36"/>
        <v>215597.60149974041</v>
      </c>
      <c r="Q83" s="53"/>
      <c r="R83" s="53">
        <f t="shared" si="45"/>
        <v>0.05</v>
      </c>
      <c r="S83" s="53">
        <f t="shared" si="46"/>
        <v>4.2653187775606449E-3</v>
      </c>
      <c r="T83" s="53">
        <f t="shared" si="47"/>
        <v>0.05</v>
      </c>
      <c r="U83" s="53">
        <f t="shared" si="50"/>
        <v>4.2653187775606449E-3</v>
      </c>
      <c r="V83" s="53"/>
      <c r="W83" s="63">
        <f t="shared" si="48"/>
        <v>664.28519920989311</v>
      </c>
      <c r="X83" s="64">
        <f t="shared" si="49"/>
        <v>8.5306375551212903E-4</v>
      </c>
      <c r="Z83" s="63"/>
    </row>
    <row r="84" spans="1:26" x14ac:dyDescent="0.2">
      <c r="A84" s="62">
        <f t="shared" si="40"/>
        <v>1.0665637967348731</v>
      </c>
      <c r="B84" s="45">
        <f t="shared" si="41"/>
        <v>73</v>
      </c>
      <c r="C84" s="49">
        <f t="shared" si="33"/>
        <v>9285940.7681558914</v>
      </c>
      <c r="D84" s="47" cm="1">
        <f t="array" ref="D84">_xlfn.IFS(AND($C$7="Y",B84&lt;C$4),C84,AND($C$7="Y",B84=C$4),D83+F84-J84-K84-L84+N84,AND($C$7="Y",B84&gt;$C$4),D83-J84-K84-L84+N84, TRUE, D83-J84-K84-L84+N84)</f>
        <v>9227437.2101522591</v>
      </c>
      <c r="E84" s="48">
        <f t="shared" si="42"/>
        <v>0</v>
      </c>
      <c r="F84" s="50">
        <f t="shared" si="43"/>
        <v>0</v>
      </c>
      <c r="G84" s="50">
        <f t="shared" si="51"/>
        <v>0</v>
      </c>
      <c r="H84" s="51">
        <f t="shared" si="34"/>
        <v>174085.88810586909</v>
      </c>
      <c r="I84" s="52">
        <f t="shared" si="44"/>
        <v>154105.55451050267</v>
      </c>
      <c r="J84" s="52">
        <f t="shared" si="35"/>
        <v>19980.333595366421</v>
      </c>
      <c r="K84" s="51">
        <f t="shared" si="37"/>
        <v>39522.275033664999</v>
      </c>
      <c r="L84" s="49">
        <f t="shared" si="38"/>
        <v>39607.49752573124</v>
      </c>
      <c r="M84" s="49">
        <f t="shared" si="39"/>
        <v>-40606.548151132185</v>
      </c>
      <c r="N84" s="49">
        <f t="shared" si="29"/>
        <v>40606.548151132185</v>
      </c>
      <c r="O84" s="48">
        <f t="shared" si="32"/>
        <v>214607.21376493503</v>
      </c>
      <c r="P84" s="38">
        <f t="shared" si="36"/>
        <v>214607.21376493503</v>
      </c>
      <c r="Q84" s="53"/>
      <c r="R84" s="53">
        <f t="shared" si="45"/>
        <v>0.05</v>
      </c>
      <c r="S84" s="53">
        <f t="shared" si="46"/>
        <v>4.2653187775606449E-3</v>
      </c>
      <c r="T84" s="53">
        <f t="shared" si="47"/>
        <v>0.05</v>
      </c>
      <c r="U84" s="53">
        <f t="shared" si="50"/>
        <v>4.2653187775606449E-3</v>
      </c>
      <c r="V84" s="53"/>
      <c r="W84" s="63">
        <f t="shared" si="48"/>
        <v>660.12495876218736</v>
      </c>
      <c r="X84" s="64">
        <f t="shared" si="49"/>
        <v>8.5306375551212892E-4</v>
      </c>
      <c r="Z84" s="63"/>
    </row>
    <row r="85" spans="1:26" x14ac:dyDescent="0.2">
      <c r="A85" s="62">
        <f t="shared" si="40"/>
        <v>1.0598033722853846</v>
      </c>
      <c r="B85" s="45">
        <f t="shared" si="41"/>
        <v>74</v>
      </c>
      <c r="C85" s="49">
        <f t="shared" si="33"/>
        <v>9227437.2101522591</v>
      </c>
      <c r="D85" s="47" cm="1">
        <f t="array" ref="D85">_xlfn.IFS(AND($C$7="Y",B85&lt;C$4),C85,AND($C$7="Y",B85=C$4),D84+F85-J85-K85-L85+N85,AND($C$7="Y",B85&gt;$C$4),D84-J85-K85-L85+N85, TRUE, D84-J85-K85-L85+N85)</f>
        <v>9168949.0144038144</v>
      </c>
      <c r="E85" s="48">
        <f t="shared" si="42"/>
        <v>0</v>
      </c>
      <c r="F85" s="50">
        <f t="shared" si="43"/>
        <v>0</v>
      </c>
      <c r="G85" s="50">
        <f t="shared" si="51"/>
        <v>0</v>
      </c>
      <c r="H85" s="51">
        <f t="shared" si="34"/>
        <v>173349.7763669985</v>
      </c>
      <c r="I85" s="52">
        <f t="shared" si="44"/>
        <v>153134.65414918392</v>
      </c>
      <c r="J85" s="52">
        <f t="shared" si="35"/>
        <v>20215.122217814584</v>
      </c>
      <c r="K85" s="51">
        <f t="shared" si="37"/>
        <v>39271.737260837908</v>
      </c>
      <c r="L85" s="49">
        <f t="shared" si="38"/>
        <v>39357.961201224243</v>
      </c>
      <c r="M85" s="49">
        <f t="shared" si="39"/>
        <v>-40356.624931432343</v>
      </c>
      <c r="N85" s="49">
        <f t="shared" si="29"/>
        <v>40356.624931432343</v>
      </c>
      <c r="O85" s="48">
        <f t="shared" si="32"/>
        <v>213620.17735804449</v>
      </c>
      <c r="P85" s="38">
        <f t="shared" si="36"/>
        <v>213620.17735804449</v>
      </c>
      <c r="Q85" s="53"/>
      <c r="R85" s="53">
        <f t="shared" si="45"/>
        <v>0.05</v>
      </c>
      <c r="S85" s="53">
        <f t="shared" si="46"/>
        <v>4.2653187775606449E-3</v>
      </c>
      <c r="T85" s="53">
        <f t="shared" si="47"/>
        <v>0.05</v>
      </c>
      <c r="U85" s="53">
        <f t="shared" si="50"/>
        <v>4.2653187775606449E-3</v>
      </c>
      <c r="V85" s="53"/>
      <c r="W85" s="63">
        <f t="shared" si="48"/>
        <v>655.96602002040402</v>
      </c>
      <c r="X85" s="64">
        <f t="shared" si="49"/>
        <v>8.5306375551212903E-4</v>
      </c>
      <c r="Z85" s="63"/>
    </row>
    <row r="86" spans="1:26" x14ac:dyDescent="0.2">
      <c r="A86" s="62">
        <f t="shared" si="40"/>
        <v>1.0530443799476317</v>
      </c>
      <c r="B86" s="45">
        <f t="shared" si="41"/>
        <v>75</v>
      </c>
      <c r="C86" s="49">
        <f t="shared" si="33"/>
        <v>9168949.0144038144</v>
      </c>
      <c r="D86" s="47" cm="1">
        <f t="array" ref="D86">_xlfn.IFS(AND($C$7="Y",B86&lt;C$4),C86,AND($C$7="Y",B86=C$4),D85+F86-J86-K86-L86+N86,AND($C$7="Y",B86&gt;$C$4),D85-J86-K86-L86+N86, TRUE, D85-J86-K86-L86+N86)</f>
        <v>9110473.2086513173</v>
      </c>
      <c r="E86" s="48">
        <f t="shared" si="42"/>
        <v>0</v>
      </c>
      <c r="F86" s="50">
        <f t="shared" si="43"/>
        <v>0</v>
      </c>
      <c r="G86" s="50">
        <f t="shared" si="51"/>
        <v>0</v>
      </c>
      <c r="H86" s="51">
        <f t="shared" si="34"/>
        <v>172616.88869616442</v>
      </c>
      <c r="I86" s="52">
        <f t="shared" si="44"/>
        <v>152164.0087333697</v>
      </c>
      <c r="J86" s="52">
        <f t="shared" si="35"/>
        <v>20452.879962794716</v>
      </c>
      <c r="K86" s="51">
        <f t="shared" si="37"/>
        <v>39021.252348672257</v>
      </c>
      <c r="L86" s="49">
        <f t="shared" si="38"/>
        <v>39108.490401632756</v>
      </c>
      <c r="M86" s="49">
        <f t="shared" si="39"/>
        <v>-40106.816960603814</v>
      </c>
      <c r="N86" s="49">
        <f t="shared" si="29"/>
        <v>40106.816960603814</v>
      </c>
      <c r="O86" s="48">
        <f t="shared" si="32"/>
        <v>212636.46760380772</v>
      </c>
      <c r="P86" s="38">
        <f t="shared" si="36"/>
        <v>212636.46760380772</v>
      </c>
      <c r="Q86" s="53"/>
      <c r="R86" s="53">
        <f t="shared" si="45"/>
        <v>0.05</v>
      </c>
      <c r="S86" s="53">
        <f t="shared" si="46"/>
        <v>4.2653187775606449E-3</v>
      </c>
      <c r="T86" s="53">
        <f t="shared" si="47"/>
        <v>0.05</v>
      </c>
      <c r="U86" s="53">
        <f t="shared" si="50"/>
        <v>4.2653187775606449E-3</v>
      </c>
      <c r="V86" s="53"/>
      <c r="W86" s="63">
        <f t="shared" si="48"/>
        <v>651.80817336054599</v>
      </c>
      <c r="X86" s="64">
        <f t="shared" si="49"/>
        <v>8.5306375551212903E-4</v>
      </c>
      <c r="Z86" s="63"/>
    </row>
    <row r="87" spans="1:26" x14ac:dyDescent="0.2">
      <c r="A87" s="62">
        <f t="shared" si="40"/>
        <v>1.0462864734120447</v>
      </c>
      <c r="B87" s="45">
        <f t="shared" si="41"/>
        <v>76</v>
      </c>
      <c r="C87" s="49">
        <f t="shared" si="33"/>
        <v>9110473.2086513173</v>
      </c>
      <c r="D87" s="47" cm="1">
        <f t="array" ref="D87">_xlfn.IFS(AND($C$7="Y",B87&lt;C$4),C87,AND($C$7="Y",B87=C$4),D86+F87-J87-K87-L87+N87,AND($C$7="Y",B87&gt;$C$4),D86-J87-K87-L87+N87, TRUE, D86-J87-K87-L87+N87)</f>
        <v>9052006.7967778724</v>
      </c>
      <c r="E87" s="48">
        <f t="shared" si="42"/>
        <v>0</v>
      </c>
      <c r="F87" s="50">
        <f t="shared" si="43"/>
        <v>0</v>
      </c>
      <c r="G87" s="50">
        <f t="shared" si="51"/>
        <v>0</v>
      </c>
      <c r="H87" s="51">
        <f t="shared" si="34"/>
        <v>171887.21285206079</v>
      </c>
      <c r="I87" s="52">
        <f t="shared" si="44"/>
        <v>151193.56893669988</v>
      </c>
      <c r="J87" s="52">
        <f t="shared" si="35"/>
        <v>20693.64391536091</v>
      </c>
      <c r="K87" s="51">
        <f t="shared" si="37"/>
        <v>38770.807461355304</v>
      </c>
      <c r="L87" s="49">
        <f t="shared" si="38"/>
        <v>38859.072449323641</v>
      </c>
      <c r="M87" s="49">
        <f t="shared" si="39"/>
        <v>-39857.111952593586</v>
      </c>
      <c r="N87" s="49">
        <f t="shared" si="29"/>
        <v>39857.111952593586</v>
      </c>
      <c r="O87" s="48">
        <f t="shared" si="32"/>
        <v>211656.05981668603</v>
      </c>
      <c r="P87" s="38">
        <f t="shared" si="36"/>
        <v>211656.05981668603</v>
      </c>
      <c r="Q87" s="53"/>
      <c r="R87" s="53">
        <f t="shared" si="45"/>
        <v>0.05</v>
      </c>
      <c r="S87" s="53">
        <f t="shared" si="46"/>
        <v>4.2653187775606449E-3</v>
      </c>
      <c r="T87" s="53">
        <f t="shared" si="47"/>
        <v>0.05</v>
      </c>
      <c r="U87" s="53">
        <f t="shared" si="50"/>
        <v>4.2653187775606449E-3</v>
      </c>
      <c r="V87" s="53"/>
      <c r="W87" s="63">
        <f t="shared" si="48"/>
        <v>647.65120748872744</v>
      </c>
      <c r="X87" s="64">
        <f t="shared" si="49"/>
        <v>8.5306375551212914E-4</v>
      </c>
      <c r="Z87" s="63"/>
    </row>
    <row r="88" spans="1:26" x14ac:dyDescent="0.2">
      <c r="A88" s="62">
        <f t="shared" si="40"/>
        <v>1.0395293035683815</v>
      </c>
      <c r="B88" s="45">
        <f t="shared" si="41"/>
        <v>77</v>
      </c>
      <c r="C88" s="49">
        <f t="shared" si="33"/>
        <v>9052006.7967778724</v>
      </c>
      <c r="D88" s="47" cm="1">
        <f t="array" ref="D88">_xlfn.IFS(AND($C$7="Y",B88&lt;C$4),C88,AND($C$7="Y",B88=C$4),D87+F88-J88-K88-L88+N88,AND($C$7="Y",B88&gt;$C$4),D87-J88-K88-L88+N88, TRUE, D87-J88-K88-L88+N88)</f>
        <v>8993546.7584364098</v>
      </c>
      <c r="E88" s="48">
        <f t="shared" si="42"/>
        <v>0</v>
      </c>
      <c r="F88" s="50">
        <f t="shared" si="43"/>
        <v>0</v>
      </c>
      <c r="G88" s="50">
        <f t="shared" si="51"/>
        <v>0</v>
      </c>
      <c r="H88" s="51">
        <f t="shared" si="34"/>
        <v>171160.73667991831</v>
      </c>
      <c r="I88" s="52">
        <f t="shared" si="44"/>
        <v>150223.28503688282</v>
      </c>
      <c r="J88" s="52">
        <f t="shared" si="35"/>
        <v>20937.451643035485</v>
      </c>
      <c r="K88" s="51">
        <f t="shared" si="37"/>
        <v>38520.389659255939</v>
      </c>
      <c r="L88" s="49">
        <f t="shared" si="38"/>
        <v>38609.694564903242</v>
      </c>
      <c r="M88" s="49">
        <f t="shared" si="39"/>
        <v>-39607.49752573124</v>
      </c>
      <c r="N88" s="49">
        <f t="shared" si="29"/>
        <v>39607.49752573124</v>
      </c>
      <c r="O88" s="48">
        <f t="shared" si="32"/>
        <v>210678.92930000226</v>
      </c>
      <c r="P88" s="38">
        <f t="shared" si="36"/>
        <v>210678.92930000226</v>
      </c>
      <c r="Q88" s="53"/>
      <c r="R88" s="53">
        <f t="shared" si="45"/>
        <v>0.05</v>
      </c>
      <c r="S88" s="53">
        <f t="shared" si="46"/>
        <v>4.2653187775606449E-3</v>
      </c>
      <c r="T88" s="53">
        <f t="shared" si="47"/>
        <v>0.05</v>
      </c>
      <c r="U88" s="53">
        <f t="shared" si="50"/>
        <v>4.2653187775606449E-3</v>
      </c>
      <c r="V88" s="53"/>
      <c r="W88" s="63">
        <f t="shared" si="48"/>
        <v>643.49490941505405</v>
      </c>
      <c r="X88" s="64">
        <f t="shared" si="49"/>
        <v>8.5306375551212892E-4</v>
      </c>
      <c r="Z88" s="63"/>
    </row>
    <row r="89" spans="1:26" x14ac:dyDescent="0.2">
      <c r="A89" s="62">
        <f t="shared" si="40"/>
        <v>1.0327725184620749</v>
      </c>
      <c r="B89" s="45">
        <f t="shared" si="41"/>
        <v>78</v>
      </c>
      <c r="C89" s="49">
        <f t="shared" si="33"/>
        <v>8993546.7584364098</v>
      </c>
      <c r="D89" s="47" cm="1">
        <f t="array" ref="D89">_xlfn.IFS(AND($C$7="Y",B89&lt;C$4),C89,AND($C$7="Y",B89=C$4),D88+F89-J89-K89-L89+N89,AND($C$7="Y",B89&gt;$C$4),D88-J89-K89-L89+N89, TRUE, D88-J89-K89-L89+N89)</f>
        <v>8935090.0486720186</v>
      </c>
      <c r="E89" s="48">
        <f t="shared" si="42"/>
        <v>0</v>
      </c>
      <c r="F89" s="50">
        <f t="shared" si="43"/>
        <v>0</v>
      </c>
      <c r="G89" s="50">
        <f t="shared" si="51"/>
        <v>0</v>
      </c>
      <c r="H89" s="51">
        <f t="shared" si="34"/>
        <v>170437.44811219277</v>
      </c>
      <c r="I89" s="52">
        <f t="shared" si="44"/>
        <v>149253.10690951304</v>
      </c>
      <c r="J89" s="52">
        <f t="shared" si="35"/>
        <v>21184.34120267973</v>
      </c>
      <c r="K89" s="51">
        <f t="shared" si="37"/>
        <v>38269.985897306447</v>
      </c>
      <c r="L89" s="49">
        <f t="shared" si="38"/>
        <v>38360.343865628485</v>
      </c>
      <c r="M89" s="49">
        <f t="shared" si="39"/>
        <v>-39357.961201224243</v>
      </c>
      <c r="N89" s="49">
        <f t="shared" si="29"/>
        <v>39357.961201224243</v>
      </c>
      <c r="O89" s="48">
        <f t="shared" si="32"/>
        <v>209705.05134509498</v>
      </c>
      <c r="P89" s="38">
        <f t="shared" si="36"/>
        <v>209705.05134509498</v>
      </c>
      <c r="Q89" s="53"/>
      <c r="R89" s="53">
        <f t="shared" si="45"/>
        <v>0.05</v>
      </c>
      <c r="S89" s="53">
        <f t="shared" si="46"/>
        <v>4.2653187775606449E-3</v>
      </c>
      <c r="T89" s="53">
        <f t="shared" si="47"/>
        <v>0.05</v>
      </c>
      <c r="U89" s="53">
        <f t="shared" si="50"/>
        <v>4.2653187775606449E-3</v>
      </c>
      <c r="V89" s="53"/>
      <c r="W89" s="63">
        <f t="shared" si="48"/>
        <v>639.33906442714147</v>
      </c>
      <c r="X89" s="64">
        <f t="shared" si="49"/>
        <v>8.5306375551212903E-4</v>
      </c>
      <c r="Z89" s="63"/>
    </row>
    <row r="90" spans="1:26" x14ac:dyDescent="0.2">
      <c r="A90" s="62">
        <f t="shared" si="40"/>
        <v>1.0260157632499691</v>
      </c>
      <c r="B90" s="45">
        <f t="shared" si="41"/>
        <v>79</v>
      </c>
      <c r="C90" s="49">
        <f t="shared" si="33"/>
        <v>8935090.0486720186</v>
      </c>
      <c r="D90" s="47" cm="1">
        <f t="array" ref="D90">_xlfn.IFS(AND($C$7="Y",B90&lt;C$4),C90,AND($C$7="Y",B90=C$4),D89+F90-J90-K90-L90+N90,AND($C$7="Y",B90&gt;$C$4),D89-J90-K90-L90+N90, TRUE, D89-J90-K90-L90+N90)</f>
        <v>8876633.5975390039</v>
      </c>
      <c r="E90" s="48">
        <f t="shared" si="42"/>
        <v>0</v>
      </c>
      <c r="F90" s="50">
        <f t="shared" si="43"/>
        <v>0</v>
      </c>
      <c r="G90" s="50">
        <f t="shared" si="51"/>
        <v>0</v>
      </c>
      <c r="H90" s="51">
        <f t="shared" si="34"/>
        <v>169717.33516929278</v>
      </c>
      <c r="I90" s="52">
        <f t="shared" si="44"/>
        <v>148282.98402180371</v>
      </c>
      <c r="J90" s="52">
        <f t="shared" si="35"/>
        <v>21434.351147489069</v>
      </c>
      <c r="K90" s="51">
        <f t="shared" si="37"/>
        <v>38019.583023361803</v>
      </c>
      <c r="L90" s="49">
        <f t="shared" si="38"/>
        <v>38111.007363796016</v>
      </c>
      <c r="M90" s="49">
        <f t="shared" si="39"/>
        <v>-39108.490401632756</v>
      </c>
      <c r="N90" s="49">
        <f t="shared" si="29"/>
        <v>39108.490401632756</v>
      </c>
      <c r="O90" s="48">
        <f t="shared" si="32"/>
        <v>208734.40123049132</v>
      </c>
      <c r="P90" s="38">
        <f t="shared" si="36"/>
        <v>208734.40123049132</v>
      </c>
      <c r="Q90" s="53"/>
      <c r="R90" s="53">
        <f t="shared" si="45"/>
        <v>0.05</v>
      </c>
      <c r="S90" s="53">
        <f t="shared" si="46"/>
        <v>4.2653187775606449E-3</v>
      </c>
      <c r="T90" s="53">
        <f t="shared" si="47"/>
        <v>0.05</v>
      </c>
      <c r="U90" s="53">
        <f t="shared" si="50"/>
        <v>4.2653187775606449E-3</v>
      </c>
      <c r="V90" s="53"/>
      <c r="W90" s="63">
        <f t="shared" si="48"/>
        <v>635.18345606326693</v>
      </c>
      <c r="X90" s="64">
        <f t="shared" si="49"/>
        <v>8.5306375551212892E-4</v>
      </c>
      <c r="Z90" s="63"/>
    </row>
    <row r="91" spans="1:26" x14ac:dyDescent="0.2">
      <c r="A91" s="62">
        <f t="shared" si="40"/>
        <v>1.0192586801554362</v>
      </c>
      <c r="B91" s="45">
        <f t="shared" si="41"/>
        <v>80</v>
      </c>
      <c r="C91" s="49">
        <f t="shared" si="33"/>
        <v>8876633.5975390039</v>
      </c>
      <c r="D91" s="47" cm="1">
        <f t="array" ref="D91">_xlfn.IFS(AND($C$7="Y",B91&lt;C$4),C91,AND($C$7="Y",B91=C$4),D90+F91-J91-K91-L91+N91,AND($C$7="Y",B91&gt;$C$4),D90-J91-K91-L91+N91, TRUE, D90-J91-K91-L91+N91)</f>
        <v>8818174.3097125646</v>
      </c>
      <c r="E91" s="48">
        <f t="shared" si="42"/>
        <v>0</v>
      </c>
      <c r="F91" s="50">
        <f t="shared" si="43"/>
        <v>0</v>
      </c>
      <c r="G91" s="50">
        <f t="shared" si="51"/>
        <v>0</v>
      </c>
      <c r="H91" s="51">
        <f t="shared" si="34"/>
        <v>169000.38596034815</v>
      </c>
      <c r="I91" s="52">
        <f t="shared" si="44"/>
        <v>147312.86542623158</v>
      </c>
      <c r="J91" s="52">
        <f t="shared" si="35"/>
        <v>21687.520534116571</v>
      </c>
      <c r="K91" s="51">
        <f t="shared" si="37"/>
        <v>37769.167776535913</v>
      </c>
      <c r="L91" s="49">
        <f t="shared" si="38"/>
        <v>37861.671965108813</v>
      </c>
      <c r="M91" s="49">
        <f t="shared" si="39"/>
        <v>-38859.072449323641</v>
      </c>
      <c r="N91" s="49">
        <f t="shared" si="29"/>
        <v>38859.072449323641</v>
      </c>
      <c r="O91" s="48">
        <f t="shared" si="32"/>
        <v>207766.95422109889</v>
      </c>
      <c r="P91" s="38">
        <f t="shared" si="36"/>
        <v>207766.95422109889</v>
      </c>
      <c r="Q91" s="53"/>
      <c r="R91" s="53">
        <f t="shared" si="45"/>
        <v>0.05</v>
      </c>
      <c r="S91" s="53">
        <f t="shared" si="46"/>
        <v>4.2653187775606449E-3</v>
      </c>
      <c r="T91" s="53">
        <f t="shared" si="47"/>
        <v>0.05</v>
      </c>
      <c r="U91" s="53">
        <f t="shared" si="50"/>
        <v>4.2653187775606449E-3</v>
      </c>
      <c r="V91" s="53"/>
      <c r="W91" s="63">
        <f t="shared" si="48"/>
        <v>631.02786608514691</v>
      </c>
      <c r="X91" s="64">
        <f t="shared" si="49"/>
        <v>8.5306375551212903E-4</v>
      </c>
      <c r="Z91" s="63"/>
    </row>
    <row r="92" spans="1:26" x14ac:dyDescent="0.2">
      <c r="A92" s="62">
        <f t="shared" si="40"/>
        <v>1.0125009084228587</v>
      </c>
      <c r="B92" s="45">
        <f t="shared" si="41"/>
        <v>81</v>
      </c>
      <c r="C92" s="49">
        <f t="shared" si="33"/>
        <v>8818174.3097125646</v>
      </c>
      <c r="D92" s="47" cm="1">
        <f t="array" ref="D92">_xlfn.IFS(AND($C$7="Y",B92&lt;C$4),C92,AND($C$7="Y",B92=C$4),D91+F92-J92-K92-L92+N92,AND($C$7="Y",B92&gt;$C$4),D91-J92-K92-L92+N92, TRUE, D91-J92-K92-L92+N92)</f>
        <v>8759709.0640950054</v>
      </c>
      <c r="E92" s="48">
        <f t="shared" si="42"/>
        <v>0</v>
      </c>
      <c r="F92" s="50">
        <f t="shared" si="43"/>
        <v>0</v>
      </c>
      <c r="G92" s="50">
        <f t="shared" si="51"/>
        <v>0</v>
      </c>
      <c r="H92" s="51">
        <f t="shared" si="34"/>
        <v>168286.58868402045</v>
      </c>
      <c r="I92" s="52">
        <f t="shared" si="44"/>
        <v>146342.69975409241</v>
      </c>
      <c r="J92" s="52">
        <f t="shared" si="35"/>
        <v>21943.888929928042</v>
      </c>
      <c r="K92" s="51">
        <f t="shared" si="37"/>
        <v>37518.726785514351</v>
      </c>
      <c r="L92" s="49">
        <f t="shared" si="38"/>
        <v>37612.324467019876</v>
      </c>
      <c r="M92" s="49">
        <f t="shared" si="39"/>
        <v>-38609.694564903242</v>
      </c>
      <c r="N92" s="49">
        <f t="shared" si="29"/>
        <v>38609.694564903242</v>
      </c>
      <c r="O92" s="48">
        <f t="shared" si="32"/>
        <v>206802.68556741817</v>
      </c>
      <c r="P92" s="38">
        <f t="shared" si="36"/>
        <v>206802.68556741817</v>
      </c>
      <c r="Q92" s="53"/>
      <c r="R92" s="53">
        <f t="shared" si="45"/>
        <v>0.05</v>
      </c>
      <c r="S92" s="53">
        <f t="shared" si="46"/>
        <v>4.2653187775606449E-3</v>
      </c>
      <c r="T92" s="53">
        <f t="shared" si="47"/>
        <v>0.05</v>
      </c>
      <c r="U92" s="53">
        <f t="shared" si="50"/>
        <v>4.2653187775606449E-3</v>
      </c>
      <c r="V92" s="53"/>
      <c r="W92" s="63">
        <f t="shared" si="48"/>
        <v>626.8720744503313</v>
      </c>
      <c r="X92" s="64">
        <f t="shared" si="49"/>
        <v>8.5306375551212903E-4</v>
      </c>
      <c r="Z92" s="63"/>
    </row>
    <row r="93" spans="1:26" x14ac:dyDescent="0.2">
      <c r="A93" s="62">
        <f t="shared" si="40"/>
        <v>1.0057420842714657</v>
      </c>
      <c r="B93" s="45">
        <f t="shared" si="41"/>
        <v>82</v>
      </c>
      <c r="C93" s="49">
        <f t="shared" si="33"/>
        <v>8759709.0640950054</v>
      </c>
      <c r="D93" s="47" cm="1">
        <f t="array" ref="D93">_xlfn.IFS(AND($C$7="Y",B93&lt;C$4),C93,AND($C$7="Y",B93=C$4),D92+F93-J93-K93-L93+N93,AND($C$7="Y",B93&gt;$C$4),D92-J93-K93-L93+N93, TRUE, D92-J93-K93-L93+N93)</f>
        <v>8701234.7134163454</v>
      </c>
      <c r="E93" s="48">
        <f t="shared" si="42"/>
        <v>0</v>
      </c>
      <c r="F93" s="50">
        <f t="shared" si="43"/>
        <v>0</v>
      </c>
      <c r="G93" s="50">
        <f t="shared" si="51"/>
        <v>0</v>
      </c>
      <c r="H93" s="51">
        <f t="shared" si="34"/>
        <v>167575.93162935838</v>
      </c>
      <c r="I93" s="52">
        <f t="shared" si="44"/>
        <v>145372.43520896588</v>
      </c>
      <c r="J93" s="52">
        <f t="shared" si="35"/>
        <v>22203.496420392505</v>
      </c>
      <c r="K93" s="51">
        <f t="shared" si="37"/>
        <v>37268.246566843205</v>
      </c>
      <c r="L93" s="49">
        <f t="shared" si="38"/>
        <v>37362.951557052613</v>
      </c>
      <c r="M93" s="49">
        <f t="shared" si="39"/>
        <v>-38360.343865628485</v>
      </c>
      <c r="N93" s="49">
        <f t="shared" si="29"/>
        <v>38360.343865628485</v>
      </c>
      <c r="O93" s="48">
        <f t="shared" si="32"/>
        <v>205841.57050477748</v>
      </c>
      <c r="P93" s="38">
        <f t="shared" si="36"/>
        <v>205841.57050477748</v>
      </c>
      <c r="Q93" s="53"/>
      <c r="R93" s="53">
        <f t="shared" si="45"/>
        <v>0.05</v>
      </c>
      <c r="S93" s="53">
        <f t="shared" si="46"/>
        <v>4.2653187775606449E-3</v>
      </c>
      <c r="T93" s="53">
        <f t="shared" si="47"/>
        <v>0.05</v>
      </c>
      <c r="U93" s="53">
        <f t="shared" si="50"/>
        <v>4.2653187775606449E-3</v>
      </c>
      <c r="V93" s="53"/>
      <c r="W93" s="63">
        <f t="shared" si="48"/>
        <v>622.7158592842103</v>
      </c>
      <c r="X93" s="64">
        <f t="shared" si="49"/>
        <v>8.5306375551212925E-4</v>
      </c>
      <c r="Z93" s="63"/>
    </row>
    <row r="94" spans="1:26" x14ac:dyDescent="0.2">
      <c r="A94" s="62">
        <f t="shared" si="40"/>
        <v>0.99898184084851205</v>
      </c>
      <c r="B94" s="45">
        <f t="shared" si="41"/>
        <v>83</v>
      </c>
      <c r="C94" s="49">
        <f t="shared" si="33"/>
        <v>8701234.7134163454</v>
      </c>
      <c r="D94" s="47" cm="1">
        <f t="array" ref="D94">_xlfn.IFS(AND($C$7="Y",B94&lt;C$4),C94,AND($C$7="Y",B94=C$4),D93+F94-J94-K94-L94+N94,AND($C$7="Y",B94&gt;$C$4),D93-J94-K94-L94+N94, TRUE, D93-J94-K94-L94+N94)</f>
        <v>8642748.083829239</v>
      </c>
      <c r="E94" s="48">
        <f t="shared" si="42"/>
        <v>0</v>
      </c>
      <c r="F94" s="50">
        <f t="shared" si="43"/>
        <v>0</v>
      </c>
      <c r="G94" s="50">
        <f t="shared" si="51"/>
        <v>0</v>
      </c>
      <c r="H94" s="51">
        <f t="shared" si="34"/>
        <v>166868.40317669974</v>
      </c>
      <c r="I94" s="52">
        <f t="shared" si="44"/>
        <v>144402.01956008747</v>
      </c>
      <c r="J94" s="52">
        <f t="shared" si="35"/>
        <v>22466.383616612264</v>
      </c>
      <c r="K94" s="51">
        <f t="shared" si="37"/>
        <v>37017.713523193444</v>
      </c>
      <c r="L94" s="49">
        <f t="shared" si="38"/>
        <v>37113.539811097253</v>
      </c>
      <c r="M94" s="49">
        <f t="shared" si="39"/>
        <v>-38111.007363796016</v>
      </c>
      <c r="N94" s="49">
        <f t="shared" si="29"/>
        <v>38111.007363796016</v>
      </c>
      <c r="O94" s="48">
        <f t="shared" si="32"/>
        <v>204883.58425259194</v>
      </c>
      <c r="P94" s="38">
        <f t="shared" si="36"/>
        <v>204883.58425259194</v>
      </c>
      <c r="Q94" s="53"/>
      <c r="R94" s="53">
        <f t="shared" si="45"/>
        <v>0.05</v>
      </c>
      <c r="S94" s="53">
        <f t="shared" si="46"/>
        <v>4.2653187775606449E-3</v>
      </c>
      <c r="T94" s="53">
        <f t="shared" si="47"/>
        <v>0.05</v>
      </c>
      <c r="U94" s="53">
        <f t="shared" si="50"/>
        <v>4.2653187775606449E-3</v>
      </c>
      <c r="V94" s="53"/>
      <c r="W94" s="63">
        <f t="shared" si="48"/>
        <v>618.55899685162092</v>
      </c>
      <c r="X94" s="64">
        <f t="shared" si="49"/>
        <v>8.5306375551212892E-4</v>
      </c>
      <c r="Z94" s="63"/>
    </row>
    <row r="95" spans="1:26" x14ac:dyDescent="0.2">
      <c r="A95" s="62">
        <f t="shared" si="40"/>
        <v>0.99221980818178179</v>
      </c>
      <c r="B95" s="45">
        <f t="shared" si="41"/>
        <v>84</v>
      </c>
      <c r="C95" s="49">
        <f t="shared" si="33"/>
        <v>8642748.083829239</v>
      </c>
      <c r="D95" s="47" cm="1">
        <f t="array" ref="D95">_xlfn.IFS(AND($C$7="Y",B95&lt;C$4),C95,AND($C$7="Y",B95=C$4),D94+F95-J95-K95-L95+N95,AND($C$7="Y",B95&gt;$C$4),D94-J95-K95-L95+N95, TRUE, D94-J95-K95-L95+N95)</f>
        <v>8584245.9744980689</v>
      </c>
      <c r="E95" s="48">
        <f t="shared" si="42"/>
        <v>0</v>
      </c>
      <c r="F95" s="50">
        <f t="shared" si="43"/>
        <v>0</v>
      </c>
      <c r="G95" s="50">
        <f t="shared" si="51"/>
        <v>0</v>
      </c>
      <c r="H95" s="51">
        <f t="shared" si="34"/>
        <v>166163.99179862239</v>
      </c>
      <c r="I95" s="52">
        <f t="shared" si="44"/>
        <v>143431.40013562594</v>
      </c>
      <c r="J95" s="52">
        <f t="shared" si="35"/>
        <v>22732.591662996449</v>
      </c>
      <c r="K95" s="51">
        <f t="shared" si="37"/>
        <v>36767.113941600343</v>
      </c>
      <c r="L95" s="49">
        <f t="shared" si="38"/>
        <v>36864.075691683138</v>
      </c>
      <c r="M95" s="49">
        <f t="shared" si="39"/>
        <v>-37861.671965108813</v>
      </c>
      <c r="N95" s="49">
        <f t="shared" si="29"/>
        <v>37861.671965108813</v>
      </c>
      <c r="O95" s="48">
        <f t="shared" si="32"/>
        <v>203928.70201364841</v>
      </c>
      <c r="P95" s="38">
        <f t="shared" si="36"/>
        <v>203928.70201364841</v>
      </c>
      <c r="Q95" s="53"/>
      <c r="R95" s="53">
        <f t="shared" si="45"/>
        <v>0.05</v>
      </c>
      <c r="S95" s="53">
        <f t="shared" si="46"/>
        <v>4.2653187775606449E-3</v>
      </c>
      <c r="T95" s="53">
        <f t="shared" si="47"/>
        <v>0.05</v>
      </c>
      <c r="U95" s="53">
        <f t="shared" si="50"/>
        <v>4.2653187775606449E-3</v>
      </c>
      <c r="V95" s="53"/>
      <c r="W95" s="63">
        <f t="shared" si="48"/>
        <v>614.40126152805226</v>
      </c>
      <c r="X95" s="64">
        <f t="shared" si="49"/>
        <v>8.5306375551212903E-4</v>
      </c>
      <c r="Z95" s="63"/>
    </row>
    <row r="96" spans="1:26" x14ac:dyDescent="0.2">
      <c r="A96" s="62">
        <f t="shared" si="40"/>
        <v>0.98545561313140806</v>
      </c>
      <c r="B96" s="45">
        <f t="shared" si="41"/>
        <v>85</v>
      </c>
      <c r="C96" s="49">
        <f t="shared" si="33"/>
        <v>8584245.9744980689</v>
      </c>
      <c r="D96" s="47" cm="1">
        <f t="array" ref="D96">_xlfn.IFS(AND($C$7="Y",B96&lt;C$4),C96,AND($C$7="Y",B96=C$4),D95+F96-J96-K96-L96+N96,AND($C$7="Y",B96&gt;$C$4),D95-J96-K96-L96+N96, TRUE, D95-J96-K96-L96+N96)</f>
        <v>8525725.1571821012</v>
      </c>
      <c r="E96" s="48">
        <f t="shared" si="42"/>
        <v>0</v>
      </c>
      <c r="F96" s="50">
        <f t="shared" si="43"/>
        <v>0</v>
      </c>
      <c r="G96" s="50">
        <f t="shared" si="51"/>
        <v>0</v>
      </c>
      <c r="H96" s="51">
        <f t="shared" si="34"/>
        <v>165462.68606094702</v>
      </c>
      <c r="I96" s="52">
        <f t="shared" si="44"/>
        <v>142460.52381586406</v>
      </c>
      <c r="J96" s="52">
        <f t="shared" si="35"/>
        <v>23002.16224508296</v>
      </c>
      <c r="K96" s="51">
        <f t="shared" si="37"/>
        <v>36516.433991677535</v>
      </c>
      <c r="L96" s="49">
        <f t="shared" si="38"/>
        <v>36614.545546225992</v>
      </c>
      <c r="M96" s="49">
        <f t="shared" si="39"/>
        <v>-37612.324467019876</v>
      </c>
      <c r="N96" s="49">
        <f t="shared" ref="N96:N159" si="52">IFERROR((1-$N$9)*L92,0)</f>
        <v>37612.324467019876</v>
      </c>
      <c r="O96" s="48">
        <f t="shared" si="32"/>
        <v>202976.89897341843</v>
      </c>
      <c r="P96" s="38">
        <f t="shared" si="36"/>
        <v>202976.89897341843</v>
      </c>
      <c r="Q96" s="53"/>
      <c r="R96" s="53">
        <f t="shared" si="45"/>
        <v>0.05</v>
      </c>
      <c r="S96" s="53">
        <f t="shared" si="46"/>
        <v>4.2653187775606449E-3</v>
      </c>
      <c r="T96" s="53">
        <f t="shared" si="47"/>
        <v>0.05</v>
      </c>
      <c r="U96" s="53">
        <f t="shared" si="50"/>
        <v>4.2653187775606449E-3</v>
      </c>
      <c r="V96" s="53"/>
      <c r="W96" s="63">
        <f t="shared" si="48"/>
        <v>610.24242577043321</v>
      </c>
      <c r="X96" s="64">
        <f t="shared" si="49"/>
        <v>8.5306375551212903E-4</v>
      </c>
      <c r="Z96" s="63"/>
    </row>
    <row r="97" spans="1:26" x14ac:dyDescent="0.2">
      <c r="A97" s="62">
        <f t="shared" si="40"/>
        <v>0.97868887934099102</v>
      </c>
      <c r="B97" s="45">
        <f t="shared" si="41"/>
        <v>86</v>
      </c>
      <c r="C97" s="49">
        <f t="shared" si="33"/>
        <v>8525725.1571821012</v>
      </c>
      <c r="D97" s="47" cm="1">
        <f t="array" ref="D97">_xlfn.IFS(AND($C$7="Y",B97&lt;C$4),C97,AND($C$7="Y",B97=C$4),D96+F97-J97-K97-L97+N97,AND($C$7="Y",B97&gt;$C$4),D96-J97-K97-L97+N97, TRUE, D96-J97-K97-L97+N97)</f>
        <v>8467182.3758125864</v>
      </c>
      <c r="E97" s="48">
        <f t="shared" si="42"/>
        <v>0</v>
      </c>
      <c r="F97" s="50">
        <f t="shared" si="43"/>
        <v>0</v>
      </c>
      <c r="G97" s="50">
        <f t="shared" si="51"/>
        <v>0</v>
      </c>
      <c r="H97" s="51">
        <f t="shared" si="34"/>
        <v>164764.47462379333</v>
      </c>
      <c r="I97" s="52">
        <f t="shared" si="44"/>
        <v>141489.33702628085</v>
      </c>
      <c r="J97" s="52">
        <f t="shared" si="35"/>
        <v>23275.137597512483</v>
      </c>
      <c r="K97" s="51">
        <f t="shared" si="37"/>
        <v>36265.659723805016</v>
      </c>
      <c r="L97" s="49">
        <f t="shared" si="38"/>
        <v>36364.935605250001</v>
      </c>
      <c r="M97" s="49">
        <f t="shared" si="39"/>
        <v>-37362.951557052613</v>
      </c>
      <c r="N97" s="49">
        <f t="shared" si="52"/>
        <v>37362.951557052613</v>
      </c>
      <c r="O97" s="48">
        <f t="shared" si="32"/>
        <v>202028.15029940094</v>
      </c>
      <c r="P97" s="38">
        <f t="shared" si="36"/>
        <v>202028.15029940094</v>
      </c>
      <c r="Q97" s="53"/>
      <c r="R97" s="53">
        <f t="shared" si="45"/>
        <v>0.05</v>
      </c>
      <c r="S97" s="53">
        <f t="shared" si="46"/>
        <v>4.2653187775606449E-3</v>
      </c>
      <c r="T97" s="53">
        <f t="shared" si="47"/>
        <v>0.05</v>
      </c>
      <c r="U97" s="53">
        <f t="shared" si="50"/>
        <v>4.2653187775606449E-3</v>
      </c>
      <c r="V97" s="53"/>
      <c r="W97" s="63">
        <f t="shared" si="48"/>
        <v>606.0822600875</v>
      </c>
      <c r="X97" s="64">
        <f t="shared" si="49"/>
        <v>8.5306375551212914E-4</v>
      </c>
      <c r="Z97" s="63"/>
    </row>
    <row r="98" spans="1:26" x14ac:dyDescent="0.2">
      <c r="A98" s="62">
        <f t="shared" si="40"/>
        <v>0.97191922718799884</v>
      </c>
      <c r="B98" s="45">
        <f t="shared" si="41"/>
        <v>87</v>
      </c>
      <c r="C98" s="49">
        <f t="shared" si="33"/>
        <v>8467182.3758125864</v>
      </c>
      <c r="D98" s="47" cm="1">
        <f t="array" ref="D98">_xlfn.IFS(AND($C$7="Y",B98&lt;C$4),C98,AND($C$7="Y",B98=C$4),D97+F98-J98-K98-L98+N98,AND($C$7="Y",B98&gt;$C$4),D97-J98-K98-L98+N98, TRUE, D97-J98-K98-L98+N98)</f>
        <v>8408614.3460636493</v>
      </c>
      <c r="E98" s="48">
        <f t="shared" si="42"/>
        <v>0</v>
      </c>
      <c r="F98" s="50">
        <f t="shared" si="43"/>
        <v>0</v>
      </c>
      <c r="G98" s="50">
        <f t="shared" si="51"/>
        <v>0</v>
      </c>
      <c r="H98" s="51">
        <f t="shared" si="34"/>
        <v>164069.34624269363</v>
      </c>
      <c r="I98" s="52">
        <f t="shared" si="44"/>
        <v>140517.78573053339</v>
      </c>
      <c r="J98" s="52">
        <f t="shared" si="35"/>
        <v>23551.560512160242</v>
      </c>
      <c r="K98" s="51">
        <f t="shared" si="37"/>
        <v>36014.777067290604</v>
      </c>
      <c r="L98" s="49">
        <f t="shared" si="38"/>
        <v>36115.23198058398</v>
      </c>
      <c r="M98" s="49">
        <f t="shared" si="39"/>
        <v>-37113.539811097253</v>
      </c>
      <c r="N98" s="49">
        <f t="shared" si="52"/>
        <v>37113.539811097253</v>
      </c>
      <c r="O98" s="48">
        <f t="shared" si="32"/>
        <v>201082.4311404975</v>
      </c>
      <c r="P98" s="38">
        <f t="shared" si="36"/>
        <v>201082.4311404975</v>
      </c>
      <c r="Q98" s="53"/>
      <c r="R98" s="53">
        <f t="shared" si="45"/>
        <v>0.05</v>
      </c>
      <c r="S98" s="53">
        <f t="shared" si="46"/>
        <v>4.2653187775606449E-3</v>
      </c>
      <c r="T98" s="53">
        <f t="shared" si="47"/>
        <v>0.05</v>
      </c>
      <c r="U98" s="53">
        <f t="shared" si="50"/>
        <v>4.2653187775606449E-3</v>
      </c>
      <c r="V98" s="53"/>
      <c r="W98" s="63">
        <f t="shared" si="48"/>
        <v>601.92053300973305</v>
      </c>
      <c r="X98" s="64">
        <f t="shared" si="49"/>
        <v>8.5306375551212914E-4</v>
      </c>
      <c r="Z98" s="63"/>
    </row>
    <row r="99" spans="1:26" x14ac:dyDescent="0.2">
      <c r="A99" s="62">
        <f t="shared" si="40"/>
        <v>0.9651462737334392</v>
      </c>
      <c r="B99" s="45">
        <f t="shared" si="41"/>
        <v>88</v>
      </c>
      <c r="C99" s="49">
        <f t="shared" si="33"/>
        <v>8408614.3460636493</v>
      </c>
      <c r="D99" s="47" cm="1">
        <f t="array" ref="D99">_xlfn.IFS(AND($C$7="Y",B99&lt;C$4),C99,AND($C$7="Y",B99=C$4),D98+F99-J99-K99-L99+N99,AND($C$7="Y",B99&gt;$C$4),D98-J99-K99-L99+N99, TRUE, D98-J99-K99-L99+N99)</f>
        <v>8350017.7549168672</v>
      </c>
      <c r="E99" s="48">
        <f t="shared" si="42"/>
        <v>0</v>
      </c>
      <c r="F99" s="50">
        <f t="shared" si="43"/>
        <v>0</v>
      </c>
      <c r="G99" s="50">
        <f t="shared" si="51"/>
        <v>0</v>
      </c>
      <c r="H99" s="51">
        <f t="shared" si="34"/>
        <v>163377.28976976537</v>
      </c>
      <c r="I99" s="52">
        <f t="shared" si="44"/>
        <v>139545.8154233353</v>
      </c>
      <c r="J99" s="52">
        <f t="shared" si="35"/>
        <v>23831.47434643007</v>
      </c>
      <c r="K99" s="51">
        <f t="shared" si="37"/>
        <v>35763.771828504323</v>
      </c>
      <c r="L99" s="49">
        <f t="shared" si="38"/>
        <v>35865.420663531106</v>
      </c>
      <c r="M99" s="49">
        <f t="shared" si="39"/>
        <v>-36864.075691683138</v>
      </c>
      <c r="N99" s="49">
        <f t="shared" si="52"/>
        <v>36864.075691683138</v>
      </c>
      <c r="O99" s="48">
        <f t="shared" si="32"/>
        <v>200139.71662642172</v>
      </c>
      <c r="P99" s="38">
        <f t="shared" si="36"/>
        <v>200139.71662642172</v>
      </c>
      <c r="Q99" s="53"/>
      <c r="R99" s="53">
        <f t="shared" si="45"/>
        <v>0.05</v>
      </c>
      <c r="S99" s="53">
        <f t="shared" si="46"/>
        <v>4.2653187775606449E-3</v>
      </c>
      <c r="T99" s="53">
        <f t="shared" si="47"/>
        <v>0.05</v>
      </c>
      <c r="U99" s="53">
        <f t="shared" si="50"/>
        <v>4.2653187775606449E-3</v>
      </c>
      <c r="V99" s="53"/>
      <c r="W99" s="63">
        <f t="shared" si="48"/>
        <v>597.75701105885184</v>
      </c>
      <c r="X99" s="64">
        <f t="shared" si="49"/>
        <v>8.5306375551212914E-4</v>
      </c>
      <c r="Z99" s="63"/>
    </row>
    <row r="100" spans="1:26" x14ac:dyDescent="0.2">
      <c r="A100" s="62">
        <f t="shared" si="40"/>
        <v>0.95836963267078279</v>
      </c>
      <c r="B100" s="45">
        <f t="shared" si="41"/>
        <v>89</v>
      </c>
      <c r="C100" s="49">
        <f t="shared" si="33"/>
        <v>8350017.7549168672</v>
      </c>
      <c r="D100" s="47" cm="1">
        <f t="array" ref="D100">_xlfn.IFS(AND($C$7="Y",B100&lt;C$4),C100,AND($C$7="Y",B100=C$4),D99+F100-J100-K100-L100+N100,AND($C$7="Y",B100&gt;$C$4),D99-J100-K100-L100+N100, TRUE, D99-J100-K100-L100+N100)</f>
        <v>8291389.2602193812</v>
      </c>
      <c r="E100" s="48">
        <f t="shared" si="42"/>
        <v>0</v>
      </c>
      <c r="F100" s="50">
        <f t="shared" si="43"/>
        <v>0</v>
      </c>
      <c r="G100" s="50">
        <f t="shared" si="51"/>
        <v>0</v>
      </c>
      <c r="H100" s="51">
        <f t="shared" si="34"/>
        <v>162688.29415494678</v>
      </c>
      <c r="I100" s="52">
        <f t="shared" si="44"/>
        <v>138573.37112323093</v>
      </c>
      <c r="J100" s="52">
        <f t="shared" si="35"/>
        <v>24114.923031715851</v>
      </c>
      <c r="K100" s="51">
        <f t="shared" si="37"/>
        <v>35512.629688985086</v>
      </c>
      <c r="L100" s="49">
        <f t="shared" si="38"/>
        <v>35615.487523011696</v>
      </c>
      <c r="M100" s="49">
        <f t="shared" si="39"/>
        <v>-36614.545546225992</v>
      </c>
      <c r="N100" s="49">
        <f t="shared" si="52"/>
        <v>36614.545546225992</v>
      </c>
      <c r="O100" s="48">
        <f t="shared" si="32"/>
        <v>199199.98186714618</v>
      </c>
      <c r="P100" s="38">
        <f t="shared" si="36"/>
        <v>199199.98186714618</v>
      </c>
      <c r="Q100" s="53"/>
      <c r="R100" s="53">
        <f t="shared" si="45"/>
        <v>0.05</v>
      </c>
      <c r="S100" s="53">
        <f t="shared" si="46"/>
        <v>4.2653187775606449E-3</v>
      </c>
      <c r="T100" s="53">
        <f t="shared" si="47"/>
        <v>0.05</v>
      </c>
      <c r="U100" s="53">
        <f t="shared" si="50"/>
        <v>4.2653187775606449E-3</v>
      </c>
      <c r="V100" s="53"/>
      <c r="W100" s="63">
        <f t="shared" si="48"/>
        <v>593.59145871686167</v>
      </c>
      <c r="X100" s="64">
        <f t="shared" si="49"/>
        <v>8.5306375551212914E-4</v>
      </c>
      <c r="Z100" s="63"/>
    </row>
    <row r="101" spans="1:26" x14ac:dyDescent="0.2">
      <c r="A101" s="62">
        <f t="shared" si="40"/>
        <v>0.95158891427412329</v>
      </c>
      <c r="B101" s="45">
        <f t="shared" si="41"/>
        <v>90</v>
      </c>
      <c r="C101" s="49">
        <f t="shared" si="33"/>
        <v>8291389.2602193812</v>
      </c>
      <c r="D101" s="47" cm="1">
        <f t="array" ref="D101">_xlfn.IFS(AND($C$7="Y",B101&lt;C$4),C101,AND($C$7="Y",B101=C$4),D100+F101-J101-K101-L101+N101,AND($C$7="Y",B101&gt;$C$4),D100-J101-K101-L101+N101, TRUE, D100-J101-K101-L101+N101)</f>
        <v>8232725.4902353967</v>
      </c>
      <c r="E101" s="48">
        <f t="shared" si="42"/>
        <v>0</v>
      </c>
      <c r="F101" s="50">
        <f t="shared" si="43"/>
        <v>0</v>
      </c>
      <c r="G101" s="50">
        <f t="shared" si="51"/>
        <v>0</v>
      </c>
      <c r="H101" s="51">
        <f t="shared" si="34"/>
        <v>162002.3484472984</v>
      </c>
      <c r="I101" s="52">
        <f t="shared" si="44"/>
        <v>137600.39736526171</v>
      </c>
      <c r="J101" s="52">
        <f t="shared" si="35"/>
        <v>24401.951082036685</v>
      </c>
      <c r="K101" s="51">
        <f t="shared" si="37"/>
        <v>35261.336203519066</v>
      </c>
      <c r="L101" s="49">
        <f t="shared" si="38"/>
        <v>35365.418303678394</v>
      </c>
      <c r="M101" s="49">
        <f t="shared" si="39"/>
        <v>-36364.935605250001</v>
      </c>
      <c r="N101" s="49">
        <f t="shared" si="52"/>
        <v>36364.935605250001</v>
      </c>
      <c r="O101" s="48">
        <f t="shared" ref="O101:O164" si="53">K101+I101+J101-L101+N101+G101</f>
        <v>198263.20195238906</v>
      </c>
      <c r="P101" s="38">
        <f t="shared" si="36"/>
        <v>198263.20195238906</v>
      </c>
      <c r="Q101" s="53"/>
      <c r="R101" s="53">
        <f t="shared" si="45"/>
        <v>0.05</v>
      </c>
      <c r="S101" s="53">
        <f t="shared" si="46"/>
        <v>4.2653187775606449E-3</v>
      </c>
      <c r="T101" s="53">
        <f t="shared" si="47"/>
        <v>0.05</v>
      </c>
      <c r="U101" s="53">
        <f t="shared" si="50"/>
        <v>4.2653187775606449E-3</v>
      </c>
      <c r="V101" s="53"/>
      <c r="W101" s="63">
        <f t="shared" si="48"/>
        <v>589.42363839463997</v>
      </c>
      <c r="X101" s="64">
        <f t="shared" si="49"/>
        <v>8.5306375551212914E-4</v>
      </c>
      <c r="Z101" s="63"/>
    </row>
    <row r="102" spans="1:26" x14ac:dyDescent="0.2">
      <c r="A102" s="62">
        <f t="shared" si="40"/>
        <v>0.94480372534555701</v>
      </c>
      <c r="B102" s="45">
        <f t="shared" si="41"/>
        <v>91</v>
      </c>
      <c r="C102" s="49">
        <f t="shared" ref="C102:C165" si="54">IF(B102&lt;C$4,C$1,D101)</f>
        <v>8232725.4902353967</v>
      </c>
      <c r="D102" s="47" cm="1">
        <f t="array" ref="D102">_xlfn.IFS(AND($C$7="Y",B102&lt;C$4),C102,AND($C$7="Y",B102=C$4),D101+F102-J102-K102-L102+N102,AND($C$7="Y",B102&gt;$C$4),D101-J102-K102-L102+N102, TRUE, D101-J102-K102-L102+N102)</f>
        <v>8174023.0431909375</v>
      </c>
      <c r="E102" s="48">
        <f t="shared" si="42"/>
        <v>0</v>
      </c>
      <c r="F102" s="50">
        <f t="shared" si="43"/>
        <v>0</v>
      </c>
      <c r="G102" s="50">
        <f t="shared" si="51"/>
        <v>0</v>
      </c>
      <c r="H102" s="51">
        <f t="shared" ref="H102:H165" si="55">IF(AND($B102&lt;=$C$4,C$7="Y"),0,IF(AND(C$7="N",C$4&gt;0,B102&lt;=C$4),0,D101*C$2/12/(1-(1/(1+C$2/12))^(C$3+C$4-B102+1))))</f>
        <v>161319.44179637384</v>
      </c>
      <c r="I102" s="52">
        <f t="shared" si="44"/>
        <v>136626.83819352323</v>
      </c>
      <c r="J102" s="52">
        <f t="shared" ref="J102:J165" si="56">IF(AND($B102&lt;=$C$4,C$7="Y"),0,IF(AND(C$7="N",C$4&gt;0,B102&lt;=C$4),0,H102-I102))</f>
        <v>24692.603602850606</v>
      </c>
      <c r="K102" s="51">
        <f t="shared" si="37"/>
        <v>35009.8767981891</v>
      </c>
      <c r="L102" s="49">
        <f t="shared" si="38"/>
        <v>35115.198624003206</v>
      </c>
      <c r="M102" s="49">
        <f t="shared" si="39"/>
        <v>-36115.23198058398</v>
      </c>
      <c r="N102" s="49">
        <f t="shared" si="52"/>
        <v>36115.23198058398</v>
      </c>
      <c r="O102" s="48">
        <f t="shared" si="53"/>
        <v>197329.3519511437</v>
      </c>
      <c r="P102" s="38">
        <f t="shared" ref="P102:P165" si="57">O102*(1/((1+P$9)^(B102/12)))</f>
        <v>197329.3519511437</v>
      </c>
      <c r="Q102" s="53"/>
      <c r="R102" s="53">
        <f t="shared" si="45"/>
        <v>0.05</v>
      </c>
      <c r="S102" s="53">
        <f t="shared" si="46"/>
        <v>4.2653187775606449E-3</v>
      </c>
      <c r="T102" s="53">
        <f t="shared" si="47"/>
        <v>0.05</v>
      </c>
      <c r="U102" s="53">
        <f t="shared" si="50"/>
        <v>4.2653187775606449E-3</v>
      </c>
      <c r="V102" s="53"/>
      <c r="W102" s="63">
        <f t="shared" si="48"/>
        <v>585.25331040005346</v>
      </c>
      <c r="X102" s="64">
        <f t="shared" si="49"/>
        <v>8.5306375551212903E-4</v>
      </c>
      <c r="Z102" s="63"/>
    </row>
    <row r="103" spans="1:26" x14ac:dyDescent="0.2">
      <c r="A103" s="62">
        <f t="shared" si="40"/>
        <v>0.93801366916176332</v>
      </c>
      <c r="B103" s="45">
        <f t="shared" si="41"/>
        <v>92</v>
      </c>
      <c r="C103" s="49">
        <f t="shared" si="54"/>
        <v>8174023.0431909375</v>
      </c>
      <c r="D103" s="47" cm="1">
        <f t="array" ref="D103">_xlfn.IFS(AND($C$7="Y",B103&lt;C$4),C103,AND($C$7="Y",B103=C$4),D102+F103-J103-K103-L103+N103,AND($C$7="Y",B103&gt;$C$4),D102-J103-K103-L103+N103, TRUE, D102-J103-K103-L103+N103)</f>
        <v>8115278.4868116844</v>
      </c>
      <c r="E103" s="48">
        <f t="shared" si="42"/>
        <v>0</v>
      </c>
      <c r="F103" s="50">
        <f t="shared" si="43"/>
        <v>0</v>
      </c>
      <c r="G103" s="50">
        <f t="shared" si="51"/>
        <v>0</v>
      </c>
      <c r="H103" s="51">
        <f t="shared" si="55"/>
        <v>160639.56345366361</v>
      </c>
      <c r="I103" s="52">
        <f t="shared" si="44"/>
        <v>135652.63715361003</v>
      </c>
      <c r="J103" s="52">
        <f t="shared" si="56"/>
        <v>24986.926300053572</v>
      </c>
      <c r="K103" s="51">
        <f t="shared" ref="K103:K166" si="58">IF(AND(C$7="Y",$B103&lt;=$C$4),0,IF(AND(C$7="N",C$4&gt;0,B103&lt;=C$4),0,S103*(C103-J103)))</f>
        <v>34758.23676839457</v>
      </c>
      <c r="L103" s="49">
        <f t="shared" si="38"/>
        <v>34864.81397433571</v>
      </c>
      <c r="M103" s="49">
        <f t="shared" si="39"/>
        <v>-35865.420663531106</v>
      </c>
      <c r="N103" s="49">
        <f t="shared" si="52"/>
        <v>35865.420663531106</v>
      </c>
      <c r="O103" s="48">
        <f t="shared" si="53"/>
        <v>196398.40691125358</v>
      </c>
      <c r="P103" s="38">
        <f t="shared" si="57"/>
        <v>196398.40691125358</v>
      </c>
      <c r="Q103" s="53"/>
      <c r="R103" s="53">
        <f t="shared" si="45"/>
        <v>0.05</v>
      </c>
      <c r="S103" s="53">
        <f t="shared" si="46"/>
        <v>4.2653187775606449E-3</v>
      </c>
      <c r="T103" s="53">
        <f t="shared" si="47"/>
        <v>0.05</v>
      </c>
      <c r="U103" s="53">
        <f t="shared" si="50"/>
        <v>4.2653187775606449E-3</v>
      </c>
      <c r="V103" s="53"/>
      <c r="W103" s="63">
        <f t="shared" si="48"/>
        <v>581.08023290559515</v>
      </c>
      <c r="X103" s="64">
        <f t="shared" si="49"/>
        <v>8.5306375551212892E-4</v>
      </c>
      <c r="Z103" s="63"/>
    </row>
    <row r="104" spans="1:26" x14ac:dyDescent="0.2">
      <c r="A104" s="62">
        <f t="shared" si="40"/>
        <v>0.93121834541976978</v>
      </c>
      <c r="B104" s="45">
        <f t="shared" si="41"/>
        <v>93</v>
      </c>
      <c r="C104" s="49">
        <f t="shared" si="54"/>
        <v>8115278.4868116844</v>
      </c>
      <c r="D104" s="47" cm="1">
        <f t="array" ref="D104">_xlfn.IFS(AND($C$7="Y",B104&lt;C$4),C104,AND($C$7="Y",B104=C$4),D103+F104-J104-K104-L104+N104,AND($C$7="Y",B104&gt;$C$4),D103-J104-K104-L104+N104, TRUE, D103-J104-K104-L104+N104)</f>
        <v>8056488.3578537544</v>
      </c>
      <c r="E104" s="48">
        <f t="shared" si="42"/>
        <v>0</v>
      </c>
      <c r="F104" s="50">
        <f t="shared" si="43"/>
        <v>0</v>
      </c>
      <c r="G104" s="50">
        <f t="shared" si="51"/>
        <v>0</v>
      </c>
      <c r="H104" s="51">
        <f t="shared" si="55"/>
        <v>159962.70277411593</v>
      </c>
      <c r="I104" s="52">
        <f t="shared" si="44"/>
        <v>134677.73728494588</v>
      </c>
      <c r="J104" s="52">
        <f t="shared" si="56"/>
        <v>25284.965489170048</v>
      </c>
      <c r="K104" s="51">
        <f t="shared" si="58"/>
        <v>34506.401276840887</v>
      </c>
      <c r="L104" s="49">
        <f t="shared" si="38"/>
        <v>34614.249714931815</v>
      </c>
      <c r="M104" s="49">
        <f t="shared" si="39"/>
        <v>-35615.487523011696</v>
      </c>
      <c r="N104" s="49">
        <f t="shared" si="52"/>
        <v>35615.487523011696</v>
      </c>
      <c r="O104" s="48">
        <f t="shared" si="53"/>
        <v>195470.34185903668</v>
      </c>
      <c r="P104" s="38">
        <f t="shared" si="57"/>
        <v>195470.34185903668</v>
      </c>
      <c r="Q104" s="53"/>
      <c r="R104" s="53">
        <f t="shared" si="45"/>
        <v>0.05</v>
      </c>
      <c r="S104" s="53">
        <f t="shared" si="46"/>
        <v>4.2653187775606449E-3</v>
      </c>
      <c r="T104" s="53">
        <f t="shared" si="47"/>
        <v>0.05</v>
      </c>
      <c r="U104" s="53">
        <f t="shared" si="50"/>
        <v>4.2653187775606449E-3</v>
      </c>
      <c r="V104" s="53"/>
      <c r="W104" s="63">
        <f t="shared" si="48"/>
        <v>576.90416191553027</v>
      </c>
      <c r="X104" s="64">
        <f t="shared" si="49"/>
        <v>8.5306375551212903E-4</v>
      </c>
      <c r="Z104" s="63"/>
    </row>
    <row r="105" spans="1:26" x14ac:dyDescent="0.2">
      <c r="A105" s="62">
        <f t="shared" si="40"/>
        <v>0.9244173501818792</v>
      </c>
      <c r="B105" s="45">
        <f t="shared" si="41"/>
        <v>94</v>
      </c>
      <c r="C105" s="49">
        <f t="shared" si="54"/>
        <v>8056488.3578537544</v>
      </c>
      <c r="D105" s="47" cm="1">
        <f t="array" ref="D105">_xlfn.IFS(AND($C$7="Y",B105&lt;C$4),C105,AND($C$7="Y",B105=C$4),D104+F105-J105-K105-L105+N105,AND($C$7="Y",B105&gt;$C$4),D104-J105-K105-L105+N105, TRUE, D104-J105-K105-L105+N105)</f>
        <v>7997649.1616272405</v>
      </c>
      <c r="E105" s="48">
        <f t="shared" si="42"/>
        <v>0</v>
      </c>
      <c r="F105" s="50">
        <f t="shared" si="43"/>
        <v>0</v>
      </c>
      <c r="G105" s="50">
        <f t="shared" si="51"/>
        <v>0</v>
      </c>
      <c r="H105" s="51">
        <f t="shared" si="55"/>
        <v>159288.84921773872</v>
      </c>
      <c r="I105" s="52">
        <f t="shared" si="44"/>
        <v>133702.0811129967</v>
      </c>
      <c r="J105" s="52">
        <f t="shared" si="56"/>
        <v>25586.768104742019</v>
      </c>
      <c r="K105" s="51">
        <f t="shared" si="58"/>
        <v>34254.355351498096</v>
      </c>
      <c r="L105" s="49">
        <f t="shared" si="38"/>
        <v>34363.49107395234</v>
      </c>
      <c r="M105" s="49">
        <f t="shared" si="39"/>
        <v>-35365.418303678394</v>
      </c>
      <c r="N105" s="49">
        <f t="shared" si="52"/>
        <v>35365.418303678394</v>
      </c>
      <c r="O105" s="48">
        <f t="shared" si="53"/>
        <v>194545.13179896286</v>
      </c>
      <c r="P105" s="38">
        <f t="shared" si="57"/>
        <v>194545.13179896286</v>
      </c>
      <c r="Q105" s="53"/>
      <c r="R105" s="53">
        <f t="shared" si="45"/>
        <v>0.05</v>
      </c>
      <c r="S105" s="53">
        <f t="shared" si="46"/>
        <v>4.2653187775606449E-3</v>
      </c>
      <c r="T105" s="53">
        <f t="shared" si="47"/>
        <v>0.05</v>
      </c>
      <c r="U105" s="53">
        <f t="shared" si="50"/>
        <v>4.2653187775606449E-3</v>
      </c>
      <c r="V105" s="53"/>
      <c r="W105" s="63">
        <f t="shared" si="48"/>
        <v>572.72485123253898</v>
      </c>
      <c r="X105" s="64">
        <f t="shared" si="49"/>
        <v>8.5306375551212881E-4</v>
      </c>
      <c r="Z105" s="63"/>
    </row>
    <row r="106" spans="1:26" x14ac:dyDescent="0.2">
      <c r="A106" s="62">
        <f t="shared" si="40"/>
        <v>0.91761027581974419</v>
      </c>
      <c r="B106" s="45">
        <f t="shared" si="41"/>
        <v>95</v>
      </c>
      <c r="C106" s="49">
        <f t="shared" si="54"/>
        <v>7997649.1616272405</v>
      </c>
      <c r="D106" s="47" cm="1">
        <f t="array" ref="D106">_xlfn.IFS(AND($C$7="Y",B106&lt;C$4),C106,AND($C$7="Y",B106=C$4),D105+F106-J106-K106-L106+N106,AND($C$7="Y",B106&gt;$C$4),D105-J106-K106-L106+N106, TRUE, D105-J106-K106-L106+N106)</f>
        <v>7938757.3715123618</v>
      </c>
      <c r="E106" s="48">
        <f t="shared" si="42"/>
        <v>0</v>
      </c>
      <c r="F106" s="50">
        <f t="shared" si="43"/>
        <v>0</v>
      </c>
      <c r="G106" s="50">
        <f t="shared" si="51"/>
        <v>0</v>
      </c>
      <c r="H106" s="51">
        <f t="shared" si="55"/>
        <v>158617.99235128655</v>
      </c>
      <c r="I106" s="52">
        <f t="shared" si="44"/>
        <v>132725.61064136351</v>
      </c>
      <c r="J106" s="52">
        <f t="shared" si="56"/>
        <v>25892.381709923036</v>
      </c>
      <c r="K106" s="51">
        <f t="shared" si="58"/>
        <v>34002.083883527717</v>
      </c>
      <c r="L106" s="49">
        <f t="shared" ref="L106:L169" si="59">IF(AND(C$7="Y",$B106&lt;=$C$4),0,IF(AND(C$7="N",C$4&gt;0,B106&lt;=C$4),0,U106*D105))</f>
        <v>34112.523145430816</v>
      </c>
      <c r="M106" s="49">
        <f t="shared" ref="M106:M169" si="60">IFERROR(L102*-1,0)</f>
        <v>-35115.198624003206</v>
      </c>
      <c r="N106" s="49">
        <f t="shared" si="52"/>
        <v>35115.198624003206</v>
      </c>
      <c r="O106" s="48">
        <f t="shared" si="53"/>
        <v>193622.75171338668</v>
      </c>
      <c r="P106" s="38">
        <f t="shared" si="57"/>
        <v>193622.75171338668</v>
      </c>
      <c r="Q106" s="53"/>
      <c r="R106" s="53">
        <f t="shared" si="45"/>
        <v>0.05</v>
      </c>
      <c r="S106" s="53">
        <f t="shared" si="46"/>
        <v>4.2653187775606449E-3</v>
      </c>
      <c r="T106" s="53">
        <f t="shared" si="47"/>
        <v>0.05</v>
      </c>
      <c r="U106" s="53">
        <f t="shared" si="50"/>
        <v>4.2653187775606449E-3</v>
      </c>
      <c r="V106" s="53"/>
      <c r="W106" s="63">
        <f t="shared" si="48"/>
        <v>568.54205242384694</v>
      </c>
      <c r="X106" s="64">
        <f t="shared" si="49"/>
        <v>8.5306375551212892E-4</v>
      </c>
      <c r="Z106" s="63"/>
    </row>
    <row r="107" spans="1:26" x14ac:dyDescent="0.2">
      <c r="A107" s="62">
        <f t="shared" si="40"/>
        <v>0.91079671095756287</v>
      </c>
      <c r="B107" s="45">
        <f t="shared" si="41"/>
        <v>96</v>
      </c>
      <c r="C107" s="49">
        <f t="shared" si="54"/>
        <v>7938757.3715123618</v>
      </c>
      <c r="D107" s="47" cm="1">
        <f t="array" ref="D107">_xlfn.IFS(AND($C$7="Y",B107&lt;C$4),C107,AND($C$7="Y",B107=C$4),D106+F107-J107-K107-L107+N107,AND($C$7="Y",B107&gt;$C$4),D106-J107-K107-L107+N107, TRUE, D106-J107-K107-L107+N107)</f>
        <v>7879809.4284680253</v>
      </c>
      <c r="E107" s="48">
        <f t="shared" si="42"/>
        <v>0</v>
      </c>
      <c r="F107" s="50">
        <f t="shared" si="43"/>
        <v>0</v>
      </c>
      <c r="G107" s="50">
        <f t="shared" si="51"/>
        <v>0</v>
      </c>
      <c r="H107" s="51">
        <f t="shared" si="55"/>
        <v>157950.12185003841</v>
      </c>
      <c r="I107" s="52">
        <f t="shared" si="44"/>
        <v>131748.26734375252</v>
      </c>
      <c r="J107" s="52">
        <f t="shared" si="56"/>
        <v>26201.85450628589</v>
      </c>
      <c r="K107" s="51">
        <f t="shared" si="58"/>
        <v>33749.571625177094</v>
      </c>
      <c r="L107" s="49">
        <f t="shared" si="59"/>
        <v>33861.330887209668</v>
      </c>
      <c r="M107" s="49">
        <f t="shared" si="60"/>
        <v>-34864.81397433571</v>
      </c>
      <c r="N107" s="49">
        <f t="shared" si="52"/>
        <v>34864.81397433571</v>
      </c>
      <c r="O107" s="48">
        <f t="shared" si="53"/>
        <v>192703.17656234154</v>
      </c>
      <c r="P107" s="38">
        <f t="shared" si="57"/>
        <v>192703.17656234154</v>
      </c>
      <c r="Q107" s="53"/>
      <c r="R107" s="53">
        <f t="shared" si="45"/>
        <v>0.05</v>
      </c>
      <c r="S107" s="53">
        <f t="shared" si="46"/>
        <v>4.2653187775606449E-3</v>
      </c>
      <c r="T107" s="53">
        <f t="shared" si="47"/>
        <v>0.05</v>
      </c>
      <c r="U107" s="53">
        <f t="shared" si="50"/>
        <v>4.2653187775606449E-3</v>
      </c>
      <c r="V107" s="53"/>
      <c r="W107" s="63">
        <f t="shared" si="48"/>
        <v>564.35551478682783</v>
      </c>
      <c r="X107" s="64">
        <f t="shared" si="49"/>
        <v>8.5306375551212903E-4</v>
      </c>
      <c r="Z107" s="63"/>
    </row>
    <row r="108" spans="1:26" x14ac:dyDescent="0.2">
      <c r="A108" s="62">
        <f t="shared" si="40"/>
        <v>0.90397624041437807</v>
      </c>
      <c r="B108" s="45">
        <f t="shared" si="41"/>
        <v>97</v>
      </c>
      <c r="C108" s="49">
        <f t="shared" si="54"/>
        <v>7879809.4284680253</v>
      </c>
      <c r="D108" s="47" cm="1">
        <f t="array" ref="D108">_xlfn.IFS(AND($C$7="Y",B108&lt;C$4),C108,AND($C$7="Y",B108=C$4),D107+F108-J108-K108-L108+N108,AND($C$7="Y",B108&gt;$C$4),D107-J108-K108-L108+N108, TRUE, D107-J108-K108-L108+N108)</f>
        <v>7820801.7405326217</v>
      </c>
      <c r="E108" s="48">
        <f t="shared" si="42"/>
        <v>0</v>
      </c>
      <c r="F108" s="50">
        <f t="shared" si="43"/>
        <v>0</v>
      </c>
      <c r="G108" s="50">
        <f t="shared" si="51"/>
        <v>0</v>
      </c>
      <c r="H108" s="51">
        <f t="shared" si="55"/>
        <v>157285.22749967032</v>
      </c>
      <c r="I108" s="52">
        <f t="shared" si="44"/>
        <v>130769.99215581968</v>
      </c>
      <c r="J108" s="52">
        <f t="shared" si="56"/>
        <v>26515.23534385064</v>
      </c>
      <c r="K108" s="51">
        <f t="shared" si="58"/>
        <v>33496.803187640515</v>
      </c>
      <c r="L108" s="49">
        <f t="shared" si="59"/>
        <v>33609.899118844085</v>
      </c>
      <c r="M108" s="49">
        <f t="shared" si="60"/>
        <v>-34614.249714931815</v>
      </c>
      <c r="N108" s="49">
        <f t="shared" si="52"/>
        <v>34614.249714931815</v>
      </c>
      <c r="O108" s="48">
        <f t="shared" si="53"/>
        <v>191786.3812833986</v>
      </c>
      <c r="P108" s="38">
        <f t="shared" si="57"/>
        <v>191786.3812833986</v>
      </c>
      <c r="Q108" s="53"/>
      <c r="R108" s="53">
        <f t="shared" si="45"/>
        <v>0.05</v>
      </c>
      <c r="S108" s="53">
        <f t="shared" si="46"/>
        <v>4.2653187775606449E-3</v>
      </c>
      <c r="T108" s="53">
        <f t="shared" si="47"/>
        <v>0.05</v>
      </c>
      <c r="U108" s="53">
        <f t="shared" si="50"/>
        <v>4.2653187775606449E-3</v>
      </c>
      <c r="V108" s="53"/>
      <c r="W108" s="63">
        <f t="shared" si="48"/>
        <v>560.16498531406808</v>
      </c>
      <c r="X108" s="64">
        <f t="shared" si="49"/>
        <v>8.5306375551212914E-4</v>
      </c>
      <c r="Z108" s="63"/>
    </row>
    <row r="109" spans="1:26" x14ac:dyDescent="0.2">
      <c r="A109" s="62">
        <f t="shared" si="40"/>
        <v>0.89714844514545788</v>
      </c>
      <c r="B109" s="45">
        <f t="shared" si="41"/>
        <v>98</v>
      </c>
      <c r="C109" s="49">
        <f t="shared" si="54"/>
        <v>7820801.7405326217</v>
      </c>
      <c r="D109" s="47" cm="1">
        <f t="array" ref="D109">_xlfn.IFS(AND($C$7="Y",B109&lt;C$4),C109,AND($C$7="Y",B109=C$4),D108+F109-J109-K109-L109+N109,AND($C$7="Y",B109&gt;$C$4),D108-J109-K109-L109+N109, TRUE, D108-J109-K109-L109+N109)</f>
        <v>7761730.6823168732</v>
      </c>
      <c r="E109" s="48">
        <f t="shared" si="42"/>
        <v>0</v>
      </c>
      <c r="F109" s="50">
        <f t="shared" si="43"/>
        <v>0</v>
      </c>
      <c r="G109" s="50">
        <f t="shared" si="51"/>
        <v>0</v>
      </c>
      <c r="H109" s="51">
        <f t="shared" si="55"/>
        <v>156623.2991982282</v>
      </c>
      <c r="I109" s="52">
        <f t="shared" si="44"/>
        <v>129790.72546688582</v>
      </c>
      <c r="J109" s="52">
        <f t="shared" si="56"/>
        <v>26832.573731342374</v>
      </c>
      <c r="K109" s="51">
        <f t="shared" si="58"/>
        <v>33243.763038886194</v>
      </c>
      <c r="L109" s="49">
        <f t="shared" si="59"/>
        <v>33358.212519472763</v>
      </c>
      <c r="M109" s="49">
        <f t="shared" si="60"/>
        <v>-34363.49107395234</v>
      </c>
      <c r="N109" s="49">
        <f t="shared" si="52"/>
        <v>34363.49107395234</v>
      </c>
      <c r="O109" s="48">
        <f t="shared" si="53"/>
        <v>190872.340791594</v>
      </c>
      <c r="P109" s="38">
        <f t="shared" si="57"/>
        <v>190872.340791594</v>
      </c>
      <c r="Q109" s="53"/>
      <c r="R109" s="53">
        <f t="shared" si="45"/>
        <v>0.05</v>
      </c>
      <c r="S109" s="53">
        <f t="shared" si="46"/>
        <v>4.2653187775606449E-3</v>
      </c>
      <c r="T109" s="53">
        <f t="shared" si="47"/>
        <v>0.05</v>
      </c>
      <c r="U109" s="53">
        <f t="shared" si="50"/>
        <v>4.2653187775606449E-3</v>
      </c>
      <c r="V109" s="53"/>
      <c r="W109" s="63">
        <f t="shared" si="48"/>
        <v>555.97020865787943</v>
      </c>
      <c r="X109" s="64">
        <f t="shared" si="49"/>
        <v>8.5306375551212892E-4</v>
      </c>
      <c r="Z109" s="63"/>
    </row>
    <row r="110" spans="1:26" x14ac:dyDescent="0.2">
      <c r="A110" s="62">
        <f t="shared" si="40"/>
        <v>0.89031290218273151</v>
      </c>
      <c r="B110" s="45">
        <f t="shared" si="41"/>
        <v>99</v>
      </c>
      <c r="C110" s="49">
        <f t="shared" si="54"/>
        <v>7761730.6823168732</v>
      </c>
      <c r="D110" s="47" cm="1">
        <f t="array" ref="D110">_xlfn.IFS(AND($C$7="Y",B110&lt;C$4),C110,AND($C$7="Y",B110=C$4),D109+F110-J110-K110-L110+N110,AND($C$7="Y",B110&gt;$C$4),D109-J110-K110-L110+N110, TRUE, D109-J110-K110-L110+N110)</f>
        <v>7702592.5944885137</v>
      </c>
      <c r="E110" s="48">
        <f t="shared" si="42"/>
        <v>0</v>
      </c>
      <c r="F110" s="50">
        <f t="shared" si="43"/>
        <v>0</v>
      </c>
      <c r="G110" s="50">
        <f t="shared" si="51"/>
        <v>0</v>
      </c>
      <c r="H110" s="51">
        <f t="shared" si="55"/>
        <v>155964.32695820733</v>
      </c>
      <c r="I110" s="52">
        <f t="shared" si="44"/>
        <v>128810.40711152031</v>
      </c>
      <c r="J110" s="52">
        <f t="shared" si="56"/>
        <v>27153.919846687015</v>
      </c>
      <c r="K110" s="51">
        <f t="shared" si="58"/>
        <v>32990.435501448301</v>
      </c>
      <c r="L110" s="49">
        <f t="shared" si="59"/>
        <v>33106.255625654754</v>
      </c>
      <c r="M110" s="49">
        <f t="shared" si="60"/>
        <v>-34112.523145430816</v>
      </c>
      <c r="N110" s="49">
        <f t="shared" si="52"/>
        <v>34112.523145430816</v>
      </c>
      <c r="O110" s="48">
        <f t="shared" si="53"/>
        <v>189961.02997943168</v>
      </c>
      <c r="P110" s="38">
        <f t="shared" si="57"/>
        <v>189961.02997943168</v>
      </c>
      <c r="Q110" s="53"/>
      <c r="R110" s="53">
        <f t="shared" si="45"/>
        <v>0.05</v>
      </c>
      <c r="S110" s="53">
        <f t="shared" si="46"/>
        <v>4.2653187775606449E-3</v>
      </c>
      <c r="T110" s="53">
        <f t="shared" si="47"/>
        <v>0.05</v>
      </c>
      <c r="U110" s="53">
        <f t="shared" si="50"/>
        <v>4.2653187775606449E-3</v>
      </c>
      <c r="V110" s="53"/>
      <c r="W110" s="63">
        <f t="shared" si="48"/>
        <v>551.77092709424596</v>
      </c>
      <c r="X110" s="64">
        <f t="shared" si="49"/>
        <v>8.5306375551212903E-4</v>
      </c>
      <c r="Z110" s="63"/>
    </row>
    <row r="111" spans="1:26" x14ac:dyDescent="0.2">
      <c r="A111" s="62">
        <f t="shared" si="40"/>
        <v>0.88346918457425982</v>
      </c>
      <c r="B111" s="45">
        <f t="shared" si="41"/>
        <v>100</v>
      </c>
      <c r="C111" s="49">
        <f t="shared" si="54"/>
        <v>7702592.5944885137</v>
      </c>
      <c r="D111" s="47" cm="1">
        <f t="array" ref="D111">_xlfn.IFS(AND($C$7="Y",B111&lt;C$4),C111,AND($C$7="Y",B111=C$4),D110+F111-J111-K111-L111+N111,AND($C$7="Y",B111&gt;$C$4),D110-J111-K111-L111+N111, TRUE, D110-J111-K111-L111+N111)</f>
        <v>7643383.7832486136</v>
      </c>
      <c r="E111" s="48">
        <f t="shared" si="42"/>
        <v>0</v>
      </c>
      <c r="F111" s="50">
        <f t="shared" si="43"/>
        <v>0</v>
      </c>
      <c r="G111" s="50">
        <f t="shared" si="51"/>
        <v>0</v>
      </c>
      <c r="H111" s="51">
        <f t="shared" si="55"/>
        <v>155308.30090874355</v>
      </c>
      <c r="I111" s="52">
        <f t="shared" si="44"/>
        <v>127828.97636098904</v>
      </c>
      <c r="J111" s="52">
        <f t="shared" si="56"/>
        <v>27479.324547754513</v>
      </c>
      <c r="K111" s="51">
        <f t="shared" si="58"/>
        <v>32736.804750183204</v>
      </c>
      <c r="L111" s="49">
        <f t="shared" si="59"/>
        <v>32854.012829171421</v>
      </c>
      <c r="M111" s="49">
        <f t="shared" si="60"/>
        <v>-33861.330887209668</v>
      </c>
      <c r="N111" s="49">
        <f t="shared" si="52"/>
        <v>33861.330887209668</v>
      </c>
      <c r="O111" s="48">
        <f t="shared" si="53"/>
        <v>189052.42371696502</v>
      </c>
      <c r="P111" s="38">
        <f t="shared" si="57"/>
        <v>189052.42371696502</v>
      </c>
      <c r="Q111" s="53"/>
      <c r="R111" s="53">
        <f t="shared" si="45"/>
        <v>0.05</v>
      </c>
      <c r="S111" s="53">
        <f t="shared" si="46"/>
        <v>4.2653187775606449E-3</v>
      </c>
      <c r="T111" s="53">
        <f t="shared" si="47"/>
        <v>0.05</v>
      </c>
      <c r="U111" s="53">
        <f t="shared" si="50"/>
        <v>4.2653187775606449E-3</v>
      </c>
      <c r="V111" s="53"/>
      <c r="W111" s="63">
        <f t="shared" si="48"/>
        <v>547.56688048619037</v>
      </c>
      <c r="X111" s="64">
        <f t="shared" si="49"/>
        <v>8.5306375551212903E-4</v>
      </c>
      <c r="Z111" s="63"/>
    </row>
    <row r="112" spans="1:26" x14ac:dyDescent="0.2">
      <c r="A112" s="62">
        <f t="shared" si="40"/>
        <v>0.87661686132271277</v>
      </c>
      <c r="B112" s="45">
        <f t="shared" si="41"/>
        <v>101</v>
      </c>
      <c r="C112" s="49">
        <f t="shared" si="54"/>
        <v>7643383.7832486136</v>
      </c>
      <c r="D112" s="47" cm="1">
        <f t="array" ref="D112">_xlfn.IFS(AND($C$7="Y",B112&lt;C$4),C112,AND($C$7="Y",B112=C$4),D111+F112-J112-K112-L112+N112,AND($C$7="Y",B112&gt;$C$4),D111-J112-K112-L112+N112, TRUE, D111-J112-K112-L112+N112)</f>
        <v>7584100.5197993163</v>
      </c>
      <c r="E112" s="48">
        <f t="shared" si="42"/>
        <v>0</v>
      </c>
      <c r="F112" s="50">
        <f t="shared" si="43"/>
        <v>0</v>
      </c>
      <c r="G112" s="50">
        <f t="shared" si="51"/>
        <v>0</v>
      </c>
      <c r="H112" s="51">
        <f t="shared" si="55"/>
        <v>154655.21129792352</v>
      </c>
      <c r="I112" s="52">
        <f t="shared" si="44"/>
        <v>126846.37191456369</v>
      </c>
      <c r="J112" s="52">
        <f t="shared" si="56"/>
        <v>27808.839383359838</v>
      </c>
      <c r="K112" s="51">
        <f t="shared" si="58"/>
        <v>32482.854809988821</v>
      </c>
      <c r="L112" s="49">
        <f t="shared" si="59"/>
        <v>32601.468374792836</v>
      </c>
      <c r="M112" s="49">
        <f t="shared" si="60"/>
        <v>-33609.899118844085</v>
      </c>
      <c r="N112" s="49">
        <f t="shared" si="52"/>
        <v>33609.899118844085</v>
      </c>
      <c r="O112" s="48">
        <f t="shared" si="53"/>
        <v>188146.49685196357</v>
      </c>
      <c r="P112" s="38">
        <f t="shared" si="57"/>
        <v>188146.49685196357</v>
      </c>
      <c r="Q112" s="53"/>
      <c r="R112" s="53">
        <f t="shared" si="45"/>
        <v>0.05</v>
      </c>
      <c r="S112" s="53">
        <f t="shared" si="46"/>
        <v>4.2653187775606449E-3</v>
      </c>
      <c r="T112" s="53">
        <f t="shared" si="47"/>
        <v>0.05</v>
      </c>
      <c r="U112" s="53">
        <f t="shared" si="50"/>
        <v>4.2653187775606449E-3</v>
      </c>
      <c r="V112" s="53"/>
      <c r="W112" s="63">
        <f t="shared" si="48"/>
        <v>543.35780624654728</v>
      </c>
      <c r="X112" s="64">
        <f t="shared" si="49"/>
        <v>8.5306375551212914E-4</v>
      </c>
      <c r="Z112" s="63"/>
    </row>
    <row r="113" spans="1:26" x14ac:dyDescent="0.2">
      <c r="A113" s="62">
        <f t="shared" si="40"/>
        <v>0.86975549732282931</v>
      </c>
      <c r="B113" s="45">
        <f t="shared" si="41"/>
        <v>102</v>
      </c>
      <c r="C113" s="49">
        <f t="shared" si="54"/>
        <v>7584100.5197993163</v>
      </c>
      <c r="D113" s="47" cm="1">
        <f t="array" ref="D113">_xlfn.IFS(AND($C$7="Y",B113&lt;C$4),C113,AND($C$7="Y",B113=C$4),D112+F113-J113-K113-L113+N113,AND($C$7="Y",B113&gt;$C$4),D112-J113-K113-L113+N113, TRUE, D112-J113-K113-L113+N113)</f>
        <v>7524739.0398027636</v>
      </c>
      <c r="E113" s="48">
        <f t="shared" si="42"/>
        <v>0</v>
      </c>
      <c r="F113" s="50">
        <f t="shared" si="43"/>
        <v>0</v>
      </c>
      <c r="G113" s="50">
        <f t="shared" si="51"/>
        <v>0</v>
      </c>
      <c r="H113" s="51">
        <f t="shared" si="55"/>
        <v>154005.04849522037</v>
      </c>
      <c r="I113" s="52">
        <f t="shared" si="44"/>
        <v>125862.53189068848</v>
      </c>
      <c r="J113" s="52">
        <f t="shared" si="56"/>
        <v>28142.516604531891</v>
      </c>
      <c r="K113" s="51">
        <f t="shared" si="58"/>
        <v>32228.569553486352</v>
      </c>
      <c r="L113" s="49">
        <f t="shared" si="59"/>
        <v>32348.606358007473</v>
      </c>
      <c r="M113" s="49">
        <f t="shared" si="60"/>
        <v>-33358.212519472763</v>
      </c>
      <c r="N113" s="49">
        <f t="shared" si="52"/>
        <v>33358.212519472763</v>
      </c>
      <c r="O113" s="48">
        <f t="shared" si="53"/>
        <v>187243.22421017202</v>
      </c>
      <c r="P113" s="38">
        <f t="shared" si="57"/>
        <v>187243.22421017202</v>
      </c>
      <c r="Q113" s="53"/>
      <c r="R113" s="53">
        <f t="shared" si="45"/>
        <v>0.05</v>
      </c>
      <c r="S113" s="53">
        <f t="shared" si="46"/>
        <v>4.2653187775606449E-3</v>
      </c>
      <c r="T113" s="53">
        <f t="shared" si="47"/>
        <v>0.05</v>
      </c>
      <c r="U113" s="53">
        <f t="shared" si="50"/>
        <v>4.2653187775606449E-3</v>
      </c>
      <c r="V113" s="53"/>
      <c r="W113" s="63">
        <f t="shared" si="48"/>
        <v>539.14343930012456</v>
      </c>
      <c r="X113" s="64">
        <f t="shared" si="49"/>
        <v>8.5306375551212903E-4</v>
      </c>
      <c r="Z113" s="63"/>
    </row>
    <row r="114" spans="1:26" x14ac:dyDescent="0.2">
      <c r="A114" s="62">
        <f t="shared" si="40"/>
        <v>0.86288465329783082</v>
      </c>
      <c r="B114" s="45">
        <f t="shared" si="41"/>
        <v>103</v>
      </c>
      <c r="C114" s="49">
        <f t="shared" si="54"/>
        <v>7524739.0398027636</v>
      </c>
      <c r="D114" s="47" cm="1">
        <f t="array" ref="D114">_xlfn.IFS(AND($C$7="Y",B114&lt;C$4),C114,AND($C$7="Y",B114=C$4),D113+F114-J114-K114-L114+N114,AND($C$7="Y",B114&gt;$C$4),D113-J114-K114-L114+N114, TRUE, D113-J114-K114-L114+N114)</f>
        <v>7465295.5428309804</v>
      </c>
      <c r="E114" s="48">
        <f t="shared" si="42"/>
        <v>0</v>
      </c>
      <c r="F114" s="50">
        <f t="shared" si="43"/>
        <v>0</v>
      </c>
      <c r="G114" s="50">
        <f t="shared" si="51"/>
        <v>0</v>
      </c>
      <c r="H114" s="51">
        <f t="shared" si="55"/>
        <v>153357.80299406213</v>
      </c>
      <c r="I114" s="52">
        <f t="shared" si="44"/>
        <v>124877.39381800081</v>
      </c>
      <c r="J114" s="52">
        <f t="shared" si="56"/>
        <v>28480.409176061323</v>
      </c>
      <c r="K114" s="51">
        <f t="shared" si="58"/>
        <v>31973.93269866312</v>
      </c>
      <c r="L114" s="49">
        <f t="shared" si="59"/>
        <v>32095.410722714383</v>
      </c>
      <c r="M114" s="49">
        <f t="shared" si="60"/>
        <v>-33106.255625654754</v>
      </c>
      <c r="N114" s="49">
        <f t="shared" si="52"/>
        <v>33106.255625654754</v>
      </c>
      <c r="O114" s="48">
        <f t="shared" si="53"/>
        <v>186342.58059566567</v>
      </c>
      <c r="P114" s="38">
        <f t="shared" si="57"/>
        <v>186342.58059566567</v>
      </c>
      <c r="Q114" s="53"/>
      <c r="R114" s="53">
        <f t="shared" si="45"/>
        <v>0.05</v>
      </c>
      <c r="S114" s="53">
        <f t="shared" si="46"/>
        <v>4.2653187775606449E-3</v>
      </c>
      <c r="T114" s="53">
        <f t="shared" si="47"/>
        <v>0.05</v>
      </c>
      <c r="U114" s="53">
        <f t="shared" si="50"/>
        <v>4.2653187775606449E-3</v>
      </c>
      <c r="V114" s="53"/>
      <c r="W114" s="63">
        <f t="shared" si="48"/>
        <v>534.92351204523982</v>
      </c>
      <c r="X114" s="64">
        <f t="shared" si="49"/>
        <v>8.5306375551212903E-4</v>
      </c>
      <c r="Z114" s="63"/>
    </row>
    <row r="115" spans="1:26" x14ac:dyDescent="0.2">
      <c r="A115" s="62">
        <f t="shared" si="40"/>
        <v>0.85600388573476127</v>
      </c>
      <c r="B115" s="45">
        <f t="shared" si="41"/>
        <v>104</v>
      </c>
      <c r="C115" s="49">
        <f t="shared" si="54"/>
        <v>7465295.5428309804</v>
      </c>
      <c r="D115" s="47" cm="1">
        <f t="array" ref="D115">_xlfn.IFS(AND($C$7="Y",B115&lt;C$4),C115,AND($C$7="Y",B115=C$4),D114+F115-J115-K115-L115+N115,AND($C$7="Y",B115&gt;$C$4),D114-J115-K115-L115+N115, TRUE, D114-J115-K115-L115+N115)</f>
        <v>7405766.1918064589</v>
      </c>
      <c r="E115" s="48">
        <f t="shared" si="42"/>
        <v>0</v>
      </c>
      <c r="F115" s="50">
        <f t="shared" si="43"/>
        <v>0</v>
      </c>
      <c r="G115" s="50">
        <f t="shared" si="51"/>
        <v>0</v>
      </c>
      <c r="H115" s="51">
        <f t="shared" si="55"/>
        <v>152713.46541454128</v>
      </c>
      <c r="I115" s="52">
        <f t="shared" si="44"/>
        <v>123890.89462620173</v>
      </c>
      <c r="J115" s="52">
        <f t="shared" si="56"/>
        <v>28822.570788339552</v>
      </c>
      <c r="K115" s="51">
        <f t="shared" si="58"/>
        <v>31718.927806475691</v>
      </c>
      <c r="L115" s="49">
        <f t="shared" si="59"/>
        <v>31841.865258876769</v>
      </c>
      <c r="M115" s="49">
        <f t="shared" si="60"/>
        <v>-32854.012829171421</v>
      </c>
      <c r="N115" s="49">
        <f t="shared" si="52"/>
        <v>32854.012829171421</v>
      </c>
      <c r="O115" s="48">
        <f t="shared" si="53"/>
        <v>185444.54079131165</v>
      </c>
      <c r="P115" s="38">
        <f t="shared" si="57"/>
        <v>185444.54079131165</v>
      </c>
      <c r="Q115" s="53"/>
      <c r="R115" s="53">
        <f t="shared" si="45"/>
        <v>0.05</v>
      </c>
      <c r="S115" s="53">
        <f t="shared" si="46"/>
        <v>4.2653187775606449E-3</v>
      </c>
      <c r="T115" s="53">
        <f t="shared" si="47"/>
        <v>0.05</v>
      </c>
      <c r="U115" s="53">
        <f t="shared" si="50"/>
        <v>4.2653187775606449E-3</v>
      </c>
      <c r="V115" s="53"/>
      <c r="W115" s="63">
        <f t="shared" si="48"/>
        <v>530.69775431461278</v>
      </c>
      <c r="X115" s="64">
        <f t="shared" si="49"/>
        <v>8.5306375551212903E-4</v>
      </c>
      <c r="Z115" s="63"/>
    </row>
    <row r="116" spans="1:26" x14ac:dyDescent="0.2">
      <c r="A116" s="62">
        <f t="shared" si="40"/>
        <v>0.84911274681872317</v>
      </c>
      <c r="B116" s="45">
        <f t="shared" si="41"/>
        <v>105</v>
      </c>
      <c r="C116" s="49">
        <f t="shared" si="54"/>
        <v>7405766.1918064589</v>
      </c>
      <c r="D116" s="47" cm="1">
        <f t="array" ref="D116">_xlfn.IFS(AND($C$7="Y",B116&lt;C$4),C116,AND($C$7="Y",B116=C$4),D115+F116-J116-K116-L116+N116,AND($C$7="Y",B116&gt;$C$4),D115-J116-K116-L116+N116, TRUE, D115-J116-K116-L116+N116)</f>
        <v>7346147.1124332026</v>
      </c>
      <c r="E116" s="48">
        <f t="shared" si="42"/>
        <v>0</v>
      </c>
      <c r="F116" s="50">
        <f t="shared" si="43"/>
        <v>0</v>
      </c>
      <c r="G116" s="50">
        <f t="shared" si="51"/>
        <v>0</v>
      </c>
      <c r="H116" s="51">
        <f t="shared" si="55"/>
        <v>152072.02650627334</v>
      </c>
      <c r="I116" s="52">
        <f t="shared" si="44"/>
        <v>122902.97063677205</v>
      </c>
      <c r="J116" s="52">
        <f t="shared" si="56"/>
        <v>29169.055869501288</v>
      </c>
      <c r="K116" s="51">
        <f t="shared" si="58"/>
        <v>31463.538278411979</v>
      </c>
      <c r="L116" s="49">
        <f t="shared" si="59"/>
        <v>31587.953600135879</v>
      </c>
      <c r="M116" s="49">
        <f t="shared" si="60"/>
        <v>-32601.468374792836</v>
      </c>
      <c r="N116" s="49">
        <f t="shared" si="52"/>
        <v>32601.468374792836</v>
      </c>
      <c r="O116" s="48">
        <f t="shared" si="53"/>
        <v>184549.0795593423</v>
      </c>
      <c r="P116" s="38">
        <f t="shared" si="57"/>
        <v>184549.0795593423</v>
      </c>
      <c r="Q116" s="53"/>
      <c r="R116" s="53">
        <f t="shared" si="45"/>
        <v>0.05</v>
      </c>
      <c r="S116" s="53">
        <f t="shared" si="46"/>
        <v>4.2653187775606449E-3</v>
      </c>
      <c r="T116" s="53">
        <f t="shared" si="47"/>
        <v>0.05</v>
      </c>
      <c r="U116" s="53">
        <f t="shared" si="50"/>
        <v>4.2653187775606449E-3</v>
      </c>
      <c r="V116" s="53"/>
      <c r="W116" s="63">
        <f t="shared" si="48"/>
        <v>526.46589333559803</v>
      </c>
      <c r="X116" s="64">
        <f t="shared" si="49"/>
        <v>8.5306375551212903E-4</v>
      </c>
      <c r="Z116" s="63"/>
    </row>
    <row r="117" spans="1:26" x14ac:dyDescent="0.2">
      <c r="A117" s="62">
        <f t="shared" si="40"/>
        <v>0.84221078436597718</v>
      </c>
      <c r="B117" s="45">
        <f t="shared" si="41"/>
        <v>106</v>
      </c>
      <c r="C117" s="49">
        <f t="shared" si="54"/>
        <v>7346147.1124332026</v>
      </c>
      <c r="D117" s="47" cm="1">
        <f t="array" ref="D117">_xlfn.IFS(AND($C$7="Y",B117&lt;C$4),C117,AND($C$7="Y",B117=C$4),D116+F117-J117-K117-L117+N117,AND($C$7="Y",B117&gt;$C$4),D116-J117-K117-L117+N117, TRUE, D116-J117-K117-L117+N117)</f>
        <v>7286434.3926179307</v>
      </c>
      <c r="E117" s="48">
        <f t="shared" si="42"/>
        <v>0</v>
      </c>
      <c r="F117" s="50">
        <f t="shared" si="43"/>
        <v>0</v>
      </c>
      <c r="G117" s="50">
        <f t="shared" si="51"/>
        <v>0</v>
      </c>
      <c r="H117" s="51">
        <f t="shared" si="55"/>
        <v>151433.47715141409</v>
      </c>
      <c r="I117" s="52">
        <f t="shared" si="44"/>
        <v>121913.55755353031</v>
      </c>
      <c r="J117" s="52">
        <f t="shared" si="56"/>
        <v>29519.919597883782</v>
      </c>
      <c r="K117" s="51">
        <f t="shared" si="58"/>
        <v>31207.747354011317</v>
      </c>
      <c r="L117" s="49">
        <f t="shared" si="59"/>
        <v>31333.659221384249</v>
      </c>
      <c r="M117" s="49">
        <f t="shared" si="60"/>
        <v>-32348.606358007473</v>
      </c>
      <c r="N117" s="49">
        <f t="shared" si="52"/>
        <v>32348.606358007473</v>
      </c>
      <c r="O117" s="48">
        <f t="shared" si="53"/>
        <v>183656.17164204866</v>
      </c>
      <c r="P117" s="38">
        <f t="shared" si="57"/>
        <v>183656.17164204866</v>
      </c>
      <c r="Q117" s="53"/>
      <c r="R117" s="53">
        <f t="shared" si="45"/>
        <v>0.05</v>
      </c>
      <c r="S117" s="53">
        <f t="shared" si="46"/>
        <v>4.2653187775606449E-3</v>
      </c>
      <c r="T117" s="53">
        <f t="shared" si="47"/>
        <v>0.05</v>
      </c>
      <c r="U117" s="53">
        <f t="shared" si="50"/>
        <v>4.2653187775606449E-3</v>
      </c>
      <c r="V117" s="53"/>
      <c r="W117" s="63">
        <f t="shared" si="48"/>
        <v>522.22765368973751</v>
      </c>
      <c r="X117" s="64">
        <f t="shared" si="49"/>
        <v>8.5306375551212903E-4</v>
      </c>
      <c r="Z117" s="63"/>
    </row>
    <row r="118" spans="1:26" x14ac:dyDescent="0.2">
      <c r="A118" s="62">
        <f t="shared" si="40"/>
        <v>0.83529754175587456</v>
      </c>
      <c r="B118" s="45">
        <f t="shared" si="41"/>
        <v>107</v>
      </c>
      <c r="C118" s="49">
        <f t="shared" si="54"/>
        <v>7286434.3926179307</v>
      </c>
      <c r="D118" s="47" cm="1">
        <f t="array" ref="D118">_xlfn.IFS(AND($C$7="Y",B118&lt;C$4),C118,AND($C$7="Y",B118=C$4),D117+F118-J118-K118-L118+N118,AND($C$7="Y",B118&gt;$C$4),D117-J118-K118-L118+N118, TRUE, D117-J118-K118-L118+N118)</f>
        <v>7226624.0818811897</v>
      </c>
      <c r="E118" s="48">
        <f t="shared" si="42"/>
        <v>0</v>
      </c>
      <c r="F118" s="50">
        <f t="shared" si="43"/>
        <v>0</v>
      </c>
      <c r="G118" s="50">
        <f t="shared" si="51"/>
        <v>0</v>
      </c>
      <c r="H118" s="51">
        <f t="shared" si="55"/>
        <v>150797.80836784441</v>
      </c>
      <c r="I118" s="52">
        <f t="shared" si="44"/>
        <v>120922.59045302722</v>
      </c>
      <c r="J118" s="52">
        <f t="shared" si="56"/>
        <v>29875.217914817185</v>
      </c>
      <c r="K118" s="51">
        <f t="shared" si="58"/>
        <v>30951.538108341167</v>
      </c>
      <c r="L118" s="49">
        <f t="shared" si="59"/>
        <v>31078.965436296952</v>
      </c>
      <c r="M118" s="49">
        <f t="shared" si="60"/>
        <v>-32095.410722714383</v>
      </c>
      <c r="N118" s="49">
        <f t="shared" si="52"/>
        <v>32095.410722714383</v>
      </c>
      <c r="O118" s="48">
        <f t="shared" si="53"/>
        <v>182765.79176260301</v>
      </c>
      <c r="P118" s="38">
        <f t="shared" si="57"/>
        <v>182765.79176260301</v>
      </c>
      <c r="Q118" s="53"/>
      <c r="R118" s="53">
        <f t="shared" si="45"/>
        <v>0.05</v>
      </c>
      <c r="S118" s="53">
        <f t="shared" si="46"/>
        <v>4.2653187775606449E-3</v>
      </c>
      <c r="T118" s="53">
        <f t="shared" si="47"/>
        <v>0.05</v>
      </c>
      <c r="U118" s="53">
        <f t="shared" si="50"/>
        <v>4.2653187775606449E-3</v>
      </c>
      <c r="V118" s="53"/>
      <c r="W118" s="63">
        <f t="shared" si="48"/>
        <v>517.98275727161592</v>
      </c>
      <c r="X118" s="64">
        <f t="shared" si="49"/>
        <v>8.5306375551212914E-4</v>
      </c>
      <c r="Z118" s="63"/>
    </row>
    <row r="119" spans="1:26" x14ac:dyDescent="0.2">
      <c r="A119" s="62">
        <f t="shared" si="40"/>
        <v>0.82837255786158692</v>
      </c>
      <c r="B119" s="45">
        <f t="shared" si="41"/>
        <v>108</v>
      </c>
      <c r="C119" s="49">
        <f t="shared" si="54"/>
        <v>7226624.0818811897</v>
      </c>
      <c r="D119" s="47" cm="1">
        <f t="array" ref="D119">_xlfn.IFS(AND($C$7="Y",B119&lt;C$4),C119,AND($C$7="Y",B119=C$4),D118+F119-J119-K119-L119+N119,AND($C$7="Y",B119&gt;$C$4),D118-J119-K119-L119+N119, TRUE, D118-J119-K119-L119+N119)</f>
        <v>7166712.1907580569</v>
      </c>
      <c r="E119" s="48">
        <f t="shared" si="42"/>
        <v>0</v>
      </c>
      <c r="F119" s="50">
        <f t="shared" si="43"/>
        <v>0</v>
      </c>
      <c r="G119" s="50">
        <f t="shared" si="51"/>
        <v>0</v>
      </c>
      <c r="H119" s="51">
        <f t="shared" si="55"/>
        <v>150165.01131253378</v>
      </c>
      <c r="I119" s="52">
        <f t="shared" si="44"/>
        <v>119930.00377477282</v>
      </c>
      <c r="J119" s="52">
        <f t="shared" si="56"/>
        <v>30235.007537760961</v>
      </c>
      <c r="K119" s="51">
        <f t="shared" si="58"/>
        <v>30694.893449429295</v>
      </c>
      <c r="L119" s="49">
        <f t="shared" si="59"/>
        <v>30823.855394819795</v>
      </c>
      <c r="M119" s="49">
        <f t="shared" si="60"/>
        <v>-31841.865258876769</v>
      </c>
      <c r="N119" s="49">
        <f t="shared" si="52"/>
        <v>31841.865258876769</v>
      </c>
      <c r="O119" s="48">
        <f t="shared" si="53"/>
        <v>181877.91462602001</v>
      </c>
      <c r="P119" s="38">
        <f t="shared" si="57"/>
        <v>181877.91462602001</v>
      </c>
      <c r="Q119" s="53"/>
      <c r="R119" s="53">
        <f t="shared" si="45"/>
        <v>0.05</v>
      </c>
      <c r="S119" s="53">
        <f t="shared" si="46"/>
        <v>4.2653187775606449E-3</v>
      </c>
      <c r="T119" s="53">
        <f t="shared" si="47"/>
        <v>0.05</v>
      </c>
      <c r="U119" s="53">
        <f t="shared" si="50"/>
        <v>4.2653187775606449E-3</v>
      </c>
      <c r="V119" s="53"/>
      <c r="W119" s="63">
        <f t="shared" si="48"/>
        <v>513.73092324699667</v>
      </c>
      <c r="X119" s="64">
        <f t="shared" si="49"/>
        <v>8.5306375551212925E-4</v>
      </c>
      <c r="Z119" s="63"/>
    </row>
    <row r="120" spans="1:26" x14ac:dyDescent="0.2">
      <c r="A120" s="62">
        <f t="shared" si="40"/>
        <v>0.82143536697959707</v>
      </c>
      <c r="B120" s="45">
        <f t="shared" si="41"/>
        <v>109</v>
      </c>
      <c r="C120" s="49">
        <f t="shared" si="54"/>
        <v>7166712.1907580569</v>
      </c>
      <c r="D120" s="47" cm="1">
        <f t="array" ref="D120">_xlfn.IFS(AND($C$7="Y",B120&lt;C$4),C120,AND($C$7="Y",B120=C$4),D119+F120-J120-K120-L120+N120,AND($C$7="Y",B120&gt;$C$4),D119-J120-K120-L120+N120, TRUE, D119-J120-K120-L120+N120)</f>
        <v>7106694.6901881266</v>
      </c>
      <c r="E120" s="48">
        <f t="shared" si="42"/>
        <v>0</v>
      </c>
      <c r="F120" s="50">
        <f t="shared" si="43"/>
        <v>0</v>
      </c>
      <c r="G120" s="50">
        <f t="shared" si="51"/>
        <v>0</v>
      </c>
      <c r="H120" s="51">
        <f t="shared" si="55"/>
        <v>149535.07728509328</v>
      </c>
      <c r="I120" s="52">
        <f t="shared" si="44"/>
        <v>118935.73131129074</v>
      </c>
      <c r="J120" s="52">
        <f t="shared" si="56"/>
        <v>30599.345973802541</v>
      </c>
      <c r="K120" s="51">
        <f t="shared" si="58"/>
        <v>30437.796115649991</v>
      </c>
      <c r="L120" s="49">
        <f t="shared" si="59"/>
        <v>30568.312080613126</v>
      </c>
      <c r="M120" s="49">
        <f t="shared" si="60"/>
        <v>-31587.953600135879</v>
      </c>
      <c r="N120" s="49">
        <f t="shared" si="52"/>
        <v>31587.953600135879</v>
      </c>
      <c r="O120" s="48">
        <f t="shared" si="53"/>
        <v>180992.51492026605</v>
      </c>
      <c r="P120" s="38">
        <f t="shared" si="57"/>
        <v>180992.51492026605</v>
      </c>
      <c r="Q120" s="53"/>
      <c r="R120" s="53">
        <f t="shared" si="45"/>
        <v>0.05</v>
      </c>
      <c r="S120" s="53">
        <f t="shared" si="46"/>
        <v>4.2653187775606449E-3</v>
      </c>
      <c r="T120" s="53">
        <f t="shared" si="47"/>
        <v>0.05</v>
      </c>
      <c r="U120" s="53">
        <f t="shared" si="50"/>
        <v>4.2653187775606449E-3</v>
      </c>
      <c r="V120" s="53"/>
      <c r="W120" s="63">
        <f t="shared" si="48"/>
        <v>509.47186801021877</v>
      </c>
      <c r="X120" s="64">
        <f t="shared" si="49"/>
        <v>8.5306375551212903E-4</v>
      </c>
      <c r="Z120" s="63"/>
    </row>
    <row r="121" spans="1:26" x14ac:dyDescent="0.2">
      <c r="A121" s="62">
        <f t="shared" si="40"/>
        <v>0.81448549875791443</v>
      </c>
      <c r="B121" s="45">
        <f t="shared" si="41"/>
        <v>110</v>
      </c>
      <c r="C121" s="49">
        <f t="shared" si="54"/>
        <v>7106694.6901881266</v>
      </c>
      <c r="D121" s="47" cm="1">
        <f t="array" ref="D121">_xlfn.IFS(AND($C$7="Y",B121&lt;C$4),C121,AND($C$7="Y",B121=C$4),D120+F121-J121-K121-L121+N121,AND($C$7="Y",B121&gt;$C$4),D120-J121-K121-L121+N121, TRUE, D120-J121-K121-L121+N121)</f>
        <v>7046567.5108944625</v>
      </c>
      <c r="E121" s="48">
        <f t="shared" si="42"/>
        <v>0</v>
      </c>
      <c r="F121" s="50">
        <f t="shared" si="43"/>
        <v>0</v>
      </c>
      <c r="G121" s="50">
        <f t="shared" si="51"/>
        <v>0</v>
      </c>
      <c r="H121" s="51">
        <f t="shared" si="55"/>
        <v>148907.99773153028</v>
      </c>
      <c r="I121" s="52">
        <f t="shared" si="44"/>
        <v>117939.7061979946</v>
      </c>
      <c r="J121" s="52">
        <f t="shared" si="56"/>
        <v>30968.291533535681</v>
      </c>
      <c r="K121" s="51">
        <f t="shared" si="58"/>
        <v>30180.228673062986</v>
      </c>
      <c r="L121" s="49">
        <f t="shared" si="59"/>
        <v>30312.318308449947</v>
      </c>
      <c r="M121" s="49">
        <f t="shared" si="60"/>
        <v>-31333.659221384249</v>
      </c>
      <c r="N121" s="49">
        <f t="shared" si="52"/>
        <v>31333.659221384249</v>
      </c>
      <c r="O121" s="48">
        <f t="shared" si="53"/>
        <v>180109.56731752757</v>
      </c>
      <c r="P121" s="38">
        <f t="shared" si="57"/>
        <v>180109.56731752757</v>
      </c>
      <c r="Q121" s="53"/>
      <c r="R121" s="53">
        <f t="shared" si="45"/>
        <v>0.05</v>
      </c>
      <c r="S121" s="53">
        <f t="shared" si="46"/>
        <v>4.2653187775606449E-3</v>
      </c>
      <c r="T121" s="53">
        <f t="shared" si="47"/>
        <v>0.05</v>
      </c>
      <c r="U121" s="53">
        <f t="shared" si="50"/>
        <v>4.2653187775606449E-3</v>
      </c>
      <c r="V121" s="53"/>
      <c r="W121" s="63">
        <f t="shared" si="48"/>
        <v>505.20530514083248</v>
      </c>
      <c r="X121" s="64">
        <f t="shared" si="49"/>
        <v>8.5306375551212903E-4</v>
      </c>
      <c r="Z121" s="63"/>
    </row>
    <row r="122" spans="1:26" x14ac:dyDescent="0.2">
      <c r="A122" s="62">
        <f t="shared" si="40"/>
        <v>0.80752247812297351</v>
      </c>
      <c r="B122" s="45">
        <f t="shared" si="41"/>
        <v>111</v>
      </c>
      <c r="C122" s="49">
        <f t="shared" si="54"/>
        <v>7046567.5108944625</v>
      </c>
      <c r="D122" s="47" cm="1">
        <f t="array" ref="D122">_xlfn.IFS(AND($C$7="Y",B122&lt;C$4),C122,AND($C$7="Y",B122=C$4),D121+F122-J122-K122-L122+N122,AND($C$7="Y",B122&gt;$C$4),D121-J122-K122-L122+N122, TRUE, D121-J122-K122-L122+N122)</f>
        <v>6986326.542751153</v>
      </c>
      <c r="E122" s="48">
        <f t="shared" si="42"/>
        <v>0</v>
      </c>
      <c r="F122" s="50">
        <f t="shared" si="43"/>
        <v>0</v>
      </c>
      <c r="G122" s="50">
        <f t="shared" si="51"/>
        <v>0</v>
      </c>
      <c r="H122" s="51">
        <f t="shared" si="55"/>
        <v>148283.76424821702</v>
      </c>
      <c r="I122" s="52">
        <f t="shared" si="44"/>
        <v>116941.8609028816</v>
      </c>
      <c r="J122" s="52">
        <f t="shared" si="56"/>
        <v>31341.90334533542</v>
      </c>
      <c r="K122" s="51">
        <f t="shared" si="58"/>
        <v>29922.173512703575</v>
      </c>
      <c r="L122" s="49">
        <f t="shared" si="59"/>
        <v>30055.856721566925</v>
      </c>
      <c r="M122" s="49">
        <f t="shared" si="60"/>
        <v>-31078.965436296952</v>
      </c>
      <c r="N122" s="49">
        <f t="shared" si="52"/>
        <v>31078.965436296952</v>
      </c>
      <c r="O122" s="48">
        <f t="shared" si="53"/>
        <v>179229.0464756506</v>
      </c>
      <c r="P122" s="38">
        <f t="shared" si="57"/>
        <v>179229.0464756506</v>
      </c>
      <c r="Q122" s="53"/>
      <c r="R122" s="53">
        <f t="shared" si="45"/>
        <v>0.05</v>
      </c>
      <c r="S122" s="53">
        <f t="shared" si="46"/>
        <v>4.2653187775606449E-3</v>
      </c>
      <c r="T122" s="53">
        <f t="shared" si="47"/>
        <v>0.05</v>
      </c>
      <c r="U122" s="53">
        <f t="shared" si="50"/>
        <v>4.2653187775606449E-3</v>
      </c>
      <c r="V122" s="53"/>
      <c r="W122" s="63">
        <f t="shared" si="48"/>
        <v>500.93094535944874</v>
      </c>
      <c r="X122" s="64">
        <f t="shared" si="49"/>
        <v>8.5306375551212892E-4</v>
      </c>
      <c r="Z122" s="63"/>
    </row>
    <row r="123" spans="1:26" x14ac:dyDescent="0.2">
      <c r="A123" s="62">
        <f t="shared" si="40"/>
        <v>0.80054582520517492</v>
      </c>
      <c r="B123" s="45">
        <f t="shared" si="41"/>
        <v>112</v>
      </c>
      <c r="C123" s="49">
        <f t="shared" si="54"/>
        <v>6986326.542751153</v>
      </c>
      <c r="D123" s="47" cm="1">
        <f t="array" ref="D123">_xlfn.IFS(AND($C$7="Y",B123&lt;C$4),C123,AND($C$7="Y",B123=C$4),D122+F123-J123-K123-L123+N123,AND($C$7="Y",B123&gt;$C$4),D122-J123-K123-L123+N123, TRUE, D122-J123-K123-L123+N123)</f>
        <v>6925967.6341391308</v>
      </c>
      <c r="E123" s="48">
        <f t="shared" si="42"/>
        <v>0</v>
      </c>
      <c r="F123" s="50">
        <f t="shared" si="43"/>
        <v>0</v>
      </c>
      <c r="G123" s="50">
        <f t="shared" si="51"/>
        <v>0</v>
      </c>
      <c r="H123" s="51">
        <f t="shared" si="55"/>
        <v>147662.36858608812</v>
      </c>
      <c r="I123" s="52">
        <f t="shared" si="44"/>
        <v>115942.12721603643</v>
      </c>
      <c r="J123" s="52">
        <f t="shared" si="56"/>
        <v>31720.241370051692</v>
      </c>
      <c r="K123" s="51">
        <f t="shared" si="58"/>
        <v>29663.612847822395</v>
      </c>
      <c r="L123" s="49">
        <f t="shared" si="59"/>
        <v>29798.909788966834</v>
      </c>
      <c r="M123" s="49">
        <f t="shared" si="60"/>
        <v>-30823.855394819795</v>
      </c>
      <c r="N123" s="49">
        <f t="shared" si="52"/>
        <v>30823.855394819795</v>
      </c>
      <c r="O123" s="48">
        <f t="shared" si="53"/>
        <v>178350.92703976348</v>
      </c>
      <c r="P123" s="38">
        <f t="shared" si="57"/>
        <v>178350.92703976348</v>
      </c>
      <c r="Q123" s="53"/>
      <c r="R123" s="53">
        <f t="shared" si="45"/>
        <v>0.05</v>
      </c>
      <c r="S123" s="53">
        <f t="shared" si="46"/>
        <v>4.2653187775606449E-3</v>
      </c>
      <c r="T123" s="53">
        <f t="shared" si="47"/>
        <v>0.05</v>
      </c>
      <c r="U123" s="53">
        <f t="shared" si="50"/>
        <v>4.2653187775606449E-3</v>
      </c>
      <c r="V123" s="53"/>
      <c r="W123" s="63">
        <f t="shared" si="48"/>
        <v>496.64849648278056</v>
      </c>
      <c r="X123" s="64">
        <f t="shared" si="49"/>
        <v>8.5306375551212903E-4</v>
      </c>
      <c r="Z123" s="63"/>
    </row>
    <row r="124" spans="1:26" x14ac:dyDescent="0.2">
      <c r="A124" s="62">
        <f t="shared" si="40"/>
        <v>0.79355505526302561</v>
      </c>
      <c r="B124" s="45">
        <f t="shared" si="41"/>
        <v>113</v>
      </c>
      <c r="C124" s="49">
        <f t="shared" si="54"/>
        <v>6925967.6341391308</v>
      </c>
      <c r="D124" s="47" cm="1">
        <f t="array" ref="D124">_xlfn.IFS(AND($C$7="Y",B124&lt;C$4),C124,AND($C$7="Y",B124=C$4),D123+F124-J124-K124-L124+N124,AND($C$7="Y",B124&gt;$C$4),D123-J124-K124-L124+N124, TRUE, D123-J124-K124-L124+N124)</f>
        <v>6865486.5912898602</v>
      </c>
      <c r="E124" s="48">
        <f t="shared" si="42"/>
        <v>0</v>
      </c>
      <c r="F124" s="50">
        <f t="shared" si="43"/>
        <v>0</v>
      </c>
      <c r="G124" s="50">
        <f t="shared" si="51"/>
        <v>0</v>
      </c>
      <c r="H124" s="51">
        <f t="shared" si="55"/>
        <v>147043.80265508068</v>
      </c>
      <c r="I124" s="52">
        <f t="shared" si="44"/>
        <v>114940.43623894099</v>
      </c>
      <c r="J124" s="52">
        <f t="shared" si="56"/>
        <v>32103.366416139688</v>
      </c>
      <c r="K124" s="51">
        <f t="shared" si="58"/>
        <v>29404.528711073239</v>
      </c>
      <c r="L124" s="49">
        <f t="shared" si="59"/>
        <v>29541.45980267091</v>
      </c>
      <c r="M124" s="49">
        <f t="shared" si="60"/>
        <v>-30568.312080613126</v>
      </c>
      <c r="N124" s="49">
        <f t="shared" si="52"/>
        <v>30568.312080613126</v>
      </c>
      <c r="O124" s="48">
        <f t="shared" si="53"/>
        <v>177475.18364409613</v>
      </c>
      <c r="P124" s="38">
        <f t="shared" si="57"/>
        <v>177475.18364409613</v>
      </c>
      <c r="Q124" s="53"/>
      <c r="R124" s="53">
        <f t="shared" si="45"/>
        <v>0.05</v>
      </c>
      <c r="S124" s="53">
        <f t="shared" si="46"/>
        <v>4.2653187775606449E-3</v>
      </c>
      <c r="T124" s="53">
        <f t="shared" si="47"/>
        <v>0.05</v>
      </c>
      <c r="U124" s="53">
        <f t="shared" si="50"/>
        <v>4.2653187775606449E-3</v>
      </c>
      <c r="V124" s="53"/>
      <c r="W124" s="63">
        <f t="shared" si="48"/>
        <v>492.3576633778485</v>
      </c>
      <c r="X124" s="64">
        <f t="shared" si="49"/>
        <v>8.5306375551212903E-4</v>
      </c>
      <c r="Z124" s="63"/>
    </row>
    <row r="125" spans="1:26" x14ac:dyDescent="0.2">
      <c r="A125" s="62">
        <f t="shared" si="40"/>
        <v>0.78654967860582892</v>
      </c>
      <c r="B125" s="45">
        <f t="shared" si="41"/>
        <v>114</v>
      </c>
      <c r="C125" s="49">
        <f t="shared" si="54"/>
        <v>6865486.5912898602</v>
      </c>
      <c r="D125" s="47" cm="1">
        <f t="array" ref="D125">_xlfn.IFS(AND($C$7="Y",B125&lt;C$4),C125,AND($C$7="Y",B125=C$4),D124+F125-J125-K125-L125+N125,AND($C$7="Y",B125&gt;$C$4),D124-J125-K125-L125+N125, TRUE, D124-J125-K125-L125+N125)</f>
        <v>6804879.1776164919</v>
      </c>
      <c r="E125" s="48">
        <f t="shared" si="42"/>
        <v>0</v>
      </c>
      <c r="F125" s="50">
        <f t="shared" si="43"/>
        <v>0</v>
      </c>
      <c r="G125" s="50">
        <f t="shared" si="51"/>
        <v>0</v>
      </c>
      <c r="H125" s="51">
        <f t="shared" si="55"/>
        <v>146428.05852883385</v>
      </c>
      <c r="I125" s="52">
        <f t="shared" si="44"/>
        <v>113936.71837358235</v>
      </c>
      <c r="J125" s="52">
        <f t="shared" si="56"/>
        <v>32491.340155251499</v>
      </c>
      <c r="K125" s="51">
        <f t="shared" si="58"/>
        <v>29144.90295164716</v>
      </c>
      <c r="L125" s="49">
        <f t="shared" si="59"/>
        <v>29283.488874919465</v>
      </c>
      <c r="M125" s="49">
        <f t="shared" si="60"/>
        <v>-30312.318308449947</v>
      </c>
      <c r="N125" s="49">
        <f t="shared" si="52"/>
        <v>30312.318308449947</v>
      </c>
      <c r="O125" s="48">
        <f t="shared" si="53"/>
        <v>176601.79091401148</v>
      </c>
      <c r="P125" s="38">
        <f t="shared" si="57"/>
        <v>176601.79091401148</v>
      </c>
      <c r="Q125" s="53"/>
      <c r="R125" s="53">
        <f t="shared" si="45"/>
        <v>0.05</v>
      </c>
      <c r="S125" s="53">
        <f t="shared" si="46"/>
        <v>4.2653187775606449E-3</v>
      </c>
      <c r="T125" s="53">
        <f t="shared" si="47"/>
        <v>0.05</v>
      </c>
      <c r="U125" s="53">
        <f t="shared" si="50"/>
        <v>4.2653187775606449E-3</v>
      </c>
      <c r="V125" s="53"/>
      <c r="W125" s="63">
        <f t="shared" si="48"/>
        <v>488.05814791532447</v>
      </c>
      <c r="X125" s="64">
        <f t="shared" si="49"/>
        <v>8.5306375551212903E-4</v>
      </c>
      <c r="Z125" s="63"/>
    </row>
    <row r="126" spans="1:26" x14ac:dyDescent="0.2">
      <c r="A126" s="62">
        <f t="shared" si="40"/>
        <v>0.77952920051487984</v>
      </c>
      <c r="B126" s="45">
        <f t="shared" si="41"/>
        <v>115</v>
      </c>
      <c r="C126" s="49">
        <f t="shared" si="54"/>
        <v>6804879.1776164919</v>
      </c>
      <c r="D126" s="47" cm="1">
        <f t="array" ref="D126">_xlfn.IFS(AND($C$7="Y",B126&lt;C$4),C126,AND($C$7="Y",B126=C$4),D125+F126-J126-K126-L126+N126,AND($C$7="Y",B126&gt;$C$4),D125-J126-K126-L126+N126, TRUE, D125-J126-K126-L126+N126)</f>
        <v>6744141.1130320765</v>
      </c>
      <c r="E126" s="48">
        <f t="shared" si="42"/>
        <v>0</v>
      </c>
      <c r="F126" s="50">
        <f t="shared" si="43"/>
        <v>0</v>
      </c>
      <c r="G126" s="50">
        <f t="shared" si="51"/>
        <v>0</v>
      </c>
      <c r="H126" s="51">
        <f t="shared" si="55"/>
        <v>145815.12844966463</v>
      </c>
      <c r="I126" s="52">
        <f t="shared" si="44"/>
        <v>112930.90331135289</v>
      </c>
      <c r="J126" s="52">
        <f t="shared" si="56"/>
        <v>32884.22513831174</v>
      </c>
      <c r="K126" s="51">
        <f t="shared" si="58"/>
        <v>28884.717232351086</v>
      </c>
      <c r="L126" s="49">
        <f t="shared" si="59"/>
        <v>29024.978935319061</v>
      </c>
      <c r="M126" s="49">
        <f t="shared" si="60"/>
        <v>-30055.856721566925</v>
      </c>
      <c r="N126" s="49">
        <f t="shared" si="52"/>
        <v>30055.856721566925</v>
      </c>
      <c r="O126" s="48">
        <f t="shared" si="53"/>
        <v>175730.72346826358</v>
      </c>
      <c r="P126" s="38">
        <f t="shared" si="57"/>
        <v>175730.72346826358</v>
      </c>
      <c r="Q126" s="53"/>
      <c r="R126" s="53">
        <f t="shared" si="45"/>
        <v>0.05</v>
      </c>
      <c r="S126" s="53">
        <f t="shared" si="46"/>
        <v>4.2653187775606449E-3</v>
      </c>
      <c r="T126" s="53">
        <f t="shared" si="47"/>
        <v>0.05</v>
      </c>
      <c r="U126" s="53">
        <f t="shared" si="50"/>
        <v>4.2653187775606449E-3</v>
      </c>
      <c r="V126" s="53"/>
      <c r="W126" s="63">
        <f t="shared" si="48"/>
        <v>483.74964892198437</v>
      </c>
      <c r="X126" s="64">
        <f t="shared" si="49"/>
        <v>8.5306375551212903E-4</v>
      </c>
      <c r="Z126" s="63"/>
    </row>
    <row r="127" spans="1:26" x14ac:dyDescent="0.2">
      <c r="A127" s="62">
        <f t="shared" si="40"/>
        <v>0.77249312116311109</v>
      </c>
      <c r="B127" s="45">
        <f t="shared" si="41"/>
        <v>116</v>
      </c>
      <c r="C127" s="49">
        <f t="shared" si="54"/>
        <v>6744141.1130320765</v>
      </c>
      <c r="D127" s="47" cm="1">
        <f t="array" ref="D127">_xlfn.IFS(AND($C$7="Y",B127&lt;C$4),C127,AND($C$7="Y",B127=C$4),D126+F127-J127-K127-L127+N127,AND($C$7="Y",B127&gt;$C$4),D126-J127-K127-L127+N127, TRUE, D126-J127-K127-L127+N127)</f>
        <v>6683268.0732543776</v>
      </c>
      <c r="E127" s="48">
        <f t="shared" si="42"/>
        <v>0</v>
      </c>
      <c r="F127" s="50">
        <f t="shared" si="43"/>
        <v>0</v>
      </c>
      <c r="G127" s="50">
        <f t="shared" si="51"/>
        <v>0</v>
      </c>
      <c r="H127" s="51">
        <f t="shared" si="55"/>
        <v>145205.00483383882</v>
      </c>
      <c r="I127" s="52">
        <f t="shared" si="44"/>
        <v>111922.9200217357</v>
      </c>
      <c r="J127" s="52">
        <f t="shared" si="56"/>
        <v>33282.084812103116</v>
      </c>
      <c r="K127" s="51">
        <f t="shared" si="58"/>
        <v>28623.953026629035</v>
      </c>
      <c r="L127" s="49">
        <f t="shared" si="59"/>
        <v>28765.911727934465</v>
      </c>
      <c r="M127" s="49">
        <f t="shared" si="60"/>
        <v>-29798.909788966834</v>
      </c>
      <c r="N127" s="49">
        <f t="shared" si="52"/>
        <v>29798.909788966834</v>
      </c>
      <c r="O127" s="48">
        <f t="shared" si="53"/>
        <v>174861.95592150022</v>
      </c>
      <c r="P127" s="38">
        <f t="shared" si="57"/>
        <v>174861.95592150022</v>
      </c>
      <c r="Q127" s="53"/>
      <c r="R127" s="53">
        <f t="shared" si="45"/>
        <v>0.05</v>
      </c>
      <c r="S127" s="53">
        <f t="shared" si="46"/>
        <v>4.2653187775606449E-3</v>
      </c>
      <c r="T127" s="53">
        <f t="shared" si="47"/>
        <v>0.05</v>
      </c>
      <c r="U127" s="53">
        <f t="shared" si="50"/>
        <v>4.2653187775606449E-3</v>
      </c>
      <c r="V127" s="53"/>
      <c r="W127" s="63">
        <f t="shared" si="48"/>
        <v>479.43186213224112</v>
      </c>
      <c r="X127" s="64">
        <f t="shared" si="49"/>
        <v>8.5306375551212914E-4</v>
      </c>
      <c r="Z127" s="63"/>
    </row>
    <row r="128" spans="1:26" x14ac:dyDescent="0.2">
      <c r="A128" s="62">
        <f t="shared" si="40"/>
        <v>0.76544093553313519</v>
      </c>
      <c r="B128" s="45">
        <f t="shared" si="41"/>
        <v>117</v>
      </c>
      <c r="C128" s="49">
        <f t="shared" si="54"/>
        <v>6683268.0732543776</v>
      </c>
      <c r="D128" s="47" cm="1">
        <f t="array" ref="D128">_xlfn.IFS(AND($C$7="Y",B128&lt;C$4),C128,AND($C$7="Y",B128=C$4),D127+F128-J128-K128-L128+N128,AND($C$7="Y",B128&gt;$C$4),D127-J128-K128-L128+N128, TRUE, D127-J128-K128-L128+N128)</f>
        <v>6622255.6890968112</v>
      </c>
      <c r="E128" s="48">
        <f t="shared" si="42"/>
        <v>0</v>
      </c>
      <c r="F128" s="50">
        <f t="shared" si="43"/>
        <v>0</v>
      </c>
      <c r="G128" s="50">
        <f t="shared" si="51"/>
        <v>0</v>
      </c>
      <c r="H128" s="51">
        <f t="shared" si="55"/>
        <v>144597.68027715743</v>
      </c>
      <c r="I128" s="52">
        <f t="shared" si="44"/>
        <v>110912.69674076757</v>
      </c>
      <c r="J128" s="52">
        <f t="shared" si="56"/>
        <v>33684.98353638986</v>
      </c>
      <c r="K128" s="51">
        <f t="shared" si="58"/>
        <v>28362.591615523863</v>
      </c>
      <c r="L128" s="49">
        <f t="shared" si="59"/>
        <v>28506.26880832345</v>
      </c>
      <c r="M128" s="49">
        <f t="shared" si="60"/>
        <v>-29541.45980267091</v>
      </c>
      <c r="N128" s="49">
        <f t="shared" si="52"/>
        <v>29541.45980267091</v>
      </c>
      <c r="O128" s="48">
        <f t="shared" si="53"/>
        <v>173995.46288702873</v>
      </c>
      <c r="P128" s="38">
        <f t="shared" si="57"/>
        <v>173995.46288702873</v>
      </c>
      <c r="Q128" s="53"/>
      <c r="R128" s="53">
        <f t="shared" si="45"/>
        <v>0.05</v>
      </c>
      <c r="S128" s="53">
        <f t="shared" si="46"/>
        <v>4.2653187775606449E-3</v>
      </c>
      <c r="T128" s="53">
        <f t="shared" si="47"/>
        <v>0.05</v>
      </c>
      <c r="U128" s="53">
        <f t="shared" si="50"/>
        <v>4.2653187775606449E-3</v>
      </c>
      <c r="V128" s="53"/>
      <c r="W128" s="63">
        <f t="shared" si="48"/>
        <v>475.10448013872423</v>
      </c>
      <c r="X128" s="64">
        <f t="shared" si="49"/>
        <v>8.5306375551212914E-4</v>
      </c>
      <c r="Z128" s="63"/>
    </row>
    <row r="129" spans="1:26" x14ac:dyDescent="0.2">
      <c r="A129" s="62">
        <f t="shared" si="40"/>
        <v>0.75837213333362852</v>
      </c>
      <c r="B129" s="45">
        <f t="shared" si="41"/>
        <v>118</v>
      </c>
      <c r="C129" s="49">
        <f t="shared" si="54"/>
        <v>6622255.6890968112</v>
      </c>
      <c r="D129" s="47" cm="1">
        <f t="array" ref="D129">_xlfn.IFS(AND($C$7="Y",B129&lt;C$4),C129,AND($C$7="Y",B129=C$4),D128+F129-J129-K129-L129+N129,AND($C$7="Y",B129&gt;$C$4),D128-J129-K129-L129+N129, TRUE, D128-J129-K129-L129+N129)</f>
        <v>6561099.5457450338</v>
      </c>
      <c r="E129" s="48">
        <f t="shared" si="42"/>
        <v>0</v>
      </c>
      <c r="F129" s="50">
        <f t="shared" si="43"/>
        <v>0</v>
      </c>
      <c r="G129" s="50">
        <f t="shared" si="51"/>
        <v>0</v>
      </c>
      <c r="H129" s="51">
        <f t="shared" si="55"/>
        <v>143993.14756087962</v>
      </c>
      <c r="I129" s="52">
        <f t="shared" si="44"/>
        <v>109900.16095927166</v>
      </c>
      <c r="J129" s="52">
        <f t="shared" si="56"/>
        <v>34092.986601607961</v>
      </c>
      <c r="K129" s="51">
        <f t="shared" si="58"/>
        <v>28100.614084577475</v>
      </c>
      <c r="L129" s="49">
        <f t="shared" si="59"/>
        <v>28246.031540512438</v>
      </c>
      <c r="M129" s="49">
        <f t="shared" si="60"/>
        <v>-29283.488874919465</v>
      </c>
      <c r="N129" s="49">
        <f t="shared" si="52"/>
        <v>29283.488874919465</v>
      </c>
      <c r="O129" s="48">
        <f t="shared" si="53"/>
        <v>173131.21897986415</v>
      </c>
      <c r="P129" s="38">
        <f t="shared" si="57"/>
        <v>173131.21897986415</v>
      </c>
      <c r="Q129" s="53"/>
      <c r="R129" s="53">
        <f t="shared" si="45"/>
        <v>0.05</v>
      </c>
      <c r="S129" s="53">
        <f t="shared" si="46"/>
        <v>4.2653187775606449E-3</v>
      </c>
      <c r="T129" s="53">
        <f t="shared" si="47"/>
        <v>0.05</v>
      </c>
      <c r="U129" s="53">
        <f t="shared" si="50"/>
        <v>4.2653187775606449E-3</v>
      </c>
      <c r="V129" s="53"/>
      <c r="W129" s="63">
        <f t="shared" si="48"/>
        <v>470.76719234187402</v>
      </c>
      <c r="X129" s="64">
        <f t="shared" si="49"/>
        <v>8.5306375551212903E-4</v>
      </c>
      <c r="Z129" s="63"/>
    </row>
    <row r="130" spans="1:26" x14ac:dyDescent="0.2">
      <c r="A130" s="62">
        <f t="shared" si="40"/>
        <v>0.75128619891399129</v>
      </c>
      <c r="B130" s="45">
        <f t="shared" si="41"/>
        <v>119</v>
      </c>
      <c r="C130" s="49">
        <f t="shared" si="54"/>
        <v>6561099.5457450338</v>
      </c>
      <c r="D130" s="47" cm="1">
        <f t="array" ref="D130">_xlfn.IFS(AND($C$7="Y",B130&lt;C$4),C130,AND($C$7="Y",B130=C$4),D129+F130-J130-K130-L130+N130,AND($C$7="Y",B130&gt;$C$4),D129-J130-K130-L130+N130, TRUE, D129-J130-K130-L130+N130)</f>
        <v>6499795.18201862</v>
      </c>
      <c r="E130" s="48">
        <f t="shared" si="42"/>
        <v>0</v>
      </c>
      <c r="F130" s="50">
        <f t="shared" si="43"/>
        <v>0</v>
      </c>
      <c r="G130" s="50">
        <f t="shared" si="51"/>
        <v>0</v>
      </c>
      <c r="H130" s="51">
        <f t="shared" si="55"/>
        <v>143391.39965800653</v>
      </c>
      <c r="I130" s="52">
        <f t="shared" si="44"/>
        <v>108885.23941085204</v>
      </c>
      <c r="J130" s="52">
        <f t="shared" si="56"/>
        <v>34506.16024715449</v>
      </c>
      <c r="K130" s="51">
        <f t="shared" si="58"/>
        <v>27838.001320667205</v>
      </c>
      <c r="L130" s="49">
        <f t="shared" si="59"/>
        <v>27985.181093910909</v>
      </c>
      <c r="M130" s="49">
        <f t="shared" si="60"/>
        <v>-29024.978935319061</v>
      </c>
      <c r="N130" s="49">
        <f t="shared" si="52"/>
        <v>29024.978935319061</v>
      </c>
      <c r="O130" s="48">
        <f t="shared" si="53"/>
        <v>172269.19882008186</v>
      </c>
      <c r="P130" s="38">
        <f t="shared" si="57"/>
        <v>172269.19882008186</v>
      </c>
      <c r="Q130" s="53"/>
      <c r="R130" s="53">
        <f t="shared" si="45"/>
        <v>0.05</v>
      </c>
      <c r="S130" s="53">
        <f t="shared" si="46"/>
        <v>4.2653187775606449E-3</v>
      </c>
      <c r="T130" s="53">
        <f t="shared" si="47"/>
        <v>0.05</v>
      </c>
      <c r="U130" s="53">
        <f t="shared" si="50"/>
        <v>4.2653187775606449E-3</v>
      </c>
      <c r="V130" s="53"/>
      <c r="W130" s="63">
        <f t="shared" si="48"/>
        <v>466.41968489851519</v>
      </c>
      <c r="X130" s="64">
        <f t="shared" si="49"/>
        <v>8.5306375551212903E-4</v>
      </c>
      <c r="Z130" s="63"/>
    </row>
    <row r="131" spans="1:26" x14ac:dyDescent="0.2">
      <c r="A131" s="62">
        <f t="shared" si="40"/>
        <v>0.74418261117722362</v>
      </c>
      <c r="B131" s="45">
        <f t="shared" si="41"/>
        <v>120</v>
      </c>
      <c r="C131" s="49">
        <f t="shared" si="54"/>
        <v>6499795.18201862</v>
      </c>
      <c r="D131" s="47" cm="1">
        <f t="array" ref="D131">_xlfn.IFS(AND($C$7="Y",B131&lt;C$4),C131,AND($C$7="Y",B131=C$4),D130+F131-J131-K131-L131+N131,AND($C$7="Y",B131&gt;$C$4),D130-J131-K131-L131+N131, TRUE, D130-J131-K131-L131+N131)</f>
        <v>6438338.0896173064</v>
      </c>
      <c r="E131" s="48">
        <f t="shared" si="42"/>
        <v>0</v>
      </c>
      <c r="F131" s="50">
        <f t="shared" si="43"/>
        <v>0</v>
      </c>
      <c r="G131" s="50">
        <f t="shared" si="51"/>
        <v>0</v>
      </c>
      <c r="H131" s="51">
        <f t="shared" si="55"/>
        <v>142792.42973995054</v>
      </c>
      <c r="I131" s="52">
        <f t="shared" si="44"/>
        <v>107867.85805964096</v>
      </c>
      <c r="J131" s="52">
        <f t="shared" si="56"/>
        <v>34924.571680309586</v>
      </c>
      <c r="K131" s="51">
        <f t="shared" si="58"/>
        <v>27574.734008775944</v>
      </c>
      <c r="L131" s="49">
        <f t="shared" si="59"/>
        <v>27723.698440162229</v>
      </c>
      <c r="M131" s="49">
        <f t="shared" si="60"/>
        <v>-28765.911727934465</v>
      </c>
      <c r="N131" s="49">
        <f t="shared" si="52"/>
        <v>28765.911727934465</v>
      </c>
      <c r="O131" s="48">
        <f t="shared" si="53"/>
        <v>171409.37703649871</v>
      </c>
      <c r="P131" s="38">
        <f t="shared" si="57"/>
        <v>171409.37703649871</v>
      </c>
      <c r="Q131" s="53"/>
      <c r="R131" s="53">
        <f t="shared" si="45"/>
        <v>0.05</v>
      </c>
      <c r="S131" s="53">
        <f t="shared" si="46"/>
        <v>4.2653187775606449E-3</v>
      </c>
      <c r="T131" s="53">
        <f t="shared" si="47"/>
        <v>0.05</v>
      </c>
      <c r="U131" s="53">
        <f t="shared" si="50"/>
        <v>4.2653187775606449E-3</v>
      </c>
      <c r="V131" s="53"/>
      <c r="W131" s="63">
        <f t="shared" si="48"/>
        <v>462.06164066937049</v>
      </c>
      <c r="X131" s="64">
        <f t="shared" si="49"/>
        <v>8.5306375551212903E-4</v>
      </c>
      <c r="Z131" s="63"/>
    </row>
    <row r="132" spans="1:26" x14ac:dyDescent="0.2">
      <c r="A132" s="62">
        <f t="shared" si="40"/>
        <v>0.73706084349094625</v>
      </c>
      <c r="B132" s="45">
        <f t="shared" si="41"/>
        <v>121</v>
      </c>
      <c r="C132" s="49">
        <f t="shared" si="54"/>
        <v>6438338.0896173064</v>
      </c>
      <c r="D132" s="47" cm="1">
        <f t="array" ref="D132">_xlfn.IFS(AND($C$7="Y",B132&lt;C$4),C132,AND($C$7="Y",B132=C$4),D131+F132-J132-K132-L132+N132,AND($C$7="Y",B132&gt;$C$4),D131-J132-K132-L132+N132, TRUE, D131-J132-K132-L132+N132)</f>
        <v>6376723.7123511788</v>
      </c>
      <c r="E132" s="48">
        <f t="shared" si="42"/>
        <v>0</v>
      </c>
      <c r="F132" s="50">
        <f t="shared" si="43"/>
        <v>0</v>
      </c>
      <c r="G132" s="50">
        <f t="shared" si="51"/>
        <v>0</v>
      </c>
      <c r="H132" s="51">
        <f t="shared" si="55"/>
        <v>142196.23118361877</v>
      </c>
      <c r="I132" s="52">
        <f t="shared" si="44"/>
        <v>106847.94208778963</v>
      </c>
      <c r="J132" s="52">
        <f t="shared" si="56"/>
        <v>35348.289095829139</v>
      </c>
      <c r="K132" s="51">
        <f t="shared" si="58"/>
        <v>27310.792628693544</v>
      </c>
      <c r="L132" s="49">
        <f t="shared" si="59"/>
        <v>27461.564349928627</v>
      </c>
      <c r="M132" s="49">
        <f t="shared" si="60"/>
        <v>-28506.26880832345</v>
      </c>
      <c r="N132" s="49">
        <f t="shared" si="52"/>
        <v>28506.26880832345</v>
      </c>
      <c r="O132" s="48">
        <f t="shared" si="53"/>
        <v>170551.72827070716</v>
      </c>
      <c r="P132" s="38">
        <f t="shared" si="57"/>
        <v>170551.72827070716</v>
      </c>
      <c r="Q132" s="53"/>
      <c r="R132" s="53">
        <f t="shared" si="45"/>
        <v>0.05</v>
      </c>
      <c r="S132" s="53">
        <f t="shared" si="46"/>
        <v>4.2653187775606449E-3</v>
      </c>
      <c r="T132" s="53">
        <f t="shared" si="47"/>
        <v>0.05</v>
      </c>
      <c r="U132" s="53">
        <f t="shared" si="50"/>
        <v>4.2653187775606449E-3</v>
      </c>
      <c r="V132" s="53"/>
      <c r="W132" s="63">
        <f t="shared" si="48"/>
        <v>457.69273916547718</v>
      </c>
      <c r="X132" s="64">
        <f t="shared" si="49"/>
        <v>8.5306375551212914E-4</v>
      </c>
      <c r="Z132" s="63"/>
    </row>
    <row r="133" spans="1:26" x14ac:dyDescent="0.2">
      <c r="A133" s="62">
        <f t="shared" si="40"/>
        <v>0.72992036359649359</v>
      </c>
      <c r="B133" s="45">
        <f t="shared" si="41"/>
        <v>122</v>
      </c>
      <c r="C133" s="49">
        <f t="shared" si="54"/>
        <v>6376723.7123511788</v>
      </c>
      <c r="D133" s="47" cm="1">
        <f t="array" ref="D133">_xlfn.IFS(AND($C$7="Y",B133&lt;C$4),C133,AND($C$7="Y",B133=C$4),D132+F133-J133-K133-L133+N133,AND($C$7="Y",B133&gt;$C$4),D132-J133-K133-L133+N133, TRUE, D132-J133-K133-L133+N133)</f>
        <v>6314947.4453541897</v>
      </c>
      <c r="E133" s="48">
        <f t="shared" si="42"/>
        <v>0</v>
      </c>
      <c r="F133" s="50">
        <f t="shared" si="43"/>
        <v>0</v>
      </c>
      <c r="G133" s="50">
        <f t="shared" si="51"/>
        <v>0</v>
      </c>
      <c r="H133" s="51">
        <f t="shared" si="55"/>
        <v>141602.79757893909</v>
      </c>
      <c r="I133" s="52">
        <f t="shared" si="44"/>
        <v>105825.41588269285</v>
      </c>
      <c r="J133" s="52">
        <f t="shared" si="56"/>
        <v>35777.381696246244</v>
      </c>
      <c r="K133" s="51">
        <f t="shared" si="58"/>
        <v>27046.157451646752</v>
      </c>
      <c r="L133" s="49">
        <f t="shared" si="59"/>
        <v>27198.759389607709</v>
      </c>
      <c r="M133" s="49">
        <f t="shared" si="60"/>
        <v>-28246.031540512438</v>
      </c>
      <c r="N133" s="49">
        <f t="shared" si="52"/>
        <v>28246.031540512438</v>
      </c>
      <c r="O133" s="48">
        <f t="shared" si="53"/>
        <v>169696.22718149057</v>
      </c>
      <c r="P133" s="38">
        <f t="shared" si="57"/>
        <v>169696.22718149057</v>
      </c>
      <c r="Q133" s="53"/>
      <c r="R133" s="53">
        <f t="shared" si="45"/>
        <v>0.05</v>
      </c>
      <c r="S133" s="53">
        <f t="shared" si="46"/>
        <v>4.2653187775606449E-3</v>
      </c>
      <c r="T133" s="53">
        <f t="shared" si="47"/>
        <v>0.05</v>
      </c>
      <c r="U133" s="53">
        <f t="shared" si="50"/>
        <v>4.2653187775606449E-3</v>
      </c>
      <c r="V133" s="53"/>
      <c r="W133" s="63">
        <f t="shared" si="48"/>
        <v>453.31265649346187</v>
      </c>
      <c r="X133" s="64">
        <f t="shared" si="49"/>
        <v>8.5306375551212914E-4</v>
      </c>
      <c r="Z133" s="63"/>
    </row>
    <row r="134" spans="1:26" x14ac:dyDescent="0.2">
      <c r="A134" s="62">
        <f t="shared" si="40"/>
        <v>0.72276063351600439</v>
      </c>
      <c r="B134" s="45">
        <f t="shared" si="41"/>
        <v>123</v>
      </c>
      <c r="C134" s="49">
        <f t="shared" si="54"/>
        <v>6314947.4453541897</v>
      </c>
      <c r="D134" s="47" cm="1">
        <f t="array" ref="D134">_xlfn.IFS(AND($C$7="Y",B134&lt;C$4),C134,AND($C$7="Y",B134=C$4),D133+F134-J134-K134-L134+N134,AND($C$7="Y",B134&gt;$C$4),D133-J134-K134-L134+N134, TRUE, D133-J134-K134-L134+N134)</f>
        <v>6253004.6342803426</v>
      </c>
      <c r="E134" s="48">
        <f t="shared" si="42"/>
        <v>0</v>
      </c>
      <c r="F134" s="50">
        <f t="shared" si="43"/>
        <v>0</v>
      </c>
      <c r="G134" s="50">
        <f t="shared" si="51"/>
        <v>0</v>
      </c>
      <c r="H134" s="51">
        <f t="shared" si="55"/>
        <v>141012.12273686266</v>
      </c>
      <c r="I134" s="52">
        <f t="shared" si="44"/>
        <v>104800.20302393688</v>
      </c>
      <c r="J134" s="52">
        <f t="shared" si="56"/>
        <v>36211.919712925781</v>
      </c>
      <c r="K134" s="51">
        <f t="shared" si="58"/>
        <v>26780.808536854791</v>
      </c>
      <c r="L134" s="49">
        <f t="shared" si="59"/>
        <v>26935.263917977849</v>
      </c>
      <c r="M134" s="49">
        <f t="shared" si="60"/>
        <v>-27985.181093910909</v>
      </c>
      <c r="N134" s="49">
        <f t="shared" si="52"/>
        <v>27985.181093910909</v>
      </c>
      <c r="O134" s="48">
        <f t="shared" si="53"/>
        <v>168842.84844965048</v>
      </c>
      <c r="P134" s="38">
        <f t="shared" si="57"/>
        <v>168842.84844965048</v>
      </c>
      <c r="Q134" s="53"/>
      <c r="R134" s="53">
        <f t="shared" si="45"/>
        <v>0.05</v>
      </c>
      <c r="S134" s="53">
        <f t="shared" si="46"/>
        <v>4.2653187775606449E-3</v>
      </c>
      <c r="T134" s="53">
        <f t="shared" si="47"/>
        <v>0.05</v>
      </c>
      <c r="U134" s="53">
        <f t="shared" si="50"/>
        <v>4.2653187775606449E-3</v>
      </c>
      <c r="V134" s="53"/>
      <c r="W134" s="63">
        <f t="shared" si="48"/>
        <v>448.92106529963081</v>
      </c>
      <c r="X134" s="64">
        <f t="shared" si="49"/>
        <v>8.5306375551212903E-4</v>
      </c>
      <c r="Z134" s="63"/>
    </row>
    <row r="135" spans="1:26" x14ac:dyDescent="0.2">
      <c r="A135" s="62">
        <f t="shared" si="40"/>
        <v>0.71558110945742259</v>
      </c>
      <c r="B135" s="45">
        <f t="shared" si="41"/>
        <v>124</v>
      </c>
      <c r="C135" s="49">
        <f t="shared" si="54"/>
        <v>6253004.6342803426</v>
      </c>
      <c r="D135" s="47" cm="1">
        <f t="array" ref="D135">_xlfn.IFS(AND($C$7="Y",B135&lt;C$4),C135,AND($C$7="Y",B135=C$4),D134+F135-J135-K135-L135+N135,AND($C$7="Y",B135&gt;$C$4),D134-J135-K135-L135+N135, TRUE, D134-J135-K135-L135+N135)</f>
        <v>6190890.5744818095</v>
      </c>
      <c r="E135" s="48">
        <f t="shared" si="42"/>
        <v>0</v>
      </c>
      <c r="F135" s="50">
        <f t="shared" si="43"/>
        <v>0</v>
      </c>
      <c r="G135" s="50">
        <f t="shared" si="51"/>
        <v>0</v>
      </c>
      <c r="H135" s="51">
        <f t="shared" si="55"/>
        <v>140424.20069787707</v>
      </c>
      <c r="I135" s="52">
        <f t="shared" si="44"/>
        <v>103772.22626995954</v>
      </c>
      <c r="J135" s="52">
        <f t="shared" si="56"/>
        <v>36651.974427917521</v>
      </c>
      <c r="K135" s="51">
        <f t="shared" si="58"/>
        <v>26514.725728007608</v>
      </c>
      <c r="L135" s="49">
        <f t="shared" si="59"/>
        <v>26671.058082769679</v>
      </c>
      <c r="M135" s="49">
        <f t="shared" si="60"/>
        <v>-27723.698440162229</v>
      </c>
      <c r="N135" s="49">
        <f t="shared" si="52"/>
        <v>27723.698440162229</v>
      </c>
      <c r="O135" s="48">
        <f t="shared" si="53"/>
        <v>167991.5667832772</v>
      </c>
      <c r="P135" s="38">
        <f t="shared" si="57"/>
        <v>167991.5667832772</v>
      </c>
      <c r="Q135" s="53"/>
      <c r="R135" s="53">
        <f t="shared" si="45"/>
        <v>0.05</v>
      </c>
      <c r="S135" s="53">
        <f t="shared" si="46"/>
        <v>4.2653187775606449E-3</v>
      </c>
      <c r="T135" s="53">
        <f t="shared" si="47"/>
        <v>0.05</v>
      </c>
      <c r="U135" s="53">
        <f t="shared" si="50"/>
        <v>4.2653187775606449E-3</v>
      </c>
      <c r="V135" s="53"/>
      <c r="W135" s="63">
        <f t="shared" si="48"/>
        <v>444.51763471282806</v>
      </c>
      <c r="X135" s="64">
        <f t="shared" si="49"/>
        <v>8.5306375551212914E-4</v>
      </c>
      <c r="Z135" s="63"/>
    </row>
    <row r="136" spans="1:26" x14ac:dyDescent="0.2">
      <c r="A136" s="62">
        <f t="shared" si="40"/>
        <v>0.70838124171732808</v>
      </c>
      <c r="B136" s="45">
        <f t="shared" si="41"/>
        <v>125</v>
      </c>
      <c r="C136" s="49">
        <f t="shared" si="54"/>
        <v>6190890.5744818095</v>
      </c>
      <c r="D136" s="47" cm="1">
        <f t="array" ref="D136">_xlfn.IFS(AND($C$7="Y",B136&lt;C$4),C136,AND($C$7="Y",B136=C$4),D135+F136-J136-K136-L136+N136,AND($C$7="Y",B136&gt;$C$4),D135-J136-K136-L136+N136, TRUE, D135-J136-K136-L136+N136)</f>
        <v>6128600.5101682562</v>
      </c>
      <c r="E136" s="48">
        <f t="shared" si="42"/>
        <v>0</v>
      </c>
      <c r="F136" s="50">
        <f t="shared" si="43"/>
        <v>0</v>
      </c>
      <c r="G136" s="50">
        <f t="shared" si="51"/>
        <v>0</v>
      </c>
      <c r="H136" s="51">
        <f t="shared" si="55"/>
        <v>139839.02574106902</v>
      </c>
      <c r="I136" s="52">
        <f t="shared" si="44"/>
        <v>102741.40754441083</v>
      </c>
      <c r="J136" s="52">
        <f t="shared" si="56"/>
        <v>37097.618196658193</v>
      </c>
      <c r="K136" s="51">
        <f t="shared" si="58"/>
        <v>26247.888649663491</v>
      </c>
      <c r="L136" s="49">
        <f t="shared" si="59"/>
        <v>26406.121817160471</v>
      </c>
      <c r="M136" s="49">
        <f t="shared" si="60"/>
        <v>-27461.564349928627</v>
      </c>
      <c r="N136" s="49">
        <f t="shared" si="52"/>
        <v>27461.564349928627</v>
      </c>
      <c r="O136" s="48">
        <f t="shared" si="53"/>
        <v>167142.35692350072</v>
      </c>
      <c r="P136" s="38">
        <f t="shared" si="57"/>
        <v>167142.35692350072</v>
      </c>
      <c r="Q136" s="53"/>
      <c r="R136" s="53">
        <f t="shared" si="45"/>
        <v>0.05</v>
      </c>
      <c r="S136" s="53">
        <f t="shared" si="46"/>
        <v>4.2653187775606449E-3</v>
      </c>
      <c r="T136" s="53">
        <f t="shared" si="47"/>
        <v>0.05</v>
      </c>
      <c r="U136" s="53">
        <f t="shared" si="50"/>
        <v>4.2653187775606449E-3</v>
      </c>
      <c r="V136" s="53"/>
      <c r="W136" s="63">
        <f t="shared" si="48"/>
        <v>440.1020302860079</v>
      </c>
      <c r="X136" s="64">
        <f t="shared" si="49"/>
        <v>8.5306375551212914E-4</v>
      </c>
      <c r="Z136" s="63"/>
    </row>
    <row r="137" spans="1:26" x14ac:dyDescent="0.2">
      <c r="A137" s="62">
        <f t="shared" si="40"/>
        <v>0.70116047458149655</v>
      </c>
      <c r="B137" s="45">
        <f t="shared" si="41"/>
        <v>126</v>
      </c>
      <c r="C137" s="49">
        <f t="shared" si="54"/>
        <v>6128600.5101682562</v>
      </c>
      <c r="D137" s="47" cm="1">
        <f t="array" ref="D137">_xlfn.IFS(AND($C$7="Y",B137&lt;C$4),C137,AND($C$7="Y",B137=C$4),D136+F137-J137-K137-L137+N137,AND($C$7="Y",B137&gt;$C$4),D136-J137-K137-L137+N137, TRUE, D136-J137-K137-L137+N137)</f>
        <v>6066129.6335465368</v>
      </c>
      <c r="E137" s="48">
        <f t="shared" si="42"/>
        <v>0</v>
      </c>
      <c r="F137" s="50">
        <f t="shared" si="43"/>
        <v>0</v>
      </c>
      <c r="G137" s="50">
        <f t="shared" si="51"/>
        <v>0</v>
      </c>
      <c r="H137" s="51">
        <f t="shared" si="55"/>
        <v>139256.59239377809</v>
      </c>
      <c r="I137" s="52">
        <f t="shared" si="44"/>
        <v>101707.66792220114</v>
      </c>
      <c r="J137" s="52">
        <f t="shared" si="56"/>
        <v>37548.924471576946</v>
      </c>
      <c r="K137" s="51">
        <f t="shared" si="58"/>
        <v>25980.276703562587</v>
      </c>
      <c r="L137" s="49">
        <f t="shared" si="59"/>
        <v>26140.434836188411</v>
      </c>
      <c r="M137" s="49">
        <f t="shared" si="60"/>
        <v>-27198.759389607709</v>
      </c>
      <c r="N137" s="49">
        <f t="shared" si="52"/>
        <v>27198.759389607709</v>
      </c>
      <c r="O137" s="48">
        <f t="shared" si="53"/>
        <v>166295.19365075996</v>
      </c>
      <c r="P137" s="38">
        <f t="shared" si="57"/>
        <v>166295.19365075996</v>
      </c>
      <c r="Q137" s="53"/>
      <c r="R137" s="53">
        <f t="shared" si="45"/>
        <v>0.05</v>
      </c>
      <c r="S137" s="53">
        <f t="shared" si="46"/>
        <v>4.2653187775606449E-3</v>
      </c>
      <c r="T137" s="53">
        <f t="shared" si="47"/>
        <v>0.05</v>
      </c>
      <c r="U137" s="53">
        <f t="shared" si="50"/>
        <v>4.2653187775606449E-3</v>
      </c>
      <c r="V137" s="53"/>
      <c r="W137" s="63">
        <f t="shared" si="48"/>
        <v>435.67391393647358</v>
      </c>
      <c r="X137" s="64">
        <f t="shared" si="49"/>
        <v>8.5306375551212914E-4</v>
      </c>
      <c r="Z137" s="63"/>
    </row>
    <row r="138" spans="1:26" x14ac:dyDescent="0.2">
      <c r="A138" s="62">
        <f t="shared" si="40"/>
        <v>0.69391824622309395</v>
      </c>
      <c r="B138" s="45">
        <f t="shared" si="41"/>
        <v>127</v>
      </c>
      <c r="C138" s="49">
        <f t="shared" si="54"/>
        <v>6066129.6335465368</v>
      </c>
      <c r="D138" s="47" cm="1">
        <f t="array" ref="D138">_xlfn.IFS(AND($C$7="Y",B138&lt;C$4),C138,AND($C$7="Y",B138=C$4),D137+F138-J138-K138-L138+N138,AND($C$7="Y",B138&gt;$C$4),D137-J138-K138-L138+N138, TRUE, D137-J138-K138-L138+N138)</f>
        <v>6003473.0839399165</v>
      </c>
      <c r="E138" s="48">
        <f t="shared" si="42"/>
        <v>0</v>
      </c>
      <c r="F138" s="50">
        <f t="shared" si="43"/>
        <v>0</v>
      </c>
      <c r="G138" s="50">
        <f t="shared" si="51"/>
        <v>0</v>
      </c>
      <c r="H138" s="51">
        <f t="shared" si="55"/>
        <v>138676.89544188709</v>
      </c>
      <c r="I138" s="52">
        <f t="shared" si="44"/>
        <v>100670.92761522422</v>
      </c>
      <c r="J138" s="52">
        <f t="shared" si="56"/>
        <v>38005.967826662862</v>
      </c>
      <c r="K138" s="51">
        <f t="shared" si="58"/>
        <v>25711.869064852686</v>
      </c>
      <c r="L138" s="49">
        <f t="shared" si="59"/>
        <v>25873.976633083119</v>
      </c>
      <c r="M138" s="49">
        <f t="shared" si="60"/>
        <v>-26935.263917977849</v>
      </c>
      <c r="N138" s="49">
        <f t="shared" si="52"/>
        <v>26935.263917977849</v>
      </c>
      <c r="O138" s="48">
        <f t="shared" si="53"/>
        <v>165450.05179163453</v>
      </c>
      <c r="P138" s="38">
        <f t="shared" si="57"/>
        <v>165450.05179163453</v>
      </c>
      <c r="Q138" s="53"/>
      <c r="R138" s="53">
        <f t="shared" si="45"/>
        <v>0.05</v>
      </c>
      <c r="S138" s="53">
        <f t="shared" si="46"/>
        <v>4.2653187775606449E-3</v>
      </c>
      <c r="T138" s="53">
        <f t="shared" si="47"/>
        <v>0.05</v>
      </c>
      <c r="U138" s="53">
        <f t="shared" si="50"/>
        <v>4.2653187775606449E-3</v>
      </c>
      <c r="V138" s="53"/>
      <c r="W138" s="63">
        <f t="shared" si="48"/>
        <v>431.23294388471868</v>
      </c>
      <c r="X138" s="64">
        <f t="shared" si="49"/>
        <v>8.5306375551212914E-4</v>
      </c>
      <c r="Z138" s="63"/>
    </row>
    <row r="139" spans="1:26" x14ac:dyDescent="0.2">
      <c r="A139" s="62">
        <f t="shared" si="40"/>
        <v>0.68665398859839799</v>
      </c>
      <c r="B139" s="45">
        <f t="shared" si="41"/>
        <v>128</v>
      </c>
      <c r="C139" s="49">
        <f t="shared" si="54"/>
        <v>6003473.0839399165</v>
      </c>
      <c r="D139" s="47" cm="1">
        <f t="array" ref="D139">_xlfn.IFS(AND($C$7="Y",B139&lt;C$4),C139,AND($C$7="Y",B139=C$4),D138+F139-J139-K139-L139+N139,AND($C$7="Y",B139&gt;$C$4),D138-J139-K139-L139+N139, TRUE, D138-J139-K139-L139+N139)</f>
        <v>5940625.9468858968</v>
      </c>
      <c r="E139" s="48">
        <f t="shared" si="42"/>
        <v>0</v>
      </c>
      <c r="F139" s="50">
        <f t="shared" si="43"/>
        <v>0</v>
      </c>
      <c r="G139" s="50">
        <f t="shared" si="51"/>
        <v>0</v>
      </c>
      <c r="H139" s="51">
        <f t="shared" si="55"/>
        <v>138099.92994079794</v>
      </c>
      <c r="I139" s="52">
        <f t="shared" si="44"/>
        <v>99631.105957740117</v>
      </c>
      <c r="J139" s="52">
        <f t="shared" si="56"/>
        <v>38468.823983057824</v>
      </c>
      <c r="K139" s="51">
        <f t="shared" si="58"/>
        <v>25442.644678223231</v>
      </c>
      <c r="L139" s="49">
        <f t="shared" si="59"/>
        <v>25606.72647550884</v>
      </c>
      <c r="M139" s="49">
        <f t="shared" si="60"/>
        <v>-26671.058082769679</v>
      </c>
      <c r="N139" s="49">
        <f t="shared" si="52"/>
        <v>26671.058082769679</v>
      </c>
      <c r="O139" s="48">
        <f t="shared" si="53"/>
        <v>164606.90622628201</v>
      </c>
      <c r="P139" s="38">
        <f t="shared" si="57"/>
        <v>164606.90622628201</v>
      </c>
      <c r="Q139" s="53"/>
      <c r="R139" s="53">
        <f t="shared" si="45"/>
        <v>0.05</v>
      </c>
      <c r="S139" s="53">
        <f t="shared" si="46"/>
        <v>4.2653187775606449E-3</v>
      </c>
      <c r="T139" s="53">
        <f t="shared" si="47"/>
        <v>0.05</v>
      </c>
      <c r="U139" s="53">
        <f t="shared" si="50"/>
        <v>4.2653187775606449E-3</v>
      </c>
      <c r="V139" s="53"/>
      <c r="W139" s="63">
        <f t="shared" si="48"/>
        <v>426.778774591814</v>
      </c>
      <c r="X139" s="64">
        <f t="shared" si="49"/>
        <v>8.5306375551212903E-4</v>
      </c>
      <c r="Z139" s="63"/>
    </row>
    <row r="140" spans="1:26" x14ac:dyDescent="0.2">
      <c r="A140" s="62">
        <f t="shared" ref="A140:A203" si="61">D140/C$1</f>
        <v>0.67936712733993088</v>
      </c>
      <c r="B140" s="45">
        <f t="shared" si="41"/>
        <v>129</v>
      </c>
      <c r="C140" s="49">
        <f t="shared" si="54"/>
        <v>5940625.9468858968</v>
      </c>
      <c r="D140" s="47" cm="1">
        <f t="array" ref="D140">_xlfn.IFS(AND($C$7="Y",B140&lt;C$4),C140,AND($C$7="Y",B140=C$4),D139+F140-J140-K140-L140+N140,AND($C$7="Y",B140&gt;$C$4),D139-J140-K140-L140+N140, TRUE, D139-J140-K140-L140+N140)</f>
        <v>5877583.2532116519</v>
      </c>
      <c r="E140" s="48">
        <f t="shared" si="42"/>
        <v>0</v>
      </c>
      <c r="F140" s="50">
        <f t="shared" si="43"/>
        <v>0</v>
      </c>
      <c r="G140" s="50">
        <f t="shared" si="51"/>
        <v>0</v>
      </c>
      <c r="H140" s="51">
        <f t="shared" si="55"/>
        <v>137525.6912271484</v>
      </c>
      <c r="I140" s="52">
        <f t="shared" si="44"/>
        <v>98588.121391403009</v>
      </c>
      <c r="J140" s="52">
        <f t="shared" si="56"/>
        <v>38937.569835745395</v>
      </c>
      <c r="K140" s="51">
        <f t="shared" si="58"/>
        <v>25172.582253943416</v>
      </c>
      <c r="L140" s="49">
        <f t="shared" si="59"/>
        <v>25338.663401716403</v>
      </c>
      <c r="M140" s="49">
        <f t="shared" si="60"/>
        <v>-26406.121817160471</v>
      </c>
      <c r="N140" s="49">
        <f t="shared" si="52"/>
        <v>26406.121817160471</v>
      </c>
      <c r="O140" s="48">
        <f t="shared" si="53"/>
        <v>163765.7318965359</v>
      </c>
      <c r="P140" s="38">
        <f t="shared" si="57"/>
        <v>163765.7318965359</v>
      </c>
      <c r="Q140" s="53"/>
      <c r="R140" s="53">
        <f t="shared" si="45"/>
        <v>0.05</v>
      </c>
      <c r="S140" s="53">
        <f t="shared" si="46"/>
        <v>4.2653187775606449E-3</v>
      </c>
      <c r="T140" s="53">
        <f t="shared" si="47"/>
        <v>0.05</v>
      </c>
      <c r="U140" s="53">
        <f t="shared" si="50"/>
        <v>4.2653187775606449E-3</v>
      </c>
      <c r="V140" s="53"/>
      <c r="W140" s="63">
        <f t="shared" si="48"/>
        <v>422.31105669527341</v>
      </c>
      <c r="X140" s="64">
        <f t="shared" si="49"/>
        <v>8.5306375551212903E-4</v>
      </c>
      <c r="Z140" s="63"/>
    </row>
    <row r="141" spans="1:26" x14ac:dyDescent="0.2">
      <c r="A141" s="62">
        <f t="shared" si="61"/>
        <v>0.67205708164688438</v>
      </c>
      <c r="B141" s="45">
        <f t="shared" ref="B141:B204" si="62">B140+1</f>
        <v>130</v>
      </c>
      <c r="C141" s="49">
        <f t="shared" si="54"/>
        <v>5877583.2532116519</v>
      </c>
      <c r="D141" s="47" cm="1">
        <f t="array" ref="D141">_xlfn.IFS(AND($C$7="Y",B141&lt;C$4),C141,AND($C$7="Y",B141=C$4),D140+F141-J141-K141-L141+N141,AND($C$7="Y",B141&gt;$C$4),D140-J141-K141-L141+N141, TRUE, D140-J141-K141-L141+N141)</f>
        <v>5814339.978086031</v>
      </c>
      <c r="E141" s="48">
        <f t="shared" ref="E141:E204" si="63">IF(AND($C$7="Y",B141&lt;=$C$4),D140*C$2/12-G141,0)</f>
        <v>0</v>
      </c>
      <c r="F141" s="50">
        <f t="shared" ref="F141:F204" si="64">IF(AND($C$7="Y",B141&lt;=C$4),E141+F140,0)</f>
        <v>0</v>
      </c>
      <c r="G141" s="50">
        <f t="shared" si="51"/>
        <v>0</v>
      </c>
      <c r="H141" s="51">
        <f t="shared" si="55"/>
        <v>136954.1749313277</v>
      </c>
      <c r="I141" s="52">
        <f t="shared" ref="I141:I204" si="65">IF(AND(C$7="Y",$B141&lt;=C$4),0,IF(AND(C$7="Y",$B141&gt;C$4),(1-U141)*C$2*D140/12,IF(AND($C$7="N",C$4&gt;0),(1-U141)*D140*C$2/12, (1-U141)*D140*C$2/12)))</f>
        <v>97541.89144991753</v>
      </c>
      <c r="J141" s="52">
        <f t="shared" si="56"/>
        <v>39412.283481410166</v>
      </c>
      <c r="K141" s="51">
        <f t="shared" si="58"/>
        <v>24901.66026379984</v>
      </c>
      <c r="L141" s="49">
        <f t="shared" si="59"/>
        <v>25069.766216599641</v>
      </c>
      <c r="M141" s="49">
        <f t="shared" si="60"/>
        <v>-26140.434836188411</v>
      </c>
      <c r="N141" s="49">
        <f t="shared" si="52"/>
        <v>26140.434836188411</v>
      </c>
      <c r="O141" s="48">
        <f t="shared" si="53"/>
        <v>162926.5038147163</v>
      </c>
      <c r="P141" s="38">
        <f t="shared" si="57"/>
        <v>162926.5038147163</v>
      </c>
      <c r="Q141" s="53"/>
      <c r="R141" s="53">
        <f t="shared" ref="R141:R204" si="66">R$9</f>
        <v>0.05</v>
      </c>
      <c r="S141" s="53">
        <f t="shared" ref="S141:S204" si="67">1-(1-R141)^(1/12)</f>
        <v>4.2653187775606449E-3</v>
      </c>
      <c r="T141" s="53">
        <f t="shared" ref="T141:T204" si="68">T$9</f>
        <v>0.05</v>
      </c>
      <c r="U141" s="53">
        <f t="shared" si="50"/>
        <v>4.2653187775606449E-3</v>
      </c>
      <c r="V141" s="53"/>
      <c r="W141" s="63">
        <f t="shared" ref="W141:W204" si="69">D140*U141*C$2/12</f>
        <v>417.82943694332738</v>
      </c>
      <c r="X141" s="64">
        <f t="shared" ref="X141:X204" si="70">12*W141/D140</f>
        <v>8.5306375551212903E-4</v>
      </c>
      <c r="Z141" s="63"/>
    </row>
    <row r="142" spans="1:26" x14ac:dyDescent="0.2">
      <c r="A142" s="62">
        <f t="shared" si="61"/>
        <v>0.66472326417270344</v>
      </c>
      <c r="B142" s="45">
        <f t="shared" si="62"/>
        <v>131</v>
      </c>
      <c r="C142" s="49">
        <f t="shared" si="54"/>
        <v>5814339.978086031</v>
      </c>
      <c r="D142" s="47" cm="1">
        <f t="array" ref="D142">_xlfn.IFS(AND($C$7="Y",B142&lt;C$4),C142,AND($C$7="Y",B142=C$4),D141+F142-J142-K142-L142+N142,AND($C$7="Y",B142&gt;$C$4),D141-J142-K142-L142+N142, TRUE, D141-J142-K142-L142+N142)</f>
        <v>5750891.0400469834</v>
      </c>
      <c r="E142" s="48">
        <f t="shared" si="63"/>
        <v>0</v>
      </c>
      <c r="F142" s="50">
        <f t="shared" si="64"/>
        <v>0</v>
      </c>
      <c r="G142" s="50">
        <f t="shared" si="51"/>
        <v>0</v>
      </c>
      <c r="H142" s="51">
        <f t="shared" si="55"/>
        <v>136385.37699085611</v>
      </c>
      <c r="I142" s="52">
        <f t="shared" si="65"/>
        <v>96492.33274330631</v>
      </c>
      <c r="J142" s="52">
        <f t="shared" si="56"/>
        <v>39893.044247549798</v>
      </c>
      <c r="K142" s="51">
        <f t="shared" si="58"/>
        <v>24629.856936928765</v>
      </c>
      <c r="L142" s="49">
        <f t="shared" si="59"/>
        <v>24800.013487651897</v>
      </c>
      <c r="M142" s="49">
        <f t="shared" si="60"/>
        <v>-25873.976633083119</v>
      </c>
      <c r="N142" s="49">
        <f t="shared" si="52"/>
        <v>25873.976633083119</v>
      </c>
      <c r="O142" s="48">
        <f t="shared" si="53"/>
        <v>162089.19707321614</v>
      </c>
      <c r="P142" s="38">
        <f t="shared" si="57"/>
        <v>162089.19707321614</v>
      </c>
      <c r="Q142" s="53"/>
      <c r="R142" s="53">
        <f t="shared" si="66"/>
        <v>0.05</v>
      </c>
      <c r="S142" s="53">
        <f t="shared" si="67"/>
        <v>4.2653187775606449E-3</v>
      </c>
      <c r="T142" s="53">
        <f t="shared" si="68"/>
        <v>0.05</v>
      </c>
      <c r="U142" s="53">
        <f t="shared" ref="U142:U205" si="71">1-(1-T142)^(1/12)</f>
        <v>4.2653187775606449E-3</v>
      </c>
      <c r="V142" s="53"/>
      <c r="W142" s="63">
        <f t="shared" si="69"/>
        <v>413.33355812753166</v>
      </c>
      <c r="X142" s="64">
        <f t="shared" si="70"/>
        <v>8.5306375551212903E-4</v>
      </c>
      <c r="Z142" s="63"/>
    </row>
    <row r="143" spans="1:26" x14ac:dyDescent="0.2">
      <c r="A143" s="62">
        <f t="shared" si="61"/>
        <v>0.65736508090969048</v>
      </c>
      <c r="B143" s="45">
        <f t="shared" si="62"/>
        <v>132</v>
      </c>
      <c r="C143" s="49">
        <f t="shared" si="54"/>
        <v>5750891.0400469834</v>
      </c>
      <c r="D143" s="47" cm="1">
        <f t="array" ref="D143">_xlfn.IFS(AND($C$7="Y",B143&lt;C$4),C143,AND($C$7="Y",B143=C$4),D142+F143-J143-K143-L143+N143,AND($C$7="Y",B143&gt;$C$4),D142-J143-K143-L143+N143, TRUE, D142-J143-K143-L143+N143)</f>
        <v>5687231.3000032073</v>
      </c>
      <c r="E143" s="48">
        <f t="shared" si="63"/>
        <v>0</v>
      </c>
      <c r="F143" s="50">
        <f t="shared" si="64"/>
        <v>0</v>
      </c>
      <c r="G143" s="50">
        <f t="shared" ref="G143:G206" si="72">IF($B143&lt;=$C$4,C$6,0)</f>
        <v>0</v>
      </c>
      <c r="H143" s="51">
        <f t="shared" si="55"/>
        <v>135819.29366469936</v>
      </c>
      <c r="I143" s="52">
        <f t="shared" si="65"/>
        <v>95439.360941769424</v>
      </c>
      <c r="J143" s="52">
        <f t="shared" si="56"/>
        <v>40379.932722929938</v>
      </c>
      <c r="K143" s="51">
        <f t="shared" si="58"/>
        <v>24357.150255537916</v>
      </c>
      <c r="L143" s="49">
        <f t="shared" si="59"/>
        <v>24529.383540817664</v>
      </c>
      <c r="M143" s="49">
        <f t="shared" si="60"/>
        <v>-25606.72647550884</v>
      </c>
      <c r="N143" s="49">
        <f t="shared" si="52"/>
        <v>25606.72647550884</v>
      </c>
      <c r="O143" s="48">
        <f t="shared" si="53"/>
        <v>161253.78685492848</v>
      </c>
      <c r="P143" s="38">
        <f t="shared" si="57"/>
        <v>161253.78685492848</v>
      </c>
      <c r="Q143" s="53"/>
      <c r="R143" s="53">
        <f t="shared" si="66"/>
        <v>0.05</v>
      </c>
      <c r="S143" s="53">
        <f t="shared" si="67"/>
        <v>4.2653187775606449E-3</v>
      </c>
      <c r="T143" s="53">
        <f t="shared" si="68"/>
        <v>0.05</v>
      </c>
      <c r="U143" s="53">
        <f t="shared" si="71"/>
        <v>4.2653187775606449E-3</v>
      </c>
      <c r="V143" s="53"/>
      <c r="W143" s="63">
        <f t="shared" si="69"/>
        <v>408.82305901362776</v>
      </c>
      <c r="X143" s="64">
        <f t="shared" si="70"/>
        <v>8.5306375551212903E-4</v>
      </c>
      <c r="Z143" s="63"/>
    </row>
    <row r="144" spans="1:26" x14ac:dyDescent="0.2">
      <c r="A144" s="62">
        <f t="shared" si="61"/>
        <v>0.64998193107047775</v>
      </c>
      <c r="B144" s="45">
        <f t="shared" si="62"/>
        <v>133</v>
      </c>
      <c r="C144" s="49">
        <f t="shared" si="54"/>
        <v>5687231.3000032073</v>
      </c>
      <c r="D144" s="47" cm="1">
        <f t="array" ref="D144">_xlfn.IFS(AND($C$7="Y",B144&lt;C$4),C144,AND($C$7="Y",B144=C$4),D143+F144-J144-K144-L144+N144,AND($C$7="Y",B144&gt;$C$4),D143-J144-K144-L144+N144, TRUE, D143-J144-K144-L144+N144)</f>
        <v>5623355.5602086969</v>
      </c>
      <c r="E144" s="48">
        <f t="shared" si="63"/>
        <v>0</v>
      </c>
      <c r="F144" s="50">
        <f t="shared" si="64"/>
        <v>0</v>
      </c>
      <c r="G144" s="50">
        <f t="shared" si="72"/>
        <v>0</v>
      </c>
      <c r="H144" s="51">
        <f t="shared" si="55"/>
        <v>135255.921548596</v>
      </c>
      <c r="I144" s="52">
        <f t="shared" si="65"/>
        <v>94382.890759116213</v>
      </c>
      <c r="J144" s="52">
        <f t="shared" si="56"/>
        <v>40873.030789479788</v>
      </c>
      <c r="K144" s="51">
        <f t="shared" si="58"/>
        <v>24083.517950512134</v>
      </c>
      <c r="L144" s="49">
        <f t="shared" si="59"/>
        <v>24257.854456234316</v>
      </c>
      <c r="M144" s="49">
        <f t="shared" si="60"/>
        <v>-25338.663401716403</v>
      </c>
      <c r="N144" s="49">
        <f t="shared" si="52"/>
        <v>25338.663401716403</v>
      </c>
      <c r="O144" s="48">
        <f t="shared" si="53"/>
        <v>160420.24844459019</v>
      </c>
      <c r="P144" s="38">
        <f t="shared" si="57"/>
        <v>160420.24844459019</v>
      </c>
      <c r="Q144" s="53"/>
      <c r="R144" s="53">
        <f t="shared" si="66"/>
        <v>0.05</v>
      </c>
      <c r="S144" s="53">
        <f t="shared" si="67"/>
        <v>4.2653187775606449E-3</v>
      </c>
      <c r="T144" s="53">
        <f t="shared" si="68"/>
        <v>0.05</v>
      </c>
      <c r="U144" s="53">
        <f t="shared" si="71"/>
        <v>4.2653187775606449E-3</v>
      </c>
      <c r="V144" s="53"/>
      <c r="W144" s="63">
        <f t="shared" si="69"/>
        <v>404.29757427057194</v>
      </c>
      <c r="X144" s="64">
        <f t="shared" si="70"/>
        <v>8.5306375551212903E-4</v>
      </c>
      <c r="Z144" s="63"/>
    </row>
    <row r="145" spans="1:26" x14ac:dyDescent="0.2">
      <c r="A145" s="62">
        <f t="shared" si="61"/>
        <v>0.64257320696620612</v>
      </c>
      <c r="B145" s="45">
        <f t="shared" si="62"/>
        <v>134</v>
      </c>
      <c r="C145" s="49">
        <f t="shared" si="54"/>
        <v>5623355.5602086969</v>
      </c>
      <c r="D145" s="47" cm="1">
        <f t="array" ref="D145">_xlfn.IFS(AND($C$7="Y",B145&lt;C$4),C145,AND($C$7="Y",B145=C$4),D144+F145-J145-K145-L145+N145,AND($C$7="Y",B145&gt;$C$4),D144-J145-K145-L145+N145, TRUE, D144-J145-K145-L145+N145)</f>
        <v>5559258.5632088063</v>
      </c>
      <c r="E145" s="48">
        <f t="shared" si="63"/>
        <v>0</v>
      </c>
      <c r="F145" s="50">
        <f t="shared" si="64"/>
        <v>0</v>
      </c>
      <c r="G145" s="50">
        <f t="shared" si="72"/>
        <v>0</v>
      </c>
      <c r="H145" s="51">
        <f t="shared" si="55"/>
        <v>134695.25759148225</v>
      </c>
      <c r="I145" s="52">
        <f t="shared" si="65"/>
        <v>93322.835935747309</v>
      </c>
      <c r="J145" s="52">
        <f t="shared" si="56"/>
        <v>41372.421655734943</v>
      </c>
      <c r="K145" s="51">
        <f t="shared" si="58"/>
        <v>23808.937496896851</v>
      </c>
      <c r="L145" s="49">
        <f t="shared" si="59"/>
        <v>23985.404063858216</v>
      </c>
      <c r="M145" s="49">
        <f t="shared" si="60"/>
        <v>-25069.766216599641</v>
      </c>
      <c r="N145" s="49">
        <f t="shared" si="52"/>
        <v>25069.766216599641</v>
      </c>
      <c r="O145" s="48">
        <f t="shared" si="53"/>
        <v>159588.55724112052</v>
      </c>
      <c r="P145" s="38">
        <f t="shared" si="57"/>
        <v>159588.55724112052</v>
      </c>
      <c r="Q145" s="53"/>
      <c r="R145" s="53">
        <f t="shared" si="66"/>
        <v>0.05</v>
      </c>
      <c r="S145" s="53">
        <f t="shared" si="67"/>
        <v>4.2653187775606449E-3</v>
      </c>
      <c r="T145" s="53">
        <f t="shared" si="68"/>
        <v>0.05</v>
      </c>
      <c r="U145" s="53">
        <f t="shared" si="71"/>
        <v>4.2653187775606449E-3</v>
      </c>
      <c r="V145" s="53"/>
      <c r="W145" s="63">
        <f t="shared" si="69"/>
        <v>399.75673439763699</v>
      </c>
      <c r="X145" s="64">
        <f t="shared" si="70"/>
        <v>8.5306375551212914E-4</v>
      </c>
      <c r="Z145" s="63"/>
    </row>
    <row r="146" spans="1:26" x14ac:dyDescent="0.2">
      <c r="A146" s="62">
        <f t="shared" si="61"/>
        <v>0.63513829388123555</v>
      </c>
      <c r="B146" s="45">
        <f t="shared" si="62"/>
        <v>135</v>
      </c>
      <c r="C146" s="49">
        <f t="shared" si="54"/>
        <v>5559258.5632088063</v>
      </c>
      <c r="D146" s="47" cm="1">
        <f t="array" ref="D146">_xlfn.IFS(AND($C$7="Y",B146&lt;C$4),C146,AND($C$7="Y",B146=C$4),D145+F146-J146-K146-L146+N146,AND($C$7="Y",B146&gt;$C$4),D145-J146-K146-L146+N146, TRUE, D145-J146-K146-L146+N146)</f>
        <v>5494934.990756291</v>
      </c>
      <c r="E146" s="48">
        <f t="shared" si="63"/>
        <v>0</v>
      </c>
      <c r="F146" s="50">
        <f t="shared" si="64"/>
        <v>0</v>
      </c>
      <c r="G146" s="50">
        <f t="shared" si="72"/>
        <v>0</v>
      </c>
      <c r="H146" s="51">
        <f t="shared" si="55"/>
        <v>134137.29911310889</v>
      </c>
      <c r="I146" s="52">
        <f t="shared" si="65"/>
        <v>92259.109221163948</v>
      </c>
      <c r="J146" s="52">
        <f t="shared" si="56"/>
        <v>41878.189891944945</v>
      </c>
      <c r="K146" s="51">
        <f t="shared" si="58"/>
        <v>23533.38610925297</v>
      </c>
      <c r="L146" s="49">
        <f t="shared" si="59"/>
        <v>23712.009938969331</v>
      </c>
      <c r="M146" s="49">
        <f t="shared" si="60"/>
        <v>-24800.013487651897</v>
      </c>
      <c r="N146" s="49">
        <f t="shared" si="52"/>
        <v>24800.013487651897</v>
      </c>
      <c r="O146" s="48">
        <f t="shared" si="53"/>
        <v>158758.68877104443</v>
      </c>
      <c r="P146" s="38">
        <f t="shared" si="57"/>
        <v>158758.68877104443</v>
      </c>
      <c r="Q146" s="53"/>
      <c r="R146" s="53">
        <f t="shared" si="66"/>
        <v>0.05</v>
      </c>
      <c r="S146" s="53">
        <f t="shared" si="67"/>
        <v>4.2653187775606449E-3</v>
      </c>
      <c r="T146" s="53">
        <f t="shared" si="68"/>
        <v>0.05</v>
      </c>
      <c r="U146" s="53">
        <f t="shared" si="71"/>
        <v>4.2653187775606449E-3</v>
      </c>
      <c r="V146" s="53"/>
      <c r="W146" s="63">
        <f t="shared" si="69"/>
        <v>395.20016564948884</v>
      </c>
      <c r="X146" s="64">
        <f t="shared" si="70"/>
        <v>8.5306375551212892E-4</v>
      </c>
      <c r="Z146" s="63"/>
    </row>
    <row r="147" spans="1:26" x14ac:dyDescent="0.2">
      <c r="A147" s="62">
        <f t="shared" si="61"/>
        <v>0.62767656994419652</v>
      </c>
      <c r="B147" s="45">
        <f t="shared" si="62"/>
        <v>136</v>
      </c>
      <c r="C147" s="49">
        <f t="shared" si="54"/>
        <v>5494934.990756291</v>
      </c>
      <c r="D147" s="47" cm="1">
        <f t="array" ref="D147">_xlfn.IFS(AND($C$7="Y",B147&lt;C$4),C147,AND($C$7="Y",B147=C$4),D146+F147-J147-K147-L147+N147,AND($C$7="Y",B147&gt;$C$4),D146-J147-K147-L147+N147, TRUE, D146-J147-K147-L147+N147)</f>
        <v>5430379.4626957094</v>
      </c>
      <c r="E147" s="48">
        <f t="shared" si="63"/>
        <v>0</v>
      </c>
      <c r="F147" s="50">
        <f t="shared" si="64"/>
        <v>0</v>
      </c>
      <c r="G147" s="50">
        <f t="shared" si="72"/>
        <v>0</v>
      </c>
      <c r="H147" s="51">
        <f t="shared" si="55"/>
        <v>133582.0438229538</v>
      </c>
      <c r="I147" s="52">
        <f t="shared" si="65"/>
        <v>91191.622355979052</v>
      </c>
      <c r="J147" s="52">
        <f t="shared" si="56"/>
        <v>42390.421466974745</v>
      </c>
      <c r="K147" s="51">
        <f t="shared" si="58"/>
        <v>23256.840736876042</v>
      </c>
      <c r="L147" s="49">
        <f t="shared" si="59"/>
        <v>23437.649397547837</v>
      </c>
      <c r="M147" s="49">
        <f t="shared" si="60"/>
        <v>-24529.383540817664</v>
      </c>
      <c r="N147" s="49">
        <f t="shared" si="52"/>
        <v>24529.383540817664</v>
      </c>
      <c r="O147" s="48">
        <f t="shared" si="53"/>
        <v>157930.61870309967</v>
      </c>
      <c r="P147" s="38">
        <f t="shared" si="57"/>
        <v>157930.61870309967</v>
      </c>
      <c r="Q147" s="53"/>
      <c r="R147" s="53">
        <f t="shared" si="66"/>
        <v>0.05</v>
      </c>
      <c r="S147" s="53">
        <f t="shared" si="67"/>
        <v>4.2653187775606449E-3</v>
      </c>
      <c r="T147" s="53">
        <f t="shared" si="68"/>
        <v>0.05</v>
      </c>
      <c r="U147" s="53">
        <f t="shared" si="71"/>
        <v>4.2653187775606449E-3</v>
      </c>
      <c r="V147" s="53"/>
      <c r="W147" s="63">
        <f t="shared" si="69"/>
        <v>390.62748995913063</v>
      </c>
      <c r="X147" s="64">
        <f t="shared" si="70"/>
        <v>8.5306375551212903E-4</v>
      </c>
      <c r="Z147" s="63"/>
    </row>
    <row r="148" spans="1:26" x14ac:dyDescent="0.2">
      <c r="A148" s="62">
        <f t="shared" si="61"/>
        <v>0.62018740599518096</v>
      </c>
      <c r="B148" s="45">
        <f t="shared" si="62"/>
        <v>137</v>
      </c>
      <c r="C148" s="49">
        <f t="shared" si="54"/>
        <v>5430379.4626957094</v>
      </c>
      <c r="D148" s="47" cm="1">
        <f t="array" ref="D148">_xlfn.IFS(AND($C$7="Y",B148&lt;C$4),C148,AND($C$7="Y",B148=C$4),D147+F148-J148-K148-L148+N148,AND($C$7="Y",B148&gt;$C$4),D147-J148-K148-L148+N148, TRUE, D147-J148-K148-L148+N148)</f>
        <v>5365586.5358144166</v>
      </c>
      <c r="E148" s="48">
        <f t="shared" si="63"/>
        <v>0</v>
      </c>
      <c r="F148" s="50">
        <f t="shared" si="64"/>
        <v>0</v>
      </c>
      <c r="G148" s="50">
        <f t="shared" si="72"/>
        <v>0</v>
      </c>
      <c r="H148" s="51">
        <f t="shared" si="55"/>
        <v>133029.48984054272</v>
      </c>
      <c r="I148" s="52">
        <f t="shared" si="65"/>
        <v>90120.286053403222</v>
      </c>
      <c r="J148" s="52">
        <f t="shared" si="56"/>
        <v>42909.2037871395</v>
      </c>
      <c r="K148" s="51">
        <f t="shared" si="58"/>
        <v>22979.278058872231</v>
      </c>
      <c r="L148" s="49">
        <f t="shared" si="59"/>
        <v>23162.299491515696</v>
      </c>
      <c r="M148" s="49">
        <f t="shared" si="60"/>
        <v>-24257.854456234316</v>
      </c>
      <c r="N148" s="49">
        <f t="shared" si="52"/>
        <v>24257.854456234316</v>
      </c>
      <c r="O148" s="48">
        <f t="shared" si="53"/>
        <v>157104.32286413357</v>
      </c>
      <c r="P148" s="38">
        <f t="shared" si="57"/>
        <v>157104.32286413357</v>
      </c>
      <c r="Q148" s="53"/>
      <c r="R148" s="53">
        <f t="shared" si="66"/>
        <v>0.05</v>
      </c>
      <c r="S148" s="53">
        <f t="shared" si="67"/>
        <v>4.2653187775606449E-3</v>
      </c>
      <c r="T148" s="53">
        <f t="shared" si="68"/>
        <v>0.05</v>
      </c>
      <c r="U148" s="53">
        <f t="shared" si="71"/>
        <v>4.2653187775606449E-3</v>
      </c>
      <c r="V148" s="53"/>
      <c r="W148" s="63">
        <f t="shared" si="69"/>
        <v>386.03832485859493</v>
      </c>
      <c r="X148" s="64">
        <f t="shared" si="70"/>
        <v>8.5306375551212903E-4</v>
      </c>
      <c r="Z148" s="63"/>
    </row>
    <row r="149" spans="1:26" x14ac:dyDescent="0.2">
      <c r="A149" s="62">
        <f t="shared" si="61"/>
        <v>0.61267016544884967</v>
      </c>
      <c r="B149" s="45">
        <f t="shared" si="62"/>
        <v>138</v>
      </c>
      <c r="C149" s="49">
        <f t="shared" si="54"/>
        <v>5365586.5358144166</v>
      </c>
      <c r="D149" s="47" cm="1">
        <f t="array" ref="D149">_xlfn.IFS(AND($C$7="Y",B149&lt;C$4),C149,AND($C$7="Y",B149=C$4),D148+F149-J149-K149-L149+N149,AND($C$7="Y",B149&gt;$C$4),D148-J149-K149-L149+N149, TRUE, D148-J149-K149-L149+N149)</f>
        <v>5300550.7026582258</v>
      </c>
      <c r="E149" s="48">
        <f t="shared" si="63"/>
        <v>0</v>
      </c>
      <c r="F149" s="50">
        <f t="shared" si="64"/>
        <v>0</v>
      </c>
      <c r="G149" s="50">
        <f t="shared" si="72"/>
        <v>0</v>
      </c>
      <c r="H149" s="51">
        <f t="shared" si="55"/>
        <v>132479.63571730585</v>
      </c>
      <c r="I149" s="52">
        <f t="shared" si="65"/>
        <v>89045.009980176343</v>
      </c>
      <c r="J149" s="52">
        <f t="shared" si="56"/>
        <v>43434.625737129507</v>
      </c>
      <c r="K149" s="51">
        <f t="shared" si="58"/>
        <v>22700.674479082903</v>
      </c>
      <c r="L149" s="49">
        <f t="shared" si="59"/>
        <v>22885.937003835803</v>
      </c>
      <c r="M149" s="49">
        <f t="shared" si="60"/>
        <v>-23985.404063858216</v>
      </c>
      <c r="N149" s="49">
        <f t="shared" si="52"/>
        <v>23985.404063858216</v>
      </c>
      <c r="O149" s="48">
        <f t="shared" si="53"/>
        <v>156279.77725641115</v>
      </c>
      <c r="P149" s="38">
        <f t="shared" si="57"/>
        <v>156279.77725641115</v>
      </c>
      <c r="Q149" s="53"/>
      <c r="R149" s="53">
        <f t="shared" si="66"/>
        <v>0.05</v>
      </c>
      <c r="S149" s="53">
        <f t="shared" si="67"/>
        <v>4.2653187775606449E-3</v>
      </c>
      <c r="T149" s="53">
        <f t="shared" si="68"/>
        <v>0.05</v>
      </c>
      <c r="U149" s="53">
        <f t="shared" si="71"/>
        <v>4.2653187775606449E-3</v>
      </c>
      <c r="V149" s="53"/>
      <c r="W149" s="63">
        <f t="shared" si="69"/>
        <v>381.43228339726335</v>
      </c>
      <c r="X149" s="64">
        <f t="shared" si="70"/>
        <v>8.5306375551212892E-4</v>
      </c>
      <c r="Z149" s="63"/>
    </row>
    <row r="150" spans="1:26" x14ac:dyDescent="0.2">
      <c r="A150" s="62">
        <f t="shared" si="61"/>
        <v>0.60512420415321821</v>
      </c>
      <c r="B150" s="45">
        <f t="shared" si="62"/>
        <v>139</v>
      </c>
      <c r="C150" s="49">
        <f t="shared" si="54"/>
        <v>5300550.7026582258</v>
      </c>
      <c r="D150" s="47" cm="1">
        <f t="array" ref="D150">_xlfn.IFS(AND($C$7="Y",B150&lt;C$4),C150,AND($C$7="Y",B150=C$4),D149+F150-J150-K150-L150+N150,AND($C$7="Y",B150&gt;$C$4),D149-J150-K150-L150+N150, TRUE, D149-J150-K150-L150+N150)</f>
        <v>5235266.3903096914</v>
      </c>
      <c r="E150" s="48">
        <f t="shared" si="63"/>
        <v>0</v>
      </c>
      <c r="F150" s="50">
        <f t="shared" si="64"/>
        <v>0</v>
      </c>
      <c r="G150" s="50">
        <f t="shared" si="72"/>
        <v>0</v>
      </c>
      <c r="H150" s="51">
        <f t="shared" si="55"/>
        <v>131932.48046010738</v>
      </c>
      <c r="I150" s="52">
        <f t="shared" si="65"/>
        <v>87965.702736912761</v>
      </c>
      <c r="J150" s="52">
        <f t="shared" si="56"/>
        <v>43966.777723194624</v>
      </c>
      <c r="K150" s="51">
        <f t="shared" si="58"/>
        <v>22421.006120848822</v>
      </c>
      <c r="L150" s="49">
        <f t="shared" si="59"/>
        <v>22608.538443460402</v>
      </c>
      <c r="M150" s="49">
        <f t="shared" si="60"/>
        <v>-23712.009938969331</v>
      </c>
      <c r="N150" s="49">
        <f t="shared" si="52"/>
        <v>23712.009938969331</v>
      </c>
      <c r="O150" s="48">
        <f t="shared" si="53"/>
        <v>155456.95807646515</v>
      </c>
      <c r="P150" s="38">
        <f t="shared" si="57"/>
        <v>155456.95807646515</v>
      </c>
      <c r="Q150" s="53"/>
      <c r="R150" s="53">
        <f t="shared" si="66"/>
        <v>0.05</v>
      </c>
      <c r="S150" s="53">
        <f t="shared" si="67"/>
        <v>4.2653187775606449E-3</v>
      </c>
      <c r="T150" s="53">
        <f t="shared" si="68"/>
        <v>0.05</v>
      </c>
      <c r="U150" s="53">
        <f t="shared" si="71"/>
        <v>4.2653187775606449E-3</v>
      </c>
      <c r="V150" s="53"/>
      <c r="W150" s="63">
        <f t="shared" si="69"/>
        <v>376.80897405767337</v>
      </c>
      <c r="X150" s="64">
        <f t="shared" si="70"/>
        <v>8.5306375551212903E-4</v>
      </c>
      <c r="Z150" s="63"/>
    </row>
    <row r="151" spans="1:26" x14ac:dyDescent="0.2">
      <c r="A151" s="62">
        <f t="shared" si="61"/>
        <v>0.59754887024386016</v>
      </c>
      <c r="B151" s="45">
        <f t="shared" si="62"/>
        <v>140</v>
      </c>
      <c r="C151" s="49">
        <f t="shared" si="54"/>
        <v>5235266.3903096914</v>
      </c>
      <c r="D151" s="47" cm="1">
        <f t="array" ref="D151">_xlfn.IFS(AND($C$7="Y",B151&lt;C$4),C151,AND($C$7="Y",B151=C$4),D150+F151-J151-K151-L151+N151,AND($C$7="Y",B151&gt;$C$4),D150-J151-K151-L151+N151, TRUE, D150-J151-K151-L151+N151)</f>
        <v>5169727.959126737</v>
      </c>
      <c r="E151" s="48">
        <f t="shared" si="63"/>
        <v>0</v>
      </c>
      <c r="F151" s="50">
        <f t="shared" si="64"/>
        <v>0</v>
      </c>
      <c r="G151" s="50">
        <f t="shared" si="72"/>
        <v>0</v>
      </c>
      <c r="H151" s="51">
        <f t="shared" si="55"/>
        <v>131388.02355660414</v>
      </c>
      <c r="I151" s="52">
        <f t="shared" si="65"/>
        <v>86882.271837826192</v>
      </c>
      <c r="J151" s="52">
        <f t="shared" si="56"/>
        <v>44505.751718777945</v>
      </c>
      <c r="K151" s="51">
        <f t="shared" si="58"/>
        <v>22140.248821604506</v>
      </c>
      <c r="L151" s="49">
        <f t="shared" si="59"/>
        <v>22330.080040120065</v>
      </c>
      <c r="M151" s="49">
        <f t="shared" si="60"/>
        <v>-23437.649397547837</v>
      </c>
      <c r="N151" s="49">
        <f t="shared" si="52"/>
        <v>23437.649397547837</v>
      </c>
      <c r="O151" s="48">
        <f t="shared" si="53"/>
        <v>154635.84173563641</v>
      </c>
      <c r="P151" s="38">
        <f t="shared" si="57"/>
        <v>154635.84173563641</v>
      </c>
      <c r="Q151" s="53"/>
      <c r="R151" s="53">
        <f t="shared" si="66"/>
        <v>0.05</v>
      </c>
      <c r="S151" s="53">
        <f t="shared" si="67"/>
        <v>4.2653187775606449E-3</v>
      </c>
      <c r="T151" s="53">
        <f t="shared" si="68"/>
        <v>0.05</v>
      </c>
      <c r="U151" s="53">
        <f t="shared" si="71"/>
        <v>4.2653187775606449E-3</v>
      </c>
      <c r="V151" s="53"/>
      <c r="W151" s="63">
        <f t="shared" si="69"/>
        <v>372.16800066866773</v>
      </c>
      <c r="X151" s="64">
        <f t="shared" si="70"/>
        <v>8.5306375551212903E-4</v>
      </c>
      <c r="Z151" s="63"/>
    </row>
    <row r="152" spans="1:26" x14ac:dyDescent="0.2">
      <c r="A152" s="62">
        <f t="shared" si="61"/>
        <v>0.5899435039932468</v>
      </c>
      <c r="B152" s="45">
        <f t="shared" si="62"/>
        <v>141</v>
      </c>
      <c r="C152" s="49">
        <f t="shared" si="54"/>
        <v>5169727.959126737</v>
      </c>
      <c r="D152" s="47" cm="1">
        <f t="array" ref="D152">_xlfn.IFS(AND($C$7="Y",B152&lt;C$4),C152,AND($C$7="Y",B152=C$4),D151+F152-J152-K152-L152+N152,AND($C$7="Y",B152&gt;$C$4),D151-J152-K152-L152+N152, TRUE, D151-J152-K152-L152+N152)</f>
        <v>5103929.7014392121</v>
      </c>
      <c r="E152" s="48">
        <f t="shared" si="63"/>
        <v>0</v>
      </c>
      <c r="F152" s="50">
        <f t="shared" si="64"/>
        <v>0</v>
      </c>
      <c r="G152" s="50">
        <f t="shared" si="72"/>
        <v>0</v>
      </c>
      <c r="H152" s="51">
        <f t="shared" si="55"/>
        <v>130846.26500260113</v>
      </c>
      <c r="I152" s="52">
        <f t="shared" si="65"/>
        <v>85794.623689796557</v>
      </c>
      <c r="J152" s="52">
        <f t="shared" si="56"/>
        <v>45051.641312804568</v>
      </c>
      <c r="K152" s="51">
        <f t="shared" si="58"/>
        <v>21858.378127292108</v>
      </c>
      <c r="L152" s="49">
        <f t="shared" si="59"/>
        <v>22050.537738943542</v>
      </c>
      <c r="M152" s="49">
        <f t="shared" si="60"/>
        <v>-23162.299491515696</v>
      </c>
      <c r="N152" s="49">
        <f t="shared" si="52"/>
        <v>23162.299491515696</v>
      </c>
      <c r="O152" s="48">
        <f t="shared" si="53"/>
        <v>153816.40488246537</v>
      </c>
      <c r="P152" s="38">
        <f t="shared" si="57"/>
        <v>153816.40488246537</v>
      </c>
      <c r="Q152" s="53"/>
      <c r="R152" s="53">
        <f t="shared" si="66"/>
        <v>0.05</v>
      </c>
      <c r="S152" s="53">
        <f t="shared" si="67"/>
        <v>4.2653187775606449E-3</v>
      </c>
      <c r="T152" s="53">
        <f t="shared" si="68"/>
        <v>0.05</v>
      </c>
      <c r="U152" s="53">
        <f t="shared" si="71"/>
        <v>4.2653187775606449E-3</v>
      </c>
      <c r="V152" s="53"/>
      <c r="W152" s="63">
        <f t="shared" si="69"/>
        <v>367.50896231572574</v>
      </c>
      <c r="X152" s="64">
        <f t="shared" si="70"/>
        <v>8.5306375551212914E-4</v>
      </c>
      <c r="Z152" s="63"/>
    </row>
    <row r="153" spans="1:26" x14ac:dyDescent="0.2">
      <c r="A153" s="62">
        <f t="shared" si="61"/>
        <v>0.5823074376549161</v>
      </c>
      <c r="B153" s="45">
        <f t="shared" si="62"/>
        <v>142</v>
      </c>
      <c r="C153" s="49">
        <f t="shared" si="54"/>
        <v>5103929.7014392121</v>
      </c>
      <c r="D153" s="47" cm="1">
        <f t="array" ref="D153">_xlfn.IFS(AND($C$7="Y",B153&lt;C$4),C153,AND($C$7="Y",B153=C$4),D152+F153-J153-K153-L153+N153,AND($C$7="Y",B153&gt;$C$4),D152-J153-K153-L153+N153, TRUE, D152-J153-K153-L153+N153)</f>
        <v>5037865.8402007092</v>
      </c>
      <c r="E153" s="48">
        <f t="shared" si="63"/>
        <v>0</v>
      </c>
      <c r="F153" s="50">
        <f t="shared" si="64"/>
        <v>0</v>
      </c>
      <c r="G153" s="50">
        <f t="shared" si="72"/>
        <v>0</v>
      </c>
      <c r="H153" s="51">
        <f t="shared" si="55"/>
        <v>130307.20533159615</v>
      </c>
      <c r="I153" s="52">
        <f t="shared" si="65"/>
        <v>84702.663570738558</v>
      </c>
      <c r="J153" s="52">
        <f t="shared" si="56"/>
        <v>45604.541760857595</v>
      </c>
      <c r="K153" s="51">
        <f t="shared" si="58"/>
        <v>21575.369286583533</v>
      </c>
      <c r="L153" s="49">
        <f t="shared" si="59"/>
        <v>21769.887194898169</v>
      </c>
      <c r="M153" s="49">
        <f t="shared" si="60"/>
        <v>-22885.937003835803</v>
      </c>
      <c r="N153" s="49">
        <f t="shared" si="52"/>
        <v>22885.937003835803</v>
      </c>
      <c r="O153" s="48">
        <f t="shared" si="53"/>
        <v>152998.62442711735</v>
      </c>
      <c r="P153" s="38">
        <f t="shared" si="57"/>
        <v>152998.62442711735</v>
      </c>
      <c r="Q153" s="53"/>
      <c r="R153" s="53">
        <f t="shared" si="66"/>
        <v>0.05</v>
      </c>
      <c r="S153" s="53">
        <f t="shared" si="67"/>
        <v>4.2653187775606449E-3</v>
      </c>
      <c r="T153" s="53">
        <f t="shared" si="68"/>
        <v>0.05</v>
      </c>
      <c r="U153" s="53">
        <f t="shared" si="71"/>
        <v>4.2653187775606449E-3</v>
      </c>
      <c r="V153" s="53"/>
      <c r="W153" s="63">
        <f t="shared" si="69"/>
        <v>362.83145324830281</v>
      </c>
      <c r="X153" s="64">
        <f t="shared" si="70"/>
        <v>8.5306375551212903E-4</v>
      </c>
      <c r="Z153" s="63"/>
    </row>
    <row r="154" spans="1:26" x14ac:dyDescent="0.2">
      <c r="A154" s="62">
        <f t="shared" si="61"/>
        <v>0.57463999530213461</v>
      </c>
      <c r="B154" s="45">
        <f t="shared" si="62"/>
        <v>143</v>
      </c>
      <c r="C154" s="49">
        <f t="shared" si="54"/>
        <v>5037865.8402007092</v>
      </c>
      <c r="D154" s="47" cm="1">
        <f t="array" ref="D154">_xlfn.IFS(AND($C$7="Y",B154&lt;C$4),C154,AND($C$7="Y",B154=C$4),D153+F154-J154-K154-L154+N154,AND($C$7="Y",B154&gt;$C$4),D153-J154-K154-L154+N154, TRUE, D153-J154-K154-L154+N154)</f>
        <v>4971530.5275927372</v>
      </c>
      <c r="E154" s="48">
        <f t="shared" si="63"/>
        <v>0</v>
      </c>
      <c r="F154" s="50">
        <f t="shared" si="64"/>
        <v>0</v>
      </c>
      <c r="G154" s="50">
        <f t="shared" si="72"/>
        <v>0</v>
      </c>
      <c r="H154" s="51">
        <f t="shared" si="55"/>
        <v>129770.84564672255</v>
      </c>
      <c r="I154" s="52">
        <f t="shared" si="65"/>
        <v>83606.295607227832</v>
      </c>
      <c r="J154" s="52">
        <f t="shared" si="56"/>
        <v>46164.550039494716</v>
      </c>
      <c r="K154" s="51">
        <f t="shared" si="58"/>
        <v>21291.197244898325</v>
      </c>
      <c r="L154" s="49">
        <f t="shared" si="59"/>
        <v>21488.103767039422</v>
      </c>
      <c r="M154" s="49">
        <f t="shared" si="60"/>
        <v>-22608.538443460402</v>
      </c>
      <c r="N154" s="49">
        <f t="shared" si="52"/>
        <v>22608.538443460402</v>
      </c>
      <c r="O154" s="48">
        <f t="shared" si="53"/>
        <v>152182.47756804185</v>
      </c>
      <c r="P154" s="38">
        <f t="shared" si="57"/>
        <v>152182.47756804185</v>
      </c>
      <c r="Q154" s="53"/>
      <c r="R154" s="53">
        <f t="shared" si="66"/>
        <v>0.05</v>
      </c>
      <c r="S154" s="53">
        <f t="shared" si="67"/>
        <v>4.2653187775606449E-3</v>
      </c>
      <c r="T154" s="53">
        <f t="shared" si="68"/>
        <v>0.05</v>
      </c>
      <c r="U154" s="53">
        <f t="shared" si="71"/>
        <v>4.2653187775606449E-3</v>
      </c>
      <c r="V154" s="53"/>
      <c r="W154" s="63">
        <f t="shared" si="69"/>
        <v>358.13506278399041</v>
      </c>
      <c r="X154" s="64">
        <f t="shared" si="70"/>
        <v>8.5306375551212914E-4</v>
      </c>
      <c r="Z154" s="63"/>
    </row>
    <row r="155" spans="1:26" x14ac:dyDescent="0.2">
      <c r="A155" s="62">
        <f t="shared" si="61"/>
        <v>0.56694049266068869</v>
      </c>
      <c r="B155" s="45">
        <f t="shared" si="62"/>
        <v>144</v>
      </c>
      <c r="C155" s="49">
        <f t="shared" si="54"/>
        <v>4971530.5275927372</v>
      </c>
      <c r="D155" s="47" cm="1">
        <f t="array" ref="D155">_xlfn.IFS(AND($C$7="Y",B155&lt;C$4),C155,AND($C$7="Y",B155=C$4),D154+F155-J155-K155-L155+N155,AND($C$7="Y",B155&gt;$C$4),D154-J155-K155-L155+N155, TRUE, D154-J155-K155-L155+N155)</f>
        <v>4904917.8435781077</v>
      </c>
      <c r="E155" s="48">
        <f t="shared" si="63"/>
        <v>0</v>
      </c>
      <c r="F155" s="50">
        <f t="shared" si="64"/>
        <v>0</v>
      </c>
      <c r="G155" s="50">
        <f t="shared" si="72"/>
        <v>0</v>
      </c>
      <c r="H155" s="51">
        <f t="shared" si="55"/>
        <v>129237.18765532468</v>
      </c>
      <c r="I155" s="52">
        <f t="shared" si="65"/>
        <v>82505.422751336329</v>
      </c>
      <c r="J155" s="52">
        <f t="shared" si="56"/>
        <v>46731.764903988354</v>
      </c>
      <c r="K155" s="51">
        <f t="shared" si="58"/>
        <v>21005.836638203749</v>
      </c>
      <c r="L155" s="49">
        <f t="shared" si="59"/>
        <v>21205.162512557283</v>
      </c>
      <c r="M155" s="49">
        <f t="shared" si="60"/>
        <v>-22330.080040120065</v>
      </c>
      <c r="N155" s="49">
        <f t="shared" si="52"/>
        <v>22330.080040120065</v>
      </c>
      <c r="O155" s="48">
        <f t="shared" si="53"/>
        <v>151367.9418210912</v>
      </c>
      <c r="P155" s="38">
        <f t="shared" si="57"/>
        <v>151367.9418210912</v>
      </c>
      <c r="Q155" s="53"/>
      <c r="R155" s="53">
        <f t="shared" si="66"/>
        <v>0.05</v>
      </c>
      <c r="S155" s="53">
        <f t="shared" si="67"/>
        <v>4.2653187775606449E-3</v>
      </c>
      <c r="T155" s="53">
        <f t="shared" si="68"/>
        <v>0.05</v>
      </c>
      <c r="U155" s="53">
        <f t="shared" si="71"/>
        <v>4.2653187775606449E-3</v>
      </c>
      <c r="V155" s="53"/>
      <c r="W155" s="63">
        <f t="shared" si="69"/>
        <v>353.41937520928809</v>
      </c>
      <c r="X155" s="64">
        <f t="shared" si="70"/>
        <v>8.5306375551212914E-4</v>
      </c>
      <c r="Z155" s="63"/>
    </row>
    <row r="156" spans="1:26" x14ac:dyDescent="0.2">
      <c r="A156" s="62">
        <f t="shared" si="61"/>
        <v>0.55920823693540433</v>
      </c>
      <c r="B156" s="45">
        <f t="shared" si="62"/>
        <v>145</v>
      </c>
      <c r="C156" s="49">
        <f t="shared" si="54"/>
        <v>4904917.8435781077</v>
      </c>
      <c r="D156" s="47" cm="1">
        <f t="array" ref="D156">_xlfn.IFS(AND($C$7="Y",B156&lt;C$4),C156,AND($C$7="Y",B156=C$4),D155+F156-J156-K156-L156+N156,AND($C$7="Y",B156&gt;$C$4),D155-J156-K156-L156+N156, TRUE, D155-J156-K156-L156+N156)</f>
        <v>4838021.7944000596</v>
      </c>
      <c r="E156" s="48">
        <f t="shared" si="63"/>
        <v>0</v>
      </c>
      <c r="F156" s="50">
        <f t="shared" si="64"/>
        <v>0</v>
      </c>
      <c r="G156" s="50">
        <f t="shared" si="72"/>
        <v>0</v>
      </c>
      <c r="H156" s="51">
        <f t="shared" si="55"/>
        <v>128706.23370642932</v>
      </c>
      <c r="I156" s="52">
        <f t="shared" si="65"/>
        <v>81399.946756625024</v>
      </c>
      <c r="J156" s="52">
        <f t="shared" si="56"/>
        <v>47306.2869498043</v>
      </c>
      <c r="K156" s="51">
        <f t="shared" si="58"/>
        <v>20719.261786582298</v>
      </c>
      <c r="L156" s="49">
        <f t="shared" si="59"/>
        <v>20921.03818060597</v>
      </c>
      <c r="M156" s="49">
        <f t="shared" si="60"/>
        <v>-22050.537738943542</v>
      </c>
      <c r="N156" s="49">
        <f t="shared" si="52"/>
        <v>22050.537738943542</v>
      </c>
      <c r="O156" s="48">
        <f t="shared" si="53"/>
        <v>150554.99505134916</v>
      </c>
      <c r="P156" s="38">
        <f t="shared" si="57"/>
        <v>150554.99505134916</v>
      </c>
      <c r="Q156" s="53"/>
      <c r="R156" s="53">
        <f t="shared" si="66"/>
        <v>0.05</v>
      </c>
      <c r="S156" s="53">
        <f t="shared" si="67"/>
        <v>4.2653187775606449E-3</v>
      </c>
      <c r="T156" s="53">
        <f t="shared" si="68"/>
        <v>0.05</v>
      </c>
      <c r="U156" s="53">
        <f t="shared" si="71"/>
        <v>4.2653187775606449E-3</v>
      </c>
      <c r="V156" s="53"/>
      <c r="W156" s="63">
        <f t="shared" si="69"/>
        <v>348.68396967676614</v>
      </c>
      <c r="X156" s="64">
        <f t="shared" si="70"/>
        <v>8.5306375551212903E-4</v>
      </c>
      <c r="Z156" s="63"/>
    </row>
    <row r="157" spans="1:26" x14ac:dyDescent="0.2">
      <c r="A157" s="62">
        <f t="shared" si="61"/>
        <v>0.5514425266299573</v>
      </c>
      <c r="B157" s="45">
        <f t="shared" si="62"/>
        <v>146</v>
      </c>
      <c r="C157" s="49">
        <f t="shared" si="54"/>
        <v>4838021.7944000596</v>
      </c>
      <c r="D157" s="47" cm="1">
        <f t="array" ref="D157">_xlfn.IFS(AND($C$7="Y",B157&lt;C$4),C157,AND($C$7="Y",B157=C$4),D156+F157-J157-K157-L157+N157,AND($C$7="Y",B157&gt;$C$4),D156-J157-K157-L157+N157, TRUE, D156-J157-K157-L157+N157)</f>
        <v>4770836.3110233368</v>
      </c>
      <c r="E157" s="48">
        <f t="shared" si="63"/>
        <v>0</v>
      </c>
      <c r="F157" s="50">
        <f t="shared" si="64"/>
        <v>0</v>
      </c>
      <c r="G157" s="50">
        <f t="shared" si="72"/>
        <v>0</v>
      </c>
      <c r="H157" s="51">
        <f t="shared" si="55"/>
        <v>128177.98683140409</v>
      </c>
      <c r="I157" s="52">
        <f t="shared" si="65"/>
        <v>80289.768153235957</v>
      </c>
      <c r="J157" s="52">
        <f t="shared" si="56"/>
        <v>47888.218678168138</v>
      </c>
      <c r="K157" s="51">
        <f t="shared" si="58"/>
        <v>20431.446687550299</v>
      </c>
      <c r="L157" s="49">
        <f t="shared" si="59"/>
        <v>20635.705205902221</v>
      </c>
      <c r="M157" s="49">
        <f t="shared" si="60"/>
        <v>-21769.887194898169</v>
      </c>
      <c r="N157" s="49">
        <f t="shared" si="52"/>
        <v>21769.887194898169</v>
      </c>
      <c r="O157" s="48">
        <f t="shared" si="53"/>
        <v>149743.61550795031</v>
      </c>
      <c r="P157" s="38">
        <f t="shared" si="57"/>
        <v>149743.61550795031</v>
      </c>
      <c r="Q157" s="53"/>
      <c r="R157" s="53">
        <f t="shared" si="66"/>
        <v>0.05</v>
      </c>
      <c r="S157" s="53">
        <f t="shared" si="67"/>
        <v>4.2653187775606449E-3</v>
      </c>
      <c r="T157" s="53">
        <f t="shared" si="68"/>
        <v>0.05</v>
      </c>
      <c r="U157" s="53">
        <f t="shared" si="71"/>
        <v>4.2653187775606449E-3</v>
      </c>
      <c r="V157" s="53"/>
      <c r="W157" s="63">
        <f t="shared" si="69"/>
        <v>343.9284200983704</v>
      </c>
      <c r="X157" s="64">
        <f t="shared" si="70"/>
        <v>8.5306375551212914E-4</v>
      </c>
      <c r="Z157" s="63"/>
    </row>
    <row r="158" spans="1:26" x14ac:dyDescent="0.2">
      <c r="A158" s="62">
        <f t="shared" si="61"/>
        <v>0.54364265135949552</v>
      </c>
      <c r="B158" s="45">
        <f t="shared" si="62"/>
        <v>147</v>
      </c>
      <c r="C158" s="49">
        <f t="shared" si="54"/>
        <v>4770836.3110233368</v>
      </c>
      <c r="D158" s="47" cm="1">
        <f t="array" ref="D158">_xlfn.IFS(AND($C$7="Y",B158&lt;C$4),C158,AND($C$7="Y",B158=C$4),D157+F158-J158-K158-L158+N158,AND($C$7="Y",B158&gt;$C$4),D157-J158-K158-L158+N158, TRUE, D157-J158-K158-L158+N158)</f>
        <v>4703355.2475130809</v>
      </c>
      <c r="E158" s="48">
        <f t="shared" si="63"/>
        <v>0</v>
      </c>
      <c r="F158" s="50">
        <f t="shared" si="64"/>
        <v>0</v>
      </c>
      <c r="G158" s="50">
        <f t="shared" si="72"/>
        <v>0</v>
      </c>
      <c r="H158" s="51">
        <f t="shared" si="55"/>
        <v>127652.45078813095</v>
      </c>
      <c r="I158" s="52">
        <f t="shared" si="65"/>
        <v>79174.786222021023</v>
      </c>
      <c r="J158" s="52">
        <f t="shared" si="56"/>
        <v>48477.664566109932</v>
      </c>
      <c r="K158" s="51">
        <f t="shared" si="58"/>
        <v>20142.365009109883</v>
      </c>
      <c r="L158" s="49">
        <f t="shared" si="59"/>
        <v>20349.137702075997</v>
      </c>
      <c r="M158" s="49">
        <f t="shared" si="60"/>
        <v>-21488.103767039422</v>
      </c>
      <c r="N158" s="49">
        <f t="shared" si="52"/>
        <v>21488.103767039422</v>
      </c>
      <c r="O158" s="48">
        <f t="shared" si="53"/>
        <v>148933.78186220425</v>
      </c>
      <c r="P158" s="38">
        <f t="shared" si="57"/>
        <v>148933.78186220425</v>
      </c>
      <c r="Q158" s="53"/>
      <c r="R158" s="53">
        <f t="shared" si="66"/>
        <v>0.05</v>
      </c>
      <c r="S158" s="53">
        <f t="shared" si="67"/>
        <v>4.2653187775606449E-3</v>
      </c>
      <c r="T158" s="53">
        <f t="shared" si="68"/>
        <v>0.05</v>
      </c>
      <c r="U158" s="53">
        <f t="shared" si="71"/>
        <v>4.2653187775606449E-3</v>
      </c>
      <c r="V158" s="53"/>
      <c r="W158" s="63">
        <f t="shared" si="69"/>
        <v>339.15229503459994</v>
      </c>
      <c r="X158" s="64">
        <f t="shared" si="70"/>
        <v>8.5306375551212892E-4</v>
      </c>
      <c r="Z158" s="63"/>
    </row>
    <row r="159" spans="1:26" x14ac:dyDescent="0.2">
      <c r="A159" s="62">
        <f t="shared" si="61"/>
        <v>0.53580789165554288</v>
      </c>
      <c r="B159" s="45">
        <f t="shared" si="62"/>
        <v>148</v>
      </c>
      <c r="C159" s="49">
        <f t="shared" si="54"/>
        <v>4703355.2475130809</v>
      </c>
      <c r="D159" s="47" cm="1">
        <f t="array" ref="D159">_xlfn.IFS(AND($C$7="Y",B159&lt;C$4),C159,AND($C$7="Y",B159=C$4),D158+F159-J159-K159-L159+N159,AND($C$7="Y",B159&gt;$C$4),D158-J159-K159-L159+N159, TRUE, D158-J159-K159-L159+N159)</f>
        <v>4635572.3793469444</v>
      </c>
      <c r="E159" s="48">
        <f t="shared" si="63"/>
        <v>0</v>
      </c>
      <c r="F159" s="50">
        <f t="shared" si="64"/>
        <v>0</v>
      </c>
      <c r="G159" s="50">
        <f t="shared" si="72"/>
        <v>0</v>
      </c>
      <c r="H159" s="51">
        <f t="shared" si="55"/>
        <v>127129.63010906299</v>
      </c>
      <c r="I159" s="52">
        <f t="shared" si="65"/>
        <v>78054.898967638743</v>
      </c>
      <c r="J159" s="52">
        <f t="shared" si="56"/>
        <v>49074.731141424243</v>
      </c>
      <c r="K159" s="51">
        <f t="shared" si="58"/>
        <v>19851.990082514683</v>
      </c>
      <c r="L159" s="49">
        <f t="shared" si="59"/>
        <v>20061.309454755938</v>
      </c>
      <c r="M159" s="49">
        <f t="shared" si="60"/>
        <v>-21205.162512557283</v>
      </c>
      <c r="N159" s="49">
        <f t="shared" si="52"/>
        <v>21205.162512557283</v>
      </c>
      <c r="O159" s="48">
        <f t="shared" si="53"/>
        <v>148125.47324937902</v>
      </c>
      <c r="P159" s="38">
        <f t="shared" si="57"/>
        <v>148125.47324937902</v>
      </c>
      <c r="Q159" s="53"/>
      <c r="R159" s="53">
        <f t="shared" si="66"/>
        <v>0.05</v>
      </c>
      <c r="S159" s="53">
        <f t="shared" si="67"/>
        <v>4.2653187775606449E-3</v>
      </c>
      <c r="T159" s="53">
        <f t="shared" si="68"/>
        <v>0.05</v>
      </c>
      <c r="U159" s="53">
        <f t="shared" si="71"/>
        <v>4.2653187775606449E-3</v>
      </c>
      <c r="V159" s="53"/>
      <c r="W159" s="63">
        <f t="shared" si="69"/>
        <v>334.35515757926561</v>
      </c>
      <c r="X159" s="64">
        <f t="shared" si="70"/>
        <v>8.5306375551212892E-4</v>
      </c>
      <c r="Z159" s="63"/>
    </row>
    <row r="160" spans="1:26" x14ac:dyDescent="0.2">
      <c r="A160" s="62">
        <f t="shared" si="61"/>
        <v>0.52793751876260553</v>
      </c>
      <c r="B160" s="45">
        <f t="shared" si="62"/>
        <v>149</v>
      </c>
      <c r="C160" s="49">
        <f t="shared" si="54"/>
        <v>4635572.3793469444</v>
      </c>
      <c r="D160" s="47" cm="1">
        <f t="array" ref="D160">_xlfn.IFS(AND($C$7="Y",B160&lt;C$4),C160,AND($C$7="Y",B160=C$4),D159+F160-J160-K160-L160+N160,AND($C$7="Y",B160&gt;$C$4),D159-J160-K160-L160+N160, TRUE, D159-J160-K160-L160+N160)</f>
        <v>4567481.4016554188</v>
      </c>
      <c r="E160" s="48">
        <f t="shared" si="63"/>
        <v>0</v>
      </c>
      <c r="F160" s="50">
        <f t="shared" si="64"/>
        <v>0</v>
      </c>
      <c r="G160" s="50">
        <f t="shared" si="72"/>
        <v>0</v>
      </c>
      <c r="H160" s="51">
        <f t="shared" si="55"/>
        <v>126609.53015357642</v>
      </c>
      <c r="I160" s="52">
        <f t="shared" si="65"/>
        <v>76930.003090542901</v>
      </c>
      <c r="J160" s="52">
        <f t="shared" si="56"/>
        <v>49679.527063033514</v>
      </c>
      <c r="K160" s="51">
        <f t="shared" si="58"/>
        <v>19560.294894727711</v>
      </c>
      <c r="L160" s="49">
        <f t="shared" si="59"/>
        <v>19772.19391437</v>
      </c>
      <c r="M160" s="49">
        <f t="shared" si="60"/>
        <v>-20921.03818060597</v>
      </c>
      <c r="N160" s="49">
        <f t="shared" ref="N160:N223" si="73">IFERROR((1-$N$9)*L156,0)</f>
        <v>20921.03818060597</v>
      </c>
      <c r="O160" s="48">
        <f t="shared" si="53"/>
        <v>147318.66931454011</v>
      </c>
      <c r="P160" s="38">
        <f t="shared" si="57"/>
        <v>147318.66931454011</v>
      </c>
      <c r="Q160" s="53"/>
      <c r="R160" s="53">
        <f t="shared" si="66"/>
        <v>0.05</v>
      </c>
      <c r="S160" s="53">
        <f t="shared" si="67"/>
        <v>4.2653187775606449E-3</v>
      </c>
      <c r="T160" s="53">
        <f t="shared" si="68"/>
        <v>0.05</v>
      </c>
      <c r="U160" s="53">
        <f t="shared" si="71"/>
        <v>4.2653187775606449E-3</v>
      </c>
      <c r="V160" s="53"/>
      <c r="W160" s="63">
        <f t="shared" si="69"/>
        <v>329.53656523950002</v>
      </c>
      <c r="X160" s="64">
        <f t="shared" si="70"/>
        <v>8.5306375551212903E-4</v>
      </c>
      <c r="Z160" s="63"/>
    </row>
    <row r="161" spans="1:26" x14ac:dyDescent="0.2">
      <c r="A161" s="62">
        <f t="shared" si="61"/>
        <v>0.52003079442583977</v>
      </c>
      <c r="B161" s="45">
        <f t="shared" si="62"/>
        <v>150</v>
      </c>
      <c r="C161" s="49">
        <f t="shared" si="54"/>
        <v>4567481.4016554188</v>
      </c>
      <c r="D161" s="47" cm="1">
        <f t="array" ref="D161">_xlfn.IFS(AND($C$7="Y",B161&lt;C$4),C161,AND($C$7="Y",B161=C$4),D160+F161-J161-K161-L161+N161,AND($C$7="Y",B161&gt;$C$4),D160-J161-K161-L161+N161, TRUE, D160-J161-K161-L161+N161)</f>
        <v>4499075.9273848301</v>
      </c>
      <c r="E161" s="48">
        <f t="shared" si="63"/>
        <v>0</v>
      </c>
      <c r="F161" s="50">
        <f t="shared" si="64"/>
        <v>0</v>
      </c>
      <c r="G161" s="50">
        <f t="shared" si="72"/>
        <v>0</v>
      </c>
      <c r="H161" s="51">
        <f t="shared" si="55"/>
        <v>126092.15716508336</v>
      </c>
      <c r="I161" s="52">
        <f t="shared" si="65"/>
        <v>75799.993957779647</v>
      </c>
      <c r="J161" s="52">
        <f t="shared" si="56"/>
        <v>50292.163207303718</v>
      </c>
      <c r="K161" s="51">
        <f t="shared" si="58"/>
        <v>19267.252080547616</v>
      </c>
      <c r="L161" s="49">
        <f t="shared" si="59"/>
        <v>19481.764188639871</v>
      </c>
      <c r="M161" s="49">
        <f t="shared" si="60"/>
        <v>-20635.705205902221</v>
      </c>
      <c r="N161" s="49">
        <f t="shared" si="73"/>
        <v>20635.705205902221</v>
      </c>
      <c r="O161" s="48">
        <f t="shared" si="53"/>
        <v>146513.35026289331</v>
      </c>
      <c r="P161" s="38">
        <f t="shared" si="57"/>
        <v>146513.35026289331</v>
      </c>
      <c r="Q161" s="53"/>
      <c r="R161" s="53">
        <f t="shared" si="66"/>
        <v>0.05</v>
      </c>
      <c r="S161" s="53">
        <f t="shared" si="67"/>
        <v>4.2653187775606449E-3</v>
      </c>
      <c r="T161" s="53">
        <f t="shared" si="68"/>
        <v>0.05</v>
      </c>
      <c r="U161" s="53">
        <f t="shared" si="71"/>
        <v>4.2653187775606449E-3</v>
      </c>
      <c r="V161" s="53"/>
      <c r="W161" s="63">
        <f t="shared" si="69"/>
        <v>324.69606981066454</v>
      </c>
      <c r="X161" s="64">
        <f t="shared" si="70"/>
        <v>8.5306375551212903E-4</v>
      </c>
      <c r="Z161" s="63"/>
    </row>
    <row r="162" spans="1:26" x14ac:dyDescent="0.2">
      <c r="A162" s="62">
        <f t="shared" si="61"/>
        <v>0.51208697066907038</v>
      </c>
      <c r="B162" s="45">
        <f t="shared" si="62"/>
        <v>151</v>
      </c>
      <c r="C162" s="49">
        <f t="shared" si="54"/>
        <v>4499075.9273848301</v>
      </c>
      <c r="D162" s="47" cm="1">
        <f t="array" ref="D162">_xlfn.IFS(AND($C$7="Y",B162&lt;C$4),C162,AND($C$7="Y",B162=C$4),D161+F162-J162-K162-L162+N162,AND($C$7="Y",B162&gt;$C$4),D161-J162-K162-L162+N162, TRUE, D161-J162-K162-L162+N162)</f>
        <v>4430349.4853768544</v>
      </c>
      <c r="E162" s="48">
        <f t="shared" si="63"/>
        <v>0</v>
      </c>
      <c r="F162" s="50">
        <f t="shared" si="64"/>
        <v>0</v>
      </c>
      <c r="G162" s="50">
        <f t="shared" si="72"/>
        <v>0</v>
      </c>
      <c r="H162" s="51">
        <f t="shared" si="55"/>
        <v>125577.5183334302</v>
      </c>
      <c r="I162" s="52">
        <f t="shared" si="65"/>
        <v>74664.765572501405</v>
      </c>
      <c r="J162" s="52">
        <f t="shared" si="56"/>
        <v>50912.752760928794</v>
      </c>
      <c r="K162" s="51">
        <f t="shared" si="58"/>
        <v>18972.833914377094</v>
      </c>
      <c r="L162" s="49">
        <f t="shared" si="59"/>
        <v>19189.993034745588</v>
      </c>
      <c r="M162" s="49">
        <f t="shared" si="60"/>
        <v>-20349.137702075997</v>
      </c>
      <c r="N162" s="49">
        <f t="shared" si="73"/>
        <v>20349.137702075997</v>
      </c>
      <c r="O162" s="48">
        <f t="shared" si="53"/>
        <v>145709.49691513769</v>
      </c>
      <c r="P162" s="38">
        <f t="shared" si="57"/>
        <v>145709.49691513769</v>
      </c>
      <c r="Q162" s="53"/>
      <c r="R162" s="53">
        <f t="shared" si="66"/>
        <v>0.05</v>
      </c>
      <c r="S162" s="53">
        <f t="shared" si="67"/>
        <v>4.2653187775606449E-3</v>
      </c>
      <c r="T162" s="53">
        <f t="shared" si="68"/>
        <v>0.05</v>
      </c>
      <c r="U162" s="53">
        <f t="shared" si="71"/>
        <v>4.2653187775606449E-3</v>
      </c>
      <c r="V162" s="53"/>
      <c r="W162" s="63">
        <f t="shared" si="69"/>
        <v>319.83321724575984</v>
      </c>
      <c r="X162" s="64">
        <f t="shared" si="70"/>
        <v>8.5306375551212903E-4</v>
      </c>
      <c r="Z162" s="63"/>
    </row>
    <row r="163" spans="1:26" x14ac:dyDescent="0.2">
      <c r="A163" s="62">
        <f t="shared" si="61"/>
        <v>0.50410528956237899</v>
      </c>
      <c r="B163" s="45">
        <f t="shared" si="62"/>
        <v>152</v>
      </c>
      <c r="C163" s="49">
        <f t="shared" si="54"/>
        <v>4430349.4853768544</v>
      </c>
      <c r="D163" s="47" cm="1">
        <f t="array" ref="D163">_xlfn.IFS(AND($C$7="Y",B163&lt;C$4),C163,AND($C$7="Y",B163=C$4),D162+F163-J163-K163-L163+N163,AND($C$7="Y",B163&gt;$C$4),D162-J163-K163-L163+N163, TRUE, D162-J163-K163-L163+N163)</f>
        <v>4361295.5183577938</v>
      </c>
      <c r="E163" s="48">
        <f t="shared" si="63"/>
        <v>0</v>
      </c>
      <c r="F163" s="50">
        <f t="shared" si="64"/>
        <v>0</v>
      </c>
      <c r="G163" s="50">
        <f t="shared" si="72"/>
        <v>0</v>
      </c>
      <c r="H163" s="51">
        <f t="shared" si="55"/>
        <v>125065.6218631738</v>
      </c>
      <c r="I163" s="52">
        <f t="shared" si="65"/>
        <v>73524.210542095345</v>
      </c>
      <c r="J163" s="52">
        <f t="shared" si="56"/>
        <v>51541.411321078456</v>
      </c>
      <c r="K163" s="51">
        <f t="shared" si="58"/>
        <v>18677.012301604263</v>
      </c>
      <c r="L163" s="49">
        <f t="shared" si="59"/>
        <v>18896.852851134037</v>
      </c>
      <c r="M163" s="49">
        <f t="shared" si="60"/>
        <v>-20061.309454755938</v>
      </c>
      <c r="N163" s="49">
        <f t="shared" si="73"/>
        <v>20061.309454755938</v>
      </c>
      <c r="O163" s="48">
        <f t="shared" si="53"/>
        <v>144907.09076839994</v>
      </c>
      <c r="P163" s="38">
        <f t="shared" si="57"/>
        <v>144907.09076839994</v>
      </c>
      <c r="Q163" s="53"/>
      <c r="R163" s="53">
        <f t="shared" si="66"/>
        <v>0.05</v>
      </c>
      <c r="S163" s="53">
        <f t="shared" si="67"/>
        <v>4.2653187775606449E-3</v>
      </c>
      <c r="T163" s="53">
        <f t="shared" si="68"/>
        <v>0.05</v>
      </c>
      <c r="U163" s="53">
        <f t="shared" si="71"/>
        <v>4.2653187775606449E-3</v>
      </c>
      <c r="V163" s="53"/>
      <c r="W163" s="63">
        <f t="shared" si="69"/>
        <v>314.94754751890065</v>
      </c>
      <c r="X163" s="64">
        <f t="shared" si="70"/>
        <v>8.5306375551212914E-4</v>
      </c>
      <c r="Z163" s="63"/>
    </row>
    <row r="164" spans="1:26" x14ac:dyDescent="0.2">
      <c r="A164" s="62">
        <f t="shared" si="61"/>
        <v>0.49608498297838882</v>
      </c>
      <c r="B164" s="45">
        <f t="shared" si="62"/>
        <v>153</v>
      </c>
      <c r="C164" s="49">
        <f t="shared" si="54"/>
        <v>4361295.5183577938</v>
      </c>
      <c r="D164" s="47" cm="1">
        <f t="array" ref="D164">_xlfn.IFS(AND($C$7="Y",B164&lt;C$4),C164,AND($C$7="Y",B164=C$4),D163+F164-J164-K164-L164+N164,AND($C$7="Y",B164&gt;$C$4),D163-J164-K164-L164+N164, TRUE, D163-J164-K164-L164+N164)</f>
        <v>4291907.3808300616</v>
      </c>
      <c r="E164" s="48">
        <f t="shared" si="63"/>
        <v>0</v>
      </c>
      <c r="F164" s="50">
        <f t="shared" si="64"/>
        <v>0</v>
      </c>
      <c r="G164" s="50">
        <f t="shared" si="72"/>
        <v>0</v>
      </c>
      <c r="H164" s="51">
        <f t="shared" si="55"/>
        <v>124556.477048409</v>
      </c>
      <c r="I164" s="52">
        <f t="shared" si="65"/>
        <v>72378.220044814181</v>
      </c>
      <c r="J164" s="52">
        <f t="shared" si="56"/>
        <v>52178.257003594816</v>
      </c>
      <c r="K164" s="51">
        <f t="shared" si="58"/>
        <v>18379.758769564763</v>
      </c>
      <c r="L164" s="49">
        <f t="shared" si="59"/>
        <v>18602.315668942585</v>
      </c>
      <c r="M164" s="49">
        <f t="shared" si="60"/>
        <v>-19772.19391437</v>
      </c>
      <c r="N164" s="49">
        <f t="shared" si="73"/>
        <v>19772.19391437</v>
      </c>
      <c r="O164" s="48">
        <f t="shared" si="53"/>
        <v>144106.11406340118</v>
      </c>
      <c r="P164" s="38">
        <f t="shared" si="57"/>
        <v>144106.11406340118</v>
      </c>
      <c r="Q164" s="53"/>
      <c r="R164" s="53">
        <f t="shared" si="66"/>
        <v>0.05</v>
      </c>
      <c r="S164" s="53">
        <f t="shared" si="67"/>
        <v>4.2653187775606449E-3</v>
      </c>
      <c r="T164" s="53">
        <f t="shared" si="68"/>
        <v>0.05</v>
      </c>
      <c r="U164" s="53">
        <f t="shared" si="71"/>
        <v>4.2653187775606449E-3</v>
      </c>
      <c r="V164" s="53"/>
      <c r="W164" s="63">
        <f t="shared" si="69"/>
        <v>310.03859448237642</v>
      </c>
      <c r="X164" s="64">
        <f t="shared" si="70"/>
        <v>8.5306375551212903E-4</v>
      </c>
      <c r="Z164" s="63"/>
    </row>
    <row r="165" spans="1:26" x14ac:dyDescent="0.2">
      <c r="A165" s="62">
        <f t="shared" si="61"/>
        <v>0.48802527233628112</v>
      </c>
      <c r="B165" s="45">
        <f t="shared" si="62"/>
        <v>154</v>
      </c>
      <c r="C165" s="49">
        <f t="shared" si="54"/>
        <v>4291907.3808300616</v>
      </c>
      <c r="D165" s="47" cm="1">
        <f t="array" ref="D165">_xlfn.IFS(AND($C$7="Y",B165&lt;C$4),C165,AND($C$7="Y",B165=C$4),D164+F165-J165-K165-L165+N165,AND($C$7="Y",B165&gt;$C$4),D164-J165-K165-L165+N165, TRUE, D164-J165-K165-L165+N165)</f>
        <v>4222178.3368575219</v>
      </c>
      <c r="E165" s="48">
        <f t="shared" si="63"/>
        <v>0</v>
      </c>
      <c r="F165" s="50">
        <f t="shared" si="64"/>
        <v>0</v>
      </c>
      <c r="G165" s="50">
        <f t="shared" si="72"/>
        <v>0</v>
      </c>
      <c r="H165" s="51">
        <f t="shared" si="55"/>
        <v>124050.09435490948</v>
      </c>
      <c r="I165" s="52">
        <f t="shared" si="65"/>
        <v>71226.683794784258</v>
      </c>
      <c r="J165" s="52">
        <f t="shared" si="56"/>
        <v>52823.410560125223</v>
      </c>
      <c r="K165" s="51">
        <f t="shared" si="58"/>
        <v>18081.044458048691</v>
      </c>
      <c r="L165" s="49">
        <f t="shared" si="59"/>
        <v>18306.353143005588</v>
      </c>
      <c r="M165" s="49">
        <f t="shared" si="60"/>
        <v>-19481.764188639871</v>
      </c>
      <c r="N165" s="49">
        <f t="shared" si="73"/>
        <v>19481.764188639871</v>
      </c>
      <c r="O165" s="48">
        <f t="shared" ref="O165:O215" si="74">K165+I165+J165-L165+N165+G165</f>
        <v>143306.54985859245</v>
      </c>
      <c r="P165" s="38">
        <f t="shared" si="57"/>
        <v>143306.54985859245</v>
      </c>
      <c r="Q165" s="53"/>
      <c r="R165" s="53">
        <f t="shared" si="66"/>
        <v>0.05</v>
      </c>
      <c r="S165" s="53">
        <f t="shared" si="67"/>
        <v>4.2653187775606449E-3</v>
      </c>
      <c r="T165" s="53">
        <f t="shared" si="68"/>
        <v>0.05</v>
      </c>
      <c r="U165" s="53">
        <f t="shared" si="71"/>
        <v>4.2653187775606449E-3</v>
      </c>
      <c r="V165" s="53"/>
      <c r="W165" s="63">
        <f t="shared" si="69"/>
        <v>305.10588571675981</v>
      </c>
      <c r="X165" s="64">
        <f t="shared" si="70"/>
        <v>8.5306375551212914E-4</v>
      </c>
      <c r="Z165" s="63"/>
    </row>
    <row r="166" spans="1:26" x14ac:dyDescent="0.2">
      <c r="A166" s="62">
        <f t="shared" si="61"/>
        <v>0.47992536833246247</v>
      </c>
      <c r="B166" s="45">
        <f t="shared" si="62"/>
        <v>155</v>
      </c>
      <c r="C166" s="49">
        <f t="shared" ref="C166:C216" si="75">IF(B166&lt;C$4,C$1,D165)</f>
        <v>4222178.3368575219</v>
      </c>
      <c r="D166" s="47" cm="1">
        <f t="array" ref="D166">_xlfn.IFS(AND($C$7="Y",B166&lt;C$4),C166,AND($C$7="Y",B166=C$4),D165+F166-J166-K166-L166+N166,AND($C$7="Y",B166&gt;$C$4),D165-J166-K166-L166+N166, TRUE, D165-J166-K166-L166+N166)</f>
        <v>4152101.5577353477</v>
      </c>
      <c r="E166" s="48">
        <f t="shared" si="63"/>
        <v>0</v>
      </c>
      <c r="F166" s="50">
        <f t="shared" si="64"/>
        <v>0</v>
      </c>
      <c r="G166" s="50">
        <f t="shared" si="72"/>
        <v>0</v>
      </c>
      <c r="H166" s="51">
        <f t="shared" ref="H166:H216" si="76">IF(AND($B166&lt;=$C$4,C$7="Y"),0,IF(AND(C$7="N",C$4&gt;0,B166&lt;=C$4),0,D165*C$2/12/(1-(1/(1+C$2/12))^(C$3+C$4-B166+1))))</f>
        <v>123546.48551045141</v>
      </c>
      <c r="I166" s="52">
        <f t="shared" si="65"/>
        <v>70069.490005251893</v>
      </c>
      <c r="J166" s="52">
        <f t="shared" ref="J166:J216" si="77">IF(AND($B166&lt;=$C$4,C$7="Y"),0,IF(AND(C$7="N",C$4&gt;0,B166&lt;=C$4),0,H166-I166))</f>
        <v>53476.99550519952</v>
      </c>
      <c r="K166" s="51">
        <f t="shared" si="58"/>
        <v>17780.84010931231</v>
      </c>
      <c r="L166" s="49">
        <f t="shared" si="59"/>
        <v>18008.936542408162</v>
      </c>
      <c r="M166" s="49">
        <f t="shared" si="60"/>
        <v>-19189.993034745588</v>
      </c>
      <c r="N166" s="49">
        <f t="shared" si="73"/>
        <v>19189.993034745588</v>
      </c>
      <c r="O166" s="48">
        <f t="shared" si="74"/>
        <v>142508.38211210116</v>
      </c>
      <c r="P166" s="38">
        <f t="shared" ref="P166:P229" si="78">O166*(1/((1+P$9)^(B166/12)))</f>
        <v>142508.38211210116</v>
      </c>
      <c r="Q166" s="53"/>
      <c r="R166" s="53">
        <f t="shared" si="66"/>
        <v>0.05</v>
      </c>
      <c r="S166" s="53">
        <f t="shared" si="67"/>
        <v>4.2653187775606449E-3</v>
      </c>
      <c r="T166" s="53">
        <f t="shared" si="68"/>
        <v>0.05</v>
      </c>
      <c r="U166" s="53">
        <f t="shared" si="71"/>
        <v>4.2653187775606449E-3</v>
      </c>
      <c r="V166" s="53"/>
      <c r="W166" s="63">
        <f t="shared" si="69"/>
        <v>300.14894237346942</v>
      </c>
      <c r="X166" s="64">
        <f t="shared" si="70"/>
        <v>8.5306375551212914E-4</v>
      </c>
      <c r="Z166" s="63"/>
    </row>
    <row r="167" spans="1:26" x14ac:dyDescent="0.2">
      <c r="A167" s="62">
        <f t="shared" si="61"/>
        <v>0.47178447065668178</v>
      </c>
      <c r="B167" s="45">
        <f t="shared" si="62"/>
        <v>156</v>
      </c>
      <c r="C167" s="49">
        <f t="shared" si="75"/>
        <v>4152101.5577353477</v>
      </c>
      <c r="D167" s="47" cm="1">
        <f t="array" ref="D167">_xlfn.IFS(AND($C$7="Y",B167&lt;C$4),C167,AND($C$7="Y",B167=C$4),D166+F167-J167-K167-L167+N167,AND($C$7="Y",B167&gt;$C$4),D166-J167-K167-L167+N167, TRUE, D166-J167-K167-L167+N167)</f>
        <v>4081670.1195339868</v>
      </c>
      <c r="E167" s="48">
        <f t="shared" si="63"/>
        <v>0</v>
      </c>
      <c r="F167" s="50">
        <f t="shared" si="64"/>
        <v>0</v>
      </c>
      <c r="G167" s="50">
        <f t="shared" si="72"/>
        <v>0</v>
      </c>
      <c r="H167" s="51">
        <f t="shared" si="76"/>
        <v>123045.66360431111</v>
      </c>
      <c r="I167" s="52">
        <f t="shared" si="65"/>
        <v>68906.52534991334</v>
      </c>
      <c r="J167" s="52">
        <f t="shared" si="77"/>
        <v>54139.138254397767</v>
      </c>
      <c r="K167" s="51">
        <f t="shared" ref="K167:K230" si="79">IF(AND(C$7="Y",$B167&lt;=$C$4),0,IF(AND(C$7="N",C$4&gt;0,B167&lt;=C$4),0,S167*(C167-J167)))</f>
        <v>17479.116057549949</v>
      </c>
      <c r="L167" s="49">
        <f t="shared" si="59"/>
        <v>17710.036740547384</v>
      </c>
      <c r="M167" s="49">
        <f t="shared" si="60"/>
        <v>-18896.852851134037</v>
      </c>
      <c r="N167" s="49">
        <f t="shared" si="73"/>
        <v>18896.852851134037</v>
      </c>
      <c r="O167" s="48">
        <f t="shared" si="74"/>
        <v>141711.59577244773</v>
      </c>
      <c r="P167" s="38">
        <f t="shared" si="78"/>
        <v>141711.59577244773</v>
      </c>
      <c r="Q167" s="53"/>
      <c r="R167" s="53">
        <f t="shared" si="66"/>
        <v>0.05</v>
      </c>
      <c r="S167" s="53">
        <f t="shared" si="67"/>
        <v>4.2653187775606449E-3</v>
      </c>
      <c r="T167" s="53">
        <f t="shared" si="68"/>
        <v>0.05</v>
      </c>
      <c r="U167" s="53">
        <f t="shared" si="71"/>
        <v>4.2653187775606449E-3</v>
      </c>
      <c r="V167" s="53"/>
      <c r="W167" s="63">
        <f t="shared" si="69"/>
        <v>295.16727900912309</v>
      </c>
      <c r="X167" s="64">
        <f t="shared" si="70"/>
        <v>8.5306375551212903E-4</v>
      </c>
      <c r="Z167" s="63"/>
    </row>
    <row r="168" spans="1:26" x14ac:dyDescent="0.2">
      <c r="A168" s="62">
        <f t="shared" si="61"/>
        <v>0.46360176769224798</v>
      </c>
      <c r="B168" s="45">
        <f t="shared" si="62"/>
        <v>157</v>
      </c>
      <c r="C168" s="49">
        <f t="shared" si="75"/>
        <v>4081670.1195339868</v>
      </c>
      <c r="D168" s="47" cm="1">
        <f t="array" ref="D168">_xlfn.IFS(AND($C$7="Y",B168&lt;C$4),C168,AND($C$7="Y",B168=C$4),D167+F168-J168-K168-L168+N168,AND($C$7="Y",B168&gt;$C$4),D167-J168-K168-L168+N168, TRUE, D167-J168-K168-L168+N168)</f>
        <v>4010877.0005055815</v>
      </c>
      <c r="E168" s="48">
        <f t="shared" si="63"/>
        <v>0</v>
      </c>
      <c r="F168" s="50">
        <f t="shared" si="64"/>
        <v>0</v>
      </c>
      <c r="G168" s="50">
        <f t="shared" si="72"/>
        <v>0</v>
      </c>
      <c r="H168" s="51">
        <f t="shared" si="76"/>
        <v>122547.64319707062</v>
      </c>
      <c r="I168" s="52">
        <f t="shared" si="65"/>
        <v>67737.674922155507</v>
      </c>
      <c r="J168" s="52">
        <f t="shared" si="77"/>
        <v>54809.968274915111</v>
      </c>
      <c r="K168" s="51">
        <f t="shared" si="79"/>
        <v>17175.842217776019</v>
      </c>
      <c r="L168" s="49">
        <f t="shared" si="59"/>
        <v>17409.624204656517</v>
      </c>
      <c r="M168" s="49">
        <f t="shared" si="60"/>
        <v>-18602.315668942585</v>
      </c>
      <c r="N168" s="49">
        <f t="shared" si="73"/>
        <v>18602.315668942585</v>
      </c>
      <c r="O168" s="48">
        <f t="shared" si="74"/>
        <v>140916.17687913269</v>
      </c>
      <c r="P168" s="38">
        <f t="shared" si="78"/>
        <v>140916.17687913269</v>
      </c>
      <c r="Q168" s="53"/>
      <c r="R168" s="53">
        <f t="shared" si="66"/>
        <v>0.05</v>
      </c>
      <c r="S168" s="53">
        <f t="shared" si="67"/>
        <v>4.2653187775606449E-3</v>
      </c>
      <c r="T168" s="53">
        <f t="shared" si="68"/>
        <v>0.05</v>
      </c>
      <c r="U168" s="53">
        <f t="shared" si="71"/>
        <v>4.2653187775606449E-3</v>
      </c>
      <c r="V168" s="53"/>
      <c r="W168" s="63">
        <f t="shared" si="69"/>
        <v>290.16040341094197</v>
      </c>
      <c r="X168" s="64">
        <f t="shared" si="70"/>
        <v>8.5306375551212914E-4</v>
      </c>
      <c r="Z168" s="63"/>
    </row>
    <row r="169" spans="1:26" x14ac:dyDescent="0.2">
      <c r="A169" s="62">
        <f t="shared" si="61"/>
        <v>0.4553764361988385</v>
      </c>
      <c r="B169" s="45">
        <f t="shared" si="62"/>
        <v>158</v>
      </c>
      <c r="C169" s="49">
        <f t="shared" si="75"/>
        <v>4010877.0005055815</v>
      </c>
      <c r="D169" s="47" cm="1">
        <f t="array" ref="D169">_xlfn.IFS(AND($C$7="Y",B169&lt;C$4),C169,AND($C$7="Y",B169=C$4),D168+F169-J169-K169-L169+N169,AND($C$7="Y",B169&gt;$C$4),D168-J169-K169-L169+N169, TRUE, D168-J169-K169-L169+N169)</f>
        <v>3939715.0783397658</v>
      </c>
      <c r="E169" s="48">
        <f t="shared" si="63"/>
        <v>0</v>
      </c>
      <c r="F169" s="50">
        <f t="shared" si="64"/>
        <v>0</v>
      </c>
      <c r="G169" s="50">
        <f t="shared" si="72"/>
        <v>0</v>
      </c>
      <c r="H169" s="51">
        <f t="shared" si="76"/>
        <v>122052.44044203179</v>
      </c>
      <c r="I169" s="52">
        <f t="shared" si="65"/>
        <v>66562.822192013977</v>
      </c>
      <c r="J169" s="52">
        <f t="shared" si="77"/>
        <v>55489.618250017811</v>
      </c>
      <c r="K169" s="51">
        <f t="shared" si="79"/>
        <v>16870.988074061101</v>
      </c>
      <c r="L169" s="49">
        <f t="shared" si="59"/>
        <v>17107.668984742573</v>
      </c>
      <c r="M169" s="49">
        <f t="shared" si="60"/>
        <v>-18306.353143005588</v>
      </c>
      <c r="N169" s="49">
        <f t="shared" si="73"/>
        <v>18306.353143005588</v>
      </c>
      <c r="O169" s="48">
        <f t="shared" si="74"/>
        <v>140122.11267435591</v>
      </c>
      <c r="P169" s="38">
        <f t="shared" si="78"/>
        <v>140122.11267435591</v>
      </c>
      <c r="Q169" s="53"/>
      <c r="R169" s="53">
        <f t="shared" si="66"/>
        <v>0.05</v>
      </c>
      <c r="S169" s="53">
        <f t="shared" si="67"/>
        <v>4.2653187775606449E-3</v>
      </c>
      <c r="T169" s="53">
        <f t="shared" si="68"/>
        <v>0.05</v>
      </c>
      <c r="U169" s="53">
        <f t="shared" si="71"/>
        <v>4.2653187775606449E-3</v>
      </c>
      <c r="V169" s="53"/>
      <c r="W169" s="63">
        <f t="shared" si="69"/>
        <v>285.12781641237626</v>
      </c>
      <c r="X169" s="64">
        <f t="shared" si="70"/>
        <v>8.5306375551212914E-4</v>
      </c>
      <c r="Z169" s="63"/>
    </row>
    <row r="170" spans="1:26" x14ac:dyDescent="0.2">
      <c r="A170" s="62">
        <f t="shared" si="61"/>
        <v>0.44710764097619726</v>
      </c>
      <c r="B170" s="45">
        <f t="shared" si="62"/>
        <v>159</v>
      </c>
      <c r="C170" s="49">
        <f t="shared" si="75"/>
        <v>3939715.0783397658</v>
      </c>
      <c r="D170" s="47" cm="1">
        <f t="array" ref="D170">_xlfn.IFS(AND($C$7="Y",B170&lt;C$4),C170,AND($C$7="Y",B170=C$4),D169+F170-J170-K170-L170+N170,AND($C$7="Y",B170&gt;$C$4),D169-J170-K170-L170+N170, TRUE, D169-J170-K170-L170+N170)</f>
        <v>3868177.1272541303</v>
      </c>
      <c r="E170" s="48">
        <f t="shared" si="63"/>
        <v>0</v>
      </c>
      <c r="F170" s="50">
        <f t="shared" si="64"/>
        <v>0</v>
      </c>
      <c r="G170" s="50">
        <f t="shared" si="72"/>
        <v>0</v>
      </c>
      <c r="H170" s="51">
        <f t="shared" si="76"/>
        <v>121560.07321973408</v>
      </c>
      <c r="I170" s="52">
        <f t="shared" si="65"/>
        <v>65381.848960631411</v>
      </c>
      <c r="J170" s="52">
        <f t="shared" si="77"/>
        <v>56178.224259102673</v>
      </c>
      <c r="K170" s="51">
        <f t="shared" si="79"/>
        <v>16564.522667059045</v>
      </c>
      <c r="L170" s="49">
        <f t="shared" ref="L170:L232" si="80">IF(AND(C$7="Y",$B170&lt;=$C$4),0,IF(AND(C$7="N",C$4&gt;0,B170&lt;=C$4),0,U170*D169))</f>
        <v>16804.14070188141</v>
      </c>
      <c r="M170" s="49">
        <f t="shared" ref="M170:M232" si="81">IFERROR(L166*-1,0)</f>
        <v>-18008.936542408162</v>
      </c>
      <c r="N170" s="49">
        <f t="shared" si="73"/>
        <v>18008.936542408162</v>
      </c>
      <c r="O170" s="48">
        <f t="shared" si="74"/>
        <v>139329.39172731989</v>
      </c>
      <c r="P170" s="38">
        <f t="shared" si="78"/>
        <v>139329.39172731989</v>
      </c>
      <c r="Q170" s="53"/>
      <c r="R170" s="53">
        <f t="shared" si="66"/>
        <v>0.05</v>
      </c>
      <c r="S170" s="53">
        <f t="shared" si="67"/>
        <v>4.2653187775606449E-3</v>
      </c>
      <c r="T170" s="53">
        <f t="shared" si="68"/>
        <v>0.05</v>
      </c>
      <c r="U170" s="53">
        <f t="shared" si="71"/>
        <v>4.2653187775606449E-3</v>
      </c>
      <c r="V170" s="53"/>
      <c r="W170" s="63">
        <f t="shared" si="69"/>
        <v>280.06901169802353</v>
      </c>
      <c r="X170" s="64">
        <f t="shared" si="70"/>
        <v>8.5306375551212903E-4</v>
      </c>
      <c r="Z170" s="63"/>
    </row>
    <row r="171" spans="1:26" x14ac:dyDescent="0.2">
      <c r="A171" s="62">
        <f t="shared" si="61"/>
        <v>0.43879453450680755</v>
      </c>
      <c r="B171" s="45">
        <f t="shared" si="62"/>
        <v>160</v>
      </c>
      <c r="C171" s="49">
        <f t="shared" si="75"/>
        <v>3868177.1272541303</v>
      </c>
      <c r="D171" s="47" cm="1">
        <f t="array" ref="D171">_xlfn.IFS(AND($C$7="Y",B171&lt;C$4),C171,AND($C$7="Y",B171=C$4),D170+F171-J171-K171-L171+N171,AND($C$7="Y",B171&gt;$C$4),D170-J171-K171-L171+N171, TRUE, D170-J171-K171-L171+N171)</f>
        <v>3796255.8149027866</v>
      </c>
      <c r="E171" s="48">
        <f t="shared" si="63"/>
        <v>0</v>
      </c>
      <c r="F171" s="50">
        <f t="shared" si="64"/>
        <v>0</v>
      </c>
      <c r="G171" s="50">
        <f t="shared" si="72"/>
        <v>0</v>
      </c>
      <c r="H171" s="51">
        <f t="shared" si="76"/>
        <v>121070.56128730155</v>
      </c>
      <c r="I171" s="52">
        <f t="shared" si="65"/>
        <v>64194.635311972052</v>
      </c>
      <c r="J171" s="52">
        <f t="shared" si="77"/>
        <v>56875.925975329497</v>
      </c>
      <c r="K171" s="51">
        <f t="shared" si="79"/>
        <v>16256.414580753912</v>
      </c>
      <c r="L171" s="49">
        <f t="shared" si="80"/>
        <v>16499.008535807636</v>
      </c>
      <c r="M171" s="49">
        <f t="shared" si="81"/>
        <v>-17710.036740547384</v>
      </c>
      <c r="N171" s="49">
        <f t="shared" si="73"/>
        <v>17710.036740547384</v>
      </c>
      <c r="O171" s="48">
        <f t="shared" si="74"/>
        <v>138538.00407279521</v>
      </c>
      <c r="P171" s="38">
        <f t="shared" si="78"/>
        <v>138538.00407279521</v>
      </c>
      <c r="Q171" s="53"/>
      <c r="R171" s="53">
        <f t="shared" si="66"/>
        <v>0.05</v>
      </c>
      <c r="S171" s="53">
        <f t="shared" si="67"/>
        <v>4.2653187775606449E-3</v>
      </c>
      <c r="T171" s="53">
        <f t="shared" si="68"/>
        <v>0.05</v>
      </c>
      <c r="U171" s="53">
        <f t="shared" si="71"/>
        <v>4.2653187775606449E-3</v>
      </c>
      <c r="V171" s="53"/>
      <c r="W171" s="63">
        <f t="shared" si="69"/>
        <v>274.98347559679394</v>
      </c>
      <c r="X171" s="64">
        <f t="shared" si="70"/>
        <v>8.5306375551212903E-4</v>
      </c>
      <c r="Z171" s="63"/>
    </row>
    <row r="172" spans="1:26" x14ac:dyDescent="0.2">
      <c r="A172" s="62">
        <f t="shared" si="61"/>
        <v>0.43043625657537166</v>
      </c>
      <c r="B172" s="45">
        <f t="shared" si="62"/>
        <v>161</v>
      </c>
      <c r="C172" s="49">
        <f t="shared" si="75"/>
        <v>3796255.8149027866</v>
      </c>
      <c r="D172" s="47" cm="1">
        <f t="array" ref="D172">_xlfn.IFS(AND($C$7="Y",B172&lt;C$4),C172,AND($C$7="Y",B172=C$4),D171+F172-J172-K172-L172+N172,AND($C$7="Y",B172&gt;$C$4),D171-J172-K172-L172+N172, TRUE, D171-J172-K172-L172+N172)</f>
        <v>3723943.6990842726</v>
      </c>
      <c r="E172" s="48">
        <f t="shared" si="63"/>
        <v>0</v>
      </c>
      <c r="F172" s="50">
        <f t="shared" si="64"/>
        <v>0</v>
      </c>
      <c r="G172" s="50">
        <f t="shared" si="72"/>
        <v>0</v>
      </c>
      <c r="H172" s="51">
        <f t="shared" si="76"/>
        <v>120583.92644461295</v>
      </c>
      <c r="I172" s="52">
        <f t="shared" si="65"/>
        <v>63001.059561517635</v>
      </c>
      <c r="J172" s="52">
        <f t="shared" si="77"/>
        <v>57582.866883095317</v>
      </c>
      <c r="K172" s="51">
        <f t="shared" si="79"/>
        <v>15946.631928346402</v>
      </c>
      <c r="L172" s="49">
        <f t="shared" si="80"/>
        <v>16192.241211728644</v>
      </c>
      <c r="M172" s="49">
        <f t="shared" si="81"/>
        <v>-17409.624204656517</v>
      </c>
      <c r="N172" s="49">
        <f t="shared" si="73"/>
        <v>17409.624204656517</v>
      </c>
      <c r="O172" s="48">
        <f t="shared" si="74"/>
        <v>137747.94136588724</v>
      </c>
      <c r="P172" s="38">
        <f t="shared" si="78"/>
        <v>137747.94136588724</v>
      </c>
      <c r="Q172" s="53"/>
      <c r="R172" s="53">
        <f t="shared" si="66"/>
        <v>0.05</v>
      </c>
      <c r="S172" s="53">
        <f t="shared" si="67"/>
        <v>4.2653187775606449E-3</v>
      </c>
      <c r="T172" s="53">
        <f t="shared" si="68"/>
        <v>0.05</v>
      </c>
      <c r="U172" s="53">
        <f t="shared" si="71"/>
        <v>4.2653187775606449E-3</v>
      </c>
      <c r="V172" s="53"/>
      <c r="W172" s="63">
        <f t="shared" si="69"/>
        <v>269.87068686214405</v>
      </c>
      <c r="X172" s="64">
        <f t="shared" si="70"/>
        <v>8.5306375551212892E-4</v>
      </c>
      <c r="Z172" s="63"/>
    </row>
    <row r="173" spans="1:26" x14ac:dyDescent="0.2">
      <c r="A173" s="62">
        <f t="shared" si="61"/>
        <v>0.42203193386264265</v>
      </c>
      <c r="B173" s="45">
        <f t="shared" si="62"/>
        <v>162</v>
      </c>
      <c r="C173" s="49">
        <f t="shared" si="75"/>
        <v>3723943.6990842726</v>
      </c>
      <c r="D173" s="47" cm="1">
        <f t="array" ref="D173">_xlfn.IFS(AND($C$7="Y",B173&lt;C$4),C173,AND($C$7="Y",B173=C$4),D172+F173-J173-K173-L173+N173,AND($C$7="Y",B173&gt;$C$4),D172-J173-K173-L173+N173, TRUE, D172-J173-K173-L173+N173)</f>
        <v>3651233.2242275672</v>
      </c>
      <c r="E173" s="48">
        <f t="shared" si="63"/>
        <v>0</v>
      </c>
      <c r="F173" s="50">
        <f t="shared" si="64"/>
        <v>0</v>
      </c>
      <c r="G173" s="50">
        <f t="shared" si="72"/>
        <v>0</v>
      </c>
      <c r="H173" s="51">
        <f t="shared" si="76"/>
        <v>120100.19271960968</v>
      </c>
      <c r="I173" s="52">
        <f t="shared" si="65"/>
        <v>61800.998201633163</v>
      </c>
      <c r="J173" s="52">
        <f t="shared" si="77"/>
        <v>58299.194517976517</v>
      </c>
      <c r="K173" s="51">
        <f t="shared" si="79"/>
        <v>15635.14233718861</v>
      </c>
      <c r="L173" s="49">
        <f t="shared" si="80"/>
        <v>15883.806986282796</v>
      </c>
      <c r="M173" s="49">
        <f t="shared" si="81"/>
        <v>-17107.668984742573</v>
      </c>
      <c r="N173" s="49">
        <f t="shared" si="73"/>
        <v>17107.668984742573</v>
      </c>
      <c r="O173" s="48">
        <f t="shared" si="74"/>
        <v>136959.19705525809</v>
      </c>
      <c r="P173" s="38">
        <f t="shared" si="78"/>
        <v>136959.19705525809</v>
      </c>
      <c r="Q173" s="53"/>
      <c r="R173" s="53">
        <f t="shared" si="66"/>
        <v>0.05</v>
      </c>
      <c r="S173" s="53">
        <f t="shared" si="67"/>
        <v>4.2653187775606449E-3</v>
      </c>
      <c r="T173" s="53">
        <f t="shared" si="68"/>
        <v>0.05</v>
      </c>
      <c r="U173" s="53">
        <f t="shared" si="71"/>
        <v>4.2653187775606449E-3</v>
      </c>
      <c r="V173" s="53"/>
      <c r="W173" s="63">
        <f t="shared" si="69"/>
        <v>264.73011643804665</v>
      </c>
      <c r="X173" s="64">
        <f t="shared" si="70"/>
        <v>8.5306375551212914E-4</v>
      </c>
      <c r="Z173" s="63"/>
    </row>
    <row r="174" spans="1:26" x14ac:dyDescent="0.2">
      <c r="A174" s="62">
        <f t="shared" si="61"/>
        <v>0.41358067951081601</v>
      </c>
      <c r="B174" s="45">
        <f t="shared" si="62"/>
        <v>163</v>
      </c>
      <c r="C174" s="49">
        <f t="shared" si="75"/>
        <v>3651233.2242275672</v>
      </c>
      <c r="D174" s="47" cm="1">
        <f t="array" ref="D174">_xlfn.IFS(AND($C$7="Y",B174&lt;C$4),C174,AND($C$7="Y",B174=C$4),D173+F174-J174-K174-L174+N174,AND($C$7="Y",B174&gt;$C$4),D173-J174-K174-L174+N174, TRUE, D173-J174-K174-L174+N174)</f>
        <v>3578116.7176320488</v>
      </c>
      <c r="E174" s="48">
        <f t="shared" si="63"/>
        <v>0</v>
      </c>
      <c r="F174" s="50">
        <f t="shared" si="64"/>
        <v>0</v>
      </c>
      <c r="G174" s="50">
        <f t="shared" si="72"/>
        <v>0</v>
      </c>
      <c r="H174" s="51">
        <f t="shared" si="76"/>
        <v>119619.38657543542</v>
      </c>
      <c r="I174" s="52">
        <f t="shared" si="65"/>
        <v>60594.32584325027</v>
      </c>
      <c r="J174" s="52">
        <f t="shared" si="77"/>
        <v>59025.060732185149</v>
      </c>
      <c r="K174" s="51">
        <f t="shared" si="79"/>
        <v>15321.912932663492</v>
      </c>
      <c r="L174" s="49">
        <f t="shared" si="80"/>
        <v>15573.673632551139</v>
      </c>
      <c r="M174" s="49">
        <f t="shared" si="81"/>
        <v>-16804.14070188141</v>
      </c>
      <c r="N174" s="49">
        <f t="shared" si="73"/>
        <v>16804.14070188141</v>
      </c>
      <c r="O174" s="48">
        <f t="shared" si="74"/>
        <v>136171.7665774292</v>
      </c>
      <c r="P174" s="38">
        <f t="shared" si="78"/>
        <v>136171.7665774292</v>
      </c>
      <c r="Q174" s="53"/>
      <c r="R174" s="53">
        <f t="shared" si="66"/>
        <v>0.05</v>
      </c>
      <c r="S174" s="53">
        <f t="shared" si="67"/>
        <v>4.2653187775606449E-3</v>
      </c>
      <c r="T174" s="53">
        <f t="shared" si="68"/>
        <v>0.05</v>
      </c>
      <c r="U174" s="53">
        <f t="shared" si="71"/>
        <v>4.2653187775606449E-3</v>
      </c>
      <c r="V174" s="53"/>
      <c r="W174" s="63">
        <f t="shared" si="69"/>
        <v>259.56122720918569</v>
      </c>
      <c r="X174" s="64">
        <f t="shared" si="70"/>
        <v>8.5306375551212903E-4</v>
      </c>
      <c r="Z174" s="63"/>
    </row>
    <row r="175" spans="1:26" x14ac:dyDescent="0.2">
      <c r="A175" s="62">
        <f t="shared" si="61"/>
        <v>0.4050815926572971</v>
      </c>
      <c r="B175" s="45">
        <f t="shared" si="62"/>
        <v>164</v>
      </c>
      <c r="C175" s="49">
        <f t="shared" si="75"/>
        <v>3578116.7176320488</v>
      </c>
      <c r="D175" s="47" cm="1">
        <f t="array" ref="D175">_xlfn.IFS(AND($C$7="Y",B175&lt;C$4),C175,AND($C$7="Y",B175=C$4),D174+F175-J175-K175-L175+N175,AND($C$7="Y",B175&gt;$C$4),D174-J175-K175-L175+N175, TRUE, D174-J175-K175-L175+N175)</f>
        <v>3504586.3854338606</v>
      </c>
      <c r="E175" s="48">
        <f t="shared" si="63"/>
        <v>0</v>
      </c>
      <c r="F175" s="50">
        <f t="shared" si="64"/>
        <v>0</v>
      </c>
      <c r="G175" s="50">
        <f t="shared" si="72"/>
        <v>0</v>
      </c>
      <c r="H175" s="51">
        <f t="shared" si="76"/>
        <v>119141.53714255206</v>
      </c>
      <c r="I175" s="52">
        <f t="shared" si="65"/>
        <v>59380.915153467155</v>
      </c>
      <c r="J175" s="52">
        <f t="shared" si="77"/>
        <v>59760.621989084902</v>
      </c>
      <c r="K175" s="51">
        <f t="shared" si="79"/>
        <v>15006.910320890891</v>
      </c>
      <c r="L175" s="49">
        <f t="shared" si="80"/>
        <v>15261.808424019637</v>
      </c>
      <c r="M175" s="49">
        <f t="shared" si="81"/>
        <v>-16499.008535807636</v>
      </c>
      <c r="N175" s="49">
        <f t="shared" si="73"/>
        <v>16499.008535807636</v>
      </c>
      <c r="O175" s="48">
        <f t="shared" si="74"/>
        <v>135385.64757523095</v>
      </c>
      <c r="P175" s="38">
        <f t="shared" si="78"/>
        <v>135385.64757523095</v>
      </c>
      <c r="Q175" s="53"/>
      <c r="R175" s="53">
        <f t="shared" si="66"/>
        <v>0.05</v>
      </c>
      <c r="S175" s="53">
        <f t="shared" si="67"/>
        <v>4.2653187775606449E-3</v>
      </c>
      <c r="T175" s="53">
        <f t="shared" si="68"/>
        <v>0.05</v>
      </c>
      <c r="U175" s="53">
        <f t="shared" si="71"/>
        <v>4.2653187775606449E-3</v>
      </c>
      <c r="V175" s="53"/>
      <c r="W175" s="63">
        <f t="shared" si="69"/>
        <v>254.36347373366061</v>
      </c>
      <c r="X175" s="64">
        <f t="shared" si="70"/>
        <v>8.5306375551212892E-4</v>
      </c>
      <c r="Z175" s="63"/>
    </row>
    <row r="176" spans="1:26" x14ac:dyDescent="0.2">
      <c r="A176" s="62">
        <f t="shared" si="61"/>
        <v>0.39653375793320428</v>
      </c>
      <c r="B176" s="45">
        <f t="shared" si="62"/>
        <v>165</v>
      </c>
      <c r="C176" s="49">
        <f t="shared" si="75"/>
        <v>3504586.3854338606</v>
      </c>
      <c r="D176" s="47" cm="1">
        <f t="array" ref="D176">_xlfn.IFS(AND($C$7="Y",B176&lt;C$4),C176,AND($C$7="Y",B176=C$4),D175+F176-J176-K176-L176+N176,AND($C$7="Y",B176&gt;$C$4),D175-J176-K176-L176+N176, TRUE, D175-J176-K176-L176+N176)</f>
        <v>3430634.3082671794</v>
      </c>
      <c r="E176" s="48">
        <f t="shared" si="63"/>
        <v>0</v>
      </c>
      <c r="F176" s="50">
        <f t="shared" si="64"/>
        <v>0</v>
      </c>
      <c r="G176" s="50">
        <f t="shared" si="72"/>
        <v>0</v>
      </c>
      <c r="H176" s="51">
        <f t="shared" si="76"/>
        <v>118666.67647951828</v>
      </c>
      <c r="I176" s="52">
        <f t="shared" si="65"/>
        <v>58160.636788608099</v>
      </c>
      <c r="J176" s="52">
        <f t="shared" si="77"/>
        <v>60506.039690910184</v>
      </c>
      <c r="K176" s="51">
        <f t="shared" si="79"/>
        <v>14690.100570124963</v>
      </c>
      <c r="L176" s="49">
        <f t="shared" si="80"/>
        <v>14948.178117374433</v>
      </c>
      <c r="M176" s="49">
        <f t="shared" si="81"/>
        <v>-16192.241211728644</v>
      </c>
      <c r="N176" s="49">
        <f t="shared" si="73"/>
        <v>16192.241211728644</v>
      </c>
      <c r="O176" s="48">
        <f t="shared" si="74"/>
        <v>134600.84014399746</v>
      </c>
      <c r="P176" s="38">
        <f t="shared" si="78"/>
        <v>134600.84014399746</v>
      </c>
      <c r="Q176" s="53"/>
      <c r="R176" s="53">
        <f t="shared" si="66"/>
        <v>0.05</v>
      </c>
      <c r="S176" s="53">
        <f t="shared" si="67"/>
        <v>4.2653187775606449E-3</v>
      </c>
      <c r="T176" s="53">
        <f t="shared" si="68"/>
        <v>0.05</v>
      </c>
      <c r="U176" s="53">
        <f t="shared" si="71"/>
        <v>4.2653187775606449E-3</v>
      </c>
      <c r="V176" s="53"/>
      <c r="W176" s="63">
        <f t="shared" si="69"/>
        <v>249.13630195624057</v>
      </c>
      <c r="X176" s="64">
        <f t="shared" si="70"/>
        <v>8.5306375551212903E-4</v>
      </c>
      <c r="Z176" s="63"/>
    </row>
    <row r="177" spans="1:26" x14ac:dyDescent="0.2">
      <c r="A177" s="62">
        <f t="shared" si="61"/>
        <v>0.38793624492242751</v>
      </c>
      <c r="B177" s="45">
        <f t="shared" si="62"/>
        <v>166</v>
      </c>
      <c r="C177" s="49">
        <f t="shared" si="75"/>
        <v>3430634.3082671794</v>
      </c>
      <c r="D177" s="47" cm="1">
        <f t="array" ref="D177">_xlfn.IFS(AND($C$7="Y",B177&lt;C$4),C177,AND($C$7="Y",B177=C$4),D176+F177-J177-K177-L177+N177,AND($C$7="Y",B177&gt;$C$4),D176-J177-K177-L177+N177, TRUE, D176-J177-K177-L177+N177)</f>
        <v>3356252.4365842328</v>
      </c>
      <c r="E177" s="48">
        <f t="shared" si="63"/>
        <v>0</v>
      </c>
      <c r="F177" s="50">
        <f t="shared" si="64"/>
        <v>0</v>
      </c>
      <c r="G177" s="50">
        <f t="shared" si="72"/>
        <v>0</v>
      </c>
      <c r="H177" s="51">
        <f t="shared" si="76"/>
        <v>118194.8398667656</v>
      </c>
      <c r="I177" s="52">
        <f t="shared" si="65"/>
        <v>56933.359322219731</v>
      </c>
      <c r="J177" s="52">
        <f t="shared" si="77"/>
        <v>61261.48054454587</v>
      </c>
      <c r="K177" s="51">
        <f t="shared" si="79"/>
        <v>14371.449190687958</v>
      </c>
      <c r="L177" s="49">
        <f t="shared" si="80"/>
        <v>14632.748933995774</v>
      </c>
      <c r="M177" s="49">
        <f t="shared" si="81"/>
        <v>-15883.806986282796</v>
      </c>
      <c r="N177" s="49">
        <f t="shared" si="73"/>
        <v>15883.806986282796</v>
      </c>
      <c r="O177" s="48">
        <f t="shared" si="74"/>
        <v>133817.3471097406</v>
      </c>
      <c r="P177" s="38">
        <f t="shared" si="78"/>
        <v>133817.3471097406</v>
      </c>
      <c r="Q177" s="53"/>
      <c r="R177" s="53">
        <f t="shared" si="66"/>
        <v>0.05</v>
      </c>
      <c r="S177" s="53">
        <f t="shared" si="67"/>
        <v>4.2653187775606449E-3</v>
      </c>
      <c r="T177" s="53">
        <f t="shared" si="68"/>
        <v>0.05</v>
      </c>
      <c r="U177" s="53">
        <f t="shared" si="71"/>
        <v>4.2653187775606449E-3</v>
      </c>
      <c r="V177" s="53"/>
      <c r="W177" s="63">
        <f t="shared" si="69"/>
        <v>243.87914889992956</v>
      </c>
      <c r="X177" s="64">
        <f t="shared" si="70"/>
        <v>8.5306375551212903E-4</v>
      </c>
      <c r="Z177" s="63"/>
    </row>
    <row r="178" spans="1:26" x14ac:dyDescent="0.2">
      <c r="A178" s="62">
        <f t="shared" si="61"/>
        <v>0.37928810757643239</v>
      </c>
      <c r="B178" s="45">
        <f t="shared" si="62"/>
        <v>167</v>
      </c>
      <c r="C178" s="49">
        <f t="shared" si="75"/>
        <v>3356252.4365842328</v>
      </c>
      <c r="D178" s="47" cm="1">
        <f t="array" ref="D178">_xlfn.IFS(AND($C$7="Y",B178&lt;C$4),C178,AND($C$7="Y",B178=C$4),D177+F178-J178-K178-L178+N178,AND($C$7="Y",B178&gt;$C$4),D177-J178-K178-L178+N178, TRUE, D177-J178-K178-L178+N178)</f>
        <v>3281432.5855924413</v>
      </c>
      <c r="E178" s="48">
        <f t="shared" si="63"/>
        <v>0</v>
      </c>
      <c r="F178" s="50">
        <f t="shared" si="64"/>
        <v>0</v>
      </c>
      <c r="G178" s="50">
        <f t="shared" si="72"/>
        <v>0</v>
      </c>
      <c r="H178" s="51">
        <f t="shared" si="76"/>
        <v>117726.06613848885</v>
      </c>
      <c r="I178" s="52">
        <f t="shared" si="65"/>
        <v>55698.949167403945</v>
      </c>
      <c r="J178" s="52">
        <f t="shared" si="77"/>
        <v>62027.116971084906</v>
      </c>
      <c r="K178" s="51">
        <f t="shared" si="79"/>
        <v>14050.921113261677</v>
      </c>
      <c r="L178" s="49">
        <f t="shared" si="80"/>
        <v>14315.486539996396</v>
      </c>
      <c r="M178" s="49">
        <f t="shared" si="81"/>
        <v>-15573.673632551139</v>
      </c>
      <c r="N178" s="49">
        <f t="shared" si="73"/>
        <v>15573.673632551139</v>
      </c>
      <c r="O178" s="48">
        <f t="shared" si="74"/>
        <v>133035.17434430527</v>
      </c>
      <c r="P178" s="38">
        <f t="shared" si="78"/>
        <v>133035.17434430527</v>
      </c>
      <c r="Q178" s="53"/>
      <c r="R178" s="53">
        <f t="shared" si="66"/>
        <v>0.05</v>
      </c>
      <c r="S178" s="53">
        <f t="shared" si="67"/>
        <v>4.2653187775606449E-3</v>
      </c>
      <c r="T178" s="53">
        <f t="shared" si="68"/>
        <v>0.05</v>
      </c>
      <c r="U178" s="53">
        <f t="shared" si="71"/>
        <v>4.2653187775606449E-3</v>
      </c>
      <c r="V178" s="53"/>
      <c r="W178" s="63">
        <f t="shared" si="69"/>
        <v>238.59144233327331</v>
      </c>
      <c r="X178" s="64">
        <f t="shared" si="70"/>
        <v>8.5306375551212914E-4</v>
      </c>
      <c r="Z178" s="63"/>
    </row>
    <row r="179" spans="1:26" x14ac:dyDescent="0.2">
      <c r="A179" s="62">
        <f t="shared" si="61"/>
        <v>0.37058838357924884</v>
      </c>
      <c r="B179" s="45">
        <f t="shared" si="62"/>
        <v>168</v>
      </c>
      <c r="C179" s="49">
        <f t="shared" si="75"/>
        <v>3281432.5855924413</v>
      </c>
      <c r="D179" s="47" cm="1">
        <f t="array" ref="D179">_xlfn.IFS(AND($C$7="Y",B179&lt;C$4),C179,AND($C$7="Y",B179=C$4),D178+F179-J179-K179-L179+N179,AND($C$7="Y",B179&gt;$C$4),D178-J179-K179-L179+N179, TRUE, D178-J179-K179-L179+N179)</f>
        <v>3206166.4297605823</v>
      </c>
      <c r="E179" s="48">
        <f t="shared" si="63"/>
        <v>0</v>
      </c>
      <c r="F179" s="50">
        <f t="shared" si="64"/>
        <v>0</v>
      </c>
      <c r="G179" s="50">
        <f t="shared" si="72"/>
        <v>0</v>
      </c>
      <c r="H179" s="51">
        <f t="shared" si="76"/>
        <v>117260.39805871845</v>
      </c>
      <c r="I179" s="52">
        <f t="shared" si="65"/>
        <v>54457.270492796903</v>
      </c>
      <c r="J179" s="52">
        <f t="shared" si="77"/>
        <v>62803.127565921546</v>
      </c>
      <c r="K179" s="51">
        <f t="shared" si="79"/>
        <v>13728.480665330355</v>
      </c>
      <c r="L179" s="49">
        <f t="shared" si="80"/>
        <v>13996.356024626817</v>
      </c>
      <c r="M179" s="49">
        <f t="shared" si="81"/>
        <v>-15261.808424019637</v>
      </c>
      <c r="N179" s="49">
        <f t="shared" si="73"/>
        <v>15261.808424019637</v>
      </c>
      <c r="O179" s="48">
        <f t="shared" si="74"/>
        <v>132254.33112344163</v>
      </c>
      <c r="P179" s="38">
        <f t="shared" si="78"/>
        <v>132254.33112344163</v>
      </c>
      <c r="Q179" s="53"/>
      <c r="R179" s="53">
        <f t="shared" si="66"/>
        <v>0.05</v>
      </c>
      <c r="S179" s="53">
        <f t="shared" si="67"/>
        <v>4.2653187775606449E-3</v>
      </c>
      <c r="T179" s="53">
        <f t="shared" si="68"/>
        <v>0.05</v>
      </c>
      <c r="U179" s="53">
        <f t="shared" si="71"/>
        <v>4.2653187775606449E-3</v>
      </c>
      <c r="V179" s="53"/>
      <c r="W179" s="63">
        <f t="shared" si="69"/>
        <v>233.27260041044698</v>
      </c>
      <c r="X179" s="64">
        <f t="shared" si="70"/>
        <v>8.5306375551212903E-4</v>
      </c>
      <c r="Z179" s="63"/>
    </row>
    <row r="180" spans="1:26" x14ac:dyDescent="0.2">
      <c r="A180" s="62">
        <f t="shared" si="61"/>
        <v>0.36183609365619546</v>
      </c>
      <c r="B180" s="45">
        <f t="shared" si="62"/>
        <v>169</v>
      </c>
      <c r="C180" s="49">
        <f t="shared" si="75"/>
        <v>3206166.4297605823</v>
      </c>
      <c r="D180" s="47" cm="1">
        <f t="array" ref="D180">_xlfn.IFS(AND($C$7="Y",B180&lt;C$4),C180,AND($C$7="Y",B180=C$4),D179+F180-J180-K180-L180+N180,AND($C$7="Y",B180&gt;$C$4),D179-J180-K180-L180+N180, TRUE, D179-J180-K180-L180+N180)</f>
        <v>3130445.4968381803</v>
      </c>
      <c r="E180" s="48">
        <f t="shared" si="63"/>
        <v>0</v>
      </c>
      <c r="F180" s="50">
        <f t="shared" si="64"/>
        <v>0</v>
      </c>
      <c r="G180" s="50">
        <f t="shared" si="72"/>
        <v>0</v>
      </c>
      <c r="H180" s="51">
        <f t="shared" si="76"/>
        <v>116797.88274879365</v>
      </c>
      <c r="I180" s="52">
        <f t="shared" si="65"/>
        <v>53208.185131395665</v>
      </c>
      <c r="J180" s="52">
        <f t="shared" si="77"/>
        <v>63589.697617397986</v>
      </c>
      <c r="K180" s="51">
        <f t="shared" si="79"/>
        <v>13404.091545535493</v>
      </c>
      <c r="L180" s="49">
        <f t="shared" si="80"/>
        <v>13675.321876842385</v>
      </c>
      <c r="M180" s="49">
        <f t="shared" si="81"/>
        <v>-14948.178117374433</v>
      </c>
      <c r="N180" s="49">
        <f t="shared" si="73"/>
        <v>14948.178117374433</v>
      </c>
      <c r="O180" s="48">
        <f t="shared" si="74"/>
        <v>131474.83053486119</v>
      </c>
      <c r="P180" s="38">
        <f t="shared" si="78"/>
        <v>131474.83053486119</v>
      </c>
      <c r="Q180" s="53"/>
      <c r="R180" s="53">
        <f t="shared" si="66"/>
        <v>0.05</v>
      </c>
      <c r="S180" s="53">
        <f t="shared" si="67"/>
        <v>4.2653187775606449E-3</v>
      </c>
      <c r="T180" s="53">
        <f t="shared" si="68"/>
        <v>0.05</v>
      </c>
      <c r="U180" s="53">
        <f t="shared" si="71"/>
        <v>4.2653187775606449E-3</v>
      </c>
      <c r="V180" s="53"/>
      <c r="W180" s="63">
        <f t="shared" si="69"/>
        <v>227.92203128070642</v>
      </c>
      <c r="X180" s="64">
        <f t="shared" si="70"/>
        <v>8.5306375551212914E-4</v>
      </c>
      <c r="Z180" s="63"/>
    </row>
    <row r="181" spans="1:26" x14ac:dyDescent="0.2">
      <c r="A181" s="62">
        <f t="shared" si="61"/>
        <v>0.35303024081883005</v>
      </c>
      <c r="B181" s="45">
        <f t="shared" si="62"/>
        <v>170</v>
      </c>
      <c r="C181" s="49">
        <f t="shared" si="75"/>
        <v>3130445.4968381803</v>
      </c>
      <c r="D181" s="47" cm="1">
        <f t="array" ref="D181">_xlfn.IFS(AND($C$7="Y",B181&lt;C$4),C181,AND($C$7="Y",B181=C$4),D180+F181-J181-K181-L181+N181,AND($C$7="Y",B181&gt;$C$4),D180-J181-K181-L181+N181, TRUE, D180-J181-K181-L181+N181)</f>
        <v>3054261.1613231539</v>
      </c>
      <c r="E181" s="48">
        <f t="shared" si="63"/>
        <v>0</v>
      </c>
      <c r="F181" s="50">
        <f t="shared" si="64"/>
        <v>0</v>
      </c>
      <c r="G181" s="50">
        <f t="shared" si="72"/>
        <v>0</v>
      </c>
      <c r="H181" s="51">
        <f t="shared" si="76"/>
        <v>116338.5721748705</v>
      </c>
      <c r="I181" s="52">
        <f t="shared" si="65"/>
        <v>51951.552481306433</v>
      </c>
      <c r="J181" s="52">
        <f t="shared" si="77"/>
        <v>64387.019693564063</v>
      </c>
      <c r="K181" s="51">
        <f t="shared" si="79"/>
        <v>13077.716795663928</v>
      </c>
      <c r="L181" s="49">
        <f t="shared" si="80"/>
        <v>13352.347959794053</v>
      </c>
      <c r="M181" s="49">
        <f t="shared" si="81"/>
        <v>-14632.748933995774</v>
      </c>
      <c r="N181" s="49">
        <f t="shared" si="73"/>
        <v>14632.748933995774</v>
      </c>
      <c r="O181" s="48">
        <f t="shared" si="74"/>
        <v>130696.68994473615</v>
      </c>
      <c r="P181" s="38">
        <f t="shared" si="78"/>
        <v>130696.68994473615</v>
      </c>
      <c r="Q181" s="53"/>
      <c r="R181" s="53">
        <f t="shared" si="66"/>
        <v>0.05</v>
      </c>
      <c r="S181" s="53">
        <f t="shared" si="67"/>
        <v>4.2653187775606449E-3</v>
      </c>
      <c r="T181" s="53">
        <f t="shared" si="68"/>
        <v>0.05</v>
      </c>
      <c r="U181" s="53">
        <f t="shared" si="71"/>
        <v>4.2653187775606449E-3</v>
      </c>
      <c r="V181" s="53"/>
      <c r="W181" s="63">
        <f t="shared" si="69"/>
        <v>222.53913266323423</v>
      </c>
      <c r="X181" s="64">
        <f t="shared" si="70"/>
        <v>8.5306375551212903E-4</v>
      </c>
      <c r="Z181" s="63"/>
    </row>
    <row r="182" spans="1:26" x14ac:dyDescent="0.2">
      <c r="A182" s="62">
        <f t="shared" si="61"/>
        <v>0.344169809537345</v>
      </c>
      <c r="B182" s="45">
        <f t="shared" si="62"/>
        <v>171</v>
      </c>
      <c r="C182" s="49">
        <f t="shared" si="75"/>
        <v>3054261.1613231539</v>
      </c>
      <c r="D182" s="47" cm="1">
        <f t="array" ref="D182">_xlfn.IFS(AND($C$7="Y",B182&lt;C$4),C182,AND($C$7="Y",B182=C$4),D181+F182-J182-K182-L182+N182,AND($C$7="Y",B182&gt;$C$4),D181-J182-K182-L182+N182, TRUE, D181-J182-K182-L182+N182)</f>
        <v>2977604.6373017444</v>
      </c>
      <c r="E182" s="48">
        <f t="shared" si="63"/>
        <v>0</v>
      </c>
      <c r="F182" s="50">
        <f t="shared" si="64"/>
        <v>0</v>
      </c>
      <c r="G182" s="50">
        <f t="shared" si="72"/>
        <v>0</v>
      </c>
      <c r="H182" s="51">
        <f t="shared" si="76"/>
        <v>115882.52370583295</v>
      </c>
      <c r="I182" s="52">
        <f t="shared" si="65"/>
        <v>50687.229397336465</v>
      </c>
      <c r="J182" s="52">
        <f t="shared" si="77"/>
        <v>65195.294308496486</v>
      </c>
      <c r="K182" s="51">
        <f t="shared" si="79"/>
        <v>12749.318769943207</v>
      </c>
      <c r="L182" s="49">
        <f t="shared" si="80"/>
        <v>13027.397482965831</v>
      </c>
      <c r="M182" s="49">
        <f t="shared" si="81"/>
        <v>-14315.486539996396</v>
      </c>
      <c r="N182" s="49">
        <f t="shared" si="73"/>
        <v>14315.486539996396</v>
      </c>
      <c r="O182" s="48">
        <f t="shared" si="74"/>
        <v>129919.93153280672</v>
      </c>
      <c r="P182" s="38">
        <f t="shared" si="78"/>
        <v>129919.93153280672</v>
      </c>
      <c r="Q182" s="53"/>
      <c r="R182" s="53">
        <f t="shared" si="66"/>
        <v>0.05</v>
      </c>
      <c r="S182" s="53">
        <f t="shared" si="67"/>
        <v>4.2653187775606449E-3</v>
      </c>
      <c r="T182" s="53">
        <f t="shared" si="68"/>
        <v>0.05</v>
      </c>
      <c r="U182" s="53">
        <f t="shared" si="71"/>
        <v>4.2653187775606449E-3</v>
      </c>
      <c r="V182" s="53"/>
      <c r="W182" s="63">
        <f t="shared" si="69"/>
        <v>217.12329138276388</v>
      </c>
      <c r="X182" s="64">
        <f t="shared" si="70"/>
        <v>8.5306375551212914E-4</v>
      </c>
      <c r="Z182" s="63"/>
    </row>
    <row r="183" spans="1:26" x14ac:dyDescent="0.2">
      <c r="A183" s="62">
        <f t="shared" si="61"/>
        <v>0.33525376483009517</v>
      </c>
      <c r="B183" s="45">
        <f t="shared" si="62"/>
        <v>172</v>
      </c>
      <c r="C183" s="49">
        <f t="shared" si="75"/>
        <v>2977604.6373017444</v>
      </c>
      <c r="D183" s="47" cm="1">
        <f t="array" ref="D183">_xlfn.IFS(AND($C$7="Y",B183&lt;C$4),C183,AND($C$7="Y",B183=C$4),D182+F183-J183-K183-L183+N183,AND($C$7="Y",B183&gt;$C$4),D182-J183-K183-L183+N183, TRUE, D182-J183-K183-L183+N183)</f>
        <v>2900466.9705715193</v>
      </c>
      <c r="E183" s="48">
        <f t="shared" si="63"/>
        <v>0</v>
      </c>
      <c r="F183" s="50">
        <f t="shared" si="64"/>
        <v>0</v>
      </c>
      <c r="G183" s="50">
        <f t="shared" si="72"/>
        <v>0</v>
      </c>
      <c r="H183" s="51">
        <f t="shared" si="76"/>
        <v>115429.80075412377</v>
      </c>
      <c r="I183" s="52">
        <f t="shared" si="65"/>
        <v>49415.070072168492</v>
      </c>
      <c r="J183" s="52">
        <f t="shared" si="77"/>
        <v>66014.73068195529</v>
      </c>
      <c r="K183" s="51">
        <f t="shared" si="79"/>
        <v>12418.859101261431</v>
      </c>
      <c r="L183" s="49">
        <f t="shared" si="80"/>
        <v>12700.432971634784</v>
      </c>
      <c r="M183" s="49">
        <f t="shared" si="81"/>
        <v>-13996.356024626817</v>
      </c>
      <c r="N183" s="49">
        <f t="shared" si="73"/>
        <v>13996.356024626817</v>
      </c>
      <c r="O183" s="48">
        <f t="shared" si="74"/>
        <v>129144.58290837724</v>
      </c>
      <c r="P183" s="38">
        <f t="shared" si="78"/>
        <v>129144.58290837724</v>
      </c>
      <c r="Q183" s="53"/>
      <c r="R183" s="53">
        <f t="shared" si="66"/>
        <v>0.05</v>
      </c>
      <c r="S183" s="53">
        <f t="shared" si="67"/>
        <v>4.2653187775606449E-3</v>
      </c>
      <c r="T183" s="53">
        <f t="shared" si="68"/>
        <v>0.05</v>
      </c>
      <c r="U183" s="53">
        <f t="shared" si="71"/>
        <v>4.2653187775606449E-3</v>
      </c>
      <c r="V183" s="53"/>
      <c r="W183" s="63">
        <f t="shared" si="69"/>
        <v>211.67388286057974</v>
      </c>
      <c r="X183" s="64">
        <f t="shared" si="70"/>
        <v>8.5306375551212903E-4</v>
      </c>
      <c r="Z183" s="63"/>
    </row>
    <row r="184" spans="1:26" x14ac:dyDescent="0.2">
      <c r="A184" s="62">
        <f t="shared" si="61"/>
        <v>0.32628105125809298</v>
      </c>
      <c r="B184" s="45">
        <f t="shared" si="62"/>
        <v>173</v>
      </c>
      <c r="C184" s="49">
        <f t="shared" si="75"/>
        <v>2900466.9705715193</v>
      </c>
      <c r="D184" s="47" cm="1">
        <f t="array" ref="D184">_xlfn.IFS(AND($C$7="Y",B184&lt;C$4),C184,AND($C$7="Y",B184=C$4),D183+F184-J184-K184-L184+N184,AND($C$7="Y",B184&gt;$C$4),D183-J184-K184-L184+N184, TRUE, D183-J184-K184-L184+N184)</f>
        <v>2822839.0299421861</v>
      </c>
      <c r="E184" s="48">
        <f t="shared" si="63"/>
        <v>0</v>
      </c>
      <c r="F184" s="50">
        <f t="shared" si="64"/>
        <v>0</v>
      </c>
      <c r="G184" s="50">
        <f t="shared" si="72"/>
        <v>0</v>
      </c>
      <c r="H184" s="51">
        <f t="shared" si="76"/>
        <v>114980.47351467967</v>
      </c>
      <c r="I184" s="52">
        <f t="shared" si="65"/>
        <v>48134.925905637436</v>
      </c>
      <c r="J184" s="52">
        <f t="shared" si="77"/>
        <v>66845.547609042231</v>
      </c>
      <c r="K184" s="51">
        <f t="shared" si="79"/>
        <v>12086.298663859967</v>
      </c>
      <c r="L184" s="49">
        <f t="shared" si="80"/>
        <v>12371.416233273139</v>
      </c>
      <c r="M184" s="49">
        <f t="shared" si="81"/>
        <v>-13675.321876842385</v>
      </c>
      <c r="N184" s="49">
        <f t="shared" si="73"/>
        <v>13675.321876842385</v>
      </c>
      <c r="O184" s="48">
        <f t="shared" si="74"/>
        <v>128370.67782210888</v>
      </c>
      <c r="P184" s="38">
        <f t="shared" si="78"/>
        <v>128370.67782210888</v>
      </c>
      <c r="Q184" s="53"/>
      <c r="R184" s="53">
        <f t="shared" si="66"/>
        <v>0.05</v>
      </c>
      <c r="S184" s="53">
        <f t="shared" si="67"/>
        <v>4.2653187775606449E-3</v>
      </c>
      <c r="T184" s="53">
        <f t="shared" si="68"/>
        <v>0.05</v>
      </c>
      <c r="U184" s="53">
        <f t="shared" si="71"/>
        <v>4.2653187775606449E-3</v>
      </c>
      <c r="V184" s="53"/>
      <c r="W184" s="63">
        <f t="shared" si="69"/>
        <v>206.19027055455231</v>
      </c>
      <c r="X184" s="64">
        <f t="shared" si="70"/>
        <v>8.5306375551212892E-4</v>
      </c>
      <c r="Z184" s="63"/>
    </row>
    <row r="185" spans="1:26" x14ac:dyDescent="0.2">
      <c r="A185" s="62">
        <f t="shared" si="61"/>
        <v>0.31725059181004672</v>
      </c>
      <c r="B185" s="45">
        <f t="shared" si="62"/>
        <v>174</v>
      </c>
      <c r="C185" s="49">
        <f t="shared" si="75"/>
        <v>2822839.0299421861</v>
      </c>
      <c r="D185" s="47" cm="1">
        <f t="array" ref="D185">_xlfn.IFS(AND($C$7="Y",B185&lt;C$4),C185,AND($C$7="Y",B185=C$4),D184+F185-J185-K185-L185+N185,AND($C$7="Y",B185&gt;$C$4),D184-J185-K185-L185+N185, TRUE, D184-J185-K185-L185+N185)</f>
        <v>2744711.4975894382</v>
      </c>
      <c r="E185" s="48">
        <f t="shared" si="63"/>
        <v>0</v>
      </c>
      <c r="F185" s="50">
        <f t="shared" si="64"/>
        <v>0</v>
      </c>
      <c r="G185" s="50">
        <f t="shared" si="72"/>
        <v>0</v>
      </c>
      <c r="H185" s="51">
        <f t="shared" si="76"/>
        <v>114534.61982049697</v>
      </c>
      <c r="I185" s="52">
        <f t="shared" si="65"/>
        <v>46846.645360362374</v>
      </c>
      <c r="J185" s="52">
        <f t="shared" si="77"/>
        <v>67687.974460134603</v>
      </c>
      <c r="K185" s="51">
        <f t="shared" si="79"/>
        <v>11751.597531963624</v>
      </c>
      <c r="L185" s="49">
        <f t="shared" si="80"/>
        <v>12040.308320443482</v>
      </c>
      <c r="M185" s="49">
        <f t="shared" si="81"/>
        <v>-13352.347959794053</v>
      </c>
      <c r="N185" s="49">
        <f t="shared" si="73"/>
        <v>13352.347959794053</v>
      </c>
      <c r="O185" s="48">
        <f t="shared" si="74"/>
        <v>127598.25699181118</v>
      </c>
      <c r="P185" s="38">
        <f t="shared" si="78"/>
        <v>127598.25699181118</v>
      </c>
      <c r="Q185" s="53"/>
      <c r="R185" s="53">
        <f t="shared" si="66"/>
        <v>0.05</v>
      </c>
      <c r="S185" s="53">
        <f t="shared" si="67"/>
        <v>4.2653187775606449E-3</v>
      </c>
      <c r="T185" s="53">
        <f t="shared" si="68"/>
        <v>0.05</v>
      </c>
      <c r="U185" s="53">
        <f t="shared" si="71"/>
        <v>4.2653187775606449E-3</v>
      </c>
      <c r="V185" s="53"/>
      <c r="W185" s="63">
        <f t="shared" si="69"/>
        <v>200.67180534072472</v>
      </c>
      <c r="X185" s="64">
        <f t="shared" si="70"/>
        <v>8.5306375551212903E-4</v>
      </c>
      <c r="Z185" s="63"/>
    </row>
    <row r="186" spans="1:26" x14ac:dyDescent="0.2">
      <c r="A186" s="62">
        <f t="shared" si="61"/>
        <v>0.30816128666075604</v>
      </c>
      <c r="B186" s="45">
        <f t="shared" si="62"/>
        <v>175</v>
      </c>
      <c r="C186" s="49">
        <f t="shared" si="75"/>
        <v>2744711.4975894382</v>
      </c>
      <c r="D186" s="47" cm="1">
        <f t="array" ref="D186">_xlfn.IFS(AND($C$7="Y",B186&lt;C$4),C186,AND($C$7="Y",B186=C$4),D185+F186-J186-K186-L186+N186,AND($C$7="Y",B186&gt;$C$4),D185-J186-K186-L186+N186, TRUE, D185-J186-K186-L186+N186)</f>
        <v>2666074.8583131456</v>
      </c>
      <c r="E186" s="48">
        <f t="shared" si="63"/>
        <v>0</v>
      </c>
      <c r="F186" s="50">
        <f t="shared" si="64"/>
        <v>0</v>
      </c>
      <c r="G186" s="50">
        <f t="shared" si="72"/>
        <v>0</v>
      </c>
      <c r="H186" s="51">
        <f t="shared" si="76"/>
        <v>114092.32613755662</v>
      </c>
      <c r="I186" s="52">
        <f t="shared" si="65"/>
        <v>45550.073801663057</v>
      </c>
      <c r="J186" s="52">
        <f t="shared" si="77"/>
        <v>68542.252335893572</v>
      </c>
      <c r="K186" s="51">
        <f t="shared" si="79"/>
        <v>11414.714933710244</v>
      </c>
      <c r="L186" s="49">
        <f t="shared" si="80"/>
        <v>11707.06948965483</v>
      </c>
      <c r="M186" s="49">
        <f t="shared" si="81"/>
        <v>-13027.397482965831</v>
      </c>
      <c r="N186" s="49">
        <f t="shared" si="73"/>
        <v>13027.397482965831</v>
      </c>
      <c r="O186" s="48">
        <f t="shared" si="74"/>
        <v>126827.36906457787</v>
      </c>
      <c r="P186" s="38">
        <f t="shared" si="78"/>
        <v>126827.36906457787</v>
      </c>
      <c r="Q186" s="53"/>
      <c r="R186" s="53">
        <f t="shared" si="66"/>
        <v>0.05</v>
      </c>
      <c r="S186" s="53">
        <f t="shared" si="67"/>
        <v>4.2653187775606449E-3</v>
      </c>
      <c r="T186" s="53">
        <f t="shared" si="68"/>
        <v>0.05</v>
      </c>
      <c r="U186" s="53">
        <f t="shared" si="71"/>
        <v>4.2653187775606449E-3</v>
      </c>
      <c r="V186" s="53"/>
      <c r="W186" s="63">
        <f t="shared" si="69"/>
        <v>195.11782482758051</v>
      </c>
      <c r="X186" s="64">
        <f t="shared" si="70"/>
        <v>8.5306375551212903E-4</v>
      </c>
      <c r="Z186" s="63"/>
    </row>
    <row r="187" spans="1:26" x14ac:dyDescent="0.2">
      <c r="A187" s="62">
        <f t="shared" si="61"/>
        <v>0.29901201178227405</v>
      </c>
      <c r="B187" s="45">
        <f t="shared" si="62"/>
        <v>176</v>
      </c>
      <c r="C187" s="49">
        <f t="shared" si="75"/>
        <v>2666074.8583131456</v>
      </c>
      <c r="D187" s="47" cm="1">
        <f t="array" ref="D187">_xlfn.IFS(AND($C$7="Y",B187&lt;C$4),C187,AND($C$7="Y",B187=C$4),D186+F187-J187-K187-L187+N187,AND($C$7="Y",B187&gt;$C$4),D186-J187-K187-L187+N187, TRUE, D186-J187-K187-L187+N187)</f>
        <v>2586919.3875217419</v>
      </c>
      <c r="E187" s="48">
        <f t="shared" si="63"/>
        <v>0</v>
      </c>
      <c r="F187" s="50">
        <f t="shared" si="64"/>
        <v>0</v>
      </c>
      <c r="G187" s="50">
        <f t="shared" si="72"/>
        <v>0</v>
      </c>
      <c r="H187" s="51">
        <f t="shared" si="76"/>
        <v>113653.68872717132</v>
      </c>
      <c r="I187" s="52">
        <f t="shared" si="65"/>
        <v>44245.053319293336</v>
      </c>
      <c r="J187" s="52">
        <f t="shared" si="77"/>
        <v>69408.635407877984</v>
      </c>
      <c r="K187" s="51">
        <f t="shared" si="79"/>
        <v>11075.609199615312</v>
      </c>
      <c r="L187" s="49">
        <f t="shared" si="80"/>
        <v>11371.659155545396</v>
      </c>
      <c r="M187" s="49">
        <f t="shared" si="81"/>
        <v>-12700.432971634784</v>
      </c>
      <c r="N187" s="49">
        <f t="shared" si="73"/>
        <v>12700.432971634784</v>
      </c>
      <c r="O187" s="48">
        <f t="shared" si="74"/>
        <v>126058.07174287603</v>
      </c>
      <c r="P187" s="38">
        <f t="shared" si="78"/>
        <v>126058.07174287603</v>
      </c>
      <c r="Q187" s="53"/>
      <c r="R187" s="53">
        <f t="shared" si="66"/>
        <v>0.05</v>
      </c>
      <c r="S187" s="53">
        <f t="shared" si="67"/>
        <v>4.2653187775606449E-3</v>
      </c>
      <c r="T187" s="53">
        <f t="shared" si="68"/>
        <v>0.05</v>
      </c>
      <c r="U187" s="53">
        <f t="shared" si="71"/>
        <v>4.2653187775606449E-3</v>
      </c>
      <c r="V187" s="53"/>
      <c r="W187" s="63">
        <f t="shared" si="69"/>
        <v>189.52765259242327</v>
      </c>
      <c r="X187" s="64">
        <f t="shared" si="70"/>
        <v>8.5306375551212903E-4</v>
      </c>
      <c r="Z187" s="63"/>
    </row>
    <row r="188" spans="1:26" x14ac:dyDescent="0.2">
      <c r="A188" s="62">
        <f t="shared" si="61"/>
        <v>0.28980161738302285</v>
      </c>
      <c r="B188" s="45">
        <f t="shared" si="62"/>
        <v>177</v>
      </c>
      <c r="C188" s="49">
        <f t="shared" si="75"/>
        <v>2586919.3875217419</v>
      </c>
      <c r="D188" s="47" cm="1">
        <f t="array" ref="D188">_xlfn.IFS(AND($C$7="Y",B188&lt;C$4),C188,AND($C$7="Y",B188=C$4),D187+F188-J188-K188-L188+N188,AND($C$7="Y",B188&gt;$C$4),D187-J188-K188-L188+N188, TRUE, D187-J188-K188-L188+N188)</f>
        <v>2507235.1377281453</v>
      </c>
      <c r="E188" s="48">
        <f t="shared" si="63"/>
        <v>0</v>
      </c>
      <c r="F188" s="50">
        <f t="shared" si="64"/>
        <v>0</v>
      </c>
      <c r="G188" s="50">
        <f t="shared" si="72"/>
        <v>0</v>
      </c>
      <c r="H188" s="51">
        <f t="shared" si="76"/>
        <v>113218.8150106221</v>
      </c>
      <c r="I188" s="52">
        <f t="shared" si="65"/>
        <v>42931.42252803516</v>
      </c>
      <c r="J188" s="52">
        <f t="shared" si="77"/>
        <v>70287.392482586933</v>
      </c>
      <c r="K188" s="51">
        <f t="shared" si="79"/>
        <v>10734.237704650415</v>
      </c>
      <c r="L188" s="49">
        <f t="shared" si="80"/>
        <v>11034.035839632168</v>
      </c>
      <c r="M188" s="49">
        <f t="shared" si="81"/>
        <v>-12371.416233273139</v>
      </c>
      <c r="N188" s="49">
        <f t="shared" si="73"/>
        <v>12371.416233273139</v>
      </c>
      <c r="O188" s="48">
        <f t="shared" si="74"/>
        <v>125290.43310891348</v>
      </c>
      <c r="P188" s="38">
        <f t="shared" si="78"/>
        <v>125290.43310891348</v>
      </c>
      <c r="Q188" s="53"/>
      <c r="R188" s="53">
        <f t="shared" si="66"/>
        <v>0.05</v>
      </c>
      <c r="S188" s="53">
        <f t="shared" si="67"/>
        <v>4.2653187775606449E-3</v>
      </c>
      <c r="T188" s="53">
        <f t="shared" si="68"/>
        <v>0.05</v>
      </c>
      <c r="U188" s="53">
        <f t="shared" si="71"/>
        <v>4.2653187775606449E-3</v>
      </c>
      <c r="V188" s="53"/>
      <c r="W188" s="63">
        <f t="shared" si="69"/>
        <v>183.9005973272028</v>
      </c>
      <c r="X188" s="64">
        <f t="shared" si="70"/>
        <v>8.5306375551212892E-4</v>
      </c>
      <c r="Z188" s="63"/>
    </row>
    <row r="189" spans="1:26" x14ac:dyDescent="0.2">
      <c r="A189" s="62">
        <f t="shared" si="61"/>
        <v>0.28052892614477865</v>
      </c>
      <c r="B189" s="45">
        <f t="shared" si="62"/>
        <v>178</v>
      </c>
      <c r="C189" s="49">
        <f t="shared" si="75"/>
        <v>2507235.1377281453</v>
      </c>
      <c r="D189" s="47" cm="1">
        <f t="array" ref="D189">_xlfn.IFS(AND($C$7="Y",B189&lt;C$4),C189,AND($C$7="Y",B189=C$4),D188+F189-J189-K189-L189+N189,AND($C$7="Y",B189&gt;$C$4),D188-J189-K189-L189+N189, TRUE, D188-J189-K189-L189+N189)</f>
        <v>2427011.9232969349</v>
      </c>
      <c r="E189" s="48">
        <f t="shared" si="63"/>
        <v>0</v>
      </c>
      <c r="F189" s="50">
        <f t="shared" si="64"/>
        <v>0</v>
      </c>
      <c r="G189" s="50">
        <f t="shared" si="72"/>
        <v>0</v>
      </c>
      <c r="H189" s="51">
        <f t="shared" si="76"/>
        <v>112787.82517971465</v>
      </c>
      <c r="I189" s="52">
        <f t="shared" si="65"/>
        <v>41609.016343590563</v>
      </c>
      <c r="J189" s="52">
        <f t="shared" si="77"/>
        <v>71178.808836124081</v>
      </c>
      <c r="K189" s="51">
        <f t="shared" si="79"/>
        <v>10390.55680281859</v>
      </c>
      <c r="L189" s="49">
        <f t="shared" si="80"/>
        <v>10694.157112711708</v>
      </c>
      <c r="M189" s="49">
        <f t="shared" si="81"/>
        <v>-12040.308320443482</v>
      </c>
      <c r="N189" s="49">
        <f t="shared" si="73"/>
        <v>12040.308320443482</v>
      </c>
      <c r="O189" s="48">
        <f t="shared" si="74"/>
        <v>124524.53319026501</v>
      </c>
      <c r="P189" s="38">
        <f t="shared" si="78"/>
        <v>124524.53319026501</v>
      </c>
      <c r="Q189" s="53"/>
      <c r="R189" s="53">
        <f t="shared" si="66"/>
        <v>0.05</v>
      </c>
      <c r="S189" s="53">
        <f t="shared" si="67"/>
        <v>4.2653187775606449E-3</v>
      </c>
      <c r="T189" s="53">
        <f t="shared" si="68"/>
        <v>0.05</v>
      </c>
      <c r="U189" s="53">
        <f t="shared" si="71"/>
        <v>4.2653187775606449E-3</v>
      </c>
      <c r="V189" s="53"/>
      <c r="W189" s="63">
        <f t="shared" si="69"/>
        <v>178.23595187852845</v>
      </c>
      <c r="X189" s="64">
        <f t="shared" si="70"/>
        <v>8.5306375551212892E-4</v>
      </c>
      <c r="Z189" s="63"/>
    </row>
    <row r="190" spans="1:26" x14ac:dyDescent="0.2">
      <c r="A190" s="62">
        <f t="shared" si="61"/>
        <v>0.27119273122080956</v>
      </c>
      <c r="B190" s="45">
        <f t="shared" si="62"/>
        <v>179</v>
      </c>
      <c r="C190" s="49">
        <f t="shared" si="75"/>
        <v>2427011.9232969349</v>
      </c>
      <c r="D190" s="47" cm="1">
        <f t="array" ref="D190">_xlfn.IFS(AND($C$7="Y",B190&lt;C$4),C190,AND($C$7="Y",B190=C$4),D189+F190-J190-K190-L190+N190,AND($C$7="Y",B190&gt;$C$4),D189-J190-K190-L190+N190, TRUE, D189-J190-K190-L190+N190)</f>
        <v>2346239.3031251272</v>
      </c>
      <c r="E190" s="48">
        <f t="shared" si="63"/>
        <v>0</v>
      </c>
      <c r="F190" s="50">
        <f t="shared" si="64"/>
        <v>0</v>
      </c>
      <c r="G190" s="50">
        <f t="shared" si="72"/>
        <v>0</v>
      </c>
      <c r="H190" s="51">
        <f t="shared" si="76"/>
        <v>112360.85410824849</v>
      </c>
      <c r="I190" s="52">
        <f t="shared" si="65"/>
        <v>40277.665729452216</v>
      </c>
      <c r="J190" s="52">
        <f t="shared" si="77"/>
        <v>72083.188378796272</v>
      </c>
      <c r="K190" s="51">
        <f t="shared" si="79"/>
        <v>10044.521752863471</v>
      </c>
      <c r="L190" s="49">
        <f t="shared" si="80"/>
        <v>10351.979529801993</v>
      </c>
      <c r="M190" s="49">
        <f t="shared" si="81"/>
        <v>-11707.06948965483</v>
      </c>
      <c r="N190" s="49">
        <f t="shared" si="73"/>
        <v>11707.06948965483</v>
      </c>
      <c r="O190" s="48">
        <f t="shared" si="74"/>
        <v>123760.4658209648</v>
      </c>
      <c r="P190" s="38">
        <f t="shared" si="78"/>
        <v>123760.4658209648</v>
      </c>
      <c r="Q190" s="53"/>
      <c r="R190" s="53">
        <f t="shared" si="66"/>
        <v>0.05</v>
      </c>
      <c r="S190" s="53">
        <f t="shared" si="67"/>
        <v>4.2653187775606449E-3</v>
      </c>
      <c r="T190" s="53">
        <f t="shared" si="68"/>
        <v>0.05</v>
      </c>
      <c r="U190" s="53">
        <f t="shared" si="71"/>
        <v>4.2653187775606449E-3</v>
      </c>
      <c r="V190" s="53"/>
      <c r="W190" s="63">
        <f t="shared" si="69"/>
        <v>172.53299216336654</v>
      </c>
      <c r="X190" s="64">
        <f t="shared" si="70"/>
        <v>8.5306375551212903E-4</v>
      </c>
      <c r="Z190" s="63"/>
    </row>
    <row r="191" spans="1:26" x14ac:dyDescent="0.2">
      <c r="A191" s="62">
        <f t="shared" si="61"/>
        <v>0.26179179395004437</v>
      </c>
      <c r="B191" s="45">
        <f t="shared" si="62"/>
        <v>180</v>
      </c>
      <c r="C191" s="49">
        <f t="shared" si="75"/>
        <v>2346239.3031251272</v>
      </c>
      <c r="D191" s="47" cm="1">
        <f t="array" ref="D191">_xlfn.IFS(AND($C$7="Y",B191&lt;C$4),C191,AND($C$7="Y",B191=C$4),D190+F191-J191-K191-L191+N191,AND($C$7="Y",B191&gt;$C$4),D190-J191-K191-L191+N191, TRUE, D190-J191-K191-L191+N191)</f>
        <v>2264906.5608661762</v>
      </c>
      <c r="E191" s="48">
        <f t="shared" si="63"/>
        <v>0</v>
      </c>
      <c r="F191" s="50">
        <f t="shared" si="64"/>
        <v>0</v>
      </c>
      <c r="G191" s="50">
        <f t="shared" si="72"/>
        <v>0</v>
      </c>
      <c r="H191" s="51">
        <f t="shared" si="76"/>
        <v>111938.05363427009</v>
      </c>
      <c r="I191" s="52">
        <f t="shared" si="65"/>
        <v>38937.197409480948</v>
      </c>
      <c r="J191" s="52">
        <f t="shared" si="77"/>
        <v>73000.856224789139</v>
      </c>
      <c r="K191" s="51">
        <f t="shared" si="79"/>
        <v>9696.0866334368093</v>
      </c>
      <c r="L191" s="49">
        <f t="shared" si="80"/>
        <v>10007.458556270407</v>
      </c>
      <c r="M191" s="49">
        <f t="shared" si="81"/>
        <v>-11371.659155545396</v>
      </c>
      <c r="N191" s="49">
        <f t="shared" si="73"/>
        <v>11371.659155545396</v>
      </c>
      <c r="O191" s="48">
        <f t="shared" si="74"/>
        <v>122998.34086698189</v>
      </c>
      <c r="P191" s="38">
        <f t="shared" si="78"/>
        <v>122998.34086698189</v>
      </c>
      <c r="Q191" s="53"/>
      <c r="R191" s="53">
        <f t="shared" si="66"/>
        <v>0.05</v>
      </c>
      <c r="S191" s="53">
        <f t="shared" si="67"/>
        <v>4.2653187775606449E-3</v>
      </c>
      <c r="T191" s="53">
        <f t="shared" si="68"/>
        <v>0.05</v>
      </c>
      <c r="U191" s="53">
        <f t="shared" si="71"/>
        <v>4.2653187775606449E-3</v>
      </c>
      <c r="V191" s="53"/>
      <c r="W191" s="63">
        <f t="shared" si="69"/>
        <v>166.79097593784013</v>
      </c>
      <c r="X191" s="64">
        <f t="shared" si="70"/>
        <v>8.5306375551212903E-4</v>
      </c>
      <c r="Z191" s="63"/>
    </row>
    <row r="192" spans="1:26" x14ac:dyDescent="0.2">
      <c r="A192" s="62">
        <f t="shared" si="61"/>
        <v>0.25232484123139265</v>
      </c>
      <c r="B192" s="45">
        <f t="shared" si="62"/>
        <v>181</v>
      </c>
      <c r="C192" s="49">
        <f t="shared" si="75"/>
        <v>2264906.5608661762</v>
      </c>
      <c r="D192" s="47" cm="1">
        <f t="array" ref="D192">_xlfn.IFS(AND($C$7="Y",B192&lt;C$4),C192,AND($C$7="Y",B192=C$4),D191+F192-J192-K192-L192+N192,AND($C$7="Y",B192&gt;$C$4),D191-J192-K192-L192+N192, TRUE, D191-J192-K192-L192+N192)</f>
        <v>2183002.6822137544</v>
      </c>
      <c r="E192" s="48">
        <f t="shared" si="63"/>
        <v>0</v>
      </c>
      <c r="F192" s="50">
        <f t="shared" si="64"/>
        <v>0</v>
      </c>
      <c r="G192" s="50">
        <f t="shared" si="72"/>
        <v>0</v>
      </c>
      <c r="H192" s="51">
        <f t="shared" si="76"/>
        <v>111519.59530263291</v>
      </c>
      <c r="I192" s="52">
        <f t="shared" si="65"/>
        <v>37587.433539711557</v>
      </c>
      <c r="J192" s="52">
        <f t="shared" si="77"/>
        <v>73932.161762921343</v>
      </c>
      <c r="K192" s="51">
        <f t="shared" si="79"/>
        <v>9345.2042456497638</v>
      </c>
      <c r="L192" s="49">
        <f t="shared" si="80"/>
        <v>9660.5484834828021</v>
      </c>
      <c r="M192" s="49">
        <f t="shared" si="81"/>
        <v>-11034.035839632168</v>
      </c>
      <c r="N192" s="49">
        <f t="shared" si="73"/>
        <v>11034.035839632168</v>
      </c>
      <c r="O192" s="48">
        <f t="shared" si="74"/>
        <v>122238.28690443204</v>
      </c>
      <c r="P192" s="38">
        <f t="shared" si="78"/>
        <v>122238.28690443204</v>
      </c>
      <c r="Q192" s="53"/>
      <c r="R192" s="53">
        <f t="shared" si="66"/>
        <v>0.05</v>
      </c>
      <c r="S192" s="53">
        <f t="shared" si="67"/>
        <v>4.2653187775606449E-3</v>
      </c>
      <c r="T192" s="53">
        <f t="shared" si="68"/>
        <v>0.05</v>
      </c>
      <c r="U192" s="53">
        <f t="shared" si="71"/>
        <v>4.2653187775606449E-3</v>
      </c>
      <c r="V192" s="53"/>
      <c r="W192" s="63">
        <f t="shared" si="69"/>
        <v>161.00914139138004</v>
      </c>
      <c r="X192" s="64">
        <f t="shared" si="70"/>
        <v>8.5306375551212903E-4</v>
      </c>
      <c r="Z192" s="63"/>
    </row>
    <row r="193" spans="1:26" x14ac:dyDescent="0.2">
      <c r="A193" s="62">
        <f t="shared" si="61"/>
        <v>0.24279056248846814</v>
      </c>
      <c r="B193" s="45">
        <f t="shared" si="62"/>
        <v>182</v>
      </c>
      <c r="C193" s="49">
        <f t="shared" si="75"/>
        <v>2183002.6822137544</v>
      </c>
      <c r="D193" s="47" cm="1">
        <f t="array" ref="D193">_xlfn.IFS(AND($C$7="Y",B193&lt;C$4),C193,AND($C$7="Y",B193=C$4),D192+F193-J193-K193-L193+N193,AND($C$7="Y",B193&gt;$C$4),D192-J193-K193-L193+N193, TRUE, D192-J193-K193-L193+N193)</f>
        <v>2100516.3286418878</v>
      </c>
      <c r="E193" s="48">
        <f t="shared" si="63"/>
        <v>0</v>
      </c>
      <c r="F193" s="50">
        <f t="shared" si="64"/>
        <v>0</v>
      </c>
      <c r="G193" s="50">
        <f t="shared" si="72"/>
        <v>0</v>
      </c>
      <c r="H193" s="51">
        <f t="shared" si="76"/>
        <v>111105.6736836131</v>
      </c>
      <c r="I193" s="52">
        <f t="shared" si="65"/>
        <v>36228.191331364047</v>
      </c>
      <c r="J193" s="52">
        <f t="shared" si="77"/>
        <v>74877.482352249062</v>
      </c>
      <c r="K193" s="51">
        <f t="shared" si="79"/>
        <v>8991.8260004180665</v>
      </c>
      <c r="L193" s="49">
        <f t="shared" si="80"/>
        <v>9311.2023319115797</v>
      </c>
      <c r="M193" s="49">
        <f t="shared" si="81"/>
        <v>-10694.157112711708</v>
      </c>
      <c r="N193" s="49">
        <f t="shared" si="73"/>
        <v>10694.157112711708</v>
      </c>
      <c r="O193" s="48">
        <f t="shared" si="74"/>
        <v>121480.4544648313</v>
      </c>
      <c r="P193" s="38">
        <f t="shared" si="78"/>
        <v>121480.4544648313</v>
      </c>
      <c r="Q193" s="53"/>
      <c r="R193" s="53">
        <f t="shared" si="66"/>
        <v>0.05</v>
      </c>
      <c r="S193" s="53">
        <f t="shared" si="67"/>
        <v>4.2653187775606449E-3</v>
      </c>
      <c r="T193" s="53">
        <f t="shared" si="68"/>
        <v>0.05</v>
      </c>
      <c r="U193" s="53">
        <f t="shared" si="71"/>
        <v>4.2653187775606449E-3</v>
      </c>
      <c r="V193" s="53"/>
      <c r="W193" s="63">
        <f t="shared" si="69"/>
        <v>155.18670553185967</v>
      </c>
      <c r="X193" s="64">
        <f t="shared" si="70"/>
        <v>8.5306375551212903E-4</v>
      </c>
      <c r="Z193" s="63"/>
    </row>
    <row r="194" spans="1:26" x14ac:dyDescent="0.2">
      <c r="A194" s="62">
        <f t="shared" si="61"/>
        <v>0.23318760613688364</v>
      </c>
      <c r="B194" s="45">
        <f t="shared" si="62"/>
        <v>183</v>
      </c>
      <c r="C194" s="49">
        <f t="shared" si="75"/>
        <v>2100516.3286418878</v>
      </c>
      <c r="D194" s="47" cm="1">
        <f t="array" ref="D194">_xlfn.IFS(AND($C$7="Y",B194&lt;C$4),C194,AND($C$7="Y",B194=C$4),D193+F194-J194-K194-L194+N194,AND($C$7="Y",B194&gt;$C$4),D193-J194-K194-L194+N194, TRUE, D193-J194-K194-L194+N194)</f>
        <v>2017435.8068415537</v>
      </c>
      <c r="E194" s="48">
        <f t="shared" si="63"/>
        <v>0</v>
      </c>
      <c r="F194" s="50">
        <f t="shared" si="64"/>
        <v>0</v>
      </c>
      <c r="G194" s="50">
        <f t="shared" si="72"/>
        <v>0</v>
      </c>
      <c r="H194" s="51">
        <f t="shared" si="76"/>
        <v>110696.51041871309</v>
      </c>
      <c r="I194" s="52">
        <f t="shared" si="65"/>
        <v>34859.28261504598</v>
      </c>
      <c r="J194" s="52">
        <f t="shared" si="77"/>
        <v>75837.227803667105</v>
      </c>
      <c r="K194" s="51">
        <f t="shared" si="79"/>
        <v>8635.9017873398643</v>
      </c>
      <c r="L194" s="49">
        <f t="shared" si="80"/>
        <v>8959.3717391289902</v>
      </c>
      <c r="M194" s="49">
        <f t="shared" si="81"/>
        <v>-10351.979529801993</v>
      </c>
      <c r="N194" s="49">
        <f t="shared" si="73"/>
        <v>10351.979529801993</v>
      </c>
      <c r="O194" s="48">
        <f t="shared" si="74"/>
        <v>120725.01999672595</v>
      </c>
      <c r="P194" s="38">
        <f t="shared" si="78"/>
        <v>120725.01999672595</v>
      </c>
      <c r="Q194" s="53"/>
      <c r="R194" s="53">
        <f t="shared" si="66"/>
        <v>0.05</v>
      </c>
      <c r="S194" s="53">
        <f t="shared" si="67"/>
        <v>4.2653187775606449E-3</v>
      </c>
      <c r="T194" s="53">
        <f t="shared" si="68"/>
        <v>0.05</v>
      </c>
      <c r="U194" s="53">
        <f t="shared" si="71"/>
        <v>4.2653187775606449E-3</v>
      </c>
      <c r="V194" s="53"/>
      <c r="W194" s="63">
        <f t="shared" si="69"/>
        <v>149.3228623188165</v>
      </c>
      <c r="X194" s="64">
        <f t="shared" si="70"/>
        <v>8.5306375551212892E-4</v>
      </c>
      <c r="Z194" s="63"/>
    </row>
    <row r="195" spans="1:26" x14ac:dyDescent="0.2">
      <c r="A195" s="62">
        <f t="shared" si="61"/>
        <v>0.22351457544247613</v>
      </c>
      <c r="B195" s="45">
        <f t="shared" si="62"/>
        <v>184</v>
      </c>
      <c r="C195" s="49">
        <f t="shared" si="75"/>
        <v>2017435.8068415537</v>
      </c>
      <c r="D195" s="47" cm="1">
        <f t="array" ref="D195">_xlfn.IFS(AND($C$7="Y",B195&lt;C$4),C195,AND($C$7="Y",B195=C$4),D194+F195-J195-K195-L195+N195,AND($C$7="Y",B195&gt;$C$4),D194-J195-K195-L195+N195, TRUE, D194-J195-K195-L195+N195)</f>
        <v>1933749.0328878823</v>
      </c>
      <c r="E195" s="48">
        <f t="shared" si="63"/>
        <v>0</v>
      </c>
      <c r="F195" s="50">
        <f t="shared" si="64"/>
        <v>0</v>
      </c>
      <c r="G195" s="50">
        <f t="shared" si="72"/>
        <v>0</v>
      </c>
      <c r="H195" s="51">
        <f t="shared" si="76"/>
        <v>110292.35919307161</v>
      </c>
      <c r="I195" s="52">
        <f t="shared" si="65"/>
        <v>33480.513333535149</v>
      </c>
      <c r="J195" s="52">
        <f t="shared" si="77"/>
        <v>76811.845859536465</v>
      </c>
      <c r="K195" s="51">
        <f t="shared" si="79"/>
        <v>8277.3798209607139</v>
      </c>
      <c r="L195" s="49">
        <f t="shared" si="80"/>
        <v>8605.0068294444882</v>
      </c>
      <c r="M195" s="49">
        <f t="shared" si="81"/>
        <v>-10007.458556270407</v>
      </c>
      <c r="N195" s="49">
        <f t="shared" si="73"/>
        <v>10007.458556270407</v>
      </c>
      <c r="O195" s="48">
        <f t="shared" si="74"/>
        <v>119972.19074085823</v>
      </c>
      <c r="P195" s="38">
        <f t="shared" si="78"/>
        <v>119972.19074085823</v>
      </c>
      <c r="Q195" s="53"/>
      <c r="R195" s="53">
        <f t="shared" si="66"/>
        <v>0.05</v>
      </c>
      <c r="S195" s="53">
        <f t="shared" si="67"/>
        <v>4.2653187775606449E-3</v>
      </c>
      <c r="T195" s="53">
        <f t="shared" si="68"/>
        <v>0.05</v>
      </c>
      <c r="U195" s="53">
        <f t="shared" si="71"/>
        <v>4.2653187775606449E-3</v>
      </c>
      <c r="V195" s="53"/>
      <c r="W195" s="63">
        <f t="shared" si="69"/>
        <v>143.41678049074147</v>
      </c>
      <c r="X195" s="64">
        <f t="shared" si="70"/>
        <v>8.5306375551212892E-4</v>
      </c>
      <c r="Z195" s="63"/>
    </row>
    <row r="196" spans="1:26" x14ac:dyDescent="0.2">
      <c r="A196" s="62">
        <f t="shared" si="61"/>
        <v>0.21377002362710201</v>
      </c>
      <c r="B196" s="45">
        <f t="shared" si="62"/>
        <v>185</v>
      </c>
      <c r="C196" s="49">
        <f t="shared" si="75"/>
        <v>1933749.0328878823</v>
      </c>
      <c r="D196" s="47" cm="1">
        <f t="array" ref="D196">_xlfn.IFS(AND($C$7="Y",B196&lt;C$4),C196,AND($C$7="Y",B196=C$4),D195+F196-J196-K196-L196+N196,AND($C$7="Y",B196&gt;$C$4),D195-J196-K196-L196+N196, TRUE, D195-J196-K196-L196+N196)</f>
        <v>1849443.4898976663</v>
      </c>
      <c r="E196" s="48">
        <f t="shared" si="63"/>
        <v>0</v>
      </c>
      <c r="F196" s="50">
        <f t="shared" si="64"/>
        <v>0</v>
      </c>
      <c r="G196" s="50">
        <f t="shared" si="72"/>
        <v>0</v>
      </c>
      <c r="H196" s="51">
        <f t="shared" si="76"/>
        <v>109893.51190064363</v>
      </c>
      <c r="I196" s="52">
        <f t="shared" si="65"/>
        <v>32091.682947113601</v>
      </c>
      <c r="J196" s="52">
        <f t="shared" si="77"/>
        <v>77801.828953530028</v>
      </c>
      <c r="K196" s="51">
        <f t="shared" si="79"/>
        <v>7916.2064591023691</v>
      </c>
      <c r="L196" s="49">
        <f t="shared" si="80"/>
        <v>8248.0560610664215</v>
      </c>
      <c r="M196" s="49">
        <f t="shared" si="81"/>
        <v>-9660.5484834828021</v>
      </c>
      <c r="N196" s="49">
        <f t="shared" si="73"/>
        <v>9660.5484834828021</v>
      </c>
      <c r="O196" s="48">
        <f t="shared" si="74"/>
        <v>119222.21078216238</v>
      </c>
      <c r="P196" s="38">
        <f t="shared" si="78"/>
        <v>119222.21078216238</v>
      </c>
      <c r="Q196" s="53"/>
      <c r="R196" s="53">
        <f t="shared" si="66"/>
        <v>0.05</v>
      </c>
      <c r="S196" s="53">
        <f t="shared" si="67"/>
        <v>4.2653187775606449E-3</v>
      </c>
      <c r="T196" s="53">
        <f t="shared" si="68"/>
        <v>0.05</v>
      </c>
      <c r="U196" s="53">
        <f t="shared" si="71"/>
        <v>4.2653187775606449E-3</v>
      </c>
      <c r="V196" s="53"/>
      <c r="W196" s="63">
        <f t="shared" si="69"/>
        <v>137.46760101777372</v>
      </c>
      <c r="X196" s="64">
        <f t="shared" si="70"/>
        <v>8.5306375551212903E-4</v>
      </c>
      <c r="Z196" s="63"/>
    </row>
    <row r="197" spans="1:26" x14ac:dyDescent="0.2">
      <c r="A197" s="62">
        <f t="shared" si="61"/>
        <v>0.20395244803586099</v>
      </c>
      <c r="B197" s="45">
        <f t="shared" si="62"/>
        <v>186</v>
      </c>
      <c r="C197" s="49">
        <f t="shared" si="75"/>
        <v>1849443.4898976663</v>
      </c>
      <c r="D197" s="47" cm="1">
        <f t="array" ref="D197">_xlfn.IFS(AND($C$7="Y",B197&lt;C$4),C197,AND($C$7="Y",B197=C$4),D196+F197-J197-K197-L197+N197,AND($C$7="Y",B197&gt;$C$4),D196-J197-K197-L197+N197, TRUE, D196-J197-K197-L197+N197)</f>
        <v>1764506.1775667667</v>
      </c>
      <c r="E197" s="48">
        <f t="shared" si="63"/>
        <v>0</v>
      </c>
      <c r="F197" s="50">
        <f t="shared" si="64"/>
        <v>0</v>
      </c>
      <c r="G197" s="50">
        <f t="shared" si="72"/>
        <v>0</v>
      </c>
      <c r="H197" s="51">
        <f t="shared" si="76"/>
        <v>109500.30636183936</v>
      </c>
      <c r="I197" s="52">
        <f t="shared" si="65"/>
        <v>30692.583730869475</v>
      </c>
      <c r="J197" s="52">
        <f t="shared" si="77"/>
        <v>78807.722630969889</v>
      </c>
      <c r="K197" s="51">
        <f t="shared" si="79"/>
        <v>7552.3259863431394</v>
      </c>
      <c r="L197" s="49">
        <f t="shared" si="80"/>
        <v>7888.4660454978066</v>
      </c>
      <c r="M197" s="49">
        <f t="shared" si="81"/>
        <v>-9311.2023319115797</v>
      </c>
      <c r="N197" s="49">
        <f t="shared" si="73"/>
        <v>9311.2023319115797</v>
      </c>
      <c r="O197" s="48">
        <f t="shared" si="74"/>
        <v>118475.36863459628</v>
      </c>
      <c r="P197" s="38">
        <f t="shared" si="78"/>
        <v>118475.36863459628</v>
      </c>
      <c r="Q197" s="53"/>
      <c r="R197" s="53">
        <f t="shared" si="66"/>
        <v>0.05</v>
      </c>
      <c r="S197" s="53">
        <f t="shared" si="67"/>
        <v>4.2653187775606449E-3</v>
      </c>
      <c r="T197" s="53">
        <f t="shared" si="68"/>
        <v>0.05</v>
      </c>
      <c r="U197" s="53">
        <f t="shared" si="71"/>
        <v>4.2653187775606449E-3</v>
      </c>
      <c r="V197" s="53"/>
      <c r="W197" s="63">
        <f t="shared" si="69"/>
        <v>131.47443409163012</v>
      </c>
      <c r="X197" s="64">
        <f t="shared" si="70"/>
        <v>8.5306375551212903E-4</v>
      </c>
      <c r="Z197" s="63"/>
    </row>
    <row r="198" spans="1:26" x14ac:dyDescent="0.2">
      <c r="A198" s="62">
        <f t="shared" si="61"/>
        <v>0.19406028312111337</v>
      </c>
      <c r="B198" s="45">
        <f t="shared" si="62"/>
        <v>187</v>
      </c>
      <c r="C198" s="49">
        <f t="shared" si="75"/>
        <v>1764506.1775667667</v>
      </c>
      <c r="D198" s="47" cm="1">
        <f t="array" ref="D198">_xlfn.IFS(AND($C$7="Y",B198&lt;C$4),C198,AND($C$7="Y",B198=C$4),D197+F198-J198-K198-L198+N198,AND($C$7="Y",B198&gt;$C$4),D197-J198-K198-L198+N198, TRUE, D197-J198-K198-L198+N198)</f>
        <v>1678923.5514709409</v>
      </c>
      <c r="E198" s="48">
        <f t="shared" si="63"/>
        <v>0</v>
      </c>
      <c r="F198" s="50">
        <f t="shared" si="64"/>
        <v>0</v>
      </c>
      <c r="G198" s="50">
        <f t="shared" si="72"/>
        <v>0</v>
      </c>
      <c r="H198" s="51">
        <f t="shared" si="76"/>
        <v>109113.13608633322</v>
      </c>
      <c r="I198" s="52">
        <f t="shared" si="65"/>
        <v>29282.999937241158</v>
      </c>
      <c r="J198" s="52">
        <f t="shared" si="77"/>
        <v>79830.136149092068</v>
      </c>
      <c r="K198" s="51">
        <f t="shared" si="79"/>
        <v>7185.6803535653426</v>
      </c>
      <c r="L198" s="49">
        <f t="shared" si="80"/>
        <v>7526.1813322972876</v>
      </c>
      <c r="M198" s="49">
        <f t="shared" si="81"/>
        <v>-8959.3717391289902</v>
      </c>
      <c r="N198" s="49">
        <f t="shared" si="73"/>
        <v>8959.3717391289902</v>
      </c>
      <c r="O198" s="48">
        <f t="shared" si="74"/>
        <v>117732.00684673028</v>
      </c>
      <c r="P198" s="38">
        <f t="shared" si="78"/>
        <v>117732.00684673028</v>
      </c>
      <c r="Q198" s="53"/>
      <c r="R198" s="53">
        <f t="shared" si="66"/>
        <v>0.05</v>
      </c>
      <c r="S198" s="53">
        <f t="shared" si="67"/>
        <v>4.2653187775606449E-3</v>
      </c>
      <c r="T198" s="53">
        <f t="shared" si="68"/>
        <v>0.05</v>
      </c>
      <c r="U198" s="53">
        <f t="shared" si="71"/>
        <v>4.2653187775606449E-3</v>
      </c>
      <c r="V198" s="53"/>
      <c r="W198" s="63">
        <f t="shared" si="69"/>
        <v>125.43635553828813</v>
      </c>
      <c r="X198" s="64">
        <f t="shared" si="70"/>
        <v>8.5306375551212892E-4</v>
      </c>
      <c r="Z198" s="63"/>
    </row>
    <row r="199" spans="1:26" x14ac:dyDescent="0.2">
      <c r="A199" s="62">
        <f t="shared" si="61"/>
        <v>0.18409189191748274</v>
      </c>
      <c r="B199" s="45">
        <f t="shared" si="62"/>
        <v>188</v>
      </c>
      <c r="C199" s="49">
        <f t="shared" si="75"/>
        <v>1678923.5514709409</v>
      </c>
      <c r="D199" s="47" cm="1">
        <f t="array" ref="D199">_xlfn.IFS(AND($C$7="Y",B199&lt;C$4),C199,AND($C$7="Y",B199=C$4),D198+F199-J199-K199-L199+N199,AND($C$7="Y",B199&gt;$C$4),D198-J199-K199-L199+N199, TRUE, D198-J199-K199-L199+N199)</f>
        <v>1592681.4493113447</v>
      </c>
      <c r="E199" s="48">
        <f t="shared" si="63"/>
        <v>0</v>
      </c>
      <c r="F199" s="50">
        <f t="shared" si="64"/>
        <v>0</v>
      </c>
      <c r="G199" s="50">
        <f t="shared" si="72"/>
        <v>0</v>
      </c>
      <c r="H199" s="51">
        <f t="shared" si="76"/>
        <v>108732.4627660718</v>
      </c>
      <c r="I199" s="52">
        <f t="shared" si="65"/>
        <v>27862.706788679385</v>
      </c>
      <c r="J199" s="52">
        <f t="shared" si="77"/>
        <v>80869.755977392415</v>
      </c>
      <c r="K199" s="51">
        <f t="shared" si="79"/>
        <v>6816.2088614706909</v>
      </c>
      <c r="L199" s="49">
        <f t="shared" si="80"/>
        <v>7161.1441501778099</v>
      </c>
      <c r="M199" s="49">
        <f t="shared" si="81"/>
        <v>-8605.0068294444882</v>
      </c>
      <c r="N199" s="49">
        <f t="shared" si="73"/>
        <v>8605.0068294444882</v>
      </c>
      <c r="O199" s="48">
        <f t="shared" si="74"/>
        <v>116992.53430680919</v>
      </c>
      <c r="P199" s="38">
        <f t="shared" si="78"/>
        <v>116992.53430680919</v>
      </c>
      <c r="Q199" s="53"/>
      <c r="R199" s="53">
        <f t="shared" si="66"/>
        <v>0.05</v>
      </c>
      <c r="S199" s="53">
        <f t="shared" si="67"/>
        <v>4.2653187775606449E-3</v>
      </c>
      <c r="T199" s="53">
        <f t="shared" si="68"/>
        <v>0.05</v>
      </c>
      <c r="U199" s="53">
        <f t="shared" si="71"/>
        <v>4.2653187775606449E-3</v>
      </c>
      <c r="V199" s="53"/>
      <c r="W199" s="63">
        <f t="shared" si="69"/>
        <v>119.35240250296351</v>
      </c>
      <c r="X199" s="64">
        <f t="shared" si="70"/>
        <v>8.5306375551212903E-4</v>
      </c>
      <c r="Z199" s="63"/>
    </row>
    <row r="200" spans="1:26" x14ac:dyDescent="0.2">
      <c r="A200" s="62">
        <f t="shared" si="61"/>
        <v>0.17404555556753448</v>
      </c>
      <c r="B200" s="45">
        <f t="shared" si="62"/>
        <v>189</v>
      </c>
      <c r="C200" s="49">
        <f t="shared" si="75"/>
        <v>1592681.4493113447</v>
      </c>
      <c r="D200" s="47" cm="1">
        <f t="array" ref="D200">_xlfn.IFS(AND($C$7="Y",B200&lt;C$4),C200,AND($C$7="Y",B200=C$4),D199+F200-J200-K200-L200+N200,AND($C$7="Y",B200&gt;$C$4),D199-J200-K200-L200+N200, TRUE, D199-J200-K200-L200+N200)</f>
        <v>1505765.000295345</v>
      </c>
      <c r="E200" s="48">
        <f t="shared" si="63"/>
        <v>0</v>
      </c>
      <c r="F200" s="50">
        <f t="shared" si="64"/>
        <v>0</v>
      </c>
      <c r="G200" s="50">
        <f t="shared" si="72"/>
        <v>0</v>
      </c>
      <c r="H200" s="51">
        <f t="shared" si="76"/>
        <v>108358.83246658245</v>
      </c>
      <c r="I200" s="52">
        <f t="shared" si="65"/>
        <v>26431.469253648742</v>
      </c>
      <c r="J200" s="52">
        <f t="shared" si="77"/>
        <v>81927.363212933706</v>
      </c>
      <c r="K200" s="51">
        <f t="shared" si="79"/>
        <v>6443.8477717120231</v>
      </c>
      <c r="L200" s="49">
        <f t="shared" si="80"/>
        <v>6793.2940924201812</v>
      </c>
      <c r="M200" s="49">
        <f t="shared" si="81"/>
        <v>-8248.0560610664215</v>
      </c>
      <c r="N200" s="49">
        <f t="shared" si="73"/>
        <v>8248.0560610664215</v>
      </c>
      <c r="O200" s="48">
        <f t="shared" si="74"/>
        <v>116257.44220694072</v>
      </c>
      <c r="P200" s="38">
        <f t="shared" si="78"/>
        <v>116257.44220694072</v>
      </c>
      <c r="Q200" s="53"/>
      <c r="R200" s="53">
        <f t="shared" si="66"/>
        <v>0.05</v>
      </c>
      <c r="S200" s="53">
        <f t="shared" si="67"/>
        <v>4.2653187775606449E-3</v>
      </c>
      <c r="T200" s="53">
        <f t="shared" si="68"/>
        <v>0.05</v>
      </c>
      <c r="U200" s="53">
        <f t="shared" si="71"/>
        <v>4.2653187775606449E-3</v>
      </c>
      <c r="V200" s="53"/>
      <c r="W200" s="63">
        <f t="shared" si="69"/>
        <v>113.22156820700303</v>
      </c>
      <c r="X200" s="64">
        <f t="shared" si="70"/>
        <v>8.5306375551212914E-4</v>
      </c>
      <c r="Z200" s="63"/>
    </row>
    <row r="201" spans="1:26" x14ac:dyDescent="0.2">
      <c r="A201" s="62">
        <f t="shared" si="61"/>
        <v>0.16391946029335264</v>
      </c>
      <c r="B201" s="45">
        <f t="shared" si="62"/>
        <v>190</v>
      </c>
      <c r="C201" s="49">
        <f t="shared" si="75"/>
        <v>1505765.000295345</v>
      </c>
      <c r="D201" s="47" cm="1">
        <f t="array" ref="D201">_xlfn.IFS(AND($C$7="Y",B201&lt;C$4),C201,AND($C$7="Y",B201=C$4),D200+F201-J201-K201-L201+N201,AND($C$7="Y",B201&gt;$C$4),D200-J201-K201-L201+N201, TRUE, D200-J201-K201-L201+N201)</f>
        <v>1418158.5124203779</v>
      </c>
      <c r="E201" s="48">
        <f t="shared" si="63"/>
        <v>0</v>
      </c>
      <c r="F201" s="50">
        <f t="shared" si="64"/>
        <v>0</v>
      </c>
      <c r="G201" s="50">
        <f t="shared" si="72"/>
        <v>0</v>
      </c>
      <c r="H201" s="51">
        <f t="shared" si="76"/>
        <v>107992.89690967993</v>
      </c>
      <c r="I201" s="52">
        <f t="shared" si="65"/>
        <v>24989.040542749863</v>
      </c>
      <c r="J201" s="52">
        <f t="shared" si="77"/>
        <v>83003.856366930064</v>
      </c>
      <c r="K201" s="51">
        <f t="shared" si="79"/>
        <v>6068.5298231815314</v>
      </c>
      <c r="L201" s="49">
        <f t="shared" si="80"/>
        <v>6422.5677303533448</v>
      </c>
      <c r="M201" s="49">
        <f t="shared" si="81"/>
        <v>-7888.4660454978066</v>
      </c>
      <c r="N201" s="49">
        <f t="shared" si="73"/>
        <v>7888.4660454978066</v>
      </c>
      <c r="O201" s="48">
        <f t="shared" si="74"/>
        <v>115527.32504800592</v>
      </c>
      <c r="P201" s="38">
        <f t="shared" si="78"/>
        <v>115527.32504800592</v>
      </c>
      <c r="Q201" s="53"/>
      <c r="R201" s="53">
        <f t="shared" si="66"/>
        <v>0.05</v>
      </c>
      <c r="S201" s="53">
        <f t="shared" si="67"/>
        <v>4.2653187775606449E-3</v>
      </c>
      <c r="T201" s="53">
        <f t="shared" si="68"/>
        <v>0.05</v>
      </c>
      <c r="U201" s="53">
        <f t="shared" si="71"/>
        <v>4.2653187775606449E-3</v>
      </c>
      <c r="V201" s="53"/>
      <c r="W201" s="63">
        <f t="shared" si="69"/>
        <v>107.04279550588909</v>
      </c>
      <c r="X201" s="64">
        <f t="shared" si="70"/>
        <v>8.5306375551212903E-4</v>
      </c>
      <c r="Z201" s="63"/>
    </row>
    <row r="202" spans="1:26" x14ac:dyDescent="0.2">
      <c r="A202" s="62">
        <f t="shared" si="61"/>
        <v>0.15371168096820334</v>
      </c>
      <c r="B202" s="45">
        <f t="shared" si="62"/>
        <v>191</v>
      </c>
      <c r="C202" s="49">
        <f t="shared" si="75"/>
        <v>1418158.5124203779</v>
      </c>
      <c r="D202" s="47" cm="1">
        <f t="array" ref="D202">_xlfn.IFS(AND($C$7="Y",B202&lt;C$4),C202,AND($C$7="Y",B202=C$4),D201+F202-J202-K202-L202+N202,AND($C$7="Y",B202&gt;$C$4),D201-J202-K202-L202+N202, TRUE, D201-J202-K202-L202+N202)</f>
        <v>1329845.3303432632</v>
      </c>
      <c r="E202" s="48">
        <f t="shared" si="63"/>
        <v>0</v>
      </c>
      <c r="F202" s="50">
        <f t="shared" si="64"/>
        <v>0</v>
      </c>
      <c r="G202" s="50">
        <f t="shared" si="72"/>
        <v>0</v>
      </c>
      <c r="H202" s="51">
        <f t="shared" si="76"/>
        <v>107635.44189291423</v>
      </c>
      <c r="I202" s="52">
        <f t="shared" si="65"/>
        <v>23535.160238129898</v>
      </c>
      <c r="J202" s="52">
        <f t="shared" si="77"/>
        <v>84100.281654784325</v>
      </c>
      <c r="K202" s="51">
        <f t="shared" si="79"/>
        <v>5690.183622043819</v>
      </c>
      <c r="L202" s="49">
        <f t="shared" si="80"/>
        <v>6048.8981325841087</v>
      </c>
      <c r="M202" s="49">
        <f t="shared" si="81"/>
        <v>-7526.1813322972876</v>
      </c>
      <c r="N202" s="49">
        <f t="shared" si="73"/>
        <v>7526.1813322972876</v>
      </c>
      <c r="O202" s="48">
        <f t="shared" si="74"/>
        <v>114802.90871467123</v>
      </c>
      <c r="P202" s="38">
        <f t="shared" si="78"/>
        <v>114802.90871467123</v>
      </c>
      <c r="Q202" s="53"/>
      <c r="R202" s="53">
        <f t="shared" si="66"/>
        <v>0.05</v>
      </c>
      <c r="S202" s="53">
        <f t="shared" si="67"/>
        <v>4.2653187775606449E-3</v>
      </c>
      <c r="T202" s="53">
        <f t="shared" si="68"/>
        <v>0.05</v>
      </c>
      <c r="U202" s="53">
        <f t="shared" si="71"/>
        <v>4.2653187775606449E-3</v>
      </c>
      <c r="V202" s="53"/>
      <c r="W202" s="63">
        <f t="shared" si="69"/>
        <v>100.81496887640181</v>
      </c>
      <c r="X202" s="64">
        <f t="shared" si="70"/>
        <v>8.5306375551212892E-4</v>
      </c>
      <c r="Z202" s="63"/>
    </row>
    <row r="203" spans="1:26" x14ac:dyDescent="0.2">
      <c r="A203" s="62">
        <f t="shared" si="61"/>
        <v>0.14342016008119166</v>
      </c>
      <c r="B203" s="45">
        <f t="shared" si="62"/>
        <v>192</v>
      </c>
      <c r="C203" s="49">
        <f t="shared" si="75"/>
        <v>1329845.3303432632</v>
      </c>
      <c r="D203" s="47" cm="1">
        <f t="array" ref="D203">_xlfn.IFS(AND($C$7="Y",B203&lt;C$4),C203,AND($C$7="Y",B203=C$4),D202+F203-J203-K203-L203+N203,AND($C$7="Y",B203&gt;$C$4),D202-J203-K203-L203+N203, TRUE, D202-J203-K203-L203+N203)</f>
        <v>1240807.6533917391</v>
      </c>
      <c r="E203" s="48">
        <f t="shared" si="63"/>
        <v>0</v>
      </c>
      <c r="F203" s="50">
        <f t="shared" si="64"/>
        <v>0</v>
      </c>
      <c r="G203" s="50">
        <f t="shared" si="72"/>
        <v>0</v>
      </c>
      <c r="H203" s="51">
        <f t="shared" si="76"/>
        <v>107287.42591699494</v>
      </c>
      <c r="I203" s="52">
        <f t="shared" si="65"/>
        <v>22069.551934741645</v>
      </c>
      <c r="J203" s="52">
        <f t="shared" si="77"/>
        <v>85217.873982253295</v>
      </c>
      <c r="K203" s="51">
        <f t="shared" si="79"/>
        <v>5308.7328606841584</v>
      </c>
      <c r="L203" s="49">
        <f t="shared" si="80"/>
        <v>5672.2142587644594</v>
      </c>
      <c r="M203" s="49">
        <f t="shared" si="81"/>
        <v>-7161.1441501778099</v>
      </c>
      <c r="N203" s="49">
        <f t="shared" si="73"/>
        <v>7161.1441501778099</v>
      </c>
      <c r="O203" s="48">
        <f t="shared" si="74"/>
        <v>114085.08866909245</v>
      </c>
      <c r="P203" s="38">
        <f t="shared" si="78"/>
        <v>114085.08866909245</v>
      </c>
      <c r="Q203" s="53"/>
      <c r="R203" s="53">
        <f t="shared" si="66"/>
        <v>0.05</v>
      </c>
      <c r="S203" s="53">
        <f t="shared" si="67"/>
        <v>4.2653187775606449E-3</v>
      </c>
      <c r="T203" s="53">
        <f t="shared" si="68"/>
        <v>0.05</v>
      </c>
      <c r="U203" s="53">
        <f t="shared" si="71"/>
        <v>4.2653187775606449E-3</v>
      </c>
      <c r="V203" s="53"/>
      <c r="W203" s="63">
        <f t="shared" si="69"/>
        <v>94.536904312741001</v>
      </c>
      <c r="X203" s="64">
        <f t="shared" si="70"/>
        <v>8.5306375551212903E-4</v>
      </c>
      <c r="Z203" s="63"/>
    </row>
    <row r="204" spans="1:26" x14ac:dyDescent="0.2">
      <c r="A204" s="62">
        <f t="shared" ref="A204:A232" si="82">D204/C$1</f>
        <v>0.1330426803323943</v>
      </c>
      <c r="B204" s="45">
        <f t="shared" si="62"/>
        <v>193</v>
      </c>
      <c r="C204" s="49">
        <f t="shared" si="75"/>
        <v>1240807.6533917391</v>
      </c>
      <c r="D204" s="47" cm="1">
        <f t="array" ref="D204">_xlfn.IFS(AND($C$7="Y",B204&lt;C$4),C204,AND($C$7="Y",B204=C$4),D203+F204-J204-K204-L204+N204,AND($C$7="Y",B204&gt;$C$4),D203-J204-K204-L204+N204, TRUE, D203-J204-K204-L204+N204)</f>
        <v>1151026.2984696971</v>
      </c>
      <c r="E204" s="48">
        <f t="shared" si="63"/>
        <v>0</v>
      </c>
      <c r="F204" s="50">
        <f t="shared" si="64"/>
        <v>0</v>
      </c>
      <c r="G204" s="50">
        <f t="shared" si="72"/>
        <v>0</v>
      </c>
      <c r="H204" s="51">
        <f t="shared" si="76"/>
        <v>106950.03375113511</v>
      </c>
      <c r="I204" s="52">
        <f t="shared" si="65"/>
        <v>20591.920220139775</v>
      </c>
      <c r="J204" s="52">
        <f t="shared" si="77"/>
        <v>86358.113530995339</v>
      </c>
      <c r="K204" s="51">
        <f t="shared" si="79"/>
        <v>4924.0953001142771</v>
      </c>
      <c r="L204" s="49">
        <f t="shared" si="80"/>
        <v>5292.4401833527454</v>
      </c>
      <c r="M204" s="49">
        <f t="shared" si="81"/>
        <v>-6793.2940924201812</v>
      </c>
      <c r="N204" s="49">
        <f t="shared" si="73"/>
        <v>6793.2940924201812</v>
      </c>
      <c r="O204" s="48">
        <f t="shared" si="74"/>
        <v>113374.98296031682</v>
      </c>
      <c r="P204" s="38">
        <f t="shared" si="78"/>
        <v>113374.98296031682</v>
      </c>
      <c r="Q204" s="53"/>
      <c r="R204" s="53">
        <f t="shared" si="66"/>
        <v>0.05</v>
      </c>
      <c r="S204" s="53">
        <f t="shared" si="67"/>
        <v>4.2653187775606449E-3</v>
      </c>
      <c r="T204" s="53">
        <f t="shared" si="68"/>
        <v>0.05</v>
      </c>
      <c r="U204" s="53">
        <f t="shared" si="71"/>
        <v>4.2653187775606449E-3</v>
      </c>
      <c r="V204" s="53"/>
      <c r="W204" s="63">
        <f t="shared" si="69"/>
        <v>88.207336389212415</v>
      </c>
      <c r="X204" s="64">
        <f t="shared" si="70"/>
        <v>8.5306375551212903E-4</v>
      </c>
      <c r="Z204" s="63"/>
    </row>
    <row r="205" spans="1:26" x14ac:dyDescent="0.2">
      <c r="A205" s="62">
        <f t="shared" si="82"/>
        <v>0.12257682821713235</v>
      </c>
      <c r="B205" s="45">
        <f t="shared" ref="B205:B220" si="83">B204+1</f>
        <v>194</v>
      </c>
      <c r="C205" s="49">
        <f t="shared" si="75"/>
        <v>1151026.2984696971</v>
      </c>
      <c r="D205" s="47" cm="1">
        <f t="array" ref="D205">_xlfn.IFS(AND($C$7="Y",B205&lt;C$4),C205,AND($C$7="Y",B205=C$4),D204+F205-J205-K205-L205+N205,AND($C$7="Y",B205&gt;$C$4),D204-J205-K205-L205+N205, TRUE, D204-J205-K205-L205+N205)</f>
        <v>1060480.3850044522</v>
      </c>
      <c r="E205" s="48">
        <f t="shared" ref="E205:E216" si="84">IF(AND($C$7="Y",B205&lt;=$C$4),D204*C$2/12-G205,0)</f>
        <v>0</v>
      </c>
      <c r="F205" s="50">
        <f t="shared" ref="F205:F216" si="85">IF(AND($C$7="Y",B205&lt;=C$4),E205+F204,0)</f>
        <v>0</v>
      </c>
      <c r="G205" s="50">
        <f t="shared" si="72"/>
        <v>0</v>
      </c>
      <c r="H205" s="51">
        <f t="shared" si="76"/>
        <v>106624.75243328612</v>
      </c>
      <c r="I205" s="52">
        <f t="shared" ref="I205:I216" si="86">IF(AND(C$7="Y",$B205&lt;=C$4),0,IF(AND(C$7="Y",$B205&gt;C$4),(1-U205)*C$2*D204/12,IF(AND($C$7="N",C$4&gt;0),(1-U205)*D204*C$2/12, (1-U205)*D204*C$2/12)))</f>
        <v>19101.946739756135</v>
      </c>
      <c r="J205" s="52">
        <f t="shared" si="77"/>
        <v>87522.805693529983</v>
      </c>
      <c r="K205" s="51">
        <f t="shared" si="79"/>
        <v>4536.1814177395172</v>
      </c>
      <c r="L205" s="49">
        <f t="shared" si="80"/>
        <v>4909.4940843289223</v>
      </c>
      <c r="M205" s="49">
        <f t="shared" si="81"/>
        <v>-6422.5677303533448</v>
      </c>
      <c r="N205" s="49">
        <f t="shared" si="73"/>
        <v>6422.5677303533448</v>
      </c>
      <c r="O205" s="48">
        <f t="shared" si="74"/>
        <v>112674.00749705006</v>
      </c>
      <c r="P205" s="38">
        <f t="shared" si="78"/>
        <v>112674.00749705006</v>
      </c>
      <c r="Q205" s="53"/>
      <c r="R205" s="53">
        <f t="shared" ref="R205:R216" si="87">R$9</f>
        <v>0.05</v>
      </c>
      <c r="S205" s="53">
        <f t="shared" ref="S205:S216" si="88">1-(1-R205)^(1/12)</f>
        <v>4.2653187775606449E-3</v>
      </c>
      <c r="T205" s="53">
        <f t="shared" ref="T205:T216" si="89">T$9</f>
        <v>0.05</v>
      </c>
      <c r="U205" s="53">
        <f t="shared" si="71"/>
        <v>4.2653187775606449E-3</v>
      </c>
      <c r="V205" s="53"/>
      <c r="W205" s="63">
        <f t="shared" ref="W205:W216" si="90">D204*U205*C$2/12</f>
        <v>81.824901405482038</v>
      </c>
      <c r="X205" s="64">
        <f t="shared" ref="X205:X216" si="91">12*W205/D204</f>
        <v>8.5306375551212903E-4</v>
      </c>
      <c r="Z205" s="63"/>
    </row>
    <row r="206" spans="1:26" x14ac:dyDescent="0.2">
      <c r="A206" s="62">
        <f t="shared" si="82"/>
        <v>0.11201994452093038</v>
      </c>
      <c r="B206" s="45">
        <f t="shared" si="83"/>
        <v>195</v>
      </c>
      <c r="C206" s="49">
        <f t="shared" si="75"/>
        <v>1060480.3850044522</v>
      </c>
      <c r="D206" s="47" cm="1">
        <f t="array" ref="D206">_xlfn.IFS(AND($C$7="Y",B206&lt;C$4),C206,AND($C$7="Y",B206=C$4),D205+F206-J206-K206-L206+N206,AND($C$7="Y",B206&gt;$C$4),D205-J206-K206-L206+N206, TRUE, D205-J206-K206-L206+N206)</f>
        <v>969146.90665107174</v>
      </c>
      <c r="E206" s="48">
        <f t="shared" si="84"/>
        <v>0</v>
      </c>
      <c r="F206" s="50">
        <f t="shared" si="85"/>
        <v>0</v>
      </c>
      <c r="G206" s="50">
        <f t="shared" si="72"/>
        <v>0</v>
      </c>
      <c r="H206" s="51">
        <f t="shared" si="76"/>
        <v>106313.48198596884</v>
      </c>
      <c r="I206" s="52">
        <f t="shared" si="86"/>
        <v>17599.284968417633</v>
      </c>
      <c r="J206" s="52">
        <f t="shared" si="77"/>
        <v>88714.197017551211</v>
      </c>
      <c r="K206" s="51">
        <f t="shared" si="79"/>
        <v>4144.8925690190563</v>
      </c>
      <c r="L206" s="49">
        <f t="shared" si="80"/>
        <v>4523.286899394232</v>
      </c>
      <c r="M206" s="49">
        <f t="shared" si="81"/>
        <v>-6048.8981325841087</v>
      </c>
      <c r="N206" s="49">
        <f t="shared" si="73"/>
        <v>6048.8981325841087</v>
      </c>
      <c r="O206" s="48">
        <f t="shared" si="74"/>
        <v>111983.98578817779</v>
      </c>
      <c r="P206" s="38">
        <f t="shared" si="78"/>
        <v>111983.98578817779</v>
      </c>
      <c r="Q206" s="53"/>
      <c r="R206" s="53">
        <f t="shared" si="87"/>
        <v>0.05</v>
      </c>
      <c r="S206" s="53">
        <f t="shared" si="88"/>
        <v>4.2653187775606449E-3</v>
      </c>
      <c r="T206" s="53">
        <f t="shared" si="89"/>
        <v>0.05</v>
      </c>
      <c r="U206" s="53">
        <f t="shared" ref="U206:U216" si="92">1-(1-T206)^(1/12)</f>
        <v>4.2653187775606449E-3</v>
      </c>
      <c r="V206" s="53"/>
      <c r="W206" s="63">
        <f t="shared" si="90"/>
        <v>75.388114989903869</v>
      </c>
      <c r="X206" s="64">
        <f t="shared" si="91"/>
        <v>8.5306375551212903E-4</v>
      </c>
      <c r="Z206" s="63"/>
    </row>
    <row r="207" spans="1:26" x14ac:dyDescent="0.2">
      <c r="A207" s="62">
        <f t="shared" si="82"/>
        <v>0.10136905520513856</v>
      </c>
      <c r="B207" s="45">
        <f t="shared" si="83"/>
        <v>196</v>
      </c>
      <c r="C207" s="49">
        <f t="shared" si="75"/>
        <v>969146.90665107174</v>
      </c>
      <c r="D207" s="47" cm="1">
        <f t="array" ref="D207">_xlfn.IFS(AND($C$7="Y",B207&lt;C$4),C207,AND($C$7="Y",B207=C$4),D206+F207-J207-K207-L207+N207,AND($C$7="Y",B207&gt;$C$4),D206-J207-K207-L207+N207, TRUE, D206-J207-K207-L207+N207)</f>
        <v>877000.13334541337</v>
      </c>
      <c r="E207" s="48">
        <f t="shared" si="84"/>
        <v>0</v>
      </c>
      <c r="F207" s="50">
        <f t="shared" si="85"/>
        <v>0</v>
      </c>
      <c r="G207" s="50">
        <f t="shared" ref="G207:G216" si="93">IF($B207&lt;=$C$4,C$6,0)</f>
        <v>0</v>
      </c>
      <c r="H207" s="51">
        <f t="shared" si="76"/>
        <v>106018.70174692312</v>
      </c>
      <c r="I207" s="52">
        <f t="shared" si="86"/>
        <v>16083.553102531967</v>
      </c>
      <c r="J207" s="52">
        <f t="shared" si="77"/>
        <v>89935.148644391156</v>
      </c>
      <c r="K207" s="51">
        <f t="shared" si="79"/>
        <v>3750.1184208780001</v>
      </c>
      <c r="L207" s="49">
        <f t="shared" si="80"/>
        <v>4133.72049915363</v>
      </c>
      <c r="M207" s="49">
        <f t="shared" si="81"/>
        <v>-5672.2142587644594</v>
      </c>
      <c r="N207" s="49">
        <f t="shared" si="73"/>
        <v>5672.2142587644594</v>
      </c>
      <c r="O207" s="48">
        <f t="shared" si="74"/>
        <v>111307.31392741196</v>
      </c>
      <c r="P207" s="38">
        <f t="shared" si="78"/>
        <v>111307.31392741196</v>
      </c>
      <c r="Q207" s="53"/>
      <c r="R207" s="53">
        <f t="shared" si="87"/>
        <v>0.05</v>
      </c>
      <c r="S207" s="53">
        <f t="shared" si="88"/>
        <v>4.2653187775606449E-3</v>
      </c>
      <c r="T207" s="53">
        <f t="shared" si="89"/>
        <v>0.05</v>
      </c>
      <c r="U207" s="53">
        <f t="shared" si="92"/>
        <v>4.2653187775606449E-3</v>
      </c>
      <c r="V207" s="53"/>
      <c r="W207" s="63">
        <f t="shared" si="90"/>
        <v>68.895341652560504</v>
      </c>
      <c r="X207" s="64">
        <f t="shared" si="91"/>
        <v>8.5306375551212914E-4</v>
      </c>
      <c r="Z207" s="63"/>
    </row>
    <row r="208" spans="1:26" x14ac:dyDescent="0.2">
      <c r="A208" s="62">
        <f t="shared" si="82"/>
        <v>9.0620771825233121E-2</v>
      </c>
      <c r="B208" s="45">
        <f t="shared" si="83"/>
        <v>197</v>
      </c>
      <c r="C208" s="49">
        <f t="shared" si="75"/>
        <v>877000.13334541337</v>
      </c>
      <c r="D208" s="47" cm="1">
        <f t="array" ref="D208">_xlfn.IFS(AND($C$7="Y",B208&lt;C$4),C208,AND($C$7="Y",B208=C$4),D207+F208-J208-K208-L208+N208,AND($C$7="Y",B208&gt;$C$4),D207-J208-K208-L208+N208, TRUE, D207-J208-K208-L208+N208)</f>
        <v>784010.74976740091</v>
      </c>
      <c r="E208" s="48">
        <f t="shared" si="84"/>
        <v>0</v>
      </c>
      <c r="F208" s="50">
        <f t="shared" si="85"/>
        <v>0</v>
      </c>
      <c r="G208" s="50">
        <f t="shared" si="93"/>
        <v>0</v>
      </c>
      <c r="H208" s="51">
        <f t="shared" si="76"/>
        <v>105743.72950785836</v>
      </c>
      <c r="I208" s="52">
        <f t="shared" si="86"/>
        <v>14554.324136812198</v>
      </c>
      <c r="J208" s="52">
        <f t="shared" si="77"/>
        <v>91189.405371046159</v>
      </c>
      <c r="K208" s="51">
        <f t="shared" si="79"/>
        <v>3351.7332536376684</v>
      </c>
      <c r="L208" s="49">
        <f t="shared" si="80"/>
        <v>3740.6851366813812</v>
      </c>
      <c r="M208" s="49">
        <f t="shared" si="81"/>
        <v>-5292.4401833527454</v>
      </c>
      <c r="N208" s="49">
        <f t="shared" si="73"/>
        <v>5292.4401833527454</v>
      </c>
      <c r="O208" s="48">
        <f t="shared" si="74"/>
        <v>110647.21780816739</v>
      </c>
      <c r="P208" s="38">
        <f t="shared" si="78"/>
        <v>110647.21780816739</v>
      </c>
      <c r="Q208" s="53"/>
      <c r="R208" s="53">
        <f t="shared" si="87"/>
        <v>0.05</v>
      </c>
      <c r="S208" s="53">
        <f t="shared" si="88"/>
        <v>4.2653187775606449E-3</v>
      </c>
      <c r="T208" s="53">
        <f t="shared" si="89"/>
        <v>0.05</v>
      </c>
      <c r="U208" s="53">
        <f t="shared" si="92"/>
        <v>4.2653187775606449E-3</v>
      </c>
      <c r="V208" s="53"/>
      <c r="W208" s="63">
        <f t="shared" si="90"/>
        <v>62.34475227802303</v>
      </c>
      <c r="X208" s="64">
        <f t="shared" si="91"/>
        <v>8.5306375551212914E-4</v>
      </c>
      <c r="Z208" s="63"/>
    </row>
    <row r="209" spans="1:26" x14ac:dyDescent="0.2">
      <c r="A209" s="62">
        <f t="shared" si="82"/>
        <v>7.9771142494776875E-2</v>
      </c>
      <c r="B209" s="45">
        <f t="shared" si="83"/>
        <v>198</v>
      </c>
      <c r="C209" s="49">
        <f t="shared" si="75"/>
        <v>784010.74976740091</v>
      </c>
      <c r="D209" s="47" cm="1">
        <f t="array" ref="D209">_xlfn.IFS(AND($C$7="Y",B209&lt;C$4),C209,AND($C$7="Y",B209=C$4),D208+F209-J209-K209-L209+N209,AND($C$7="Y",B209&gt;$C$4),D208-J209-K209-L209+N209, TRUE, D208-J209-K209-L209+N209)</f>
        <v>690144.56594727095</v>
      </c>
      <c r="E209" s="48">
        <f t="shared" si="84"/>
        <v>0</v>
      </c>
      <c r="F209" s="50">
        <f t="shared" si="85"/>
        <v>0</v>
      </c>
      <c r="G209" s="50">
        <f t="shared" si="93"/>
        <v>0</v>
      </c>
      <c r="H209" s="51">
        <f t="shared" si="76"/>
        <v>105493.14327187066</v>
      </c>
      <c r="I209" s="52">
        <f t="shared" si="86"/>
        <v>13011.11156657681</v>
      </c>
      <c r="J209" s="52">
        <f t="shared" si="77"/>
        <v>92482.031705293848</v>
      </c>
      <c r="K209" s="51">
        <f t="shared" si="79"/>
        <v>2949.5904263727466</v>
      </c>
      <c r="L209" s="49">
        <f t="shared" si="80"/>
        <v>3344.0557727922951</v>
      </c>
      <c r="M209" s="49">
        <f t="shared" si="81"/>
        <v>-4909.4940843289223</v>
      </c>
      <c r="N209" s="49">
        <f t="shared" si="73"/>
        <v>4909.4940843289223</v>
      </c>
      <c r="O209" s="48">
        <f t="shared" si="74"/>
        <v>110008.17200978003</v>
      </c>
      <c r="P209" s="38">
        <f t="shared" si="78"/>
        <v>110008.17200978003</v>
      </c>
      <c r="Q209" s="53"/>
      <c r="R209" s="53">
        <f t="shared" si="87"/>
        <v>0.05</v>
      </c>
      <c r="S209" s="53">
        <f t="shared" si="88"/>
        <v>4.2653187775606449E-3</v>
      </c>
      <c r="T209" s="53">
        <f t="shared" si="89"/>
        <v>0.05</v>
      </c>
      <c r="U209" s="53">
        <f t="shared" si="92"/>
        <v>4.2653187775606449E-3</v>
      </c>
      <c r="V209" s="53"/>
      <c r="W209" s="63">
        <f t="shared" si="90"/>
        <v>55.734262879871586</v>
      </c>
      <c r="X209" s="64">
        <f t="shared" si="91"/>
        <v>8.5306375551212903E-4</v>
      </c>
      <c r="Z209" s="63"/>
    </row>
    <row r="210" spans="1:26" x14ac:dyDescent="0.2">
      <c r="A210" s="62">
        <f t="shared" si="82"/>
        <v>6.8815418158783892E-2</v>
      </c>
      <c r="B210" s="45">
        <f t="shared" si="83"/>
        <v>199</v>
      </c>
      <c r="C210" s="49">
        <f t="shared" si="75"/>
        <v>690144.56594727095</v>
      </c>
      <c r="D210" s="47" cm="1">
        <f t="array" ref="D210">_xlfn.IFS(AND($C$7="Y",B210&lt;C$4),C210,AND($C$7="Y",B210=C$4),D209+F210-J210-K210-L210+N210,AND($C$7="Y",B210&gt;$C$4),D209-J210-K210-L210+N210, TRUE, D209-J210-K210-L210+N210)</f>
        <v>595360.49516632536</v>
      </c>
      <c r="E210" s="48">
        <f t="shared" si="84"/>
        <v>0</v>
      </c>
      <c r="F210" s="50">
        <f t="shared" si="85"/>
        <v>0</v>
      </c>
      <c r="G210" s="50">
        <f t="shared" si="93"/>
        <v>0</v>
      </c>
      <c r="H210" s="51">
        <f t="shared" si="76"/>
        <v>105273.50539622283</v>
      </c>
      <c r="I210" s="52">
        <f t="shared" si="86"/>
        <v>11453.347989515076</v>
      </c>
      <c r="J210" s="52">
        <f t="shared" si="77"/>
        <v>93820.157406707745</v>
      </c>
      <c r="K210" s="51">
        <f t="shared" si="79"/>
        <v>2543.5136972658097</v>
      </c>
      <c r="L210" s="49">
        <f t="shared" si="80"/>
        <v>2943.6865763663354</v>
      </c>
      <c r="M210" s="49">
        <f t="shared" si="81"/>
        <v>-4523.286899394232</v>
      </c>
      <c r="N210" s="49">
        <f t="shared" si="73"/>
        <v>4523.286899394232</v>
      </c>
      <c r="O210" s="48">
        <f t="shared" si="74"/>
        <v>109396.61941651654</v>
      </c>
      <c r="P210" s="38">
        <f t="shared" si="78"/>
        <v>109396.61941651654</v>
      </c>
      <c r="Q210" s="53"/>
      <c r="R210" s="53">
        <f t="shared" si="87"/>
        <v>0.05</v>
      </c>
      <c r="S210" s="53">
        <f t="shared" si="88"/>
        <v>4.2653187775606449E-3</v>
      </c>
      <c r="T210" s="53">
        <f t="shared" si="89"/>
        <v>0.05</v>
      </c>
      <c r="U210" s="53">
        <f t="shared" si="92"/>
        <v>4.2653187775606449E-3</v>
      </c>
      <c r="V210" s="53"/>
      <c r="W210" s="63">
        <f t="shared" si="90"/>
        <v>49.061442939438926</v>
      </c>
      <c r="X210" s="64">
        <f t="shared" si="91"/>
        <v>8.5306375551212892E-4</v>
      </c>
      <c r="Z210" s="63"/>
    </row>
    <row r="211" spans="1:26" x14ac:dyDescent="0.2">
      <c r="A211" s="62">
        <f t="shared" si="82"/>
        <v>5.7747663751755496E-2</v>
      </c>
      <c r="B211" s="45">
        <f t="shared" si="83"/>
        <v>200</v>
      </c>
      <c r="C211" s="49">
        <f t="shared" si="75"/>
        <v>595360.49516632536</v>
      </c>
      <c r="D211" s="47" cm="1">
        <f t="array" ref="D211">_xlfn.IFS(AND($C$7="Y",B211&lt;C$4),C211,AND($C$7="Y",B211=C$4),D210+F211-J211-K211-L211+N211,AND($C$7="Y",B211&gt;$C$4),D210-J211-K211-L211+N211, TRUE, D210-J211-K211-L211+N211)</f>
        <v>499607.18986861396</v>
      </c>
      <c r="E211" s="48">
        <f t="shared" si="84"/>
        <v>0</v>
      </c>
      <c r="F211" s="50">
        <f t="shared" si="85"/>
        <v>0</v>
      </c>
      <c r="G211" s="50">
        <f t="shared" si="93"/>
        <v>0</v>
      </c>
      <c r="H211" s="51">
        <f t="shared" si="76"/>
        <v>105094.69226108235</v>
      </c>
      <c r="I211" s="52">
        <f t="shared" si="86"/>
        <v>9880.3515477812434</v>
      </c>
      <c r="J211" s="52">
        <f t="shared" si="77"/>
        <v>95214.340713301106</v>
      </c>
      <c r="K211" s="51">
        <f t="shared" si="79"/>
        <v>2133.2827841132312</v>
      </c>
      <c r="L211" s="49">
        <f t="shared" si="80"/>
        <v>2539.4022994507313</v>
      </c>
      <c r="M211" s="49">
        <f t="shared" si="81"/>
        <v>-4133.72049915363</v>
      </c>
      <c r="N211" s="49">
        <f t="shared" si="73"/>
        <v>4133.72049915363</v>
      </c>
      <c r="O211" s="48">
        <f t="shared" si="74"/>
        <v>108822.29324489848</v>
      </c>
      <c r="P211" s="38">
        <f t="shared" si="78"/>
        <v>108822.29324489848</v>
      </c>
      <c r="Q211" s="53"/>
      <c r="R211" s="53">
        <f t="shared" si="87"/>
        <v>0.05</v>
      </c>
      <c r="S211" s="53">
        <f t="shared" si="88"/>
        <v>4.2653187775606449E-3</v>
      </c>
      <c r="T211" s="53">
        <f t="shared" si="89"/>
        <v>0.05</v>
      </c>
      <c r="U211" s="53">
        <f t="shared" si="92"/>
        <v>4.2653187775606449E-3</v>
      </c>
      <c r="V211" s="53"/>
      <c r="W211" s="63">
        <f t="shared" si="90"/>
        <v>42.32337165751219</v>
      </c>
      <c r="X211" s="64">
        <f t="shared" si="91"/>
        <v>8.5306375551212914E-4</v>
      </c>
      <c r="Z211" s="63"/>
    </row>
    <row r="212" spans="1:26" x14ac:dyDescent="0.2">
      <c r="A212" s="62">
        <f t="shared" si="82"/>
        <v>4.6560059405017576E-2</v>
      </c>
      <c r="B212" s="45">
        <f t="shared" si="83"/>
        <v>201</v>
      </c>
      <c r="C212" s="49">
        <f t="shared" si="75"/>
        <v>499607.18986861396</v>
      </c>
      <c r="D212" s="47" cm="1">
        <f t="array" ref="D212">_xlfn.IFS(AND($C$7="Y",B212&lt;C$4),C212,AND($C$7="Y",B212=C$4),D211+F212-J212-K212-L212+N212,AND($C$7="Y",B212&gt;$C$4),D211-J212-K212-L212+N212, TRUE, D211-J212-K212-L212+N212)</f>
        <v>402816.99601656036</v>
      </c>
      <c r="E212" s="48">
        <f t="shared" si="84"/>
        <v>0</v>
      </c>
      <c r="F212" s="50">
        <f t="shared" si="85"/>
        <v>0</v>
      </c>
      <c r="G212" s="50">
        <f t="shared" si="93"/>
        <v>0</v>
      </c>
      <c r="H212" s="51">
        <f t="shared" si="76"/>
        <v>104972.5577426628</v>
      </c>
      <c r="I212" s="52">
        <f t="shared" si="86"/>
        <v>8291.2700990043832</v>
      </c>
      <c r="J212" s="52">
        <f t="shared" si="77"/>
        <v>96681.287643658419</v>
      </c>
      <c r="K212" s="51">
        <f t="shared" si="79"/>
        <v>1718.6074167256675</v>
      </c>
      <c r="L212" s="49">
        <f t="shared" si="80"/>
        <v>2130.9839283509054</v>
      </c>
      <c r="M212" s="49">
        <f t="shared" si="81"/>
        <v>-3740.6851366813812</v>
      </c>
      <c r="N212" s="49">
        <f t="shared" si="73"/>
        <v>3740.6851366813812</v>
      </c>
      <c r="O212" s="48">
        <f t="shared" si="74"/>
        <v>108300.86636771895</v>
      </c>
      <c r="P212" s="38">
        <f t="shared" si="78"/>
        <v>108300.86636771895</v>
      </c>
      <c r="Q212" s="53"/>
      <c r="R212" s="53">
        <f t="shared" si="87"/>
        <v>0.05</v>
      </c>
      <c r="S212" s="53">
        <f t="shared" si="88"/>
        <v>4.2653187775606449E-3</v>
      </c>
      <c r="T212" s="53">
        <f t="shared" si="89"/>
        <v>0.05</v>
      </c>
      <c r="U212" s="53">
        <f t="shared" si="92"/>
        <v>4.2653187775606449E-3</v>
      </c>
      <c r="V212" s="53"/>
      <c r="W212" s="63">
        <f t="shared" si="90"/>
        <v>35.516398805848425</v>
      </c>
      <c r="X212" s="64">
        <f t="shared" si="91"/>
        <v>8.5306375551212903E-4</v>
      </c>
      <c r="Z212" s="63"/>
    </row>
    <row r="213" spans="1:26" x14ac:dyDescent="0.2">
      <c r="A213" s="62">
        <f t="shared" si="82"/>
        <v>3.524150484917285E-2</v>
      </c>
      <c r="B213" s="45">
        <f t="shared" si="83"/>
        <v>202</v>
      </c>
      <c r="C213" s="49">
        <f t="shared" si="75"/>
        <v>402816.99601656036</v>
      </c>
      <c r="D213" s="47" cm="1">
        <f t="array" ref="D213">_xlfn.IFS(AND($C$7="Y",B213&lt;C$4),C213,AND($C$7="Y",B213=C$4),D212+F213-J213-K213-L213+N213,AND($C$7="Y",B213&gt;$C$4),D212-J213-K213-L213+N213, TRUE, D212-J213-K213-L213+N213)</f>
        <v>304893.8789995836</v>
      </c>
      <c r="E213" s="48">
        <f t="shared" si="84"/>
        <v>0</v>
      </c>
      <c r="F213" s="50">
        <f t="shared" si="85"/>
        <v>0</v>
      </c>
      <c r="G213" s="50">
        <f t="shared" si="93"/>
        <v>0</v>
      </c>
      <c r="H213" s="51">
        <f t="shared" si="76"/>
        <v>104934.93525630762</v>
      </c>
      <c r="I213" s="52">
        <f t="shared" si="86"/>
        <v>6684.9808853255054</v>
      </c>
      <c r="J213" s="52">
        <f t="shared" si="77"/>
        <v>98249.954370982116</v>
      </c>
      <c r="K213" s="51">
        <f t="shared" si="79"/>
        <v>1299.0755217569797</v>
      </c>
      <c r="L213" s="49">
        <f t="shared" si="80"/>
        <v>1718.1428970300065</v>
      </c>
      <c r="M213" s="49">
        <f t="shared" si="81"/>
        <v>-3344.0557727922951</v>
      </c>
      <c r="N213" s="49">
        <f t="shared" si="73"/>
        <v>3344.0557727922951</v>
      </c>
      <c r="O213" s="48">
        <f t="shared" si="74"/>
        <v>107859.9236538269</v>
      </c>
      <c r="P213" s="38">
        <f t="shared" si="78"/>
        <v>107859.9236538269</v>
      </c>
      <c r="Q213" s="53"/>
      <c r="R213" s="53">
        <f t="shared" si="87"/>
        <v>0.05</v>
      </c>
      <c r="S213" s="53">
        <f t="shared" si="88"/>
        <v>4.2653187775606449E-3</v>
      </c>
      <c r="T213" s="53">
        <f t="shared" si="89"/>
        <v>0.05</v>
      </c>
      <c r="U213" s="53">
        <f t="shared" si="92"/>
        <v>4.2653187775606449E-3</v>
      </c>
      <c r="V213" s="53"/>
      <c r="W213" s="63">
        <f t="shared" si="90"/>
        <v>28.635714950500113</v>
      </c>
      <c r="X213" s="64">
        <f t="shared" si="91"/>
        <v>8.5306375551212914E-4</v>
      </c>
      <c r="Z213" s="63"/>
    </row>
    <row r="214" spans="1:26" x14ac:dyDescent="0.2">
      <c r="A214" s="62">
        <f t="shared" si="82"/>
        <v>2.3774367121462667E-2</v>
      </c>
      <c r="B214" s="45">
        <f t="shared" si="83"/>
        <v>203</v>
      </c>
      <c r="C214" s="49">
        <f t="shared" si="75"/>
        <v>304893.8789995836</v>
      </c>
      <c r="D214" s="47" cm="1">
        <f t="array" ref="D214">_xlfn.IFS(AND($C$7="Y",B214&lt;C$4),C214,AND($C$7="Y",B214=C$4),D213+F214-J214-K214-L214+N214,AND($C$7="Y",B214&gt;$C$4),D213-J214-K214-L214+N214, TRUE, D213-J214-K214-L214+N214)</f>
        <v>205685.28623978578</v>
      </c>
      <c r="E214" s="48">
        <f t="shared" si="84"/>
        <v>0</v>
      </c>
      <c r="F214" s="50">
        <f t="shared" si="85"/>
        <v>0</v>
      </c>
      <c r="G214" s="50">
        <f t="shared" si="93"/>
        <v>0</v>
      </c>
      <c r="H214" s="51">
        <f t="shared" si="76"/>
        <v>105037.66740916877</v>
      </c>
      <c r="I214" s="52">
        <f t="shared" si="86"/>
        <v>5059.8901568720567</v>
      </c>
      <c r="J214" s="52">
        <f t="shared" si="77"/>
        <v>99977.777252296713</v>
      </c>
      <c r="K214" s="51">
        <f t="shared" si="79"/>
        <v>874.03249660723043</v>
      </c>
      <c r="L214" s="49">
        <f t="shared" si="80"/>
        <v>1300.4695872602272</v>
      </c>
      <c r="M214" s="49">
        <f t="shared" si="81"/>
        <v>-2943.6865763663354</v>
      </c>
      <c r="N214" s="49">
        <f t="shared" si="73"/>
        <v>2943.6865763663354</v>
      </c>
      <c r="O214" s="48">
        <f t="shared" si="74"/>
        <v>107554.9168948821</v>
      </c>
      <c r="P214" s="38">
        <f t="shared" si="78"/>
        <v>107554.9168948821</v>
      </c>
      <c r="Q214" s="53"/>
      <c r="R214" s="53">
        <f t="shared" si="87"/>
        <v>0.05</v>
      </c>
      <c r="S214" s="53">
        <f t="shared" si="88"/>
        <v>4.2653187775606449E-3</v>
      </c>
      <c r="T214" s="53">
        <f t="shared" si="89"/>
        <v>0.05</v>
      </c>
      <c r="U214" s="53">
        <f t="shared" si="92"/>
        <v>4.2653187775606449E-3</v>
      </c>
      <c r="V214" s="53"/>
      <c r="W214" s="63">
        <f t="shared" si="90"/>
        <v>21.674493121003788</v>
      </c>
      <c r="X214" s="64">
        <f t="shared" si="91"/>
        <v>8.5306375551212903E-4</v>
      </c>
      <c r="Z214" s="63"/>
    </row>
    <row r="215" spans="1:26" x14ac:dyDescent="0.2">
      <c r="A215" s="62">
        <f t="shared" si="82"/>
        <v>1.2124734651890064E-2</v>
      </c>
      <c r="B215" s="45">
        <f t="shared" si="83"/>
        <v>204</v>
      </c>
      <c r="C215" s="49">
        <f t="shared" si="75"/>
        <v>205685.28623978578</v>
      </c>
      <c r="D215" s="47" cm="1">
        <f t="array" ref="D215">_xlfn.IFS(AND($C$7="Y",B215&lt;C$4),C215,AND($C$7="Y",B215=C$4),D214+F215-J215-K215-L215+N215,AND($C$7="Y",B215&gt;$C$4),D214-J215-K215-L215+N215, TRUE, D214-J215-K215-L215+N215)</f>
        <v>104897.82986500912</v>
      </c>
      <c r="E215" s="48">
        <f t="shared" si="84"/>
        <v>0</v>
      </c>
      <c r="F215" s="50">
        <f t="shared" si="85"/>
        <v>0</v>
      </c>
      <c r="G215" s="50">
        <f t="shared" si="93"/>
        <v>0</v>
      </c>
      <c r="H215" s="51">
        <f t="shared" si="76"/>
        <v>105420.79202455209</v>
      </c>
      <c r="I215" s="52">
        <f t="shared" si="86"/>
        <v>3413.4662154353214</v>
      </c>
      <c r="J215" s="52">
        <f t="shared" si="77"/>
        <v>102007.32580911677</v>
      </c>
      <c r="K215" s="51">
        <f t="shared" si="79"/>
        <v>442.21955144412209</v>
      </c>
      <c r="L215" s="49">
        <f t="shared" si="80"/>
        <v>877.31331366649442</v>
      </c>
      <c r="M215" s="49">
        <f t="shared" si="81"/>
        <v>-2539.4022994507313</v>
      </c>
      <c r="N215" s="49">
        <f t="shared" si="73"/>
        <v>2539.4022994507313</v>
      </c>
      <c r="O215" s="48">
        <f t="shared" si="74"/>
        <v>107525.10056178043</v>
      </c>
      <c r="P215" s="38">
        <f t="shared" si="78"/>
        <v>107525.10056178043</v>
      </c>
      <c r="Q215" s="53"/>
      <c r="R215" s="53">
        <f t="shared" si="87"/>
        <v>0.05</v>
      </c>
      <c r="S215" s="53">
        <f t="shared" si="88"/>
        <v>4.2653187775606449E-3</v>
      </c>
      <c r="T215" s="53">
        <f t="shared" si="89"/>
        <v>0.05</v>
      </c>
      <c r="U215" s="53">
        <f t="shared" si="92"/>
        <v>4.2653187775606449E-3</v>
      </c>
      <c r="V215" s="53"/>
      <c r="W215" s="63">
        <f t="shared" si="90"/>
        <v>14.621888561108241</v>
      </c>
      <c r="X215" s="64">
        <f t="shared" si="91"/>
        <v>8.5306375551212892E-4</v>
      </c>
      <c r="Z215" s="63"/>
    </row>
    <row r="216" spans="1:26" x14ac:dyDescent="0.2">
      <c r="A216" s="62">
        <f t="shared" si="82"/>
        <v>1.9373808161420733E-4</v>
      </c>
      <c r="B216" s="45">
        <f t="shared" si="83"/>
        <v>205</v>
      </c>
      <c r="C216" s="49">
        <f t="shared" si="75"/>
        <v>104897.82986500912</v>
      </c>
      <c r="D216" s="47" cm="1">
        <f t="array" ref="D216">_xlfn.IFS(AND($C$7="Y",B216&lt;C$4),C216,AND($C$7="Y",B216=C$4),D215+F216-J216-K216-L216+N216,AND($C$7="Y",B216&gt;$C$4),D215-J216-K216-L216+N216, TRUE, D215-J216-K216-L216+N216)</f>
        <v>1676.1360068504564</v>
      </c>
      <c r="E216" s="48">
        <f t="shared" si="84"/>
        <v>0</v>
      </c>
      <c r="F216" s="50">
        <f t="shared" si="85"/>
        <v>0</v>
      </c>
      <c r="G216" s="50">
        <f t="shared" si="93"/>
        <v>0</v>
      </c>
      <c r="H216" s="51">
        <f t="shared" si="76"/>
        <v>106646.12702942654</v>
      </c>
      <c r="I216" s="52">
        <f t="shared" si="86"/>
        <v>1740.8401196926754</v>
      </c>
      <c r="J216" s="52">
        <f t="shared" si="77"/>
        <v>104905.28690973387</v>
      </c>
      <c r="K216" s="51">
        <f t="shared" si="79"/>
        <v>-3.1806672889600054E-2</v>
      </c>
      <c r="L216" s="49">
        <f t="shared" si="80"/>
        <v>447.42268344858519</v>
      </c>
      <c r="M216" s="49">
        <f t="shared" si="81"/>
        <v>-2130.9839283509054</v>
      </c>
      <c r="N216" s="49">
        <f t="shared" si="73"/>
        <v>2130.9839283509054</v>
      </c>
      <c r="O216" s="48">
        <f>K216+I216+J216-L216+N216+G216</f>
        <v>108329.65646765598</v>
      </c>
      <c r="P216" s="38">
        <f t="shared" si="78"/>
        <v>108329.65646765598</v>
      </c>
      <c r="Q216" s="53"/>
      <c r="R216" s="53">
        <f t="shared" si="87"/>
        <v>0.05</v>
      </c>
      <c r="S216" s="53">
        <f t="shared" si="88"/>
        <v>4.2653187775606449E-3</v>
      </c>
      <c r="T216" s="53">
        <f t="shared" si="89"/>
        <v>0.05</v>
      </c>
      <c r="U216" s="53">
        <f t="shared" si="92"/>
        <v>4.2653187775606449E-3</v>
      </c>
      <c r="V216" s="53"/>
      <c r="W216" s="63">
        <f t="shared" si="90"/>
        <v>7.4570447241430875</v>
      </c>
      <c r="X216" s="64">
        <f t="shared" si="91"/>
        <v>8.5306375551212903E-4</v>
      </c>
      <c r="Z216" s="63"/>
    </row>
    <row r="217" spans="1:26" x14ac:dyDescent="0.2">
      <c r="A217" s="62">
        <f t="shared" si="82"/>
        <v>0</v>
      </c>
      <c r="B217" s="45">
        <f t="shared" si="83"/>
        <v>206</v>
      </c>
      <c r="C217" s="49"/>
      <c r="D217" s="46"/>
      <c r="E217" s="61"/>
      <c r="F217" s="50"/>
      <c r="G217" s="50"/>
      <c r="H217" s="51"/>
      <c r="I217" s="51"/>
      <c r="J217" s="51"/>
      <c r="K217" s="51">
        <f t="shared" si="79"/>
        <v>0</v>
      </c>
      <c r="L217" s="49">
        <f t="shared" si="80"/>
        <v>0</v>
      </c>
      <c r="M217" s="49">
        <f t="shared" si="81"/>
        <v>-1718.1428970300065</v>
      </c>
      <c r="N217" s="49">
        <f t="shared" si="73"/>
        <v>1718.1428970300065</v>
      </c>
      <c r="O217" s="48">
        <f>K217+I217+J217-L217+N217+G217</f>
        <v>1718.1428970300065</v>
      </c>
      <c r="P217" s="38">
        <f t="shared" si="78"/>
        <v>1718.1428970300065</v>
      </c>
      <c r="Q217" s="53"/>
      <c r="R217" s="53"/>
      <c r="S217" s="53"/>
    </row>
    <row r="218" spans="1:26" x14ac:dyDescent="0.2">
      <c r="A218" s="62">
        <f t="shared" si="82"/>
        <v>0</v>
      </c>
      <c r="B218" s="45">
        <f t="shared" si="83"/>
        <v>207</v>
      </c>
      <c r="C218" s="49"/>
      <c r="D218" s="46"/>
      <c r="E218" s="61"/>
      <c r="F218" s="50"/>
      <c r="G218" s="56"/>
      <c r="H218" s="51"/>
      <c r="I218" s="51">
        <f t="shared" ref="I218:I232" si="94">IF($B217&lt;=25,0,C$2*D217/12)</f>
        <v>0</v>
      </c>
      <c r="J218" s="51">
        <f t="shared" ref="J218:J232" si="95">H218-I218</f>
        <v>0</v>
      </c>
      <c r="K218" s="51" t="e">
        <f>IF(AND(C$7="Y",$B218&lt;=$C$4),0,IF(AND(C$7="N",C$4&gt;0,B218&lt;=C$4),0,S218*(C218-J218)))</f>
        <v>#REF!</v>
      </c>
      <c r="L218" s="49">
        <f t="shared" si="80"/>
        <v>0</v>
      </c>
      <c r="M218" s="49">
        <f t="shared" si="81"/>
        <v>-1300.4695872602272</v>
      </c>
      <c r="N218" s="49">
        <f t="shared" si="73"/>
        <v>1300.4695872602272</v>
      </c>
      <c r="O218" s="48" t="e">
        <f t="shared" ref="O218:O232" si="96">K218+I218+J218-L218+N218+G218</f>
        <v>#REF!</v>
      </c>
      <c r="P218" s="38" t="e">
        <f>O218*(1/((1+P$9)^(B218/12)))</f>
        <v>#REF!</v>
      </c>
      <c r="Q218" s="53"/>
      <c r="R218" s="53" t="e">
        <f>INDEX(#REF!,MATCH(#REF!,#REF!,0),MATCH(ActiveCDR,#REF!,0))%</f>
        <v>#REF!</v>
      </c>
      <c r="S218" s="53" t="e">
        <f>1-(1-R218)^(1/12)</f>
        <v>#REF!</v>
      </c>
    </row>
    <row r="219" spans="1:26" x14ac:dyDescent="0.2">
      <c r="A219" s="62">
        <f t="shared" si="82"/>
        <v>0</v>
      </c>
      <c r="B219" s="45">
        <f t="shared" si="83"/>
        <v>208</v>
      </c>
      <c r="C219" s="49"/>
      <c r="D219" s="46"/>
      <c r="E219" s="61"/>
      <c r="F219" s="50"/>
      <c r="G219" s="56"/>
      <c r="H219" s="51"/>
      <c r="I219" s="51">
        <f t="shared" si="94"/>
        <v>0</v>
      </c>
      <c r="J219" s="51">
        <f t="shared" si="95"/>
        <v>0</v>
      </c>
      <c r="K219" s="51" t="e">
        <f t="shared" si="79"/>
        <v>#REF!</v>
      </c>
      <c r="L219" s="49">
        <f t="shared" si="80"/>
        <v>0</v>
      </c>
      <c r="M219" s="49">
        <f t="shared" si="81"/>
        <v>-877.31331366649442</v>
      </c>
      <c r="N219" s="49">
        <f t="shared" si="73"/>
        <v>877.31331366649442</v>
      </c>
      <c r="O219" s="48" t="e">
        <f t="shared" si="96"/>
        <v>#REF!</v>
      </c>
      <c r="P219" s="38" t="e">
        <f t="shared" si="78"/>
        <v>#REF!</v>
      </c>
      <c r="Q219" s="53"/>
      <c r="R219" s="53" t="e">
        <f>INDEX(#REF!,MATCH(#REF!,#REF!,0),MATCH(ActiveCDR,#REF!,0))%</f>
        <v>#REF!</v>
      </c>
      <c r="S219" s="53" t="e">
        <f t="shared" ref="S219:S221" si="97">1-(1-R219)^(1/12)</f>
        <v>#REF!</v>
      </c>
    </row>
    <row r="220" spans="1:26" x14ac:dyDescent="0.2">
      <c r="A220" s="62">
        <f t="shared" si="82"/>
        <v>0</v>
      </c>
      <c r="B220" s="45">
        <f t="shared" si="83"/>
        <v>209</v>
      </c>
      <c r="C220" s="49"/>
      <c r="D220" s="46"/>
      <c r="E220" s="61"/>
      <c r="F220" s="50"/>
      <c r="G220" s="56"/>
      <c r="H220" s="51"/>
      <c r="I220" s="51">
        <f t="shared" si="94"/>
        <v>0</v>
      </c>
      <c r="J220" s="51">
        <f t="shared" si="95"/>
        <v>0</v>
      </c>
      <c r="K220" s="51" t="e">
        <f t="shared" si="79"/>
        <v>#REF!</v>
      </c>
      <c r="L220" s="49">
        <f t="shared" si="80"/>
        <v>0</v>
      </c>
      <c r="M220" s="49">
        <f t="shared" si="81"/>
        <v>-447.42268344858519</v>
      </c>
      <c r="N220" s="49">
        <f t="shared" si="73"/>
        <v>447.42268344858519</v>
      </c>
      <c r="O220" s="48" t="e">
        <f t="shared" si="96"/>
        <v>#REF!</v>
      </c>
      <c r="P220" s="38" t="e">
        <f t="shared" si="78"/>
        <v>#REF!</v>
      </c>
      <c r="Q220" s="53"/>
      <c r="R220" s="53" t="e">
        <f>INDEX(#REF!,MATCH(#REF!,#REF!,0),MATCH(ActiveCDR,#REF!,0))%</f>
        <v>#REF!</v>
      </c>
      <c r="S220" s="53" t="e">
        <f t="shared" si="97"/>
        <v>#REF!</v>
      </c>
    </row>
    <row r="221" spans="1:26" x14ac:dyDescent="0.2">
      <c r="A221" s="62">
        <f t="shared" si="82"/>
        <v>0</v>
      </c>
      <c r="B221" s="45"/>
      <c r="C221" s="49"/>
      <c r="D221" s="46"/>
      <c r="E221" s="61"/>
      <c r="F221" s="50"/>
      <c r="G221" s="56"/>
      <c r="H221" s="51"/>
      <c r="I221" s="51">
        <f t="shared" si="94"/>
        <v>0</v>
      </c>
      <c r="J221" s="51">
        <f t="shared" si="95"/>
        <v>0</v>
      </c>
      <c r="K221" s="51">
        <f t="shared" si="79"/>
        <v>0</v>
      </c>
      <c r="L221" s="49">
        <f t="shared" si="80"/>
        <v>0</v>
      </c>
      <c r="M221" s="49">
        <f t="shared" si="81"/>
        <v>0</v>
      </c>
      <c r="N221" s="49">
        <f t="shared" si="73"/>
        <v>0</v>
      </c>
      <c r="O221" s="48">
        <f t="shared" si="96"/>
        <v>0</v>
      </c>
      <c r="P221" s="38">
        <f t="shared" si="78"/>
        <v>0</v>
      </c>
      <c r="Q221" s="53"/>
      <c r="R221" s="53" t="e">
        <f>INDEX(#REF!,MATCH(#REF!,#REF!,0),MATCH(ActiveCDR,#REF!,0))%</f>
        <v>#REF!</v>
      </c>
      <c r="S221" s="53" t="e">
        <f t="shared" si="97"/>
        <v>#REF!</v>
      </c>
    </row>
    <row r="222" spans="1:26" x14ac:dyDescent="0.2">
      <c r="A222" s="62">
        <f t="shared" si="82"/>
        <v>0</v>
      </c>
      <c r="B222" s="45"/>
      <c r="C222" s="49"/>
      <c r="D222" s="46"/>
      <c r="E222" s="61"/>
      <c r="F222" s="50"/>
      <c r="G222" s="56"/>
      <c r="H222" s="51"/>
      <c r="I222" s="51">
        <f t="shared" si="94"/>
        <v>0</v>
      </c>
      <c r="J222" s="51">
        <f t="shared" si="95"/>
        <v>0</v>
      </c>
      <c r="K222" s="51">
        <f t="shared" si="79"/>
        <v>0</v>
      </c>
      <c r="L222" s="49">
        <f t="shared" si="80"/>
        <v>0</v>
      </c>
      <c r="M222" s="49">
        <f t="shared" si="81"/>
        <v>0</v>
      </c>
      <c r="N222" s="49">
        <f t="shared" si="73"/>
        <v>0</v>
      </c>
      <c r="O222" s="48">
        <f t="shared" si="96"/>
        <v>0</v>
      </c>
      <c r="P222" s="38">
        <f t="shared" si="78"/>
        <v>0</v>
      </c>
      <c r="Q222" s="53"/>
      <c r="R222" s="53"/>
      <c r="S222" s="53"/>
    </row>
    <row r="223" spans="1:26" x14ac:dyDescent="0.2">
      <c r="A223" s="62">
        <f t="shared" si="82"/>
        <v>0</v>
      </c>
      <c r="B223" s="45"/>
      <c r="C223" s="49"/>
      <c r="D223" s="46"/>
      <c r="E223" s="61"/>
      <c r="F223" s="50"/>
      <c r="G223" s="56"/>
      <c r="H223" s="51"/>
      <c r="I223" s="51">
        <f t="shared" si="94"/>
        <v>0</v>
      </c>
      <c r="J223" s="51">
        <f t="shared" si="95"/>
        <v>0</v>
      </c>
      <c r="K223" s="51">
        <f t="shared" si="79"/>
        <v>0</v>
      </c>
      <c r="L223" s="49">
        <f t="shared" si="80"/>
        <v>0</v>
      </c>
      <c r="M223" s="49">
        <f t="shared" si="81"/>
        <v>0</v>
      </c>
      <c r="N223" s="49">
        <f t="shared" si="73"/>
        <v>0</v>
      </c>
      <c r="O223" s="48">
        <f t="shared" si="96"/>
        <v>0</v>
      </c>
      <c r="P223" s="38">
        <f t="shared" si="78"/>
        <v>0</v>
      </c>
      <c r="Q223" s="53"/>
      <c r="R223" s="53"/>
      <c r="S223" s="53"/>
    </row>
    <row r="224" spans="1:26" x14ac:dyDescent="0.2">
      <c r="A224" s="62">
        <f t="shared" si="82"/>
        <v>0</v>
      </c>
      <c r="B224" s="45"/>
      <c r="C224" s="49"/>
      <c r="D224" s="46"/>
      <c r="E224" s="61"/>
      <c r="F224" s="50"/>
      <c r="G224" s="56"/>
      <c r="H224" s="51"/>
      <c r="I224" s="51">
        <f t="shared" si="94"/>
        <v>0</v>
      </c>
      <c r="J224" s="51">
        <f t="shared" si="95"/>
        <v>0</v>
      </c>
      <c r="K224" s="51">
        <f t="shared" si="79"/>
        <v>0</v>
      </c>
      <c r="L224" s="49">
        <f t="shared" si="80"/>
        <v>0</v>
      </c>
      <c r="M224" s="49">
        <f t="shared" si="81"/>
        <v>0</v>
      </c>
      <c r="N224" s="49">
        <f t="shared" ref="N224:N232" si="98">IFERROR((1-$N$9)*L220,0)</f>
        <v>0</v>
      </c>
      <c r="O224" s="48">
        <f t="shared" si="96"/>
        <v>0</v>
      </c>
      <c r="P224" s="38">
        <f t="shared" si="78"/>
        <v>0</v>
      </c>
      <c r="Q224" s="53"/>
      <c r="R224" s="53"/>
      <c r="S224" s="53"/>
    </row>
    <row r="225" spans="1:19" x14ac:dyDescent="0.2">
      <c r="A225" s="62">
        <f t="shared" si="82"/>
        <v>0</v>
      </c>
      <c r="B225" s="45"/>
      <c r="C225" s="49"/>
      <c r="D225" s="46"/>
      <c r="E225" s="61"/>
      <c r="F225" s="50"/>
      <c r="G225" s="56"/>
      <c r="H225" s="51"/>
      <c r="I225" s="51">
        <f t="shared" si="94"/>
        <v>0</v>
      </c>
      <c r="J225" s="51">
        <f t="shared" si="95"/>
        <v>0</v>
      </c>
      <c r="K225" s="51">
        <f t="shared" si="79"/>
        <v>0</v>
      </c>
      <c r="L225" s="49">
        <f t="shared" si="80"/>
        <v>0</v>
      </c>
      <c r="M225" s="49">
        <f t="shared" si="81"/>
        <v>0</v>
      </c>
      <c r="N225" s="49">
        <f t="shared" si="98"/>
        <v>0</v>
      </c>
      <c r="O225" s="48">
        <f t="shared" si="96"/>
        <v>0</v>
      </c>
      <c r="P225" s="38">
        <f t="shared" si="78"/>
        <v>0</v>
      </c>
      <c r="Q225" s="53"/>
      <c r="R225" s="53"/>
      <c r="S225" s="53"/>
    </row>
    <row r="226" spans="1:19" x14ac:dyDescent="0.2">
      <c r="A226" s="62">
        <f t="shared" si="82"/>
        <v>0</v>
      </c>
      <c r="B226" s="45"/>
      <c r="C226" s="49"/>
      <c r="D226" s="46"/>
      <c r="E226" s="61"/>
      <c r="F226" s="50"/>
      <c r="G226" s="56"/>
      <c r="H226" s="51"/>
      <c r="I226" s="51">
        <f t="shared" si="94"/>
        <v>0</v>
      </c>
      <c r="J226" s="51">
        <f t="shared" si="95"/>
        <v>0</v>
      </c>
      <c r="K226" s="51">
        <f t="shared" si="79"/>
        <v>0</v>
      </c>
      <c r="L226" s="49">
        <f t="shared" si="80"/>
        <v>0</v>
      </c>
      <c r="M226" s="49">
        <f t="shared" si="81"/>
        <v>0</v>
      </c>
      <c r="N226" s="49">
        <f t="shared" si="98"/>
        <v>0</v>
      </c>
      <c r="O226" s="48">
        <f t="shared" si="96"/>
        <v>0</v>
      </c>
      <c r="P226" s="38">
        <f t="shared" si="78"/>
        <v>0</v>
      </c>
      <c r="Q226" s="53"/>
      <c r="R226" s="53"/>
      <c r="S226" s="53"/>
    </row>
    <row r="227" spans="1:19" x14ac:dyDescent="0.2">
      <c r="A227" s="62">
        <f t="shared" si="82"/>
        <v>0</v>
      </c>
      <c r="B227" s="45"/>
      <c r="C227" s="49"/>
      <c r="D227" s="46"/>
      <c r="E227" s="61"/>
      <c r="F227" s="50"/>
      <c r="G227" s="56"/>
      <c r="H227" s="51"/>
      <c r="I227" s="51">
        <f t="shared" si="94"/>
        <v>0</v>
      </c>
      <c r="J227" s="51">
        <f t="shared" si="95"/>
        <v>0</v>
      </c>
      <c r="K227" s="51">
        <f t="shared" si="79"/>
        <v>0</v>
      </c>
      <c r="L227" s="49">
        <f t="shared" si="80"/>
        <v>0</v>
      </c>
      <c r="M227" s="49">
        <f t="shared" si="81"/>
        <v>0</v>
      </c>
      <c r="N227" s="49">
        <f t="shared" si="98"/>
        <v>0</v>
      </c>
      <c r="O227" s="48">
        <f t="shared" si="96"/>
        <v>0</v>
      </c>
      <c r="P227" s="38">
        <f t="shared" si="78"/>
        <v>0</v>
      </c>
      <c r="Q227" s="53"/>
      <c r="R227" s="53"/>
      <c r="S227" s="53"/>
    </row>
    <row r="228" spans="1:19" x14ac:dyDescent="0.2">
      <c r="A228" s="62">
        <f t="shared" si="82"/>
        <v>0</v>
      </c>
      <c r="B228" s="45"/>
      <c r="C228" s="49"/>
      <c r="D228" s="46"/>
      <c r="E228" s="61"/>
      <c r="F228" s="50"/>
      <c r="G228" s="56"/>
      <c r="H228" s="51"/>
      <c r="I228" s="51">
        <f t="shared" si="94"/>
        <v>0</v>
      </c>
      <c r="J228" s="51">
        <f t="shared" si="95"/>
        <v>0</v>
      </c>
      <c r="K228" s="51">
        <f t="shared" si="79"/>
        <v>0</v>
      </c>
      <c r="L228" s="49">
        <f t="shared" si="80"/>
        <v>0</v>
      </c>
      <c r="M228" s="49">
        <f t="shared" si="81"/>
        <v>0</v>
      </c>
      <c r="N228" s="49">
        <f t="shared" si="98"/>
        <v>0</v>
      </c>
      <c r="O228" s="48">
        <f t="shared" si="96"/>
        <v>0</v>
      </c>
      <c r="P228" s="38">
        <f t="shared" si="78"/>
        <v>0</v>
      </c>
      <c r="Q228" s="53"/>
      <c r="R228" s="53"/>
      <c r="S228" s="53"/>
    </row>
    <row r="229" spans="1:19" x14ac:dyDescent="0.2">
      <c r="A229" s="62">
        <f t="shared" si="82"/>
        <v>0</v>
      </c>
      <c r="B229" s="45"/>
      <c r="C229" s="49"/>
      <c r="D229" s="46"/>
      <c r="E229" s="61"/>
      <c r="F229" s="50"/>
      <c r="G229" s="56"/>
      <c r="H229" s="51"/>
      <c r="I229" s="51">
        <f t="shared" si="94"/>
        <v>0</v>
      </c>
      <c r="J229" s="51">
        <f t="shared" si="95"/>
        <v>0</v>
      </c>
      <c r="K229" s="51">
        <f t="shared" si="79"/>
        <v>0</v>
      </c>
      <c r="L229" s="49">
        <f t="shared" si="80"/>
        <v>0</v>
      </c>
      <c r="M229" s="49">
        <f t="shared" si="81"/>
        <v>0</v>
      </c>
      <c r="N229" s="49">
        <f t="shared" si="98"/>
        <v>0</v>
      </c>
      <c r="O229" s="48">
        <f t="shared" si="96"/>
        <v>0</v>
      </c>
      <c r="P229" s="38">
        <f t="shared" si="78"/>
        <v>0</v>
      </c>
      <c r="Q229" s="53"/>
      <c r="R229" s="53"/>
      <c r="S229" s="53"/>
    </row>
    <row r="230" spans="1:19" x14ac:dyDescent="0.2">
      <c r="A230" s="62">
        <f t="shared" si="82"/>
        <v>0</v>
      </c>
      <c r="B230" s="45"/>
      <c r="C230" s="49"/>
      <c r="D230" s="46"/>
      <c r="E230" s="61"/>
      <c r="F230" s="50"/>
      <c r="G230" s="56"/>
      <c r="H230" s="51"/>
      <c r="I230" s="51">
        <f t="shared" si="94"/>
        <v>0</v>
      </c>
      <c r="J230" s="51">
        <f t="shared" si="95"/>
        <v>0</v>
      </c>
      <c r="K230" s="51">
        <f t="shared" si="79"/>
        <v>0</v>
      </c>
      <c r="L230" s="49">
        <f t="shared" si="80"/>
        <v>0</v>
      </c>
      <c r="M230" s="49">
        <f t="shared" si="81"/>
        <v>0</v>
      </c>
      <c r="N230" s="49">
        <f t="shared" si="98"/>
        <v>0</v>
      </c>
      <c r="O230" s="48">
        <f t="shared" si="96"/>
        <v>0</v>
      </c>
      <c r="P230" s="38">
        <f t="shared" ref="P230:P232" si="99">O230*(1/((1+P$9)^(B230/12)))</f>
        <v>0</v>
      </c>
      <c r="Q230" s="53"/>
      <c r="R230" s="53"/>
      <c r="S230" s="53"/>
    </row>
    <row r="231" spans="1:19" x14ac:dyDescent="0.2">
      <c r="A231" s="62">
        <f t="shared" si="82"/>
        <v>0</v>
      </c>
      <c r="B231" s="45"/>
      <c r="C231" s="49"/>
      <c r="D231" s="46"/>
      <c r="E231" s="61"/>
      <c r="F231" s="50"/>
      <c r="G231" s="56"/>
      <c r="H231" s="51"/>
      <c r="I231" s="51">
        <f t="shared" si="94"/>
        <v>0</v>
      </c>
      <c r="J231" s="51">
        <f t="shared" si="95"/>
        <v>0</v>
      </c>
      <c r="K231" s="51">
        <f t="shared" ref="K231:K232" si="100">IF(AND(C$7="Y",$B231&lt;=$C$4),0,IF(AND(C$7="N",C$4&gt;0,B231&lt;=C$4),0,S231*(C231-J231)))</f>
        <v>0</v>
      </c>
      <c r="L231" s="49">
        <f t="shared" si="80"/>
        <v>0</v>
      </c>
      <c r="M231" s="49">
        <f t="shared" si="81"/>
        <v>0</v>
      </c>
      <c r="N231" s="49">
        <f t="shared" si="98"/>
        <v>0</v>
      </c>
      <c r="O231" s="48">
        <f t="shared" si="96"/>
        <v>0</v>
      </c>
      <c r="P231" s="38">
        <f t="shared" si="99"/>
        <v>0</v>
      </c>
      <c r="Q231" s="53"/>
      <c r="R231" s="53"/>
      <c r="S231" s="53"/>
    </row>
    <row r="232" spans="1:19" x14ac:dyDescent="0.2">
      <c r="A232" s="62">
        <f t="shared" si="82"/>
        <v>0</v>
      </c>
      <c r="B232" s="45"/>
      <c r="C232" s="49"/>
      <c r="D232" s="46"/>
      <c r="E232" s="61"/>
      <c r="F232" s="50"/>
      <c r="G232" s="56"/>
      <c r="H232" s="51"/>
      <c r="I232" s="51">
        <f t="shared" si="94"/>
        <v>0</v>
      </c>
      <c r="J232" s="51">
        <f t="shared" si="95"/>
        <v>0</v>
      </c>
      <c r="K232" s="51">
        <f t="shared" si="100"/>
        <v>0</v>
      </c>
      <c r="L232" s="49">
        <f t="shared" si="80"/>
        <v>0</v>
      </c>
      <c r="M232" s="49">
        <f t="shared" si="81"/>
        <v>0</v>
      </c>
      <c r="N232" s="49">
        <f t="shared" si="98"/>
        <v>0</v>
      </c>
      <c r="O232" s="48">
        <f t="shared" si="96"/>
        <v>0</v>
      </c>
      <c r="P232" s="38">
        <f t="shared" si="99"/>
        <v>0</v>
      </c>
      <c r="Q232" s="53"/>
      <c r="R232" s="53"/>
      <c r="S232" s="53"/>
    </row>
  </sheetData>
  <pageMargins left="0.7" right="0.7" top="0.75" bottom="0.75" header="0.3" footer="0.3"/>
  <pageSetup orientation="portrait" horizontalDpi="300" verticalDpi="3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7561FF-ACFF-4656-9772-47932056A345}">
  <sheetPr codeName="Sheet2"/>
  <dimension ref="C1:U152"/>
  <sheetViews>
    <sheetView showGridLines="0" topLeftCell="A25" workbookViewId="0">
      <selection activeCell="M30" sqref="M30"/>
    </sheetView>
  </sheetViews>
  <sheetFormatPr defaultRowHeight="15" x14ac:dyDescent="0.25"/>
  <cols>
    <col min="4" max="4" width="16.28515625" customWidth="1"/>
    <col min="7" max="8" width="14.28515625" bestFit="1" customWidth="1"/>
    <col min="9" max="9" width="12.28515625" bestFit="1" customWidth="1"/>
    <col min="13" max="13" width="15.28515625" bestFit="1" customWidth="1"/>
    <col min="16" max="16" width="15.140625" customWidth="1"/>
    <col min="17" max="17" width="9.5703125" bestFit="1" customWidth="1"/>
  </cols>
  <sheetData>
    <row r="1" spans="6:21" x14ac:dyDescent="0.25">
      <c r="M1" s="67">
        <v>100000000</v>
      </c>
    </row>
    <row r="2" spans="6:21" x14ac:dyDescent="0.25">
      <c r="G2" s="67">
        <v>83058599.829999998</v>
      </c>
      <c r="H2" s="67">
        <v>83414388.790000007</v>
      </c>
      <c r="I2" s="68">
        <f>G2-H2</f>
        <v>-355788.96000000834</v>
      </c>
      <c r="J2" s="69"/>
      <c r="M2" s="70">
        <f>20%-19.9146%</f>
        <v>8.5400000000002141E-4</v>
      </c>
      <c r="U2">
        <f>80/12</f>
        <v>6.666666666666667</v>
      </c>
    </row>
    <row r="3" spans="6:21" x14ac:dyDescent="0.25">
      <c r="M3">
        <f>M2*100000000/2</f>
        <v>42700.00000000107</v>
      </c>
      <c r="P3" s="66">
        <v>100000000</v>
      </c>
      <c r="Q3" s="67">
        <f>P3*M$2/12</f>
        <v>7116.6666666668452</v>
      </c>
    </row>
    <row r="4" spans="6:21" x14ac:dyDescent="0.25">
      <c r="M4" s="67">
        <f>2.62*M3</f>
        <v>111874.00000000281</v>
      </c>
      <c r="P4" s="66">
        <v>98360944.469999999</v>
      </c>
      <c r="Q4" s="67">
        <f t="shared" ref="Q4:Q67" si="0">P4*M$2/12</f>
        <v>7000.0205481151752</v>
      </c>
    </row>
    <row r="5" spans="6:21" x14ac:dyDescent="0.25">
      <c r="I5" s="68">
        <f>I2/2.62</f>
        <v>-135797.31297710241</v>
      </c>
      <c r="P5" s="66">
        <v>96746009.730000004</v>
      </c>
      <c r="Q5" s="67">
        <f t="shared" si="0"/>
        <v>6885.0910257851729</v>
      </c>
    </row>
    <row r="6" spans="6:21" x14ac:dyDescent="0.25">
      <c r="P6" s="66">
        <v>95154836.939999998</v>
      </c>
      <c r="Q6" s="67">
        <f t="shared" si="0"/>
        <v>6771.8525622301704</v>
      </c>
    </row>
    <row r="7" spans="6:21" x14ac:dyDescent="0.25">
      <c r="I7" s="69">
        <f>2*I5/M1</f>
        <v>-2.7159462595420483E-3</v>
      </c>
      <c r="P7" s="66">
        <v>93587072.590000004</v>
      </c>
      <c r="Q7" s="67">
        <f>P7*M$2/12</f>
        <v>6660.2799993218332</v>
      </c>
    </row>
    <row r="8" spans="6:21" x14ac:dyDescent="0.25">
      <c r="P8" s="66">
        <v>92042368.420000002</v>
      </c>
      <c r="Q8" s="67">
        <f t="shared" si="0"/>
        <v>6550.3485525568312</v>
      </c>
    </row>
    <row r="9" spans="6:21" x14ac:dyDescent="0.25">
      <c r="P9" s="66">
        <v>90520381.349999994</v>
      </c>
      <c r="Q9" s="67">
        <f t="shared" si="0"/>
        <v>6442.033806075161</v>
      </c>
    </row>
    <row r="10" spans="6:21" x14ac:dyDescent="0.25">
      <c r="P10" s="66">
        <v>89020773.390000001</v>
      </c>
      <c r="Q10" s="67">
        <f t="shared" si="0"/>
        <v>6335.3117062551582</v>
      </c>
    </row>
    <row r="11" spans="6:21" x14ac:dyDescent="0.25">
      <c r="P11" s="66">
        <v>87543211.590000004</v>
      </c>
      <c r="Q11" s="67">
        <f t="shared" si="0"/>
        <v>6230.1585581551562</v>
      </c>
    </row>
    <row r="12" spans="6:21" x14ac:dyDescent="0.25">
      <c r="P12" s="66">
        <v>86087367.920000002</v>
      </c>
      <c r="Q12" s="67">
        <f t="shared" si="0"/>
        <v>6126.5510169734871</v>
      </c>
    </row>
    <row r="13" spans="6:21" x14ac:dyDescent="0.25">
      <c r="F13" t="s">
        <v>39</v>
      </c>
      <c r="P13" s="66">
        <v>84652919.25</v>
      </c>
      <c r="Q13" s="67">
        <f t="shared" si="0"/>
        <v>6024.4660866251506</v>
      </c>
    </row>
    <row r="14" spans="6:21" x14ac:dyDescent="0.25">
      <c r="F14" t="s">
        <v>40</v>
      </c>
      <c r="P14" s="66">
        <v>83239547.239999995</v>
      </c>
      <c r="Q14" s="67">
        <f t="shared" si="0"/>
        <v>5923.8811119134816</v>
      </c>
    </row>
    <row r="15" spans="6:21" x14ac:dyDescent="0.25">
      <c r="F15" t="s">
        <v>41</v>
      </c>
      <c r="P15" s="66">
        <v>81846938.269999996</v>
      </c>
      <c r="Q15" s="67">
        <f t="shared" si="0"/>
        <v>5824.7737735484798</v>
      </c>
    </row>
    <row r="16" spans="6:21" x14ac:dyDescent="0.25">
      <c r="F16" t="s">
        <v>42</v>
      </c>
      <c r="P16" s="66">
        <v>80474783.409999996</v>
      </c>
      <c r="Q16" s="67">
        <f t="shared" si="0"/>
        <v>5727.1220860118092</v>
      </c>
    </row>
    <row r="17" spans="3:17" x14ac:dyDescent="0.25">
      <c r="F17" t="s">
        <v>43</v>
      </c>
      <c r="G17" t="s">
        <v>44</v>
      </c>
      <c r="P17" s="66">
        <v>79122778.299999997</v>
      </c>
      <c r="Q17" s="67">
        <f t="shared" si="0"/>
        <v>5630.9043890168077</v>
      </c>
    </row>
    <row r="18" spans="3:17" x14ac:dyDescent="0.25">
      <c r="P18" s="66">
        <v>77790623.090000004</v>
      </c>
      <c r="Q18" s="67">
        <f t="shared" si="0"/>
        <v>5536.0993432384721</v>
      </c>
    </row>
    <row r="19" spans="3:17" x14ac:dyDescent="0.25">
      <c r="F19">
        <v>12.1</v>
      </c>
      <c r="H19" t="s">
        <v>45</v>
      </c>
      <c r="P19" s="66">
        <v>76478022.420000002</v>
      </c>
      <c r="Q19" s="67">
        <f t="shared" si="0"/>
        <v>5442.6859288901369</v>
      </c>
    </row>
    <row r="20" spans="3:17" x14ac:dyDescent="0.25">
      <c r="P20" s="66">
        <v>75184685.280000001</v>
      </c>
      <c r="Q20" s="67">
        <f t="shared" si="0"/>
        <v>5350.6434357601347</v>
      </c>
    </row>
    <row r="21" spans="3:17" x14ac:dyDescent="0.25">
      <c r="P21" s="66">
        <v>73910325.030000001</v>
      </c>
      <c r="Q21" s="67">
        <f t="shared" si="0"/>
        <v>5259.9514646351317</v>
      </c>
    </row>
    <row r="22" spans="3:17" x14ac:dyDescent="0.25">
      <c r="P22" s="66">
        <v>72654659.239999995</v>
      </c>
      <c r="Q22" s="67">
        <f t="shared" si="0"/>
        <v>5170.5899159134624</v>
      </c>
    </row>
    <row r="23" spans="3:17" x14ac:dyDescent="0.25">
      <c r="P23" s="66">
        <v>71417409.709999993</v>
      </c>
      <c r="Q23" s="67">
        <f t="shared" si="0"/>
        <v>5082.5389910284603</v>
      </c>
    </row>
    <row r="24" spans="3:17" x14ac:dyDescent="0.25">
      <c r="P24" s="66">
        <v>70198302.370000005</v>
      </c>
      <c r="Q24" s="67">
        <f t="shared" si="0"/>
        <v>4995.7791853317922</v>
      </c>
    </row>
    <row r="25" spans="3:17" x14ac:dyDescent="0.25">
      <c r="P25" s="66">
        <v>68997067.200000003</v>
      </c>
      <c r="Q25" s="67">
        <f t="shared" si="0"/>
        <v>4910.2912824001232</v>
      </c>
    </row>
    <row r="26" spans="3:17" x14ac:dyDescent="0.25">
      <c r="P26" s="66">
        <v>67813438.230000004</v>
      </c>
      <c r="Q26" s="67">
        <f t="shared" si="0"/>
        <v>4826.0563540351213</v>
      </c>
    </row>
    <row r="27" spans="3:17" x14ac:dyDescent="0.25">
      <c r="C27">
        <v>474</v>
      </c>
      <c r="E27">
        <v>474.39800000000002</v>
      </c>
      <c r="F27">
        <v>4.7720000000000002</v>
      </c>
      <c r="G27">
        <v>4.83</v>
      </c>
      <c r="P27" s="66">
        <v>66647153.409999996</v>
      </c>
      <c r="Q27" s="67">
        <f t="shared" si="0"/>
        <v>4743.0557510117851</v>
      </c>
    </row>
    <row r="28" spans="3:17" x14ac:dyDescent="0.25">
      <c r="C28">
        <v>97.2</v>
      </c>
      <c r="D28" s="71"/>
      <c r="E28">
        <v>97.19</v>
      </c>
      <c r="F28">
        <v>5.0270000000000001</v>
      </c>
      <c r="G28">
        <v>5.42</v>
      </c>
      <c r="P28" s="66">
        <v>65497954.590000004</v>
      </c>
      <c r="Q28" s="67">
        <f t="shared" si="0"/>
        <v>4661.2711016551175</v>
      </c>
    </row>
    <row r="29" spans="3:17" x14ac:dyDescent="0.25">
      <c r="C29">
        <v>10.1</v>
      </c>
      <c r="E29">
        <v>10.17</v>
      </c>
      <c r="F29">
        <v>5.4020000000000001</v>
      </c>
      <c r="G29">
        <v>5.0999999999999996</v>
      </c>
      <c r="P29" s="66">
        <v>64365587.469999999</v>
      </c>
      <c r="Q29" s="67">
        <f t="shared" si="0"/>
        <v>4580.6843082817813</v>
      </c>
    </row>
    <row r="30" spans="3:17" x14ac:dyDescent="0.25">
      <c r="C30">
        <v>34</v>
      </c>
      <c r="E30">
        <v>34</v>
      </c>
      <c r="F30">
        <v>5.7439999999999998</v>
      </c>
      <c r="G30">
        <v>6.08</v>
      </c>
      <c r="P30" s="66">
        <v>63249801.520000003</v>
      </c>
      <c r="Q30" s="67">
        <f t="shared" si="0"/>
        <v>4501.2775415067799</v>
      </c>
    </row>
    <row r="31" spans="3:17" x14ac:dyDescent="0.25">
      <c r="C31">
        <v>615.75400000000002</v>
      </c>
      <c r="E31">
        <f>C31-C33</f>
        <v>34.192999999999984</v>
      </c>
      <c r="F31">
        <v>20</v>
      </c>
      <c r="G31">
        <v>5</v>
      </c>
      <c r="P31" s="66">
        <v>62150349.93</v>
      </c>
      <c r="Q31" s="67">
        <f t="shared" si="0"/>
        <v>4423.0332366851108</v>
      </c>
    </row>
    <row r="32" spans="3:17" x14ac:dyDescent="0.25">
      <c r="F32">
        <f>SUMPRODUCT(E27:E31,F27:F31)/SUM(E27:E31)</f>
        <v>5.671959464636565</v>
      </c>
      <c r="G32">
        <f>SUMPRODUCT(E27:E31,F27:F31,G27:G31)/SUMPRODUCT(E27:E31,G27:G31)</f>
        <v>5.6869312370090102</v>
      </c>
      <c r="P32" s="66">
        <v>61066989.549999997</v>
      </c>
      <c r="Q32" s="67">
        <f t="shared" si="0"/>
        <v>4345.9340896417752</v>
      </c>
    </row>
    <row r="33" spans="3:17" x14ac:dyDescent="0.25">
      <c r="C33">
        <v>581.56100000000004</v>
      </c>
      <c r="P33" s="66">
        <v>59999480.869999997</v>
      </c>
      <c r="Q33" s="67">
        <f t="shared" si="0"/>
        <v>4269.9630552484405</v>
      </c>
    </row>
    <row r="34" spans="3:17" x14ac:dyDescent="0.25">
      <c r="C34">
        <f>C31/C33</f>
        <v>1.0587952080693168</v>
      </c>
      <c r="P34" s="66">
        <v>58947587.909999996</v>
      </c>
      <c r="Q34" s="67">
        <f t="shared" si="0"/>
        <v>4195.1033395951044</v>
      </c>
    </row>
    <row r="35" spans="3:17" x14ac:dyDescent="0.25">
      <c r="P35" s="66">
        <v>57911078.210000001</v>
      </c>
      <c r="Q35" s="67">
        <f t="shared" si="0"/>
        <v>4121.3383992784366</v>
      </c>
    </row>
    <row r="36" spans="3:17" x14ac:dyDescent="0.25">
      <c r="C36">
        <v>624.81200000000001</v>
      </c>
      <c r="P36" s="66">
        <v>56889722.770000003</v>
      </c>
      <c r="Q36" s="67">
        <f t="shared" si="0"/>
        <v>4048.6519371317681</v>
      </c>
    </row>
    <row r="37" spans="3:17" x14ac:dyDescent="0.25">
      <c r="C37">
        <f>C36/105.49%</f>
        <v>592.29500426580728</v>
      </c>
      <c r="D37" s="71"/>
      <c r="P37" s="66">
        <v>55883295.969999999</v>
      </c>
      <c r="Q37" s="67">
        <f t="shared" si="0"/>
        <v>3977.0278965317661</v>
      </c>
    </row>
    <row r="38" spans="3:17" x14ac:dyDescent="0.25">
      <c r="P38" s="66">
        <v>54891575.57</v>
      </c>
      <c r="Q38" s="67">
        <f t="shared" si="0"/>
        <v>3906.4504613984313</v>
      </c>
    </row>
    <row r="39" spans="3:17" x14ac:dyDescent="0.25">
      <c r="D39" s="71"/>
      <c r="P39" s="66">
        <v>53914342.609999999</v>
      </c>
      <c r="Q39" s="67">
        <f t="shared" si="0"/>
        <v>3836.9040490784296</v>
      </c>
    </row>
    <row r="40" spans="3:17" ht="15.75" thickBot="1" x14ac:dyDescent="0.3">
      <c r="P40" s="66">
        <v>52951381.409999996</v>
      </c>
      <c r="Q40" s="67">
        <f t="shared" si="0"/>
        <v>3768.3733103450941</v>
      </c>
    </row>
    <row r="41" spans="3:17" x14ac:dyDescent="0.25">
      <c r="C41" s="72"/>
      <c r="D41" s="73"/>
      <c r="E41" s="74" t="s">
        <v>3</v>
      </c>
      <c r="F41" s="74" t="s">
        <v>34</v>
      </c>
      <c r="G41" s="74" t="s">
        <v>13</v>
      </c>
      <c r="H41" s="74" t="s">
        <v>46</v>
      </c>
      <c r="I41" s="75" t="s">
        <v>48</v>
      </c>
      <c r="P41" s="66">
        <v>52002479.450000003</v>
      </c>
      <c r="Q41" s="67">
        <f t="shared" si="0"/>
        <v>3700.8431208584261</v>
      </c>
    </row>
    <row r="42" spans="3:17" x14ac:dyDescent="0.25">
      <c r="C42" s="76"/>
      <c r="D42" s="77" t="s">
        <v>47</v>
      </c>
      <c r="E42" s="78">
        <v>7.4</v>
      </c>
      <c r="F42" s="78">
        <v>12</v>
      </c>
      <c r="G42" s="78">
        <v>6</v>
      </c>
      <c r="H42" s="78">
        <v>105.49</v>
      </c>
      <c r="I42" s="79">
        <v>6.67</v>
      </c>
      <c r="P42" s="66">
        <v>51067427.420000002</v>
      </c>
      <c r="Q42" s="67">
        <f t="shared" si="0"/>
        <v>3634.2985847234245</v>
      </c>
    </row>
    <row r="43" spans="3:17" x14ac:dyDescent="0.25">
      <c r="C43" s="76"/>
      <c r="D43" s="77" t="s">
        <v>49</v>
      </c>
      <c r="E43" s="78">
        <v>5.8</v>
      </c>
      <c r="F43" s="78">
        <v>6</v>
      </c>
      <c r="G43" s="78">
        <v>7.9</v>
      </c>
      <c r="H43" s="78">
        <v>106.73</v>
      </c>
      <c r="I43" s="79">
        <v>7.87</v>
      </c>
      <c r="P43" s="66">
        <v>50146019.090000004</v>
      </c>
      <c r="Q43" s="67">
        <f t="shared" si="0"/>
        <v>3568.7250252384233</v>
      </c>
    </row>
    <row r="44" spans="3:17" ht="15.75" thickBot="1" x14ac:dyDescent="0.3">
      <c r="C44" s="80"/>
      <c r="D44" s="81"/>
      <c r="E44" s="81"/>
      <c r="F44" s="81"/>
      <c r="G44" s="81"/>
      <c r="H44" s="81"/>
      <c r="I44" s="82"/>
      <c r="P44" s="66">
        <v>49238051.299999997</v>
      </c>
      <c r="Q44" s="67">
        <f t="shared" si="0"/>
        <v>3504.1079841834212</v>
      </c>
    </row>
    <row r="45" spans="3:17" x14ac:dyDescent="0.25">
      <c r="P45" s="66">
        <v>48343323.899999999</v>
      </c>
      <c r="Q45" s="67">
        <f t="shared" si="0"/>
        <v>3440.4332175500863</v>
      </c>
    </row>
    <row r="46" spans="3:17" x14ac:dyDescent="0.25">
      <c r="P46" s="66">
        <v>47461639.729999997</v>
      </c>
      <c r="Q46" s="67">
        <f t="shared" si="0"/>
        <v>3377.686694118418</v>
      </c>
    </row>
    <row r="47" spans="3:17" x14ac:dyDescent="0.25">
      <c r="P47" s="66">
        <v>46592804.539999999</v>
      </c>
      <c r="Q47" s="67">
        <f t="shared" si="0"/>
        <v>3315.8545897634162</v>
      </c>
    </row>
    <row r="48" spans="3:17" x14ac:dyDescent="0.25">
      <c r="D48" s="71"/>
      <c r="P48" s="66">
        <v>45736627</v>
      </c>
      <c r="Q48" s="67">
        <f t="shared" si="0"/>
        <v>3254.9232881667485</v>
      </c>
    </row>
    <row r="49" spans="4:17" x14ac:dyDescent="0.25">
      <c r="P49" s="66">
        <v>44892918.590000004</v>
      </c>
      <c r="Q49" s="67">
        <f t="shared" si="0"/>
        <v>3194.8793729884133</v>
      </c>
    </row>
    <row r="50" spans="4:17" x14ac:dyDescent="0.25">
      <c r="D50" s="71"/>
      <c r="P50" s="66">
        <v>44061493.590000004</v>
      </c>
      <c r="Q50" s="67">
        <f t="shared" si="0"/>
        <v>3135.7096271550786</v>
      </c>
    </row>
    <row r="51" spans="4:17" x14ac:dyDescent="0.25">
      <c r="P51" s="66">
        <v>43242169.07</v>
      </c>
      <c r="Q51" s="67">
        <f t="shared" si="0"/>
        <v>3077.4010321484106</v>
      </c>
    </row>
    <row r="52" spans="4:17" x14ac:dyDescent="0.25">
      <c r="P52" s="66">
        <v>42434764.799999997</v>
      </c>
      <c r="Q52" s="67">
        <f t="shared" si="0"/>
        <v>3019.9407616000753</v>
      </c>
    </row>
    <row r="53" spans="4:17" x14ac:dyDescent="0.25">
      <c r="P53" s="66">
        <v>41639103.210000001</v>
      </c>
      <c r="Q53" s="67">
        <f t="shared" si="0"/>
        <v>2963.3161784450745</v>
      </c>
    </row>
    <row r="54" spans="4:17" x14ac:dyDescent="0.25">
      <c r="P54" s="66">
        <v>40855009.399999999</v>
      </c>
      <c r="Q54" s="67">
        <f t="shared" si="0"/>
        <v>2907.5148356334062</v>
      </c>
    </row>
    <row r="55" spans="4:17" x14ac:dyDescent="0.25">
      <c r="P55" s="66">
        <v>40082311.049999997</v>
      </c>
      <c r="Q55" s="67">
        <f t="shared" si="0"/>
        <v>2852.5244697250714</v>
      </c>
    </row>
    <row r="56" spans="4:17" x14ac:dyDescent="0.25">
      <c r="P56" s="66">
        <v>39320838.399999999</v>
      </c>
      <c r="Q56" s="67">
        <f t="shared" si="0"/>
        <v>2798.3329994667365</v>
      </c>
    </row>
    <row r="57" spans="4:17" x14ac:dyDescent="0.25">
      <c r="P57" s="66">
        <v>38570424.229999997</v>
      </c>
      <c r="Q57" s="67">
        <f t="shared" si="0"/>
        <v>2744.9285243684021</v>
      </c>
    </row>
    <row r="58" spans="4:17" x14ac:dyDescent="0.25">
      <c r="P58" s="66">
        <v>37830903.780000001</v>
      </c>
      <c r="Q58" s="67">
        <f t="shared" si="0"/>
        <v>2692.2993190100674</v>
      </c>
    </row>
    <row r="59" spans="4:17" x14ac:dyDescent="0.25">
      <c r="D59" s="71"/>
      <c r="P59" s="66">
        <v>37102114.759999998</v>
      </c>
      <c r="Q59" s="67">
        <f t="shared" si="0"/>
        <v>2640.4338337533995</v>
      </c>
    </row>
    <row r="60" spans="4:17" x14ac:dyDescent="0.25">
      <c r="P60" s="66">
        <v>36383897.259999998</v>
      </c>
      <c r="Q60" s="67">
        <f t="shared" si="0"/>
        <v>2589.3206883367316</v>
      </c>
    </row>
    <row r="61" spans="4:17" x14ac:dyDescent="0.25">
      <c r="D61" s="71"/>
      <c r="P61" s="66">
        <v>35676093.789999999</v>
      </c>
      <c r="Q61" s="67">
        <f t="shared" si="0"/>
        <v>2538.9486747217302</v>
      </c>
    </row>
    <row r="62" spans="4:17" x14ac:dyDescent="0.25">
      <c r="P62" s="66">
        <v>34978549.170000002</v>
      </c>
      <c r="Q62" s="67">
        <f t="shared" si="0"/>
        <v>2489.3067492650625</v>
      </c>
    </row>
    <row r="63" spans="4:17" x14ac:dyDescent="0.25">
      <c r="P63" s="66">
        <v>34291110.530000001</v>
      </c>
      <c r="Q63" s="67">
        <f t="shared" si="0"/>
        <v>2440.3840327183948</v>
      </c>
    </row>
    <row r="64" spans="4:17" x14ac:dyDescent="0.25">
      <c r="P64" s="66">
        <v>33613627.270000003</v>
      </c>
      <c r="Q64" s="67">
        <f t="shared" si="0"/>
        <v>2392.169807381727</v>
      </c>
    </row>
    <row r="65" spans="4:17" x14ac:dyDescent="0.25">
      <c r="P65" s="66">
        <v>32945951.039999999</v>
      </c>
      <c r="Q65" s="67">
        <f t="shared" si="0"/>
        <v>2344.6535156800587</v>
      </c>
    </row>
    <row r="66" spans="4:17" x14ac:dyDescent="0.25">
      <c r="P66" s="66">
        <v>32287935.670000002</v>
      </c>
      <c r="Q66" s="67">
        <f t="shared" si="0"/>
        <v>2297.8247551817244</v>
      </c>
    </row>
    <row r="67" spans="4:17" x14ac:dyDescent="0.25">
      <c r="P67" s="66">
        <v>31639437.190000001</v>
      </c>
      <c r="Q67" s="67">
        <f t="shared" si="0"/>
        <v>2251.6732800217233</v>
      </c>
    </row>
    <row r="68" spans="4:17" x14ac:dyDescent="0.25">
      <c r="P68" s="66">
        <v>31000313.760000002</v>
      </c>
      <c r="Q68" s="67">
        <f t="shared" ref="Q68:Q131" si="1">P68*M$2/12</f>
        <v>2206.1889959200553</v>
      </c>
    </row>
    <row r="69" spans="4:17" x14ac:dyDescent="0.25">
      <c r="P69" s="66">
        <v>30370425.620000001</v>
      </c>
      <c r="Q69" s="67">
        <f t="shared" si="1"/>
        <v>2161.3619566233879</v>
      </c>
    </row>
    <row r="70" spans="4:17" x14ac:dyDescent="0.25">
      <c r="D70" s="71"/>
      <c r="P70" s="66">
        <v>29749635.140000001</v>
      </c>
      <c r="Q70" s="67">
        <f t="shared" si="1"/>
        <v>2117.1823674633865</v>
      </c>
    </row>
    <row r="71" spans="4:17" x14ac:dyDescent="0.25">
      <c r="P71" s="66">
        <v>29137806.68</v>
      </c>
      <c r="Q71" s="67">
        <f t="shared" si="1"/>
        <v>2073.6405753933855</v>
      </c>
    </row>
    <row r="72" spans="4:17" x14ac:dyDescent="0.25">
      <c r="D72" s="71"/>
      <c r="P72" s="66">
        <v>28534806.649999999</v>
      </c>
      <c r="Q72" s="67">
        <f t="shared" si="1"/>
        <v>2030.7270732583841</v>
      </c>
    </row>
    <row r="73" spans="4:17" x14ac:dyDescent="0.25">
      <c r="P73" s="66">
        <v>27940503.43</v>
      </c>
      <c r="Q73" s="67">
        <f t="shared" si="1"/>
        <v>1988.4324941017164</v>
      </c>
    </row>
    <row r="74" spans="4:17" x14ac:dyDescent="0.25">
      <c r="P74" s="66">
        <v>27354767.359999999</v>
      </c>
      <c r="Q74" s="67">
        <f t="shared" si="1"/>
        <v>1946.7476104533819</v>
      </c>
    </row>
    <row r="75" spans="4:17" x14ac:dyDescent="0.25">
      <c r="P75" s="66">
        <v>26777470.719999999</v>
      </c>
      <c r="Q75" s="67">
        <f t="shared" si="1"/>
        <v>1905.6633329067145</v>
      </c>
    </row>
    <row r="76" spans="4:17" x14ac:dyDescent="0.25">
      <c r="P76" s="66">
        <v>26208487.649999999</v>
      </c>
      <c r="Q76" s="67">
        <f t="shared" si="1"/>
        <v>1865.1707044250468</v>
      </c>
    </row>
    <row r="77" spans="4:17" x14ac:dyDescent="0.25">
      <c r="P77" s="66">
        <v>25647694.199999999</v>
      </c>
      <c r="Q77" s="67">
        <f t="shared" si="1"/>
        <v>1825.2609039000456</v>
      </c>
    </row>
    <row r="78" spans="4:17" x14ac:dyDescent="0.25">
      <c r="P78" s="66">
        <v>25094968.23</v>
      </c>
      <c r="Q78" s="67">
        <f t="shared" si="1"/>
        <v>1785.9252390350448</v>
      </c>
    </row>
    <row r="79" spans="4:17" x14ac:dyDescent="0.25">
      <c r="P79" s="66">
        <v>24550189.449999999</v>
      </c>
      <c r="Q79" s="67">
        <f t="shared" si="1"/>
        <v>1747.1551491917105</v>
      </c>
    </row>
    <row r="80" spans="4:17" x14ac:dyDescent="0.25">
      <c r="P80" s="66">
        <v>24013239.32</v>
      </c>
      <c r="Q80" s="67">
        <f t="shared" si="1"/>
        <v>1708.9421982733763</v>
      </c>
    </row>
    <row r="81" spans="16:17" x14ac:dyDescent="0.25">
      <c r="P81" s="66">
        <v>23484001.079999998</v>
      </c>
      <c r="Q81" s="67">
        <f t="shared" si="1"/>
        <v>1671.2780768600417</v>
      </c>
    </row>
    <row r="82" spans="16:17" x14ac:dyDescent="0.25">
      <c r="P82" s="66">
        <v>22962359.699999999</v>
      </c>
      <c r="Q82" s="67">
        <f t="shared" si="1"/>
        <v>1634.1545986500407</v>
      </c>
    </row>
    <row r="83" spans="16:17" x14ac:dyDescent="0.25">
      <c r="P83" s="66">
        <v>22448201.870000001</v>
      </c>
      <c r="Q83" s="67">
        <f t="shared" si="1"/>
        <v>1597.5636997483734</v>
      </c>
    </row>
    <row r="84" spans="16:17" x14ac:dyDescent="0.25">
      <c r="P84" s="66">
        <v>21941415.949999999</v>
      </c>
      <c r="Q84" s="67">
        <f t="shared" si="1"/>
        <v>1561.4974351083722</v>
      </c>
    </row>
    <row r="85" spans="16:17" x14ac:dyDescent="0.25">
      <c r="P85" s="66">
        <v>21441891.949999999</v>
      </c>
      <c r="Q85" s="67">
        <f t="shared" si="1"/>
        <v>1525.9479771083716</v>
      </c>
    </row>
    <row r="86" spans="16:17" x14ac:dyDescent="0.25">
      <c r="P86" s="66">
        <v>20949521.550000001</v>
      </c>
      <c r="Q86" s="67">
        <f t="shared" si="1"/>
        <v>1490.9076169750376</v>
      </c>
    </row>
    <row r="87" spans="16:17" x14ac:dyDescent="0.25">
      <c r="P87" s="66">
        <v>20464198</v>
      </c>
      <c r="Q87" s="67">
        <f t="shared" si="1"/>
        <v>1456.3687576667032</v>
      </c>
    </row>
    <row r="88" spans="16:17" x14ac:dyDescent="0.25">
      <c r="P88" s="66">
        <v>19985816.149999999</v>
      </c>
      <c r="Q88" s="67">
        <f t="shared" si="1"/>
        <v>1422.3239160083688</v>
      </c>
    </row>
    <row r="89" spans="16:17" x14ac:dyDescent="0.25">
      <c r="P89" s="66">
        <v>19514272.420000002</v>
      </c>
      <c r="Q89" s="67">
        <f t="shared" si="1"/>
        <v>1388.7657205567018</v>
      </c>
    </row>
    <row r="90" spans="16:17" x14ac:dyDescent="0.25">
      <c r="P90" s="66">
        <v>19049464.760000002</v>
      </c>
      <c r="Q90" s="67">
        <f t="shared" si="1"/>
        <v>1355.6869087533676</v>
      </c>
    </row>
    <row r="91" spans="16:17" x14ac:dyDescent="0.25">
      <c r="P91" s="66">
        <v>18591292.640000001</v>
      </c>
      <c r="Q91" s="67">
        <f t="shared" si="1"/>
        <v>1323.0803262133666</v>
      </c>
    </row>
    <row r="92" spans="16:17" x14ac:dyDescent="0.25">
      <c r="P92" s="66">
        <v>18139657.02</v>
      </c>
      <c r="Q92" s="67">
        <f t="shared" si="1"/>
        <v>1290.9389245900322</v>
      </c>
    </row>
    <row r="93" spans="16:17" x14ac:dyDescent="0.25">
      <c r="P93" s="66">
        <v>17694460.329999998</v>
      </c>
      <c r="Q93" s="67">
        <f t="shared" si="1"/>
        <v>1259.255760151698</v>
      </c>
    </row>
    <row r="94" spans="16:17" x14ac:dyDescent="0.25">
      <c r="P94" s="66">
        <v>17255606.460000001</v>
      </c>
      <c r="Q94" s="67">
        <f t="shared" si="1"/>
        <v>1228.0239930700309</v>
      </c>
    </row>
    <row r="95" spans="16:17" x14ac:dyDescent="0.25">
      <c r="P95" s="66">
        <v>16823000.710000001</v>
      </c>
      <c r="Q95" s="67">
        <f t="shared" si="1"/>
        <v>1197.2368838616967</v>
      </c>
    </row>
    <row r="96" spans="16:17" x14ac:dyDescent="0.25">
      <c r="P96" s="66">
        <v>16396549.800000001</v>
      </c>
      <c r="Q96" s="67">
        <f t="shared" si="1"/>
        <v>1166.8877941000294</v>
      </c>
    </row>
    <row r="97" spans="16:17" x14ac:dyDescent="0.25">
      <c r="P97" s="66">
        <v>15976161.84</v>
      </c>
      <c r="Q97" s="67">
        <f t="shared" si="1"/>
        <v>1136.9701842800284</v>
      </c>
    </row>
    <row r="98" spans="16:17" x14ac:dyDescent="0.25">
      <c r="P98" s="66">
        <v>15561746.289999999</v>
      </c>
      <c r="Q98" s="67">
        <f t="shared" si="1"/>
        <v>1107.4776109716943</v>
      </c>
    </row>
    <row r="99" spans="16:17" x14ac:dyDescent="0.25">
      <c r="P99" s="66">
        <v>15153213.960000001</v>
      </c>
      <c r="Q99" s="67">
        <f t="shared" si="1"/>
        <v>1078.403726820027</v>
      </c>
    </row>
    <row r="100" spans="16:17" x14ac:dyDescent="0.25">
      <c r="P100" s="66">
        <v>14750476.99</v>
      </c>
      <c r="Q100" s="67">
        <f t="shared" si="1"/>
        <v>1049.7422791216929</v>
      </c>
    </row>
    <row r="101" spans="16:17" x14ac:dyDescent="0.25">
      <c r="P101" s="66">
        <v>14353448.82</v>
      </c>
      <c r="Q101" s="67">
        <f t="shared" si="1"/>
        <v>1021.4871076900257</v>
      </c>
    </row>
    <row r="102" spans="16:17" x14ac:dyDescent="0.25">
      <c r="P102" s="66">
        <v>13962044.18</v>
      </c>
      <c r="Q102" s="67">
        <f t="shared" si="1"/>
        <v>993.63214414335823</v>
      </c>
    </row>
    <row r="103" spans="16:17" x14ac:dyDescent="0.25">
      <c r="P103" s="66">
        <v>13576179.060000001</v>
      </c>
      <c r="Q103" s="67">
        <f t="shared" si="1"/>
        <v>966.17140977002418</v>
      </c>
    </row>
    <row r="104" spans="16:17" x14ac:dyDescent="0.25">
      <c r="P104" s="66">
        <v>13195770.710000001</v>
      </c>
      <c r="Q104" s="67">
        <f t="shared" si="1"/>
        <v>939.09901552835697</v>
      </c>
    </row>
    <row r="105" spans="16:17" x14ac:dyDescent="0.25">
      <c r="P105" s="66">
        <v>12820737.6</v>
      </c>
      <c r="Q105" s="67">
        <f t="shared" si="1"/>
        <v>912.40915920002283</v>
      </c>
    </row>
    <row r="106" spans="16:17" x14ac:dyDescent="0.25">
      <c r="P106" s="66">
        <v>12450999.41</v>
      </c>
      <c r="Q106" s="67">
        <f t="shared" si="1"/>
        <v>886.09612467835552</v>
      </c>
    </row>
    <row r="107" spans="16:17" x14ac:dyDescent="0.25">
      <c r="P107" s="66">
        <v>12086477.01</v>
      </c>
      <c r="Q107" s="67">
        <f t="shared" si="1"/>
        <v>860.15428054502161</v>
      </c>
    </row>
    <row r="108" spans="16:17" x14ac:dyDescent="0.25">
      <c r="P108" s="66">
        <v>11727092.449999999</v>
      </c>
      <c r="Q108" s="67">
        <f t="shared" si="1"/>
        <v>834.5780793583541</v>
      </c>
    </row>
    <row r="109" spans="16:17" x14ac:dyDescent="0.25">
      <c r="P109" s="66">
        <v>11372768.949999999</v>
      </c>
      <c r="Q109" s="67">
        <f t="shared" si="1"/>
        <v>809.362056941687</v>
      </c>
    </row>
    <row r="110" spans="16:17" x14ac:dyDescent="0.25">
      <c r="P110" s="66">
        <v>11023430.85</v>
      </c>
      <c r="Q110" s="67">
        <f t="shared" si="1"/>
        <v>784.50082882501965</v>
      </c>
    </row>
    <row r="111" spans="16:17" x14ac:dyDescent="0.25">
      <c r="P111" s="66">
        <v>10679003.630000001</v>
      </c>
      <c r="Q111" s="67">
        <f t="shared" si="1"/>
        <v>759.98909166835244</v>
      </c>
    </row>
    <row r="112" spans="16:17" x14ac:dyDescent="0.25">
      <c r="P112" s="66">
        <v>10339413.859999999</v>
      </c>
      <c r="Q112" s="67">
        <f t="shared" si="1"/>
        <v>735.82161970335176</v>
      </c>
    </row>
    <row r="113" spans="16:17" x14ac:dyDescent="0.25">
      <c r="P113" s="66">
        <v>10004589.210000001</v>
      </c>
      <c r="Q113" s="67">
        <f t="shared" si="1"/>
        <v>711.99326544501798</v>
      </c>
    </row>
    <row r="114" spans="16:17" x14ac:dyDescent="0.25">
      <c r="P114" s="66">
        <v>9674458.4299999997</v>
      </c>
      <c r="Q114" s="67">
        <f t="shared" si="1"/>
        <v>688.49895826835063</v>
      </c>
    </row>
    <row r="115" spans="16:17" x14ac:dyDescent="0.25">
      <c r="P115" s="66">
        <v>9348951.3200000003</v>
      </c>
      <c r="Q115" s="67">
        <f t="shared" si="1"/>
        <v>665.33370227335001</v>
      </c>
    </row>
    <row r="116" spans="16:17" x14ac:dyDescent="0.25">
      <c r="P116" s="66">
        <v>9027998.7300000004</v>
      </c>
      <c r="Q116" s="67">
        <f t="shared" si="1"/>
        <v>642.49257628501607</v>
      </c>
    </row>
    <row r="117" spans="16:17" x14ac:dyDescent="0.25">
      <c r="P117" s="66">
        <v>8711532.5199999996</v>
      </c>
      <c r="Q117" s="67">
        <f t="shared" si="1"/>
        <v>619.97073100668217</v>
      </c>
    </row>
    <row r="118" spans="16:17" x14ac:dyDescent="0.25">
      <c r="P118" s="66">
        <v>8399485.5800000001</v>
      </c>
      <c r="Q118" s="67">
        <f t="shared" si="1"/>
        <v>597.76339044334838</v>
      </c>
    </row>
    <row r="119" spans="16:17" x14ac:dyDescent="0.25">
      <c r="P119" s="66">
        <v>8091791.7999999998</v>
      </c>
      <c r="Q119" s="67">
        <f t="shared" si="1"/>
        <v>575.86584976668109</v>
      </c>
    </row>
    <row r="120" spans="16:17" x14ac:dyDescent="0.25">
      <c r="P120" s="66">
        <v>7788386.0300000003</v>
      </c>
      <c r="Q120" s="67">
        <f t="shared" si="1"/>
        <v>554.27347246834722</v>
      </c>
    </row>
    <row r="121" spans="16:17" x14ac:dyDescent="0.25">
      <c r="P121" s="66">
        <v>7489204.0999999996</v>
      </c>
      <c r="Q121" s="67">
        <f t="shared" si="1"/>
        <v>532.98169178334672</v>
      </c>
    </row>
    <row r="122" spans="16:17" x14ac:dyDescent="0.25">
      <c r="P122" s="66">
        <v>7194182.7999999998</v>
      </c>
      <c r="Q122" s="67">
        <f t="shared" si="1"/>
        <v>511.9860092666795</v>
      </c>
    </row>
    <row r="123" spans="16:17" x14ac:dyDescent="0.25">
      <c r="P123" s="66">
        <v>6903259.8499999996</v>
      </c>
      <c r="Q123" s="67">
        <f t="shared" si="1"/>
        <v>491.28199265834564</v>
      </c>
    </row>
    <row r="124" spans="16:17" x14ac:dyDescent="0.25">
      <c r="P124" s="66">
        <v>6616373.9000000004</v>
      </c>
      <c r="Q124" s="67">
        <f t="shared" si="1"/>
        <v>470.86527588334519</v>
      </c>
    </row>
    <row r="125" spans="16:17" x14ac:dyDescent="0.25">
      <c r="P125" s="66">
        <v>6333464.5</v>
      </c>
      <c r="Q125" s="67">
        <f t="shared" si="1"/>
        <v>450.73155691667802</v>
      </c>
    </row>
    <row r="126" spans="16:17" x14ac:dyDescent="0.25">
      <c r="P126" s="66">
        <v>6054472.0999999996</v>
      </c>
      <c r="Q126" s="67">
        <f t="shared" si="1"/>
        <v>430.8765977833441</v>
      </c>
    </row>
    <row r="127" spans="16:17" x14ac:dyDescent="0.25">
      <c r="P127" s="66">
        <v>5779338.0499999998</v>
      </c>
      <c r="Q127" s="67">
        <f t="shared" si="1"/>
        <v>411.29622455834368</v>
      </c>
    </row>
    <row r="128" spans="16:17" x14ac:dyDescent="0.25">
      <c r="P128" s="66">
        <v>5508004.5599999996</v>
      </c>
      <c r="Q128" s="67">
        <f t="shared" si="1"/>
        <v>391.98632452000976</v>
      </c>
    </row>
    <row r="129" spans="16:17" x14ac:dyDescent="0.25">
      <c r="P129" s="66">
        <v>5240414.7</v>
      </c>
      <c r="Q129" s="67">
        <f t="shared" si="1"/>
        <v>372.94284615000942</v>
      </c>
    </row>
    <row r="130" spans="16:17" x14ac:dyDescent="0.25">
      <c r="P130" s="66">
        <v>4976512.38</v>
      </c>
      <c r="Q130" s="67">
        <f t="shared" si="1"/>
        <v>354.16179771000884</v>
      </c>
    </row>
    <row r="131" spans="16:17" x14ac:dyDescent="0.25">
      <c r="P131" s="66">
        <v>4716242.34</v>
      </c>
      <c r="Q131" s="67">
        <f t="shared" si="1"/>
        <v>335.63924653000839</v>
      </c>
    </row>
    <row r="132" spans="16:17" x14ac:dyDescent="0.25">
      <c r="P132" s="66">
        <v>4459550.16</v>
      </c>
      <c r="Q132" s="67">
        <f t="shared" ref="Q132:Q152" si="2">P132*M$2/12</f>
        <v>317.37131972000799</v>
      </c>
    </row>
    <row r="133" spans="16:17" x14ac:dyDescent="0.25">
      <c r="P133" s="66">
        <v>4206382.21</v>
      </c>
      <c r="Q133" s="67">
        <f t="shared" si="2"/>
        <v>299.35420061167417</v>
      </c>
    </row>
    <row r="134" spans="16:17" x14ac:dyDescent="0.25">
      <c r="P134" s="66">
        <v>3956685.66</v>
      </c>
      <c r="Q134" s="67">
        <f t="shared" si="2"/>
        <v>281.5841294700071</v>
      </c>
    </row>
    <row r="135" spans="16:17" x14ac:dyDescent="0.25">
      <c r="P135" s="66">
        <v>3710408.47</v>
      </c>
      <c r="Q135" s="67">
        <f t="shared" si="2"/>
        <v>264.05740278167332</v>
      </c>
    </row>
    <row r="136" spans="16:17" x14ac:dyDescent="0.25">
      <c r="P136" s="66">
        <v>3467499.37</v>
      </c>
      <c r="Q136" s="67">
        <f t="shared" si="2"/>
        <v>246.77037183167286</v>
      </c>
    </row>
    <row r="137" spans="16:17" x14ac:dyDescent="0.25">
      <c r="P137" s="66">
        <v>3227907.85</v>
      </c>
      <c r="Q137" s="67">
        <f t="shared" si="2"/>
        <v>229.71944199167243</v>
      </c>
    </row>
    <row r="138" spans="16:17" x14ac:dyDescent="0.25">
      <c r="P138" s="66">
        <v>2991584.14</v>
      </c>
      <c r="Q138" s="67">
        <f t="shared" si="2"/>
        <v>212.90107129667203</v>
      </c>
    </row>
    <row r="139" spans="16:17" x14ac:dyDescent="0.25">
      <c r="P139" s="66">
        <v>2758479.23</v>
      </c>
      <c r="Q139" s="67">
        <f t="shared" si="2"/>
        <v>196.31177186833827</v>
      </c>
    </row>
    <row r="140" spans="16:17" x14ac:dyDescent="0.25">
      <c r="P140" s="66">
        <v>2528544.8199999998</v>
      </c>
      <c r="Q140" s="67">
        <f t="shared" si="2"/>
        <v>179.94810635667116</v>
      </c>
    </row>
    <row r="141" spans="16:17" x14ac:dyDescent="0.25">
      <c r="P141" s="66">
        <v>2301733.35</v>
      </c>
      <c r="Q141" s="67">
        <f t="shared" si="2"/>
        <v>163.80669007500413</v>
      </c>
    </row>
    <row r="142" spans="16:17" x14ac:dyDescent="0.25">
      <c r="P142" s="66">
        <v>2077997.93</v>
      </c>
      <c r="Q142" s="67">
        <f t="shared" si="2"/>
        <v>147.88418601833703</v>
      </c>
    </row>
    <row r="143" spans="16:17" x14ac:dyDescent="0.25">
      <c r="P143" s="66">
        <v>1857292.39</v>
      </c>
      <c r="Q143" s="67">
        <f t="shared" si="2"/>
        <v>132.17730842166998</v>
      </c>
    </row>
    <row r="144" spans="16:17" x14ac:dyDescent="0.25">
      <c r="P144" s="66">
        <v>1639571.25</v>
      </c>
      <c r="Q144" s="67">
        <f t="shared" si="2"/>
        <v>116.68282062500293</v>
      </c>
    </row>
    <row r="145" spans="16:17" x14ac:dyDescent="0.25">
      <c r="P145" s="66">
        <v>1424789.69</v>
      </c>
      <c r="Q145" s="67">
        <f t="shared" si="2"/>
        <v>101.39753293833587</v>
      </c>
    </row>
    <row r="146" spans="16:17" x14ac:dyDescent="0.25">
      <c r="P146" s="66">
        <v>1212903.56</v>
      </c>
      <c r="Q146" s="67">
        <f t="shared" si="2"/>
        <v>86.318303353335509</v>
      </c>
    </row>
    <row r="147" spans="16:17" x14ac:dyDescent="0.25">
      <c r="P147" s="66">
        <v>1003869.38</v>
      </c>
      <c r="Q147" s="67">
        <f t="shared" si="2"/>
        <v>71.442037543335132</v>
      </c>
    </row>
    <row r="148" spans="16:17" x14ac:dyDescent="0.25">
      <c r="P148" s="66">
        <v>797644.29</v>
      </c>
      <c r="Q148" s="67">
        <f t="shared" si="2"/>
        <v>56.765685305001426</v>
      </c>
    </row>
    <row r="149" spans="16:17" x14ac:dyDescent="0.25">
      <c r="P149" s="66">
        <v>594186.07999999996</v>
      </c>
      <c r="Q149" s="67">
        <f t="shared" si="2"/>
        <v>42.286242693334394</v>
      </c>
    </row>
    <row r="150" spans="16:17" x14ac:dyDescent="0.25">
      <c r="P150" s="66">
        <v>393453.17</v>
      </c>
      <c r="Q150" s="67">
        <f t="shared" si="2"/>
        <v>28.000750598334033</v>
      </c>
    </row>
    <row r="151" spans="16:17" x14ac:dyDescent="0.25">
      <c r="P151" s="66">
        <v>195404.6</v>
      </c>
      <c r="Q151" s="67">
        <f t="shared" si="2"/>
        <v>13.906294033333682</v>
      </c>
    </row>
    <row r="152" spans="16:17" x14ac:dyDescent="0.25">
      <c r="P152">
        <v>0</v>
      </c>
      <c r="Q152" s="67">
        <f t="shared" si="2"/>
        <v>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9C1BBF-7F78-48CB-BDBC-2FF9562D9926}">
  <sheetPr codeName="Sheet3"/>
  <dimension ref="D5:Q82"/>
  <sheetViews>
    <sheetView showGridLines="0" topLeftCell="A49" workbookViewId="0">
      <selection activeCell="H56" sqref="H56"/>
    </sheetView>
  </sheetViews>
  <sheetFormatPr defaultRowHeight="15" x14ac:dyDescent="0.25"/>
  <cols>
    <col min="4" max="4" width="14.5703125" customWidth="1"/>
    <col min="5" max="5" width="13.85546875" customWidth="1"/>
    <col min="6" max="6" width="15.140625" customWidth="1"/>
    <col min="7" max="7" width="17" customWidth="1"/>
    <col min="8" max="8" width="15.5703125" customWidth="1"/>
    <col min="9" max="9" width="13.5703125" bestFit="1" customWidth="1"/>
    <col min="10" max="10" width="21.140625" customWidth="1"/>
    <col min="12" max="12" width="9.85546875" bestFit="1" customWidth="1"/>
    <col min="13" max="14" width="14.140625" customWidth="1"/>
    <col min="15" max="15" width="12.5703125" customWidth="1"/>
    <col min="17" max="17" width="10.85546875" bestFit="1" customWidth="1"/>
  </cols>
  <sheetData>
    <row r="5" spans="5:17" x14ac:dyDescent="0.25">
      <c r="F5">
        <f>2.75*150</f>
        <v>412.5</v>
      </c>
      <c r="I5">
        <f>100-88.5</f>
        <v>11.5</v>
      </c>
    </row>
    <row r="6" spans="5:17" x14ac:dyDescent="0.25">
      <c r="I6" s="67">
        <f>I5*0.01*150123701</f>
        <v>17264225.615000002</v>
      </c>
    </row>
    <row r="8" spans="5:17" x14ac:dyDescent="0.25">
      <c r="M8" s="66">
        <v>107432367.62</v>
      </c>
      <c r="N8" s="66">
        <v>108099034.28</v>
      </c>
      <c r="O8" s="66">
        <f>N8-M8</f>
        <v>666666.65999999642</v>
      </c>
      <c r="Q8">
        <f>O8/(12%/360)</f>
        <v>1999999979.9999893</v>
      </c>
    </row>
    <row r="13" spans="5:17" x14ac:dyDescent="0.25">
      <c r="E13" t="s">
        <v>53</v>
      </c>
      <c r="F13" t="s">
        <v>54</v>
      </c>
      <c r="H13" t="s">
        <v>18</v>
      </c>
      <c r="J13" t="s">
        <v>55</v>
      </c>
    </row>
    <row r="14" spans="5:17" x14ac:dyDescent="0.25">
      <c r="E14" s="67">
        <f>F14*H14*J14</f>
        <v>1966016865</v>
      </c>
      <c r="F14">
        <v>2.2069000000000001</v>
      </c>
      <c r="H14">
        <v>8.9085000000000001</v>
      </c>
      <c r="I14" s="66">
        <v>107650650</v>
      </c>
      <c r="J14" s="66">
        <v>100000000</v>
      </c>
    </row>
    <row r="15" spans="5:17" x14ac:dyDescent="0.25">
      <c r="E15" s="67">
        <f>F15*H15*J15</f>
        <v>132300000</v>
      </c>
      <c r="F15">
        <v>0.88200000000000001</v>
      </c>
      <c r="H15">
        <v>5</v>
      </c>
      <c r="I15" s="66">
        <v>30832817.84</v>
      </c>
      <c r="J15" s="66">
        <v>30000000</v>
      </c>
    </row>
    <row r="16" spans="5:17" x14ac:dyDescent="0.25">
      <c r="E16" s="67">
        <f t="shared" ref="E16" si="0">F16*H16*J16</f>
        <v>1049405000</v>
      </c>
      <c r="F16">
        <v>2.9983</v>
      </c>
      <c r="H16">
        <v>5</v>
      </c>
      <c r="I16" s="66">
        <v>76817832.319999993</v>
      </c>
      <c r="J16" s="66">
        <v>70000000</v>
      </c>
    </row>
    <row r="17" spans="5:15" x14ac:dyDescent="0.25">
      <c r="J17" s="66"/>
    </row>
    <row r="20" spans="5:15" x14ac:dyDescent="0.25">
      <c r="G20" t="s">
        <v>57</v>
      </c>
      <c r="H20" t="s">
        <v>18</v>
      </c>
      <c r="I20" t="s">
        <v>56</v>
      </c>
      <c r="J20" t="s">
        <v>13</v>
      </c>
    </row>
    <row r="21" spans="5:15" x14ac:dyDescent="0.25">
      <c r="G21" s="67">
        <f>H21*I21</f>
        <v>966891308.58000004</v>
      </c>
      <c r="H21">
        <v>9</v>
      </c>
      <c r="I21" s="66">
        <v>107432367.62</v>
      </c>
      <c r="J21">
        <v>2.73</v>
      </c>
    </row>
    <row r="22" spans="5:15" x14ac:dyDescent="0.25">
      <c r="G22" s="67">
        <f>H22*I22</f>
        <v>337372564.95999998</v>
      </c>
      <c r="H22">
        <v>4</v>
      </c>
      <c r="I22" s="66">
        <v>84343141.239999995</v>
      </c>
      <c r="J22">
        <v>2.73</v>
      </c>
    </row>
    <row r="23" spans="5:15" x14ac:dyDescent="0.25">
      <c r="G23" s="67">
        <f>H23*I23</f>
        <v>290073859.19999999</v>
      </c>
      <c r="H23">
        <v>9</v>
      </c>
      <c r="I23" s="66">
        <v>32230428.800000001</v>
      </c>
      <c r="J23">
        <v>2.73</v>
      </c>
      <c r="O23">
        <f>13*0.7</f>
        <v>9.1</v>
      </c>
    </row>
    <row r="24" spans="5:15" x14ac:dyDescent="0.25">
      <c r="I24" s="66"/>
    </row>
    <row r="29" spans="5:15" x14ac:dyDescent="0.25">
      <c r="F29">
        <f>88.5*4.1</f>
        <v>362.84999999999997</v>
      </c>
    </row>
    <row r="30" spans="5:15" x14ac:dyDescent="0.25">
      <c r="F30">
        <f>9*100</f>
        <v>900</v>
      </c>
      <c r="I30" t="s">
        <v>71</v>
      </c>
    </row>
    <row r="31" spans="5:15" x14ac:dyDescent="0.25">
      <c r="E31">
        <f>F31/11.5</f>
        <v>46.708695652173922</v>
      </c>
      <c r="F31">
        <f>F30-F29</f>
        <v>537.15000000000009</v>
      </c>
      <c r="G31" t="s">
        <v>58</v>
      </c>
    </row>
    <row r="36" spans="4:12" x14ac:dyDescent="0.25">
      <c r="E36" t="s">
        <v>64</v>
      </c>
    </row>
    <row r="37" spans="4:12" x14ac:dyDescent="0.25">
      <c r="F37" t="s">
        <v>62</v>
      </c>
      <c r="G37" t="s">
        <v>63</v>
      </c>
      <c r="I37" t="s">
        <v>65</v>
      </c>
      <c r="J37" t="s">
        <v>66</v>
      </c>
    </row>
    <row r="38" spans="4:12" x14ac:dyDescent="0.25">
      <c r="E38" t="s">
        <v>59</v>
      </c>
      <c r="F38" s="66">
        <v>1249056.1100000001</v>
      </c>
      <c r="G38" s="66">
        <v>975388.66</v>
      </c>
      <c r="H38" s="66">
        <f>SUM(F38:G38)</f>
        <v>2224444.77</v>
      </c>
      <c r="L38" s="66">
        <f>F38-F39</f>
        <v>249811.22000000009</v>
      </c>
    </row>
    <row r="39" spans="4:12" x14ac:dyDescent="0.25">
      <c r="D39">
        <v>80</v>
      </c>
      <c r="E39" t="s">
        <v>60</v>
      </c>
      <c r="F39" s="66">
        <v>999244.89</v>
      </c>
      <c r="G39" s="66">
        <v>780310.93</v>
      </c>
      <c r="H39" s="66">
        <f t="shared" ref="H39:H40" si="1">SUM(F39:G39)</f>
        <v>1779555.82</v>
      </c>
      <c r="I39" s="83">
        <f>F39/F38</f>
        <v>0.80000000160120899</v>
      </c>
      <c r="J39" s="69">
        <f>G39/G38</f>
        <v>0.80000000205046473</v>
      </c>
    </row>
    <row r="40" spans="4:12" x14ac:dyDescent="0.25">
      <c r="D40">
        <v>10</v>
      </c>
      <c r="E40" t="s">
        <v>61</v>
      </c>
      <c r="F40" s="66">
        <v>249811.22</v>
      </c>
      <c r="G40" s="66">
        <v>95077.73</v>
      </c>
      <c r="H40" s="66">
        <f t="shared" si="1"/>
        <v>344888.95</v>
      </c>
      <c r="I40" s="83">
        <f>F40/F38</f>
        <v>0.1999999983987909</v>
      </c>
      <c r="J40" s="69">
        <f>G40/G38</f>
        <v>9.7476763775375438E-2</v>
      </c>
    </row>
    <row r="41" spans="4:12" x14ac:dyDescent="0.25">
      <c r="H41" s="66">
        <f>H38-H39-H40</f>
        <v>99999.999999999942</v>
      </c>
    </row>
    <row r="45" spans="4:12" x14ac:dyDescent="0.25">
      <c r="E45" t="s">
        <v>67</v>
      </c>
      <c r="I45" s="66">
        <v>9507773.1999999993</v>
      </c>
    </row>
    <row r="46" spans="4:12" x14ac:dyDescent="0.25">
      <c r="I46">
        <f>I45*12%/12</f>
        <v>95077.731999999975</v>
      </c>
    </row>
    <row r="48" spans="4:12" x14ac:dyDescent="0.25">
      <c r="E48" s="97" t="s">
        <v>68</v>
      </c>
    </row>
    <row r="49" spans="5:7" x14ac:dyDescent="0.25">
      <c r="E49" t="s">
        <v>69</v>
      </c>
      <c r="F49" s="97" t="s">
        <v>70</v>
      </c>
    </row>
    <row r="55" spans="5:7" x14ac:dyDescent="0.25">
      <c r="E55" t="s">
        <v>72</v>
      </c>
      <c r="F55" s="66">
        <v>86338907.019999996</v>
      </c>
    </row>
    <row r="56" spans="5:7" x14ac:dyDescent="0.25">
      <c r="E56" t="s">
        <v>73</v>
      </c>
      <c r="F56" s="66">
        <v>67327546.129999995</v>
      </c>
      <c r="G56" t="s">
        <v>74</v>
      </c>
    </row>
    <row r="57" spans="5:7" x14ac:dyDescent="0.25">
      <c r="E57" t="s">
        <v>61</v>
      </c>
      <c r="F57" s="66">
        <v>9011360.8800000008</v>
      </c>
      <c r="G57" t="s">
        <v>74</v>
      </c>
    </row>
    <row r="59" spans="5:7" x14ac:dyDescent="0.25">
      <c r="F59" s="69">
        <f>(F55-F56-F57)/F55</f>
        <v>0.11582263842746524</v>
      </c>
      <c r="G59">
        <v>11.5823</v>
      </c>
    </row>
    <row r="69" spans="4:8" x14ac:dyDescent="0.25">
      <c r="D69" t="s">
        <v>84</v>
      </c>
    </row>
    <row r="77" spans="4:8" x14ac:dyDescent="0.25">
      <c r="D77" s="126" t="s">
        <v>82</v>
      </c>
      <c r="E77" s="126"/>
      <c r="G77" s="126" t="s">
        <v>83</v>
      </c>
      <c r="H77" s="126"/>
    </row>
    <row r="78" spans="4:8" x14ac:dyDescent="0.25">
      <c r="D78" t="s">
        <v>76</v>
      </c>
      <c r="E78" s="78" t="s">
        <v>75</v>
      </c>
      <c r="G78" t="s">
        <v>76</v>
      </c>
      <c r="H78" s="78" t="s">
        <v>79</v>
      </c>
    </row>
    <row r="79" spans="4:8" x14ac:dyDescent="0.25">
      <c r="D79" t="s">
        <v>77</v>
      </c>
      <c r="E79" s="98">
        <v>0.13500000000000001</v>
      </c>
      <c r="G79" t="s">
        <v>77</v>
      </c>
      <c r="H79" s="98">
        <v>0.13</v>
      </c>
    </row>
    <row r="80" spans="4:8" x14ac:dyDescent="0.25">
      <c r="D80" t="s">
        <v>34</v>
      </c>
      <c r="E80" s="78" t="s">
        <v>78</v>
      </c>
      <c r="G80" t="s">
        <v>34</v>
      </c>
      <c r="H80" s="78" t="s">
        <v>80</v>
      </c>
    </row>
    <row r="81" spans="4:8" x14ac:dyDescent="0.25">
      <c r="D81" t="s">
        <v>81</v>
      </c>
      <c r="E81" s="99">
        <v>1</v>
      </c>
      <c r="G81" t="s">
        <v>81</v>
      </c>
      <c r="H81" s="99">
        <v>1</v>
      </c>
    </row>
    <row r="82" spans="4:8" x14ac:dyDescent="0.25">
      <c r="E82" s="78"/>
      <c r="H82" s="78"/>
    </row>
  </sheetData>
  <mergeCells count="2">
    <mergeCell ref="D77:E77"/>
    <mergeCell ref="G77:H77"/>
  </mergeCells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EE80D3-52C2-483A-8E1C-D760184CFC1F}">
  <sheetPr codeName="Sheet4"/>
  <dimension ref="A1:X235"/>
  <sheetViews>
    <sheetView showGridLines="0" topLeftCell="B1" zoomScale="110" zoomScaleNormal="110" workbookViewId="0">
      <selection activeCell="D15" sqref="D15"/>
    </sheetView>
  </sheetViews>
  <sheetFormatPr defaultColWidth="9.140625" defaultRowHeight="11.25" x14ac:dyDescent="0.2"/>
  <cols>
    <col min="1" max="1" width="12.5703125" style="7" customWidth="1"/>
    <col min="2" max="2" width="37.5703125" style="7" customWidth="1"/>
    <col min="3" max="3" width="15.7109375" style="7" customWidth="1"/>
    <col min="4" max="4" width="15.85546875" style="7" customWidth="1"/>
    <col min="5" max="5" width="17.42578125" style="7" customWidth="1"/>
    <col min="6" max="6" width="24.140625" style="7" customWidth="1"/>
    <col min="7" max="7" width="10.85546875" style="7" customWidth="1"/>
    <col min="8" max="8" width="18" style="7" customWidth="1"/>
    <col min="9" max="9" width="12.7109375" style="7" customWidth="1"/>
    <col min="10" max="10" width="14.85546875" style="7" customWidth="1"/>
    <col min="11" max="11" width="17" style="7" customWidth="1"/>
    <col min="12" max="12" width="13.42578125" style="7" customWidth="1"/>
    <col min="13" max="13" width="14.5703125" style="7" customWidth="1"/>
    <col min="14" max="14" width="9.7109375" style="7" customWidth="1"/>
    <col min="15" max="15" width="12.42578125" style="7" customWidth="1"/>
    <col min="16" max="16" width="12.85546875" style="7" customWidth="1"/>
    <col min="17" max="17" width="7.5703125" style="7" customWidth="1"/>
    <col min="18" max="19" width="9.140625" style="7"/>
    <col min="20" max="20" width="11.140625" style="7" bestFit="1" customWidth="1"/>
    <col min="21" max="21" width="12.85546875" style="7" customWidth="1"/>
    <col min="22" max="22" width="11.42578125" style="7" bestFit="1" customWidth="1"/>
    <col min="23" max="23" width="12.5703125" style="7" bestFit="1" customWidth="1"/>
    <col min="24" max="24" width="11.140625" style="7" bestFit="1" customWidth="1"/>
    <col min="25" max="16384" width="9.140625" style="7"/>
  </cols>
  <sheetData>
    <row r="1" spans="1:24" ht="12" x14ac:dyDescent="0.2">
      <c r="A1" s="1"/>
      <c r="B1" s="2" t="s">
        <v>0</v>
      </c>
      <c r="C1" s="3">
        <v>100000000</v>
      </c>
      <c r="D1" s="4" t="s">
        <v>1</v>
      </c>
      <c r="E1" s="5" t="s">
        <v>2</v>
      </c>
      <c r="F1" s="6"/>
      <c r="H1" s="8" t="s">
        <v>3</v>
      </c>
      <c r="I1" s="9">
        <f>T8*(-1)/C1</f>
        <v>-2.2688788903808988E-10</v>
      </c>
      <c r="N1" s="10">
        <f>M8*0.9/C1</f>
        <v>-0.11754137519291585</v>
      </c>
    </row>
    <row r="2" spans="1:24" ht="12" x14ac:dyDescent="0.2">
      <c r="A2" s="11"/>
      <c r="B2" s="12" t="s">
        <v>4</v>
      </c>
      <c r="C2" s="13">
        <v>0.12</v>
      </c>
      <c r="D2" s="14"/>
      <c r="E2" s="15" t="s">
        <v>5</v>
      </c>
      <c r="F2" s="16"/>
      <c r="H2" s="17" t="s">
        <v>6</v>
      </c>
      <c r="I2" s="18">
        <v>0.05</v>
      </c>
      <c r="M2" s="19">
        <f>(M8+N8)/C1</f>
        <v>-0.13060152799212874</v>
      </c>
    </row>
    <row r="3" spans="1:24" ht="12" x14ac:dyDescent="0.2">
      <c r="A3" s="11"/>
      <c r="B3" s="12" t="s">
        <v>7</v>
      </c>
      <c r="C3" s="20">
        <v>60</v>
      </c>
      <c r="E3" s="17" t="s">
        <v>8</v>
      </c>
      <c r="F3" s="21"/>
      <c r="H3" s="17" t="s">
        <v>9</v>
      </c>
      <c r="I3" s="22">
        <f>T12</f>
        <v>0.05</v>
      </c>
      <c r="K3" s="46">
        <v>419512.21</v>
      </c>
      <c r="L3" s="49">
        <f>K3/U16</f>
        <v>98354245.456870854</v>
      </c>
      <c r="T3" s="46">
        <v>2339837.2599999998</v>
      </c>
      <c r="U3" s="46">
        <v>3564282.02</v>
      </c>
      <c r="V3" s="46"/>
    </row>
    <row r="4" spans="1:24" ht="12" x14ac:dyDescent="0.2">
      <c r="B4" s="12" t="s">
        <v>10</v>
      </c>
      <c r="C4" s="20">
        <v>20</v>
      </c>
      <c r="E4" s="17" t="s">
        <v>11</v>
      </c>
      <c r="F4" s="23"/>
      <c r="H4" s="17"/>
      <c r="I4" s="24"/>
      <c r="L4" s="38">
        <f>L3-D15</f>
        <v>-1645754.5431291461</v>
      </c>
    </row>
    <row r="5" spans="1:24" ht="12" x14ac:dyDescent="0.2">
      <c r="B5" s="17" t="s">
        <v>12</v>
      </c>
      <c r="C5" s="25">
        <v>0</v>
      </c>
      <c r="E5" s="17" t="s">
        <v>13</v>
      </c>
      <c r="F5" s="26"/>
      <c r="H5" s="17"/>
      <c r="I5" s="24"/>
      <c r="T5" s="46"/>
      <c r="U5" s="46"/>
    </row>
    <row r="6" spans="1:24" ht="12" x14ac:dyDescent="0.2">
      <c r="B6" s="17" t="s">
        <v>14</v>
      </c>
      <c r="C6" s="25">
        <v>0</v>
      </c>
      <c r="E6" s="17" t="s">
        <v>15</v>
      </c>
      <c r="F6" s="27"/>
      <c r="H6" s="17"/>
      <c r="I6" s="24"/>
      <c r="V6" s="46"/>
    </row>
    <row r="7" spans="1:24" x14ac:dyDescent="0.2">
      <c r="B7" s="17" t="s">
        <v>16</v>
      </c>
      <c r="C7" s="28" t="s">
        <v>38</v>
      </c>
      <c r="E7" s="17" t="s">
        <v>17</v>
      </c>
      <c r="F7" s="26"/>
      <c r="H7" s="29"/>
      <c r="I7" s="30"/>
      <c r="J7" s="31"/>
      <c r="T7" s="86">
        <f>1-T8</f>
        <v>0.97731121109619101</v>
      </c>
    </row>
    <row r="8" spans="1:24" ht="12" thickBot="1" x14ac:dyDescent="0.25">
      <c r="B8" s="32" t="s">
        <v>18</v>
      </c>
      <c r="C8" s="33">
        <v>0.12</v>
      </c>
      <c r="E8" s="34"/>
      <c r="F8" s="35"/>
      <c r="H8" s="36"/>
      <c r="I8" s="37"/>
      <c r="J8" s="31">
        <f t="shared" ref="J8:Q8" si="0">_xlfn.AGGREGATE(9, 6, J14:J303)</f>
        <v>86947033.245495379</v>
      </c>
      <c r="K8" s="38" t="e">
        <f>D15+J12</f>
        <v>#VALUE!</v>
      </c>
      <c r="L8" s="31">
        <f t="shared" si="0"/>
        <v>13060152.799212873</v>
      </c>
      <c r="M8" s="31">
        <f t="shared" si="0"/>
        <v>-13060152.799212873</v>
      </c>
      <c r="N8" s="31">
        <f t="shared" si="0"/>
        <v>0</v>
      </c>
      <c r="O8" s="31">
        <f t="shared" si="0"/>
        <v>124290419.76708171</v>
      </c>
      <c r="P8" s="31">
        <f t="shared" si="0"/>
        <v>124290419.76708171</v>
      </c>
      <c r="Q8" s="31">
        <f t="shared" si="0"/>
        <v>0</v>
      </c>
      <c r="T8" s="86">
        <v>2.2688788903808987E-2</v>
      </c>
      <c r="V8" s="46"/>
      <c r="W8" s="46"/>
    </row>
    <row r="9" spans="1:24" x14ac:dyDescent="0.2">
      <c r="B9" s="11"/>
      <c r="C9" s="90"/>
      <c r="E9" s="31"/>
      <c r="F9" s="59"/>
      <c r="J9" s="31"/>
      <c r="K9" s="38"/>
      <c r="L9" s="31"/>
      <c r="M9" s="31"/>
      <c r="N9" s="31"/>
      <c r="O9" s="31"/>
      <c r="P9" s="31"/>
      <c r="Q9" s="31"/>
      <c r="T9" s="86"/>
      <c r="V9" s="46"/>
      <c r="W9" s="46"/>
    </row>
    <row r="10" spans="1:24" x14ac:dyDescent="0.2">
      <c r="B10" s="11"/>
      <c r="C10" s="91">
        <v>979347.34</v>
      </c>
      <c r="E10" s="31"/>
      <c r="F10" s="59"/>
      <c r="J10" s="31"/>
      <c r="K10" s="38"/>
      <c r="L10" s="31"/>
      <c r="M10" s="31"/>
      <c r="N10" s="31"/>
      <c r="O10" s="31"/>
      <c r="P10" s="31"/>
      <c r="Q10" s="31"/>
      <c r="T10" s="86"/>
      <c r="V10" s="46"/>
      <c r="W10" s="46"/>
    </row>
    <row r="11" spans="1:24" x14ac:dyDescent="0.2">
      <c r="B11" s="11"/>
      <c r="C11" s="91">
        <f>C10/((C2/12)*(1-U16))</f>
        <v>98354246.21322608</v>
      </c>
      <c r="D11" s="38">
        <f>C15-C11</f>
        <v>1645753.7867739201</v>
      </c>
      <c r="E11" s="31"/>
      <c r="F11" s="59"/>
      <c r="J11" s="31"/>
      <c r="K11" s="38"/>
      <c r="L11" s="31"/>
      <c r="M11" s="31"/>
      <c r="N11" s="31"/>
      <c r="O11" s="31"/>
      <c r="P11" s="31"/>
      <c r="Q11" s="31"/>
      <c r="T11" s="86"/>
      <c r="V11" s="46"/>
      <c r="W11" s="46"/>
    </row>
    <row r="12" spans="1:24" ht="45" customHeight="1" x14ac:dyDescent="0.2">
      <c r="A12" s="49">
        <v>-2214956.7997302408</v>
      </c>
      <c r="B12" s="87">
        <f>PMT(C2/12,60,C1)</f>
        <v>-2224444.7684901771</v>
      </c>
      <c r="C12" s="38"/>
      <c r="D12" s="88">
        <f>D15-W16</f>
        <v>3985591.3807658702</v>
      </c>
      <c r="E12" s="38">
        <f>D14-F12-L15</f>
        <v>112000000</v>
      </c>
      <c r="F12" s="55">
        <f>H15-C1*C2/1</f>
        <v>-12000000</v>
      </c>
      <c r="G12" s="38" t="e">
        <f>I12+I15</f>
        <v>#VALUE!</v>
      </c>
      <c r="H12" s="46" t="s">
        <v>50</v>
      </c>
      <c r="I12" s="38" t="e">
        <f>H12-H15</f>
        <v>#VALUE!</v>
      </c>
      <c r="J12" s="38" t="s">
        <v>50</v>
      </c>
      <c r="K12" s="38">
        <f>J15-L15</f>
        <v>0</v>
      </c>
      <c r="N12" s="39">
        <v>1</v>
      </c>
      <c r="O12" s="11"/>
      <c r="P12" s="40"/>
      <c r="Q12" s="11"/>
      <c r="R12" s="40">
        <v>0</v>
      </c>
      <c r="S12" s="11"/>
      <c r="T12" s="41">
        <v>0.05</v>
      </c>
      <c r="U12" s="11"/>
      <c r="V12" s="49"/>
    </row>
    <row r="13" spans="1:24" ht="22.5" customHeight="1" x14ac:dyDescent="0.2">
      <c r="B13" s="42" t="s">
        <v>19</v>
      </c>
      <c r="C13" s="43" t="s">
        <v>20</v>
      </c>
      <c r="D13" s="43" t="s">
        <v>51</v>
      </c>
      <c r="E13" s="44" t="s">
        <v>22</v>
      </c>
      <c r="F13" s="44" t="s">
        <v>23</v>
      </c>
      <c r="G13" s="44" t="s">
        <v>24</v>
      </c>
      <c r="H13" s="43" t="s">
        <v>25</v>
      </c>
      <c r="I13" s="43" t="s">
        <v>26</v>
      </c>
      <c r="J13" s="43" t="s">
        <v>27</v>
      </c>
      <c r="K13" s="43" t="s">
        <v>28</v>
      </c>
      <c r="L13" s="43" t="s">
        <v>29</v>
      </c>
      <c r="M13" s="43" t="s">
        <v>30</v>
      </c>
      <c r="N13" s="43" t="s">
        <v>31</v>
      </c>
      <c r="O13" s="43" t="s">
        <v>32</v>
      </c>
      <c r="P13" s="43" t="s">
        <v>33</v>
      </c>
      <c r="Q13" s="43"/>
      <c r="R13" s="43" t="s">
        <v>34</v>
      </c>
      <c r="S13" s="43" t="s">
        <v>35</v>
      </c>
      <c r="T13" s="43" t="s">
        <v>36</v>
      </c>
      <c r="U13" s="43" t="s">
        <v>37</v>
      </c>
      <c r="V13" s="38"/>
      <c r="W13" s="38"/>
    </row>
    <row r="14" spans="1:24" x14ac:dyDescent="0.2">
      <c r="A14" s="62">
        <f>D14/C$1</f>
        <v>1</v>
      </c>
      <c r="B14" s="45">
        <v>0</v>
      </c>
      <c r="C14" s="46">
        <f>C1</f>
        <v>100000000</v>
      </c>
      <c r="D14" s="47">
        <f>C1-L15+N15</f>
        <v>100000000</v>
      </c>
      <c r="E14" s="38">
        <f>C5</f>
        <v>0</v>
      </c>
      <c r="F14" s="38">
        <f>C$5</f>
        <v>0</v>
      </c>
      <c r="O14" s="48">
        <f>K14+I14+J14+M14+N14+G14</f>
        <v>0</v>
      </c>
      <c r="P14" s="38">
        <f>O14*(1/((1+P$12)^(B14/12)))</f>
        <v>0</v>
      </c>
    </row>
    <row r="15" spans="1:24" x14ac:dyDescent="0.2">
      <c r="A15" s="62">
        <f t="shared" ref="A15:A78" si="1">D15/C$1</f>
        <v>1</v>
      </c>
      <c r="B15" s="45">
        <f>B14+1</f>
        <v>1</v>
      </c>
      <c r="C15" s="49">
        <f>IF(B15&lt;C$4,C$1,D14-J15)</f>
        <v>100000000</v>
      </c>
      <c r="D15" s="47" cm="1">
        <f t="array" ref="D15">_xlfn.IFS(AND($C$7="Y",B15&lt;C$4),C15,AND($C$7="Y",B15=C$4),D14+F15-J15-K15-L15+N15,AND($C$7="Y",B15&gt;$C$4),D14-J15-K15-L15+N15, TRUE, D14-J15-K15-L15+N15)</f>
        <v>100000000</v>
      </c>
      <c r="E15" s="48">
        <f>IF(AND($C$7="Y",B15&lt;=$C$4),D14*C$2/12-G15,0)</f>
        <v>0</v>
      </c>
      <c r="F15" s="50">
        <f>IF(AND($C$7="Y",B15&lt;=C$4),E15+F14,0)</f>
        <v>0</v>
      </c>
      <c r="G15" s="50">
        <f>IF(AND(C$7="Y",$B15&lt;=$C$4),C$6,0)</f>
        <v>0</v>
      </c>
      <c r="H15" s="51">
        <f>IF(AND($B15&lt;=$C$4,C$7="Y"),0,IF(AND(C$7="N",C$4&gt;0,B15&lt;=C$4),0,D14*C$2/12/(1-(1/(1+C$2/12))^(C$3+C$4-B15+1))))</f>
        <v>0</v>
      </c>
      <c r="I15" s="52">
        <f>IF(AND(C$7="Y",$B15&lt;=C$4),0,IF(AND(C$7="Y",$B15&gt;C$4),(1-U15)*C$2*C14/12,IF(AND($C$7="N",C$4&gt;0),(1-U15)*C14*C$2/12, (1-U15)*C14*C$2/12)))</f>
        <v>995734.68122243939</v>
      </c>
      <c r="J15" s="57">
        <f>IF(AND($B15&lt;=$C$4,C$7="Y"),0,IF(AND(C$7="N",C$4&gt;0,B15&lt;=C$4),0,H15-I15))</f>
        <v>0</v>
      </c>
      <c r="K15" s="51">
        <f>IF(AND(C$7="Y",$B15&lt;=$C$4),0,IF(AND(C$7="N",C$4&gt;0,B15&lt;=C$4),0,S15*(C15-J15)))</f>
        <v>0</v>
      </c>
      <c r="L15" s="49">
        <f>IF(AND(C$7="Y",$B15&lt;=$C$4),0,IF(AND(C$7="N",C$4&gt;0,B15&lt;=C$4),0,U15*C14))</f>
        <v>0</v>
      </c>
      <c r="M15" s="49">
        <f>IFERROR(#REF!*-1,0)</f>
        <v>0</v>
      </c>
      <c r="N15" s="49">
        <f>IFERROR((1-$N$12)*#REF!,0)</f>
        <v>0</v>
      </c>
      <c r="O15" s="48">
        <f>K15+I15+J15-L15+N15+G15</f>
        <v>995734.68122243939</v>
      </c>
      <c r="P15" s="38">
        <f>O15*(1/((1+P$12)^(B15/12)))</f>
        <v>995734.68122243939</v>
      </c>
      <c r="Q15" s="53"/>
      <c r="R15" s="53">
        <f>R$12</f>
        <v>0</v>
      </c>
      <c r="S15" s="53">
        <f>1-(1-R15)^(1/12)</f>
        <v>0</v>
      </c>
      <c r="T15" s="53">
        <f>T$12</f>
        <v>0.05</v>
      </c>
      <c r="U15" s="53">
        <f>1-(1-T15)^(1/12)</f>
        <v>4.2653187775606449E-3</v>
      </c>
      <c r="V15" s="38">
        <f>C$2*D14/12</f>
        <v>1000000</v>
      </c>
      <c r="W15" s="89">
        <f>S15*D14</f>
        <v>0</v>
      </c>
    </row>
    <row r="16" spans="1:24" x14ac:dyDescent="0.2">
      <c r="A16" s="62">
        <f t="shared" si="1"/>
        <v>1</v>
      </c>
      <c r="B16" s="45">
        <f t="shared" ref="B16:B79" si="2">B15+1</f>
        <v>2</v>
      </c>
      <c r="C16" s="49">
        <f t="shared" ref="C16:C39" si="3">IF(B16&lt;C$4,C$1,D15)</f>
        <v>100000000</v>
      </c>
      <c r="D16" s="47" cm="1">
        <f t="array" ref="D16">_xlfn.IFS(AND($C$7="Y",B16&lt;C$4),C16,AND($C$7="Y",B16=C$4),D15+F16-J16-K16-L16+N16,AND($C$7="Y",B16&gt;$C$4),D15-J16-K16-L16+N16, TRUE, D15-J16-K16-L16+N16)</f>
        <v>100000000</v>
      </c>
      <c r="E16" s="48">
        <f t="shared" ref="E16:E79" si="4">IF(AND($C$7="Y",B16&lt;=$C$4),D15*C$2/12-G16,0)</f>
        <v>0</v>
      </c>
      <c r="F16" s="50">
        <f t="shared" ref="F16:F79" si="5">IF(AND($C$7="Y",B16&lt;=C$4),E16+F15,0)</f>
        <v>0</v>
      </c>
      <c r="G16" s="50">
        <f>IF(AND(C$7="Y",$B16&lt;=$C$4),C$6,0)</f>
        <v>0</v>
      </c>
      <c r="H16" s="51">
        <f>IF(AND($B16&lt;=$C$4,C$7="Y"),0,IF(AND(C$7="N",C$4&gt;0,B16&lt;=C$4),0,D15*C$2/12/(1-(1/(1+C$2/12))^(C$3+C$4-B16+1))))</f>
        <v>0</v>
      </c>
      <c r="I16" s="52">
        <f>IF(AND(C$7="Y",$B16&lt;=C$4),0,IF(AND(C$7="Y",$B16&gt;C$4),(1-U16)*C$2*C15/12,IF(AND($C$7="N",C$4&gt;0),(1-U16)*C15*C$2/12, (1-U16)*C15*C$2/12)))</f>
        <v>995734.68122243939</v>
      </c>
      <c r="J16" s="52">
        <f>IF(AND($B16&lt;=$C$4,C$7="Y"),0,IF(AND(C$7="N",C$4&gt;0,B16&lt;=C$4),0,H16-I16))</f>
        <v>0</v>
      </c>
      <c r="K16" s="51">
        <f>IF(AND(C$7="Y",$B16&lt;=$C$4),0,IF(AND(C$7="N",C$4&gt;0,B16&lt;=C$4),0,S16*(C16-J16)))</f>
        <v>0</v>
      </c>
      <c r="L16" s="49">
        <f>IF(AND(C$7="Y",$B16&lt;=$C$4),0,IF(AND(C$7="N",C$4&gt;0,B16&lt;=C$4),0,U16*D15))</f>
        <v>0</v>
      </c>
      <c r="M16" s="49">
        <f>IFERROR(L12*-1,0)</f>
        <v>0</v>
      </c>
      <c r="N16" s="49">
        <f>IFERROR((1-$N$12)*K8,0)</f>
        <v>0</v>
      </c>
      <c r="O16" s="48">
        <f t="shared" ref="O16:O34" si="6">K16+I16+J16-L16+N16+G16</f>
        <v>995734.68122243939</v>
      </c>
      <c r="P16" s="38">
        <f t="shared" ref="P16:P39" si="7">O16*(1/((1+P$12)^(B16/12)))</f>
        <v>995734.68122243939</v>
      </c>
      <c r="Q16" s="53"/>
      <c r="R16" s="53">
        <f t="shared" ref="R16:R79" si="8">R$12</f>
        <v>0</v>
      </c>
      <c r="S16" s="86">
        <f t="shared" ref="S16:S79" si="9">1-(1-R16)^(1/12)</f>
        <v>0</v>
      </c>
      <c r="T16" s="53">
        <f t="shared" ref="T16:T79" si="10">T$12</f>
        <v>0.05</v>
      </c>
      <c r="U16" s="86">
        <f>1-(1-T16)^(1/12)</f>
        <v>4.2653187775606449E-3</v>
      </c>
      <c r="V16" s="46">
        <v>409532.06</v>
      </c>
      <c r="W16" s="49">
        <f>V16/U16</f>
        <v>96014408.61923413</v>
      </c>
      <c r="X16" s="38">
        <f>D15-W16</f>
        <v>3985591.3807658702</v>
      </c>
    </row>
    <row r="17" spans="1:24" x14ac:dyDescent="0.2">
      <c r="A17" s="62">
        <f t="shared" si="1"/>
        <v>1</v>
      </c>
      <c r="B17" s="45">
        <f t="shared" si="2"/>
        <v>3</v>
      </c>
      <c r="C17" s="49">
        <f t="shared" si="3"/>
        <v>100000000</v>
      </c>
      <c r="D17" s="47" cm="1">
        <f t="array" ref="D17">_xlfn.IFS(AND($C$7="Y",B17&lt;C$4),C17,AND($C$7="Y",B17=C$4),D16+F17-J17-K17-L17+N17,AND($C$7="Y",B17&gt;$C$4),D16-J17-K17-L17+N17, TRUE, D16-J17-K17-L17+N17)</f>
        <v>100000000</v>
      </c>
      <c r="E17" s="48">
        <f t="shared" si="4"/>
        <v>0</v>
      </c>
      <c r="F17" s="50">
        <f t="shared" si="5"/>
        <v>0</v>
      </c>
      <c r="G17" s="50">
        <f>IF(AND(C$7="Y",$B17&lt;=$C$4),C$6,0)</f>
        <v>0</v>
      </c>
      <c r="H17" s="51">
        <f t="shared" ref="H17:H39" si="11">IF(AND($B17&lt;=$C$4,C$7="Y"),0,IF(AND(C$7="N",C$4&gt;0,B17&lt;=C$4),0,D16*C$2/12/(1-(1/(1+C$2/12))^(C$3+C$4-B17+1))))</f>
        <v>0</v>
      </c>
      <c r="I17" s="52">
        <f t="shared" ref="I17:I79" si="12">IF(AND(C$7="Y",$B17&lt;=C$4),0,IF(AND(C$7="Y",$B17&gt;C$4),(1-U17)*C$2*D16/12,IF(AND($C$7="N",C$4&gt;0),(1-U17)*D16*C$2/12, (1-U17)*D16*C$2/12)))</f>
        <v>995734.68122243939</v>
      </c>
      <c r="J17" s="52">
        <f>IF(AND($B17&lt;=$C$4,C$7="Y"),0,IF(AND(C$7="N",C$4&gt;0,B17&lt;=C$4),0,H17-I17))</f>
        <v>0</v>
      </c>
      <c r="K17" s="51">
        <f t="shared" ref="K17:K29" si="13">IF(AND(C$7="Y",$B17&lt;=$C$4),0,IF(AND(C$7="N",C$4&gt;0,B17&lt;=C$4),0,S17*(C17-J17)))</f>
        <v>0</v>
      </c>
      <c r="L17" s="49">
        <f t="shared" ref="L17:L21" si="14">IF(AND(C$7="Y",$B17&lt;=$C$4),0,IF(AND(C$7="N",C$4&gt;0,B17&lt;=C$4),0,U17*D16))</f>
        <v>0</v>
      </c>
      <c r="M17" s="49">
        <f>IFERROR(L13*-1,0)</f>
        <v>0</v>
      </c>
      <c r="N17" s="49">
        <f t="shared" ref="N17:N18" si="15">IFERROR((1-$N$12)*L13,0)</f>
        <v>0</v>
      </c>
      <c r="O17" s="48">
        <f t="shared" si="6"/>
        <v>995734.68122243939</v>
      </c>
      <c r="P17" s="38">
        <f t="shared" si="7"/>
        <v>995734.68122243939</v>
      </c>
      <c r="Q17" s="53"/>
      <c r="R17" s="53">
        <f t="shared" si="8"/>
        <v>0</v>
      </c>
      <c r="S17" s="53">
        <f t="shared" si="9"/>
        <v>0</v>
      </c>
      <c r="T17" s="53">
        <f t="shared" si="10"/>
        <v>0.05</v>
      </c>
      <c r="U17" s="53">
        <f t="shared" ref="U17:U80" si="16">1-(1-T17)^(1/12)</f>
        <v>4.2653187775606449E-3</v>
      </c>
      <c r="X17" s="38"/>
    </row>
    <row r="18" spans="1:24" x14ac:dyDescent="0.2">
      <c r="A18" s="62">
        <f t="shared" si="1"/>
        <v>1</v>
      </c>
      <c r="B18" s="45">
        <f t="shared" si="2"/>
        <v>4</v>
      </c>
      <c r="C18" s="49">
        <f t="shared" si="3"/>
        <v>100000000</v>
      </c>
      <c r="D18" s="47" cm="1">
        <f t="array" ref="D18">_xlfn.IFS(AND($C$7="Y",B18&lt;C$4),C18,AND($C$7="Y",B18=C$4),D17+F18-J18-K18-L18+N18,AND($C$7="Y",B18&gt;$C$4),D17-J18-K18-L18+N18, TRUE, D17-J18-K18-L18+N18)</f>
        <v>100000000</v>
      </c>
      <c r="E18" s="48">
        <f t="shared" si="4"/>
        <v>0</v>
      </c>
      <c r="F18" s="50">
        <f t="shared" si="5"/>
        <v>0</v>
      </c>
      <c r="G18" s="50">
        <f t="shared" ref="G18:G81" si="17">IF($B18&lt;=$C$4,C$6,0)</f>
        <v>0</v>
      </c>
      <c r="H18" s="51">
        <f t="shared" si="11"/>
        <v>0</v>
      </c>
      <c r="I18" s="52">
        <f t="shared" si="12"/>
        <v>995734.68122243939</v>
      </c>
      <c r="J18" s="52">
        <f t="shared" ref="J18:J29" si="18">IF(AND($B18&lt;=$C$4,C$7="Y"),0,IF(AND(C$7="N",C$4&gt;0,B18&lt;=C$4),0,H18-I18))</f>
        <v>0</v>
      </c>
      <c r="K18" s="51">
        <f t="shared" si="13"/>
        <v>0</v>
      </c>
      <c r="L18" s="49">
        <f t="shared" si="14"/>
        <v>0</v>
      </c>
      <c r="M18" s="49">
        <f t="shared" ref="M18" si="19">IFERROR(L14*-1,0)</f>
        <v>0</v>
      </c>
      <c r="N18" s="49">
        <f t="shared" si="15"/>
        <v>0</v>
      </c>
      <c r="O18" s="48">
        <f t="shared" si="6"/>
        <v>995734.68122243939</v>
      </c>
      <c r="P18" s="38">
        <f t="shared" si="7"/>
        <v>995734.68122243939</v>
      </c>
      <c r="Q18" s="53"/>
      <c r="R18" s="53">
        <f t="shared" si="8"/>
        <v>0</v>
      </c>
      <c r="S18" s="53">
        <f t="shared" si="9"/>
        <v>0</v>
      </c>
      <c r="T18" s="53">
        <f t="shared" si="10"/>
        <v>0.05</v>
      </c>
      <c r="U18" s="53">
        <f t="shared" si="16"/>
        <v>4.2653187775606449E-3</v>
      </c>
    </row>
    <row r="19" spans="1:24" x14ac:dyDescent="0.2">
      <c r="A19" s="62">
        <f t="shared" si="1"/>
        <v>1</v>
      </c>
      <c r="B19" s="45">
        <f t="shared" si="2"/>
        <v>5</v>
      </c>
      <c r="C19" s="49">
        <f t="shared" si="3"/>
        <v>100000000</v>
      </c>
      <c r="D19" s="47" cm="1">
        <f t="array" ref="D19">_xlfn.IFS(AND($C$7="Y",B19&lt;C$4),C19,AND($C$7="Y",B19=C$4),D18+F19-J19-K19-L19+N19,AND($C$7="Y",B19&gt;$C$4),D18-J19-K19-L19+N19, TRUE, D18-J19-K19-L19+N19)</f>
        <v>100000000</v>
      </c>
      <c r="E19" s="48">
        <f t="shared" si="4"/>
        <v>0</v>
      </c>
      <c r="F19" s="50">
        <f t="shared" si="5"/>
        <v>0</v>
      </c>
      <c r="G19" s="50">
        <f t="shared" si="17"/>
        <v>0</v>
      </c>
      <c r="H19" s="51">
        <f t="shared" si="11"/>
        <v>0</v>
      </c>
      <c r="I19" s="52">
        <f t="shared" si="12"/>
        <v>995734.68122243939</v>
      </c>
      <c r="J19" s="52">
        <f>IF(AND($B19&lt;=$C$4,C$7="Y"),0,IF(AND(C$7="N",C$4&gt;0,B19&lt;=C$4),0,H19-I19))</f>
        <v>0</v>
      </c>
      <c r="K19" s="51">
        <f t="shared" si="13"/>
        <v>0</v>
      </c>
      <c r="L19" s="49">
        <f t="shared" si="14"/>
        <v>0</v>
      </c>
      <c r="M19" s="49">
        <f>IFERROR(L15*-1,0)</f>
        <v>0</v>
      </c>
      <c r="N19" s="49">
        <f>IFERROR((1-$N$12)*L15,0)</f>
        <v>0</v>
      </c>
      <c r="O19" s="48">
        <f t="shared" si="6"/>
        <v>995734.68122243939</v>
      </c>
      <c r="P19" s="38">
        <f t="shared" si="7"/>
        <v>995734.68122243939</v>
      </c>
      <c r="Q19" s="53"/>
      <c r="R19" s="53">
        <f t="shared" si="8"/>
        <v>0</v>
      </c>
      <c r="S19" s="53">
        <f t="shared" si="9"/>
        <v>0</v>
      </c>
      <c r="T19" s="53">
        <f t="shared" si="10"/>
        <v>0.05</v>
      </c>
      <c r="U19" s="53">
        <f t="shared" si="16"/>
        <v>4.2653187775606449E-3</v>
      </c>
    </row>
    <row r="20" spans="1:24" x14ac:dyDescent="0.2">
      <c r="A20" s="62">
        <f t="shared" si="1"/>
        <v>1</v>
      </c>
      <c r="B20" s="45">
        <f t="shared" si="2"/>
        <v>6</v>
      </c>
      <c r="C20" s="49">
        <f t="shared" si="3"/>
        <v>100000000</v>
      </c>
      <c r="D20" s="47" cm="1">
        <f t="array" ref="D20">_xlfn.IFS(AND($C$7="Y",B20&lt;C$4),C20,AND($C$7="Y",B20=C$4),D19+F20-J20-K20-L20+N20,AND($C$7="Y",B20&gt;$C$4),D19-J20-K20-L20+N20, TRUE, D19-J20-K20-L20+N20)</f>
        <v>100000000</v>
      </c>
      <c r="E20" s="48">
        <f t="shared" si="4"/>
        <v>0</v>
      </c>
      <c r="F20" s="50">
        <f t="shared" si="5"/>
        <v>0</v>
      </c>
      <c r="G20" s="50">
        <f t="shared" si="17"/>
        <v>0</v>
      </c>
      <c r="H20" s="51">
        <f t="shared" si="11"/>
        <v>0</v>
      </c>
      <c r="I20" s="52">
        <f t="shared" si="12"/>
        <v>995734.68122243939</v>
      </c>
      <c r="J20" s="52">
        <f t="shared" si="18"/>
        <v>0</v>
      </c>
      <c r="K20" s="51">
        <f t="shared" si="13"/>
        <v>0</v>
      </c>
      <c r="L20" s="49">
        <f t="shared" si="14"/>
        <v>0</v>
      </c>
      <c r="M20" s="49">
        <f t="shared" ref="M20:M23" si="20">IFERROR(L16*-1,0)</f>
        <v>0</v>
      </c>
      <c r="N20" s="49">
        <f>IFERROR((1-$N$12)*L16,0)</f>
        <v>0</v>
      </c>
      <c r="O20" s="48">
        <f t="shared" si="6"/>
        <v>995734.68122243939</v>
      </c>
      <c r="P20" s="38">
        <f t="shared" si="7"/>
        <v>995734.68122243939</v>
      </c>
      <c r="Q20" s="53"/>
      <c r="R20" s="53">
        <f t="shared" si="8"/>
        <v>0</v>
      </c>
      <c r="S20" s="53">
        <f t="shared" si="9"/>
        <v>0</v>
      </c>
      <c r="T20" s="53">
        <f t="shared" si="10"/>
        <v>0.05</v>
      </c>
      <c r="U20" s="53">
        <f t="shared" si="16"/>
        <v>4.2653187775606449E-3</v>
      </c>
    </row>
    <row r="21" spans="1:24" x14ac:dyDescent="0.2">
      <c r="A21" s="62">
        <f t="shared" si="1"/>
        <v>1</v>
      </c>
      <c r="B21" s="45">
        <f t="shared" si="2"/>
        <v>7</v>
      </c>
      <c r="C21" s="49">
        <f t="shared" si="3"/>
        <v>100000000</v>
      </c>
      <c r="D21" s="47" cm="1">
        <f t="array" ref="D21">_xlfn.IFS(AND($C$7="Y",B21&lt;C$4),C21,AND($C$7="Y",B21=C$4),D20+F21-J21-K21-L21+N21,AND($C$7="Y",B21&gt;$C$4),D20-J21-K21-L21+N21, TRUE, D20-J21-K21-L21+N21)</f>
        <v>100000000</v>
      </c>
      <c r="E21" s="48">
        <f t="shared" si="4"/>
        <v>0</v>
      </c>
      <c r="F21" s="50">
        <f t="shared" si="5"/>
        <v>0</v>
      </c>
      <c r="G21" s="50">
        <f t="shared" si="17"/>
        <v>0</v>
      </c>
      <c r="H21" s="51">
        <f t="shared" si="11"/>
        <v>0</v>
      </c>
      <c r="I21" s="52">
        <f t="shared" si="12"/>
        <v>995734.68122243939</v>
      </c>
      <c r="J21" s="52">
        <f t="shared" si="18"/>
        <v>0</v>
      </c>
      <c r="K21" s="51">
        <f t="shared" si="13"/>
        <v>0</v>
      </c>
      <c r="L21" s="49">
        <f t="shared" si="14"/>
        <v>0</v>
      </c>
      <c r="M21" s="49">
        <f t="shared" si="20"/>
        <v>0</v>
      </c>
      <c r="N21" s="49">
        <f t="shared" ref="N21:N24" si="21">IFERROR((1-$N$12)*L17,0)</f>
        <v>0</v>
      </c>
      <c r="O21" s="48">
        <f t="shared" si="6"/>
        <v>995734.68122243939</v>
      </c>
      <c r="P21" s="38">
        <f t="shared" si="7"/>
        <v>995734.68122243939</v>
      </c>
      <c r="Q21" s="53"/>
      <c r="R21" s="53">
        <f t="shared" si="8"/>
        <v>0</v>
      </c>
      <c r="S21" s="53">
        <f t="shared" si="9"/>
        <v>0</v>
      </c>
      <c r="T21" s="53">
        <f t="shared" si="10"/>
        <v>0.05</v>
      </c>
      <c r="U21" s="53">
        <f t="shared" si="16"/>
        <v>4.2653187775606449E-3</v>
      </c>
    </row>
    <row r="22" spans="1:24" x14ac:dyDescent="0.2">
      <c r="A22" s="62">
        <f t="shared" si="1"/>
        <v>1</v>
      </c>
      <c r="B22" s="45">
        <f t="shared" si="2"/>
        <v>8</v>
      </c>
      <c r="C22" s="49">
        <f t="shared" si="3"/>
        <v>100000000</v>
      </c>
      <c r="D22" s="47" cm="1">
        <f t="array" ref="D22">_xlfn.IFS(AND($C$7="Y",B22&lt;C$4),C22,AND($C$7="Y",B22=C$4),D21+F22-J22-K22-L22+N22,AND($C$7="Y",B22&gt;$C$4),D21-J22-K22-L22+N22, TRUE, D21-J22-K22-L22+N22)</f>
        <v>100000000</v>
      </c>
      <c r="E22" s="48">
        <f t="shared" si="4"/>
        <v>0</v>
      </c>
      <c r="F22" s="50">
        <f t="shared" si="5"/>
        <v>0</v>
      </c>
      <c r="G22" s="50">
        <f t="shared" si="17"/>
        <v>0</v>
      </c>
      <c r="H22" s="51">
        <f t="shared" si="11"/>
        <v>0</v>
      </c>
      <c r="I22" s="52">
        <f t="shared" si="12"/>
        <v>995734.68122243939</v>
      </c>
      <c r="J22" s="52">
        <f t="shared" si="18"/>
        <v>0</v>
      </c>
      <c r="K22" s="51">
        <f t="shared" si="13"/>
        <v>0</v>
      </c>
      <c r="L22" s="49">
        <f>IF(AND(C$7="Y",$B22&lt;=$C$4),0,IF(AND(C$7="N",C$4&gt;0,B22&lt;=C$4),0,U22*D21))</f>
        <v>0</v>
      </c>
      <c r="M22" s="49">
        <f t="shared" si="20"/>
        <v>0</v>
      </c>
      <c r="N22" s="49">
        <f t="shared" si="21"/>
        <v>0</v>
      </c>
      <c r="O22" s="48">
        <f t="shared" si="6"/>
        <v>995734.68122243939</v>
      </c>
      <c r="P22" s="38">
        <f t="shared" si="7"/>
        <v>995734.68122243939</v>
      </c>
      <c r="Q22" s="53"/>
      <c r="R22" s="53">
        <f t="shared" si="8"/>
        <v>0</v>
      </c>
      <c r="S22" s="53">
        <f t="shared" si="9"/>
        <v>0</v>
      </c>
      <c r="T22" s="53">
        <f t="shared" si="10"/>
        <v>0.05</v>
      </c>
      <c r="U22" s="53">
        <f t="shared" si="16"/>
        <v>4.2653187775606449E-3</v>
      </c>
    </row>
    <row r="23" spans="1:24" x14ac:dyDescent="0.2">
      <c r="A23" s="62">
        <f t="shared" si="1"/>
        <v>1</v>
      </c>
      <c r="B23" s="45">
        <f t="shared" si="2"/>
        <v>9</v>
      </c>
      <c r="C23" s="49">
        <f t="shared" si="3"/>
        <v>100000000</v>
      </c>
      <c r="D23" s="47" cm="1">
        <f t="array" ref="D23">_xlfn.IFS(AND($C$7="Y",B23&lt;C$4),C23,AND($C$7="Y",B23=C$4),D22+F23-J23-K23-L23+N23,AND($C$7="Y",B23&gt;$C$4),D22-J23-K23-L23+N23, TRUE, D22-J23-K23-L23+N23)</f>
        <v>100000000</v>
      </c>
      <c r="E23" s="48">
        <f t="shared" si="4"/>
        <v>0</v>
      </c>
      <c r="F23" s="50">
        <f t="shared" si="5"/>
        <v>0</v>
      </c>
      <c r="G23" s="50">
        <f t="shared" si="17"/>
        <v>0</v>
      </c>
      <c r="H23" s="51">
        <f t="shared" si="11"/>
        <v>0</v>
      </c>
      <c r="I23" s="52">
        <f t="shared" si="12"/>
        <v>995734.68122243939</v>
      </c>
      <c r="J23" s="52">
        <f t="shared" si="18"/>
        <v>0</v>
      </c>
      <c r="K23" s="51">
        <f t="shared" si="13"/>
        <v>0</v>
      </c>
      <c r="L23" s="49">
        <f t="shared" ref="L23:L38" si="22">IF(AND(C$7="Y",$B23&lt;=$C$4),0,IF(AND(C$7="N",C$4&gt;0,B23&lt;=C$4),0,U23*D22))</f>
        <v>0</v>
      </c>
      <c r="M23" s="49">
        <f t="shared" si="20"/>
        <v>0</v>
      </c>
      <c r="N23" s="49">
        <f t="shared" si="21"/>
        <v>0</v>
      </c>
      <c r="O23" s="48">
        <f t="shared" si="6"/>
        <v>995734.68122243939</v>
      </c>
      <c r="P23" s="38">
        <f t="shared" si="7"/>
        <v>995734.68122243939</v>
      </c>
      <c r="Q23" s="53"/>
      <c r="R23" s="53">
        <f t="shared" si="8"/>
        <v>0</v>
      </c>
      <c r="S23" s="53">
        <f t="shared" si="9"/>
        <v>0</v>
      </c>
      <c r="T23" s="53">
        <f t="shared" si="10"/>
        <v>0.05</v>
      </c>
      <c r="U23" s="53">
        <f t="shared" si="16"/>
        <v>4.2653187775606449E-3</v>
      </c>
    </row>
    <row r="24" spans="1:24" x14ac:dyDescent="0.2">
      <c r="A24" s="62">
        <f t="shared" si="1"/>
        <v>1</v>
      </c>
      <c r="B24" s="45">
        <f t="shared" si="2"/>
        <v>10</v>
      </c>
      <c r="C24" s="49">
        <f t="shared" si="3"/>
        <v>100000000</v>
      </c>
      <c r="D24" s="47" cm="1">
        <f t="array" ref="D24">_xlfn.IFS(AND($C$7="Y",B24&lt;C$4),C24,AND($C$7="Y",B24=C$4),D23+F24-J24-K24-L24+N24,AND($C$7="Y",B24&gt;$C$4),D23-J24-K24-L24+N24, TRUE, D23-J24-K24-L24+N24)</f>
        <v>100000000</v>
      </c>
      <c r="E24" s="48">
        <f t="shared" si="4"/>
        <v>0</v>
      </c>
      <c r="F24" s="50">
        <f t="shared" si="5"/>
        <v>0</v>
      </c>
      <c r="G24" s="50">
        <f t="shared" si="17"/>
        <v>0</v>
      </c>
      <c r="H24" s="51">
        <f t="shared" si="11"/>
        <v>0</v>
      </c>
      <c r="I24" s="52">
        <f t="shared" si="12"/>
        <v>995734.68122243939</v>
      </c>
      <c r="J24" s="52">
        <f t="shared" si="18"/>
        <v>0</v>
      </c>
      <c r="K24" s="51">
        <f t="shared" si="13"/>
        <v>0</v>
      </c>
      <c r="L24" s="49">
        <f t="shared" si="22"/>
        <v>0</v>
      </c>
      <c r="M24" s="49">
        <f>IFERROR(L20*-1,0)</f>
        <v>0</v>
      </c>
      <c r="N24" s="49">
        <f t="shared" si="21"/>
        <v>0</v>
      </c>
      <c r="O24" s="48">
        <f t="shared" si="6"/>
        <v>995734.68122243939</v>
      </c>
      <c r="P24" s="38">
        <f t="shared" si="7"/>
        <v>995734.68122243939</v>
      </c>
      <c r="Q24" s="53"/>
      <c r="R24" s="53">
        <f t="shared" si="8"/>
        <v>0</v>
      </c>
      <c r="S24" s="53">
        <f t="shared" si="9"/>
        <v>0</v>
      </c>
      <c r="T24" s="53">
        <f t="shared" si="10"/>
        <v>0.05</v>
      </c>
      <c r="U24" s="53">
        <f t="shared" si="16"/>
        <v>4.2653187775606449E-3</v>
      </c>
    </row>
    <row r="25" spans="1:24" x14ac:dyDescent="0.2">
      <c r="A25" s="62">
        <f t="shared" si="1"/>
        <v>1</v>
      </c>
      <c r="B25" s="45">
        <f t="shared" si="2"/>
        <v>11</v>
      </c>
      <c r="C25" s="49">
        <f t="shared" si="3"/>
        <v>100000000</v>
      </c>
      <c r="D25" s="47" cm="1">
        <f t="array" ref="D25">_xlfn.IFS(AND($C$7="Y",B25&lt;C$4),C25,AND($C$7="Y",B25=C$4),D24+F25-J25-K25-L25+N25,AND($C$7="Y",B25&gt;$C$4),D24-J25-K25-L25+N25, TRUE, D24-J25-K25-L25+N25)</f>
        <v>100000000</v>
      </c>
      <c r="E25" s="48">
        <f t="shared" si="4"/>
        <v>0</v>
      </c>
      <c r="F25" s="50">
        <f t="shared" si="5"/>
        <v>0</v>
      </c>
      <c r="G25" s="50">
        <f t="shared" si="17"/>
        <v>0</v>
      </c>
      <c r="H25" s="51">
        <f t="shared" si="11"/>
        <v>0</v>
      </c>
      <c r="I25" s="52">
        <f t="shared" si="12"/>
        <v>995734.68122243939</v>
      </c>
      <c r="J25" s="52">
        <f t="shared" si="18"/>
        <v>0</v>
      </c>
      <c r="K25" s="51">
        <f t="shared" si="13"/>
        <v>0</v>
      </c>
      <c r="L25" s="49">
        <f t="shared" si="22"/>
        <v>0</v>
      </c>
      <c r="M25" s="49">
        <f t="shared" ref="M25:M28" si="23">IFERROR(L21*-1,0)</f>
        <v>0</v>
      </c>
      <c r="N25" s="49">
        <f>IFERROR((1-$N$12)*L21,0)</f>
        <v>0</v>
      </c>
      <c r="O25" s="48">
        <f t="shared" si="6"/>
        <v>995734.68122243939</v>
      </c>
      <c r="P25" s="38">
        <f t="shared" si="7"/>
        <v>995734.68122243939</v>
      </c>
      <c r="Q25" s="53"/>
      <c r="R25" s="53">
        <f t="shared" si="8"/>
        <v>0</v>
      </c>
      <c r="S25" s="53">
        <f t="shared" si="9"/>
        <v>0</v>
      </c>
      <c r="T25" s="53">
        <f t="shared" si="10"/>
        <v>0.05</v>
      </c>
      <c r="U25" s="53">
        <f t="shared" si="16"/>
        <v>4.2653187775606449E-3</v>
      </c>
    </row>
    <row r="26" spans="1:24" x14ac:dyDescent="0.2">
      <c r="A26" s="62">
        <f t="shared" si="1"/>
        <v>1</v>
      </c>
      <c r="B26" s="45">
        <f t="shared" si="2"/>
        <v>12</v>
      </c>
      <c r="C26" s="49">
        <f t="shared" si="3"/>
        <v>100000000</v>
      </c>
      <c r="D26" s="47" cm="1">
        <f t="array" ref="D26">_xlfn.IFS(AND($C$7="Y",B26&lt;C$4),C26,AND($C$7="Y",B26=C$4),D25+F26-J26-K26-L26+N26,AND($C$7="Y",B26&gt;$C$4),D25-J26-K26-L26+N26, TRUE, D25-J26-K26-L26+N26)</f>
        <v>100000000</v>
      </c>
      <c r="E26" s="48">
        <f t="shared" si="4"/>
        <v>0</v>
      </c>
      <c r="F26" s="50">
        <f t="shared" si="5"/>
        <v>0</v>
      </c>
      <c r="G26" s="50">
        <f t="shared" si="17"/>
        <v>0</v>
      </c>
      <c r="H26" s="51">
        <f t="shared" si="11"/>
        <v>0</v>
      </c>
      <c r="I26" s="52">
        <f t="shared" si="12"/>
        <v>995734.68122243939</v>
      </c>
      <c r="J26" s="52">
        <f t="shared" si="18"/>
        <v>0</v>
      </c>
      <c r="K26" s="51">
        <f t="shared" si="13"/>
        <v>0</v>
      </c>
      <c r="L26" s="49">
        <f t="shared" si="22"/>
        <v>0</v>
      </c>
      <c r="M26" s="49">
        <f t="shared" si="23"/>
        <v>0</v>
      </c>
      <c r="N26" s="49">
        <f t="shared" ref="N26:N33" si="24">IFERROR((1-$N$12)*L22,0)</f>
        <v>0</v>
      </c>
      <c r="O26" s="48">
        <f t="shared" si="6"/>
        <v>995734.68122243939</v>
      </c>
      <c r="P26" s="38">
        <f t="shared" si="7"/>
        <v>995734.68122243939</v>
      </c>
      <c r="Q26" s="53"/>
      <c r="R26" s="53">
        <f t="shared" si="8"/>
        <v>0</v>
      </c>
      <c r="S26" s="53">
        <f t="shared" si="9"/>
        <v>0</v>
      </c>
      <c r="T26" s="53">
        <f t="shared" si="10"/>
        <v>0.05</v>
      </c>
      <c r="U26" s="53">
        <f t="shared" si="16"/>
        <v>4.2653187775606449E-3</v>
      </c>
    </row>
    <row r="27" spans="1:24" x14ac:dyDescent="0.2">
      <c r="A27" s="62">
        <f t="shared" si="1"/>
        <v>1</v>
      </c>
      <c r="B27" s="45">
        <f t="shared" si="2"/>
        <v>13</v>
      </c>
      <c r="C27" s="49">
        <f t="shared" si="3"/>
        <v>100000000</v>
      </c>
      <c r="D27" s="47" cm="1">
        <f t="array" ref="D27">_xlfn.IFS(AND($C$7="Y",B27&lt;C$4),C27,AND($C$7="Y",B27=C$4),D26+F27-J27-K27-L27+N27,AND($C$7="Y",B27&gt;$C$4),D26-J27-K27-L27+N27, TRUE, D26-J27-K27-L27+N27)</f>
        <v>100000000</v>
      </c>
      <c r="E27" s="48">
        <f t="shared" si="4"/>
        <v>0</v>
      </c>
      <c r="F27" s="50">
        <f t="shared" si="5"/>
        <v>0</v>
      </c>
      <c r="G27" s="50">
        <f t="shared" si="17"/>
        <v>0</v>
      </c>
      <c r="H27" s="51">
        <f t="shared" si="11"/>
        <v>0</v>
      </c>
      <c r="I27" s="52">
        <f t="shared" si="12"/>
        <v>995734.68122243939</v>
      </c>
      <c r="J27" s="52">
        <f t="shared" si="18"/>
        <v>0</v>
      </c>
      <c r="K27" s="51">
        <f t="shared" si="13"/>
        <v>0</v>
      </c>
      <c r="L27" s="49">
        <f t="shared" si="22"/>
        <v>0</v>
      </c>
      <c r="M27" s="49">
        <f t="shared" si="23"/>
        <v>0</v>
      </c>
      <c r="N27" s="49">
        <f t="shared" si="24"/>
        <v>0</v>
      </c>
      <c r="O27" s="48">
        <f t="shared" si="6"/>
        <v>995734.68122243939</v>
      </c>
      <c r="P27" s="38">
        <f t="shared" si="7"/>
        <v>995734.68122243939</v>
      </c>
      <c r="Q27" s="53"/>
      <c r="R27" s="53">
        <f t="shared" si="8"/>
        <v>0</v>
      </c>
      <c r="S27" s="53">
        <f t="shared" si="9"/>
        <v>0</v>
      </c>
      <c r="T27" s="53">
        <f t="shared" si="10"/>
        <v>0.05</v>
      </c>
      <c r="U27" s="53">
        <f t="shared" si="16"/>
        <v>4.2653187775606449E-3</v>
      </c>
    </row>
    <row r="28" spans="1:24" x14ac:dyDescent="0.2">
      <c r="A28" s="62">
        <f t="shared" si="1"/>
        <v>1</v>
      </c>
      <c r="B28" s="45">
        <f t="shared" si="2"/>
        <v>14</v>
      </c>
      <c r="C28" s="49">
        <f t="shared" si="3"/>
        <v>100000000</v>
      </c>
      <c r="D28" s="47" cm="1">
        <f t="array" ref="D28">_xlfn.IFS(AND($C$7="Y",B28&lt;C$4),C28,AND($C$7="Y",B28=C$4),D27+F28-J28-K28-L28+N28,AND($C$7="Y",B28&gt;$C$4),D27-J28-K28-L28+N28, TRUE, D27-J28-K28-L28+N28)</f>
        <v>100000000</v>
      </c>
      <c r="E28" s="48">
        <f t="shared" si="4"/>
        <v>0</v>
      </c>
      <c r="F28" s="50">
        <f t="shared" si="5"/>
        <v>0</v>
      </c>
      <c r="G28" s="50">
        <f t="shared" si="17"/>
        <v>0</v>
      </c>
      <c r="H28" s="51">
        <f t="shared" si="11"/>
        <v>0</v>
      </c>
      <c r="I28" s="52">
        <f t="shared" si="12"/>
        <v>995734.68122243939</v>
      </c>
      <c r="J28" s="52">
        <f t="shared" si="18"/>
        <v>0</v>
      </c>
      <c r="K28" s="51">
        <f t="shared" si="13"/>
        <v>0</v>
      </c>
      <c r="L28" s="49">
        <f t="shared" si="22"/>
        <v>0</v>
      </c>
      <c r="M28" s="49">
        <f t="shared" si="23"/>
        <v>0</v>
      </c>
      <c r="N28" s="49">
        <f t="shared" si="24"/>
        <v>0</v>
      </c>
      <c r="O28" s="48">
        <f t="shared" si="6"/>
        <v>995734.68122243939</v>
      </c>
      <c r="P28" s="38">
        <f t="shared" si="7"/>
        <v>995734.68122243939</v>
      </c>
      <c r="Q28" s="53"/>
      <c r="R28" s="53">
        <f t="shared" si="8"/>
        <v>0</v>
      </c>
      <c r="S28" s="53">
        <f t="shared" si="9"/>
        <v>0</v>
      </c>
      <c r="T28" s="53">
        <f t="shared" si="10"/>
        <v>0.05</v>
      </c>
      <c r="U28" s="53">
        <f t="shared" si="16"/>
        <v>4.2653187775606449E-3</v>
      </c>
    </row>
    <row r="29" spans="1:24" x14ac:dyDescent="0.2">
      <c r="A29" s="62">
        <f t="shared" si="1"/>
        <v>1</v>
      </c>
      <c r="B29" s="45">
        <f t="shared" si="2"/>
        <v>15</v>
      </c>
      <c r="C29" s="51">
        <f t="shared" si="3"/>
        <v>100000000</v>
      </c>
      <c r="D29" s="47" cm="1">
        <f t="array" ref="D29">_xlfn.IFS(AND($C$7="Y",B29&lt;C$4),C29,AND($C$7="Y",B29=C$4),D28+F29-J29-K29-L29+N29,AND($C$7="Y",B29&gt;$C$4),D28-J29-K29-L29+N29, TRUE, D28-J29-K29-L29+N29)</f>
        <v>100000000</v>
      </c>
      <c r="E29" s="48">
        <f t="shared" si="4"/>
        <v>0</v>
      </c>
      <c r="F29" s="50">
        <f t="shared" si="5"/>
        <v>0</v>
      </c>
      <c r="G29" s="50">
        <f t="shared" si="17"/>
        <v>0</v>
      </c>
      <c r="H29" s="51">
        <f t="shared" si="11"/>
        <v>0</v>
      </c>
      <c r="I29" s="52">
        <f t="shared" si="12"/>
        <v>995734.68122243939</v>
      </c>
      <c r="J29" s="52">
        <f t="shared" si="18"/>
        <v>0</v>
      </c>
      <c r="K29" s="51">
        <f t="shared" si="13"/>
        <v>0</v>
      </c>
      <c r="L29" s="51">
        <f t="shared" si="22"/>
        <v>0</v>
      </c>
      <c r="M29" s="51">
        <f>IFERROR(L25*-1,0)</f>
        <v>0</v>
      </c>
      <c r="N29" s="51">
        <f t="shared" si="24"/>
        <v>0</v>
      </c>
      <c r="O29" s="48">
        <f t="shared" si="6"/>
        <v>995734.68122243939</v>
      </c>
      <c r="P29" s="38">
        <f t="shared" si="7"/>
        <v>995734.68122243939</v>
      </c>
      <c r="Q29" s="53"/>
      <c r="R29" s="53">
        <f t="shared" si="8"/>
        <v>0</v>
      </c>
      <c r="S29" s="53">
        <f t="shared" si="9"/>
        <v>0</v>
      </c>
      <c r="T29" s="53">
        <f t="shared" si="10"/>
        <v>0.05</v>
      </c>
      <c r="U29" s="53">
        <f t="shared" si="16"/>
        <v>4.2653187775606449E-3</v>
      </c>
    </row>
    <row r="30" spans="1:24" x14ac:dyDescent="0.2">
      <c r="A30" s="62">
        <f t="shared" si="1"/>
        <v>1</v>
      </c>
      <c r="B30" s="45">
        <f t="shared" si="2"/>
        <v>16</v>
      </c>
      <c r="C30" s="49">
        <f t="shared" si="3"/>
        <v>100000000</v>
      </c>
      <c r="D30" s="47" cm="1">
        <f t="array" ref="D30">_xlfn.IFS(AND($C$7="Y",B30&lt;C$4),C30,AND($C$7="Y",B30=C$4),D29+F30-J30-K30-L30+N30,AND($C$7="Y",B30&gt;$C$4),D29-J30-K30-L30+N30, TRUE, D29-J30-K30-L30+N30)</f>
        <v>100000000</v>
      </c>
      <c r="E30" s="48">
        <f t="shared" si="4"/>
        <v>0</v>
      </c>
      <c r="F30" s="50">
        <f t="shared" si="5"/>
        <v>0</v>
      </c>
      <c r="G30" s="50">
        <f t="shared" si="17"/>
        <v>0</v>
      </c>
      <c r="H30" s="51">
        <f t="shared" si="11"/>
        <v>0</v>
      </c>
      <c r="I30" s="52">
        <f t="shared" si="12"/>
        <v>995734.68122243939</v>
      </c>
      <c r="J30" s="52">
        <f>IF(AND($B30&lt;=$C$4,C$7="Y"),0,IF(AND(C$7="N",C$4&gt;0,B30&lt;=C$4),0,H30-I30))</f>
        <v>0</v>
      </c>
      <c r="K30" s="51">
        <f>IF(AND(C$7="Y",$B30&lt;=$C$4),0,IF(AND(C$7="N",C$4&gt;0,B30&lt;=C$4),0,S30*(C30-J30)))</f>
        <v>0</v>
      </c>
      <c r="L30" s="49">
        <f t="shared" si="22"/>
        <v>0</v>
      </c>
      <c r="M30" s="49">
        <f t="shared" ref="M30:M43" si="25">IFERROR(L26*-1,0)</f>
        <v>0</v>
      </c>
      <c r="N30" s="49">
        <f t="shared" si="24"/>
        <v>0</v>
      </c>
      <c r="O30" s="48">
        <f t="shared" si="6"/>
        <v>995734.68122243939</v>
      </c>
      <c r="P30" s="38">
        <f t="shared" si="7"/>
        <v>995734.68122243939</v>
      </c>
      <c r="Q30" s="53"/>
      <c r="R30" s="53">
        <f t="shared" si="8"/>
        <v>0</v>
      </c>
      <c r="S30" s="53">
        <f t="shared" si="9"/>
        <v>0</v>
      </c>
      <c r="T30" s="53">
        <f t="shared" si="10"/>
        <v>0.05</v>
      </c>
      <c r="U30" s="53">
        <f t="shared" si="16"/>
        <v>4.2653187775606449E-3</v>
      </c>
    </row>
    <row r="31" spans="1:24" x14ac:dyDescent="0.2">
      <c r="A31" s="62">
        <f t="shared" si="1"/>
        <v>1</v>
      </c>
      <c r="B31" s="45">
        <f t="shared" si="2"/>
        <v>17</v>
      </c>
      <c r="C31" s="49">
        <f t="shared" si="3"/>
        <v>100000000</v>
      </c>
      <c r="D31" s="47" cm="1">
        <f t="array" ref="D31">_xlfn.IFS(AND($C$7="Y",B31&lt;C$4),C31,AND($C$7="Y",B31=C$4),D30+F31-J31-K31-L31+N31,AND($C$7="Y",B31&gt;$C$4),D30-J31-K31-L31+N31, TRUE, D30-J31-K31-L31+N31)</f>
        <v>100000000</v>
      </c>
      <c r="E31" s="48">
        <f t="shared" si="4"/>
        <v>0</v>
      </c>
      <c r="F31" s="50">
        <f t="shared" si="5"/>
        <v>0</v>
      </c>
      <c r="G31" s="50">
        <f t="shared" si="17"/>
        <v>0</v>
      </c>
      <c r="H31" s="51">
        <f t="shared" si="11"/>
        <v>0</v>
      </c>
      <c r="I31" s="52">
        <f t="shared" si="12"/>
        <v>995734.68122243939</v>
      </c>
      <c r="J31" s="52">
        <f t="shared" ref="J31:J39" si="26">IF(AND($B31&lt;=$C$4,C$7="Y"),0,IF(AND(C$7="N",C$4&gt;0,B31&lt;=C$4),0,H31-I31))</f>
        <v>0</v>
      </c>
      <c r="K31" s="51">
        <f t="shared" ref="K31:K39" si="27">IF(AND(C$7="Y",$B31&lt;=$C$4),0,IF(AND(C$7="N",C$4&gt;0,B31&lt;=C$4),0,S31*(C31-J31)))</f>
        <v>0</v>
      </c>
      <c r="L31" s="49">
        <f t="shared" si="22"/>
        <v>0</v>
      </c>
      <c r="M31" s="49">
        <f t="shared" si="25"/>
        <v>0</v>
      </c>
      <c r="N31" s="49">
        <f t="shared" si="24"/>
        <v>0</v>
      </c>
      <c r="O31" s="48">
        <f t="shared" si="6"/>
        <v>995734.68122243939</v>
      </c>
      <c r="P31" s="38">
        <f t="shared" si="7"/>
        <v>995734.68122243939</v>
      </c>
      <c r="Q31" s="53"/>
      <c r="R31" s="53">
        <f t="shared" si="8"/>
        <v>0</v>
      </c>
      <c r="S31" s="53">
        <f t="shared" si="9"/>
        <v>0</v>
      </c>
      <c r="T31" s="53">
        <f t="shared" si="10"/>
        <v>0.05</v>
      </c>
      <c r="U31" s="53">
        <f t="shared" si="16"/>
        <v>4.2653187775606449E-3</v>
      </c>
    </row>
    <row r="32" spans="1:24" x14ac:dyDescent="0.2">
      <c r="A32" s="62">
        <f t="shared" si="1"/>
        <v>1</v>
      </c>
      <c r="B32" s="45">
        <f t="shared" si="2"/>
        <v>18</v>
      </c>
      <c r="C32" s="49">
        <f t="shared" si="3"/>
        <v>100000000</v>
      </c>
      <c r="D32" s="47" cm="1">
        <f t="array" ref="D32">_xlfn.IFS(AND($C$7="Y",B32&lt;C$4),C32,AND($C$7="Y",B32=C$4),D31+F32-J32-K32-L32+N32,AND($C$7="Y",B32&gt;$C$4),D31-J32-K32-L32+N32, TRUE, D31-J32-K32-L32+N32)</f>
        <v>100000000</v>
      </c>
      <c r="E32" s="48">
        <f t="shared" si="4"/>
        <v>0</v>
      </c>
      <c r="F32" s="50">
        <f t="shared" si="5"/>
        <v>0</v>
      </c>
      <c r="G32" s="50">
        <f t="shared" si="17"/>
        <v>0</v>
      </c>
      <c r="H32" s="51">
        <f t="shared" si="11"/>
        <v>0</v>
      </c>
      <c r="I32" s="52">
        <f t="shared" si="12"/>
        <v>995734.68122243939</v>
      </c>
      <c r="J32" s="52">
        <f t="shared" si="26"/>
        <v>0</v>
      </c>
      <c r="K32" s="51">
        <f t="shared" si="27"/>
        <v>0</v>
      </c>
      <c r="L32" s="49">
        <f t="shared" si="22"/>
        <v>0</v>
      </c>
      <c r="M32" s="49">
        <f t="shared" si="25"/>
        <v>0</v>
      </c>
      <c r="N32" s="49">
        <f t="shared" si="24"/>
        <v>0</v>
      </c>
      <c r="O32" s="48">
        <f t="shared" si="6"/>
        <v>995734.68122243939</v>
      </c>
      <c r="P32" s="38">
        <f t="shared" si="7"/>
        <v>995734.68122243939</v>
      </c>
      <c r="Q32" s="53"/>
      <c r="R32" s="53">
        <f t="shared" si="8"/>
        <v>0</v>
      </c>
      <c r="S32" s="53">
        <f t="shared" si="9"/>
        <v>0</v>
      </c>
      <c r="T32" s="53">
        <f t="shared" si="10"/>
        <v>0.05</v>
      </c>
      <c r="U32" s="53">
        <f t="shared" si="16"/>
        <v>4.2653187775606449E-3</v>
      </c>
    </row>
    <row r="33" spans="1:23" x14ac:dyDescent="0.2">
      <c r="A33" s="62">
        <f t="shared" si="1"/>
        <v>1</v>
      </c>
      <c r="B33" s="45">
        <f t="shared" si="2"/>
        <v>19</v>
      </c>
      <c r="C33" s="49">
        <f t="shared" si="3"/>
        <v>100000000</v>
      </c>
      <c r="D33" s="47" cm="1">
        <f t="array" ref="D33">_xlfn.IFS(AND($C$7="Y",B33&lt;C$4),C33,AND($C$7="Y",B33=C$4),D32+F33-J33-K33-L33+N33,AND($C$7="Y",B33&gt;$C$4),D32-J33-K33-L33+N33, TRUE, D32-J33-K33-L33+N33)</f>
        <v>100000000</v>
      </c>
      <c r="E33" s="48">
        <f t="shared" si="4"/>
        <v>0</v>
      </c>
      <c r="F33" s="50">
        <f t="shared" si="5"/>
        <v>0</v>
      </c>
      <c r="G33" s="50">
        <f t="shared" si="17"/>
        <v>0</v>
      </c>
      <c r="H33" s="51">
        <f t="shared" si="11"/>
        <v>0</v>
      </c>
      <c r="I33" s="52">
        <f t="shared" si="12"/>
        <v>995734.68122243939</v>
      </c>
      <c r="J33" s="52">
        <f t="shared" si="26"/>
        <v>0</v>
      </c>
      <c r="K33" s="51">
        <f t="shared" si="27"/>
        <v>0</v>
      </c>
      <c r="L33" s="49">
        <f t="shared" si="22"/>
        <v>0</v>
      </c>
      <c r="M33" s="49">
        <f t="shared" si="25"/>
        <v>0</v>
      </c>
      <c r="N33" s="49">
        <f t="shared" si="24"/>
        <v>0</v>
      </c>
      <c r="O33" s="48">
        <f t="shared" si="6"/>
        <v>995734.68122243939</v>
      </c>
      <c r="P33" s="38">
        <f t="shared" si="7"/>
        <v>995734.68122243939</v>
      </c>
      <c r="Q33" s="53"/>
      <c r="R33" s="53">
        <f t="shared" si="8"/>
        <v>0</v>
      </c>
      <c r="S33" s="53">
        <f t="shared" si="9"/>
        <v>0</v>
      </c>
      <c r="T33" s="53">
        <f t="shared" si="10"/>
        <v>0.05</v>
      </c>
      <c r="U33" s="53">
        <f t="shared" si="16"/>
        <v>4.2653187775606449E-3</v>
      </c>
    </row>
    <row r="34" spans="1:23" x14ac:dyDescent="0.2">
      <c r="A34" s="62">
        <f t="shared" si="1"/>
        <v>1</v>
      </c>
      <c r="B34" s="45">
        <f t="shared" si="2"/>
        <v>20</v>
      </c>
      <c r="C34" s="49">
        <f t="shared" si="3"/>
        <v>100000000</v>
      </c>
      <c r="D34" s="47" cm="1">
        <f t="array" ref="D34">_xlfn.IFS(AND($C$7="Y",B34&lt;C$4),C34,AND($C$7="Y",B34=C$4),D33+F34-J34-K34-L34+N34,AND($C$7="Y",B34&gt;$C$4),D33-J34-K34-L34+N34, TRUE, D33-J34-K34-L34+N34)</f>
        <v>100000000</v>
      </c>
      <c r="E34" s="48">
        <f t="shared" si="4"/>
        <v>0</v>
      </c>
      <c r="F34" s="50">
        <f t="shared" si="5"/>
        <v>0</v>
      </c>
      <c r="G34" s="50">
        <f t="shared" si="17"/>
        <v>0</v>
      </c>
      <c r="H34" s="51">
        <f t="shared" si="11"/>
        <v>0</v>
      </c>
      <c r="I34" s="52">
        <f t="shared" si="12"/>
        <v>995734.68122243939</v>
      </c>
      <c r="J34" s="52">
        <f t="shared" si="26"/>
        <v>0</v>
      </c>
      <c r="K34" s="51">
        <f t="shared" si="27"/>
        <v>0</v>
      </c>
      <c r="L34" s="49">
        <f t="shared" si="22"/>
        <v>0</v>
      </c>
      <c r="M34" s="49">
        <f t="shared" si="25"/>
        <v>0</v>
      </c>
      <c r="N34" s="49">
        <f>IFERROR((1-$N$12)*L30,0)</f>
        <v>0</v>
      </c>
      <c r="O34" s="48">
        <f t="shared" si="6"/>
        <v>995734.68122243939</v>
      </c>
      <c r="P34" s="38">
        <f t="shared" si="7"/>
        <v>995734.68122243939</v>
      </c>
      <c r="Q34" s="53"/>
      <c r="R34" s="53">
        <f t="shared" si="8"/>
        <v>0</v>
      </c>
      <c r="S34" s="53">
        <f t="shared" si="9"/>
        <v>0</v>
      </c>
      <c r="T34" s="53">
        <f t="shared" si="10"/>
        <v>0.05</v>
      </c>
      <c r="U34" s="53">
        <f t="shared" si="16"/>
        <v>4.2653187775606449E-3</v>
      </c>
    </row>
    <row r="35" spans="1:23" x14ac:dyDescent="0.2">
      <c r="A35" s="62">
        <f t="shared" si="1"/>
        <v>0.9834475803497621</v>
      </c>
      <c r="B35" s="45">
        <f t="shared" si="2"/>
        <v>21</v>
      </c>
      <c r="C35" s="49">
        <f t="shared" si="3"/>
        <v>100000000</v>
      </c>
      <c r="D35" s="47" cm="1">
        <f t="array" ref="D35">_xlfn.IFS(AND($C$7="Y",B35&lt;C$4),C35,AND($C$7="Y",B35=C$4),D34+F35-J35-K35-L35+N35,AND($C$7="Y",B35&gt;$C$4),D34-J35-K35-L35+N35, TRUE, D34-J35-K35-L35+N35)</f>
        <v>98344758.034976214</v>
      </c>
      <c r="E35" s="48">
        <f t="shared" si="4"/>
        <v>0</v>
      </c>
      <c r="F35" s="50">
        <f t="shared" si="5"/>
        <v>0</v>
      </c>
      <c r="G35" s="50">
        <f t="shared" si="17"/>
        <v>0</v>
      </c>
      <c r="H35" s="51">
        <f t="shared" si="11"/>
        <v>2224444.7684901734</v>
      </c>
      <c r="I35" s="52">
        <f t="shared" si="12"/>
        <v>995734.68122243939</v>
      </c>
      <c r="J35" s="52">
        <f t="shared" si="26"/>
        <v>1228710.0872677341</v>
      </c>
      <c r="K35" s="51">
        <f t="shared" si="27"/>
        <v>0</v>
      </c>
      <c r="L35" s="49">
        <f t="shared" si="22"/>
        <v>426531.87775606447</v>
      </c>
      <c r="M35" s="49">
        <f t="shared" si="25"/>
        <v>0</v>
      </c>
      <c r="N35" s="49">
        <f t="shared" ref="N35:N98" si="28">IFERROR((1-$N$12)*L31,0)</f>
        <v>0</v>
      </c>
      <c r="O35" s="48">
        <f>K35+I35+J35-L35+N35+G35</f>
        <v>1797912.8907341089</v>
      </c>
      <c r="P35" s="38">
        <f t="shared" si="7"/>
        <v>1797912.8907341089</v>
      </c>
      <c r="Q35" s="53"/>
      <c r="R35" s="53">
        <f t="shared" si="8"/>
        <v>0</v>
      </c>
      <c r="S35" s="53">
        <f t="shared" si="9"/>
        <v>0</v>
      </c>
      <c r="T35" s="53">
        <f t="shared" si="10"/>
        <v>0.05</v>
      </c>
      <c r="U35" s="53">
        <f t="shared" si="16"/>
        <v>4.2653187775606449E-3</v>
      </c>
    </row>
    <row r="36" spans="1:23" x14ac:dyDescent="0.2">
      <c r="A36" s="62">
        <f t="shared" si="1"/>
        <v>0.96689796023169761</v>
      </c>
      <c r="B36" s="45">
        <f t="shared" si="2"/>
        <v>22</v>
      </c>
      <c r="C36" s="49">
        <f t="shared" si="3"/>
        <v>98344758.034976214</v>
      </c>
      <c r="D36" s="47" cm="1">
        <f t="array" ref="D36">_xlfn.IFS(AND($C$7="Y",B36&lt;C$4),C36,AND($C$7="Y",B36=C$4),D35+F36-J36-K36-L36+N36,AND($C$7="Y",B36&gt;$C$4),D35-J36-K36-L36+N36, TRUE, D35-J36-K36-L36+N36)</f>
        <v>96689796.023169756</v>
      </c>
      <c r="E36" s="48">
        <f t="shared" si="4"/>
        <v>0</v>
      </c>
      <c r="F36" s="50">
        <f t="shared" si="5"/>
        <v>0</v>
      </c>
      <c r="G36" s="50">
        <f t="shared" si="17"/>
        <v>0</v>
      </c>
      <c r="H36" s="51">
        <f t="shared" si="11"/>
        <v>2214743.1316037658</v>
      </c>
      <c r="I36" s="52">
        <f t="shared" si="12"/>
        <v>979252.86291854968</v>
      </c>
      <c r="J36" s="52">
        <f t="shared" si="26"/>
        <v>1235490.2686852161</v>
      </c>
      <c r="K36" s="51">
        <f t="shared" si="27"/>
        <v>0</v>
      </c>
      <c r="L36" s="49">
        <f t="shared" si="22"/>
        <v>419471.74312124215</v>
      </c>
      <c r="M36" s="49">
        <f t="shared" si="25"/>
        <v>0</v>
      </c>
      <c r="N36" s="49">
        <f t="shared" si="28"/>
        <v>0</v>
      </c>
      <c r="O36" s="48">
        <f t="shared" ref="O36:O38" si="29">K36+I36+J36-L36+N36+G36</f>
        <v>1795271.3884825236</v>
      </c>
      <c r="P36" s="38">
        <f t="shared" si="7"/>
        <v>1795271.3884825236</v>
      </c>
      <c r="Q36" s="53"/>
      <c r="R36" s="53">
        <f t="shared" si="8"/>
        <v>0</v>
      </c>
      <c r="S36" s="53">
        <f t="shared" si="9"/>
        <v>0</v>
      </c>
      <c r="T36" s="53">
        <f t="shared" si="10"/>
        <v>0.05</v>
      </c>
      <c r="U36" s="53">
        <f t="shared" si="16"/>
        <v>4.2653187775606449E-3</v>
      </c>
      <c r="W36" s="49"/>
    </row>
    <row r="37" spans="1:23" x14ac:dyDescent="0.2">
      <c r="A37" s="62">
        <f t="shared" si="1"/>
        <v>0.95035075942913483</v>
      </c>
      <c r="B37" s="45">
        <f t="shared" si="2"/>
        <v>23</v>
      </c>
      <c r="C37" s="49">
        <f t="shared" si="3"/>
        <v>96689796.023169756</v>
      </c>
      <c r="D37" s="47" cm="1">
        <f t="array" ref="D37">_xlfn.IFS(AND($C$7="Y",B37&lt;C$4),C37,AND($C$7="Y",B37=C$4),D36+F37-J37-K37-L37+N37,AND($C$7="Y",B37&gt;$C$4),D36-J37-K37-L37+N37, TRUE, D36-J37-K37-L37+N37)</f>
        <v>95035075.942913488</v>
      </c>
      <c r="E37" s="48">
        <f t="shared" si="4"/>
        <v>0</v>
      </c>
      <c r="F37" s="50">
        <f t="shared" si="5"/>
        <v>0</v>
      </c>
      <c r="G37" s="50">
        <f t="shared" si="17"/>
        <v>0</v>
      </c>
      <c r="H37" s="51">
        <f t="shared" si="11"/>
        <v>2205081.1098860591</v>
      </c>
      <c r="I37" s="52">
        <f t="shared" si="12"/>
        <v>962773.8322059362</v>
      </c>
      <c r="J37" s="52">
        <f t="shared" si="26"/>
        <v>1242307.2776801228</v>
      </c>
      <c r="K37" s="51">
        <f t="shared" si="27"/>
        <v>0</v>
      </c>
      <c r="L37" s="49">
        <f t="shared" si="22"/>
        <v>412412.80257613451</v>
      </c>
      <c r="M37" s="49">
        <f t="shared" si="25"/>
        <v>0</v>
      </c>
      <c r="N37" s="49">
        <f t="shared" si="28"/>
        <v>0</v>
      </c>
      <c r="O37" s="48">
        <f t="shared" si="29"/>
        <v>1792668.3073099246</v>
      </c>
      <c r="P37" s="38">
        <f t="shared" si="7"/>
        <v>1792668.3073099246</v>
      </c>
      <c r="Q37" s="53"/>
      <c r="R37" s="53">
        <f t="shared" si="8"/>
        <v>0</v>
      </c>
      <c r="S37" s="53">
        <f t="shared" si="9"/>
        <v>0</v>
      </c>
      <c r="T37" s="53">
        <f t="shared" si="10"/>
        <v>0.05</v>
      </c>
      <c r="U37" s="53">
        <f t="shared" si="16"/>
        <v>4.2653187775606449E-3</v>
      </c>
    </row>
    <row r="38" spans="1:23" x14ac:dyDescent="0.2">
      <c r="A38" s="62">
        <f t="shared" si="1"/>
        <v>0.9338055980223845</v>
      </c>
      <c r="B38" s="45">
        <f t="shared" si="2"/>
        <v>24</v>
      </c>
      <c r="C38" s="49">
        <f t="shared" si="3"/>
        <v>95035075.942913488</v>
      </c>
      <c r="D38" s="47" cm="1">
        <f t="array" ref="D38">_xlfn.IFS(AND($C$7="Y",B38&lt;C$4),C38,AND($C$7="Y",B38=C$4),D37+F38-J38-K38-L38+N38,AND($C$7="Y",B38&gt;$C$4),D37-J38-K38-L38+N38, TRUE, D37-J38-K38-L38+N38)</f>
        <v>93380559.802238449</v>
      </c>
      <c r="E38" s="48">
        <f t="shared" si="4"/>
        <v>0</v>
      </c>
      <c r="F38" s="50">
        <f t="shared" si="5"/>
        <v>0</v>
      </c>
      <c r="G38" s="50">
        <f t="shared" si="17"/>
        <v>0</v>
      </c>
      <c r="H38" s="51">
        <f t="shared" si="11"/>
        <v>2195458.4572184994</v>
      </c>
      <c r="I38" s="52">
        <f t="shared" si="12"/>
        <v>946297.21048967261</v>
      </c>
      <c r="J38" s="52">
        <f t="shared" si="26"/>
        <v>1249161.2467288268</v>
      </c>
      <c r="K38" s="51">
        <f t="shared" si="27"/>
        <v>0</v>
      </c>
      <c r="L38" s="49">
        <f t="shared" si="22"/>
        <v>405354.8939462108</v>
      </c>
      <c r="M38" s="49">
        <f t="shared" si="25"/>
        <v>0</v>
      </c>
      <c r="N38" s="49">
        <f t="shared" si="28"/>
        <v>0</v>
      </c>
      <c r="O38" s="48">
        <f t="shared" si="29"/>
        <v>1790103.5632722885</v>
      </c>
      <c r="P38" s="38">
        <f t="shared" si="7"/>
        <v>1790103.5632722885</v>
      </c>
      <c r="Q38" s="53"/>
      <c r="R38" s="53">
        <f t="shared" si="8"/>
        <v>0</v>
      </c>
      <c r="S38" s="53">
        <f t="shared" si="9"/>
        <v>0</v>
      </c>
      <c r="T38" s="53">
        <f t="shared" si="10"/>
        <v>0.05</v>
      </c>
      <c r="U38" s="53">
        <f t="shared" si="16"/>
        <v>4.2653187775606449E-3</v>
      </c>
    </row>
    <row r="39" spans="1:23" s="59" customFormat="1" x14ac:dyDescent="0.2">
      <c r="A39" s="62">
        <f t="shared" si="1"/>
        <v>0.917262096420152</v>
      </c>
      <c r="B39" s="54">
        <f t="shared" si="2"/>
        <v>25</v>
      </c>
      <c r="C39" s="55">
        <f t="shared" si="3"/>
        <v>93380559.802238449</v>
      </c>
      <c r="D39" s="47" cm="1">
        <f t="array" ref="D39">_xlfn.IFS(AND($C$7="Y",B39&lt;C$4),C39,AND($C$7="Y",B39=C$4),D38+F39-J39-K39-L39+N39,AND($C$7="Y",B39&gt;$C$4),D38-J39-K39-L39+N39, TRUE, D38-J39-K39-L39+N39)</f>
        <v>91726209.642015204</v>
      </c>
      <c r="E39" s="48">
        <f t="shared" si="4"/>
        <v>0</v>
      </c>
      <c r="F39" s="50">
        <f t="shared" si="5"/>
        <v>0</v>
      </c>
      <c r="G39" s="56">
        <f t="shared" si="17"/>
        <v>0</v>
      </c>
      <c r="H39" s="51">
        <f t="shared" si="11"/>
        <v>2185874.9245101735</v>
      </c>
      <c r="I39" s="52">
        <f t="shared" si="12"/>
        <v>929822.61947054835</v>
      </c>
      <c r="J39" s="57">
        <f t="shared" si="26"/>
        <v>1256052.3050396251</v>
      </c>
      <c r="K39" s="55">
        <f t="shared" si="27"/>
        <v>0</v>
      </c>
      <c r="L39" s="55">
        <f>IF(AND(C$7="Y",$B39&lt;=$C$4),0,IF(AND(C$7="N",C$4&gt;0,B39&lt;=C$4),0,U39*D38))</f>
        <v>398297.85518361238</v>
      </c>
      <c r="M39" s="55">
        <f t="shared" si="25"/>
        <v>-426531.87775606447</v>
      </c>
      <c r="N39" s="55">
        <f t="shared" si="28"/>
        <v>0</v>
      </c>
      <c r="O39" s="48">
        <f>K39+I39+J39-L39+N39+G39</f>
        <v>1787577.0693265612</v>
      </c>
      <c r="P39" s="58">
        <f t="shared" si="7"/>
        <v>1787577.0693265612</v>
      </c>
      <c r="Q39" s="53"/>
      <c r="R39" s="53">
        <f t="shared" si="8"/>
        <v>0</v>
      </c>
      <c r="S39" s="53">
        <f t="shared" si="9"/>
        <v>0</v>
      </c>
      <c r="T39" s="53">
        <f t="shared" si="10"/>
        <v>0.05</v>
      </c>
      <c r="U39" s="53">
        <f t="shared" si="16"/>
        <v>4.2653187775606449E-3</v>
      </c>
    </row>
    <row r="40" spans="1:23" x14ac:dyDescent="0.2">
      <c r="A40" s="62">
        <f t="shared" si="1"/>
        <v>0.90071987539393383</v>
      </c>
      <c r="B40" s="45">
        <f t="shared" si="2"/>
        <v>26</v>
      </c>
      <c r="C40" s="49">
        <f>IF(B40&lt;C$4,C$1,D39)</f>
        <v>91726209.642015204</v>
      </c>
      <c r="D40" s="60" cm="1">
        <f t="array" ref="D40">_xlfn.IFS(AND($C$7="Y",B40&lt;C$4),C40,AND($C$7="Y",B40=C$4),D39+F40-J40-K40-L40+N40,AND($C$7="Y",B40&gt;$C$4),D39-J40-K40-L40+N40, TRUE, D39-J40-K40-L40+N40)</f>
        <v>90071987.53939338</v>
      </c>
      <c r="E40" s="48">
        <f t="shared" si="4"/>
        <v>0</v>
      </c>
      <c r="F40" s="50">
        <f t="shared" si="5"/>
        <v>0</v>
      </c>
      <c r="G40" s="50">
        <f t="shared" si="17"/>
        <v>0</v>
      </c>
      <c r="H40" s="51">
        <f>IF(AND($B40&lt;=$C$4,C$7="Y"),0,IF(AND(C$7="N",C$4&gt;0,B40&lt;=C$4),0,D39*C$2/12/(1-(1/(1+C$2/12))^(C$3+C$4-B40+1))))</f>
        <v>2176330.2594176224</v>
      </c>
      <c r="I40" s="52">
        <f t="shared" si="12"/>
        <v>913349.68117634661</v>
      </c>
      <c r="J40" s="52">
        <f>IF(AND($B40&lt;=$C$4,C$7="Y"),0,IF(AND(C$7="N",C$4&gt;0,B40&lt;=C$4),0,H40-I40))</f>
        <v>1262980.5782412756</v>
      </c>
      <c r="K40" s="51">
        <f>IF(AND(C$7="Y",$B40&lt;=$C$4),0,IF(AND(C$7="N",C$4&gt;0,B40&lt;=C$4),0,S40*(C40-J40)))</f>
        <v>0</v>
      </c>
      <c r="L40" s="49">
        <f t="shared" ref="L40:L43" si="30">IF(AND(C$7="Y",$B40&lt;=$C$4),0,IF(AND(C$7="N",C$4&gt;0,B40&lt;=C$4),0,U40*D39))</f>
        <v>391241.52438055171</v>
      </c>
      <c r="M40" s="49">
        <f t="shared" si="25"/>
        <v>-419471.74312124215</v>
      </c>
      <c r="N40" s="49">
        <f t="shared" si="28"/>
        <v>0</v>
      </c>
      <c r="O40" s="48">
        <f t="shared" ref="O40:O103" si="31">K40+I40+J40-L40+N40+G40</f>
        <v>1785088.7350370707</v>
      </c>
      <c r="P40" s="38">
        <f>O40*(1/((1+P$12)^(B40/12)))</f>
        <v>1785088.7350370707</v>
      </c>
      <c r="Q40" s="53"/>
      <c r="R40" s="53">
        <f t="shared" si="8"/>
        <v>0</v>
      </c>
      <c r="S40" s="53">
        <f t="shared" si="9"/>
        <v>0</v>
      </c>
      <c r="T40" s="53">
        <f t="shared" si="10"/>
        <v>0.05</v>
      </c>
      <c r="U40" s="53">
        <f t="shared" si="16"/>
        <v>4.2653187775606449E-3</v>
      </c>
    </row>
    <row r="41" spans="1:23" x14ac:dyDescent="0.2">
      <c r="A41" s="62">
        <f t="shared" si="1"/>
        <v>0.8841785561156672</v>
      </c>
      <c r="B41" s="45">
        <f t="shared" si="2"/>
        <v>27</v>
      </c>
      <c r="C41" s="49">
        <f t="shared" ref="C41:C104" si="32">IF(B41&lt;C$4,C$1,D40)</f>
        <v>90071987.53939338</v>
      </c>
      <c r="D41" s="47" cm="1">
        <f t="array" ref="D41">_xlfn.IFS(AND($C$7="Y",B41&lt;C$4),C41,AND($C$7="Y",B41=C$4),D40+F41-J41-K41-L41+N41,AND($C$7="Y",B41&gt;$C$4),D40-J41-K41-L41+N41, TRUE, D40-J41-K41-L41+N41)</f>
        <v>88417855.611566722</v>
      </c>
      <c r="E41" s="48">
        <f t="shared" si="4"/>
        <v>0</v>
      </c>
      <c r="F41" s="50">
        <f t="shared" si="5"/>
        <v>0</v>
      </c>
      <c r="G41" s="50">
        <f t="shared" si="17"/>
        <v>0</v>
      </c>
      <c r="H41" s="51">
        <f t="shared" ref="H41:H104" si="33">IF(AND($B41&lt;=$C$4,C$7="Y"),0,IF(AND(C$7="N",C$4&gt;0,B41&lt;=C$4),0,D40*C$2/12/(1-(1/(1+C$2/12))^(C$3+C$4-B41+1))))</f>
        <v>2166824.20603876</v>
      </c>
      <c r="I41" s="52">
        <f t="shared" si="12"/>
        <v>896878.01799609384</v>
      </c>
      <c r="J41" s="52">
        <f t="shared" ref="J41:J104" si="34">IF(AND($B41&lt;=$C$4,C$7="Y"),0,IF(AND(C$7="N",C$4&gt;0,B41&lt;=C$4),0,H41-I41))</f>
        <v>1269946.1880426663</v>
      </c>
      <c r="K41" s="51">
        <f>IF(AND(C$7="Y",$B41&lt;=$C$4),0,IF(AND(C$7="N",C$4&gt;0,B41&lt;=C$4),0,S41*(C41-J41)))</f>
        <v>0</v>
      </c>
      <c r="L41" s="49">
        <f t="shared" si="30"/>
        <v>384185.73978398304</v>
      </c>
      <c r="M41" s="49">
        <f t="shared" si="25"/>
        <v>-412412.80257613451</v>
      </c>
      <c r="N41" s="49">
        <f t="shared" si="28"/>
        <v>0</v>
      </c>
      <c r="O41" s="48">
        <f t="shared" si="31"/>
        <v>1782638.466254777</v>
      </c>
      <c r="P41" s="38">
        <f t="shared" ref="P41:P104" si="35">O41*(1/((1+P$12)^(B41/12)))</f>
        <v>1782638.466254777</v>
      </c>
      <c r="Q41" s="53"/>
      <c r="R41" s="53">
        <f t="shared" si="8"/>
        <v>0</v>
      </c>
      <c r="S41" s="53">
        <f t="shared" si="9"/>
        <v>0</v>
      </c>
      <c r="T41" s="53">
        <f t="shared" si="10"/>
        <v>0.05</v>
      </c>
      <c r="U41" s="53">
        <f t="shared" si="16"/>
        <v>4.2653187775606449E-3</v>
      </c>
    </row>
    <row r="42" spans="1:23" x14ac:dyDescent="0.2">
      <c r="A42" s="62">
        <f t="shared" si="1"/>
        <v>0.86763776019894656</v>
      </c>
      <c r="B42" s="45">
        <f t="shared" si="2"/>
        <v>28</v>
      </c>
      <c r="C42" s="49">
        <f t="shared" si="32"/>
        <v>88417855.611566722</v>
      </c>
      <c r="D42" s="47" cm="1">
        <f t="array" ref="D42">_xlfn.IFS(AND($C$7="Y",B42&lt;C$4),C42,AND($C$7="Y",B42=C$4),D41+F42-J42-K42-L42+N42,AND($C$7="Y",B42&gt;$C$4),D41-J42-K42-L42+N42, TRUE, D41-J42-K42-L42+N42)</f>
        <v>86763776.01989466</v>
      </c>
      <c r="E42" s="48">
        <f t="shared" si="4"/>
        <v>0</v>
      </c>
      <c r="F42" s="50">
        <f t="shared" si="5"/>
        <v>0</v>
      </c>
      <c r="G42" s="50">
        <f t="shared" si="17"/>
        <v>0</v>
      </c>
      <c r="H42" s="51">
        <f t="shared" si="33"/>
        <v>2157356.5045779431</v>
      </c>
      <c r="I42" s="52">
        <f t="shared" si="12"/>
        <v>880407.25271755049</v>
      </c>
      <c r="J42" s="52">
        <f t="shared" si="34"/>
        <v>1276949.2518603927</v>
      </c>
      <c r="K42" s="51">
        <f t="shared" ref="K42:K105" si="36">IF(AND(C$7="Y",$B42&lt;=$C$4),0,IF(AND(C$7="N",C$4&gt;0,B42&lt;=C$4),0,S42*(C42-J42)))</f>
        <v>0</v>
      </c>
      <c r="L42" s="49">
        <f t="shared" si="30"/>
        <v>377130.3398116614</v>
      </c>
      <c r="M42" s="49">
        <f t="shared" si="25"/>
        <v>-405354.8939462108</v>
      </c>
      <c r="N42" s="49">
        <f t="shared" si="28"/>
        <v>0</v>
      </c>
      <c r="O42" s="48">
        <f t="shared" si="31"/>
        <v>1780226.1647662818</v>
      </c>
      <c r="P42" s="38">
        <f t="shared" si="35"/>
        <v>1780226.1647662818</v>
      </c>
      <c r="Q42" s="53"/>
      <c r="R42" s="53">
        <f t="shared" si="8"/>
        <v>0</v>
      </c>
      <c r="S42" s="53">
        <f t="shared" si="9"/>
        <v>0</v>
      </c>
      <c r="T42" s="53">
        <f t="shared" si="10"/>
        <v>0.05</v>
      </c>
      <c r="U42" s="53">
        <f t="shared" si="16"/>
        <v>4.2653187775606449E-3</v>
      </c>
    </row>
    <row r="43" spans="1:23" x14ac:dyDescent="0.2">
      <c r="A43" s="62">
        <f t="shared" si="1"/>
        <v>0.85109710974414365</v>
      </c>
      <c r="B43" s="45">
        <f t="shared" si="2"/>
        <v>29</v>
      </c>
      <c r="C43" s="49">
        <f t="shared" si="32"/>
        <v>86763776.01989466</v>
      </c>
      <c r="D43" s="47" cm="1">
        <f t="array" ref="D43">_xlfn.IFS(AND($C$7="Y",B43&lt;C$4),C43,AND($C$7="Y",B43=C$4),D42+F43-J43-K43-L43+N43,AND($C$7="Y",B43&gt;$C$4),D42-J43-K43-L43+N43, TRUE, D42-J43-K43-L43+N43)</f>
        <v>85109710.974414364</v>
      </c>
      <c r="E43" s="48">
        <f t="shared" si="4"/>
        <v>0</v>
      </c>
      <c r="F43" s="50">
        <f t="shared" si="5"/>
        <v>0</v>
      </c>
      <c r="G43" s="50">
        <f t="shared" si="17"/>
        <v>0</v>
      </c>
      <c r="H43" s="51">
        <f t="shared" si="33"/>
        <v>2147926.8909788216</v>
      </c>
      <c r="I43" s="52">
        <f t="shared" si="12"/>
        <v>863937.00856824929</v>
      </c>
      <c r="J43" s="52">
        <f t="shared" si="34"/>
        <v>1283989.8824105724</v>
      </c>
      <c r="K43" s="51">
        <f t="shared" si="36"/>
        <v>0</v>
      </c>
      <c r="L43" s="49">
        <f t="shared" si="30"/>
        <v>370075.16306972271</v>
      </c>
      <c r="M43" s="49">
        <f t="shared" si="25"/>
        <v>-398297.85518361238</v>
      </c>
      <c r="N43" s="49">
        <f t="shared" si="28"/>
        <v>0</v>
      </c>
      <c r="O43" s="48">
        <f t="shared" si="31"/>
        <v>1777851.7279090988</v>
      </c>
      <c r="P43" s="38">
        <f t="shared" si="35"/>
        <v>1777851.7279090988</v>
      </c>
      <c r="Q43" s="53"/>
      <c r="R43" s="53">
        <f t="shared" si="8"/>
        <v>0</v>
      </c>
      <c r="S43" s="53">
        <f t="shared" si="9"/>
        <v>0</v>
      </c>
      <c r="T43" s="53">
        <f t="shared" si="10"/>
        <v>0.05</v>
      </c>
      <c r="U43" s="53">
        <f t="shared" si="16"/>
        <v>4.2653187775606449E-3</v>
      </c>
    </row>
    <row r="44" spans="1:23" x14ac:dyDescent="0.2">
      <c r="A44" s="62">
        <f t="shared" si="1"/>
        <v>0.83455622738781676</v>
      </c>
      <c r="B44" s="54">
        <f t="shared" si="2"/>
        <v>30</v>
      </c>
      <c r="C44" s="55">
        <f t="shared" si="32"/>
        <v>85109710.974414364</v>
      </c>
      <c r="D44" s="60" cm="1">
        <f t="array" ref="D44">_xlfn.IFS(AND($C$7="Y",B44&lt;C$4),C44,AND($C$7="Y",B44=C$4),D43+F44-J44-K44-L44+N44,AND($C$7="Y",B44&gt;$C$4),D43-J44-K44-L44+N44, TRUE, D43-J44-K44-L44+N44)</f>
        <v>83455622.738781676</v>
      </c>
      <c r="E44" s="48">
        <f t="shared" si="4"/>
        <v>0</v>
      </c>
      <c r="F44" s="50">
        <f t="shared" si="5"/>
        <v>0</v>
      </c>
      <c r="G44" s="50">
        <f t="shared" si="17"/>
        <v>0</v>
      </c>
      <c r="H44" s="51">
        <f t="shared" si="33"/>
        <v>2138535.0965211787</v>
      </c>
      <c r="I44" s="52">
        <f t="shared" si="12"/>
        <v>847466.90926042432</v>
      </c>
      <c r="J44" s="52">
        <f t="shared" si="34"/>
        <v>1291068.1872607544</v>
      </c>
      <c r="K44" s="51">
        <f t="shared" si="36"/>
        <v>0</v>
      </c>
      <c r="L44" s="49">
        <f>IF(AND(C$7="Y",$B44&lt;=$C$4),0,IF(AND(C$7="N",C$4&gt;0,B44&lt;=C$4),0,U44*D43))</f>
        <v>363020.04837192886</v>
      </c>
      <c r="M44" s="49">
        <f>IFERROR(L40*-1,0)</f>
        <v>-391241.52438055171</v>
      </c>
      <c r="N44" s="49">
        <f t="shared" si="28"/>
        <v>0</v>
      </c>
      <c r="O44" s="48">
        <f t="shared" si="31"/>
        <v>1775515.04814925</v>
      </c>
      <c r="P44" s="38">
        <f t="shared" si="35"/>
        <v>1775515.04814925</v>
      </c>
      <c r="Q44" s="53"/>
      <c r="R44" s="53">
        <f t="shared" si="8"/>
        <v>0</v>
      </c>
      <c r="S44" s="53">
        <f t="shared" si="9"/>
        <v>0</v>
      </c>
      <c r="T44" s="53">
        <f t="shared" si="10"/>
        <v>0.05</v>
      </c>
      <c r="U44" s="53">
        <f t="shared" si="16"/>
        <v>4.2653187775606449E-3</v>
      </c>
    </row>
    <row r="45" spans="1:23" x14ac:dyDescent="0.2">
      <c r="A45" s="62">
        <f t="shared" si="1"/>
        <v>0.81801473635683764</v>
      </c>
      <c r="B45" s="54">
        <f t="shared" si="2"/>
        <v>31</v>
      </c>
      <c r="C45" s="55">
        <f t="shared" si="32"/>
        <v>83455622.738781676</v>
      </c>
      <c r="D45" s="60" cm="1">
        <f t="array" ref="D45">_xlfn.IFS(AND($C$7="Y",B45&lt;C$4),C45,AND($C$7="Y",B45=C$4),D44+F45-J45-K45-L45+N45,AND($C$7="Y",B45&gt;$C$4),D44-J45-K45-L45+N45, TRUE, D44-J45-K45-L45+N45)</f>
        <v>81801473.63568376</v>
      </c>
      <c r="E45" s="48">
        <f t="shared" si="4"/>
        <v>0</v>
      </c>
      <c r="F45" s="50">
        <f t="shared" si="5"/>
        <v>0</v>
      </c>
      <c r="G45" s="50">
        <f t="shared" si="17"/>
        <v>0</v>
      </c>
      <c r="H45" s="51">
        <f t="shared" si="33"/>
        <v>2129180.8473773776</v>
      </c>
      <c r="I45" s="52">
        <f t="shared" si="12"/>
        <v>830996.5790402093</v>
      </c>
      <c r="J45" s="52">
        <f t="shared" si="34"/>
        <v>1298184.2683371683</v>
      </c>
      <c r="K45" s="51">
        <f t="shared" si="36"/>
        <v>0</v>
      </c>
      <c r="L45" s="49">
        <f t="shared" ref="L45:L108" si="37">IF(AND(C$7="Y",$B45&lt;=$C$4),0,IF(AND(C$7="N",C$4&gt;0,B45&lt;=C$4),0,U45*D44))</f>
        <v>355964.83476074261</v>
      </c>
      <c r="M45" s="49">
        <f t="shared" ref="M45:M108" si="38">IFERROR(L41*-1,0)</f>
        <v>-384185.73978398304</v>
      </c>
      <c r="N45" s="49">
        <f t="shared" si="28"/>
        <v>0</v>
      </c>
      <c r="O45" s="48">
        <f t="shared" si="31"/>
        <v>1773216.0126166348</v>
      </c>
      <c r="P45" s="38">
        <f t="shared" si="35"/>
        <v>1773216.0126166348</v>
      </c>
      <c r="Q45" s="53"/>
      <c r="R45" s="53">
        <f t="shared" si="8"/>
        <v>0</v>
      </c>
      <c r="S45" s="53">
        <f t="shared" si="9"/>
        <v>0</v>
      </c>
      <c r="T45" s="53">
        <f t="shared" si="10"/>
        <v>0.05</v>
      </c>
      <c r="U45" s="53">
        <f t="shared" si="16"/>
        <v>4.2653187775606449E-3</v>
      </c>
    </row>
    <row r="46" spans="1:23" x14ac:dyDescent="0.2">
      <c r="A46" s="62">
        <f t="shared" si="1"/>
        <v>0.80147226052771414</v>
      </c>
      <c r="B46" s="45">
        <f t="shared" si="2"/>
        <v>32</v>
      </c>
      <c r="C46" s="49">
        <f t="shared" si="32"/>
        <v>81801473.63568376</v>
      </c>
      <c r="D46" s="47" cm="1">
        <f t="array" ref="D46">_xlfn.IFS(AND($C$7="Y",B46&lt;C$4),C46,AND($C$7="Y",B46=C$4),D45+F46-J46-K46-L46+N46,AND($C$7="Y",B46&gt;$C$4),D45-J46-K46-L46+N46, TRUE, D45-J46-K46-L46+N46)</f>
        <v>80147226.052771419</v>
      </c>
      <c r="E46" s="48">
        <f t="shared" si="4"/>
        <v>0</v>
      </c>
      <c r="F46" s="50">
        <f t="shared" si="5"/>
        <v>0</v>
      </c>
      <c r="G46" s="50">
        <f t="shared" si="17"/>
        <v>0</v>
      </c>
      <c r="H46" s="51">
        <f t="shared" si="33"/>
        <v>2119863.8641234646</v>
      </c>
      <c r="I46" s="52">
        <f t="shared" si="12"/>
        <v>814525.64274153346</v>
      </c>
      <c r="J46" s="52">
        <f t="shared" si="34"/>
        <v>1305338.2213819311</v>
      </c>
      <c r="K46" s="51">
        <f t="shared" si="36"/>
        <v>0</v>
      </c>
      <c r="L46" s="49">
        <f t="shared" si="37"/>
        <v>348909.36153041397</v>
      </c>
      <c r="M46" s="49">
        <f t="shared" si="38"/>
        <v>-377130.3398116614</v>
      </c>
      <c r="N46" s="49">
        <f t="shared" si="28"/>
        <v>0</v>
      </c>
      <c r="O46" s="48">
        <f t="shared" si="31"/>
        <v>1770954.5025930507</v>
      </c>
      <c r="P46" s="38">
        <f t="shared" si="35"/>
        <v>1770954.5025930507</v>
      </c>
      <c r="Q46" s="53"/>
      <c r="R46" s="53">
        <f t="shared" si="8"/>
        <v>0</v>
      </c>
      <c r="S46" s="53">
        <f t="shared" si="9"/>
        <v>0</v>
      </c>
      <c r="T46" s="53">
        <f t="shared" si="10"/>
        <v>0.05</v>
      </c>
      <c r="U46" s="53">
        <f t="shared" si="16"/>
        <v>4.2653187775606449E-3</v>
      </c>
    </row>
    <row r="47" spans="1:23" x14ac:dyDescent="0.2">
      <c r="A47" s="62">
        <f t="shared" si="1"/>
        <v>0.78492842449165134</v>
      </c>
      <c r="B47" s="45">
        <f t="shared" si="2"/>
        <v>33</v>
      </c>
      <c r="C47" s="49">
        <f t="shared" si="32"/>
        <v>80147226.052771419</v>
      </c>
      <c r="D47" s="47" cm="1">
        <f t="array" ref="D47">_xlfn.IFS(AND($C$7="Y",B47&lt;C$4),C47,AND($C$7="Y",B47=C$4),D46+F47-J47-K47-L47+N47,AND($C$7="Y",B47&gt;$C$4),D46-J47-K47-L47+N47, TRUE, D46-J47-K47-L47+N47)</f>
        <v>78492842.449165136</v>
      </c>
      <c r="E47" s="48">
        <f t="shared" si="4"/>
        <v>0</v>
      </c>
      <c r="F47" s="50">
        <f t="shared" si="5"/>
        <v>0</v>
      </c>
      <c r="G47" s="50">
        <f t="shared" si="17"/>
        <v>0</v>
      </c>
      <c r="H47" s="51">
        <f t="shared" si="33"/>
        <v>2110583.8611991918</v>
      </c>
      <c r="I47" s="52">
        <f t="shared" si="12"/>
        <v>798053.72584519128</v>
      </c>
      <c r="J47" s="52">
        <f t="shared" si="34"/>
        <v>1312530.1353540006</v>
      </c>
      <c r="K47" s="51">
        <f t="shared" si="36"/>
        <v>0</v>
      </c>
      <c r="L47" s="49">
        <f t="shared" si="37"/>
        <v>341853.46825228364</v>
      </c>
      <c r="M47" s="49">
        <f t="shared" si="38"/>
        <v>-370075.16306972271</v>
      </c>
      <c r="N47" s="49">
        <f t="shared" si="28"/>
        <v>0</v>
      </c>
      <c r="O47" s="48">
        <f t="shared" si="31"/>
        <v>1768730.3929469083</v>
      </c>
      <c r="P47" s="38">
        <f t="shared" si="35"/>
        <v>1768730.3929469083</v>
      </c>
      <c r="Q47" s="53"/>
      <c r="R47" s="53">
        <f t="shared" si="8"/>
        <v>0</v>
      </c>
      <c r="S47" s="53">
        <f t="shared" si="9"/>
        <v>0</v>
      </c>
      <c r="T47" s="53">
        <f t="shared" si="10"/>
        <v>0.05</v>
      </c>
      <c r="U47" s="53">
        <f t="shared" si="16"/>
        <v>4.2653187775606449E-3</v>
      </c>
    </row>
    <row r="48" spans="1:23" x14ac:dyDescent="0.2">
      <c r="A48" s="62">
        <f t="shared" si="1"/>
        <v>0.76838285362595815</v>
      </c>
      <c r="B48" s="45">
        <f t="shared" si="2"/>
        <v>34</v>
      </c>
      <c r="C48" s="49">
        <f t="shared" si="32"/>
        <v>78492842.449165136</v>
      </c>
      <c r="D48" s="47" cm="1">
        <f t="array" ref="D48">_xlfn.IFS(AND($C$7="Y",B48&lt;C$4),C48,AND($C$7="Y",B48=C$4),D47+F48-J48-K48-L48+N48,AND($C$7="Y",B48&gt;$C$4),D47-J48-K48-L48+N48, TRUE, D47-J48-K48-L48+N48)</f>
        <v>76838285.362595811</v>
      </c>
      <c r="E48" s="48">
        <f t="shared" si="4"/>
        <v>0</v>
      </c>
      <c r="F48" s="50">
        <f t="shared" si="5"/>
        <v>0</v>
      </c>
      <c r="G48" s="50">
        <f t="shared" si="17"/>
        <v>0</v>
      </c>
      <c r="H48" s="51">
        <f t="shared" si="33"/>
        <v>2101340.5463104169</v>
      </c>
      <c r="I48" s="52">
        <f t="shared" si="12"/>
        <v>781580.45454362594</v>
      </c>
      <c r="J48" s="52">
        <f t="shared" si="34"/>
        <v>1319760.091766791</v>
      </c>
      <c r="K48" s="51">
        <f t="shared" si="36"/>
        <v>0</v>
      </c>
      <c r="L48" s="49">
        <f t="shared" si="37"/>
        <v>334796.99480253336</v>
      </c>
      <c r="M48" s="49">
        <f t="shared" si="38"/>
        <v>-363020.04837192886</v>
      </c>
      <c r="N48" s="49">
        <f t="shared" si="28"/>
        <v>0</v>
      </c>
      <c r="O48" s="48">
        <f t="shared" si="31"/>
        <v>1766543.5515078835</v>
      </c>
      <c r="P48" s="38">
        <f t="shared" si="35"/>
        <v>1766543.5515078835</v>
      </c>
      <c r="Q48" s="53"/>
      <c r="R48" s="53">
        <f t="shared" si="8"/>
        <v>0</v>
      </c>
      <c r="S48" s="53">
        <f t="shared" si="9"/>
        <v>0</v>
      </c>
      <c r="T48" s="53">
        <f t="shared" si="10"/>
        <v>0.05</v>
      </c>
      <c r="U48" s="53">
        <f t="shared" si="16"/>
        <v>4.2653187775606449E-3</v>
      </c>
    </row>
    <row r="49" spans="1:21" x14ac:dyDescent="0.2">
      <c r="A49" s="62">
        <f t="shared" si="1"/>
        <v>0.75183517417248891</v>
      </c>
      <c r="B49" s="45">
        <f t="shared" si="2"/>
        <v>35</v>
      </c>
      <c r="C49" s="49">
        <f t="shared" si="32"/>
        <v>76838285.362595811</v>
      </c>
      <c r="D49" s="47" cm="1">
        <f t="array" ref="D49">_xlfn.IFS(AND($C$7="Y",B49&lt;C$4),C49,AND($C$7="Y",B49=C$4),D48+F49-J49-K49-L49+N49,AND($C$7="Y",B49&gt;$C$4),D48-J49-K49-L49+N49, TRUE, D48-J49-K49-L49+N49)</f>
        <v>75183517.41724889</v>
      </c>
      <c r="E49" s="48">
        <f t="shared" si="4"/>
        <v>0</v>
      </c>
      <c r="F49" s="50">
        <f t="shared" si="5"/>
        <v>0</v>
      </c>
      <c r="G49" s="50">
        <f t="shared" si="17"/>
        <v>0</v>
      </c>
      <c r="H49" s="51">
        <f t="shared" si="33"/>
        <v>2092133.6197662987</v>
      </c>
      <c r="I49" s="52">
        <f t="shared" si="12"/>
        <v>765105.45581203152</v>
      </c>
      <c r="J49" s="52">
        <f t="shared" si="34"/>
        <v>1327028.1639542673</v>
      </c>
      <c r="K49" s="51">
        <f t="shared" si="36"/>
        <v>0</v>
      </c>
      <c r="L49" s="49">
        <f t="shared" si="37"/>
        <v>327739.78139264317</v>
      </c>
      <c r="M49" s="49">
        <f t="shared" si="38"/>
        <v>-355964.83476074261</v>
      </c>
      <c r="N49" s="49">
        <f t="shared" si="28"/>
        <v>0</v>
      </c>
      <c r="O49" s="48">
        <f t="shared" si="31"/>
        <v>1764393.8383736555</v>
      </c>
      <c r="P49" s="38">
        <f t="shared" si="35"/>
        <v>1764393.8383736555</v>
      </c>
      <c r="Q49" s="53"/>
      <c r="R49" s="53">
        <f t="shared" si="8"/>
        <v>0</v>
      </c>
      <c r="S49" s="53">
        <f t="shared" si="9"/>
        <v>0</v>
      </c>
      <c r="T49" s="53">
        <f t="shared" si="10"/>
        <v>0.05</v>
      </c>
      <c r="U49" s="53">
        <f t="shared" si="16"/>
        <v>4.2653187775606449E-3</v>
      </c>
    </row>
    <row r="50" spans="1:21" x14ac:dyDescent="0.2">
      <c r="A50" s="62">
        <f t="shared" si="1"/>
        <v>0.73528501332389939</v>
      </c>
      <c r="B50" s="45">
        <f t="shared" si="2"/>
        <v>36</v>
      </c>
      <c r="C50" s="49">
        <f t="shared" si="32"/>
        <v>75183517.41724889</v>
      </c>
      <c r="D50" s="47" cm="1">
        <f t="array" ref="D50">_xlfn.IFS(AND($C$7="Y",B50&lt;C$4),C50,AND($C$7="Y",B50=C$4),D49+F50-J50-K50-L50+N50,AND($C$7="Y",B50&gt;$C$4),D49-J50-K50-L50+N50, TRUE, D49-J50-K50-L50+N50)</f>
        <v>73528501.332389936</v>
      </c>
      <c r="E50" s="48">
        <f t="shared" si="4"/>
        <v>0</v>
      </c>
      <c r="F50" s="50">
        <f t="shared" si="5"/>
        <v>0</v>
      </c>
      <c r="G50" s="50">
        <f t="shared" si="17"/>
        <v>0</v>
      </c>
      <c r="H50" s="51">
        <f t="shared" si="33"/>
        <v>2082962.7737425617</v>
      </c>
      <c r="I50" s="52">
        <f t="shared" si="12"/>
        <v>748628.35748646036</v>
      </c>
      <c r="J50" s="52">
        <f t="shared" si="34"/>
        <v>1334334.4162561013</v>
      </c>
      <c r="K50" s="51">
        <f t="shared" si="36"/>
        <v>0</v>
      </c>
      <c r="L50" s="49">
        <f t="shared" si="37"/>
        <v>320681.66860284947</v>
      </c>
      <c r="M50" s="49">
        <f t="shared" si="38"/>
        <v>-348909.36153041397</v>
      </c>
      <c r="N50" s="49">
        <f t="shared" si="28"/>
        <v>0</v>
      </c>
      <c r="O50" s="48">
        <f t="shared" si="31"/>
        <v>1762281.1051397123</v>
      </c>
      <c r="P50" s="38">
        <f t="shared" si="35"/>
        <v>1762281.1051397123</v>
      </c>
      <c r="Q50" s="53"/>
      <c r="R50" s="53">
        <f t="shared" si="8"/>
        <v>0</v>
      </c>
      <c r="S50" s="53">
        <f t="shared" si="9"/>
        <v>0</v>
      </c>
      <c r="T50" s="53">
        <f t="shared" si="10"/>
        <v>0.05</v>
      </c>
      <c r="U50" s="53">
        <f t="shared" si="16"/>
        <v>4.2653187775606449E-3</v>
      </c>
    </row>
    <row r="51" spans="1:21" x14ac:dyDescent="0.2">
      <c r="A51" s="62">
        <f t="shared" si="1"/>
        <v>0.71873199931860055</v>
      </c>
      <c r="B51" s="45">
        <f t="shared" si="2"/>
        <v>37</v>
      </c>
      <c r="C51" s="49">
        <f t="shared" si="32"/>
        <v>73528501.332389936</v>
      </c>
      <c r="D51" s="47" cm="1">
        <f t="array" ref="D51">_xlfn.IFS(AND($C$7="Y",B51&lt;C$4),C51,AND($C$7="Y",B51=C$4),D50+F51-J51-K51-L51+N51,AND($C$7="Y",B51&gt;$C$4),D50-J51-K51-L51+N51, TRUE, D50-J51-K51-L51+N51)</f>
        <v>71873199.931860059</v>
      </c>
      <c r="E51" s="48">
        <f t="shared" si="4"/>
        <v>0</v>
      </c>
      <c r="F51" s="50">
        <f t="shared" si="5"/>
        <v>0</v>
      </c>
      <c r="G51" s="50">
        <f t="shared" si="17"/>
        <v>0</v>
      </c>
      <c r="H51" s="51">
        <f t="shared" si="33"/>
        <v>2073827.6914606462</v>
      </c>
      <c r="I51" s="52">
        <f t="shared" si="12"/>
        <v>732148.78834970994</v>
      </c>
      <c r="J51" s="52">
        <f t="shared" si="34"/>
        <v>1341678.9031109363</v>
      </c>
      <c r="K51" s="51">
        <f t="shared" si="36"/>
        <v>0</v>
      </c>
      <c r="L51" s="49">
        <f t="shared" si="37"/>
        <v>313622.4974189357</v>
      </c>
      <c r="M51" s="49">
        <f t="shared" si="38"/>
        <v>-341853.46825228364</v>
      </c>
      <c r="N51" s="49">
        <f t="shared" si="28"/>
        <v>0</v>
      </c>
      <c r="O51" s="48">
        <f t="shared" si="31"/>
        <v>1760205.1940417106</v>
      </c>
      <c r="P51" s="38">
        <f t="shared" si="35"/>
        <v>1760205.1940417106</v>
      </c>
      <c r="Q51" s="53"/>
      <c r="R51" s="53">
        <f t="shared" si="8"/>
        <v>0</v>
      </c>
      <c r="S51" s="53">
        <f t="shared" si="9"/>
        <v>0</v>
      </c>
      <c r="T51" s="53">
        <f t="shared" si="10"/>
        <v>0.05</v>
      </c>
      <c r="U51" s="53">
        <f t="shared" si="16"/>
        <v>4.2653187775606449E-3</v>
      </c>
    </row>
    <row r="52" spans="1:21" x14ac:dyDescent="0.2">
      <c r="A52" s="62">
        <f t="shared" si="1"/>
        <v>0.70217576154542227</v>
      </c>
      <c r="B52" s="45">
        <f t="shared" si="2"/>
        <v>38</v>
      </c>
      <c r="C52" s="49">
        <f t="shared" si="32"/>
        <v>71873199.931860059</v>
      </c>
      <c r="D52" s="47" cm="1">
        <f t="array" ref="D52">_xlfn.IFS(AND($C$7="Y",B52&lt;C$4),C52,AND($C$7="Y",B52=C$4),D51+F52-J52-K52-L52+N52,AND($C$7="Y",B52&gt;$C$4),D51-J52-K52-L52+N52, TRUE, D51-J52-K52-L52+N52)</f>
        <v>70217576.154542223</v>
      </c>
      <c r="E52" s="48">
        <f t="shared" si="4"/>
        <v>0</v>
      </c>
      <c r="F52" s="50">
        <f t="shared" si="5"/>
        <v>0</v>
      </c>
      <c r="G52" s="50">
        <f t="shared" si="17"/>
        <v>0</v>
      </c>
      <c r="H52" s="51">
        <f t="shared" si="33"/>
        <v>2064728.0462709775</v>
      </c>
      <c r="I52" s="52">
        <f t="shared" si="12"/>
        <v>715666.37822587322</v>
      </c>
      <c r="J52" s="52">
        <f t="shared" si="34"/>
        <v>1349061.6680451042</v>
      </c>
      <c r="K52" s="51">
        <f t="shared" si="36"/>
        <v>0</v>
      </c>
      <c r="L52" s="49">
        <f t="shared" si="37"/>
        <v>306562.10927273316</v>
      </c>
      <c r="M52" s="49">
        <f t="shared" si="38"/>
        <v>-334796.99480253336</v>
      </c>
      <c r="N52" s="49">
        <f t="shared" si="28"/>
        <v>0</v>
      </c>
      <c r="O52" s="48">
        <f t="shared" si="31"/>
        <v>1758165.9369982444</v>
      </c>
      <c r="P52" s="38">
        <f t="shared" si="35"/>
        <v>1758165.9369982444</v>
      </c>
      <c r="Q52" s="53"/>
      <c r="R52" s="53">
        <f t="shared" si="8"/>
        <v>0</v>
      </c>
      <c r="S52" s="53">
        <f t="shared" si="9"/>
        <v>0</v>
      </c>
      <c r="T52" s="53">
        <f t="shared" si="10"/>
        <v>0.05</v>
      </c>
      <c r="U52" s="53">
        <f t="shared" si="16"/>
        <v>4.2653187775606449E-3</v>
      </c>
    </row>
    <row r="53" spans="1:21" x14ac:dyDescent="0.2">
      <c r="A53" s="62">
        <f t="shared" si="1"/>
        <v>0.68561593065913451</v>
      </c>
      <c r="B53" s="45">
        <f t="shared" si="2"/>
        <v>39</v>
      </c>
      <c r="C53" s="49">
        <f t="shared" si="32"/>
        <v>70217576.154542223</v>
      </c>
      <c r="D53" s="47" cm="1">
        <f t="array" ref="D53">_xlfn.IFS(AND($C$7="Y",B53&lt;C$4),C53,AND($C$7="Y",B53=C$4),D52+F53-J53-K53-L53+N53,AND($C$7="Y",B53&gt;$C$4),D52-J53-K53-L53+N53, TRUE, D52-J53-K53-L53+N53)</f>
        <v>68561593.065913454</v>
      </c>
      <c r="E53" s="48">
        <f t="shared" si="4"/>
        <v>0</v>
      </c>
      <c r="F53" s="50">
        <f t="shared" si="5"/>
        <v>0</v>
      </c>
      <c r="G53" s="50">
        <f t="shared" si="17"/>
        <v>0</v>
      </c>
      <c r="H53" s="51">
        <f t="shared" si="33"/>
        <v>2055663.5006265468</v>
      </c>
      <c r="I53" s="52">
        <f t="shared" si="12"/>
        <v>699180.75808455457</v>
      </c>
      <c r="J53" s="52">
        <f t="shared" si="34"/>
        <v>1356482.7425419921</v>
      </c>
      <c r="K53" s="51">
        <f t="shared" si="36"/>
        <v>0</v>
      </c>
      <c r="L53" s="49">
        <f t="shared" si="37"/>
        <v>299500.34608676354</v>
      </c>
      <c r="M53" s="49">
        <f t="shared" si="38"/>
        <v>-327739.78139264317</v>
      </c>
      <c r="N53" s="49">
        <f t="shared" si="28"/>
        <v>0</v>
      </c>
      <c r="O53" s="48">
        <f t="shared" si="31"/>
        <v>1756163.1545397833</v>
      </c>
      <c r="P53" s="38">
        <f t="shared" si="35"/>
        <v>1756163.1545397833</v>
      </c>
      <c r="Q53" s="53"/>
      <c r="R53" s="53">
        <f t="shared" si="8"/>
        <v>0</v>
      </c>
      <c r="S53" s="53">
        <f t="shared" si="9"/>
        <v>0</v>
      </c>
      <c r="T53" s="53">
        <f t="shared" si="10"/>
        <v>0.05</v>
      </c>
      <c r="U53" s="53">
        <f t="shared" si="16"/>
        <v>4.2653187775606449E-3</v>
      </c>
    </row>
    <row r="54" spans="1:21" x14ac:dyDescent="0.2">
      <c r="A54" s="62">
        <f t="shared" si="1"/>
        <v>0.66905213870815183</v>
      </c>
      <c r="B54" s="45">
        <f t="shared" si="2"/>
        <v>40</v>
      </c>
      <c r="C54" s="49">
        <f t="shared" si="32"/>
        <v>68561593.065913454</v>
      </c>
      <c r="D54" s="47" cm="1">
        <f t="array" ref="D54">_xlfn.IFS(AND($C$7="Y",B54&lt;C$4),C54,AND($C$7="Y",B54=C$4),D53+F54-J54-K54-L54+N54,AND($C$7="Y",B54&gt;$C$4),D53-J54-K54-L54+N54, TRUE, D53-J54-K54-L54+N54)</f>
        <v>66905213.87081518</v>
      </c>
      <c r="E54" s="48">
        <f t="shared" si="4"/>
        <v>0</v>
      </c>
      <c r="F54" s="50">
        <f t="shared" si="5"/>
        <v>0</v>
      </c>
      <c r="G54" s="50">
        <f t="shared" si="17"/>
        <v>0</v>
      </c>
      <c r="H54" s="51">
        <f t="shared" si="33"/>
        <v>2046633.7049306713</v>
      </c>
      <c r="I54" s="52">
        <f t="shared" si="12"/>
        <v>682691.56015589938</v>
      </c>
      <c r="J54" s="52">
        <f t="shared" si="34"/>
        <v>1363942.1447747718</v>
      </c>
      <c r="K54" s="51">
        <f t="shared" si="36"/>
        <v>0</v>
      </c>
      <c r="L54" s="49">
        <f t="shared" si="37"/>
        <v>292437.05032351235</v>
      </c>
      <c r="M54" s="49">
        <f t="shared" si="38"/>
        <v>-320681.66860284947</v>
      </c>
      <c r="N54" s="49">
        <f t="shared" si="28"/>
        <v>0</v>
      </c>
      <c r="O54" s="48">
        <f t="shared" si="31"/>
        <v>1754196.6546071586</v>
      </c>
      <c r="P54" s="38">
        <f t="shared" si="35"/>
        <v>1754196.6546071586</v>
      </c>
      <c r="Q54" s="53"/>
      <c r="R54" s="53">
        <f t="shared" si="8"/>
        <v>0</v>
      </c>
      <c r="S54" s="53">
        <f t="shared" si="9"/>
        <v>0</v>
      </c>
      <c r="T54" s="53">
        <f t="shared" si="10"/>
        <v>0.05</v>
      </c>
      <c r="U54" s="53">
        <f t="shared" si="16"/>
        <v>4.2653187775606449E-3</v>
      </c>
    </row>
    <row r="55" spans="1:21" x14ac:dyDescent="0.2">
      <c r="A55" s="62">
        <f t="shared" si="1"/>
        <v>0.65248401927593092</v>
      </c>
      <c r="B55" s="45">
        <f t="shared" si="2"/>
        <v>41</v>
      </c>
      <c r="C55" s="49">
        <f t="shared" si="32"/>
        <v>66905213.87081518</v>
      </c>
      <c r="D55" s="47" cm="1">
        <f t="array" ref="D55">_xlfn.IFS(AND($C$7="Y",B55&lt;C$4),C55,AND($C$7="Y",B55=C$4),D54+F55-J55-K55-L55+N55,AND($C$7="Y",B55&gt;$C$4),D54-J55-K55-L55+N55, TRUE, D54-J55-K55-L55+N55)</f>
        <v>65248401.92759309</v>
      </c>
      <c r="E55" s="48">
        <f t="shared" si="4"/>
        <v>0</v>
      </c>
      <c r="F55" s="50">
        <f t="shared" si="5"/>
        <v>0</v>
      </c>
      <c r="G55" s="50">
        <f t="shared" si="17"/>
        <v>0</v>
      </c>
      <c r="H55" s="51">
        <f t="shared" si="33"/>
        <v>2037638.2962399453</v>
      </c>
      <c r="I55" s="52">
        <f t="shared" si="12"/>
        <v>666198.41805775289</v>
      </c>
      <c r="J55" s="52">
        <f t="shared" si="34"/>
        <v>1371439.8781821923</v>
      </c>
      <c r="K55" s="51">
        <f t="shared" si="36"/>
        <v>0</v>
      </c>
      <c r="L55" s="49">
        <f t="shared" si="37"/>
        <v>285372.06503989891</v>
      </c>
      <c r="M55" s="49">
        <f t="shared" si="38"/>
        <v>-313622.4974189357</v>
      </c>
      <c r="N55" s="49">
        <f t="shared" si="28"/>
        <v>0</v>
      </c>
      <c r="O55" s="48">
        <f t="shared" si="31"/>
        <v>1752266.2312000461</v>
      </c>
      <c r="P55" s="38">
        <f t="shared" si="35"/>
        <v>1752266.2312000461</v>
      </c>
      <c r="Q55" s="53"/>
      <c r="R55" s="53">
        <f t="shared" si="8"/>
        <v>0</v>
      </c>
      <c r="S55" s="53">
        <f t="shared" si="9"/>
        <v>0</v>
      </c>
      <c r="T55" s="53">
        <f t="shared" si="10"/>
        <v>0.05</v>
      </c>
      <c r="U55" s="53">
        <f t="shared" si="16"/>
        <v>4.2653187775606449E-3</v>
      </c>
    </row>
    <row r="56" spans="1:21" x14ac:dyDescent="0.2">
      <c r="A56" s="62">
        <f t="shared" si="1"/>
        <v>0.63591120763781961</v>
      </c>
      <c r="B56" s="45">
        <f t="shared" si="2"/>
        <v>42</v>
      </c>
      <c r="C56" s="49">
        <f t="shared" si="32"/>
        <v>65248401.92759309</v>
      </c>
      <c r="D56" s="47" cm="1">
        <f t="array" ref="D56">_xlfn.IFS(AND($C$7="Y",B56&lt;C$4),C56,AND($C$7="Y",B56=C$4),D55+F56-J56-K56-L56+N56,AND($C$7="Y",B56&gt;$C$4),D55-J56-K56-L56+N56, TRUE, D55-J56-K56-L56+N56)</f>
        <v>63591120.763781965</v>
      </c>
      <c r="E56" s="48">
        <f t="shared" si="4"/>
        <v>0</v>
      </c>
      <c r="F56" s="50">
        <f t="shared" si="5"/>
        <v>0</v>
      </c>
      <c r="G56" s="50">
        <f t="shared" si="17"/>
        <v>0</v>
      </c>
      <c r="H56" s="51">
        <f t="shared" si="33"/>
        <v>2028676.8967999897</v>
      </c>
      <c r="I56" s="52">
        <f t="shared" si="12"/>
        <v>649700.96693645499</v>
      </c>
      <c r="J56" s="52">
        <f t="shared" si="34"/>
        <v>1378975.9298635349</v>
      </c>
      <c r="K56" s="51">
        <f t="shared" si="36"/>
        <v>0</v>
      </c>
      <c r="L56" s="49">
        <f t="shared" si="37"/>
        <v>278305.23394758697</v>
      </c>
      <c r="M56" s="49">
        <f t="shared" si="38"/>
        <v>-306562.10927273316</v>
      </c>
      <c r="N56" s="49">
        <f t="shared" si="28"/>
        <v>0</v>
      </c>
      <c r="O56" s="48">
        <f t="shared" si="31"/>
        <v>1750371.662852403</v>
      </c>
      <c r="P56" s="38">
        <f t="shared" si="35"/>
        <v>1750371.662852403</v>
      </c>
      <c r="Q56" s="53"/>
      <c r="R56" s="53">
        <f t="shared" si="8"/>
        <v>0</v>
      </c>
      <c r="S56" s="53">
        <f t="shared" si="9"/>
        <v>0</v>
      </c>
      <c r="T56" s="53">
        <f t="shared" si="10"/>
        <v>0.05</v>
      </c>
      <c r="U56" s="53">
        <f t="shared" si="16"/>
        <v>4.2653187775606449E-3</v>
      </c>
    </row>
    <row r="57" spans="1:21" x14ac:dyDescent="0.2">
      <c r="A57" s="62">
        <f t="shared" si="1"/>
        <v>0.61933334093537651</v>
      </c>
      <c r="B57" s="45">
        <f t="shared" si="2"/>
        <v>43</v>
      </c>
      <c r="C57" s="49">
        <f t="shared" si="32"/>
        <v>63591120.763781965</v>
      </c>
      <c r="D57" s="47" cm="1">
        <f t="array" ref="D57">_xlfn.IFS(AND($C$7="Y",B57&lt;C$4),C57,AND($C$7="Y",B57=C$4),D56+F57-J57-K57-L57+N57,AND($C$7="Y",B57&gt;$C$4),D56-J57-K57-L57+N57, TRUE, D56-J57-K57-L57+N57)</f>
        <v>61933334.093537651</v>
      </c>
      <c r="E57" s="48">
        <f t="shared" si="4"/>
        <v>0</v>
      </c>
      <c r="F57" s="50">
        <f t="shared" si="5"/>
        <v>0</v>
      </c>
      <c r="G57" s="50">
        <f t="shared" si="17"/>
        <v>0</v>
      </c>
      <c r="H57" s="51">
        <f t="shared" si="33"/>
        <v>2019749.1123874506</v>
      </c>
      <c r="I57" s="52">
        <f t="shared" si="12"/>
        <v>633198.8436230208</v>
      </c>
      <c r="J57" s="52">
        <f t="shared" si="34"/>
        <v>1386550.2687644297</v>
      </c>
      <c r="K57" s="51">
        <f t="shared" si="36"/>
        <v>0</v>
      </c>
      <c r="L57" s="49">
        <f t="shared" si="37"/>
        <v>271236.40147988586</v>
      </c>
      <c r="M57" s="49">
        <f t="shared" si="38"/>
        <v>-299500.34608676354</v>
      </c>
      <c r="N57" s="49">
        <f t="shared" si="28"/>
        <v>0</v>
      </c>
      <c r="O57" s="48">
        <f t="shared" si="31"/>
        <v>1748512.7109075645</v>
      </c>
      <c r="P57" s="38">
        <f t="shared" si="35"/>
        <v>1748512.7109075645</v>
      </c>
      <c r="Q57" s="53"/>
      <c r="R57" s="53">
        <f t="shared" si="8"/>
        <v>0</v>
      </c>
      <c r="S57" s="53">
        <f t="shared" si="9"/>
        <v>0</v>
      </c>
      <c r="T57" s="53">
        <f t="shared" si="10"/>
        <v>0.05</v>
      </c>
      <c r="U57" s="53">
        <f t="shared" si="16"/>
        <v>4.2653187775606449E-3</v>
      </c>
    </row>
    <row r="58" spans="1:21" x14ac:dyDescent="0.2">
      <c r="A58" s="62">
        <f t="shared" si="1"/>
        <v>0.60275005837051598</v>
      </c>
      <c r="B58" s="45">
        <f t="shared" si="2"/>
        <v>44</v>
      </c>
      <c r="C58" s="49">
        <f t="shared" si="32"/>
        <v>61933334.093537651</v>
      </c>
      <c r="D58" s="47" cm="1">
        <f t="array" ref="D58">_xlfn.IFS(AND($C$7="Y",B58&lt;C$4),C58,AND($C$7="Y",B58=C$4),D57+F58-J58-K58-L58+N58,AND($C$7="Y",B58&gt;$C$4),D57-J58-K58-L58+N58, TRUE, D57-J58-K58-L58+N58)</f>
        <v>60275005.8370516</v>
      </c>
      <c r="E58" s="48">
        <f t="shared" si="4"/>
        <v>0</v>
      </c>
      <c r="F58" s="50">
        <f t="shared" si="5"/>
        <v>0</v>
      </c>
      <c r="G58" s="50">
        <f t="shared" si="17"/>
        <v>0</v>
      </c>
      <c r="H58" s="51">
        <f t="shared" si="33"/>
        <v>2010854.5304266643</v>
      </c>
      <c r="I58" s="52">
        <f t="shared" si="12"/>
        <v>616691.68680671544</v>
      </c>
      <c r="J58" s="52">
        <f t="shared" si="34"/>
        <v>1394162.8436199487</v>
      </c>
      <c r="K58" s="51">
        <f t="shared" si="36"/>
        <v>0</v>
      </c>
      <c r="L58" s="49">
        <f t="shared" si="37"/>
        <v>264165.41286610306</v>
      </c>
      <c r="M58" s="49">
        <f t="shared" si="38"/>
        <v>-292437.05032351235</v>
      </c>
      <c r="N58" s="49">
        <f t="shared" si="28"/>
        <v>0</v>
      </c>
      <c r="O58" s="48">
        <f t="shared" si="31"/>
        <v>1746689.1175605613</v>
      </c>
      <c r="P58" s="38">
        <f t="shared" si="35"/>
        <v>1746689.1175605613</v>
      </c>
      <c r="Q58" s="53"/>
      <c r="R58" s="53">
        <f t="shared" si="8"/>
        <v>0</v>
      </c>
      <c r="S58" s="53">
        <f t="shared" si="9"/>
        <v>0</v>
      </c>
      <c r="T58" s="53">
        <f t="shared" si="10"/>
        <v>0.05</v>
      </c>
      <c r="U58" s="53">
        <f t="shared" si="16"/>
        <v>4.2653187775606449E-3</v>
      </c>
    </row>
    <row r="59" spans="1:21" x14ac:dyDescent="0.2">
      <c r="A59" s="62">
        <f t="shared" si="1"/>
        <v>0.58616100142222372</v>
      </c>
      <c r="B59" s="45">
        <f t="shared" si="2"/>
        <v>45</v>
      </c>
      <c r="C59" s="49">
        <f t="shared" si="32"/>
        <v>60275005.8370516</v>
      </c>
      <c r="D59" s="47" cm="1">
        <f t="array" ref="D59">_xlfn.IFS(AND($C$7="Y",B59&lt;C$4),C59,AND($C$7="Y",B59=C$4),D58+F59-J59-K59-L59+N59,AND($C$7="Y",B59&gt;$C$4),D58-J59-K59-L59+N59, TRUE, D58-J59-K59-L59+N59)</f>
        <v>58616100.142222375</v>
      </c>
      <c r="E59" s="48">
        <f t="shared" si="4"/>
        <v>0</v>
      </c>
      <c r="F59" s="50">
        <f t="shared" si="5"/>
        <v>0</v>
      </c>
      <c r="G59" s="50">
        <f t="shared" si="17"/>
        <v>0</v>
      </c>
      <c r="H59" s="51">
        <f t="shared" si="33"/>
        <v>2001992.7178432422</v>
      </c>
      <c r="I59" s="52">
        <f t="shared" si="12"/>
        <v>600179.13722837239</v>
      </c>
      <c r="J59" s="52">
        <f t="shared" si="34"/>
        <v>1401813.5806148699</v>
      </c>
      <c r="K59" s="51">
        <f t="shared" si="36"/>
        <v>0</v>
      </c>
      <c r="L59" s="49">
        <f t="shared" si="37"/>
        <v>257092.11421435367</v>
      </c>
      <c r="M59" s="49">
        <f t="shared" si="38"/>
        <v>-285372.06503989891</v>
      </c>
      <c r="N59" s="49">
        <f t="shared" si="28"/>
        <v>0</v>
      </c>
      <c r="O59" s="48">
        <f t="shared" si="31"/>
        <v>1744900.6036288887</v>
      </c>
      <c r="P59" s="38">
        <f t="shared" si="35"/>
        <v>1744900.6036288887</v>
      </c>
      <c r="Q59" s="53"/>
      <c r="R59" s="53">
        <f t="shared" si="8"/>
        <v>0</v>
      </c>
      <c r="S59" s="53">
        <f t="shared" si="9"/>
        <v>0</v>
      </c>
      <c r="T59" s="53">
        <f t="shared" si="10"/>
        <v>0.05</v>
      </c>
      <c r="U59" s="53">
        <f t="shared" si="16"/>
        <v>4.2653187775606449E-3</v>
      </c>
    </row>
    <row r="60" spans="1:21" x14ac:dyDescent="0.2">
      <c r="A60" s="62">
        <f t="shared" si="1"/>
        <v>0.56956581408905305</v>
      </c>
      <c r="B60" s="45">
        <f t="shared" si="2"/>
        <v>46</v>
      </c>
      <c r="C60" s="49">
        <f t="shared" si="32"/>
        <v>58616100.142222375</v>
      </c>
      <c r="D60" s="47" cm="1">
        <f t="array" ref="D60">_xlfn.IFS(AND($C$7="Y",B60&lt;C$4),C60,AND($C$7="Y",B60=C$4),D59+F60-J60-K60-L60+N60,AND($C$7="Y",B60&gt;$C$4),D59-J60-K60-L60+N60, TRUE, D59-J60-K60-L60+N60)</f>
        <v>56956581.408905305</v>
      </c>
      <c r="E60" s="48">
        <f t="shared" si="4"/>
        <v>0</v>
      </c>
      <c r="F60" s="50">
        <f t="shared" si="5"/>
        <v>0</v>
      </c>
      <c r="G60" s="50">
        <f t="shared" si="17"/>
        <v>0</v>
      </c>
      <c r="H60" s="51">
        <f t="shared" si="33"/>
        <v>1993163.2186092557</v>
      </c>
      <c r="I60" s="52">
        <f t="shared" si="12"/>
        <v>583660.83789618372</v>
      </c>
      <c r="J60" s="52">
        <f t="shared" si="34"/>
        <v>1409502.3807130721</v>
      </c>
      <c r="K60" s="51">
        <f t="shared" si="36"/>
        <v>0</v>
      </c>
      <c r="L60" s="49">
        <f t="shared" si="37"/>
        <v>250016.35260399629</v>
      </c>
      <c r="M60" s="49">
        <f t="shared" si="38"/>
        <v>-278305.23394758697</v>
      </c>
      <c r="N60" s="49">
        <f t="shared" si="28"/>
        <v>0</v>
      </c>
      <c r="O60" s="48">
        <f t="shared" si="31"/>
        <v>1743146.8660052596</v>
      </c>
      <c r="P60" s="38">
        <f t="shared" si="35"/>
        <v>1743146.8660052596</v>
      </c>
      <c r="Q60" s="53"/>
      <c r="R60" s="53">
        <f t="shared" si="8"/>
        <v>0</v>
      </c>
      <c r="S60" s="53">
        <f t="shared" si="9"/>
        <v>0</v>
      </c>
      <c r="T60" s="53">
        <f t="shared" si="10"/>
        <v>0.05</v>
      </c>
      <c r="U60" s="53">
        <f t="shared" si="16"/>
        <v>4.2653187775606449E-3</v>
      </c>
    </row>
    <row r="61" spans="1:21" x14ac:dyDescent="0.2">
      <c r="A61" s="62">
        <f t="shared" si="1"/>
        <v>0.55296414316118081</v>
      </c>
      <c r="B61" s="45">
        <f t="shared" si="2"/>
        <v>47</v>
      </c>
      <c r="C61" s="49">
        <f t="shared" si="32"/>
        <v>56956581.408905305</v>
      </c>
      <c r="D61" s="47" cm="1">
        <f t="array" ref="D61">_xlfn.IFS(AND($C$7="Y",B61&lt;C$4),C61,AND($C$7="Y",B61=C$4),D60+F61-J61-K61-L61+N61,AND($C$7="Y",B61&gt;$C$4),D60-J61-K61-L61+N61, TRUE, D60-J61-K61-L61+N61)</f>
        <v>55296414.316118076</v>
      </c>
      <c r="E61" s="48">
        <f t="shared" si="4"/>
        <v>0</v>
      </c>
      <c r="F61" s="50">
        <f t="shared" si="5"/>
        <v>0</v>
      </c>
      <c r="G61" s="50">
        <f t="shared" si="17"/>
        <v>0</v>
      </c>
      <c r="H61" s="51">
        <f t="shared" si="33"/>
        <v>1984365.5509253272</v>
      </c>
      <c r="I61" s="52">
        <f t="shared" si="12"/>
        <v>567136.43432716245</v>
      </c>
      <c r="J61" s="52">
        <f t="shared" si="34"/>
        <v>1417229.1165981647</v>
      </c>
      <c r="K61" s="51">
        <f t="shared" si="36"/>
        <v>0</v>
      </c>
      <c r="L61" s="49">
        <f t="shared" si="37"/>
        <v>242937.97618906532</v>
      </c>
      <c r="M61" s="49">
        <f t="shared" si="38"/>
        <v>-271236.40147988586</v>
      </c>
      <c r="N61" s="49">
        <f t="shared" si="28"/>
        <v>0</v>
      </c>
      <c r="O61" s="48">
        <f t="shared" si="31"/>
        <v>1741427.5747362617</v>
      </c>
      <c r="P61" s="38">
        <f t="shared" si="35"/>
        <v>1741427.5747362617</v>
      </c>
      <c r="Q61" s="53"/>
      <c r="R61" s="53">
        <f t="shared" si="8"/>
        <v>0</v>
      </c>
      <c r="S61" s="53">
        <f t="shared" si="9"/>
        <v>0</v>
      </c>
      <c r="T61" s="53">
        <f t="shared" si="10"/>
        <v>0.05</v>
      </c>
      <c r="U61" s="53">
        <f t="shared" si="16"/>
        <v>4.2653187775606449E-3</v>
      </c>
    </row>
    <row r="62" spans="1:21" x14ac:dyDescent="0.2">
      <c r="A62" s="62">
        <f t="shared" si="1"/>
        <v>0.53635563852648493</v>
      </c>
      <c r="B62" s="45">
        <f t="shared" si="2"/>
        <v>48</v>
      </c>
      <c r="C62" s="49">
        <f t="shared" si="32"/>
        <v>55296414.316118076</v>
      </c>
      <c r="D62" s="47" cm="1">
        <f t="array" ref="D62">_xlfn.IFS(AND($C$7="Y",B62&lt;C$4),C62,AND($C$7="Y",B62=C$4),D61+F62-J62-K62-L62+N62,AND($C$7="Y",B62&gt;$C$4),D61-J62-K62-L62+N62, TRUE, D61-J62-K62-L62+N62)</f>
        <v>53635563.852648497</v>
      </c>
      <c r="E62" s="48">
        <f t="shared" si="4"/>
        <v>0</v>
      </c>
      <c r="F62" s="50">
        <f t="shared" si="5"/>
        <v>0</v>
      </c>
      <c r="G62" s="50">
        <f t="shared" si="17"/>
        <v>0</v>
      </c>
      <c r="H62" s="51">
        <f t="shared" si="33"/>
        <v>1975599.2039733082</v>
      </c>
      <c r="I62" s="52">
        <f t="shared" si="12"/>
        <v>550605.57481803768</v>
      </c>
      <c r="J62" s="52">
        <f t="shared" si="34"/>
        <v>1424993.6291552705</v>
      </c>
      <c r="K62" s="51">
        <f t="shared" si="36"/>
        <v>0</v>
      </c>
      <c r="L62" s="49">
        <f t="shared" si="37"/>
        <v>235856.83431431171</v>
      </c>
      <c r="M62" s="49">
        <f t="shared" si="38"/>
        <v>-264165.41286610306</v>
      </c>
      <c r="N62" s="49">
        <f t="shared" si="28"/>
        <v>0</v>
      </c>
      <c r="O62" s="48">
        <f t="shared" si="31"/>
        <v>1739742.3696589966</v>
      </c>
      <c r="P62" s="38">
        <f t="shared" si="35"/>
        <v>1739742.3696589966</v>
      </c>
      <c r="Q62" s="53"/>
      <c r="R62" s="53">
        <f t="shared" si="8"/>
        <v>0</v>
      </c>
      <c r="S62" s="53">
        <f t="shared" si="9"/>
        <v>0</v>
      </c>
      <c r="T62" s="53">
        <f t="shared" si="10"/>
        <v>0.05</v>
      </c>
      <c r="U62" s="53">
        <f t="shared" si="16"/>
        <v>4.2653187775606449E-3</v>
      </c>
    </row>
    <row r="63" spans="1:21" x14ac:dyDescent="0.2">
      <c r="A63" s="62">
        <f t="shared" si="1"/>
        <v>0.51973995351594116</v>
      </c>
      <c r="B63" s="45">
        <f t="shared" si="2"/>
        <v>49</v>
      </c>
      <c r="C63" s="49">
        <f t="shared" si="32"/>
        <v>53635563.852648497</v>
      </c>
      <c r="D63" s="47" cm="1">
        <f t="array" ref="D63">_xlfn.IFS(AND($C$7="Y",B63&lt;C$4),C63,AND($C$7="Y",B63=C$4),D62+F63-J63-K63-L63+N63,AND($C$7="Y",B63&gt;$C$4),D62-J63-K63-L63+N63, TRUE, D62-J63-K63-L63+N63)</f>
        <v>51973995.35159412</v>
      </c>
      <c r="E63" s="48">
        <f t="shared" si="4"/>
        <v>0</v>
      </c>
      <c r="F63" s="50">
        <f t="shared" si="5"/>
        <v>0</v>
      </c>
      <c r="G63" s="50">
        <f t="shared" si="17"/>
        <v>0</v>
      </c>
      <c r="H63" s="51">
        <f t="shared" si="33"/>
        <v>1966863.634158649</v>
      </c>
      <c r="I63" s="52">
        <f t="shared" si="12"/>
        <v>534067.9107500274</v>
      </c>
      <c r="J63" s="52">
        <f t="shared" si="34"/>
        <v>1432795.7234086217</v>
      </c>
      <c r="K63" s="51">
        <f t="shared" si="36"/>
        <v>0</v>
      </c>
      <c r="L63" s="49">
        <f t="shared" si="37"/>
        <v>228772.7776457546</v>
      </c>
      <c r="M63" s="49">
        <f t="shared" si="38"/>
        <v>-257092.11421435367</v>
      </c>
      <c r="N63" s="49">
        <f t="shared" si="28"/>
        <v>0</v>
      </c>
      <c r="O63" s="48">
        <f t="shared" si="31"/>
        <v>1738090.8565128944</v>
      </c>
      <c r="P63" s="38">
        <f t="shared" si="35"/>
        <v>1738090.8565128944</v>
      </c>
      <c r="Q63" s="53"/>
      <c r="R63" s="53">
        <f t="shared" si="8"/>
        <v>0</v>
      </c>
      <c r="S63" s="53">
        <f t="shared" si="9"/>
        <v>0</v>
      </c>
      <c r="T63" s="53">
        <f t="shared" si="10"/>
        <v>0.05</v>
      </c>
      <c r="U63" s="53">
        <f t="shared" si="16"/>
        <v>4.2653187775606449E-3</v>
      </c>
    </row>
    <row r="64" spans="1:21" x14ac:dyDescent="0.2">
      <c r="A64" s="62">
        <f t="shared" si="1"/>
        <v>0.50311674529465589</v>
      </c>
      <c r="B64" s="45">
        <f t="shared" si="2"/>
        <v>50</v>
      </c>
      <c r="C64" s="49">
        <f t="shared" si="32"/>
        <v>51973995.35159412</v>
      </c>
      <c r="D64" s="47" cm="1">
        <f t="array" ref="D64">_xlfn.IFS(AND($C$7="Y",B64&lt;C$4),C64,AND($C$7="Y",B64=C$4),D63+F64-J64-K64-L64+N64,AND($C$7="Y",B64&gt;$C$4),D63-J64-K64-L64+N64, TRUE, D63-J64-K64-L64+N64)</f>
        <v>50311674.529465593</v>
      </c>
      <c r="E64" s="48">
        <f t="shared" si="4"/>
        <v>0</v>
      </c>
      <c r="F64" s="50">
        <f t="shared" si="5"/>
        <v>0</v>
      </c>
      <c r="G64" s="50">
        <f t="shared" si="17"/>
        <v>0</v>
      </c>
      <c r="H64" s="51">
        <f t="shared" si="33"/>
        <v>1958158.2607432862</v>
      </c>
      <c r="I64" s="52">
        <f t="shared" si="12"/>
        <v>517523.09693276114</v>
      </c>
      <c r="J64" s="52">
        <f t="shared" si="34"/>
        <v>1440635.1638105251</v>
      </c>
      <c r="K64" s="51">
        <f t="shared" si="36"/>
        <v>0</v>
      </c>
      <c r="L64" s="49">
        <f t="shared" si="37"/>
        <v>221685.65831800408</v>
      </c>
      <c r="M64" s="49">
        <f t="shared" si="38"/>
        <v>-250016.35260399629</v>
      </c>
      <c r="N64" s="49">
        <f t="shared" si="28"/>
        <v>0</v>
      </c>
      <c r="O64" s="48">
        <f t="shared" si="31"/>
        <v>1736472.6024252821</v>
      </c>
      <c r="P64" s="38">
        <f t="shared" si="35"/>
        <v>1736472.6024252821</v>
      </c>
      <c r="Q64" s="53"/>
      <c r="R64" s="53">
        <f t="shared" si="8"/>
        <v>0</v>
      </c>
      <c r="S64" s="53">
        <f t="shared" si="9"/>
        <v>0</v>
      </c>
      <c r="T64" s="53">
        <f t="shared" si="10"/>
        <v>0.05</v>
      </c>
      <c r="U64" s="53">
        <f t="shared" si="16"/>
        <v>4.2653187775606449E-3</v>
      </c>
    </row>
    <row r="65" spans="1:21" x14ac:dyDescent="0.2">
      <c r="A65" s="62">
        <f t="shared" si="1"/>
        <v>0.48648567530611603</v>
      </c>
      <c r="B65" s="45">
        <f t="shared" si="2"/>
        <v>51</v>
      </c>
      <c r="C65" s="49">
        <f t="shared" si="32"/>
        <v>50311674.529465593</v>
      </c>
      <c r="D65" s="47" cm="1">
        <f t="array" ref="D65">_xlfn.IFS(AND($C$7="Y",B65&lt;C$4),C65,AND($C$7="Y",B65=C$4),D64+F65-J65-K65-L65+N65,AND($C$7="Y",B65&gt;$C$4),D64-J65-K65-L65+N65, TRUE, D64-J65-K65-L65+N65)</f>
        <v>48648567.530611604</v>
      </c>
      <c r="E65" s="48">
        <f t="shared" si="4"/>
        <v>0</v>
      </c>
      <c r="F65" s="50">
        <f t="shared" si="5"/>
        <v>0</v>
      </c>
      <c r="G65" s="50">
        <f t="shared" si="17"/>
        <v>0</v>
      </c>
      <c r="H65" s="51">
        <f t="shared" si="33"/>
        <v>1949482.4607465824</v>
      </c>
      <c r="I65" s="52">
        <f t="shared" si="12"/>
        <v>500970.79199364543</v>
      </c>
      <c r="J65" s="52">
        <f t="shared" si="34"/>
        <v>1448511.6687529369</v>
      </c>
      <c r="K65" s="51">
        <f t="shared" si="36"/>
        <v>0</v>
      </c>
      <c r="L65" s="49">
        <f t="shared" si="37"/>
        <v>214595.33010104921</v>
      </c>
      <c r="M65" s="49">
        <f t="shared" si="38"/>
        <v>-242937.97618906532</v>
      </c>
      <c r="N65" s="49">
        <f t="shared" si="28"/>
        <v>0</v>
      </c>
      <c r="O65" s="48">
        <f t="shared" si="31"/>
        <v>1734887.1306455331</v>
      </c>
      <c r="P65" s="38">
        <f t="shared" si="35"/>
        <v>1734887.1306455331</v>
      </c>
      <c r="Q65" s="53"/>
      <c r="R65" s="53">
        <f t="shared" si="8"/>
        <v>0</v>
      </c>
      <c r="S65" s="53">
        <f t="shared" si="9"/>
        <v>0</v>
      </c>
      <c r="T65" s="53">
        <f t="shared" si="10"/>
        <v>0.05</v>
      </c>
      <c r="U65" s="53">
        <f t="shared" si="16"/>
        <v>4.2653187775606449E-3</v>
      </c>
    </row>
    <row r="66" spans="1:21" x14ac:dyDescent="0.2">
      <c r="A66" s="62">
        <f t="shared" si="1"/>
        <v>0.46984640977879777</v>
      </c>
      <c r="B66" s="45">
        <f t="shared" si="2"/>
        <v>52</v>
      </c>
      <c r="C66" s="49">
        <f t="shared" si="32"/>
        <v>48648567.530611604</v>
      </c>
      <c r="D66" s="47" cm="1">
        <f t="array" ref="D66">_xlfn.IFS(AND($C$7="Y",B66&lt;C$4),C66,AND($C$7="Y",B66=C$4),D65+F66-J66-K66-L66+N66,AND($C$7="Y",B66&gt;$C$4),D65-J66-K66-L66+N66, TRUE, D65-J66-K66-L66+N66)</f>
        <v>46984640.977879778</v>
      </c>
      <c r="E66" s="48">
        <f t="shared" si="4"/>
        <v>0</v>
      </c>
      <c r="F66" s="50">
        <f t="shared" si="5"/>
        <v>0</v>
      </c>
      <c r="G66" s="50">
        <f t="shared" si="17"/>
        <v>0</v>
      </c>
      <c r="H66" s="51">
        <f t="shared" si="33"/>
        <v>1940835.5629623025</v>
      </c>
      <c r="I66" s="52">
        <f t="shared" si="12"/>
        <v>484410.65882021858</v>
      </c>
      <c r="J66" s="52">
        <f t="shared" si="34"/>
        <v>1456424.9041420838</v>
      </c>
      <c r="K66" s="51">
        <f t="shared" si="36"/>
        <v>0</v>
      </c>
      <c r="L66" s="49">
        <f t="shared" si="37"/>
        <v>207501.64858974479</v>
      </c>
      <c r="M66" s="49">
        <f t="shared" si="38"/>
        <v>-235856.83431431171</v>
      </c>
      <c r="N66" s="49">
        <f t="shared" si="28"/>
        <v>0</v>
      </c>
      <c r="O66" s="48">
        <f t="shared" si="31"/>
        <v>1733333.9143725578</v>
      </c>
      <c r="P66" s="38">
        <f t="shared" si="35"/>
        <v>1733333.9143725578</v>
      </c>
      <c r="Q66" s="53"/>
      <c r="R66" s="53">
        <f t="shared" si="8"/>
        <v>0</v>
      </c>
      <c r="S66" s="53">
        <f t="shared" si="9"/>
        <v>0</v>
      </c>
      <c r="T66" s="53">
        <f t="shared" si="10"/>
        <v>0.05</v>
      </c>
      <c r="U66" s="53">
        <f t="shared" si="16"/>
        <v>4.2653187775606449E-3</v>
      </c>
    </row>
    <row r="67" spans="1:21" x14ac:dyDescent="0.2">
      <c r="A67" s="62">
        <f t="shared" si="1"/>
        <v>0.4531986203062307</v>
      </c>
      <c r="B67" s="45">
        <f t="shared" si="2"/>
        <v>53</v>
      </c>
      <c r="C67" s="49">
        <f t="shared" si="32"/>
        <v>46984640.977879778</v>
      </c>
      <c r="D67" s="47" cm="1">
        <f t="array" ref="D67">_xlfn.IFS(AND($C$7="Y",B67&lt;C$4),C67,AND($C$7="Y",B67=C$4),D66+F67-J67-K67-L67+N67,AND($C$7="Y",B67&gt;$C$4),D66-J67-K67-L67+N67, TRUE, D66-J67-K67-L67+N67)</f>
        <v>45319862.030623071</v>
      </c>
      <c r="E67" s="48">
        <f t="shared" si="4"/>
        <v>0</v>
      </c>
      <c r="F67" s="50">
        <f t="shared" si="5"/>
        <v>0</v>
      </c>
      <c r="G67" s="50">
        <f t="shared" si="17"/>
        <v>0</v>
      </c>
      <c r="H67" s="51">
        <f t="shared" si="33"/>
        <v>1932216.8409014114</v>
      </c>
      <c r="I67" s="52">
        <f t="shared" si="12"/>
        <v>467842.36506459885</v>
      </c>
      <c r="J67" s="52">
        <f t="shared" si="34"/>
        <v>1464374.4758368125</v>
      </c>
      <c r="K67" s="51">
        <f t="shared" si="36"/>
        <v>0</v>
      </c>
      <c r="L67" s="49">
        <f t="shared" si="37"/>
        <v>200404.47141989597</v>
      </c>
      <c r="M67" s="49">
        <f t="shared" si="38"/>
        <v>-228772.7776457546</v>
      </c>
      <c r="N67" s="49">
        <f t="shared" si="28"/>
        <v>0</v>
      </c>
      <c r="O67" s="48">
        <f t="shared" si="31"/>
        <v>1731812.3694815154</v>
      </c>
      <c r="P67" s="38">
        <f t="shared" si="35"/>
        <v>1731812.3694815154</v>
      </c>
      <c r="Q67" s="53"/>
      <c r="R67" s="53">
        <f t="shared" si="8"/>
        <v>0</v>
      </c>
      <c r="S67" s="53">
        <f t="shared" si="9"/>
        <v>0</v>
      </c>
      <c r="T67" s="53">
        <f t="shared" si="10"/>
        <v>0.05</v>
      </c>
      <c r="U67" s="53">
        <f t="shared" si="16"/>
        <v>4.2653187775606449E-3</v>
      </c>
    </row>
    <row r="68" spans="1:21" x14ac:dyDescent="0.2">
      <c r="A68" s="62">
        <f t="shared" si="1"/>
        <v>0.43654198451407394</v>
      </c>
      <c r="B68" s="45">
        <f t="shared" si="2"/>
        <v>54</v>
      </c>
      <c r="C68" s="49">
        <f t="shared" si="32"/>
        <v>45319862.030623071</v>
      </c>
      <c r="D68" s="47" cm="1">
        <f t="array" ref="D68">_xlfn.IFS(AND($C$7="Y",B68&lt;C$4),C68,AND($C$7="Y",B68=C$4),D67+F68-J68-K68-L68+N68,AND($C$7="Y",B68&gt;$C$4),D67-J68-K68-L68+N68, TRUE, D67-J68-K68-L68+N68)</f>
        <v>43654198.451407395</v>
      </c>
      <c r="E68" s="48">
        <f t="shared" si="4"/>
        <v>0</v>
      </c>
      <c r="F68" s="50">
        <f t="shared" si="5"/>
        <v>0</v>
      </c>
      <c r="G68" s="50">
        <f t="shared" si="17"/>
        <v>0</v>
      </c>
      <c r="H68" s="51">
        <f t="shared" si="33"/>
        <v>1923625.5044210742</v>
      </c>
      <c r="I68" s="52">
        <f t="shared" si="12"/>
        <v>451265.58372107387</v>
      </c>
      <c r="J68" s="52">
        <f t="shared" si="34"/>
        <v>1472359.9207000004</v>
      </c>
      <c r="K68" s="51">
        <f t="shared" si="36"/>
        <v>0</v>
      </c>
      <c r="L68" s="49">
        <f t="shared" si="37"/>
        <v>193303.65851567429</v>
      </c>
      <c r="M68" s="49">
        <f t="shared" si="38"/>
        <v>-221685.65831800408</v>
      </c>
      <c r="N68" s="49">
        <f t="shared" si="28"/>
        <v>0</v>
      </c>
      <c r="O68" s="48">
        <f t="shared" si="31"/>
        <v>1730321.8459053999</v>
      </c>
      <c r="P68" s="38">
        <f t="shared" si="35"/>
        <v>1730321.8459053999</v>
      </c>
      <c r="Q68" s="53"/>
      <c r="R68" s="53">
        <f t="shared" si="8"/>
        <v>0</v>
      </c>
      <c r="S68" s="53">
        <f t="shared" si="9"/>
        <v>0</v>
      </c>
      <c r="T68" s="53">
        <f t="shared" si="10"/>
        <v>0.05</v>
      </c>
      <c r="U68" s="53">
        <f t="shared" si="16"/>
        <v>4.2653187775606449E-3</v>
      </c>
    </row>
    <row r="69" spans="1:21" x14ac:dyDescent="0.2">
      <c r="A69" s="62">
        <f t="shared" si="1"/>
        <v>0.41987618683088029</v>
      </c>
      <c r="B69" s="45">
        <f t="shared" si="2"/>
        <v>55</v>
      </c>
      <c r="C69" s="49">
        <f t="shared" si="32"/>
        <v>43654198.451407395</v>
      </c>
      <c r="D69" s="47" cm="1">
        <f t="array" ref="D69">_xlfn.IFS(AND($C$7="Y",B69&lt;C$4),C69,AND($C$7="Y",B69=C$4),D68+F69-J69-K69-L69+N69,AND($C$7="Y",B69&gt;$C$4),D68-J69-K69-L69+N69, TRUE, D68-J69-K69-L69+N69)</f>
        <v>41987618.683088027</v>
      </c>
      <c r="E69" s="48">
        <f t="shared" si="4"/>
        <v>0</v>
      </c>
      <c r="F69" s="50">
        <f t="shared" si="5"/>
        <v>0</v>
      </c>
      <c r="G69" s="50">
        <f t="shared" si="17"/>
        <v>0</v>
      </c>
      <c r="H69" s="51">
        <f t="shared" si="33"/>
        <v>1915060.6897355474</v>
      </c>
      <c r="I69" s="52">
        <f t="shared" si="12"/>
        <v>434679.99379033246</v>
      </c>
      <c r="J69" s="52">
        <f t="shared" si="34"/>
        <v>1480380.6959452149</v>
      </c>
      <c r="K69" s="51">
        <f t="shared" si="36"/>
        <v>0</v>
      </c>
      <c r="L69" s="49">
        <f t="shared" si="37"/>
        <v>186199.07237414678</v>
      </c>
      <c r="M69" s="49">
        <f t="shared" si="38"/>
        <v>-214595.33010104921</v>
      </c>
      <c r="N69" s="49">
        <f t="shared" si="28"/>
        <v>0</v>
      </c>
      <c r="O69" s="48">
        <f t="shared" si="31"/>
        <v>1728861.6173614007</v>
      </c>
      <c r="P69" s="38">
        <f t="shared" si="35"/>
        <v>1728861.6173614007</v>
      </c>
      <c r="Q69" s="53"/>
      <c r="R69" s="53">
        <f t="shared" si="8"/>
        <v>0</v>
      </c>
      <c r="S69" s="53">
        <f t="shared" si="9"/>
        <v>0</v>
      </c>
      <c r="T69" s="53">
        <f t="shared" si="10"/>
        <v>0.05</v>
      </c>
      <c r="U69" s="53">
        <f t="shared" si="16"/>
        <v>4.2653187775606449E-3</v>
      </c>
    </row>
    <row r="70" spans="1:21" x14ac:dyDescent="0.2">
      <c r="A70" s="62">
        <f t="shared" si="1"/>
        <v>0.40320091938321717</v>
      </c>
      <c r="B70" s="45">
        <f t="shared" si="2"/>
        <v>56</v>
      </c>
      <c r="C70" s="49">
        <f t="shared" si="32"/>
        <v>41987618.683088027</v>
      </c>
      <c r="D70" s="47" cm="1">
        <f t="array" ref="D70">_xlfn.IFS(AND($C$7="Y",B70&lt;C$4),C70,AND($C$7="Y",B70=C$4),D69+F70-J70-K70-L70+N70,AND($C$7="Y",B70&gt;$C$4),D69-J70-K70-L70+N70, TRUE, D69-J70-K70-L70+N70)</f>
        <v>40320091.938321717</v>
      </c>
      <c r="E70" s="48">
        <f t="shared" si="4"/>
        <v>0</v>
      </c>
      <c r="F70" s="50">
        <f t="shared" si="5"/>
        <v>0</v>
      </c>
      <c r="G70" s="50">
        <f t="shared" si="17"/>
        <v>0</v>
      </c>
      <c r="H70" s="51">
        <f t="shared" si="33"/>
        <v>1906521.4474192164</v>
      </c>
      <c r="I70" s="52">
        <f t="shared" si="12"/>
        <v>418085.28104693996</v>
      </c>
      <c r="J70" s="52">
        <f t="shared" si="34"/>
        <v>1488436.1663722764</v>
      </c>
      <c r="K70" s="51">
        <f t="shared" si="36"/>
        <v>0</v>
      </c>
      <c r="L70" s="49">
        <f t="shared" si="37"/>
        <v>179090.57839403153</v>
      </c>
      <c r="M70" s="49">
        <f t="shared" si="38"/>
        <v>-207501.64858974479</v>
      </c>
      <c r="N70" s="49">
        <f t="shared" si="28"/>
        <v>0</v>
      </c>
      <c r="O70" s="48">
        <f t="shared" si="31"/>
        <v>1727430.8690251848</v>
      </c>
      <c r="P70" s="38">
        <f t="shared" si="35"/>
        <v>1727430.8690251848</v>
      </c>
      <c r="Q70" s="53"/>
      <c r="R70" s="53">
        <f t="shared" si="8"/>
        <v>0</v>
      </c>
      <c r="S70" s="53">
        <f t="shared" si="9"/>
        <v>0</v>
      </c>
      <c r="T70" s="53">
        <f t="shared" si="10"/>
        <v>0.05</v>
      </c>
      <c r="U70" s="53">
        <f t="shared" si="16"/>
        <v>4.2653187775606449E-3</v>
      </c>
    </row>
    <row r="71" spans="1:21" x14ac:dyDescent="0.2">
      <c r="A71" s="62">
        <f t="shared" si="1"/>
        <v>0.38651588304096801</v>
      </c>
      <c r="B71" s="45">
        <f t="shared" si="2"/>
        <v>57</v>
      </c>
      <c r="C71" s="49">
        <f t="shared" si="32"/>
        <v>40320091.938321717</v>
      </c>
      <c r="D71" s="47" cm="1">
        <f t="array" ref="D71">_xlfn.IFS(AND($C$7="Y",B71&lt;C$4),C71,AND($C$7="Y",B71=C$4),D70+F71-J71-K71-L71+N71,AND($C$7="Y",B71&gt;$C$4),D70-J71-K71-L71+N71, TRUE, D70-J71-K71-L71+N71)</f>
        <v>38651588.304096803</v>
      </c>
      <c r="E71" s="48">
        <f t="shared" si="4"/>
        <v>0</v>
      </c>
      <c r="F71" s="50">
        <f t="shared" si="5"/>
        <v>0</v>
      </c>
      <c r="G71" s="50">
        <f t="shared" si="17"/>
        <v>0</v>
      </c>
      <c r="H71" s="51">
        <f t="shared" si="33"/>
        <v>1898006.7278980622</v>
      </c>
      <c r="I71" s="52">
        <f t="shared" si="12"/>
        <v>401481.13893064222</v>
      </c>
      <c r="J71" s="52">
        <f t="shared" si="34"/>
        <v>1496525.5889674199</v>
      </c>
      <c r="K71" s="51">
        <f t="shared" si="36"/>
        <v>0</v>
      </c>
      <c r="L71" s="49">
        <f t="shared" si="37"/>
        <v>171978.04525749519</v>
      </c>
      <c r="M71" s="49">
        <f t="shared" si="38"/>
        <v>-200404.47141989597</v>
      </c>
      <c r="N71" s="49">
        <f t="shared" si="28"/>
        <v>0</v>
      </c>
      <c r="O71" s="48">
        <f t="shared" si="31"/>
        <v>1726028.682640567</v>
      </c>
      <c r="P71" s="38">
        <f t="shared" si="35"/>
        <v>1726028.682640567</v>
      </c>
      <c r="Q71" s="53"/>
      <c r="R71" s="53">
        <f t="shared" si="8"/>
        <v>0</v>
      </c>
      <c r="S71" s="53">
        <f t="shared" si="9"/>
        <v>0</v>
      </c>
      <c r="T71" s="53">
        <f t="shared" si="10"/>
        <v>0.05</v>
      </c>
      <c r="U71" s="53">
        <f t="shared" si="16"/>
        <v>4.2653187775606449E-3</v>
      </c>
    </row>
    <row r="72" spans="1:21" x14ac:dyDescent="0.2">
      <c r="A72" s="62">
        <f t="shared" si="1"/>
        <v>0.369820788645358</v>
      </c>
      <c r="B72" s="45">
        <f t="shared" si="2"/>
        <v>58</v>
      </c>
      <c r="C72" s="49">
        <f t="shared" si="32"/>
        <v>38651588.304096803</v>
      </c>
      <c r="D72" s="47" cm="1">
        <f t="array" ref="D72">_xlfn.IFS(AND($C$7="Y",B72&lt;C$4),C72,AND($C$7="Y",B72=C$4),D71+F72-J72-K72-L72+N72,AND($C$7="Y",B72&gt;$C$4),D71-J72-K72-L72+N72, TRUE, D71-J72-K72-L72+N72)</f>
        <v>36982078.864535801</v>
      </c>
      <c r="E72" s="48">
        <f t="shared" si="4"/>
        <v>0</v>
      </c>
      <c r="F72" s="50">
        <f t="shared" si="5"/>
        <v>0</v>
      </c>
      <c r="G72" s="50">
        <f t="shared" si="17"/>
        <v>0</v>
      </c>
      <c r="H72" s="51">
        <f t="shared" si="33"/>
        <v>1889515.3637722011</v>
      </c>
      <c r="I72" s="52">
        <f t="shared" si="12"/>
        <v>384867.26958720799</v>
      </c>
      <c r="J72" s="52">
        <f t="shared" si="34"/>
        <v>1504648.0941849931</v>
      </c>
      <c r="K72" s="51">
        <f t="shared" si="36"/>
        <v>0</v>
      </c>
      <c r="L72" s="49">
        <f t="shared" si="37"/>
        <v>164861.34537600749</v>
      </c>
      <c r="M72" s="49">
        <f t="shared" si="38"/>
        <v>-193303.65851567429</v>
      </c>
      <c r="N72" s="49">
        <f t="shared" si="28"/>
        <v>0</v>
      </c>
      <c r="O72" s="48">
        <f t="shared" si="31"/>
        <v>1724654.0183961936</v>
      </c>
      <c r="P72" s="38">
        <f t="shared" si="35"/>
        <v>1724654.0183961936</v>
      </c>
      <c r="Q72" s="53"/>
      <c r="R72" s="53">
        <f t="shared" si="8"/>
        <v>0</v>
      </c>
      <c r="S72" s="53">
        <f t="shared" si="9"/>
        <v>0</v>
      </c>
      <c r="T72" s="53">
        <f t="shared" si="10"/>
        <v>0.05</v>
      </c>
      <c r="U72" s="53">
        <f t="shared" si="16"/>
        <v>4.2653187775606449E-3</v>
      </c>
    </row>
    <row r="73" spans="1:21" x14ac:dyDescent="0.2">
      <c r="A73" s="62">
        <f t="shared" si="1"/>
        <v>0.35311535846110409</v>
      </c>
      <c r="B73" s="45">
        <f t="shared" si="2"/>
        <v>59</v>
      </c>
      <c r="C73" s="49">
        <f t="shared" si="32"/>
        <v>36982078.864535801</v>
      </c>
      <c r="D73" s="47" cm="1">
        <f t="array" ref="D73">_xlfn.IFS(AND($C$7="Y",B73&lt;C$4),C73,AND($C$7="Y",B73=C$4),D72+F73-J73-K73-L73+N73,AND($C$7="Y",B73&gt;$C$4),D72-J73-K73-L73+N73, TRUE, D72-J73-K73-L73+N73)</f>
        <v>35311535.846110411</v>
      </c>
      <c r="E73" s="48">
        <f t="shared" si="4"/>
        <v>0</v>
      </c>
      <c r="F73" s="50">
        <f t="shared" si="5"/>
        <v>0</v>
      </c>
      <c r="G73" s="50">
        <f t="shared" si="17"/>
        <v>0</v>
      </c>
      <c r="H73" s="51">
        <f t="shared" si="33"/>
        <v>1881046.0481024745</v>
      </c>
      <c r="I73" s="52">
        <f t="shared" si="12"/>
        <v>368243.38509121671</v>
      </c>
      <c r="J73" s="52">
        <f t="shared" si="34"/>
        <v>1512802.6630112578</v>
      </c>
      <c r="K73" s="51">
        <f t="shared" si="36"/>
        <v>0</v>
      </c>
      <c r="L73" s="49">
        <f t="shared" si="37"/>
        <v>157740.3554141332</v>
      </c>
      <c r="M73" s="49">
        <f t="shared" si="38"/>
        <v>-186199.07237414678</v>
      </c>
      <c r="N73" s="49">
        <f t="shared" si="28"/>
        <v>0</v>
      </c>
      <c r="O73" s="48">
        <f t="shared" si="31"/>
        <v>1723305.6926883413</v>
      </c>
      <c r="P73" s="38">
        <f t="shared" si="35"/>
        <v>1723305.6926883413</v>
      </c>
      <c r="Q73" s="53"/>
      <c r="R73" s="53">
        <f t="shared" si="8"/>
        <v>0</v>
      </c>
      <c r="S73" s="53">
        <f t="shared" si="9"/>
        <v>0</v>
      </c>
      <c r="T73" s="53">
        <f t="shared" si="10"/>
        <v>0.05</v>
      </c>
      <c r="U73" s="53">
        <f t="shared" si="16"/>
        <v>4.2653187775606449E-3</v>
      </c>
    </row>
    <row r="74" spans="1:21" x14ac:dyDescent="0.2">
      <c r="A74" s="62">
        <f t="shared" si="1"/>
        <v>0.33639932790589056</v>
      </c>
      <c r="B74" s="45">
        <f t="shared" si="2"/>
        <v>60</v>
      </c>
      <c r="C74" s="49">
        <f t="shared" si="32"/>
        <v>35311535.846110411</v>
      </c>
      <c r="D74" s="47" cm="1">
        <f t="array" ref="D74">_xlfn.IFS(AND($C$7="Y",B74&lt;C$4),C74,AND($C$7="Y",B74=C$4),D73+F74-J74-K74-L74+N74,AND($C$7="Y",B74&gt;$C$4),D73-J74-K74-L74+N74, TRUE, D73-J74-K74-L74+N74)</f>
        <v>33639932.790589057</v>
      </c>
      <c r="E74" s="48">
        <f t="shared" si="4"/>
        <v>0</v>
      </c>
      <c r="F74" s="50">
        <f t="shared" si="5"/>
        <v>0</v>
      </c>
      <c r="G74" s="50">
        <f t="shared" si="17"/>
        <v>0</v>
      </c>
      <c r="H74" s="51">
        <f t="shared" si="33"/>
        <v>1872597.3075044511</v>
      </c>
      <c r="I74" s="52">
        <f t="shared" si="12"/>
        <v>351609.20889201487</v>
      </c>
      <c r="J74" s="52">
        <f t="shared" si="34"/>
        <v>1520988.0986124363</v>
      </c>
      <c r="K74" s="51">
        <f t="shared" si="36"/>
        <v>0</v>
      </c>
      <c r="L74" s="49">
        <f t="shared" si="37"/>
        <v>150614.95690892055</v>
      </c>
      <c r="M74" s="49">
        <f t="shared" si="38"/>
        <v>-179090.57839403153</v>
      </c>
      <c r="N74" s="49">
        <f t="shared" si="28"/>
        <v>0</v>
      </c>
      <c r="O74" s="48">
        <f t="shared" si="31"/>
        <v>1721982.3505955306</v>
      </c>
      <c r="P74" s="38">
        <f t="shared" si="35"/>
        <v>1721982.3505955306</v>
      </c>
      <c r="Q74" s="53"/>
      <c r="R74" s="53">
        <f t="shared" si="8"/>
        <v>0</v>
      </c>
      <c r="S74" s="53">
        <f t="shared" si="9"/>
        <v>0</v>
      </c>
      <c r="T74" s="53">
        <f t="shared" si="10"/>
        <v>0.05</v>
      </c>
      <c r="U74" s="53">
        <f t="shared" si="16"/>
        <v>4.2653187775606449E-3</v>
      </c>
    </row>
    <row r="75" spans="1:21" x14ac:dyDescent="0.2">
      <c r="A75" s="62">
        <f t="shared" si="1"/>
        <v>0.31967244762629821</v>
      </c>
      <c r="B75" s="45">
        <f t="shared" si="2"/>
        <v>61</v>
      </c>
      <c r="C75" s="49">
        <f t="shared" si="32"/>
        <v>33639932.790589057</v>
      </c>
      <c r="D75" s="47" cm="1">
        <f t="array" ref="D75">_xlfn.IFS(AND($C$7="Y",B75&lt;C$4),C75,AND($C$7="Y",B75=C$4),D74+F75-J75-K75-L75+N75,AND($C$7="Y",B75&gt;$C$4),D74-J75-K75-L75+N75, TRUE, D74-J75-K75-L75+N75)</f>
        <v>31967244.762629822</v>
      </c>
      <c r="E75" s="48">
        <f t="shared" si="4"/>
        <v>0</v>
      </c>
      <c r="F75" s="50">
        <f t="shared" si="5"/>
        <v>0</v>
      </c>
      <c r="G75" s="50">
        <f t="shared" si="17"/>
        <v>0</v>
      </c>
      <c r="H75" s="51">
        <f t="shared" si="33"/>
        <v>1864167.4684874732</v>
      </c>
      <c r="I75" s="52">
        <f t="shared" si="12"/>
        <v>334964.4775358148</v>
      </c>
      <c r="J75" s="52">
        <f t="shared" si="34"/>
        <v>1529202.9909516585</v>
      </c>
      <c r="K75" s="51">
        <f t="shared" si="36"/>
        <v>0</v>
      </c>
      <c r="L75" s="49">
        <f t="shared" si="37"/>
        <v>143485.03700757757</v>
      </c>
      <c r="M75" s="49">
        <f t="shared" si="38"/>
        <v>-171978.04525749519</v>
      </c>
      <c r="N75" s="49">
        <f t="shared" si="28"/>
        <v>0</v>
      </c>
      <c r="O75" s="48">
        <f t="shared" si="31"/>
        <v>1720682.4314798957</v>
      </c>
      <c r="P75" s="38">
        <f t="shared" si="35"/>
        <v>1720682.4314798957</v>
      </c>
      <c r="Q75" s="53"/>
      <c r="R75" s="53">
        <f t="shared" si="8"/>
        <v>0</v>
      </c>
      <c r="S75" s="53">
        <f t="shared" si="9"/>
        <v>0</v>
      </c>
      <c r="T75" s="53">
        <f t="shared" si="10"/>
        <v>0.05</v>
      </c>
      <c r="U75" s="53">
        <f t="shared" si="16"/>
        <v>4.2653187775606449E-3</v>
      </c>
    </row>
    <row r="76" spans="1:21" x14ac:dyDescent="0.2">
      <c r="A76" s="62">
        <f t="shared" si="1"/>
        <v>0.30293448601109946</v>
      </c>
      <c r="B76" s="45">
        <f t="shared" si="2"/>
        <v>62</v>
      </c>
      <c r="C76" s="49">
        <f t="shared" si="32"/>
        <v>31967244.762629822</v>
      </c>
      <c r="D76" s="47" cm="1">
        <f t="array" ref="D76">_xlfn.IFS(AND($C$7="Y",B76&lt;C$4),C76,AND($C$7="Y",B76=C$4),D75+F76-J76-K76-L76+N76,AND($C$7="Y",B76&gt;$C$4),D75-J76-K76-L76+N76, TRUE, D75-J76-K76-L76+N76)</f>
        <v>30293448.601109948</v>
      </c>
      <c r="E76" s="48">
        <f t="shared" si="4"/>
        <v>0</v>
      </c>
      <c r="F76" s="50">
        <f t="shared" si="5"/>
        <v>0</v>
      </c>
      <c r="G76" s="50">
        <f t="shared" si="17"/>
        <v>0</v>
      </c>
      <c r="H76" s="51">
        <f t="shared" si="33"/>
        <v>1855754.6148997215</v>
      </c>
      <c r="I76" s="52">
        <f t="shared" si="12"/>
        <v>318308.94273276901</v>
      </c>
      <c r="J76" s="52">
        <f t="shared" si="34"/>
        <v>1537445.6721669524</v>
      </c>
      <c r="K76" s="51">
        <f t="shared" si="36"/>
        <v>0</v>
      </c>
      <c r="L76" s="49">
        <f t="shared" si="37"/>
        <v>136350.48935292216</v>
      </c>
      <c r="M76" s="49">
        <f t="shared" si="38"/>
        <v>-164861.34537600749</v>
      </c>
      <c r="N76" s="49">
        <f t="shared" si="28"/>
        <v>0</v>
      </c>
      <c r="O76" s="48">
        <f t="shared" si="31"/>
        <v>1719404.1255467993</v>
      </c>
      <c r="P76" s="38">
        <f t="shared" si="35"/>
        <v>1719404.1255467993</v>
      </c>
      <c r="Q76" s="53"/>
      <c r="R76" s="53">
        <f t="shared" si="8"/>
        <v>0</v>
      </c>
      <c r="S76" s="53">
        <f t="shared" si="9"/>
        <v>0</v>
      </c>
      <c r="T76" s="53">
        <f t="shared" si="10"/>
        <v>0.05</v>
      </c>
      <c r="U76" s="53">
        <f t="shared" si="16"/>
        <v>4.2653187775606449E-3</v>
      </c>
    </row>
    <row r="77" spans="1:21" x14ac:dyDescent="0.2">
      <c r="A77" s="62">
        <f t="shared" si="1"/>
        <v>0.2861852322630738</v>
      </c>
      <c r="B77" s="45">
        <f t="shared" si="2"/>
        <v>63</v>
      </c>
      <c r="C77" s="49">
        <f t="shared" si="32"/>
        <v>30293448.601109948</v>
      </c>
      <c r="D77" s="47" cm="1">
        <f t="array" ref="D77">_xlfn.IFS(AND($C$7="Y",B77&lt;C$4),C77,AND($C$7="Y",B77=C$4),D76+F77-J77-K77-L77+N77,AND($C$7="Y",B77&gt;$C$4),D76-J77-K77-L77+N77, TRUE, D76-J77-K77-L77+N77)</f>
        <v>28618523.226307381</v>
      </c>
      <c r="E77" s="48">
        <f t="shared" si="4"/>
        <v>0</v>
      </c>
      <c r="F77" s="50">
        <f t="shared" si="5"/>
        <v>0</v>
      </c>
      <c r="G77" s="50">
        <f t="shared" si="17"/>
        <v>0</v>
      </c>
      <c r="H77" s="51">
        <f t="shared" si="33"/>
        <v>1847356.5335067315</v>
      </c>
      <c r="I77" s="52">
        <f t="shared" si="12"/>
        <v>301642.37385954562</v>
      </c>
      <c r="J77" s="52">
        <f t="shared" si="34"/>
        <v>1545714.1596471858</v>
      </c>
      <c r="K77" s="51">
        <f t="shared" si="36"/>
        <v>0</v>
      </c>
      <c r="L77" s="49">
        <f t="shared" si="37"/>
        <v>129211.21515538251</v>
      </c>
      <c r="M77" s="49">
        <f t="shared" si="38"/>
        <v>-157740.3554141332</v>
      </c>
      <c r="N77" s="49">
        <f t="shared" si="28"/>
        <v>0</v>
      </c>
      <c r="O77" s="48">
        <f t="shared" si="31"/>
        <v>1718145.3183513491</v>
      </c>
      <c r="P77" s="38">
        <f t="shared" si="35"/>
        <v>1718145.3183513491</v>
      </c>
      <c r="Q77" s="53"/>
      <c r="R77" s="53">
        <f t="shared" si="8"/>
        <v>0</v>
      </c>
      <c r="S77" s="53">
        <f t="shared" si="9"/>
        <v>0</v>
      </c>
      <c r="T77" s="53">
        <f t="shared" si="10"/>
        <v>0.05</v>
      </c>
      <c r="U77" s="53">
        <f t="shared" si="16"/>
        <v>4.2653187775606449E-3</v>
      </c>
    </row>
    <row r="78" spans="1:21" x14ac:dyDescent="0.2">
      <c r="A78" s="62">
        <f t="shared" si="1"/>
        <v>0.26942450019317521</v>
      </c>
      <c r="B78" s="45">
        <f t="shared" si="2"/>
        <v>64</v>
      </c>
      <c r="C78" s="49">
        <f t="shared" si="32"/>
        <v>28618523.226307381</v>
      </c>
      <c r="D78" s="47" cm="1">
        <f t="array" ref="D78">_xlfn.IFS(AND($C$7="Y",B78&lt;C$4),C78,AND($C$7="Y",B78=C$4),D77+F78-J78-K78-L78+N78,AND($C$7="Y",B78&gt;$C$4),D77-J78-K78-L78+N78, TRUE, D77-J78-K78-L78+N78)</f>
        <v>26942450.019317523</v>
      </c>
      <c r="E78" s="48">
        <f t="shared" si="4"/>
        <v>0</v>
      </c>
      <c r="F78" s="50">
        <f t="shared" si="5"/>
        <v>0</v>
      </c>
      <c r="G78" s="50">
        <f t="shared" si="17"/>
        <v>0</v>
      </c>
      <c r="H78" s="51">
        <f t="shared" si="33"/>
        <v>1838970.6435046752</v>
      </c>
      <c r="I78" s="52">
        <f t="shared" si="12"/>
        <v>284964.56101804151</v>
      </c>
      <c r="J78" s="52">
        <f t="shared" si="34"/>
        <v>1554006.0824866337</v>
      </c>
      <c r="K78" s="51">
        <f t="shared" si="36"/>
        <v>0</v>
      </c>
      <c r="L78" s="49">
        <f t="shared" si="37"/>
        <v>122067.12450322432</v>
      </c>
      <c r="M78" s="49">
        <f t="shared" si="38"/>
        <v>-150614.95690892055</v>
      </c>
      <c r="N78" s="49">
        <f t="shared" si="28"/>
        <v>0</v>
      </c>
      <c r="O78" s="48">
        <f t="shared" si="31"/>
        <v>1716903.5190014509</v>
      </c>
      <c r="P78" s="38">
        <f t="shared" si="35"/>
        <v>1716903.5190014509</v>
      </c>
      <c r="Q78" s="53"/>
      <c r="R78" s="53">
        <f t="shared" si="8"/>
        <v>0</v>
      </c>
      <c r="S78" s="53">
        <f t="shared" si="9"/>
        <v>0</v>
      </c>
      <c r="T78" s="53">
        <f t="shared" si="10"/>
        <v>0.05</v>
      </c>
      <c r="U78" s="53">
        <f t="shared" si="16"/>
        <v>4.2653187775606449E-3</v>
      </c>
    </row>
    <row r="79" spans="1:21" x14ac:dyDescent="0.2">
      <c r="A79" s="62">
        <f t="shared" ref="A79:A142" si="39">D79/C$1</f>
        <v>0.25265213296220379</v>
      </c>
      <c r="B79" s="45">
        <f t="shared" si="2"/>
        <v>65</v>
      </c>
      <c r="C79" s="49">
        <f t="shared" si="32"/>
        <v>26942450.019317523</v>
      </c>
      <c r="D79" s="47" cm="1">
        <f t="array" ref="D79">_xlfn.IFS(AND($C$7="Y",B79&lt;C$4),C79,AND($C$7="Y",B79=C$4),D78+F79-J79-K79-L79+N79,AND($C$7="Y",B79&gt;$C$4),D78-J79-K79-L79+N79, TRUE, D78-J79-K79-L79+N79)</f>
        <v>25265213.296220381</v>
      </c>
      <c r="E79" s="48">
        <f t="shared" si="4"/>
        <v>0</v>
      </c>
      <c r="F79" s="50">
        <f t="shared" si="5"/>
        <v>0</v>
      </c>
      <c r="G79" s="50">
        <f t="shared" si="17"/>
        <v>0</v>
      </c>
      <c r="H79" s="51">
        <f t="shared" si="33"/>
        <v>1830593.9039296226</v>
      </c>
      <c r="I79" s="52">
        <f t="shared" si="12"/>
        <v>268275.31881336635</v>
      </c>
      <c r="J79" s="52">
        <f t="shared" si="34"/>
        <v>1562318.5851162563</v>
      </c>
      <c r="K79" s="51">
        <f t="shared" si="36"/>
        <v>0</v>
      </c>
      <c r="L79" s="49">
        <f t="shared" si="37"/>
        <v>114918.13798088419</v>
      </c>
      <c r="M79" s="49">
        <f t="shared" si="38"/>
        <v>-143485.03700757757</v>
      </c>
      <c r="N79" s="49">
        <f t="shared" si="28"/>
        <v>0</v>
      </c>
      <c r="O79" s="48">
        <f t="shared" si="31"/>
        <v>1715675.7659487384</v>
      </c>
      <c r="P79" s="38">
        <f t="shared" si="35"/>
        <v>1715675.7659487384</v>
      </c>
      <c r="Q79" s="53"/>
      <c r="R79" s="53">
        <f t="shared" si="8"/>
        <v>0</v>
      </c>
      <c r="S79" s="53">
        <f t="shared" si="9"/>
        <v>0</v>
      </c>
      <c r="T79" s="53">
        <f t="shared" si="10"/>
        <v>0.05</v>
      </c>
      <c r="U79" s="53">
        <f t="shared" si="16"/>
        <v>4.2653187775606449E-3</v>
      </c>
    </row>
    <row r="80" spans="1:21" x14ac:dyDescent="0.2">
      <c r="A80" s="62">
        <f t="shared" si="39"/>
        <v>0.23586800908502825</v>
      </c>
      <c r="B80" s="45">
        <f t="shared" ref="B80:B143" si="40">B79+1</f>
        <v>66</v>
      </c>
      <c r="C80" s="49">
        <f t="shared" si="32"/>
        <v>25265213.296220381</v>
      </c>
      <c r="D80" s="47" cm="1">
        <f t="array" ref="D80">_xlfn.IFS(AND($C$7="Y",B80&lt;C$4),C80,AND($C$7="Y",B80=C$4),D79+F80-J80-K80-L80+N80,AND($C$7="Y",B80&gt;$C$4),D79-J80-K80-L80+N80, TRUE, D79-J80-K80-L80+N80)</f>
        <v>23586800.908502825</v>
      </c>
      <c r="E80" s="48">
        <f t="shared" ref="E80:E143" si="41">IF(AND($C$7="Y",B80&lt;=$C$4),D79*C$2/12-G80,0)</f>
        <v>0</v>
      </c>
      <c r="F80" s="50">
        <f t="shared" ref="F80:F143" si="42">IF(AND($C$7="Y",B80&lt;=C$4),E80+F79,0)</f>
        <v>0</v>
      </c>
      <c r="G80" s="50">
        <f t="shared" si="17"/>
        <v>0</v>
      </c>
      <c r="H80" s="51">
        <f t="shared" si="33"/>
        <v>1822222.6901014021</v>
      </c>
      <c r="I80" s="52">
        <f t="shared" ref="I80:I143" si="43">IF(AND(C$7="Y",$B80&lt;=C$4),0,IF(AND(C$7="Y",$B80&gt;C$4),(1-U80)*C$2*D79/12,IF(AND($C$7="N",C$4&gt;0),(1-U80)*D79*C$2/12, (1-U80)*D79*C$2/12)))</f>
        <v>251574.49107528935</v>
      </c>
      <c r="J80" s="52">
        <f t="shared" si="34"/>
        <v>1570648.1990261127</v>
      </c>
      <c r="K80" s="51">
        <f t="shared" si="36"/>
        <v>0</v>
      </c>
      <c r="L80" s="49">
        <f t="shared" si="37"/>
        <v>107764.18869144366</v>
      </c>
      <c r="M80" s="49">
        <f t="shared" si="38"/>
        <v>-136350.48935292216</v>
      </c>
      <c r="N80" s="49">
        <f t="shared" si="28"/>
        <v>0</v>
      </c>
      <c r="O80" s="48">
        <f t="shared" si="31"/>
        <v>1714458.5014099583</v>
      </c>
      <c r="P80" s="38">
        <f t="shared" si="35"/>
        <v>1714458.5014099583</v>
      </c>
      <c r="Q80" s="53"/>
      <c r="R80" s="53">
        <f t="shared" ref="R80:R143" si="44">R$12</f>
        <v>0</v>
      </c>
      <c r="S80" s="53">
        <f t="shared" ref="S80:S143" si="45">1-(1-R80)^(1/12)</f>
        <v>0</v>
      </c>
      <c r="T80" s="53">
        <f t="shared" ref="T80:T143" si="46">T$12</f>
        <v>0.05</v>
      </c>
      <c r="U80" s="53">
        <f t="shared" si="16"/>
        <v>4.2653187775606449E-3</v>
      </c>
    </row>
    <row r="81" spans="1:21" x14ac:dyDescent="0.2">
      <c r="A81" s="62">
        <f t="shared" si="39"/>
        <v>0.219072050147188</v>
      </c>
      <c r="B81" s="45">
        <f t="shared" si="40"/>
        <v>67</v>
      </c>
      <c r="C81" s="49">
        <f t="shared" si="32"/>
        <v>23586800.908502825</v>
      </c>
      <c r="D81" s="47" cm="1">
        <f t="array" ref="D81">_xlfn.IFS(AND($C$7="Y",B81&lt;C$4),C81,AND($C$7="Y",B81=C$4),D80+F81-J81-K81-L81+N81,AND($C$7="Y",B81&gt;$C$4),D80-J81-K81-L81+N81, TRUE, D80-J81-K81-L81+N81)</f>
        <v>21907205.014718801</v>
      </c>
      <c r="E81" s="48">
        <f t="shared" si="41"/>
        <v>0</v>
      </c>
      <c r="F81" s="50">
        <f t="shared" si="42"/>
        <v>0</v>
      </c>
      <c r="G81" s="50">
        <f t="shared" si="17"/>
        <v>0</v>
      </c>
      <c r="H81" s="51">
        <f t="shared" si="33"/>
        <v>1813852.6258032534</v>
      </c>
      <c r="I81" s="52">
        <f t="shared" si="43"/>
        <v>234861.95683685201</v>
      </c>
      <c r="J81" s="52">
        <f t="shared" si="34"/>
        <v>1578990.6689664014</v>
      </c>
      <c r="K81" s="51">
        <f t="shared" si="36"/>
        <v>0</v>
      </c>
      <c r="L81" s="49">
        <f t="shared" si="37"/>
        <v>100605.22481762158</v>
      </c>
      <c r="M81" s="49">
        <f t="shared" si="38"/>
        <v>-129211.21515538251</v>
      </c>
      <c r="N81" s="49">
        <f t="shared" si="28"/>
        <v>0</v>
      </c>
      <c r="O81" s="48">
        <f t="shared" si="31"/>
        <v>1713247.4009856319</v>
      </c>
      <c r="P81" s="38">
        <f t="shared" si="35"/>
        <v>1713247.4009856319</v>
      </c>
      <c r="Q81" s="53"/>
      <c r="R81" s="53">
        <f t="shared" si="44"/>
        <v>0</v>
      </c>
      <c r="S81" s="53">
        <f t="shared" si="45"/>
        <v>0</v>
      </c>
      <c r="T81" s="53">
        <f t="shared" si="46"/>
        <v>0.05</v>
      </c>
      <c r="U81" s="53">
        <f t="shared" ref="U81:U144" si="47">1-(1-T81)^(1/12)</f>
        <v>4.2653187775606449E-3</v>
      </c>
    </row>
    <row r="82" spans="1:21" x14ac:dyDescent="0.2">
      <c r="A82" s="62">
        <f t="shared" si="39"/>
        <v>0.2022642308909611</v>
      </c>
      <c r="B82" s="45">
        <f t="shared" si="40"/>
        <v>68</v>
      </c>
      <c r="C82" s="49">
        <f t="shared" si="32"/>
        <v>21907205.014718801</v>
      </c>
      <c r="D82" s="47" cm="1">
        <f t="array" ref="D82">_xlfn.IFS(AND($C$7="Y",B82&lt;C$4),C82,AND($C$7="Y",B82=C$4),D81+F82-J82-K82-L82+N82,AND($C$7="Y",B82&gt;$C$4),D81-J82-K82-L82+N82, TRUE, D81-J82-K82-L82+N82)</f>
        <v>20226423.08909611</v>
      </c>
      <c r="E82" s="48">
        <f t="shared" si="41"/>
        <v>0</v>
      </c>
      <c r="F82" s="50">
        <f t="shared" si="42"/>
        <v>0</v>
      </c>
      <c r="G82" s="50">
        <f t="shared" ref="G82:G145" si="48">IF($B82&lt;=$C$4,C$6,0)</f>
        <v>0</v>
      </c>
      <c r="H82" s="51">
        <f t="shared" si="33"/>
        <v>1805478.3507275963</v>
      </c>
      <c r="I82" s="52">
        <f t="shared" si="43"/>
        <v>218137.63801805649</v>
      </c>
      <c r="J82" s="52">
        <f t="shared" si="34"/>
        <v>1587340.7127095398</v>
      </c>
      <c r="K82" s="51">
        <f t="shared" si="36"/>
        <v>0</v>
      </c>
      <c r="L82" s="49">
        <f t="shared" si="37"/>
        <v>93441.212913150826</v>
      </c>
      <c r="M82" s="49">
        <f t="shared" si="38"/>
        <v>-122067.12450322432</v>
      </c>
      <c r="N82" s="49">
        <f t="shared" si="28"/>
        <v>0</v>
      </c>
      <c r="O82" s="48">
        <f t="shared" si="31"/>
        <v>1712037.1378144454</v>
      </c>
      <c r="P82" s="38">
        <f t="shared" si="35"/>
        <v>1712037.1378144454</v>
      </c>
      <c r="Q82" s="53"/>
      <c r="R82" s="53">
        <f t="shared" si="44"/>
        <v>0</v>
      </c>
      <c r="S82" s="53">
        <f t="shared" si="45"/>
        <v>0</v>
      </c>
      <c r="T82" s="53">
        <f t="shared" si="46"/>
        <v>0.05</v>
      </c>
      <c r="U82" s="53">
        <f t="shared" si="47"/>
        <v>4.2653187775606449E-3</v>
      </c>
    </row>
    <row r="83" spans="1:21" x14ac:dyDescent="0.2">
      <c r="A83" s="62">
        <f t="shared" si="39"/>
        <v>0.1854445926559839</v>
      </c>
      <c r="B83" s="45">
        <f t="shared" si="40"/>
        <v>69</v>
      </c>
      <c r="C83" s="49">
        <f t="shared" si="32"/>
        <v>20226423.08909611</v>
      </c>
      <c r="D83" s="47" cm="1">
        <f t="array" ref="D83">_xlfn.IFS(AND($C$7="Y",B83&lt;C$4),C83,AND($C$7="Y",B83=C$4),D82+F83-J83-K83-L83+N83,AND($C$7="Y",B83&gt;$C$4),D82-J83-K83-L83+N83, TRUE, D82-J83-K83-L83+N83)</f>
        <v>18544459.26559839</v>
      </c>
      <c r="E83" s="48">
        <f t="shared" si="41"/>
        <v>0</v>
      </c>
      <c r="F83" s="50">
        <f t="shared" si="42"/>
        <v>0</v>
      </c>
      <c r="G83" s="50">
        <f t="shared" si="48"/>
        <v>0</v>
      </c>
      <c r="H83" s="51">
        <f t="shared" si="33"/>
        <v>1797093.1907618281</v>
      </c>
      <c r="I83" s="52">
        <f t="shared" si="43"/>
        <v>201401.50946891305</v>
      </c>
      <c r="J83" s="52">
        <f t="shared" si="34"/>
        <v>1595691.681292915</v>
      </c>
      <c r="K83" s="51">
        <f t="shared" si="36"/>
        <v>0</v>
      </c>
      <c r="L83" s="49">
        <f t="shared" si="37"/>
        <v>86272.142204807824</v>
      </c>
      <c r="M83" s="49">
        <f t="shared" si="38"/>
        <v>-114918.13798088419</v>
      </c>
      <c r="N83" s="49">
        <f t="shared" si="28"/>
        <v>0</v>
      </c>
      <c r="O83" s="48">
        <f t="shared" si="31"/>
        <v>1710821.0485570203</v>
      </c>
      <c r="P83" s="38">
        <f t="shared" si="35"/>
        <v>1710821.0485570203</v>
      </c>
      <c r="Q83" s="53"/>
      <c r="R83" s="53">
        <f t="shared" si="44"/>
        <v>0</v>
      </c>
      <c r="S83" s="53">
        <f t="shared" si="45"/>
        <v>0</v>
      </c>
      <c r="T83" s="53">
        <f t="shared" si="46"/>
        <v>0.05</v>
      </c>
      <c r="U83" s="53">
        <f t="shared" si="47"/>
        <v>4.2653187775606449E-3</v>
      </c>
    </row>
    <row r="84" spans="1:21" x14ac:dyDescent="0.2">
      <c r="A84" s="62">
        <f t="shared" si="39"/>
        <v>0.16861326169597385</v>
      </c>
      <c r="B84" s="45">
        <f t="shared" si="40"/>
        <v>70</v>
      </c>
      <c r="C84" s="49">
        <f t="shared" si="32"/>
        <v>18544459.26559839</v>
      </c>
      <c r="D84" s="47" cm="1">
        <f t="array" ref="D84">_xlfn.IFS(AND($C$7="Y",B84&lt;C$4),C84,AND($C$7="Y",B84=C$4),D83+F84-J84-K84-L84+N84,AND($C$7="Y",B84&gt;$C$4),D83-J84-K84-L84+N84, TRUE, D83-J84-K84-L84+N84)</f>
        <v>16861326.169597384</v>
      </c>
      <c r="E84" s="48">
        <f t="shared" si="41"/>
        <v>0</v>
      </c>
      <c r="F84" s="50">
        <f t="shared" si="42"/>
        <v>0</v>
      </c>
      <c r="G84" s="50">
        <f t="shared" si="48"/>
        <v>0</v>
      </c>
      <c r="H84" s="51">
        <f t="shared" si="33"/>
        <v>1788688.6780284736</v>
      </c>
      <c r="I84" s="52">
        <f t="shared" si="43"/>
        <v>184653.61235273126</v>
      </c>
      <c r="J84" s="52">
        <f t="shared" si="34"/>
        <v>1604035.0656757425</v>
      </c>
      <c r="K84" s="51">
        <f t="shared" si="36"/>
        <v>0</v>
      </c>
      <c r="L84" s="49">
        <f t="shared" si="37"/>
        <v>79098.030325265296</v>
      </c>
      <c r="M84" s="49">
        <f t="shared" si="38"/>
        <v>-107764.18869144366</v>
      </c>
      <c r="N84" s="49">
        <f t="shared" si="28"/>
        <v>0</v>
      </c>
      <c r="O84" s="48">
        <f t="shared" si="31"/>
        <v>1709590.6477032083</v>
      </c>
      <c r="P84" s="38">
        <f t="shared" si="35"/>
        <v>1709590.6477032083</v>
      </c>
      <c r="Q84" s="53"/>
      <c r="R84" s="53">
        <f t="shared" si="44"/>
        <v>0</v>
      </c>
      <c r="S84" s="53">
        <f t="shared" si="45"/>
        <v>0</v>
      </c>
      <c r="T84" s="53">
        <f t="shared" si="46"/>
        <v>0.05</v>
      </c>
      <c r="U84" s="53">
        <f t="shared" si="47"/>
        <v>4.2653187775606449E-3</v>
      </c>
    </row>
    <row r="85" spans="1:21" x14ac:dyDescent="0.2">
      <c r="A85" s="62">
        <f t="shared" si="39"/>
        <v>0.15177047480463646</v>
      </c>
      <c r="B85" s="45">
        <f t="shared" si="40"/>
        <v>71</v>
      </c>
      <c r="C85" s="49">
        <f t="shared" si="32"/>
        <v>16861326.169597384</v>
      </c>
      <c r="D85" s="47" cm="1">
        <f t="array" ref="D85">_xlfn.IFS(AND($C$7="Y",B85&lt;C$4),C85,AND($C$7="Y",B85=C$4),D84+F85-J85-K85-L85+N85,AND($C$7="Y",B85&gt;$C$4),D84-J85-K85-L85+N85, TRUE, D84-J85-K85-L85+N85)</f>
        <v>15177047.480463646</v>
      </c>
      <c r="E85" s="48">
        <f t="shared" si="41"/>
        <v>0</v>
      </c>
      <c r="F85" s="50">
        <f t="shared" si="42"/>
        <v>0</v>
      </c>
      <c r="G85" s="50">
        <f t="shared" si="48"/>
        <v>0</v>
      </c>
      <c r="H85" s="51">
        <f t="shared" si="33"/>
        <v>1780253.8303926953</v>
      </c>
      <c r="I85" s="52">
        <f t="shared" si="43"/>
        <v>167894.07238471622</v>
      </c>
      <c r="J85" s="52">
        <f t="shared" si="34"/>
        <v>1612359.758007979</v>
      </c>
      <c r="K85" s="51">
        <f t="shared" si="36"/>
        <v>0</v>
      </c>
      <c r="L85" s="49">
        <f t="shared" si="37"/>
        <v>71918.93112575842</v>
      </c>
      <c r="M85" s="49">
        <f t="shared" si="38"/>
        <v>-100605.22481762158</v>
      </c>
      <c r="N85" s="49">
        <f t="shared" si="28"/>
        <v>0</v>
      </c>
      <c r="O85" s="48">
        <f t="shared" si="31"/>
        <v>1708334.8992669368</v>
      </c>
      <c r="P85" s="38">
        <f t="shared" si="35"/>
        <v>1708334.8992669368</v>
      </c>
      <c r="Q85" s="53"/>
      <c r="R85" s="53">
        <f t="shared" si="44"/>
        <v>0</v>
      </c>
      <c r="S85" s="53">
        <f t="shared" si="45"/>
        <v>0</v>
      </c>
      <c r="T85" s="53">
        <f t="shared" si="46"/>
        <v>0.05</v>
      </c>
      <c r="U85" s="53">
        <f t="shared" si="47"/>
        <v>4.2653187775606449E-3</v>
      </c>
    </row>
    <row r="86" spans="1:21" x14ac:dyDescent="0.2">
      <c r="A86" s="62">
        <f t="shared" si="39"/>
        <v>0.13491661630349708</v>
      </c>
      <c r="B86" s="45">
        <f t="shared" si="40"/>
        <v>72</v>
      </c>
      <c r="C86" s="49">
        <f t="shared" si="32"/>
        <v>15177047.480463646</v>
      </c>
      <c r="D86" s="47" cm="1">
        <f t="array" ref="D86">_xlfn.IFS(AND($C$7="Y",B86&lt;C$4),C86,AND($C$7="Y",B86=C$4),D85+F86-J86-K86-L86+N86,AND($C$7="Y",B86&gt;$C$4),D85-J86-K86-L86+N86, TRUE, D85-J86-K86-L86+N86)</f>
        <v>13491661.630349709</v>
      </c>
      <c r="E86" s="48">
        <f t="shared" si="41"/>
        <v>0</v>
      </c>
      <c r="F86" s="50">
        <f t="shared" si="42"/>
        <v>0</v>
      </c>
      <c r="G86" s="50">
        <f t="shared" si="48"/>
        <v>0</v>
      </c>
      <c r="H86" s="51">
        <f t="shared" si="33"/>
        <v>1771774.0298561598</v>
      </c>
      <c r="I86" s="52">
        <f t="shared" si="43"/>
        <v>151123.12534857294</v>
      </c>
      <c r="J86" s="52">
        <f t="shared" si="34"/>
        <v>1620650.904507587</v>
      </c>
      <c r="K86" s="51">
        <f t="shared" si="36"/>
        <v>0</v>
      </c>
      <c r="L86" s="49">
        <f t="shared" si="37"/>
        <v>64734.945606351066</v>
      </c>
      <c r="M86" s="49">
        <f t="shared" si="38"/>
        <v>-93441.212913150826</v>
      </c>
      <c r="N86" s="49">
        <f t="shared" si="28"/>
        <v>0</v>
      </c>
      <c r="O86" s="48">
        <f t="shared" si="31"/>
        <v>1707039.0842498087</v>
      </c>
      <c r="P86" s="38">
        <f t="shared" si="35"/>
        <v>1707039.0842498087</v>
      </c>
      <c r="Q86" s="53"/>
      <c r="R86" s="53">
        <f t="shared" si="44"/>
        <v>0</v>
      </c>
      <c r="S86" s="53">
        <f t="shared" si="45"/>
        <v>0</v>
      </c>
      <c r="T86" s="53">
        <f t="shared" si="46"/>
        <v>0.05</v>
      </c>
      <c r="U86" s="53">
        <f t="shared" si="47"/>
        <v>4.2653187775606449E-3</v>
      </c>
    </row>
    <row r="87" spans="1:21" x14ac:dyDescent="0.2">
      <c r="A87" s="62">
        <f t="shared" si="39"/>
        <v>0.11805227347963863</v>
      </c>
      <c r="B87" s="45">
        <f t="shared" si="40"/>
        <v>73</v>
      </c>
      <c r="C87" s="49">
        <f t="shared" si="32"/>
        <v>13491661.630349709</v>
      </c>
      <c r="D87" s="47" cm="1">
        <f t="array" ref="D87">_xlfn.IFS(AND($C$7="Y",B87&lt;C$4),C87,AND($C$7="Y",B87=C$4),D86+F87-J87-K87-L87+N87,AND($C$7="Y",B87&gt;$C$4),D86-J87-K87-L87+N87, TRUE, D86-J87-K87-L87+N87)</f>
        <v>11805227.347963864</v>
      </c>
      <c r="E87" s="48">
        <f t="shared" si="41"/>
        <v>0</v>
      </c>
      <c r="F87" s="50">
        <f t="shared" si="42"/>
        <v>0</v>
      </c>
      <c r="G87" s="50">
        <f t="shared" si="48"/>
        <v>0</v>
      </c>
      <c r="H87" s="51">
        <f t="shared" si="33"/>
        <v>1763229.1986199918</v>
      </c>
      <c r="I87" s="52">
        <f t="shared" si="43"/>
        <v>134341.15392657285</v>
      </c>
      <c r="J87" s="52">
        <f t="shared" si="34"/>
        <v>1628888.044693419</v>
      </c>
      <c r="K87" s="51">
        <f t="shared" si="36"/>
        <v>0</v>
      </c>
      <c r="L87" s="49">
        <f t="shared" si="37"/>
        <v>57546.237692425078</v>
      </c>
      <c r="M87" s="49">
        <f t="shared" si="38"/>
        <v>-86272.142204807824</v>
      </c>
      <c r="N87" s="49">
        <f t="shared" si="28"/>
        <v>0</v>
      </c>
      <c r="O87" s="48">
        <f t="shared" si="31"/>
        <v>1705682.9609275667</v>
      </c>
      <c r="P87" s="38">
        <f t="shared" si="35"/>
        <v>1705682.9609275667</v>
      </c>
      <c r="Q87" s="53"/>
      <c r="R87" s="53">
        <f t="shared" si="44"/>
        <v>0</v>
      </c>
      <c r="S87" s="53">
        <f t="shared" si="45"/>
        <v>0</v>
      </c>
      <c r="T87" s="53">
        <f t="shared" si="46"/>
        <v>0.05</v>
      </c>
      <c r="U87" s="53">
        <f t="shared" si="47"/>
        <v>4.2653187775606449E-3</v>
      </c>
    </row>
    <row r="88" spans="1:21" x14ac:dyDescent="0.2">
      <c r="A88" s="62">
        <f t="shared" si="39"/>
        <v>0.10117832362845415</v>
      </c>
      <c r="B88" s="45">
        <f t="shared" si="40"/>
        <v>74</v>
      </c>
      <c r="C88" s="49">
        <f t="shared" si="32"/>
        <v>11805227.347963864</v>
      </c>
      <c r="D88" s="47" cm="1">
        <f t="array" ref="D88">_xlfn.IFS(AND($C$7="Y",B88&lt;C$4),C88,AND($C$7="Y",B88=C$4),D87+F88-J88-K88-L88+N88,AND($C$7="Y",B88&gt;$C$4),D87-J88-K88-L88+N88, TRUE, D87-J88-K88-L88+N88)</f>
        <v>10117832.362845415</v>
      </c>
      <c r="E88" s="48">
        <f t="shared" si="41"/>
        <v>0</v>
      </c>
      <c r="F88" s="50">
        <f t="shared" si="42"/>
        <v>0</v>
      </c>
      <c r="G88" s="50">
        <f t="shared" si="48"/>
        <v>0</v>
      </c>
      <c r="H88" s="51">
        <f t="shared" si="33"/>
        <v>1754590.670138638</v>
      </c>
      <c r="I88" s="52">
        <f t="shared" si="43"/>
        <v>117548.74290083221</v>
      </c>
      <c r="J88" s="52">
        <f t="shared" si="34"/>
        <v>1637041.9272378059</v>
      </c>
      <c r="K88" s="51">
        <f t="shared" si="36"/>
        <v>0</v>
      </c>
      <c r="L88" s="49">
        <f t="shared" si="37"/>
        <v>50353.057880642722</v>
      </c>
      <c r="M88" s="49">
        <f t="shared" si="38"/>
        <v>-79098.030325265296</v>
      </c>
      <c r="N88" s="49">
        <f t="shared" si="28"/>
        <v>0</v>
      </c>
      <c r="O88" s="48">
        <f t="shared" si="31"/>
        <v>1704237.6122579952</v>
      </c>
      <c r="P88" s="38">
        <f t="shared" si="35"/>
        <v>1704237.6122579952</v>
      </c>
      <c r="Q88" s="53"/>
      <c r="R88" s="53">
        <f t="shared" si="44"/>
        <v>0</v>
      </c>
      <c r="S88" s="53">
        <f t="shared" si="45"/>
        <v>0</v>
      </c>
      <c r="T88" s="53">
        <f t="shared" si="46"/>
        <v>0.05</v>
      </c>
      <c r="U88" s="53">
        <f t="shared" si="47"/>
        <v>4.2653187775606449E-3</v>
      </c>
    </row>
    <row r="89" spans="1:21" x14ac:dyDescent="0.2">
      <c r="A89" s="62">
        <f t="shared" si="39"/>
        <v>8.4296078994412882E-2</v>
      </c>
      <c r="B89" s="45">
        <f t="shared" si="40"/>
        <v>75</v>
      </c>
      <c r="C89" s="49">
        <f t="shared" si="32"/>
        <v>10117832.362845415</v>
      </c>
      <c r="D89" s="47" cm="1">
        <f t="array" ref="D89">_xlfn.IFS(AND($C$7="Y",B89&lt;C$4),C89,AND($C$7="Y",B89=C$4),D88+F89-J89-K89-L89+N89,AND($C$7="Y",B89&gt;$C$4),D88-J89-K89-L89+N89, TRUE, D88-J89-K89-L89+N89)</f>
        <v>8429607.8994412888</v>
      </c>
      <c r="E89" s="48">
        <f t="shared" si="41"/>
        <v>0</v>
      </c>
      <c r="F89" s="50">
        <f t="shared" si="42"/>
        <v>0</v>
      </c>
      <c r="G89" s="50">
        <f t="shared" si="48"/>
        <v>0</v>
      </c>
      <c r="H89" s="51">
        <f t="shared" si="33"/>
        <v>1745815.4488634698</v>
      </c>
      <c r="I89" s="52">
        <f t="shared" si="43"/>
        <v>100746.76582479959</v>
      </c>
      <c r="J89" s="52">
        <f t="shared" si="34"/>
        <v>1645068.6830386701</v>
      </c>
      <c r="K89" s="51">
        <f t="shared" si="36"/>
        <v>0</v>
      </c>
      <c r="L89" s="49">
        <f t="shared" si="37"/>
        <v>43155.780365455335</v>
      </c>
      <c r="M89" s="49">
        <f t="shared" si="38"/>
        <v>-71918.93112575842</v>
      </c>
      <c r="N89" s="49">
        <f t="shared" si="28"/>
        <v>0</v>
      </c>
      <c r="O89" s="48">
        <f t="shared" si="31"/>
        <v>1702659.6684980143</v>
      </c>
      <c r="P89" s="38">
        <f t="shared" si="35"/>
        <v>1702659.6684980143</v>
      </c>
      <c r="Q89" s="53"/>
      <c r="R89" s="53">
        <f t="shared" si="44"/>
        <v>0</v>
      </c>
      <c r="S89" s="53">
        <f t="shared" si="45"/>
        <v>0</v>
      </c>
      <c r="T89" s="53">
        <f t="shared" si="46"/>
        <v>0.05</v>
      </c>
      <c r="U89" s="53">
        <f t="shared" si="47"/>
        <v>4.2653187775606449E-3</v>
      </c>
    </row>
    <row r="90" spans="1:21" x14ac:dyDescent="0.2">
      <c r="A90" s="62">
        <f t="shared" si="39"/>
        <v>6.7407547414848099E-2</v>
      </c>
      <c r="B90" s="45">
        <f t="shared" si="40"/>
        <v>76</v>
      </c>
      <c r="C90" s="49">
        <f t="shared" si="32"/>
        <v>8429607.8994412888</v>
      </c>
      <c r="D90" s="47" cm="1">
        <f t="array" ref="D90">_xlfn.IFS(AND($C$7="Y",B90&lt;C$4),C90,AND($C$7="Y",B90=C$4),D89+F90-J90-K90-L90+N90,AND($C$7="Y",B90&gt;$C$4),D89-J90-K90-L90+N90, TRUE, D89-J90-K90-L90+N90)</f>
        <v>6740754.7414848097</v>
      </c>
      <c r="E90" s="48">
        <f t="shared" si="41"/>
        <v>0</v>
      </c>
      <c r="F90" s="50">
        <f t="shared" si="42"/>
        <v>0</v>
      </c>
      <c r="G90" s="50">
        <f t="shared" si="48"/>
        <v>0</v>
      </c>
      <c r="H90" s="51">
        <f t="shared" si="33"/>
        <v>1736834.7224413215</v>
      </c>
      <c r="I90" s="52">
        <f t="shared" si="43"/>
        <v>83936.529345803268</v>
      </c>
      <c r="J90" s="52">
        <f t="shared" si="34"/>
        <v>1652898.1930955183</v>
      </c>
      <c r="K90" s="51">
        <f t="shared" si="36"/>
        <v>0</v>
      </c>
      <c r="L90" s="49">
        <f t="shared" si="37"/>
        <v>35954.964860960477</v>
      </c>
      <c r="M90" s="49">
        <f t="shared" si="38"/>
        <v>-64734.945606351066</v>
      </c>
      <c r="N90" s="49">
        <f t="shared" si="28"/>
        <v>0</v>
      </c>
      <c r="O90" s="48">
        <f t="shared" si="31"/>
        <v>1700879.7575803611</v>
      </c>
      <c r="P90" s="38">
        <f t="shared" si="35"/>
        <v>1700879.7575803611</v>
      </c>
      <c r="Q90" s="53"/>
      <c r="R90" s="53">
        <f t="shared" si="44"/>
        <v>0</v>
      </c>
      <c r="S90" s="53">
        <f t="shared" si="45"/>
        <v>0</v>
      </c>
      <c r="T90" s="53">
        <f t="shared" si="46"/>
        <v>0.05</v>
      </c>
      <c r="U90" s="53">
        <f t="shared" si="47"/>
        <v>4.2653187775606449E-3</v>
      </c>
    </row>
    <row r="91" spans="1:21" x14ac:dyDescent="0.2">
      <c r="A91" s="62">
        <f t="shared" si="39"/>
        <v>5.0515953075101983E-2</v>
      </c>
      <c r="B91" s="45">
        <f t="shared" si="40"/>
        <v>77</v>
      </c>
      <c r="C91" s="49">
        <f t="shared" si="32"/>
        <v>6740754.7414848097</v>
      </c>
      <c r="D91" s="47" cm="1">
        <f t="array" ref="D91">_xlfn.IFS(AND($C$7="Y",B91&lt;C$4),C91,AND($C$7="Y",B91=C$4),D90+F91-J91-K91-L91+N91,AND($C$7="Y",B91&gt;$C$4),D90-J91-K91-L91+N91, TRUE, D90-J91-K91-L91+N91)</f>
        <v>5051595.3075101981</v>
      </c>
      <c r="E91" s="48">
        <f t="shared" si="41"/>
        <v>0</v>
      </c>
      <c r="F91" s="50">
        <f t="shared" si="42"/>
        <v>0</v>
      </c>
      <c r="G91" s="50">
        <f t="shared" si="48"/>
        <v>0</v>
      </c>
      <c r="H91" s="51">
        <f t="shared" si="33"/>
        <v>1727527.9989379363</v>
      </c>
      <c r="I91" s="52">
        <f t="shared" si="43"/>
        <v>67120.032737110232</v>
      </c>
      <c r="J91" s="52">
        <f t="shared" si="34"/>
        <v>1660407.966200826</v>
      </c>
      <c r="K91" s="51">
        <f t="shared" si="36"/>
        <v>0</v>
      </c>
      <c r="L91" s="49">
        <f t="shared" si="37"/>
        <v>28751.467773786109</v>
      </c>
      <c r="M91" s="49">
        <f t="shared" si="38"/>
        <v>-57546.237692425078</v>
      </c>
      <c r="N91" s="49">
        <f t="shared" si="28"/>
        <v>0</v>
      </c>
      <c r="O91" s="48">
        <f t="shared" si="31"/>
        <v>1698776.5311641502</v>
      </c>
      <c r="P91" s="38">
        <f t="shared" si="35"/>
        <v>1698776.5311641502</v>
      </c>
      <c r="Q91" s="53"/>
      <c r="R91" s="53">
        <f t="shared" si="44"/>
        <v>0</v>
      </c>
      <c r="S91" s="53">
        <f t="shared" si="45"/>
        <v>0</v>
      </c>
      <c r="T91" s="53">
        <f t="shared" si="46"/>
        <v>0.05</v>
      </c>
      <c r="U91" s="53">
        <f t="shared" si="47"/>
        <v>4.2653187775606449E-3</v>
      </c>
    </row>
    <row r="92" spans="1:21" x14ac:dyDescent="0.2">
      <c r="A92" s="62">
        <f t="shared" si="39"/>
        <v>3.362695026810824E-2</v>
      </c>
      <c r="B92" s="45">
        <f t="shared" si="40"/>
        <v>78</v>
      </c>
      <c r="C92" s="49">
        <f t="shared" si="32"/>
        <v>5051595.3075101981</v>
      </c>
      <c r="D92" s="47" cm="1">
        <f t="array" ref="D92">_xlfn.IFS(AND($C$7="Y",B92&lt;C$4),C92,AND($C$7="Y",B92=C$4),D91+F92-J92-K92-L92+N92,AND($C$7="Y",B92&gt;$C$4),D91-J92-K92-L92+N92, TRUE, D91-J92-K92-L92+N92)</f>
        <v>3362695.0268108239</v>
      </c>
      <c r="E92" s="48">
        <f t="shared" si="41"/>
        <v>0</v>
      </c>
      <c r="F92" s="50">
        <f t="shared" si="42"/>
        <v>0</v>
      </c>
      <c r="G92" s="50">
        <f t="shared" si="48"/>
        <v>0</v>
      </c>
      <c r="H92" s="51">
        <f t="shared" si="33"/>
        <v>1717654.1028094979</v>
      </c>
      <c r="I92" s="52">
        <f t="shared" si="43"/>
        <v>50300.486431884376</v>
      </c>
      <c r="J92" s="52">
        <f t="shared" si="34"/>
        <v>1667353.6163776135</v>
      </c>
      <c r="K92" s="51">
        <f t="shared" si="36"/>
        <v>0</v>
      </c>
      <c r="L92" s="49">
        <f t="shared" si="37"/>
        <v>21546.664321760487</v>
      </c>
      <c r="M92" s="49">
        <f t="shared" si="38"/>
        <v>-50353.057880642722</v>
      </c>
      <c r="N92" s="49">
        <f t="shared" si="28"/>
        <v>0</v>
      </c>
      <c r="O92" s="48">
        <f t="shared" si="31"/>
        <v>1696107.4384877374</v>
      </c>
      <c r="P92" s="38">
        <f t="shared" si="35"/>
        <v>1696107.4384877374</v>
      </c>
      <c r="Q92" s="53"/>
      <c r="R92" s="53">
        <f t="shared" si="44"/>
        <v>0</v>
      </c>
      <c r="S92" s="53">
        <f t="shared" si="45"/>
        <v>0</v>
      </c>
      <c r="T92" s="53">
        <f t="shared" si="46"/>
        <v>0.05</v>
      </c>
      <c r="U92" s="53">
        <f t="shared" si="47"/>
        <v>4.2653187775606449E-3</v>
      </c>
    </row>
    <row r="93" spans="1:21" x14ac:dyDescent="0.2">
      <c r="A93" s="62">
        <f t="shared" si="39"/>
        <v>1.6752260305039571E-2</v>
      </c>
      <c r="B93" s="45">
        <f t="shared" si="40"/>
        <v>79</v>
      </c>
      <c r="C93" s="49">
        <f t="shared" si="32"/>
        <v>3362695.0268108239</v>
      </c>
      <c r="D93" s="47" cm="1">
        <f t="array" ref="D93">_xlfn.IFS(AND($C$7="Y",B93&lt;C$4),C93,AND($C$7="Y",B93=C$4),D92+F93-J93-K93-L93+N93,AND($C$7="Y",B93&gt;$C$4),D92-J93-K93-L93+N93, TRUE, D92-J93-K93-L93+N93)</f>
        <v>1675226.0305039571</v>
      </c>
      <c r="E93" s="48">
        <f t="shared" si="41"/>
        <v>0</v>
      </c>
      <c r="F93" s="50">
        <f t="shared" si="42"/>
        <v>0</v>
      </c>
      <c r="G93" s="50">
        <f t="shared" si="48"/>
        <v>0</v>
      </c>
      <c r="H93" s="51">
        <f t="shared" si="33"/>
        <v>1706609.5506714983</v>
      </c>
      <c r="I93" s="52">
        <f t="shared" si="43"/>
        <v>33483.52060569758</v>
      </c>
      <c r="J93" s="52">
        <f t="shared" si="34"/>
        <v>1673126.0300658008</v>
      </c>
      <c r="K93" s="51">
        <f t="shared" si="36"/>
        <v>0</v>
      </c>
      <c r="L93" s="49">
        <f t="shared" si="37"/>
        <v>14342.966241066004</v>
      </c>
      <c r="M93" s="49">
        <f t="shared" si="38"/>
        <v>-43155.780365455335</v>
      </c>
      <c r="N93" s="49">
        <f t="shared" si="28"/>
        <v>0</v>
      </c>
      <c r="O93" s="48">
        <f t="shared" si="31"/>
        <v>1692266.5844304322</v>
      </c>
      <c r="P93" s="38">
        <f t="shared" si="35"/>
        <v>1692266.5844304322</v>
      </c>
      <c r="Q93" s="53"/>
      <c r="R93" s="53">
        <f t="shared" si="44"/>
        <v>0</v>
      </c>
      <c r="S93" s="53">
        <f t="shared" si="45"/>
        <v>0</v>
      </c>
      <c r="T93" s="53">
        <f t="shared" si="46"/>
        <v>0.05</v>
      </c>
      <c r="U93" s="53">
        <f t="shared" si="47"/>
        <v>4.2653187775606449E-3</v>
      </c>
    </row>
    <row r="94" spans="1:21" x14ac:dyDescent="0.2">
      <c r="A94" s="62">
        <f t="shared" si="39"/>
        <v>-7.2168267750108683E-5</v>
      </c>
      <c r="B94" s="45">
        <f t="shared" si="40"/>
        <v>80</v>
      </c>
      <c r="C94" s="49">
        <f t="shared" si="32"/>
        <v>1675226.0305039571</v>
      </c>
      <c r="D94" s="47" cm="1">
        <f t="array" ref="D94">_xlfn.IFS(AND($C$7="Y",B94&lt;C$4),C94,AND($C$7="Y",B94=C$4),D93+F94-J94-K94-L94+N94,AND($C$7="Y",B94&gt;$C$4),D93-J94-K94-L94+N94, TRUE, D93-J94-K94-L94+N94)</f>
        <v>-7216.826775010868</v>
      </c>
      <c r="E94" s="48">
        <f t="shared" si="41"/>
        <v>0</v>
      </c>
      <c r="F94" s="50">
        <f t="shared" si="42"/>
        <v>0</v>
      </c>
      <c r="G94" s="50">
        <f t="shared" si="48"/>
        <v>0</v>
      </c>
      <c r="H94" s="51">
        <f t="shared" si="33"/>
        <v>1691978.290808995</v>
      </c>
      <c r="I94" s="52">
        <f t="shared" si="43"/>
        <v>16680.806574593898</v>
      </c>
      <c r="J94" s="52">
        <f t="shared" si="34"/>
        <v>1675297.484234401</v>
      </c>
      <c r="K94" s="51">
        <f t="shared" si="36"/>
        <v>0</v>
      </c>
      <c r="L94" s="49">
        <f t="shared" si="37"/>
        <v>7145.3730445669098</v>
      </c>
      <c r="M94" s="49">
        <f t="shared" si="38"/>
        <v>-35954.964860960477</v>
      </c>
      <c r="N94" s="49">
        <f t="shared" si="28"/>
        <v>0</v>
      </c>
      <c r="O94" s="48">
        <f t="shared" si="31"/>
        <v>1684832.9177644281</v>
      </c>
      <c r="P94" s="38">
        <f t="shared" si="35"/>
        <v>1684832.9177644281</v>
      </c>
      <c r="Q94" s="53"/>
      <c r="R94" s="53">
        <f t="shared" si="44"/>
        <v>0</v>
      </c>
      <c r="S94" s="53">
        <f t="shared" si="45"/>
        <v>0</v>
      </c>
      <c r="T94" s="53">
        <f t="shared" si="46"/>
        <v>0.05</v>
      </c>
      <c r="U94" s="53">
        <f t="shared" si="47"/>
        <v>4.2653187775606449E-3</v>
      </c>
    </row>
    <row r="95" spans="1:21" x14ac:dyDescent="0.2">
      <c r="A95" s="62" t="e">
        <f t="shared" si="39"/>
        <v>#DIV/0!</v>
      </c>
      <c r="B95" s="45">
        <f t="shared" si="40"/>
        <v>81</v>
      </c>
      <c r="C95" s="49">
        <f t="shared" si="32"/>
        <v>-7216.826775010868</v>
      </c>
      <c r="D95" s="47" t="e" cm="1">
        <f t="array" ref="D95">_xlfn.IFS(AND($C$7="Y",B95&lt;C$4),C95,AND($C$7="Y",B95=C$4),D94+F95-J95-K95-L95+N95,AND($C$7="Y",B95&gt;$C$4),D94-J95-K95-L95+N95, TRUE, D94-J95-K95-L95+N95)</f>
        <v>#DIV/0!</v>
      </c>
      <c r="E95" s="48">
        <f t="shared" si="41"/>
        <v>0</v>
      </c>
      <c r="F95" s="50">
        <f t="shared" si="42"/>
        <v>0</v>
      </c>
      <c r="G95" s="50">
        <f t="shared" si="48"/>
        <v>0</v>
      </c>
      <c r="H95" s="51" t="e">
        <f t="shared" si="33"/>
        <v>#DIV/0!</v>
      </c>
      <c r="I95" s="52">
        <f t="shared" si="43"/>
        <v>-71.860447082530115</v>
      </c>
      <c r="J95" s="52" t="e">
        <f t="shared" si="34"/>
        <v>#DIV/0!</v>
      </c>
      <c r="K95" s="51" t="e">
        <f t="shared" si="36"/>
        <v>#DIV/0!</v>
      </c>
      <c r="L95" s="49">
        <f t="shared" si="37"/>
        <v>-30.782066757856288</v>
      </c>
      <c r="M95" s="49">
        <f t="shared" si="38"/>
        <v>-28751.467773786109</v>
      </c>
      <c r="N95" s="49">
        <f t="shared" si="28"/>
        <v>0</v>
      </c>
      <c r="O95" s="48" t="e">
        <f t="shared" si="31"/>
        <v>#DIV/0!</v>
      </c>
      <c r="P95" s="38" t="e">
        <f t="shared" si="35"/>
        <v>#DIV/0!</v>
      </c>
      <c r="Q95" s="53"/>
      <c r="R95" s="53">
        <f t="shared" si="44"/>
        <v>0</v>
      </c>
      <c r="S95" s="53">
        <f t="shared" si="45"/>
        <v>0</v>
      </c>
      <c r="T95" s="53">
        <f t="shared" si="46"/>
        <v>0.05</v>
      </c>
      <c r="U95" s="53">
        <f t="shared" si="47"/>
        <v>4.2653187775606449E-3</v>
      </c>
    </row>
    <row r="96" spans="1:21" x14ac:dyDescent="0.2">
      <c r="A96" s="62" t="e">
        <f t="shared" si="39"/>
        <v>#DIV/0!</v>
      </c>
      <c r="B96" s="45">
        <f t="shared" si="40"/>
        <v>82</v>
      </c>
      <c r="C96" s="49" t="e">
        <f t="shared" si="32"/>
        <v>#DIV/0!</v>
      </c>
      <c r="D96" s="47" t="e" cm="1">
        <f t="array" ref="D96">_xlfn.IFS(AND($C$7="Y",B96&lt;C$4),C96,AND($C$7="Y",B96=C$4),D95+F96-J96-K96-L96+N96,AND($C$7="Y",B96&gt;$C$4),D95-J96-K96-L96+N96, TRUE, D95-J96-K96-L96+N96)</f>
        <v>#DIV/0!</v>
      </c>
      <c r="E96" s="48">
        <f t="shared" si="41"/>
        <v>0</v>
      </c>
      <c r="F96" s="50">
        <f t="shared" si="42"/>
        <v>0</v>
      </c>
      <c r="G96" s="50">
        <f t="shared" si="48"/>
        <v>0</v>
      </c>
      <c r="H96" s="51" t="e">
        <f t="shared" si="33"/>
        <v>#DIV/0!</v>
      </c>
      <c r="I96" s="52" t="e">
        <f t="shared" si="43"/>
        <v>#DIV/0!</v>
      </c>
      <c r="J96" s="52" t="e">
        <f t="shared" si="34"/>
        <v>#DIV/0!</v>
      </c>
      <c r="K96" s="51" t="e">
        <f t="shared" si="36"/>
        <v>#DIV/0!</v>
      </c>
      <c r="L96" s="49" t="e">
        <f t="shared" si="37"/>
        <v>#DIV/0!</v>
      </c>
      <c r="M96" s="49">
        <f t="shared" si="38"/>
        <v>-21546.664321760487</v>
      </c>
      <c r="N96" s="49">
        <f t="shared" si="28"/>
        <v>0</v>
      </c>
      <c r="O96" s="48" t="e">
        <f t="shared" si="31"/>
        <v>#DIV/0!</v>
      </c>
      <c r="P96" s="38" t="e">
        <f t="shared" si="35"/>
        <v>#DIV/0!</v>
      </c>
      <c r="Q96" s="53"/>
      <c r="R96" s="53">
        <f t="shared" si="44"/>
        <v>0</v>
      </c>
      <c r="S96" s="53">
        <f t="shared" si="45"/>
        <v>0</v>
      </c>
      <c r="T96" s="53">
        <f t="shared" si="46"/>
        <v>0.05</v>
      </c>
      <c r="U96" s="53">
        <f t="shared" si="47"/>
        <v>4.2653187775606449E-3</v>
      </c>
    </row>
    <row r="97" spans="1:21" x14ac:dyDescent="0.2">
      <c r="A97" s="62" t="e">
        <f t="shared" si="39"/>
        <v>#DIV/0!</v>
      </c>
      <c r="B97" s="45">
        <f t="shared" si="40"/>
        <v>83</v>
      </c>
      <c r="C97" s="49" t="e">
        <f t="shared" si="32"/>
        <v>#DIV/0!</v>
      </c>
      <c r="D97" s="47" t="e" cm="1">
        <f t="array" ref="D97">_xlfn.IFS(AND($C$7="Y",B97&lt;C$4),C97,AND($C$7="Y",B97=C$4),D96+F97-J97-K97-L97+N97,AND($C$7="Y",B97&gt;$C$4),D96-J97-K97-L97+N97, TRUE, D96-J97-K97-L97+N97)</f>
        <v>#DIV/0!</v>
      </c>
      <c r="E97" s="48">
        <f t="shared" si="41"/>
        <v>0</v>
      </c>
      <c r="F97" s="50">
        <f t="shared" si="42"/>
        <v>0</v>
      </c>
      <c r="G97" s="50">
        <f t="shared" si="48"/>
        <v>0</v>
      </c>
      <c r="H97" s="51" t="e">
        <f t="shared" si="33"/>
        <v>#DIV/0!</v>
      </c>
      <c r="I97" s="52" t="e">
        <f t="shared" si="43"/>
        <v>#DIV/0!</v>
      </c>
      <c r="J97" s="52" t="e">
        <f t="shared" si="34"/>
        <v>#DIV/0!</v>
      </c>
      <c r="K97" s="51" t="e">
        <f t="shared" si="36"/>
        <v>#DIV/0!</v>
      </c>
      <c r="L97" s="49" t="e">
        <f t="shared" si="37"/>
        <v>#DIV/0!</v>
      </c>
      <c r="M97" s="49">
        <f t="shared" si="38"/>
        <v>-14342.966241066004</v>
      </c>
      <c r="N97" s="49">
        <f t="shared" si="28"/>
        <v>0</v>
      </c>
      <c r="O97" s="48" t="e">
        <f t="shared" si="31"/>
        <v>#DIV/0!</v>
      </c>
      <c r="P97" s="38" t="e">
        <f t="shared" si="35"/>
        <v>#DIV/0!</v>
      </c>
      <c r="Q97" s="53"/>
      <c r="R97" s="53">
        <f t="shared" si="44"/>
        <v>0</v>
      </c>
      <c r="S97" s="53">
        <f t="shared" si="45"/>
        <v>0</v>
      </c>
      <c r="T97" s="53">
        <f t="shared" si="46"/>
        <v>0.05</v>
      </c>
      <c r="U97" s="53">
        <f t="shared" si="47"/>
        <v>4.2653187775606449E-3</v>
      </c>
    </row>
    <row r="98" spans="1:21" x14ac:dyDescent="0.2">
      <c r="A98" s="62" t="e">
        <f t="shared" si="39"/>
        <v>#DIV/0!</v>
      </c>
      <c r="B98" s="45">
        <f t="shared" si="40"/>
        <v>84</v>
      </c>
      <c r="C98" s="49" t="e">
        <f t="shared" si="32"/>
        <v>#DIV/0!</v>
      </c>
      <c r="D98" s="47" t="e" cm="1">
        <f t="array" ref="D98">_xlfn.IFS(AND($C$7="Y",B98&lt;C$4),C98,AND($C$7="Y",B98=C$4),D97+F98-J98-K98-L98+N98,AND($C$7="Y",B98&gt;$C$4),D97-J98-K98-L98+N98, TRUE, D97-J98-K98-L98+N98)</f>
        <v>#DIV/0!</v>
      </c>
      <c r="E98" s="48">
        <f t="shared" si="41"/>
        <v>0</v>
      </c>
      <c r="F98" s="50">
        <f t="shared" si="42"/>
        <v>0</v>
      </c>
      <c r="G98" s="50">
        <f t="shared" si="48"/>
        <v>0</v>
      </c>
      <c r="H98" s="51" t="e">
        <f t="shared" si="33"/>
        <v>#DIV/0!</v>
      </c>
      <c r="I98" s="52" t="e">
        <f t="shared" si="43"/>
        <v>#DIV/0!</v>
      </c>
      <c r="J98" s="52" t="e">
        <f t="shared" si="34"/>
        <v>#DIV/0!</v>
      </c>
      <c r="K98" s="51" t="e">
        <f t="shared" si="36"/>
        <v>#DIV/0!</v>
      </c>
      <c r="L98" s="49" t="e">
        <f t="shared" si="37"/>
        <v>#DIV/0!</v>
      </c>
      <c r="M98" s="49">
        <f t="shared" si="38"/>
        <v>-7145.3730445669098</v>
      </c>
      <c r="N98" s="49">
        <f t="shared" si="28"/>
        <v>0</v>
      </c>
      <c r="O98" s="48" t="e">
        <f t="shared" si="31"/>
        <v>#DIV/0!</v>
      </c>
      <c r="P98" s="38" t="e">
        <f t="shared" si="35"/>
        <v>#DIV/0!</v>
      </c>
      <c r="Q98" s="53"/>
      <c r="R98" s="53">
        <f t="shared" si="44"/>
        <v>0</v>
      </c>
      <c r="S98" s="53">
        <f t="shared" si="45"/>
        <v>0</v>
      </c>
      <c r="T98" s="53">
        <f t="shared" si="46"/>
        <v>0.05</v>
      </c>
      <c r="U98" s="53">
        <f t="shared" si="47"/>
        <v>4.2653187775606449E-3</v>
      </c>
    </row>
    <row r="99" spans="1:21" x14ac:dyDescent="0.2">
      <c r="A99" s="62" t="e">
        <f t="shared" si="39"/>
        <v>#DIV/0!</v>
      </c>
      <c r="B99" s="45">
        <f t="shared" si="40"/>
        <v>85</v>
      </c>
      <c r="C99" s="49" t="e">
        <f t="shared" si="32"/>
        <v>#DIV/0!</v>
      </c>
      <c r="D99" s="47" t="e" cm="1">
        <f t="array" ref="D99">_xlfn.IFS(AND($C$7="Y",B99&lt;C$4),C99,AND($C$7="Y",B99=C$4),D98+F99-J99-K99-L99+N99,AND($C$7="Y",B99&gt;$C$4),D98-J99-K99-L99+N99, TRUE, D98-J99-K99-L99+N99)</f>
        <v>#DIV/0!</v>
      </c>
      <c r="E99" s="48">
        <f t="shared" si="41"/>
        <v>0</v>
      </c>
      <c r="F99" s="50">
        <f t="shared" si="42"/>
        <v>0</v>
      </c>
      <c r="G99" s="50">
        <f t="shared" si="48"/>
        <v>0</v>
      </c>
      <c r="H99" s="51" t="e">
        <f t="shared" si="33"/>
        <v>#DIV/0!</v>
      </c>
      <c r="I99" s="52" t="e">
        <f t="shared" si="43"/>
        <v>#DIV/0!</v>
      </c>
      <c r="J99" s="52" t="e">
        <f t="shared" si="34"/>
        <v>#DIV/0!</v>
      </c>
      <c r="K99" s="51" t="e">
        <f t="shared" si="36"/>
        <v>#DIV/0!</v>
      </c>
      <c r="L99" s="49" t="e">
        <f t="shared" si="37"/>
        <v>#DIV/0!</v>
      </c>
      <c r="M99" s="49">
        <f t="shared" si="38"/>
        <v>30.782066757856288</v>
      </c>
      <c r="N99" s="49">
        <f t="shared" ref="N99:N162" si="49">IFERROR((1-$N$12)*L95,0)</f>
        <v>0</v>
      </c>
      <c r="O99" s="48" t="e">
        <f t="shared" si="31"/>
        <v>#DIV/0!</v>
      </c>
      <c r="P99" s="38" t="e">
        <f t="shared" si="35"/>
        <v>#DIV/0!</v>
      </c>
      <c r="Q99" s="53"/>
      <c r="R99" s="53">
        <f t="shared" si="44"/>
        <v>0</v>
      </c>
      <c r="S99" s="53">
        <f t="shared" si="45"/>
        <v>0</v>
      </c>
      <c r="T99" s="53">
        <f t="shared" si="46"/>
        <v>0.05</v>
      </c>
      <c r="U99" s="53">
        <f t="shared" si="47"/>
        <v>4.2653187775606449E-3</v>
      </c>
    </row>
    <row r="100" spans="1:21" x14ac:dyDescent="0.2">
      <c r="A100" s="62" t="e">
        <f t="shared" si="39"/>
        <v>#DIV/0!</v>
      </c>
      <c r="B100" s="45">
        <f t="shared" si="40"/>
        <v>86</v>
      </c>
      <c r="C100" s="49" t="e">
        <f t="shared" si="32"/>
        <v>#DIV/0!</v>
      </c>
      <c r="D100" s="47" t="e" cm="1">
        <f t="array" ref="D100">_xlfn.IFS(AND($C$7="Y",B100&lt;C$4),C100,AND($C$7="Y",B100=C$4),D99+F100-J100-K100-L100+N100,AND($C$7="Y",B100&gt;$C$4),D99-J100-K100-L100+N100, TRUE, D99-J100-K100-L100+N100)</f>
        <v>#DIV/0!</v>
      </c>
      <c r="E100" s="48">
        <f t="shared" si="41"/>
        <v>0</v>
      </c>
      <c r="F100" s="50">
        <f t="shared" si="42"/>
        <v>0</v>
      </c>
      <c r="G100" s="50">
        <f t="shared" si="48"/>
        <v>0</v>
      </c>
      <c r="H100" s="51" t="e">
        <f t="shared" si="33"/>
        <v>#DIV/0!</v>
      </c>
      <c r="I100" s="52" t="e">
        <f t="shared" si="43"/>
        <v>#DIV/0!</v>
      </c>
      <c r="J100" s="52" t="e">
        <f t="shared" si="34"/>
        <v>#DIV/0!</v>
      </c>
      <c r="K100" s="51" t="e">
        <f t="shared" si="36"/>
        <v>#DIV/0!</v>
      </c>
      <c r="L100" s="49" t="e">
        <f t="shared" si="37"/>
        <v>#DIV/0!</v>
      </c>
      <c r="M100" s="49">
        <f t="shared" si="38"/>
        <v>0</v>
      </c>
      <c r="N100" s="49">
        <f t="shared" si="49"/>
        <v>0</v>
      </c>
      <c r="O100" s="48" t="e">
        <f t="shared" si="31"/>
        <v>#DIV/0!</v>
      </c>
      <c r="P100" s="38" t="e">
        <f t="shared" si="35"/>
        <v>#DIV/0!</v>
      </c>
      <c r="Q100" s="53"/>
      <c r="R100" s="53">
        <f t="shared" si="44"/>
        <v>0</v>
      </c>
      <c r="S100" s="53">
        <f t="shared" si="45"/>
        <v>0</v>
      </c>
      <c r="T100" s="53">
        <f t="shared" si="46"/>
        <v>0.05</v>
      </c>
      <c r="U100" s="53">
        <f t="shared" si="47"/>
        <v>4.2653187775606449E-3</v>
      </c>
    </row>
    <row r="101" spans="1:21" x14ac:dyDescent="0.2">
      <c r="A101" s="62" t="e">
        <f t="shared" si="39"/>
        <v>#DIV/0!</v>
      </c>
      <c r="B101" s="45">
        <f t="shared" si="40"/>
        <v>87</v>
      </c>
      <c r="C101" s="49" t="e">
        <f t="shared" si="32"/>
        <v>#DIV/0!</v>
      </c>
      <c r="D101" s="47" t="e" cm="1">
        <f t="array" ref="D101">_xlfn.IFS(AND($C$7="Y",B101&lt;C$4),C101,AND($C$7="Y",B101=C$4),D100+F101-J101-K101-L101+N101,AND($C$7="Y",B101&gt;$C$4),D100-J101-K101-L101+N101, TRUE, D100-J101-K101-L101+N101)</f>
        <v>#DIV/0!</v>
      </c>
      <c r="E101" s="48">
        <f t="shared" si="41"/>
        <v>0</v>
      </c>
      <c r="F101" s="50">
        <f t="shared" si="42"/>
        <v>0</v>
      </c>
      <c r="G101" s="50">
        <f t="shared" si="48"/>
        <v>0</v>
      </c>
      <c r="H101" s="51" t="e">
        <f t="shared" si="33"/>
        <v>#DIV/0!</v>
      </c>
      <c r="I101" s="52" t="e">
        <f t="shared" si="43"/>
        <v>#DIV/0!</v>
      </c>
      <c r="J101" s="52" t="e">
        <f t="shared" si="34"/>
        <v>#DIV/0!</v>
      </c>
      <c r="K101" s="51" t="e">
        <f t="shared" si="36"/>
        <v>#DIV/0!</v>
      </c>
      <c r="L101" s="49" t="e">
        <f t="shared" si="37"/>
        <v>#DIV/0!</v>
      </c>
      <c r="M101" s="49">
        <f t="shared" si="38"/>
        <v>0</v>
      </c>
      <c r="N101" s="49">
        <f t="shared" si="49"/>
        <v>0</v>
      </c>
      <c r="O101" s="48" t="e">
        <f t="shared" si="31"/>
        <v>#DIV/0!</v>
      </c>
      <c r="P101" s="38" t="e">
        <f t="shared" si="35"/>
        <v>#DIV/0!</v>
      </c>
      <c r="Q101" s="53"/>
      <c r="R101" s="53">
        <f t="shared" si="44"/>
        <v>0</v>
      </c>
      <c r="S101" s="53">
        <f t="shared" si="45"/>
        <v>0</v>
      </c>
      <c r="T101" s="53">
        <f t="shared" si="46"/>
        <v>0.05</v>
      </c>
      <c r="U101" s="53">
        <f t="shared" si="47"/>
        <v>4.2653187775606449E-3</v>
      </c>
    </row>
    <row r="102" spans="1:21" x14ac:dyDescent="0.2">
      <c r="A102" s="62" t="e">
        <f t="shared" si="39"/>
        <v>#DIV/0!</v>
      </c>
      <c r="B102" s="45">
        <f t="shared" si="40"/>
        <v>88</v>
      </c>
      <c r="C102" s="49" t="e">
        <f t="shared" si="32"/>
        <v>#DIV/0!</v>
      </c>
      <c r="D102" s="47" t="e" cm="1">
        <f t="array" ref="D102">_xlfn.IFS(AND($C$7="Y",B102&lt;C$4),C102,AND($C$7="Y",B102=C$4),D101+F102-J102-K102-L102+N102,AND($C$7="Y",B102&gt;$C$4),D101-J102-K102-L102+N102, TRUE, D101-J102-K102-L102+N102)</f>
        <v>#DIV/0!</v>
      </c>
      <c r="E102" s="48">
        <f t="shared" si="41"/>
        <v>0</v>
      </c>
      <c r="F102" s="50">
        <f t="shared" si="42"/>
        <v>0</v>
      </c>
      <c r="G102" s="50">
        <f t="shared" si="48"/>
        <v>0</v>
      </c>
      <c r="H102" s="51" t="e">
        <f t="shared" si="33"/>
        <v>#DIV/0!</v>
      </c>
      <c r="I102" s="52" t="e">
        <f t="shared" si="43"/>
        <v>#DIV/0!</v>
      </c>
      <c r="J102" s="52" t="e">
        <f t="shared" si="34"/>
        <v>#DIV/0!</v>
      </c>
      <c r="K102" s="51" t="e">
        <f t="shared" si="36"/>
        <v>#DIV/0!</v>
      </c>
      <c r="L102" s="49" t="e">
        <f t="shared" si="37"/>
        <v>#DIV/0!</v>
      </c>
      <c r="M102" s="49">
        <f t="shared" si="38"/>
        <v>0</v>
      </c>
      <c r="N102" s="49">
        <f t="shared" si="49"/>
        <v>0</v>
      </c>
      <c r="O102" s="48" t="e">
        <f t="shared" si="31"/>
        <v>#DIV/0!</v>
      </c>
      <c r="P102" s="38" t="e">
        <f t="shared" si="35"/>
        <v>#DIV/0!</v>
      </c>
      <c r="Q102" s="53"/>
      <c r="R102" s="53">
        <f t="shared" si="44"/>
        <v>0</v>
      </c>
      <c r="S102" s="53">
        <f t="shared" si="45"/>
        <v>0</v>
      </c>
      <c r="T102" s="53">
        <f t="shared" si="46"/>
        <v>0.05</v>
      </c>
      <c r="U102" s="53">
        <f t="shared" si="47"/>
        <v>4.2653187775606449E-3</v>
      </c>
    </row>
    <row r="103" spans="1:21" x14ac:dyDescent="0.2">
      <c r="A103" s="62" t="e">
        <f t="shared" si="39"/>
        <v>#DIV/0!</v>
      </c>
      <c r="B103" s="45">
        <f t="shared" si="40"/>
        <v>89</v>
      </c>
      <c r="C103" s="49" t="e">
        <f t="shared" si="32"/>
        <v>#DIV/0!</v>
      </c>
      <c r="D103" s="47" t="e" cm="1">
        <f t="array" ref="D103">_xlfn.IFS(AND($C$7="Y",B103&lt;C$4),C103,AND($C$7="Y",B103=C$4),D102+F103-J103-K103-L103+N103,AND($C$7="Y",B103&gt;$C$4),D102-J103-K103-L103+N103, TRUE, D102-J103-K103-L103+N103)</f>
        <v>#DIV/0!</v>
      </c>
      <c r="E103" s="48">
        <f t="shared" si="41"/>
        <v>0</v>
      </c>
      <c r="F103" s="50">
        <f t="shared" si="42"/>
        <v>0</v>
      </c>
      <c r="G103" s="50">
        <f t="shared" si="48"/>
        <v>0</v>
      </c>
      <c r="H103" s="51" t="e">
        <f t="shared" si="33"/>
        <v>#DIV/0!</v>
      </c>
      <c r="I103" s="52" t="e">
        <f t="shared" si="43"/>
        <v>#DIV/0!</v>
      </c>
      <c r="J103" s="52" t="e">
        <f t="shared" si="34"/>
        <v>#DIV/0!</v>
      </c>
      <c r="K103" s="51" t="e">
        <f t="shared" si="36"/>
        <v>#DIV/0!</v>
      </c>
      <c r="L103" s="49" t="e">
        <f t="shared" si="37"/>
        <v>#DIV/0!</v>
      </c>
      <c r="M103" s="49">
        <f t="shared" si="38"/>
        <v>0</v>
      </c>
      <c r="N103" s="49">
        <f t="shared" si="49"/>
        <v>0</v>
      </c>
      <c r="O103" s="48" t="e">
        <f t="shared" si="31"/>
        <v>#DIV/0!</v>
      </c>
      <c r="P103" s="38" t="e">
        <f t="shared" si="35"/>
        <v>#DIV/0!</v>
      </c>
      <c r="Q103" s="53"/>
      <c r="R103" s="53">
        <f t="shared" si="44"/>
        <v>0</v>
      </c>
      <c r="S103" s="53">
        <f t="shared" si="45"/>
        <v>0</v>
      </c>
      <c r="T103" s="53">
        <f t="shared" si="46"/>
        <v>0.05</v>
      </c>
      <c r="U103" s="53">
        <f t="shared" si="47"/>
        <v>4.2653187775606449E-3</v>
      </c>
    </row>
    <row r="104" spans="1:21" x14ac:dyDescent="0.2">
      <c r="A104" s="62" t="e">
        <f t="shared" si="39"/>
        <v>#DIV/0!</v>
      </c>
      <c r="B104" s="45">
        <f t="shared" si="40"/>
        <v>90</v>
      </c>
      <c r="C104" s="49" t="e">
        <f t="shared" si="32"/>
        <v>#DIV/0!</v>
      </c>
      <c r="D104" s="47" t="e" cm="1">
        <f t="array" ref="D104">_xlfn.IFS(AND($C$7="Y",B104&lt;C$4),C104,AND($C$7="Y",B104=C$4),D103+F104-J104-K104-L104+N104,AND($C$7="Y",B104&gt;$C$4),D103-J104-K104-L104+N104, TRUE, D103-J104-K104-L104+N104)</f>
        <v>#DIV/0!</v>
      </c>
      <c r="E104" s="48">
        <f t="shared" si="41"/>
        <v>0</v>
      </c>
      <c r="F104" s="50">
        <f t="shared" si="42"/>
        <v>0</v>
      </c>
      <c r="G104" s="50">
        <f t="shared" si="48"/>
        <v>0</v>
      </c>
      <c r="H104" s="51" t="e">
        <f t="shared" si="33"/>
        <v>#DIV/0!</v>
      </c>
      <c r="I104" s="52" t="e">
        <f t="shared" si="43"/>
        <v>#DIV/0!</v>
      </c>
      <c r="J104" s="52" t="e">
        <f t="shared" si="34"/>
        <v>#DIV/0!</v>
      </c>
      <c r="K104" s="51" t="e">
        <f t="shared" si="36"/>
        <v>#DIV/0!</v>
      </c>
      <c r="L104" s="49" t="e">
        <f t="shared" si="37"/>
        <v>#DIV/0!</v>
      </c>
      <c r="M104" s="49">
        <f t="shared" si="38"/>
        <v>0</v>
      </c>
      <c r="N104" s="49">
        <f t="shared" si="49"/>
        <v>0</v>
      </c>
      <c r="O104" s="48" t="e">
        <f t="shared" ref="O104:O167" si="50">K104+I104+J104-L104+N104+G104</f>
        <v>#DIV/0!</v>
      </c>
      <c r="P104" s="38" t="e">
        <f t="shared" si="35"/>
        <v>#DIV/0!</v>
      </c>
      <c r="Q104" s="53"/>
      <c r="R104" s="53">
        <f t="shared" si="44"/>
        <v>0</v>
      </c>
      <c r="S104" s="53">
        <f t="shared" si="45"/>
        <v>0</v>
      </c>
      <c r="T104" s="53">
        <f t="shared" si="46"/>
        <v>0.05</v>
      </c>
      <c r="U104" s="53">
        <f t="shared" si="47"/>
        <v>4.2653187775606449E-3</v>
      </c>
    </row>
    <row r="105" spans="1:21" x14ac:dyDescent="0.2">
      <c r="A105" s="62" t="e">
        <f t="shared" si="39"/>
        <v>#DIV/0!</v>
      </c>
      <c r="B105" s="45">
        <f t="shared" si="40"/>
        <v>91</v>
      </c>
      <c r="C105" s="49" t="e">
        <f t="shared" ref="C105:C168" si="51">IF(B105&lt;C$4,C$1,D104)</f>
        <v>#DIV/0!</v>
      </c>
      <c r="D105" s="47" t="e" cm="1">
        <f t="array" ref="D105">_xlfn.IFS(AND($C$7="Y",B105&lt;C$4),C105,AND($C$7="Y",B105=C$4),D104+F105-J105-K105-L105+N105,AND($C$7="Y",B105&gt;$C$4),D104-J105-K105-L105+N105, TRUE, D104-J105-K105-L105+N105)</f>
        <v>#DIV/0!</v>
      </c>
      <c r="E105" s="48">
        <f t="shared" si="41"/>
        <v>0</v>
      </c>
      <c r="F105" s="50">
        <f t="shared" si="42"/>
        <v>0</v>
      </c>
      <c r="G105" s="50">
        <f t="shared" si="48"/>
        <v>0</v>
      </c>
      <c r="H105" s="51" t="e">
        <f t="shared" ref="H105:H168" si="52">IF(AND($B105&lt;=$C$4,C$7="Y"),0,IF(AND(C$7="N",C$4&gt;0,B105&lt;=C$4),0,D104*C$2/12/(1-(1/(1+C$2/12))^(C$3+C$4-B105+1))))</f>
        <v>#DIV/0!</v>
      </c>
      <c r="I105" s="52" t="e">
        <f t="shared" si="43"/>
        <v>#DIV/0!</v>
      </c>
      <c r="J105" s="52" t="e">
        <f t="shared" ref="J105:J168" si="53">IF(AND($B105&lt;=$C$4,C$7="Y"),0,IF(AND(C$7="N",C$4&gt;0,B105&lt;=C$4),0,H105-I105))</f>
        <v>#DIV/0!</v>
      </c>
      <c r="K105" s="51" t="e">
        <f t="shared" si="36"/>
        <v>#DIV/0!</v>
      </c>
      <c r="L105" s="49" t="e">
        <f t="shared" si="37"/>
        <v>#DIV/0!</v>
      </c>
      <c r="M105" s="49">
        <f t="shared" si="38"/>
        <v>0</v>
      </c>
      <c r="N105" s="49">
        <f t="shared" si="49"/>
        <v>0</v>
      </c>
      <c r="O105" s="48" t="e">
        <f t="shared" si="50"/>
        <v>#DIV/0!</v>
      </c>
      <c r="P105" s="38" t="e">
        <f t="shared" ref="P105:P168" si="54">O105*(1/((1+P$12)^(B105/12)))</f>
        <v>#DIV/0!</v>
      </c>
      <c r="Q105" s="53"/>
      <c r="R105" s="53">
        <f t="shared" si="44"/>
        <v>0</v>
      </c>
      <c r="S105" s="53">
        <f t="shared" si="45"/>
        <v>0</v>
      </c>
      <c r="T105" s="53">
        <f t="shared" si="46"/>
        <v>0.05</v>
      </c>
      <c r="U105" s="53">
        <f t="shared" si="47"/>
        <v>4.2653187775606449E-3</v>
      </c>
    </row>
    <row r="106" spans="1:21" x14ac:dyDescent="0.2">
      <c r="A106" s="62" t="e">
        <f t="shared" si="39"/>
        <v>#DIV/0!</v>
      </c>
      <c r="B106" s="45">
        <f t="shared" si="40"/>
        <v>92</v>
      </c>
      <c r="C106" s="49" t="e">
        <f t="shared" si="51"/>
        <v>#DIV/0!</v>
      </c>
      <c r="D106" s="47" t="e" cm="1">
        <f t="array" ref="D106">_xlfn.IFS(AND($C$7="Y",B106&lt;C$4),C106,AND($C$7="Y",B106=C$4),D105+F106-J106-K106-L106+N106,AND($C$7="Y",B106&gt;$C$4),D105-J106-K106-L106+N106, TRUE, D105-J106-K106-L106+N106)</f>
        <v>#DIV/0!</v>
      </c>
      <c r="E106" s="48">
        <f t="shared" si="41"/>
        <v>0</v>
      </c>
      <c r="F106" s="50">
        <f t="shared" si="42"/>
        <v>0</v>
      </c>
      <c r="G106" s="50">
        <f t="shared" si="48"/>
        <v>0</v>
      </c>
      <c r="H106" s="51" t="e">
        <f t="shared" si="52"/>
        <v>#DIV/0!</v>
      </c>
      <c r="I106" s="52" t="e">
        <f t="shared" si="43"/>
        <v>#DIV/0!</v>
      </c>
      <c r="J106" s="52" t="e">
        <f t="shared" si="53"/>
        <v>#DIV/0!</v>
      </c>
      <c r="K106" s="51" t="e">
        <f t="shared" ref="K106:K169" si="55">IF(AND(C$7="Y",$B106&lt;=$C$4),0,IF(AND(C$7="N",C$4&gt;0,B106&lt;=C$4),0,S106*(C106-J106)))</f>
        <v>#DIV/0!</v>
      </c>
      <c r="L106" s="49" t="e">
        <f t="shared" si="37"/>
        <v>#DIV/0!</v>
      </c>
      <c r="M106" s="49">
        <f t="shared" si="38"/>
        <v>0</v>
      </c>
      <c r="N106" s="49">
        <f t="shared" si="49"/>
        <v>0</v>
      </c>
      <c r="O106" s="48" t="e">
        <f t="shared" si="50"/>
        <v>#DIV/0!</v>
      </c>
      <c r="P106" s="38" t="e">
        <f t="shared" si="54"/>
        <v>#DIV/0!</v>
      </c>
      <c r="Q106" s="53"/>
      <c r="R106" s="53">
        <f t="shared" si="44"/>
        <v>0</v>
      </c>
      <c r="S106" s="53">
        <f t="shared" si="45"/>
        <v>0</v>
      </c>
      <c r="T106" s="53">
        <f t="shared" si="46"/>
        <v>0.05</v>
      </c>
      <c r="U106" s="53">
        <f t="shared" si="47"/>
        <v>4.2653187775606449E-3</v>
      </c>
    </row>
    <row r="107" spans="1:21" x14ac:dyDescent="0.2">
      <c r="A107" s="62" t="e">
        <f t="shared" si="39"/>
        <v>#DIV/0!</v>
      </c>
      <c r="B107" s="45">
        <f t="shared" si="40"/>
        <v>93</v>
      </c>
      <c r="C107" s="49" t="e">
        <f t="shared" si="51"/>
        <v>#DIV/0!</v>
      </c>
      <c r="D107" s="47" t="e" cm="1">
        <f t="array" ref="D107">_xlfn.IFS(AND($C$7="Y",B107&lt;C$4),C107,AND($C$7="Y",B107=C$4),D106+F107-J107-K107-L107+N107,AND($C$7="Y",B107&gt;$C$4),D106-J107-K107-L107+N107, TRUE, D106-J107-K107-L107+N107)</f>
        <v>#DIV/0!</v>
      </c>
      <c r="E107" s="48">
        <f t="shared" si="41"/>
        <v>0</v>
      </c>
      <c r="F107" s="50">
        <f t="shared" si="42"/>
        <v>0</v>
      </c>
      <c r="G107" s="50">
        <f t="shared" si="48"/>
        <v>0</v>
      </c>
      <c r="H107" s="51" t="e">
        <f t="shared" si="52"/>
        <v>#DIV/0!</v>
      </c>
      <c r="I107" s="52" t="e">
        <f t="shared" si="43"/>
        <v>#DIV/0!</v>
      </c>
      <c r="J107" s="52" t="e">
        <f t="shared" si="53"/>
        <v>#DIV/0!</v>
      </c>
      <c r="K107" s="51" t="e">
        <f t="shared" si="55"/>
        <v>#DIV/0!</v>
      </c>
      <c r="L107" s="49" t="e">
        <f t="shared" si="37"/>
        <v>#DIV/0!</v>
      </c>
      <c r="M107" s="49">
        <f t="shared" si="38"/>
        <v>0</v>
      </c>
      <c r="N107" s="49">
        <f t="shared" si="49"/>
        <v>0</v>
      </c>
      <c r="O107" s="48" t="e">
        <f t="shared" si="50"/>
        <v>#DIV/0!</v>
      </c>
      <c r="P107" s="38" t="e">
        <f t="shared" si="54"/>
        <v>#DIV/0!</v>
      </c>
      <c r="Q107" s="53"/>
      <c r="R107" s="53">
        <f t="shared" si="44"/>
        <v>0</v>
      </c>
      <c r="S107" s="53">
        <f t="shared" si="45"/>
        <v>0</v>
      </c>
      <c r="T107" s="53">
        <f t="shared" si="46"/>
        <v>0.05</v>
      </c>
      <c r="U107" s="53">
        <f t="shared" si="47"/>
        <v>4.2653187775606449E-3</v>
      </c>
    </row>
    <row r="108" spans="1:21" x14ac:dyDescent="0.2">
      <c r="A108" s="62" t="e">
        <f t="shared" si="39"/>
        <v>#DIV/0!</v>
      </c>
      <c r="B108" s="45">
        <f t="shared" si="40"/>
        <v>94</v>
      </c>
      <c r="C108" s="49" t="e">
        <f t="shared" si="51"/>
        <v>#DIV/0!</v>
      </c>
      <c r="D108" s="47" t="e" cm="1">
        <f t="array" ref="D108">_xlfn.IFS(AND($C$7="Y",B108&lt;C$4),C108,AND($C$7="Y",B108=C$4),D107+F108-J108-K108-L108+N108,AND($C$7="Y",B108&gt;$C$4),D107-J108-K108-L108+N108, TRUE, D107-J108-K108-L108+N108)</f>
        <v>#DIV/0!</v>
      </c>
      <c r="E108" s="48">
        <f t="shared" si="41"/>
        <v>0</v>
      </c>
      <c r="F108" s="50">
        <f t="shared" si="42"/>
        <v>0</v>
      </c>
      <c r="G108" s="50">
        <f t="shared" si="48"/>
        <v>0</v>
      </c>
      <c r="H108" s="51" t="e">
        <f t="shared" si="52"/>
        <v>#DIV/0!</v>
      </c>
      <c r="I108" s="52" t="e">
        <f t="shared" si="43"/>
        <v>#DIV/0!</v>
      </c>
      <c r="J108" s="52" t="e">
        <f t="shared" si="53"/>
        <v>#DIV/0!</v>
      </c>
      <c r="K108" s="51" t="e">
        <f t="shared" si="55"/>
        <v>#DIV/0!</v>
      </c>
      <c r="L108" s="49" t="e">
        <f t="shared" si="37"/>
        <v>#DIV/0!</v>
      </c>
      <c r="M108" s="49">
        <f t="shared" si="38"/>
        <v>0</v>
      </c>
      <c r="N108" s="49">
        <f t="shared" si="49"/>
        <v>0</v>
      </c>
      <c r="O108" s="48" t="e">
        <f t="shared" si="50"/>
        <v>#DIV/0!</v>
      </c>
      <c r="P108" s="38" t="e">
        <f t="shared" si="54"/>
        <v>#DIV/0!</v>
      </c>
      <c r="Q108" s="53"/>
      <c r="R108" s="53">
        <f t="shared" si="44"/>
        <v>0</v>
      </c>
      <c r="S108" s="53">
        <f t="shared" si="45"/>
        <v>0</v>
      </c>
      <c r="T108" s="53">
        <f t="shared" si="46"/>
        <v>0.05</v>
      </c>
      <c r="U108" s="53">
        <f t="shared" si="47"/>
        <v>4.2653187775606449E-3</v>
      </c>
    </row>
    <row r="109" spans="1:21" x14ac:dyDescent="0.2">
      <c r="A109" s="62" t="e">
        <f t="shared" si="39"/>
        <v>#DIV/0!</v>
      </c>
      <c r="B109" s="45">
        <f t="shared" si="40"/>
        <v>95</v>
      </c>
      <c r="C109" s="49" t="e">
        <f t="shared" si="51"/>
        <v>#DIV/0!</v>
      </c>
      <c r="D109" s="47" t="e" cm="1">
        <f t="array" ref="D109">_xlfn.IFS(AND($C$7="Y",B109&lt;C$4),C109,AND($C$7="Y",B109=C$4),D108+F109-J109-K109-L109+N109,AND($C$7="Y",B109&gt;$C$4),D108-J109-K109-L109+N109, TRUE, D108-J109-K109-L109+N109)</f>
        <v>#DIV/0!</v>
      </c>
      <c r="E109" s="48">
        <f t="shared" si="41"/>
        <v>0</v>
      </c>
      <c r="F109" s="50">
        <f t="shared" si="42"/>
        <v>0</v>
      </c>
      <c r="G109" s="50">
        <f t="shared" si="48"/>
        <v>0</v>
      </c>
      <c r="H109" s="51" t="e">
        <f t="shared" si="52"/>
        <v>#DIV/0!</v>
      </c>
      <c r="I109" s="52" t="e">
        <f t="shared" si="43"/>
        <v>#DIV/0!</v>
      </c>
      <c r="J109" s="52" t="e">
        <f t="shared" si="53"/>
        <v>#DIV/0!</v>
      </c>
      <c r="K109" s="51" t="e">
        <f t="shared" si="55"/>
        <v>#DIV/0!</v>
      </c>
      <c r="L109" s="49" t="e">
        <f t="shared" ref="L109:L172" si="56">IF(AND(C$7="Y",$B109&lt;=$C$4),0,IF(AND(C$7="N",C$4&gt;0,B109&lt;=C$4),0,U109*D108))</f>
        <v>#DIV/0!</v>
      </c>
      <c r="M109" s="49">
        <f t="shared" ref="M109:M172" si="57">IFERROR(L105*-1,0)</f>
        <v>0</v>
      </c>
      <c r="N109" s="49">
        <f t="shared" si="49"/>
        <v>0</v>
      </c>
      <c r="O109" s="48" t="e">
        <f t="shared" si="50"/>
        <v>#DIV/0!</v>
      </c>
      <c r="P109" s="38" t="e">
        <f t="shared" si="54"/>
        <v>#DIV/0!</v>
      </c>
      <c r="Q109" s="53"/>
      <c r="R109" s="53">
        <f t="shared" si="44"/>
        <v>0</v>
      </c>
      <c r="S109" s="53">
        <f t="shared" si="45"/>
        <v>0</v>
      </c>
      <c r="T109" s="53">
        <f t="shared" si="46"/>
        <v>0.05</v>
      </c>
      <c r="U109" s="53">
        <f t="shared" si="47"/>
        <v>4.2653187775606449E-3</v>
      </c>
    </row>
    <row r="110" spans="1:21" x14ac:dyDescent="0.2">
      <c r="A110" s="62" t="e">
        <f t="shared" si="39"/>
        <v>#DIV/0!</v>
      </c>
      <c r="B110" s="45">
        <f t="shared" si="40"/>
        <v>96</v>
      </c>
      <c r="C110" s="49" t="e">
        <f t="shared" si="51"/>
        <v>#DIV/0!</v>
      </c>
      <c r="D110" s="47" t="e" cm="1">
        <f t="array" ref="D110">_xlfn.IFS(AND($C$7="Y",B110&lt;C$4),C110,AND($C$7="Y",B110=C$4),D109+F110-J110-K110-L110+N110,AND($C$7="Y",B110&gt;$C$4),D109-J110-K110-L110+N110, TRUE, D109-J110-K110-L110+N110)</f>
        <v>#DIV/0!</v>
      </c>
      <c r="E110" s="48">
        <f t="shared" si="41"/>
        <v>0</v>
      </c>
      <c r="F110" s="50">
        <f t="shared" si="42"/>
        <v>0</v>
      </c>
      <c r="G110" s="50">
        <f t="shared" si="48"/>
        <v>0</v>
      </c>
      <c r="H110" s="51" t="e">
        <f t="shared" si="52"/>
        <v>#DIV/0!</v>
      </c>
      <c r="I110" s="52" t="e">
        <f t="shared" si="43"/>
        <v>#DIV/0!</v>
      </c>
      <c r="J110" s="52" t="e">
        <f t="shared" si="53"/>
        <v>#DIV/0!</v>
      </c>
      <c r="K110" s="51" t="e">
        <f t="shared" si="55"/>
        <v>#DIV/0!</v>
      </c>
      <c r="L110" s="49" t="e">
        <f t="shared" si="56"/>
        <v>#DIV/0!</v>
      </c>
      <c r="M110" s="49">
        <f t="shared" si="57"/>
        <v>0</v>
      </c>
      <c r="N110" s="49">
        <f t="shared" si="49"/>
        <v>0</v>
      </c>
      <c r="O110" s="48" t="e">
        <f t="shared" si="50"/>
        <v>#DIV/0!</v>
      </c>
      <c r="P110" s="38" t="e">
        <f t="shared" si="54"/>
        <v>#DIV/0!</v>
      </c>
      <c r="Q110" s="53"/>
      <c r="R110" s="53">
        <f t="shared" si="44"/>
        <v>0</v>
      </c>
      <c r="S110" s="53">
        <f t="shared" si="45"/>
        <v>0</v>
      </c>
      <c r="T110" s="53">
        <f t="shared" si="46"/>
        <v>0.05</v>
      </c>
      <c r="U110" s="53">
        <f t="shared" si="47"/>
        <v>4.2653187775606449E-3</v>
      </c>
    </row>
    <row r="111" spans="1:21" x14ac:dyDescent="0.2">
      <c r="A111" s="62" t="e">
        <f t="shared" si="39"/>
        <v>#DIV/0!</v>
      </c>
      <c r="B111" s="45">
        <f t="shared" si="40"/>
        <v>97</v>
      </c>
      <c r="C111" s="49" t="e">
        <f t="shared" si="51"/>
        <v>#DIV/0!</v>
      </c>
      <c r="D111" s="47" t="e" cm="1">
        <f t="array" ref="D111">_xlfn.IFS(AND($C$7="Y",B111&lt;C$4),C111,AND($C$7="Y",B111=C$4),D110+F111-J111-K111-L111+N111,AND($C$7="Y",B111&gt;$C$4),D110-J111-K111-L111+N111, TRUE, D110-J111-K111-L111+N111)</f>
        <v>#DIV/0!</v>
      </c>
      <c r="E111" s="48">
        <f t="shared" si="41"/>
        <v>0</v>
      </c>
      <c r="F111" s="50">
        <f t="shared" si="42"/>
        <v>0</v>
      </c>
      <c r="G111" s="50">
        <f t="shared" si="48"/>
        <v>0</v>
      </c>
      <c r="H111" s="51" t="e">
        <f t="shared" si="52"/>
        <v>#DIV/0!</v>
      </c>
      <c r="I111" s="52" t="e">
        <f t="shared" si="43"/>
        <v>#DIV/0!</v>
      </c>
      <c r="J111" s="52" t="e">
        <f t="shared" si="53"/>
        <v>#DIV/0!</v>
      </c>
      <c r="K111" s="51" t="e">
        <f t="shared" si="55"/>
        <v>#DIV/0!</v>
      </c>
      <c r="L111" s="49" t="e">
        <f t="shared" si="56"/>
        <v>#DIV/0!</v>
      </c>
      <c r="M111" s="49">
        <f t="shared" si="57"/>
        <v>0</v>
      </c>
      <c r="N111" s="49">
        <f t="shared" si="49"/>
        <v>0</v>
      </c>
      <c r="O111" s="48" t="e">
        <f t="shared" si="50"/>
        <v>#DIV/0!</v>
      </c>
      <c r="P111" s="38" t="e">
        <f t="shared" si="54"/>
        <v>#DIV/0!</v>
      </c>
      <c r="Q111" s="53"/>
      <c r="R111" s="53">
        <f t="shared" si="44"/>
        <v>0</v>
      </c>
      <c r="S111" s="53">
        <f t="shared" si="45"/>
        <v>0</v>
      </c>
      <c r="T111" s="53">
        <f t="shared" si="46"/>
        <v>0.05</v>
      </c>
      <c r="U111" s="53">
        <f t="shared" si="47"/>
        <v>4.2653187775606449E-3</v>
      </c>
    </row>
    <row r="112" spans="1:21" x14ac:dyDescent="0.2">
      <c r="A112" s="62" t="e">
        <f t="shared" si="39"/>
        <v>#DIV/0!</v>
      </c>
      <c r="B112" s="45">
        <f t="shared" si="40"/>
        <v>98</v>
      </c>
      <c r="C112" s="49" t="e">
        <f t="shared" si="51"/>
        <v>#DIV/0!</v>
      </c>
      <c r="D112" s="47" t="e" cm="1">
        <f t="array" ref="D112">_xlfn.IFS(AND($C$7="Y",B112&lt;C$4),C112,AND($C$7="Y",B112=C$4),D111+F112-J112-K112-L112+N112,AND($C$7="Y",B112&gt;$C$4),D111-J112-K112-L112+N112, TRUE, D111-J112-K112-L112+N112)</f>
        <v>#DIV/0!</v>
      </c>
      <c r="E112" s="48">
        <f t="shared" si="41"/>
        <v>0</v>
      </c>
      <c r="F112" s="50">
        <f t="shared" si="42"/>
        <v>0</v>
      </c>
      <c r="G112" s="50">
        <f t="shared" si="48"/>
        <v>0</v>
      </c>
      <c r="H112" s="51" t="e">
        <f t="shared" si="52"/>
        <v>#DIV/0!</v>
      </c>
      <c r="I112" s="52" t="e">
        <f t="shared" si="43"/>
        <v>#DIV/0!</v>
      </c>
      <c r="J112" s="52" t="e">
        <f t="shared" si="53"/>
        <v>#DIV/0!</v>
      </c>
      <c r="K112" s="51" t="e">
        <f t="shared" si="55"/>
        <v>#DIV/0!</v>
      </c>
      <c r="L112" s="49" t="e">
        <f t="shared" si="56"/>
        <v>#DIV/0!</v>
      </c>
      <c r="M112" s="49">
        <f t="shared" si="57"/>
        <v>0</v>
      </c>
      <c r="N112" s="49">
        <f t="shared" si="49"/>
        <v>0</v>
      </c>
      <c r="O112" s="48" t="e">
        <f t="shared" si="50"/>
        <v>#DIV/0!</v>
      </c>
      <c r="P112" s="38" t="e">
        <f t="shared" si="54"/>
        <v>#DIV/0!</v>
      </c>
      <c r="Q112" s="53"/>
      <c r="R112" s="53">
        <f t="shared" si="44"/>
        <v>0</v>
      </c>
      <c r="S112" s="53">
        <f t="shared" si="45"/>
        <v>0</v>
      </c>
      <c r="T112" s="53">
        <f t="shared" si="46"/>
        <v>0.05</v>
      </c>
      <c r="U112" s="53">
        <f t="shared" si="47"/>
        <v>4.2653187775606449E-3</v>
      </c>
    </row>
    <row r="113" spans="1:21" x14ac:dyDescent="0.2">
      <c r="A113" s="62" t="e">
        <f t="shared" si="39"/>
        <v>#DIV/0!</v>
      </c>
      <c r="B113" s="45">
        <f t="shared" si="40"/>
        <v>99</v>
      </c>
      <c r="C113" s="49" t="e">
        <f t="shared" si="51"/>
        <v>#DIV/0!</v>
      </c>
      <c r="D113" s="47" t="e" cm="1">
        <f t="array" ref="D113">_xlfn.IFS(AND($C$7="Y",B113&lt;C$4),C113,AND($C$7="Y",B113=C$4),D112+F113-J113-K113-L113+N113,AND($C$7="Y",B113&gt;$C$4),D112-J113-K113-L113+N113, TRUE, D112-J113-K113-L113+N113)</f>
        <v>#DIV/0!</v>
      </c>
      <c r="E113" s="48">
        <f t="shared" si="41"/>
        <v>0</v>
      </c>
      <c r="F113" s="50">
        <f t="shared" si="42"/>
        <v>0</v>
      </c>
      <c r="G113" s="50">
        <f t="shared" si="48"/>
        <v>0</v>
      </c>
      <c r="H113" s="51" t="e">
        <f t="shared" si="52"/>
        <v>#DIV/0!</v>
      </c>
      <c r="I113" s="52" t="e">
        <f t="shared" si="43"/>
        <v>#DIV/0!</v>
      </c>
      <c r="J113" s="52" t="e">
        <f t="shared" si="53"/>
        <v>#DIV/0!</v>
      </c>
      <c r="K113" s="51" t="e">
        <f t="shared" si="55"/>
        <v>#DIV/0!</v>
      </c>
      <c r="L113" s="49" t="e">
        <f t="shared" si="56"/>
        <v>#DIV/0!</v>
      </c>
      <c r="M113" s="49">
        <f t="shared" si="57"/>
        <v>0</v>
      </c>
      <c r="N113" s="49">
        <f t="shared" si="49"/>
        <v>0</v>
      </c>
      <c r="O113" s="48" t="e">
        <f t="shared" si="50"/>
        <v>#DIV/0!</v>
      </c>
      <c r="P113" s="38" t="e">
        <f t="shared" si="54"/>
        <v>#DIV/0!</v>
      </c>
      <c r="Q113" s="53"/>
      <c r="R113" s="53">
        <f t="shared" si="44"/>
        <v>0</v>
      </c>
      <c r="S113" s="53">
        <f t="shared" si="45"/>
        <v>0</v>
      </c>
      <c r="T113" s="53">
        <f t="shared" si="46"/>
        <v>0.05</v>
      </c>
      <c r="U113" s="53">
        <f t="shared" si="47"/>
        <v>4.2653187775606449E-3</v>
      </c>
    </row>
    <row r="114" spans="1:21" x14ac:dyDescent="0.2">
      <c r="A114" s="62" t="e">
        <f t="shared" si="39"/>
        <v>#DIV/0!</v>
      </c>
      <c r="B114" s="45">
        <f t="shared" si="40"/>
        <v>100</v>
      </c>
      <c r="C114" s="49" t="e">
        <f t="shared" si="51"/>
        <v>#DIV/0!</v>
      </c>
      <c r="D114" s="47" t="e" cm="1">
        <f t="array" ref="D114">_xlfn.IFS(AND($C$7="Y",B114&lt;C$4),C114,AND($C$7="Y",B114=C$4),D113+F114-J114-K114-L114+N114,AND($C$7="Y",B114&gt;$C$4),D113-J114-K114-L114+N114, TRUE, D113-J114-K114-L114+N114)</f>
        <v>#DIV/0!</v>
      </c>
      <c r="E114" s="48">
        <f t="shared" si="41"/>
        <v>0</v>
      </c>
      <c r="F114" s="50">
        <f t="shared" si="42"/>
        <v>0</v>
      </c>
      <c r="G114" s="50">
        <f t="shared" si="48"/>
        <v>0</v>
      </c>
      <c r="H114" s="51" t="e">
        <f t="shared" si="52"/>
        <v>#DIV/0!</v>
      </c>
      <c r="I114" s="52" t="e">
        <f t="shared" si="43"/>
        <v>#DIV/0!</v>
      </c>
      <c r="J114" s="52" t="e">
        <f t="shared" si="53"/>
        <v>#DIV/0!</v>
      </c>
      <c r="K114" s="51" t="e">
        <f t="shared" si="55"/>
        <v>#DIV/0!</v>
      </c>
      <c r="L114" s="49" t="e">
        <f t="shared" si="56"/>
        <v>#DIV/0!</v>
      </c>
      <c r="M114" s="49">
        <f t="shared" si="57"/>
        <v>0</v>
      </c>
      <c r="N114" s="49">
        <f t="shared" si="49"/>
        <v>0</v>
      </c>
      <c r="O114" s="48" t="e">
        <f t="shared" si="50"/>
        <v>#DIV/0!</v>
      </c>
      <c r="P114" s="38" t="e">
        <f t="shared" si="54"/>
        <v>#DIV/0!</v>
      </c>
      <c r="Q114" s="53"/>
      <c r="R114" s="53">
        <f t="shared" si="44"/>
        <v>0</v>
      </c>
      <c r="S114" s="53">
        <f t="shared" si="45"/>
        <v>0</v>
      </c>
      <c r="T114" s="53">
        <f t="shared" si="46"/>
        <v>0.05</v>
      </c>
      <c r="U114" s="53">
        <f t="shared" si="47"/>
        <v>4.2653187775606449E-3</v>
      </c>
    </row>
    <row r="115" spans="1:21" x14ac:dyDescent="0.2">
      <c r="A115" s="62" t="e">
        <f t="shared" si="39"/>
        <v>#DIV/0!</v>
      </c>
      <c r="B115" s="45">
        <f t="shared" si="40"/>
        <v>101</v>
      </c>
      <c r="C115" s="49" t="e">
        <f t="shared" si="51"/>
        <v>#DIV/0!</v>
      </c>
      <c r="D115" s="47" t="e" cm="1">
        <f t="array" ref="D115">_xlfn.IFS(AND($C$7="Y",B115&lt;C$4),C115,AND($C$7="Y",B115=C$4),D114+F115-J115-K115-L115+N115,AND($C$7="Y",B115&gt;$C$4),D114-J115-K115-L115+N115, TRUE, D114-J115-K115-L115+N115)</f>
        <v>#DIV/0!</v>
      </c>
      <c r="E115" s="48">
        <f t="shared" si="41"/>
        <v>0</v>
      </c>
      <c r="F115" s="50">
        <f t="shared" si="42"/>
        <v>0</v>
      </c>
      <c r="G115" s="50">
        <f t="shared" si="48"/>
        <v>0</v>
      </c>
      <c r="H115" s="51" t="e">
        <f t="shared" si="52"/>
        <v>#DIV/0!</v>
      </c>
      <c r="I115" s="52" t="e">
        <f t="shared" si="43"/>
        <v>#DIV/0!</v>
      </c>
      <c r="J115" s="52" t="e">
        <f t="shared" si="53"/>
        <v>#DIV/0!</v>
      </c>
      <c r="K115" s="51" t="e">
        <f t="shared" si="55"/>
        <v>#DIV/0!</v>
      </c>
      <c r="L115" s="49" t="e">
        <f t="shared" si="56"/>
        <v>#DIV/0!</v>
      </c>
      <c r="M115" s="49">
        <f t="shared" si="57"/>
        <v>0</v>
      </c>
      <c r="N115" s="49">
        <f t="shared" si="49"/>
        <v>0</v>
      </c>
      <c r="O115" s="48" t="e">
        <f t="shared" si="50"/>
        <v>#DIV/0!</v>
      </c>
      <c r="P115" s="38" t="e">
        <f t="shared" si="54"/>
        <v>#DIV/0!</v>
      </c>
      <c r="Q115" s="53"/>
      <c r="R115" s="53">
        <f t="shared" si="44"/>
        <v>0</v>
      </c>
      <c r="S115" s="53">
        <f t="shared" si="45"/>
        <v>0</v>
      </c>
      <c r="T115" s="53">
        <f t="shared" si="46"/>
        <v>0.05</v>
      </c>
      <c r="U115" s="53">
        <f t="shared" si="47"/>
        <v>4.2653187775606449E-3</v>
      </c>
    </row>
    <row r="116" spans="1:21" x14ac:dyDescent="0.2">
      <c r="A116" s="62" t="e">
        <f t="shared" si="39"/>
        <v>#DIV/0!</v>
      </c>
      <c r="B116" s="45">
        <f t="shared" si="40"/>
        <v>102</v>
      </c>
      <c r="C116" s="49" t="e">
        <f t="shared" si="51"/>
        <v>#DIV/0!</v>
      </c>
      <c r="D116" s="47" t="e" cm="1">
        <f t="array" ref="D116">_xlfn.IFS(AND($C$7="Y",B116&lt;C$4),C116,AND($C$7="Y",B116=C$4),D115+F116-J116-K116-L116+N116,AND($C$7="Y",B116&gt;$C$4),D115-J116-K116-L116+N116, TRUE, D115-J116-K116-L116+N116)</f>
        <v>#DIV/0!</v>
      </c>
      <c r="E116" s="48">
        <f t="shared" si="41"/>
        <v>0</v>
      </c>
      <c r="F116" s="50">
        <f t="shared" si="42"/>
        <v>0</v>
      </c>
      <c r="G116" s="50">
        <f t="shared" si="48"/>
        <v>0</v>
      </c>
      <c r="H116" s="51" t="e">
        <f t="shared" si="52"/>
        <v>#DIV/0!</v>
      </c>
      <c r="I116" s="52" t="e">
        <f t="shared" si="43"/>
        <v>#DIV/0!</v>
      </c>
      <c r="J116" s="52" t="e">
        <f t="shared" si="53"/>
        <v>#DIV/0!</v>
      </c>
      <c r="K116" s="51" t="e">
        <f t="shared" si="55"/>
        <v>#DIV/0!</v>
      </c>
      <c r="L116" s="49" t="e">
        <f t="shared" si="56"/>
        <v>#DIV/0!</v>
      </c>
      <c r="M116" s="49">
        <f t="shared" si="57"/>
        <v>0</v>
      </c>
      <c r="N116" s="49">
        <f t="shared" si="49"/>
        <v>0</v>
      </c>
      <c r="O116" s="48" t="e">
        <f t="shared" si="50"/>
        <v>#DIV/0!</v>
      </c>
      <c r="P116" s="38" t="e">
        <f t="shared" si="54"/>
        <v>#DIV/0!</v>
      </c>
      <c r="Q116" s="53"/>
      <c r="R116" s="53">
        <f t="shared" si="44"/>
        <v>0</v>
      </c>
      <c r="S116" s="53">
        <f t="shared" si="45"/>
        <v>0</v>
      </c>
      <c r="T116" s="53">
        <f t="shared" si="46"/>
        <v>0.05</v>
      </c>
      <c r="U116" s="53">
        <f t="shared" si="47"/>
        <v>4.2653187775606449E-3</v>
      </c>
    </row>
    <row r="117" spans="1:21" x14ac:dyDescent="0.2">
      <c r="A117" s="62" t="e">
        <f t="shared" si="39"/>
        <v>#DIV/0!</v>
      </c>
      <c r="B117" s="45">
        <f t="shared" si="40"/>
        <v>103</v>
      </c>
      <c r="C117" s="49" t="e">
        <f t="shared" si="51"/>
        <v>#DIV/0!</v>
      </c>
      <c r="D117" s="47" t="e" cm="1">
        <f t="array" ref="D117">_xlfn.IFS(AND($C$7="Y",B117&lt;C$4),C117,AND($C$7="Y",B117=C$4),D116+F117-J117-K117-L117+N117,AND($C$7="Y",B117&gt;$C$4),D116-J117-K117-L117+N117, TRUE, D116-J117-K117-L117+N117)</f>
        <v>#DIV/0!</v>
      </c>
      <c r="E117" s="48">
        <f t="shared" si="41"/>
        <v>0</v>
      </c>
      <c r="F117" s="50">
        <f t="shared" si="42"/>
        <v>0</v>
      </c>
      <c r="G117" s="50">
        <f t="shared" si="48"/>
        <v>0</v>
      </c>
      <c r="H117" s="51" t="e">
        <f t="shared" si="52"/>
        <v>#DIV/0!</v>
      </c>
      <c r="I117" s="52" t="e">
        <f t="shared" si="43"/>
        <v>#DIV/0!</v>
      </c>
      <c r="J117" s="52" t="e">
        <f t="shared" si="53"/>
        <v>#DIV/0!</v>
      </c>
      <c r="K117" s="51" t="e">
        <f t="shared" si="55"/>
        <v>#DIV/0!</v>
      </c>
      <c r="L117" s="49" t="e">
        <f t="shared" si="56"/>
        <v>#DIV/0!</v>
      </c>
      <c r="M117" s="49">
        <f t="shared" si="57"/>
        <v>0</v>
      </c>
      <c r="N117" s="49">
        <f t="shared" si="49"/>
        <v>0</v>
      </c>
      <c r="O117" s="48" t="e">
        <f t="shared" si="50"/>
        <v>#DIV/0!</v>
      </c>
      <c r="P117" s="38" t="e">
        <f t="shared" si="54"/>
        <v>#DIV/0!</v>
      </c>
      <c r="Q117" s="53"/>
      <c r="R117" s="53">
        <f t="shared" si="44"/>
        <v>0</v>
      </c>
      <c r="S117" s="53">
        <f t="shared" si="45"/>
        <v>0</v>
      </c>
      <c r="T117" s="53">
        <f t="shared" si="46"/>
        <v>0.05</v>
      </c>
      <c r="U117" s="53">
        <f t="shared" si="47"/>
        <v>4.2653187775606449E-3</v>
      </c>
    </row>
    <row r="118" spans="1:21" x14ac:dyDescent="0.2">
      <c r="A118" s="62" t="e">
        <f t="shared" si="39"/>
        <v>#DIV/0!</v>
      </c>
      <c r="B118" s="45">
        <f t="shared" si="40"/>
        <v>104</v>
      </c>
      <c r="C118" s="49" t="e">
        <f t="shared" si="51"/>
        <v>#DIV/0!</v>
      </c>
      <c r="D118" s="47" t="e" cm="1">
        <f t="array" ref="D118">_xlfn.IFS(AND($C$7="Y",B118&lt;C$4),C118,AND($C$7="Y",B118=C$4),D117+F118-J118-K118-L118+N118,AND($C$7="Y",B118&gt;$C$4),D117-J118-K118-L118+N118, TRUE, D117-J118-K118-L118+N118)</f>
        <v>#DIV/0!</v>
      </c>
      <c r="E118" s="48">
        <f t="shared" si="41"/>
        <v>0</v>
      </c>
      <c r="F118" s="50">
        <f t="shared" si="42"/>
        <v>0</v>
      </c>
      <c r="G118" s="50">
        <f t="shared" si="48"/>
        <v>0</v>
      </c>
      <c r="H118" s="51" t="e">
        <f t="shared" si="52"/>
        <v>#DIV/0!</v>
      </c>
      <c r="I118" s="52" t="e">
        <f t="shared" si="43"/>
        <v>#DIV/0!</v>
      </c>
      <c r="J118" s="52" t="e">
        <f t="shared" si="53"/>
        <v>#DIV/0!</v>
      </c>
      <c r="K118" s="51" t="e">
        <f t="shared" si="55"/>
        <v>#DIV/0!</v>
      </c>
      <c r="L118" s="49" t="e">
        <f t="shared" si="56"/>
        <v>#DIV/0!</v>
      </c>
      <c r="M118" s="49">
        <f t="shared" si="57"/>
        <v>0</v>
      </c>
      <c r="N118" s="49">
        <f t="shared" si="49"/>
        <v>0</v>
      </c>
      <c r="O118" s="48" t="e">
        <f t="shared" si="50"/>
        <v>#DIV/0!</v>
      </c>
      <c r="P118" s="38" t="e">
        <f t="shared" si="54"/>
        <v>#DIV/0!</v>
      </c>
      <c r="Q118" s="53"/>
      <c r="R118" s="53">
        <f t="shared" si="44"/>
        <v>0</v>
      </c>
      <c r="S118" s="53">
        <f t="shared" si="45"/>
        <v>0</v>
      </c>
      <c r="T118" s="53">
        <f t="shared" si="46"/>
        <v>0.05</v>
      </c>
      <c r="U118" s="53">
        <f t="shared" si="47"/>
        <v>4.2653187775606449E-3</v>
      </c>
    </row>
    <row r="119" spans="1:21" x14ac:dyDescent="0.2">
      <c r="A119" s="62" t="e">
        <f t="shared" si="39"/>
        <v>#DIV/0!</v>
      </c>
      <c r="B119" s="45">
        <f t="shared" si="40"/>
        <v>105</v>
      </c>
      <c r="C119" s="49" t="e">
        <f t="shared" si="51"/>
        <v>#DIV/0!</v>
      </c>
      <c r="D119" s="47" t="e" cm="1">
        <f t="array" ref="D119">_xlfn.IFS(AND($C$7="Y",B119&lt;C$4),C119,AND($C$7="Y",B119=C$4),D118+F119-J119-K119-L119+N119,AND($C$7="Y",B119&gt;$C$4),D118-J119-K119-L119+N119, TRUE, D118-J119-K119-L119+N119)</f>
        <v>#DIV/0!</v>
      </c>
      <c r="E119" s="48">
        <f t="shared" si="41"/>
        <v>0</v>
      </c>
      <c r="F119" s="50">
        <f t="shared" si="42"/>
        <v>0</v>
      </c>
      <c r="G119" s="50">
        <f t="shared" si="48"/>
        <v>0</v>
      </c>
      <c r="H119" s="51" t="e">
        <f t="shared" si="52"/>
        <v>#DIV/0!</v>
      </c>
      <c r="I119" s="52" t="e">
        <f t="shared" si="43"/>
        <v>#DIV/0!</v>
      </c>
      <c r="J119" s="52" t="e">
        <f t="shared" si="53"/>
        <v>#DIV/0!</v>
      </c>
      <c r="K119" s="51" t="e">
        <f t="shared" si="55"/>
        <v>#DIV/0!</v>
      </c>
      <c r="L119" s="49" t="e">
        <f t="shared" si="56"/>
        <v>#DIV/0!</v>
      </c>
      <c r="M119" s="49">
        <f t="shared" si="57"/>
        <v>0</v>
      </c>
      <c r="N119" s="49">
        <f t="shared" si="49"/>
        <v>0</v>
      </c>
      <c r="O119" s="48" t="e">
        <f t="shared" si="50"/>
        <v>#DIV/0!</v>
      </c>
      <c r="P119" s="38" t="e">
        <f t="shared" si="54"/>
        <v>#DIV/0!</v>
      </c>
      <c r="Q119" s="53"/>
      <c r="R119" s="53">
        <f t="shared" si="44"/>
        <v>0</v>
      </c>
      <c r="S119" s="53">
        <f t="shared" si="45"/>
        <v>0</v>
      </c>
      <c r="T119" s="53">
        <f t="shared" si="46"/>
        <v>0.05</v>
      </c>
      <c r="U119" s="53">
        <f t="shared" si="47"/>
        <v>4.2653187775606449E-3</v>
      </c>
    </row>
    <row r="120" spans="1:21" x14ac:dyDescent="0.2">
      <c r="A120" s="62" t="e">
        <f t="shared" si="39"/>
        <v>#DIV/0!</v>
      </c>
      <c r="B120" s="45">
        <f t="shared" si="40"/>
        <v>106</v>
      </c>
      <c r="C120" s="49" t="e">
        <f t="shared" si="51"/>
        <v>#DIV/0!</v>
      </c>
      <c r="D120" s="47" t="e" cm="1">
        <f t="array" ref="D120">_xlfn.IFS(AND($C$7="Y",B120&lt;C$4),C120,AND($C$7="Y",B120=C$4),D119+F120-J120-K120-L120+N120,AND($C$7="Y",B120&gt;$C$4),D119-J120-K120-L120+N120, TRUE, D119-J120-K120-L120+N120)</f>
        <v>#DIV/0!</v>
      </c>
      <c r="E120" s="48">
        <f t="shared" si="41"/>
        <v>0</v>
      </c>
      <c r="F120" s="50">
        <f t="shared" si="42"/>
        <v>0</v>
      </c>
      <c r="G120" s="50">
        <f t="shared" si="48"/>
        <v>0</v>
      </c>
      <c r="H120" s="51" t="e">
        <f t="shared" si="52"/>
        <v>#DIV/0!</v>
      </c>
      <c r="I120" s="52" t="e">
        <f t="shared" si="43"/>
        <v>#DIV/0!</v>
      </c>
      <c r="J120" s="52" t="e">
        <f t="shared" si="53"/>
        <v>#DIV/0!</v>
      </c>
      <c r="K120" s="51" t="e">
        <f t="shared" si="55"/>
        <v>#DIV/0!</v>
      </c>
      <c r="L120" s="49" t="e">
        <f t="shared" si="56"/>
        <v>#DIV/0!</v>
      </c>
      <c r="M120" s="49">
        <f t="shared" si="57"/>
        <v>0</v>
      </c>
      <c r="N120" s="49">
        <f t="shared" si="49"/>
        <v>0</v>
      </c>
      <c r="O120" s="48" t="e">
        <f t="shared" si="50"/>
        <v>#DIV/0!</v>
      </c>
      <c r="P120" s="38" t="e">
        <f t="shared" si="54"/>
        <v>#DIV/0!</v>
      </c>
      <c r="Q120" s="53"/>
      <c r="R120" s="53">
        <f t="shared" si="44"/>
        <v>0</v>
      </c>
      <c r="S120" s="53">
        <f t="shared" si="45"/>
        <v>0</v>
      </c>
      <c r="T120" s="53">
        <f t="shared" si="46"/>
        <v>0.05</v>
      </c>
      <c r="U120" s="53">
        <f t="shared" si="47"/>
        <v>4.2653187775606449E-3</v>
      </c>
    </row>
    <row r="121" spans="1:21" x14ac:dyDescent="0.2">
      <c r="A121" s="62" t="e">
        <f t="shared" si="39"/>
        <v>#DIV/0!</v>
      </c>
      <c r="B121" s="45">
        <f t="shared" si="40"/>
        <v>107</v>
      </c>
      <c r="C121" s="49" t="e">
        <f t="shared" si="51"/>
        <v>#DIV/0!</v>
      </c>
      <c r="D121" s="47" t="e" cm="1">
        <f t="array" ref="D121">_xlfn.IFS(AND($C$7="Y",B121&lt;C$4),C121,AND($C$7="Y",B121=C$4),D120+F121-J121-K121-L121+N121,AND($C$7="Y",B121&gt;$C$4),D120-J121-K121-L121+N121, TRUE, D120-J121-K121-L121+N121)</f>
        <v>#DIV/0!</v>
      </c>
      <c r="E121" s="48">
        <f t="shared" si="41"/>
        <v>0</v>
      </c>
      <c r="F121" s="50">
        <f t="shared" si="42"/>
        <v>0</v>
      </c>
      <c r="G121" s="50">
        <f t="shared" si="48"/>
        <v>0</v>
      </c>
      <c r="H121" s="51" t="e">
        <f t="shared" si="52"/>
        <v>#DIV/0!</v>
      </c>
      <c r="I121" s="52" t="e">
        <f t="shared" si="43"/>
        <v>#DIV/0!</v>
      </c>
      <c r="J121" s="52" t="e">
        <f t="shared" si="53"/>
        <v>#DIV/0!</v>
      </c>
      <c r="K121" s="51" t="e">
        <f t="shared" si="55"/>
        <v>#DIV/0!</v>
      </c>
      <c r="L121" s="49" t="e">
        <f t="shared" si="56"/>
        <v>#DIV/0!</v>
      </c>
      <c r="M121" s="49">
        <f t="shared" si="57"/>
        <v>0</v>
      </c>
      <c r="N121" s="49">
        <f t="shared" si="49"/>
        <v>0</v>
      </c>
      <c r="O121" s="48" t="e">
        <f t="shared" si="50"/>
        <v>#DIV/0!</v>
      </c>
      <c r="P121" s="38" t="e">
        <f t="shared" si="54"/>
        <v>#DIV/0!</v>
      </c>
      <c r="Q121" s="53"/>
      <c r="R121" s="53">
        <f t="shared" si="44"/>
        <v>0</v>
      </c>
      <c r="S121" s="53">
        <f t="shared" si="45"/>
        <v>0</v>
      </c>
      <c r="T121" s="53">
        <f t="shared" si="46"/>
        <v>0.05</v>
      </c>
      <c r="U121" s="53">
        <f t="shared" si="47"/>
        <v>4.2653187775606449E-3</v>
      </c>
    </row>
    <row r="122" spans="1:21" x14ac:dyDescent="0.2">
      <c r="A122" s="62" t="e">
        <f t="shared" si="39"/>
        <v>#DIV/0!</v>
      </c>
      <c r="B122" s="45">
        <f t="shared" si="40"/>
        <v>108</v>
      </c>
      <c r="C122" s="49" t="e">
        <f t="shared" si="51"/>
        <v>#DIV/0!</v>
      </c>
      <c r="D122" s="47" t="e" cm="1">
        <f t="array" ref="D122">_xlfn.IFS(AND($C$7="Y",B122&lt;C$4),C122,AND($C$7="Y",B122=C$4),D121+F122-J122-K122-L122+N122,AND($C$7="Y",B122&gt;$C$4),D121-J122-K122-L122+N122, TRUE, D121-J122-K122-L122+N122)</f>
        <v>#DIV/0!</v>
      </c>
      <c r="E122" s="48">
        <f t="shared" si="41"/>
        <v>0</v>
      </c>
      <c r="F122" s="50">
        <f t="shared" si="42"/>
        <v>0</v>
      </c>
      <c r="G122" s="50">
        <f t="shared" si="48"/>
        <v>0</v>
      </c>
      <c r="H122" s="51" t="e">
        <f t="shared" si="52"/>
        <v>#DIV/0!</v>
      </c>
      <c r="I122" s="52" t="e">
        <f t="shared" si="43"/>
        <v>#DIV/0!</v>
      </c>
      <c r="J122" s="52" t="e">
        <f t="shared" si="53"/>
        <v>#DIV/0!</v>
      </c>
      <c r="K122" s="51" t="e">
        <f t="shared" si="55"/>
        <v>#DIV/0!</v>
      </c>
      <c r="L122" s="49" t="e">
        <f t="shared" si="56"/>
        <v>#DIV/0!</v>
      </c>
      <c r="M122" s="49">
        <f t="shared" si="57"/>
        <v>0</v>
      </c>
      <c r="N122" s="49">
        <f t="shared" si="49"/>
        <v>0</v>
      </c>
      <c r="O122" s="48" t="e">
        <f t="shared" si="50"/>
        <v>#DIV/0!</v>
      </c>
      <c r="P122" s="38" t="e">
        <f t="shared" si="54"/>
        <v>#DIV/0!</v>
      </c>
      <c r="Q122" s="53"/>
      <c r="R122" s="53">
        <f t="shared" si="44"/>
        <v>0</v>
      </c>
      <c r="S122" s="53">
        <f t="shared" si="45"/>
        <v>0</v>
      </c>
      <c r="T122" s="53">
        <f t="shared" si="46"/>
        <v>0.05</v>
      </c>
      <c r="U122" s="53">
        <f t="shared" si="47"/>
        <v>4.2653187775606449E-3</v>
      </c>
    </row>
    <row r="123" spans="1:21" x14ac:dyDescent="0.2">
      <c r="A123" s="62" t="e">
        <f t="shared" si="39"/>
        <v>#DIV/0!</v>
      </c>
      <c r="B123" s="45">
        <f t="shared" si="40"/>
        <v>109</v>
      </c>
      <c r="C123" s="49" t="e">
        <f t="shared" si="51"/>
        <v>#DIV/0!</v>
      </c>
      <c r="D123" s="47" t="e" cm="1">
        <f t="array" ref="D123">_xlfn.IFS(AND($C$7="Y",B123&lt;C$4),C123,AND($C$7="Y",B123=C$4),D122+F123-J123-K123-L123+N123,AND($C$7="Y",B123&gt;$C$4),D122-J123-K123-L123+N123, TRUE, D122-J123-K123-L123+N123)</f>
        <v>#DIV/0!</v>
      </c>
      <c r="E123" s="48">
        <f t="shared" si="41"/>
        <v>0</v>
      </c>
      <c r="F123" s="50">
        <f t="shared" si="42"/>
        <v>0</v>
      </c>
      <c r="G123" s="50">
        <f t="shared" si="48"/>
        <v>0</v>
      </c>
      <c r="H123" s="51" t="e">
        <f t="shared" si="52"/>
        <v>#DIV/0!</v>
      </c>
      <c r="I123" s="52" t="e">
        <f t="shared" si="43"/>
        <v>#DIV/0!</v>
      </c>
      <c r="J123" s="52" t="e">
        <f t="shared" si="53"/>
        <v>#DIV/0!</v>
      </c>
      <c r="K123" s="51" t="e">
        <f t="shared" si="55"/>
        <v>#DIV/0!</v>
      </c>
      <c r="L123" s="49" t="e">
        <f t="shared" si="56"/>
        <v>#DIV/0!</v>
      </c>
      <c r="M123" s="49">
        <f t="shared" si="57"/>
        <v>0</v>
      </c>
      <c r="N123" s="49">
        <f t="shared" si="49"/>
        <v>0</v>
      </c>
      <c r="O123" s="48" t="e">
        <f t="shared" si="50"/>
        <v>#DIV/0!</v>
      </c>
      <c r="P123" s="38" t="e">
        <f t="shared" si="54"/>
        <v>#DIV/0!</v>
      </c>
      <c r="Q123" s="53"/>
      <c r="R123" s="53">
        <f t="shared" si="44"/>
        <v>0</v>
      </c>
      <c r="S123" s="53">
        <f t="shared" si="45"/>
        <v>0</v>
      </c>
      <c r="T123" s="53">
        <f t="shared" si="46"/>
        <v>0.05</v>
      </c>
      <c r="U123" s="53">
        <f t="shared" si="47"/>
        <v>4.2653187775606449E-3</v>
      </c>
    </row>
    <row r="124" spans="1:21" x14ac:dyDescent="0.2">
      <c r="A124" s="62" t="e">
        <f t="shared" si="39"/>
        <v>#DIV/0!</v>
      </c>
      <c r="B124" s="45">
        <f t="shared" si="40"/>
        <v>110</v>
      </c>
      <c r="C124" s="49" t="e">
        <f t="shared" si="51"/>
        <v>#DIV/0!</v>
      </c>
      <c r="D124" s="47" t="e" cm="1">
        <f t="array" ref="D124">_xlfn.IFS(AND($C$7="Y",B124&lt;C$4),C124,AND($C$7="Y",B124=C$4),D123+F124-J124-K124-L124+N124,AND($C$7="Y",B124&gt;$C$4),D123-J124-K124-L124+N124, TRUE, D123-J124-K124-L124+N124)</f>
        <v>#DIV/0!</v>
      </c>
      <c r="E124" s="48">
        <f t="shared" si="41"/>
        <v>0</v>
      </c>
      <c r="F124" s="50">
        <f t="shared" si="42"/>
        <v>0</v>
      </c>
      <c r="G124" s="50">
        <f t="shared" si="48"/>
        <v>0</v>
      </c>
      <c r="H124" s="51" t="e">
        <f t="shared" si="52"/>
        <v>#DIV/0!</v>
      </c>
      <c r="I124" s="52" t="e">
        <f t="shared" si="43"/>
        <v>#DIV/0!</v>
      </c>
      <c r="J124" s="52" t="e">
        <f t="shared" si="53"/>
        <v>#DIV/0!</v>
      </c>
      <c r="K124" s="51" t="e">
        <f t="shared" si="55"/>
        <v>#DIV/0!</v>
      </c>
      <c r="L124" s="49" t="e">
        <f t="shared" si="56"/>
        <v>#DIV/0!</v>
      </c>
      <c r="M124" s="49">
        <f t="shared" si="57"/>
        <v>0</v>
      </c>
      <c r="N124" s="49">
        <f t="shared" si="49"/>
        <v>0</v>
      </c>
      <c r="O124" s="48" t="e">
        <f t="shared" si="50"/>
        <v>#DIV/0!</v>
      </c>
      <c r="P124" s="38" t="e">
        <f t="shared" si="54"/>
        <v>#DIV/0!</v>
      </c>
      <c r="Q124" s="53"/>
      <c r="R124" s="53">
        <f t="shared" si="44"/>
        <v>0</v>
      </c>
      <c r="S124" s="53">
        <f t="shared" si="45"/>
        <v>0</v>
      </c>
      <c r="T124" s="53">
        <f t="shared" si="46"/>
        <v>0.05</v>
      </c>
      <c r="U124" s="53">
        <f t="shared" si="47"/>
        <v>4.2653187775606449E-3</v>
      </c>
    </row>
    <row r="125" spans="1:21" x14ac:dyDescent="0.2">
      <c r="A125" s="62" t="e">
        <f t="shared" si="39"/>
        <v>#DIV/0!</v>
      </c>
      <c r="B125" s="45">
        <f t="shared" si="40"/>
        <v>111</v>
      </c>
      <c r="C125" s="49" t="e">
        <f t="shared" si="51"/>
        <v>#DIV/0!</v>
      </c>
      <c r="D125" s="47" t="e" cm="1">
        <f t="array" ref="D125">_xlfn.IFS(AND($C$7="Y",B125&lt;C$4),C125,AND($C$7="Y",B125=C$4),D124+F125-J125-K125-L125+N125,AND($C$7="Y",B125&gt;$C$4),D124-J125-K125-L125+N125, TRUE, D124-J125-K125-L125+N125)</f>
        <v>#DIV/0!</v>
      </c>
      <c r="E125" s="48">
        <f t="shared" si="41"/>
        <v>0</v>
      </c>
      <c r="F125" s="50">
        <f t="shared" si="42"/>
        <v>0</v>
      </c>
      <c r="G125" s="50">
        <f t="shared" si="48"/>
        <v>0</v>
      </c>
      <c r="H125" s="51" t="e">
        <f t="shared" si="52"/>
        <v>#DIV/0!</v>
      </c>
      <c r="I125" s="52" t="e">
        <f t="shared" si="43"/>
        <v>#DIV/0!</v>
      </c>
      <c r="J125" s="52" t="e">
        <f t="shared" si="53"/>
        <v>#DIV/0!</v>
      </c>
      <c r="K125" s="51" t="e">
        <f t="shared" si="55"/>
        <v>#DIV/0!</v>
      </c>
      <c r="L125" s="49" t="e">
        <f t="shared" si="56"/>
        <v>#DIV/0!</v>
      </c>
      <c r="M125" s="49">
        <f t="shared" si="57"/>
        <v>0</v>
      </c>
      <c r="N125" s="49">
        <f t="shared" si="49"/>
        <v>0</v>
      </c>
      <c r="O125" s="48" t="e">
        <f t="shared" si="50"/>
        <v>#DIV/0!</v>
      </c>
      <c r="P125" s="38" t="e">
        <f t="shared" si="54"/>
        <v>#DIV/0!</v>
      </c>
      <c r="Q125" s="53"/>
      <c r="R125" s="53">
        <f t="shared" si="44"/>
        <v>0</v>
      </c>
      <c r="S125" s="53">
        <f t="shared" si="45"/>
        <v>0</v>
      </c>
      <c r="T125" s="53">
        <f t="shared" si="46"/>
        <v>0.05</v>
      </c>
      <c r="U125" s="53">
        <f t="shared" si="47"/>
        <v>4.2653187775606449E-3</v>
      </c>
    </row>
    <row r="126" spans="1:21" x14ac:dyDescent="0.2">
      <c r="A126" s="62" t="e">
        <f t="shared" si="39"/>
        <v>#DIV/0!</v>
      </c>
      <c r="B126" s="45">
        <f t="shared" si="40"/>
        <v>112</v>
      </c>
      <c r="C126" s="49" t="e">
        <f t="shared" si="51"/>
        <v>#DIV/0!</v>
      </c>
      <c r="D126" s="47" t="e" cm="1">
        <f t="array" ref="D126">_xlfn.IFS(AND($C$7="Y",B126&lt;C$4),C126,AND($C$7="Y",B126=C$4),D125+F126-J126-K126-L126+N126,AND($C$7="Y",B126&gt;$C$4),D125-J126-K126-L126+N126, TRUE, D125-J126-K126-L126+N126)</f>
        <v>#DIV/0!</v>
      </c>
      <c r="E126" s="48">
        <f t="shared" si="41"/>
        <v>0</v>
      </c>
      <c r="F126" s="50">
        <f t="shared" si="42"/>
        <v>0</v>
      </c>
      <c r="G126" s="50">
        <f t="shared" si="48"/>
        <v>0</v>
      </c>
      <c r="H126" s="51" t="e">
        <f t="shared" si="52"/>
        <v>#DIV/0!</v>
      </c>
      <c r="I126" s="52" t="e">
        <f t="shared" si="43"/>
        <v>#DIV/0!</v>
      </c>
      <c r="J126" s="52" t="e">
        <f t="shared" si="53"/>
        <v>#DIV/0!</v>
      </c>
      <c r="K126" s="51" t="e">
        <f t="shared" si="55"/>
        <v>#DIV/0!</v>
      </c>
      <c r="L126" s="49" t="e">
        <f t="shared" si="56"/>
        <v>#DIV/0!</v>
      </c>
      <c r="M126" s="49">
        <f t="shared" si="57"/>
        <v>0</v>
      </c>
      <c r="N126" s="49">
        <f t="shared" si="49"/>
        <v>0</v>
      </c>
      <c r="O126" s="48" t="e">
        <f t="shared" si="50"/>
        <v>#DIV/0!</v>
      </c>
      <c r="P126" s="38" t="e">
        <f t="shared" si="54"/>
        <v>#DIV/0!</v>
      </c>
      <c r="Q126" s="53"/>
      <c r="R126" s="53">
        <f t="shared" si="44"/>
        <v>0</v>
      </c>
      <c r="S126" s="53">
        <f t="shared" si="45"/>
        <v>0</v>
      </c>
      <c r="T126" s="53">
        <f t="shared" si="46"/>
        <v>0.05</v>
      </c>
      <c r="U126" s="53">
        <f t="shared" si="47"/>
        <v>4.2653187775606449E-3</v>
      </c>
    </row>
    <row r="127" spans="1:21" x14ac:dyDescent="0.2">
      <c r="A127" s="62" t="e">
        <f t="shared" si="39"/>
        <v>#DIV/0!</v>
      </c>
      <c r="B127" s="45">
        <f t="shared" si="40"/>
        <v>113</v>
      </c>
      <c r="C127" s="49" t="e">
        <f t="shared" si="51"/>
        <v>#DIV/0!</v>
      </c>
      <c r="D127" s="47" t="e" cm="1">
        <f t="array" ref="D127">_xlfn.IFS(AND($C$7="Y",B127&lt;C$4),C127,AND($C$7="Y",B127=C$4),D126+F127-J127-K127-L127+N127,AND($C$7="Y",B127&gt;$C$4),D126-J127-K127-L127+N127, TRUE, D126-J127-K127-L127+N127)</f>
        <v>#DIV/0!</v>
      </c>
      <c r="E127" s="48">
        <f t="shared" si="41"/>
        <v>0</v>
      </c>
      <c r="F127" s="50">
        <f t="shared" si="42"/>
        <v>0</v>
      </c>
      <c r="G127" s="50">
        <f t="shared" si="48"/>
        <v>0</v>
      </c>
      <c r="H127" s="51" t="e">
        <f t="shared" si="52"/>
        <v>#DIV/0!</v>
      </c>
      <c r="I127" s="52" t="e">
        <f t="shared" si="43"/>
        <v>#DIV/0!</v>
      </c>
      <c r="J127" s="52" t="e">
        <f t="shared" si="53"/>
        <v>#DIV/0!</v>
      </c>
      <c r="K127" s="51" t="e">
        <f t="shared" si="55"/>
        <v>#DIV/0!</v>
      </c>
      <c r="L127" s="49" t="e">
        <f t="shared" si="56"/>
        <v>#DIV/0!</v>
      </c>
      <c r="M127" s="49">
        <f t="shared" si="57"/>
        <v>0</v>
      </c>
      <c r="N127" s="49">
        <f t="shared" si="49"/>
        <v>0</v>
      </c>
      <c r="O127" s="48" t="e">
        <f t="shared" si="50"/>
        <v>#DIV/0!</v>
      </c>
      <c r="P127" s="38" t="e">
        <f t="shared" si="54"/>
        <v>#DIV/0!</v>
      </c>
      <c r="Q127" s="53"/>
      <c r="R127" s="53">
        <f t="shared" si="44"/>
        <v>0</v>
      </c>
      <c r="S127" s="53">
        <f t="shared" si="45"/>
        <v>0</v>
      </c>
      <c r="T127" s="53">
        <f t="shared" si="46"/>
        <v>0.05</v>
      </c>
      <c r="U127" s="53">
        <f t="shared" si="47"/>
        <v>4.2653187775606449E-3</v>
      </c>
    </row>
    <row r="128" spans="1:21" x14ac:dyDescent="0.2">
      <c r="A128" s="62" t="e">
        <f t="shared" si="39"/>
        <v>#DIV/0!</v>
      </c>
      <c r="B128" s="45">
        <f t="shared" si="40"/>
        <v>114</v>
      </c>
      <c r="C128" s="49" t="e">
        <f t="shared" si="51"/>
        <v>#DIV/0!</v>
      </c>
      <c r="D128" s="47" t="e" cm="1">
        <f t="array" ref="D128">_xlfn.IFS(AND($C$7="Y",B128&lt;C$4),C128,AND($C$7="Y",B128=C$4),D127+F128-J128-K128-L128+N128,AND($C$7="Y",B128&gt;$C$4),D127-J128-K128-L128+N128, TRUE, D127-J128-K128-L128+N128)</f>
        <v>#DIV/0!</v>
      </c>
      <c r="E128" s="48">
        <f t="shared" si="41"/>
        <v>0</v>
      </c>
      <c r="F128" s="50">
        <f t="shared" si="42"/>
        <v>0</v>
      </c>
      <c r="G128" s="50">
        <f t="shared" si="48"/>
        <v>0</v>
      </c>
      <c r="H128" s="51" t="e">
        <f t="shared" si="52"/>
        <v>#DIV/0!</v>
      </c>
      <c r="I128" s="52" t="e">
        <f t="shared" si="43"/>
        <v>#DIV/0!</v>
      </c>
      <c r="J128" s="52" t="e">
        <f t="shared" si="53"/>
        <v>#DIV/0!</v>
      </c>
      <c r="K128" s="51" t="e">
        <f t="shared" si="55"/>
        <v>#DIV/0!</v>
      </c>
      <c r="L128" s="49" t="e">
        <f t="shared" si="56"/>
        <v>#DIV/0!</v>
      </c>
      <c r="M128" s="49">
        <f t="shared" si="57"/>
        <v>0</v>
      </c>
      <c r="N128" s="49">
        <f t="shared" si="49"/>
        <v>0</v>
      </c>
      <c r="O128" s="48" t="e">
        <f t="shared" si="50"/>
        <v>#DIV/0!</v>
      </c>
      <c r="P128" s="38" t="e">
        <f t="shared" si="54"/>
        <v>#DIV/0!</v>
      </c>
      <c r="Q128" s="53"/>
      <c r="R128" s="53">
        <f t="shared" si="44"/>
        <v>0</v>
      </c>
      <c r="S128" s="53">
        <f t="shared" si="45"/>
        <v>0</v>
      </c>
      <c r="T128" s="53">
        <f t="shared" si="46"/>
        <v>0.05</v>
      </c>
      <c r="U128" s="53">
        <f t="shared" si="47"/>
        <v>4.2653187775606449E-3</v>
      </c>
    </row>
    <row r="129" spans="1:21" x14ac:dyDescent="0.2">
      <c r="A129" s="62" t="e">
        <f t="shared" si="39"/>
        <v>#DIV/0!</v>
      </c>
      <c r="B129" s="45">
        <f t="shared" si="40"/>
        <v>115</v>
      </c>
      <c r="C129" s="49" t="e">
        <f t="shared" si="51"/>
        <v>#DIV/0!</v>
      </c>
      <c r="D129" s="47" t="e" cm="1">
        <f t="array" ref="D129">_xlfn.IFS(AND($C$7="Y",B129&lt;C$4),C129,AND($C$7="Y",B129=C$4),D128+F129-J129-K129-L129+N129,AND($C$7="Y",B129&gt;$C$4),D128-J129-K129-L129+N129, TRUE, D128-J129-K129-L129+N129)</f>
        <v>#DIV/0!</v>
      </c>
      <c r="E129" s="48">
        <f t="shared" si="41"/>
        <v>0</v>
      </c>
      <c r="F129" s="50">
        <f t="shared" si="42"/>
        <v>0</v>
      </c>
      <c r="G129" s="50">
        <f t="shared" si="48"/>
        <v>0</v>
      </c>
      <c r="H129" s="51" t="e">
        <f t="shared" si="52"/>
        <v>#DIV/0!</v>
      </c>
      <c r="I129" s="52" t="e">
        <f t="shared" si="43"/>
        <v>#DIV/0!</v>
      </c>
      <c r="J129" s="52" t="e">
        <f t="shared" si="53"/>
        <v>#DIV/0!</v>
      </c>
      <c r="K129" s="51" t="e">
        <f t="shared" si="55"/>
        <v>#DIV/0!</v>
      </c>
      <c r="L129" s="49" t="e">
        <f t="shared" si="56"/>
        <v>#DIV/0!</v>
      </c>
      <c r="M129" s="49">
        <f t="shared" si="57"/>
        <v>0</v>
      </c>
      <c r="N129" s="49">
        <f t="shared" si="49"/>
        <v>0</v>
      </c>
      <c r="O129" s="48" t="e">
        <f t="shared" si="50"/>
        <v>#DIV/0!</v>
      </c>
      <c r="P129" s="38" t="e">
        <f t="shared" si="54"/>
        <v>#DIV/0!</v>
      </c>
      <c r="Q129" s="53"/>
      <c r="R129" s="53">
        <f t="shared" si="44"/>
        <v>0</v>
      </c>
      <c r="S129" s="53">
        <f t="shared" si="45"/>
        <v>0</v>
      </c>
      <c r="T129" s="53">
        <f t="shared" si="46"/>
        <v>0.05</v>
      </c>
      <c r="U129" s="53">
        <f t="shared" si="47"/>
        <v>4.2653187775606449E-3</v>
      </c>
    </row>
    <row r="130" spans="1:21" x14ac:dyDescent="0.2">
      <c r="A130" s="62" t="e">
        <f t="shared" si="39"/>
        <v>#DIV/0!</v>
      </c>
      <c r="B130" s="45">
        <f t="shared" si="40"/>
        <v>116</v>
      </c>
      <c r="C130" s="49" t="e">
        <f t="shared" si="51"/>
        <v>#DIV/0!</v>
      </c>
      <c r="D130" s="47" t="e" cm="1">
        <f t="array" ref="D130">_xlfn.IFS(AND($C$7="Y",B130&lt;C$4),C130,AND($C$7="Y",B130=C$4),D129+F130-J130-K130-L130+N130,AND($C$7="Y",B130&gt;$C$4),D129-J130-K130-L130+N130, TRUE, D129-J130-K130-L130+N130)</f>
        <v>#DIV/0!</v>
      </c>
      <c r="E130" s="48">
        <f t="shared" si="41"/>
        <v>0</v>
      </c>
      <c r="F130" s="50">
        <f t="shared" si="42"/>
        <v>0</v>
      </c>
      <c r="G130" s="50">
        <f t="shared" si="48"/>
        <v>0</v>
      </c>
      <c r="H130" s="51" t="e">
        <f t="shared" si="52"/>
        <v>#DIV/0!</v>
      </c>
      <c r="I130" s="52" t="e">
        <f t="shared" si="43"/>
        <v>#DIV/0!</v>
      </c>
      <c r="J130" s="52" t="e">
        <f t="shared" si="53"/>
        <v>#DIV/0!</v>
      </c>
      <c r="K130" s="51" t="e">
        <f t="shared" si="55"/>
        <v>#DIV/0!</v>
      </c>
      <c r="L130" s="49" t="e">
        <f t="shared" si="56"/>
        <v>#DIV/0!</v>
      </c>
      <c r="M130" s="49">
        <f t="shared" si="57"/>
        <v>0</v>
      </c>
      <c r="N130" s="49">
        <f t="shared" si="49"/>
        <v>0</v>
      </c>
      <c r="O130" s="48" t="e">
        <f t="shared" si="50"/>
        <v>#DIV/0!</v>
      </c>
      <c r="P130" s="38" t="e">
        <f t="shared" si="54"/>
        <v>#DIV/0!</v>
      </c>
      <c r="Q130" s="53"/>
      <c r="R130" s="53">
        <f t="shared" si="44"/>
        <v>0</v>
      </c>
      <c r="S130" s="53">
        <f t="shared" si="45"/>
        <v>0</v>
      </c>
      <c r="T130" s="53">
        <f t="shared" si="46"/>
        <v>0.05</v>
      </c>
      <c r="U130" s="53">
        <f t="shared" si="47"/>
        <v>4.2653187775606449E-3</v>
      </c>
    </row>
    <row r="131" spans="1:21" x14ac:dyDescent="0.2">
      <c r="A131" s="62" t="e">
        <f t="shared" si="39"/>
        <v>#DIV/0!</v>
      </c>
      <c r="B131" s="45">
        <f t="shared" si="40"/>
        <v>117</v>
      </c>
      <c r="C131" s="49" t="e">
        <f t="shared" si="51"/>
        <v>#DIV/0!</v>
      </c>
      <c r="D131" s="47" t="e" cm="1">
        <f t="array" ref="D131">_xlfn.IFS(AND($C$7="Y",B131&lt;C$4),C131,AND($C$7="Y",B131=C$4),D130+F131-J131-K131-L131+N131,AND($C$7="Y",B131&gt;$C$4),D130-J131-K131-L131+N131, TRUE, D130-J131-K131-L131+N131)</f>
        <v>#DIV/0!</v>
      </c>
      <c r="E131" s="48">
        <f t="shared" si="41"/>
        <v>0</v>
      </c>
      <c r="F131" s="50">
        <f t="shared" si="42"/>
        <v>0</v>
      </c>
      <c r="G131" s="50">
        <f t="shared" si="48"/>
        <v>0</v>
      </c>
      <c r="H131" s="51" t="e">
        <f t="shared" si="52"/>
        <v>#DIV/0!</v>
      </c>
      <c r="I131" s="52" t="e">
        <f t="shared" si="43"/>
        <v>#DIV/0!</v>
      </c>
      <c r="J131" s="52" t="e">
        <f t="shared" si="53"/>
        <v>#DIV/0!</v>
      </c>
      <c r="K131" s="51" t="e">
        <f t="shared" si="55"/>
        <v>#DIV/0!</v>
      </c>
      <c r="L131" s="49" t="e">
        <f t="shared" si="56"/>
        <v>#DIV/0!</v>
      </c>
      <c r="M131" s="49">
        <f t="shared" si="57"/>
        <v>0</v>
      </c>
      <c r="N131" s="49">
        <f t="shared" si="49"/>
        <v>0</v>
      </c>
      <c r="O131" s="48" t="e">
        <f t="shared" si="50"/>
        <v>#DIV/0!</v>
      </c>
      <c r="P131" s="38" t="e">
        <f t="shared" si="54"/>
        <v>#DIV/0!</v>
      </c>
      <c r="Q131" s="53"/>
      <c r="R131" s="53">
        <f t="shared" si="44"/>
        <v>0</v>
      </c>
      <c r="S131" s="53">
        <f t="shared" si="45"/>
        <v>0</v>
      </c>
      <c r="T131" s="53">
        <f t="shared" si="46"/>
        <v>0.05</v>
      </c>
      <c r="U131" s="53">
        <f t="shared" si="47"/>
        <v>4.2653187775606449E-3</v>
      </c>
    </row>
    <row r="132" spans="1:21" x14ac:dyDescent="0.2">
      <c r="A132" s="62" t="e">
        <f t="shared" si="39"/>
        <v>#DIV/0!</v>
      </c>
      <c r="B132" s="45">
        <f t="shared" si="40"/>
        <v>118</v>
      </c>
      <c r="C132" s="49" t="e">
        <f t="shared" si="51"/>
        <v>#DIV/0!</v>
      </c>
      <c r="D132" s="47" t="e" cm="1">
        <f t="array" ref="D132">_xlfn.IFS(AND($C$7="Y",B132&lt;C$4),C132,AND($C$7="Y",B132=C$4),D131+F132-J132-K132-L132+N132,AND($C$7="Y",B132&gt;$C$4),D131-J132-K132-L132+N132, TRUE, D131-J132-K132-L132+N132)</f>
        <v>#DIV/0!</v>
      </c>
      <c r="E132" s="48">
        <f t="shared" si="41"/>
        <v>0</v>
      </c>
      <c r="F132" s="50">
        <f t="shared" si="42"/>
        <v>0</v>
      </c>
      <c r="G132" s="50">
        <f t="shared" si="48"/>
        <v>0</v>
      </c>
      <c r="H132" s="51" t="e">
        <f t="shared" si="52"/>
        <v>#DIV/0!</v>
      </c>
      <c r="I132" s="52" t="e">
        <f t="shared" si="43"/>
        <v>#DIV/0!</v>
      </c>
      <c r="J132" s="52" t="e">
        <f t="shared" si="53"/>
        <v>#DIV/0!</v>
      </c>
      <c r="K132" s="51" t="e">
        <f t="shared" si="55"/>
        <v>#DIV/0!</v>
      </c>
      <c r="L132" s="49" t="e">
        <f t="shared" si="56"/>
        <v>#DIV/0!</v>
      </c>
      <c r="M132" s="49">
        <f t="shared" si="57"/>
        <v>0</v>
      </c>
      <c r="N132" s="49">
        <f t="shared" si="49"/>
        <v>0</v>
      </c>
      <c r="O132" s="48" t="e">
        <f t="shared" si="50"/>
        <v>#DIV/0!</v>
      </c>
      <c r="P132" s="38" t="e">
        <f t="shared" si="54"/>
        <v>#DIV/0!</v>
      </c>
      <c r="Q132" s="53"/>
      <c r="R132" s="53">
        <f t="shared" si="44"/>
        <v>0</v>
      </c>
      <c r="S132" s="53">
        <f t="shared" si="45"/>
        <v>0</v>
      </c>
      <c r="T132" s="53">
        <f t="shared" si="46"/>
        <v>0.05</v>
      </c>
      <c r="U132" s="53">
        <f t="shared" si="47"/>
        <v>4.2653187775606449E-3</v>
      </c>
    </row>
    <row r="133" spans="1:21" x14ac:dyDescent="0.2">
      <c r="A133" s="62" t="e">
        <f t="shared" si="39"/>
        <v>#DIV/0!</v>
      </c>
      <c r="B133" s="45">
        <f t="shared" si="40"/>
        <v>119</v>
      </c>
      <c r="C133" s="49" t="e">
        <f t="shared" si="51"/>
        <v>#DIV/0!</v>
      </c>
      <c r="D133" s="47" t="e" cm="1">
        <f t="array" ref="D133">_xlfn.IFS(AND($C$7="Y",B133&lt;C$4),C133,AND($C$7="Y",B133=C$4),D132+F133-J133-K133-L133+N133,AND($C$7="Y",B133&gt;$C$4),D132-J133-K133-L133+N133, TRUE, D132-J133-K133-L133+N133)</f>
        <v>#DIV/0!</v>
      </c>
      <c r="E133" s="48">
        <f t="shared" si="41"/>
        <v>0</v>
      </c>
      <c r="F133" s="50">
        <f t="shared" si="42"/>
        <v>0</v>
      </c>
      <c r="G133" s="50">
        <f t="shared" si="48"/>
        <v>0</v>
      </c>
      <c r="H133" s="51" t="e">
        <f t="shared" si="52"/>
        <v>#DIV/0!</v>
      </c>
      <c r="I133" s="52" t="e">
        <f t="shared" si="43"/>
        <v>#DIV/0!</v>
      </c>
      <c r="J133" s="52" t="e">
        <f t="shared" si="53"/>
        <v>#DIV/0!</v>
      </c>
      <c r="K133" s="51" t="e">
        <f t="shared" si="55"/>
        <v>#DIV/0!</v>
      </c>
      <c r="L133" s="49" t="e">
        <f t="shared" si="56"/>
        <v>#DIV/0!</v>
      </c>
      <c r="M133" s="49">
        <f t="shared" si="57"/>
        <v>0</v>
      </c>
      <c r="N133" s="49">
        <f t="shared" si="49"/>
        <v>0</v>
      </c>
      <c r="O133" s="48" t="e">
        <f t="shared" si="50"/>
        <v>#DIV/0!</v>
      </c>
      <c r="P133" s="38" t="e">
        <f t="shared" si="54"/>
        <v>#DIV/0!</v>
      </c>
      <c r="Q133" s="53"/>
      <c r="R133" s="53">
        <f t="shared" si="44"/>
        <v>0</v>
      </c>
      <c r="S133" s="53">
        <f t="shared" si="45"/>
        <v>0</v>
      </c>
      <c r="T133" s="53">
        <f t="shared" si="46"/>
        <v>0.05</v>
      </c>
      <c r="U133" s="53">
        <f t="shared" si="47"/>
        <v>4.2653187775606449E-3</v>
      </c>
    </row>
    <row r="134" spans="1:21" x14ac:dyDescent="0.2">
      <c r="A134" s="62" t="e">
        <f t="shared" si="39"/>
        <v>#DIV/0!</v>
      </c>
      <c r="B134" s="45">
        <f t="shared" si="40"/>
        <v>120</v>
      </c>
      <c r="C134" s="49" t="e">
        <f t="shared" si="51"/>
        <v>#DIV/0!</v>
      </c>
      <c r="D134" s="47" t="e" cm="1">
        <f t="array" ref="D134">_xlfn.IFS(AND($C$7="Y",B134&lt;C$4),C134,AND($C$7="Y",B134=C$4),D133+F134-J134-K134-L134+N134,AND($C$7="Y",B134&gt;$C$4),D133-J134-K134-L134+N134, TRUE, D133-J134-K134-L134+N134)</f>
        <v>#DIV/0!</v>
      </c>
      <c r="E134" s="48">
        <f t="shared" si="41"/>
        <v>0</v>
      </c>
      <c r="F134" s="50">
        <f t="shared" si="42"/>
        <v>0</v>
      </c>
      <c r="G134" s="50">
        <f t="shared" si="48"/>
        <v>0</v>
      </c>
      <c r="H134" s="51" t="e">
        <f t="shared" si="52"/>
        <v>#DIV/0!</v>
      </c>
      <c r="I134" s="52" t="e">
        <f t="shared" si="43"/>
        <v>#DIV/0!</v>
      </c>
      <c r="J134" s="52" t="e">
        <f t="shared" si="53"/>
        <v>#DIV/0!</v>
      </c>
      <c r="K134" s="51" t="e">
        <f t="shared" si="55"/>
        <v>#DIV/0!</v>
      </c>
      <c r="L134" s="49" t="e">
        <f t="shared" si="56"/>
        <v>#DIV/0!</v>
      </c>
      <c r="M134" s="49">
        <f t="shared" si="57"/>
        <v>0</v>
      </c>
      <c r="N134" s="49">
        <f t="shared" si="49"/>
        <v>0</v>
      </c>
      <c r="O134" s="48" t="e">
        <f t="shared" si="50"/>
        <v>#DIV/0!</v>
      </c>
      <c r="P134" s="38" t="e">
        <f t="shared" si="54"/>
        <v>#DIV/0!</v>
      </c>
      <c r="Q134" s="53"/>
      <c r="R134" s="53">
        <f t="shared" si="44"/>
        <v>0</v>
      </c>
      <c r="S134" s="53">
        <f t="shared" si="45"/>
        <v>0</v>
      </c>
      <c r="T134" s="53">
        <f t="shared" si="46"/>
        <v>0.05</v>
      </c>
      <c r="U134" s="53">
        <f t="shared" si="47"/>
        <v>4.2653187775606449E-3</v>
      </c>
    </row>
    <row r="135" spans="1:21" x14ac:dyDescent="0.2">
      <c r="A135" s="62" t="e">
        <f t="shared" si="39"/>
        <v>#DIV/0!</v>
      </c>
      <c r="B135" s="45">
        <f t="shared" si="40"/>
        <v>121</v>
      </c>
      <c r="C135" s="49" t="e">
        <f t="shared" si="51"/>
        <v>#DIV/0!</v>
      </c>
      <c r="D135" s="47" t="e" cm="1">
        <f t="array" ref="D135">_xlfn.IFS(AND($C$7="Y",B135&lt;C$4),C135,AND($C$7="Y",B135=C$4),D134+F135-J135-K135-L135+N135,AND($C$7="Y",B135&gt;$C$4),D134-J135-K135-L135+N135, TRUE, D134-J135-K135-L135+N135)</f>
        <v>#DIV/0!</v>
      </c>
      <c r="E135" s="48">
        <f t="shared" si="41"/>
        <v>0</v>
      </c>
      <c r="F135" s="50">
        <f t="shared" si="42"/>
        <v>0</v>
      </c>
      <c r="G135" s="50">
        <f t="shared" si="48"/>
        <v>0</v>
      </c>
      <c r="H135" s="51" t="e">
        <f t="shared" si="52"/>
        <v>#DIV/0!</v>
      </c>
      <c r="I135" s="52" t="e">
        <f t="shared" si="43"/>
        <v>#DIV/0!</v>
      </c>
      <c r="J135" s="52" t="e">
        <f t="shared" si="53"/>
        <v>#DIV/0!</v>
      </c>
      <c r="K135" s="51" t="e">
        <f t="shared" si="55"/>
        <v>#DIV/0!</v>
      </c>
      <c r="L135" s="49" t="e">
        <f t="shared" si="56"/>
        <v>#DIV/0!</v>
      </c>
      <c r="M135" s="49">
        <f t="shared" si="57"/>
        <v>0</v>
      </c>
      <c r="N135" s="49">
        <f t="shared" si="49"/>
        <v>0</v>
      </c>
      <c r="O135" s="48" t="e">
        <f t="shared" si="50"/>
        <v>#DIV/0!</v>
      </c>
      <c r="P135" s="38" t="e">
        <f t="shared" si="54"/>
        <v>#DIV/0!</v>
      </c>
      <c r="Q135" s="53"/>
      <c r="R135" s="53">
        <f t="shared" si="44"/>
        <v>0</v>
      </c>
      <c r="S135" s="53">
        <f t="shared" si="45"/>
        <v>0</v>
      </c>
      <c r="T135" s="53">
        <f t="shared" si="46"/>
        <v>0.05</v>
      </c>
      <c r="U135" s="53">
        <f t="shared" si="47"/>
        <v>4.2653187775606449E-3</v>
      </c>
    </row>
    <row r="136" spans="1:21" x14ac:dyDescent="0.2">
      <c r="A136" s="62" t="e">
        <f t="shared" si="39"/>
        <v>#DIV/0!</v>
      </c>
      <c r="B136" s="45">
        <f t="shared" si="40"/>
        <v>122</v>
      </c>
      <c r="C136" s="49" t="e">
        <f t="shared" si="51"/>
        <v>#DIV/0!</v>
      </c>
      <c r="D136" s="47" t="e" cm="1">
        <f t="array" ref="D136">_xlfn.IFS(AND($C$7="Y",B136&lt;C$4),C136,AND($C$7="Y",B136=C$4),D135+F136-J136-K136-L136+N136,AND($C$7="Y",B136&gt;$C$4),D135-J136-K136-L136+N136, TRUE, D135-J136-K136-L136+N136)</f>
        <v>#DIV/0!</v>
      </c>
      <c r="E136" s="48">
        <f t="shared" si="41"/>
        <v>0</v>
      </c>
      <c r="F136" s="50">
        <f t="shared" si="42"/>
        <v>0</v>
      </c>
      <c r="G136" s="50">
        <f t="shared" si="48"/>
        <v>0</v>
      </c>
      <c r="H136" s="51" t="e">
        <f t="shared" si="52"/>
        <v>#DIV/0!</v>
      </c>
      <c r="I136" s="52" t="e">
        <f t="shared" si="43"/>
        <v>#DIV/0!</v>
      </c>
      <c r="J136" s="52" t="e">
        <f t="shared" si="53"/>
        <v>#DIV/0!</v>
      </c>
      <c r="K136" s="51" t="e">
        <f t="shared" si="55"/>
        <v>#DIV/0!</v>
      </c>
      <c r="L136" s="49" t="e">
        <f t="shared" si="56"/>
        <v>#DIV/0!</v>
      </c>
      <c r="M136" s="49">
        <f t="shared" si="57"/>
        <v>0</v>
      </c>
      <c r="N136" s="49">
        <f t="shared" si="49"/>
        <v>0</v>
      </c>
      <c r="O136" s="48" t="e">
        <f t="shared" si="50"/>
        <v>#DIV/0!</v>
      </c>
      <c r="P136" s="38" t="e">
        <f t="shared" si="54"/>
        <v>#DIV/0!</v>
      </c>
      <c r="Q136" s="53"/>
      <c r="R136" s="53">
        <f t="shared" si="44"/>
        <v>0</v>
      </c>
      <c r="S136" s="53">
        <f t="shared" si="45"/>
        <v>0</v>
      </c>
      <c r="T136" s="53">
        <f t="shared" si="46"/>
        <v>0.05</v>
      </c>
      <c r="U136" s="53">
        <f t="shared" si="47"/>
        <v>4.2653187775606449E-3</v>
      </c>
    </row>
    <row r="137" spans="1:21" x14ac:dyDescent="0.2">
      <c r="A137" s="62" t="e">
        <f t="shared" si="39"/>
        <v>#DIV/0!</v>
      </c>
      <c r="B137" s="45">
        <f t="shared" si="40"/>
        <v>123</v>
      </c>
      <c r="C137" s="49" t="e">
        <f t="shared" si="51"/>
        <v>#DIV/0!</v>
      </c>
      <c r="D137" s="47" t="e" cm="1">
        <f t="array" ref="D137">_xlfn.IFS(AND($C$7="Y",B137&lt;C$4),C137,AND($C$7="Y",B137=C$4),D136+F137-J137-K137-L137+N137,AND($C$7="Y",B137&gt;$C$4),D136-J137-K137-L137+N137, TRUE, D136-J137-K137-L137+N137)</f>
        <v>#DIV/0!</v>
      </c>
      <c r="E137" s="48">
        <f t="shared" si="41"/>
        <v>0</v>
      </c>
      <c r="F137" s="50">
        <f t="shared" si="42"/>
        <v>0</v>
      </c>
      <c r="G137" s="50">
        <f t="shared" si="48"/>
        <v>0</v>
      </c>
      <c r="H137" s="51" t="e">
        <f t="shared" si="52"/>
        <v>#DIV/0!</v>
      </c>
      <c r="I137" s="52" t="e">
        <f t="shared" si="43"/>
        <v>#DIV/0!</v>
      </c>
      <c r="J137" s="52" t="e">
        <f t="shared" si="53"/>
        <v>#DIV/0!</v>
      </c>
      <c r="K137" s="51" t="e">
        <f t="shared" si="55"/>
        <v>#DIV/0!</v>
      </c>
      <c r="L137" s="49" t="e">
        <f t="shared" si="56"/>
        <v>#DIV/0!</v>
      </c>
      <c r="M137" s="49">
        <f t="shared" si="57"/>
        <v>0</v>
      </c>
      <c r="N137" s="49">
        <f t="shared" si="49"/>
        <v>0</v>
      </c>
      <c r="O137" s="48" t="e">
        <f t="shared" si="50"/>
        <v>#DIV/0!</v>
      </c>
      <c r="P137" s="38" t="e">
        <f t="shared" si="54"/>
        <v>#DIV/0!</v>
      </c>
      <c r="Q137" s="53"/>
      <c r="R137" s="53">
        <f t="shared" si="44"/>
        <v>0</v>
      </c>
      <c r="S137" s="53">
        <f t="shared" si="45"/>
        <v>0</v>
      </c>
      <c r="T137" s="53">
        <f t="shared" si="46"/>
        <v>0.05</v>
      </c>
      <c r="U137" s="53">
        <f t="shared" si="47"/>
        <v>4.2653187775606449E-3</v>
      </c>
    </row>
    <row r="138" spans="1:21" x14ac:dyDescent="0.2">
      <c r="A138" s="62" t="e">
        <f t="shared" si="39"/>
        <v>#DIV/0!</v>
      </c>
      <c r="B138" s="45">
        <f t="shared" si="40"/>
        <v>124</v>
      </c>
      <c r="C138" s="49" t="e">
        <f t="shared" si="51"/>
        <v>#DIV/0!</v>
      </c>
      <c r="D138" s="47" t="e" cm="1">
        <f t="array" ref="D138">_xlfn.IFS(AND($C$7="Y",B138&lt;C$4),C138,AND($C$7="Y",B138=C$4),D137+F138-J138-K138-L138+N138,AND($C$7="Y",B138&gt;$C$4),D137-J138-K138-L138+N138, TRUE, D137-J138-K138-L138+N138)</f>
        <v>#DIV/0!</v>
      </c>
      <c r="E138" s="48">
        <f t="shared" si="41"/>
        <v>0</v>
      </c>
      <c r="F138" s="50">
        <f t="shared" si="42"/>
        <v>0</v>
      </c>
      <c r="G138" s="50">
        <f t="shared" si="48"/>
        <v>0</v>
      </c>
      <c r="H138" s="51" t="e">
        <f t="shared" si="52"/>
        <v>#DIV/0!</v>
      </c>
      <c r="I138" s="52" t="e">
        <f t="shared" si="43"/>
        <v>#DIV/0!</v>
      </c>
      <c r="J138" s="52" t="e">
        <f t="shared" si="53"/>
        <v>#DIV/0!</v>
      </c>
      <c r="K138" s="51" t="e">
        <f t="shared" si="55"/>
        <v>#DIV/0!</v>
      </c>
      <c r="L138" s="49" t="e">
        <f t="shared" si="56"/>
        <v>#DIV/0!</v>
      </c>
      <c r="M138" s="49">
        <f t="shared" si="57"/>
        <v>0</v>
      </c>
      <c r="N138" s="49">
        <f t="shared" si="49"/>
        <v>0</v>
      </c>
      <c r="O138" s="48" t="e">
        <f t="shared" si="50"/>
        <v>#DIV/0!</v>
      </c>
      <c r="P138" s="38" t="e">
        <f t="shared" si="54"/>
        <v>#DIV/0!</v>
      </c>
      <c r="Q138" s="53"/>
      <c r="R138" s="53">
        <f t="shared" si="44"/>
        <v>0</v>
      </c>
      <c r="S138" s="53">
        <f t="shared" si="45"/>
        <v>0</v>
      </c>
      <c r="T138" s="53">
        <f t="shared" si="46"/>
        <v>0.05</v>
      </c>
      <c r="U138" s="53">
        <f t="shared" si="47"/>
        <v>4.2653187775606449E-3</v>
      </c>
    </row>
    <row r="139" spans="1:21" x14ac:dyDescent="0.2">
      <c r="A139" s="62" t="e">
        <f t="shared" si="39"/>
        <v>#DIV/0!</v>
      </c>
      <c r="B139" s="45">
        <f t="shared" si="40"/>
        <v>125</v>
      </c>
      <c r="C139" s="49" t="e">
        <f t="shared" si="51"/>
        <v>#DIV/0!</v>
      </c>
      <c r="D139" s="47" t="e" cm="1">
        <f t="array" ref="D139">_xlfn.IFS(AND($C$7="Y",B139&lt;C$4),C139,AND($C$7="Y",B139=C$4),D138+F139-J139-K139-L139+N139,AND($C$7="Y",B139&gt;$C$4),D138-J139-K139-L139+N139, TRUE, D138-J139-K139-L139+N139)</f>
        <v>#DIV/0!</v>
      </c>
      <c r="E139" s="48">
        <f t="shared" si="41"/>
        <v>0</v>
      </c>
      <c r="F139" s="50">
        <f t="shared" si="42"/>
        <v>0</v>
      </c>
      <c r="G139" s="50">
        <f t="shared" si="48"/>
        <v>0</v>
      </c>
      <c r="H139" s="51" t="e">
        <f t="shared" si="52"/>
        <v>#DIV/0!</v>
      </c>
      <c r="I139" s="52" t="e">
        <f t="shared" si="43"/>
        <v>#DIV/0!</v>
      </c>
      <c r="J139" s="52" t="e">
        <f t="shared" si="53"/>
        <v>#DIV/0!</v>
      </c>
      <c r="K139" s="51" t="e">
        <f t="shared" si="55"/>
        <v>#DIV/0!</v>
      </c>
      <c r="L139" s="49" t="e">
        <f t="shared" si="56"/>
        <v>#DIV/0!</v>
      </c>
      <c r="M139" s="49">
        <f t="shared" si="57"/>
        <v>0</v>
      </c>
      <c r="N139" s="49">
        <f t="shared" si="49"/>
        <v>0</v>
      </c>
      <c r="O139" s="48" t="e">
        <f t="shared" si="50"/>
        <v>#DIV/0!</v>
      </c>
      <c r="P139" s="38" t="e">
        <f t="shared" si="54"/>
        <v>#DIV/0!</v>
      </c>
      <c r="Q139" s="53"/>
      <c r="R139" s="53">
        <f t="shared" si="44"/>
        <v>0</v>
      </c>
      <c r="S139" s="53">
        <f t="shared" si="45"/>
        <v>0</v>
      </c>
      <c r="T139" s="53">
        <f t="shared" si="46"/>
        <v>0.05</v>
      </c>
      <c r="U139" s="53">
        <f t="shared" si="47"/>
        <v>4.2653187775606449E-3</v>
      </c>
    </row>
    <row r="140" spans="1:21" x14ac:dyDescent="0.2">
      <c r="A140" s="62" t="e">
        <f t="shared" si="39"/>
        <v>#DIV/0!</v>
      </c>
      <c r="B140" s="45">
        <f t="shared" si="40"/>
        <v>126</v>
      </c>
      <c r="C140" s="49" t="e">
        <f t="shared" si="51"/>
        <v>#DIV/0!</v>
      </c>
      <c r="D140" s="47" t="e" cm="1">
        <f t="array" ref="D140">_xlfn.IFS(AND($C$7="Y",B140&lt;C$4),C140,AND($C$7="Y",B140=C$4),D139+F140-J140-K140-L140+N140,AND($C$7="Y",B140&gt;$C$4),D139-J140-K140-L140+N140, TRUE, D139-J140-K140-L140+N140)</f>
        <v>#DIV/0!</v>
      </c>
      <c r="E140" s="48">
        <f t="shared" si="41"/>
        <v>0</v>
      </c>
      <c r="F140" s="50">
        <f t="shared" si="42"/>
        <v>0</v>
      </c>
      <c r="G140" s="50">
        <f t="shared" si="48"/>
        <v>0</v>
      </c>
      <c r="H140" s="51" t="e">
        <f t="shared" si="52"/>
        <v>#DIV/0!</v>
      </c>
      <c r="I140" s="52" t="e">
        <f t="shared" si="43"/>
        <v>#DIV/0!</v>
      </c>
      <c r="J140" s="52" t="e">
        <f t="shared" si="53"/>
        <v>#DIV/0!</v>
      </c>
      <c r="K140" s="51" t="e">
        <f t="shared" si="55"/>
        <v>#DIV/0!</v>
      </c>
      <c r="L140" s="49" t="e">
        <f t="shared" si="56"/>
        <v>#DIV/0!</v>
      </c>
      <c r="M140" s="49">
        <f t="shared" si="57"/>
        <v>0</v>
      </c>
      <c r="N140" s="49">
        <f t="shared" si="49"/>
        <v>0</v>
      </c>
      <c r="O140" s="48" t="e">
        <f t="shared" si="50"/>
        <v>#DIV/0!</v>
      </c>
      <c r="P140" s="38" t="e">
        <f t="shared" si="54"/>
        <v>#DIV/0!</v>
      </c>
      <c r="Q140" s="53"/>
      <c r="R140" s="53">
        <f t="shared" si="44"/>
        <v>0</v>
      </c>
      <c r="S140" s="53">
        <f t="shared" si="45"/>
        <v>0</v>
      </c>
      <c r="T140" s="53">
        <f t="shared" si="46"/>
        <v>0.05</v>
      </c>
      <c r="U140" s="53">
        <f t="shared" si="47"/>
        <v>4.2653187775606449E-3</v>
      </c>
    </row>
    <row r="141" spans="1:21" x14ac:dyDescent="0.2">
      <c r="A141" s="62" t="e">
        <f t="shared" si="39"/>
        <v>#DIV/0!</v>
      </c>
      <c r="B141" s="45">
        <f t="shared" si="40"/>
        <v>127</v>
      </c>
      <c r="C141" s="49" t="e">
        <f t="shared" si="51"/>
        <v>#DIV/0!</v>
      </c>
      <c r="D141" s="47" t="e" cm="1">
        <f t="array" ref="D141">_xlfn.IFS(AND($C$7="Y",B141&lt;C$4),C141,AND($C$7="Y",B141=C$4),D140+F141-J141-K141-L141+N141,AND($C$7="Y",B141&gt;$C$4),D140-J141-K141-L141+N141, TRUE, D140-J141-K141-L141+N141)</f>
        <v>#DIV/0!</v>
      </c>
      <c r="E141" s="48">
        <f t="shared" si="41"/>
        <v>0</v>
      </c>
      <c r="F141" s="50">
        <f t="shared" si="42"/>
        <v>0</v>
      </c>
      <c r="G141" s="50">
        <f t="shared" si="48"/>
        <v>0</v>
      </c>
      <c r="H141" s="51" t="e">
        <f t="shared" si="52"/>
        <v>#DIV/0!</v>
      </c>
      <c r="I141" s="52" t="e">
        <f t="shared" si="43"/>
        <v>#DIV/0!</v>
      </c>
      <c r="J141" s="52" t="e">
        <f t="shared" si="53"/>
        <v>#DIV/0!</v>
      </c>
      <c r="K141" s="51" t="e">
        <f t="shared" si="55"/>
        <v>#DIV/0!</v>
      </c>
      <c r="L141" s="49" t="e">
        <f t="shared" si="56"/>
        <v>#DIV/0!</v>
      </c>
      <c r="M141" s="49">
        <f t="shared" si="57"/>
        <v>0</v>
      </c>
      <c r="N141" s="49">
        <f t="shared" si="49"/>
        <v>0</v>
      </c>
      <c r="O141" s="48" t="e">
        <f t="shared" si="50"/>
        <v>#DIV/0!</v>
      </c>
      <c r="P141" s="38" t="e">
        <f t="shared" si="54"/>
        <v>#DIV/0!</v>
      </c>
      <c r="Q141" s="53"/>
      <c r="R141" s="53">
        <f t="shared" si="44"/>
        <v>0</v>
      </c>
      <c r="S141" s="53">
        <f t="shared" si="45"/>
        <v>0</v>
      </c>
      <c r="T141" s="53">
        <f t="shared" si="46"/>
        <v>0.05</v>
      </c>
      <c r="U141" s="53">
        <f t="shared" si="47"/>
        <v>4.2653187775606449E-3</v>
      </c>
    </row>
    <row r="142" spans="1:21" x14ac:dyDescent="0.2">
      <c r="A142" s="62" t="e">
        <f t="shared" si="39"/>
        <v>#DIV/0!</v>
      </c>
      <c r="B142" s="45">
        <f t="shared" si="40"/>
        <v>128</v>
      </c>
      <c r="C142" s="49" t="e">
        <f t="shared" si="51"/>
        <v>#DIV/0!</v>
      </c>
      <c r="D142" s="47" t="e" cm="1">
        <f t="array" ref="D142">_xlfn.IFS(AND($C$7="Y",B142&lt;C$4),C142,AND($C$7="Y",B142=C$4),D141+F142-J142-K142-L142+N142,AND($C$7="Y",B142&gt;$C$4),D141-J142-K142-L142+N142, TRUE, D141-J142-K142-L142+N142)</f>
        <v>#DIV/0!</v>
      </c>
      <c r="E142" s="48">
        <f t="shared" si="41"/>
        <v>0</v>
      </c>
      <c r="F142" s="50">
        <f t="shared" si="42"/>
        <v>0</v>
      </c>
      <c r="G142" s="50">
        <f t="shared" si="48"/>
        <v>0</v>
      </c>
      <c r="H142" s="51" t="e">
        <f t="shared" si="52"/>
        <v>#DIV/0!</v>
      </c>
      <c r="I142" s="52" t="e">
        <f t="shared" si="43"/>
        <v>#DIV/0!</v>
      </c>
      <c r="J142" s="52" t="e">
        <f t="shared" si="53"/>
        <v>#DIV/0!</v>
      </c>
      <c r="K142" s="51" t="e">
        <f t="shared" si="55"/>
        <v>#DIV/0!</v>
      </c>
      <c r="L142" s="49" t="e">
        <f t="shared" si="56"/>
        <v>#DIV/0!</v>
      </c>
      <c r="M142" s="49">
        <f t="shared" si="57"/>
        <v>0</v>
      </c>
      <c r="N142" s="49">
        <f t="shared" si="49"/>
        <v>0</v>
      </c>
      <c r="O142" s="48" t="e">
        <f t="shared" si="50"/>
        <v>#DIV/0!</v>
      </c>
      <c r="P142" s="38" t="e">
        <f t="shared" si="54"/>
        <v>#DIV/0!</v>
      </c>
      <c r="Q142" s="53"/>
      <c r="R142" s="53">
        <f t="shared" si="44"/>
        <v>0</v>
      </c>
      <c r="S142" s="53">
        <f t="shared" si="45"/>
        <v>0</v>
      </c>
      <c r="T142" s="53">
        <f t="shared" si="46"/>
        <v>0.05</v>
      </c>
      <c r="U142" s="53">
        <f t="shared" si="47"/>
        <v>4.2653187775606449E-3</v>
      </c>
    </row>
    <row r="143" spans="1:21" x14ac:dyDescent="0.2">
      <c r="A143" s="62" t="e">
        <f t="shared" ref="A143:A206" si="58">D143/C$1</f>
        <v>#DIV/0!</v>
      </c>
      <c r="B143" s="45">
        <f t="shared" si="40"/>
        <v>129</v>
      </c>
      <c r="C143" s="49" t="e">
        <f t="shared" si="51"/>
        <v>#DIV/0!</v>
      </c>
      <c r="D143" s="47" t="e" cm="1">
        <f t="array" ref="D143">_xlfn.IFS(AND($C$7="Y",B143&lt;C$4),C143,AND($C$7="Y",B143=C$4),D142+F143-J143-K143-L143+N143,AND($C$7="Y",B143&gt;$C$4),D142-J143-K143-L143+N143, TRUE, D142-J143-K143-L143+N143)</f>
        <v>#DIV/0!</v>
      </c>
      <c r="E143" s="48">
        <f t="shared" si="41"/>
        <v>0</v>
      </c>
      <c r="F143" s="50">
        <f t="shared" si="42"/>
        <v>0</v>
      </c>
      <c r="G143" s="50">
        <f t="shared" si="48"/>
        <v>0</v>
      </c>
      <c r="H143" s="51" t="e">
        <f t="shared" si="52"/>
        <v>#DIV/0!</v>
      </c>
      <c r="I143" s="52" t="e">
        <f t="shared" si="43"/>
        <v>#DIV/0!</v>
      </c>
      <c r="J143" s="52" t="e">
        <f t="shared" si="53"/>
        <v>#DIV/0!</v>
      </c>
      <c r="K143" s="51" t="e">
        <f t="shared" si="55"/>
        <v>#DIV/0!</v>
      </c>
      <c r="L143" s="49" t="e">
        <f t="shared" si="56"/>
        <v>#DIV/0!</v>
      </c>
      <c r="M143" s="49">
        <f t="shared" si="57"/>
        <v>0</v>
      </c>
      <c r="N143" s="49">
        <f t="shared" si="49"/>
        <v>0</v>
      </c>
      <c r="O143" s="48" t="e">
        <f t="shared" si="50"/>
        <v>#DIV/0!</v>
      </c>
      <c r="P143" s="38" t="e">
        <f t="shared" si="54"/>
        <v>#DIV/0!</v>
      </c>
      <c r="Q143" s="53"/>
      <c r="R143" s="53">
        <f t="shared" si="44"/>
        <v>0</v>
      </c>
      <c r="S143" s="53">
        <f t="shared" si="45"/>
        <v>0</v>
      </c>
      <c r="T143" s="53">
        <f t="shared" si="46"/>
        <v>0.05</v>
      </c>
      <c r="U143" s="53">
        <f t="shared" si="47"/>
        <v>4.2653187775606449E-3</v>
      </c>
    </row>
    <row r="144" spans="1:21" x14ac:dyDescent="0.2">
      <c r="A144" s="62" t="e">
        <f t="shared" si="58"/>
        <v>#DIV/0!</v>
      </c>
      <c r="B144" s="45">
        <f t="shared" ref="B144:B207" si="59">B143+1</f>
        <v>130</v>
      </c>
      <c r="C144" s="49" t="e">
        <f t="shared" si="51"/>
        <v>#DIV/0!</v>
      </c>
      <c r="D144" s="47" t="e" cm="1">
        <f t="array" ref="D144">_xlfn.IFS(AND($C$7="Y",B144&lt;C$4),C144,AND($C$7="Y",B144=C$4),D143+F144-J144-K144-L144+N144,AND($C$7="Y",B144&gt;$C$4),D143-J144-K144-L144+N144, TRUE, D143-J144-K144-L144+N144)</f>
        <v>#DIV/0!</v>
      </c>
      <c r="E144" s="48">
        <f t="shared" ref="E144:E207" si="60">IF(AND($C$7="Y",B144&lt;=$C$4),D143*C$2/12-G144,0)</f>
        <v>0</v>
      </c>
      <c r="F144" s="50">
        <f t="shared" ref="F144:F207" si="61">IF(AND($C$7="Y",B144&lt;=C$4),E144+F143,0)</f>
        <v>0</v>
      </c>
      <c r="G144" s="50">
        <f t="shared" si="48"/>
        <v>0</v>
      </c>
      <c r="H144" s="51" t="e">
        <f t="shared" si="52"/>
        <v>#DIV/0!</v>
      </c>
      <c r="I144" s="52" t="e">
        <f t="shared" ref="I144:I207" si="62">IF(AND(C$7="Y",$B144&lt;=C$4),0,IF(AND(C$7="Y",$B144&gt;C$4),(1-U144)*C$2*D143/12,IF(AND($C$7="N",C$4&gt;0),(1-U144)*D143*C$2/12, (1-U144)*D143*C$2/12)))</f>
        <v>#DIV/0!</v>
      </c>
      <c r="J144" s="52" t="e">
        <f t="shared" si="53"/>
        <v>#DIV/0!</v>
      </c>
      <c r="K144" s="51" t="e">
        <f t="shared" si="55"/>
        <v>#DIV/0!</v>
      </c>
      <c r="L144" s="49" t="e">
        <f t="shared" si="56"/>
        <v>#DIV/0!</v>
      </c>
      <c r="M144" s="49">
        <f t="shared" si="57"/>
        <v>0</v>
      </c>
      <c r="N144" s="49">
        <f t="shared" si="49"/>
        <v>0</v>
      </c>
      <c r="O144" s="48" t="e">
        <f t="shared" si="50"/>
        <v>#DIV/0!</v>
      </c>
      <c r="P144" s="38" t="e">
        <f t="shared" si="54"/>
        <v>#DIV/0!</v>
      </c>
      <c r="Q144" s="53"/>
      <c r="R144" s="53">
        <f t="shared" ref="R144:R207" si="63">R$12</f>
        <v>0</v>
      </c>
      <c r="S144" s="53">
        <f t="shared" ref="S144:S207" si="64">1-(1-R144)^(1/12)</f>
        <v>0</v>
      </c>
      <c r="T144" s="53">
        <f t="shared" ref="T144:T207" si="65">T$12</f>
        <v>0.05</v>
      </c>
      <c r="U144" s="53">
        <f t="shared" si="47"/>
        <v>4.2653187775606449E-3</v>
      </c>
    </row>
    <row r="145" spans="1:21" x14ac:dyDescent="0.2">
      <c r="A145" s="62" t="e">
        <f t="shared" si="58"/>
        <v>#DIV/0!</v>
      </c>
      <c r="B145" s="45">
        <f t="shared" si="59"/>
        <v>131</v>
      </c>
      <c r="C145" s="49" t="e">
        <f t="shared" si="51"/>
        <v>#DIV/0!</v>
      </c>
      <c r="D145" s="47" t="e" cm="1">
        <f t="array" ref="D145">_xlfn.IFS(AND($C$7="Y",B145&lt;C$4),C145,AND($C$7="Y",B145=C$4),D144+F145-J145-K145-L145+N145,AND($C$7="Y",B145&gt;$C$4),D144-J145-K145-L145+N145, TRUE, D144-J145-K145-L145+N145)</f>
        <v>#DIV/0!</v>
      </c>
      <c r="E145" s="48">
        <f t="shared" si="60"/>
        <v>0</v>
      </c>
      <c r="F145" s="50">
        <f t="shared" si="61"/>
        <v>0</v>
      </c>
      <c r="G145" s="50">
        <f t="shared" si="48"/>
        <v>0</v>
      </c>
      <c r="H145" s="51" t="e">
        <f t="shared" si="52"/>
        <v>#DIV/0!</v>
      </c>
      <c r="I145" s="52" t="e">
        <f t="shared" si="62"/>
        <v>#DIV/0!</v>
      </c>
      <c r="J145" s="52" t="e">
        <f t="shared" si="53"/>
        <v>#DIV/0!</v>
      </c>
      <c r="K145" s="51" t="e">
        <f t="shared" si="55"/>
        <v>#DIV/0!</v>
      </c>
      <c r="L145" s="49" t="e">
        <f t="shared" si="56"/>
        <v>#DIV/0!</v>
      </c>
      <c r="M145" s="49">
        <f t="shared" si="57"/>
        <v>0</v>
      </c>
      <c r="N145" s="49">
        <f t="shared" si="49"/>
        <v>0</v>
      </c>
      <c r="O145" s="48" t="e">
        <f t="shared" si="50"/>
        <v>#DIV/0!</v>
      </c>
      <c r="P145" s="38" t="e">
        <f t="shared" si="54"/>
        <v>#DIV/0!</v>
      </c>
      <c r="Q145" s="53"/>
      <c r="R145" s="53">
        <f t="shared" si="63"/>
        <v>0</v>
      </c>
      <c r="S145" s="53">
        <f t="shared" si="64"/>
        <v>0</v>
      </c>
      <c r="T145" s="53">
        <f t="shared" si="65"/>
        <v>0.05</v>
      </c>
      <c r="U145" s="53">
        <f t="shared" ref="U145:U208" si="66">1-(1-T145)^(1/12)</f>
        <v>4.2653187775606449E-3</v>
      </c>
    </row>
    <row r="146" spans="1:21" x14ac:dyDescent="0.2">
      <c r="A146" s="62" t="e">
        <f t="shared" si="58"/>
        <v>#DIV/0!</v>
      </c>
      <c r="B146" s="45">
        <f t="shared" si="59"/>
        <v>132</v>
      </c>
      <c r="C146" s="49" t="e">
        <f t="shared" si="51"/>
        <v>#DIV/0!</v>
      </c>
      <c r="D146" s="47" t="e" cm="1">
        <f t="array" ref="D146">_xlfn.IFS(AND($C$7="Y",B146&lt;C$4),C146,AND($C$7="Y",B146=C$4),D145+F146-J146-K146-L146+N146,AND($C$7="Y",B146&gt;$C$4),D145-J146-K146-L146+N146, TRUE, D145-J146-K146-L146+N146)</f>
        <v>#DIV/0!</v>
      </c>
      <c r="E146" s="48">
        <f t="shared" si="60"/>
        <v>0</v>
      </c>
      <c r="F146" s="50">
        <f t="shared" si="61"/>
        <v>0</v>
      </c>
      <c r="G146" s="50">
        <f t="shared" ref="G146:G209" si="67">IF($B146&lt;=$C$4,C$6,0)</f>
        <v>0</v>
      </c>
      <c r="H146" s="51" t="e">
        <f t="shared" si="52"/>
        <v>#DIV/0!</v>
      </c>
      <c r="I146" s="52" t="e">
        <f t="shared" si="62"/>
        <v>#DIV/0!</v>
      </c>
      <c r="J146" s="52" t="e">
        <f t="shared" si="53"/>
        <v>#DIV/0!</v>
      </c>
      <c r="K146" s="51" t="e">
        <f t="shared" si="55"/>
        <v>#DIV/0!</v>
      </c>
      <c r="L146" s="49" t="e">
        <f t="shared" si="56"/>
        <v>#DIV/0!</v>
      </c>
      <c r="M146" s="49">
        <f t="shared" si="57"/>
        <v>0</v>
      </c>
      <c r="N146" s="49">
        <f t="shared" si="49"/>
        <v>0</v>
      </c>
      <c r="O146" s="48" t="e">
        <f t="shared" si="50"/>
        <v>#DIV/0!</v>
      </c>
      <c r="P146" s="38" t="e">
        <f t="shared" si="54"/>
        <v>#DIV/0!</v>
      </c>
      <c r="Q146" s="53"/>
      <c r="R146" s="53">
        <f t="shared" si="63"/>
        <v>0</v>
      </c>
      <c r="S146" s="53">
        <f t="shared" si="64"/>
        <v>0</v>
      </c>
      <c r="T146" s="53">
        <f t="shared" si="65"/>
        <v>0.05</v>
      </c>
      <c r="U146" s="53">
        <f t="shared" si="66"/>
        <v>4.2653187775606449E-3</v>
      </c>
    </row>
    <row r="147" spans="1:21" x14ac:dyDescent="0.2">
      <c r="A147" s="62" t="e">
        <f t="shared" si="58"/>
        <v>#DIV/0!</v>
      </c>
      <c r="B147" s="45">
        <f t="shared" si="59"/>
        <v>133</v>
      </c>
      <c r="C147" s="49" t="e">
        <f t="shared" si="51"/>
        <v>#DIV/0!</v>
      </c>
      <c r="D147" s="47" t="e" cm="1">
        <f t="array" ref="D147">_xlfn.IFS(AND($C$7="Y",B147&lt;C$4),C147,AND($C$7="Y",B147=C$4),D146+F147-J147-K147-L147+N147,AND($C$7="Y",B147&gt;$C$4),D146-J147-K147-L147+N147, TRUE, D146-J147-K147-L147+N147)</f>
        <v>#DIV/0!</v>
      </c>
      <c r="E147" s="48">
        <f t="shared" si="60"/>
        <v>0</v>
      </c>
      <c r="F147" s="50">
        <f t="shared" si="61"/>
        <v>0</v>
      </c>
      <c r="G147" s="50">
        <f t="shared" si="67"/>
        <v>0</v>
      </c>
      <c r="H147" s="51" t="e">
        <f t="shared" si="52"/>
        <v>#DIV/0!</v>
      </c>
      <c r="I147" s="52" t="e">
        <f t="shared" si="62"/>
        <v>#DIV/0!</v>
      </c>
      <c r="J147" s="52" t="e">
        <f t="shared" si="53"/>
        <v>#DIV/0!</v>
      </c>
      <c r="K147" s="51" t="e">
        <f t="shared" si="55"/>
        <v>#DIV/0!</v>
      </c>
      <c r="L147" s="49" t="e">
        <f t="shared" si="56"/>
        <v>#DIV/0!</v>
      </c>
      <c r="M147" s="49">
        <f t="shared" si="57"/>
        <v>0</v>
      </c>
      <c r="N147" s="49">
        <f t="shared" si="49"/>
        <v>0</v>
      </c>
      <c r="O147" s="48" t="e">
        <f t="shared" si="50"/>
        <v>#DIV/0!</v>
      </c>
      <c r="P147" s="38" t="e">
        <f t="shared" si="54"/>
        <v>#DIV/0!</v>
      </c>
      <c r="Q147" s="53"/>
      <c r="R147" s="53">
        <f t="shared" si="63"/>
        <v>0</v>
      </c>
      <c r="S147" s="53">
        <f t="shared" si="64"/>
        <v>0</v>
      </c>
      <c r="T147" s="53">
        <f t="shared" si="65"/>
        <v>0.05</v>
      </c>
      <c r="U147" s="53">
        <f t="shared" si="66"/>
        <v>4.2653187775606449E-3</v>
      </c>
    </row>
    <row r="148" spans="1:21" x14ac:dyDescent="0.2">
      <c r="A148" s="62" t="e">
        <f t="shared" si="58"/>
        <v>#DIV/0!</v>
      </c>
      <c r="B148" s="45">
        <f t="shared" si="59"/>
        <v>134</v>
      </c>
      <c r="C148" s="49" t="e">
        <f t="shared" si="51"/>
        <v>#DIV/0!</v>
      </c>
      <c r="D148" s="47" t="e" cm="1">
        <f t="array" ref="D148">_xlfn.IFS(AND($C$7="Y",B148&lt;C$4),C148,AND($C$7="Y",B148=C$4),D147+F148-J148-K148-L148+N148,AND($C$7="Y",B148&gt;$C$4),D147-J148-K148-L148+N148, TRUE, D147-J148-K148-L148+N148)</f>
        <v>#DIV/0!</v>
      </c>
      <c r="E148" s="48">
        <f t="shared" si="60"/>
        <v>0</v>
      </c>
      <c r="F148" s="50">
        <f t="shared" si="61"/>
        <v>0</v>
      </c>
      <c r="G148" s="50">
        <f t="shared" si="67"/>
        <v>0</v>
      </c>
      <c r="H148" s="51" t="e">
        <f t="shared" si="52"/>
        <v>#DIV/0!</v>
      </c>
      <c r="I148" s="52" t="e">
        <f t="shared" si="62"/>
        <v>#DIV/0!</v>
      </c>
      <c r="J148" s="52" t="e">
        <f t="shared" si="53"/>
        <v>#DIV/0!</v>
      </c>
      <c r="K148" s="51" t="e">
        <f t="shared" si="55"/>
        <v>#DIV/0!</v>
      </c>
      <c r="L148" s="49" t="e">
        <f t="shared" si="56"/>
        <v>#DIV/0!</v>
      </c>
      <c r="M148" s="49">
        <f t="shared" si="57"/>
        <v>0</v>
      </c>
      <c r="N148" s="49">
        <f t="shared" si="49"/>
        <v>0</v>
      </c>
      <c r="O148" s="48" t="e">
        <f t="shared" si="50"/>
        <v>#DIV/0!</v>
      </c>
      <c r="P148" s="38" t="e">
        <f t="shared" si="54"/>
        <v>#DIV/0!</v>
      </c>
      <c r="Q148" s="53"/>
      <c r="R148" s="53">
        <f t="shared" si="63"/>
        <v>0</v>
      </c>
      <c r="S148" s="53">
        <f t="shared" si="64"/>
        <v>0</v>
      </c>
      <c r="T148" s="53">
        <f t="shared" si="65"/>
        <v>0.05</v>
      </c>
      <c r="U148" s="53">
        <f t="shared" si="66"/>
        <v>4.2653187775606449E-3</v>
      </c>
    </row>
    <row r="149" spans="1:21" x14ac:dyDescent="0.2">
      <c r="A149" s="62" t="e">
        <f t="shared" si="58"/>
        <v>#DIV/0!</v>
      </c>
      <c r="B149" s="45">
        <f t="shared" si="59"/>
        <v>135</v>
      </c>
      <c r="C149" s="49" t="e">
        <f t="shared" si="51"/>
        <v>#DIV/0!</v>
      </c>
      <c r="D149" s="47" t="e" cm="1">
        <f t="array" ref="D149">_xlfn.IFS(AND($C$7="Y",B149&lt;C$4),C149,AND($C$7="Y",B149=C$4),D148+F149-J149-K149-L149+N149,AND($C$7="Y",B149&gt;$C$4),D148-J149-K149-L149+N149, TRUE, D148-J149-K149-L149+N149)</f>
        <v>#DIV/0!</v>
      </c>
      <c r="E149" s="48">
        <f t="shared" si="60"/>
        <v>0</v>
      </c>
      <c r="F149" s="50">
        <f t="shared" si="61"/>
        <v>0</v>
      </c>
      <c r="G149" s="50">
        <f t="shared" si="67"/>
        <v>0</v>
      </c>
      <c r="H149" s="51" t="e">
        <f t="shared" si="52"/>
        <v>#DIV/0!</v>
      </c>
      <c r="I149" s="52" t="e">
        <f t="shared" si="62"/>
        <v>#DIV/0!</v>
      </c>
      <c r="J149" s="52" t="e">
        <f t="shared" si="53"/>
        <v>#DIV/0!</v>
      </c>
      <c r="K149" s="51" t="e">
        <f t="shared" si="55"/>
        <v>#DIV/0!</v>
      </c>
      <c r="L149" s="49" t="e">
        <f t="shared" si="56"/>
        <v>#DIV/0!</v>
      </c>
      <c r="M149" s="49">
        <f t="shared" si="57"/>
        <v>0</v>
      </c>
      <c r="N149" s="49">
        <f t="shared" si="49"/>
        <v>0</v>
      </c>
      <c r="O149" s="48" t="e">
        <f t="shared" si="50"/>
        <v>#DIV/0!</v>
      </c>
      <c r="P149" s="38" t="e">
        <f t="shared" si="54"/>
        <v>#DIV/0!</v>
      </c>
      <c r="Q149" s="53"/>
      <c r="R149" s="53">
        <f t="shared" si="63"/>
        <v>0</v>
      </c>
      <c r="S149" s="53">
        <f t="shared" si="64"/>
        <v>0</v>
      </c>
      <c r="T149" s="53">
        <f t="shared" si="65"/>
        <v>0.05</v>
      </c>
      <c r="U149" s="53">
        <f t="shared" si="66"/>
        <v>4.2653187775606449E-3</v>
      </c>
    </row>
    <row r="150" spans="1:21" x14ac:dyDescent="0.2">
      <c r="A150" s="62" t="e">
        <f t="shared" si="58"/>
        <v>#DIV/0!</v>
      </c>
      <c r="B150" s="45">
        <f t="shared" si="59"/>
        <v>136</v>
      </c>
      <c r="C150" s="49" t="e">
        <f t="shared" si="51"/>
        <v>#DIV/0!</v>
      </c>
      <c r="D150" s="47" t="e" cm="1">
        <f t="array" ref="D150">_xlfn.IFS(AND($C$7="Y",B150&lt;C$4),C150,AND($C$7="Y",B150=C$4),D149+F150-J150-K150-L150+N150,AND($C$7="Y",B150&gt;$C$4),D149-J150-K150-L150+N150, TRUE, D149-J150-K150-L150+N150)</f>
        <v>#DIV/0!</v>
      </c>
      <c r="E150" s="48">
        <f t="shared" si="60"/>
        <v>0</v>
      </c>
      <c r="F150" s="50">
        <f t="shared" si="61"/>
        <v>0</v>
      </c>
      <c r="G150" s="50">
        <f t="shared" si="67"/>
        <v>0</v>
      </c>
      <c r="H150" s="51" t="e">
        <f t="shared" si="52"/>
        <v>#DIV/0!</v>
      </c>
      <c r="I150" s="52" t="e">
        <f t="shared" si="62"/>
        <v>#DIV/0!</v>
      </c>
      <c r="J150" s="52" t="e">
        <f t="shared" si="53"/>
        <v>#DIV/0!</v>
      </c>
      <c r="K150" s="51" t="e">
        <f t="shared" si="55"/>
        <v>#DIV/0!</v>
      </c>
      <c r="L150" s="49" t="e">
        <f t="shared" si="56"/>
        <v>#DIV/0!</v>
      </c>
      <c r="M150" s="49">
        <f t="shared" si="57"/>
        <v>0</v>
      </c>
      <c r="N150" s="49">
        <f t="shared" si="49"/>
        <v>0</v>
      </c>
      <c r="O150" s="48" t="e">
        <f t="shared" si="50"/>
        <v>#DIV/0!</v>
      </c>
      <c r="P150" s="38" t="e">
        <f t="shared" si="54"/>
        <v>#DIV/0!</v>
      </c>
      <c r="Q150" s="53"/>
      <c r="R150" s="53">
        <f t="shared" si="63"/>
        <v>0</v>
      </c>
      <c r="S150" s="53">
        <f t="shared" si="64"/>
        <v>0</v>
      </c>
      <c r="T150" s="53">
        <f t="shared" si="65"/>
        <v>0.05</v>
      </c>
      <c r="U150" s="53">
        <f t="shared" si="66"/>
        <v>4.2653187775606449E-3</v>
      </c>
    </row>
    <row r="151" spans="1:21" x14ac:dyDescent="0.2">
      <c r="A151" s="62" t="e">
        <f t="shared" si="58"/>
        <v>#DIV/0!</v>
      </c>
      <c r="B151" s="45">
        <f t="shared" si="59"/>
        <v>137</v>
      </c>
      <c r="C151" s="49" t="e">
        <f t="shared" si="51"/>
        <v>#DIV/0!</v>
      </c>
      <c r="D151" s="47" t="e" cm="1">
        <f t="array" ref="D151">_xlfn.IFS(AND($C$7="Y",B151&lt;C$4),C151,AND($C$7="Y",B151=C$4),D150+F151-J151-K151-L151+N151,AND($C$7="Y",B151&gt;$C$4),D150-J151-K151-L151+N151, TRUE, D150-J151-K151-L151+N151)</f>
        <v>#DIV/0!</v>
      </c>
      <c r="E151" s="48">
        <f t="shared" si="60"/>
        <v>0</v>
      </c>
      <c r="F151" s="50">
        <f t="shared" si="61"/>
        <v>0</v>
      </c>
      <c r="G151" s="50">
        <f t="shared" si="67"/>
        <v>0</v>
      </c>
      <c r="H151" s="51" t="e">
        <f t="shared" si="52"/>
        <v>#DIV/0!</v>
      </c>
      <c r="I151" s="52" t="e">
        <f t="shared" si="62"/>
        <v>#DIV/0!</v>
      </c>
      <c r="J151" s="52" t="e">
        <f t="shared" si="53"/>
        <v>#DIV/0!</v>
      </c>
      <c r="K151" s="51" t="e">
        <f t="shared" si="55"/>
        <v>#DIV/0!</v>
      </c>
      <c r="L151" s="49" t="e">
        <f t="shared" si="56"/>
        <v>#DIV/0!</v>
      </c>
      <c r="M151" s="49">
        <f t="shared" si="57"/>
        <v>0</v>
      </c>
      <c r="N151" s="49">
        <f t="shared" si="49"/>
        <v>0</v>
      </c>
      <c r="O151" s="48" t="e">
        <f t="shared" si="50"/>
        <v>#DIV/0!</v>
      </c>
      <c r="P151" s="38" t="e">
        <f t="shared" si="54"/>
        <v>#DIV/0!</v>
      </c>
      <c r="Q151" s="53"/>
      <c r="R151" s="53">
        <f t="shared" si="63"/>
        <v>0</v>
      </c>
      <c r="S151" s="53">
        <f t="shared" si="64"/>
        <v>0</v>
      </c>
      <c r="T151" s="53">
        <f t="shared" si="65"/>
        <v>0.05</v>
      </c>
      <c r="U151" s="53">
        <f t="shared" si="66"/>
        <v>4.2653187775606449E-3</v>
      </c>
    </row>
    <row r="152" spans="1:21" x14ac:dyDescent="0.2">
      <c r="A152" s="62" t="e">
        <f t="shared" si="58"/>
        <v>#DIV/0!</v>
      </c>
      <c r="B152" s="45">
        <f t="shared" si="59"/>
        <v>138</v>
      </c>
      <c r="C152" s="49" t="e">
        <f t="shared" si="51"/>
        <v>#DIV/0!</v>
      </c>
      <c r="D152" s="47" t="e" cm="1">
        <f t="array" ref="D152">_xlfn.IFS(AND($C$7="Y",B152&lt;C$4),C152,AND($C$7="Y",B152=C$4),D151+F152-J152-K152-L152+N152,AND($C$7="Y",B152&gt;$C$4),D151-J152-K152-L152+N152, TRUE, D151-J152-K152-L152+N152)</f>
        <v>#DIV/0!</v>
      </c>
      <c r="E152" s="48">
        <f t="shared" si="60"/>
        <v>0</v>
      </c>
      <c r="F152" s="50">
        <f t="shared" si="61"/>
        <v>0</v>
      </c>
      <c r="G152" s="50">
        <f t="shared" si="67"/>
        <v>0</v>
      </c>
      <c r="H152" s="51" t="e">
        <f t="shared" si="52"/>
        <v>#DIV/0!</v>
      </c>
      <c r="I152" s="52" t="e">
        <f t="shared" si="62"/>
        <v>#DIV/0!</v>
      </c>
      <c r="J152" s="52" t="e">
        <f t="shared" si="53"/>
        <v>#DIV/0!</v>
      </c>
      <c r="K152" s="51" t="e">
        <f t="shared" si="55"/>
        <v>#DIV/0!</v>
      </c>
      <c r="L152" s="49" t="e">
        <f t="shared" si="56"/>
        <v>#DIV/0!</v>
      </c>
      <c r="M152" s="49">
        <f t="shared" si="57"/>
        <v>0</v>
      </c>
      <c r="N152" s="49">
        <f t="shared" si="49"/>
        <v>0</v>
      </c>
      <c r="O152" s="48" t="e">
        <f t="shared" si="50"/>
        <v>#DIV/0!</v>
      </c>
      <c r="P152" s="38" t="e">
        <f t="shared" si="54"/>
        <v>#DIV/0!</v>
      </c>
      <c r="Q152" s="53"/>
      <c r="R152" s="53">
        <f t="shared" si="63"/>
        <v>0</v>
      </c>
      <c r="S152" s="53">
        <f t="shared" si="64"/>
        <v>0</v>
      </c>
      <c r="T152" s="53">
        <f t="shared" si="65"/>
        <v>0.05</v>
      </c>
      <c r="U152" s="53">
        <f t="shared" si="66"/>
        <v>4.2653187775606449E-3</v>
      </c>
    </row>
    <row r="153" spans="1:21" x14ac:dyDescent="0.2">
      <c r="A153" s="62" t="e">
        <f t="shared" si="58"/>
        <v>#DIV/0!</v>
      </c>
      <c r="B153" s="45">
        <f t="shared" si="59"/>
        <v>139</v>
      </c>
      <c r="C153" s="49" t="e">
        <f t="shared" si="51"/>
        <v>#DIV/0!</v>
      </c>
      <c r="D153" s="47" t="e" cm="1">
        <f t="array" ref="D153">_xlfn.IFS(AND($C$7="Y",B153&lt;C$4),C153,AND($C$7="Y",B153=C$4),D152+F153-J153-K153-L153+N153,AND($C$7="Y",B153&gt;$C$4),D152-J153-K153-L153+N153, TRUE, D152-J153-K153-L153+N153)</f>
        <v>#DIV/0!</v>
      </c>
      <c r="E153" s="48">
        <f t="shared" si="60"/>
        <v>0</v>
      </c>
      <c r="F153" s="50">
        <f t="shared" si="61"/>
        <v>0</v>
      </c>
      <c r="G153" s="50">
        <f t="shared" si="67"/>
        <v>0</v>
      </c>
      <c r="H153" s="51" t="e">
        <f t="shared" si="52"/>
        <v>#DIV/0!</v>
      </c>
      <c r="I153" s="52" t="e">
        <f t="shared" si="62"/>
        <v>#DIV/0!</v>
      </c>
      <c r="J153" s="52" t="e">
        <f t="shared" si="53"/>
        <v>#DIV/0!</v>
      </c>
      <c r="K153" s="51" t="e">
        <f t="shared" si="55"/>
        <v>#DIV/0!</v>
      </c>
      <c r="L153" s="49" t="e">
        <f t="shared" si="56"/>
        <v>#DIV/0!</v>
      </c>
      <c r="M153" s="49">
        <f t="shared" si="57"/>
        <v>0</v>
      </c>
      <c r="N153" s="49">
        <f t="shared" si="49"/>
        <v>0</v>
      </c>
      <c r="O153" s="48" t="e">
        <f t="shared" si="50"/>
        <v>#DIV/0!</v>
      </c>
      <c r="P153" s="38" t="e">
        <f t="shared" si="54"/>
        <v>#DIV/0!</v>
      </c>
      <c r="Q153" s="53"/>
      <c r="R153" s="53">
        <f t="shared" si="63"/>
        <v>0</v>
      </c>
      <c r="S153" s="53">
        <f t="shared" si="64"/>
        <v>0</v>
      </c>
      <c r="T153" s="53">
        <f t="shared" si="65"/>
        <v>0.05</v>
      </c>
      <c r="U153" s="53">
        <f t="shared" si="66"/>
        <v>4.2653187775606449E-3</v>
      </c>
    </row>
    <row r="154" spans="1:21" x14ac:dyDescent="0.2">
      <c r="A154" s="62" t="e">
        <f t="shared" si="58"/>
        <v>#DIV/0!</v>
      </c>
      <c r="B154" s="45">
        <f t="shared" si="59"/>
        <v>140</v>
      </c>
      <c r="C154" s="49" t="e">
        <f t="shared" si="51"/>
        <v>#DIV/0!</v>
      </c>
      <c r="D154" s="47" t="e" cm="1">
        <f t="array" ref="D154">_xlfn.IFS(AND($C$7="Y",B154&lt;C$4),C154,AND($C$7="Y",B154=C$4),D153+F154-J154-K154-L154+N154,AND($C$7="Y",B154&gt;$C$4),D153-J154-K154-L154+N154, TRUE, D153-J154-K154-L154+N154)</f>
        <v>#DIV/0!</v>
      </c>
      <c r="E154" s="48">
        <f t="shared" si="60"/>
        <v>0</v>
      </c>
      <c r="F154" s="50">
        <f t="shared" si="61"/>
        <v>0</v>
      </c>
      <c r="G154" s="50">
        <f t="shared" si="67"/>
        <v>0</v>
      </c>
      <c r="H154" s="51" t="e">
        <f t="shared" si="52"/>
        <v>#DIV/0!</v>
      </c>
      <c r="I154" s="52" t="e">
        <f t="shared" si="62"/>
        <v>#DIV/0!</v>
      </c>
      <c r="J154" s="52" t="e">
        <f t="shared" si="53"/>
        <v>#DIV/0!</v>
      </c>
      <c r="K154" s="51" t="e">
        <f t="shared" si="55"/>
        <v>#DIV/0!</v>
      </c>
      <c r="L154" s="49" t="e">
        <f t="shared" si="56"/>
        <v>#DIV/0!</v>
      </c>
      <c r="M154" s="49">
        <f t="shared" si="57"/>
        <v>0</v>
      </c>
      <c r="N154" s="49">
        <f t="shared" si="49"/>
        <v>0</v>
      </c>
      <c r="O154" s="48" t="e">
        <f t="shared" si="50"/>
        <v>#DIV/0!</v>
      </c>
      <c r="P154" s="38" t="e">
        <f t="shared" si="54"/>
        <v>#DIV/0!</v>
      </c>
      <c r="Q154" s="53"/>
      <c r="R154" s="53">
        <f t="shared" si="63"/>
        <v>0</v>
      </c>
      <c r="S154" s="53">
        <f t="shared" si="64"/>
        <v>0</v>
      </c>
      <c r="T154" s="53">
        <f t="shared" si="65"/>
        <v>0.05</v>
      </c>
      <c r="U154" s="53">
        <f t="shared" si="66"/>
        <v>4.2653187775606449E-3</v>
      </c>
    </row>
    <row r="155" spans="1:21" x14ac:dyDescent="0.2">
      <c r="A155" s="62" t="e">
        <f t="shared" si="58"/>
        <v>#DIV/0!</v>
      </c>
      <c r="B155" s="45">
        <f t="shared" si="59"/>
        <v>141</v>
      </c>
      <c r="C155" s="49" t="e">
        <f t="shared" si="51"/>
        <v>#DIV/0!</v>
      </c>
      <c r="D155" s="47" t="e" cm="1">
        <f t="array" ref="D155">_xlfn.IFS(AND($C$7="Y",B155&lt;C$4),C155,AND($C$7="Y",B155=C$4),D154+F155-J155-K155-L155+N155,AND($C$7="Y",B155&gt;$C$4),D154-J155-K155-L155+N155, TRUE, D154-J155-K155-L155+N155)</f>
        <v>#DIV/0!</v>
      </c>
      <c r="E155" s="48">
        <f t="shared" si="60"/>
        <v>0</v>
      </c>
      <c r="F155" s="50">
        <f t="shared" si="61"/>
        <v>0</v>
      </c>
      <c r="G155" s="50">
        <f t="shared" si="67"/>
        <v>0</v>
      </c>
      <c r="H155" s="51" t="e">
        <f t="shared" si="52"/>
        <v>#DIV/0!</v>
      </c>
      <c r="I155" s="52" t="e">
        <f t="shared" si="62"/>
        <v>#DIV/0!</v>
      </c>
      <c r="J155" s="52" t="e">
        <f t="shared" si="53"/>
        <v>#DIV/0!</v>
      </c>
      <c r="K155" s="51" t="e">
        <f t="shared" si="55"/>
        <v>#DIV/0!</v>
      </c>
      <c r="L155" s="49" t="e">
        <f t="shared" si="56"/>
        <v>#DIV/0!</v>
      </c>
      <c r="M155" s="49">
        <f t="shared" si="57"/>
        <v>0</v>
      </c>
      <c r="N155" s="49">
        <f t="shared" si="49"/>
        <v>0</v>
      </c>
      <c r="O155" s="48" t="e">
        <f t="shared" si="50"/>
        <v>#DIV/0!</v>
      </c>
      <c r="P155" s="38" t="e">
        <f t="shared" si="54"/>
        <v>#DIV/0!</v>
      </c>
      <c r="Q155" s="53"/>
      <c r="R155" s="53">
        <f t="shared" si="63"/>
        <v>0</v>
      </c>
      <c r="S155" s="53">
        <f t="shared" si="64"/>
        <v>0</v>
      </c>
      <c r="T155" s="53">
        <f t="shared" si="65"/>
        <v>0.05</v>
      </c>
      <c r="U155" s="53">
        <f t="shared" si="66"/>
        <v>4.2653187775606449E-3</v>
      </c>
    </row>
    <row r="156" spans="1:21" x14ac:dyDescent="0.2">
      <c r="A156" s="62" t="e">
        <f t="shared" si="58"/>
        <v>#DIV/0!</v>
      </c>
      <c r="B156" s="45">
        <f t="shared" si="59"/>
        <v>142</v>
      </c>
      <c r="C156" s="49" t="e">
        <f t="shared" si="51"/>
        <v>#DIV/0!</v>
      </c>
      <c r="D156" s="47" t="e" cm="1">
        <f t="array" ref="D156">_xlfn.IFS(AND($C$7="Y",B156&lt;C$4),C156,AND($C$7="Y",B156=C$4),D155+F156-J156-K156-L156+N156,AND($C$7="Y",B156&gt;$C$4),D155-J156-K156-L156+N156, TRUE, D155-J156-K156-L156+N156)</f>
        <v>#DIV/0!</v>
      </c>
      <c r="E156" s="48">
        <f t="shared" si="60"/>
        <v>0</v>
      </c>
      <c r="F156" s="50">
        <f t="shared" si="61"/>
        <v>0</v>
      </c>
      <c r="G156" s="50">
        <f t="shared" si="67"/>
        <v>0</v>
      </c>
      <c r="H156" s="51" t="e">
        <f t="shared" si="52"/>
        <v>#DIV/0!</v>
      </c>
      <c r="I156" s="52" t="e">
        <f t="shared" si="62"/>
        <v>#DIV/0!</v>
      </c>
      <c r="J156" s="52" t="e">
        <f t="shared" si="53"/>
        <v>#DIV/0!</v>
      </c>
      <c r="K156" s="51" t="e">
        <f t="shared" si="55"/>
        <v>#DIV/0!</v>
      </c>
      <c r="L156" s="49" t="e">
        <f t="shared" si="56"/>
        <v>#DIV/0!</v>
      </c>
      <c r="M156" s="49">
        <f t="shared" si="57"/>
        <v>0</v>
      </c>
      <c r="N156" s="49">
        <f t="shared" si="49"/>
        <v>0</v>
      </c>
      <c r="O156" s="48" t="e">
        <f t="shared" si="50"/>
        <v>#DIV/0!</v>
      </c>
      <c r="P156" s="38" t="e">
        <f t="shared" si="54"/>
        <v>#DIV/0!</v>
      </c>
      <c r="Q156" s="53"/>
      <c r="R156" s="53">
        <f t="shared" si="63"/>
        <v>0</v>
      </c>
      <c r="S156" s="53">
        <f t="shared" si="64"/>
        <v>0</v>
      </c>
      <c r="T156" s="53">
        <f t="shared" si="65"/>
        <v>0.05</v>
      </c>
      <c r="U156" s="53">
        <f t="shared" si="66"/>
        <v>4.2653187775606449E-3</v>
      </c>
    </row>
    <row r="157" spans="1:21" x14ac:dyDescent="0.2">
      <c r="A157" s="62" t="e">
        <f t="shared" si="58"/>
        <v>#DIV/0!</v>
      </c>
      <c r="B157" s="45">
        <f t="shared" si="59"/>
        <v>143</v>
      </c>
      <c r="C157" s="49" t="e">
        <f t="shared" si="51"/>
        <v>#DIV/0!</v>
      </c>
      <c r="D157" s="47" t="e" cm="1">
        <f t="array" ref="D157">_xlfn.IFS(AND($C$7="Y",B157&lt;C$4),C157,AND($C$7="Y",B157=C$4),D156+F157-J157-K157-L157+N157,AND($C$7="Y",B157&gt;$C$4),D156-J157-K157-L157+N157, TRUE, D156-J157-K157-L157+N157)</f>
        <v>#DIV/0!</v>
      </c>
      <c r="E157" s="48">
        <f t="shared" si="60"/>
        <v>0</v>
      </c>
      <c r="F157" s="50">
        <f t="shared" si="61"/>
        <v>0</v>
      </c>
      <c r="G157" s="50">
        <f t="shared" si="67"/>
        <v>0</v>
      </c>
      <c r="H157" s="51" t="e">
        <f t="shared" si="52"/>
        <v>#DIV/0!</v>
      </c>
      <c r="I157" s="52" t="e">
        <f t="shared" si="62"/>
        <v>#DIV/0!</v>
      </c>
      <c r="J157" s="52" t="e">
        <f t="shared" si="53"/>
        <v>#DIV/0!</v>
      </c>
      <c r="K157" s="51" t="e">
        <f t="shared" si="55"/>
        <v>#DIV/0!</v>
      </c>
      <c r="L157" s="49" t="e">
        <f t="shared" si="56"/>
        <v>#DIV/0!</v>
      </c>
      <c r="M157" s="49">
        <f t="shared" si="57"/>
        <v>0</v>
      </c>
      <c r="N157" s="49">
        <f t="shared" si="49"/>
        <v>0</v>
      </c>
      <c r="O157" s="48" t="e">
        <f t="shared" si="50"/>
        <v>#DIV/0!</v>
      </c>
      <c r="P157" s="38" t="e">
        <f t="shared" si="54"/>
        <v>#DIV/0!</v>
      </c>
      <c r="Q157" s="53"/>
      <c r="R157" s="53">
        <f t="shared" si="63"/>
        <v>0</v>
      </c>
      <c r="S157" s="53">
        <f t="shared" si="64"/>
        <v>0</v>
      </c>
      <c r="T157" s="53">
        <f t="shared" si="65"/>
        <v>0.05</v>
      </c>
      <c r="U157" s="53">
        <f t="shared" si="66"/>
        <v>4.2653187775606449E-3</v>
      </c>
    </row>
    <row r="158" spans="1:21" x14ac:dyDescent="0.2">
      <c r="A158" s="62" t="e">
        <f t="shared" si="58"/>
        <v>#DIV/0!</v>
      </c>
      <c r="B158" s="45">
        <f t="shared" si="59"/>
        <v>144</v>
      </c>
      <c r="C158" s="49" t="e">
        <f t="shared" si="51"/>
        <v>#DIV/0!</v>
      </c>
      <c r="D158" s="47" t="e" cm="1">
        <f t="array" ref="D158">_xlfn.IFS(AND($C$7="Y",B158&lt;C$4),C158,AND($C$7="Y",B158=C$4),D157+F158-J158-K158-L158+N158,AND($C$7="Y",B158&gt;$C$4),D157-J158-K158-L158+N158, TRUE, D157-J158-K158-L158+N158)</f>
        <v>#DIV/0!</v>
      </c>
      <c r="E158" s="48">
        <f t="shared" si="60"/>
        <v>0</v>
      </c>
      <c r="F158" s="50">
        <f t="shared" si="61"/>
        <v>0</v>
      </c>
      <c r="G158" s="50">
        <f t="shared" si="67"/>
        <v>0</v>
      </c>
      <c r="H158" s="51" t="e">
        <f t="shared" si="52"/>
        <v>#DIV/0!</v>
      </c>
      <c r="I158" s="52" t="e">
        <f t="shared" si="62"/>
        <v>#DIV/0!</v>
      </c>
      <c r="J158" s="52" t="e">
        <f t="shared" si="53"/>
        <v>#DIV/0!</v>
      </c>
      <c r="K158" s="51" t="e">
        <f t="shared" si="55"/>
        <v>#DIV/0!</v>
      </c>
      <c r="L158" s="49" t="e">
        <f t="shared" si="56"/>
        <v>#DIV/0!</v>
      </c>
      <c r="M158" s="49">
        <f t="shared" si="57"/>
        <v>0</v>
      </c>
      <c r="N158" s="49">
        <f t="shared" si="49"/>
        <v>0</v>
      </c>
      <c r="O158" s="48" t="e">
        <f t="shared" si="50"/>
        <v>#DIV/0!</v>
      </c>
      <c r="P158" s="38" t="e">
        <f t="shared" si="54"/>
        <v>#DIV/0!</v>
      </c>
      <c r="Q158" s="53"/>
      <c r="R158" s="53">
        <f t="shared" si="63"/>
        <v>0</v>
      </c>
      <c r="S158" s="53">
        <f t="shared" si="64"/>
        <v>0</v>
      </c>
      <c r="T158" s="53">
        <f t="shared" si="65"/>
        <v>0.05</v>
      </c>
      <c r="U158" s="53">
        <f t="shared" si="66"/>
        <v>4.2653187775606449E-3</v>
      </c>
    </row>
    <row r="159" spans="1:21" x14ac:dyDescent="0.2">
      <c r="A159" s="62" t="e">
        <f t="shared" si="58"/>
        <v>#DIV/0!</v>
      </c>
      <c r="B159" s="45">
        <f t="shared" si="59"/>
        <v>145</v>
      </c>
      <c r="C159" s="49" t="e">
        <f t="shared" si="51"/>
        <v>#DIV/0!</v>
      </c>
      <c r="D159" s="47" t="e" cm="1">
        <f t="array" ref="D159">_xlfn.IFS(AND($C$7="Y",B159&lt;C$4),C159,AND($C$7="Y",B159=C$4),D158+F159-J159-K159-L159+N159,AND($C$7="Y",B159&gt;$C$4),D158-J159-K159-L159+N159, TRUE, D158-J159-K159-L159+N159)</f>
        <v>#DIV/0!</v>
      </c>
      <c r="E159" s="48">
        <f t="shared" si="60"/>
        <v>0</v>
      </c>
      <c r="F159" s="50">
        <f t="shared" si="61"/>
        <v>0</v>
      </c>
      <c r="G159" s="50">
        <f t="shared" si="67"/>
        <v>0</v>
      </c>
      <c r="H159" s="51" t="e">
        <f t="shared" si="52"/>
        <v>#DIV/0!</v>
      </c>
      <c r="I159" s="52" t="e">
        <f t="shared" si="62"/>
        <v>#DIV/0!</v>
      </c>
      <c r="J159" s="52" t="e">
        <f t="shared" si="53"/>
        <v>#DIV/0!</v>
      </c>
      <c r="K159" s="51" t="e">
        <f t="shared" si="55"/>
        <v>#DIV/0!</v>
      </c>
      <c r="L159" s="49" t="e">
        <f t="shared" si="56"/>
        <v>#DIV/0!</v>
      </c>
      <c r="M159" s="49">
        <f t="shared" si="57"/>
        <v>0</v>
      </c>
      <c r="N159" s="49">
        <f t="shared" si="49"/>
        <v>0</v>
      </c>
      <c r="O159" s="48" t="e">
        <f t="shared" si="50"/>
        <v>#DIV/0!</v>
      </c>
      <c r="P159" s="38" t="e">
        <f t="shared" si="54"/>
        <v>#DIV/0!</v>
      </c>
      <c r="Q159" s="53"/>
      <c r="R159" s="53">
        <f t="shared" si="63"/>
        <v>0</v>
      </c>
      <c r="S159" s="53">
        <f t="shared" si="64"/>
        <v>0</v>
      </c>
      <c r="T159" s="53">
        <f t="shared" si="65"/>
        <v>0.05</v>
      </c>
      <c r="U159" s="53">
        <f t="shared" si="66"/>
        <v>4.2653187775606449E-3</v>
      </c>
    </row>
    <row r="160" spans="1:21" x14ac:dyDescent="0.2">
      <c r="A160" s="62" t="e">
        <f t="shared" si="58"/>
        <v>#DIV/0!</v>
      </c>
      <c r="B160" s="45">
        <f t="shared" si="59"/>
        <v>146</v>
      </c>
      <c r="C160" s="49" t="e">
        <f t="shared" si="51"/>
        <v>#DIV/0!</v>
      </c>
      <c r="D160" s="47" t="e" cm="1">
        <f t="array" ref="D160">_xlfn.IFS(AND($C$7="Y",B160&lt;C$4),C160,AND($C$7="Y",B160=C$4),D159+F160-J160-K160-L160+N160,AND($C$7="Y",B160&gt;$C$4),D159-J160-K160-L160+N160, TRUE, D159-J160-K160-L160+N160)</f>
        <v>#DIV/0!</v>
      </c>
      <c r="E160" s="48">
        <f t="shared" si="60"/>
        <v>0</v>
      </c>
      <c r="F160" s="50">
        <f t="shared" si="61"/>
        <v>0</v>
      </c>
      <c r="G160" s="50">
        <f t="shared" si="67"/>
        <v>0</v>
      </c>
      <c r="H160" s="51" t="e">
        <f t="shared" si="52"/>
        <v>#DIV/0!</v>
      </c>
      <c r="I160" s="52" t="e">
        <f t="shared" si="62"/>
        <v>#DIV/0!</v>
      </c>
      <c r="J160" s="52" t="e">
        <f t="shared" si="53"/>
        <v>#DIV/0!</v>
      </c>
      <c r="K160" s="51" t="e">
        <f t="shared" si="55"/>
        <v>#DIV/0!</v>
      </c>
      <c r="L160" s="49" t="e">
        <f t="shared" si="56"/>
        <v>#DIV/0!</v>
      </c>
      <c r="M160" s="49">
        <f t="shared" si="57"/>
        <v>0</v>
      </c>
      <c r="N160" s="49">
        <f t="shared" si="49"/>
        <v>0</v>
      </c>
      <c r="O160" s="48" t="e">
        <f t="shared" si="50"/>
        <v>#DIV/0!</v>
      </c>
      <c r="P160" s="38" t="e">
        <f t="shared" si="54"/>
        <v>#DIV/0!</v>
      </c>
      <c r="Q160" s="53"/>
      <c r="R160" s="53">
        <f t="shared" si="63"/>
        <v>0</v>
      </c>
      <c r="S160" s="53">
        <f t="shared" si="64"/>
        <v>0</v>
      </c>
      <c r="T160" s="53">
        <f t="shared" si="65"/>
        <v>0.05</v>
      </c>
      <c r="U160" s="53">
        <f t="shared" si="66"/>
        <v>4.2653187775606449E-3</v>
      </c>
    </row>
    <row r="161" spans="1:21" x14ac:dyDescent="0.2">
      <c r="A161" s="62" t="e">
        <f t="shared" si="58"/>
        <v>#DIV/0!</v>
      </c>
      <c r="B161" s="45">
        <f t="shared" si="59"/>
        <v>147</v>
      </c>
      <c r="C161" s="49" t="e">
        <f t="shared" si="51"/>
        <v>#DIV/0!</v>
      </c>
      <c r="D161" s="47" t="e" cm="1">
        <f t="array" ref="D161">_xlfn.IFS(AND($C$7="Y",B161&lt;C$4),C161,AND($C$7="Y",B161=C$4),D160+F161-J161-K161-L161+N161,AND($C$7="Y",B161&gt;$C$4),D160-J161-K161-L161+N161, TRUE, D160-J161-K161-L161+N161)</f>
        <v>#DIV/0!</v>
      </c>
      <c r="E161" s="48">
        <f t="shared" si="60"/>
        <v>0</v>
      </c>
      <c r="F161" s="50">
        <f t="shared" si="61"/>
        <v>0</v>
      </c>
      <c r="G161" s="50">
        <f t="shared" si="67"/>
        <v>0</v>
      </c>
      <c r="H161" s="51" t="e">
        <f t="shared" si="52"/>
        <v>#DIV/0!</v>
      </c>
      <c r="I161" s="52" t="e">
        <f t="shared" si="62"/>
        <v>#DIV/0!</v>
      </c>
      <c r="J161" s="52" t="e">
        <f t="shared" si="53"/>
        <v>#DIV/0!</v>
      </c>
      <c r="K161" s="51" t="e">
        <f t="shared" si="55"/>
        <v>#DIV/0!</v>
      </c>
      <c r="L161" s="49" t="e">
        <f t="shared" si="56"/>
        <v>#DIV/0!</v>
      </c>
      <c r="M161" s="49">
        <f t="shared" si="57"/>
        <v>0</v>
      </c>
      <c r="N161" s="49">
        <f t="shared" si="49"/>
        <v>0</v>
      </c>
      <c r="O161" s="48" t="e">
        <f t="shared" si="50"/>
        <v>#DIV/0!</v>
      </c>
      <c r="P161" s="38" t="e">
        <f t="shared" si="54"/>
        <v>#DIV/0!</v>
      </c>
      <c r="Q161" s="53"/>
      <c r="R161" s="53">
        <f t="shared" si="63"/>
        <v>0</v>
      </c>
      <c r="S161" s="53">
        <f t="shared" si="64"/>
        <v>0</v>
      </c>
      <c r="T161" s="53">
        <f t="shared" si="65"/>
        <v>0.05</v>
      </c>
      <c r="U161" s="53">
        <f t="shared" si="66"/>
        <v>4.2653187775606449E-3</v>
      </c>
    </row>
    <row r="162" spans="1:21" x14ac:dyDescent="0.2">
      <c r="A162" s="62" t="e">
        <f t="shared" si="58"/>
        <v>#DIV/0!</v>
      </c>
      <c r="B162" s="45">
        <f t="shared" si="59"/>
        <v>148</v>
      </c>
      <c r="C162" s="49" t="e">
        <f t="shared" si="51"/>
        <v>#DIV/0!</v>
      </c>
      <c r="D162" s="47" t="e" cm="1">
        <f t="array" ref="D162">_xlfn.IFS(AND($C$7="Y",B162&lt;C$4),C162,AND($C$7="Y",B162=C$4),D161+F162-J162-K162-L162+N162,AND($C$7="Y",B162&gt;$C$4),D161-J162-K162-L162+N162, TRUE, D161-J162-K162-L162+N162)</f>
        <v>#DIV/0!</v>
      </c>
      <c r="E162" s="48">
        <f t="shared" si="60"/>
        <v>0</v>
      </c>
      <c r="F162" s="50">
        <f t="shared" si="61"/>
        <v>0</v>
      </c>
      <c r="G162" s="50">
        <f t="shared" si="67"/>
        <v>0</v>
      </c>
      <c r="H162" s="51" t="e">
        <f t="shared" si="52"/>
        <v>#DIV/0!</v>
      </c>
      <c r="I162" s="52" t="e">
        <f t="shared" si="62"/>
        <v>#DIV/0!</v>
      </c>
      <c r="J162" s="52" t="e">
        <f t="shared" si="53"/>
        <v>#DIV/0!</v>
      </c>
      <c r="K162" s="51" t="e">
        <f t="shared" si="55"/>
        <v>#DIV/0!</v>
      </c>
      <c r="L162" s="49" t="e">
        <f t="shared" si="56"/>
        <v>#DIV/0!</v>
      </c>
      <c r="M162" s="49">
        <f t="shared" si="57"/>
        <v>0</v>
      </c>
      <c r="N162" s="49">
        <f t="shared" si="49"/>
        <v>0</v>
      </c>
      <c r="O162" s="48" t="e">
        <f t="shared" si="50"/>
        <v>#DIV/0!</v>
      </c>
      <c r="P162" s="38" t="e">
        <f t="shared" si="54"/>
        <v>#DIV/0!</v>
      </c>
      <c r="Q162" s="53"/>
      <c r="R162" s="53">
        <f t="shared" si="63"/>
        <v>0</v>
      </c>
      <c r="S162" s="53">
        <f t="shared" si="64"/>
        <v>0</v>
      </c>
      <c r="T162" s="53">
        <f t="shared" si="65"/>
        <v>0.05</v>
      </c>
      <c r="U162" s="53">
        <f t="shared" si="66"/>
        <v>4.2653187775606449E-3</v>
      </c>
    </row>
    <row r="163" spans="1:21" x14ac:dyDescent="0.2">
      <c r="A163" s="62" t="e">
        <f t="shared" si="58"/>
        <v>#DIV/0!</v>
      </c>
      <c r="B163" s="45">
        <f t="shared" si="59"/>
        <v>149</v>
      </c>
      <c r="C163" s="49" t="e">
        <f t="shared" si="51"/>
        <v>#DIV/0!</v>
      </c>
      <c r="D163" s="47" t="e" cm="1">
        <f t="array" ref="D163">_xlfn.IFS(AND($C$7="Y",B163&lt;C$4),C163,AND($C$7="Y",B163=C$4),D162+F163-J163-K163-L163+N163,AND($C$7="Y",B163&gt;$C$4),D162-J163-K163-L163+N163, TRUE, D162-J163-K163-L163+N163)</f>
        <v>#DIV/0!</v>
      </c>
      <c r="E163" s="48">
        <f t="shared" si="60"/>
        <v>0</v>
      </c>
      <c r="F163" s="50">
        <f t="shared" si="61"/>
        <v>0</v>
      </c>
      <c r="G163" s="50">
        <f t="shared" si="67"/>
        <v>0</v>
      </c>
      <c r="H163" s="51" t="e">
        <f t="shared" si="52"/>
        <v>#DIV/0!</v>
      </c>
      <c r="I163" s="52" t="e">
        <f t="shared" si="62"/>
        <v>#DIV/0!</v>
      </c>
      <c r="J163" s="52" t="e">
        <f t="shared" si="53"/>
        <v>#DIV/0!</v>
      </c>
      <c r="K163" s="51" t="e">
        <f t="shared" si="55"/>
        <v>#DIV/0!</v>
      </c>
      <c r="L163" s="49" t="e">
        <f t="shared" si="56"/>
        <v>#DIV/0!</v>
      </c>
      <c r="M163" s="49">
        <f t="shared" si="57"/>
        <v>0</v>
      </c>
      <c r="N163" s="49">
        <f t="shared" ref="N163:N226" si="68">IFERROR((1-$N$12)*L159,0)</f>
        <v>0</v>
      </c>
      <c r="O163" s="48" t="e">
        <f t="shared" si="50"/>
        <v>#DIV/0!</v>
      </c>
      <c r="P163" s="38" t="e">
        <f t="shared" si="54"/>
        <v>#DIV/0!</v>
      </c>
      <c r="Q163" s="53"/>
      <c r="R163" s="53">
        <f t="shared" si="63"/>
        <v>0</v>
      </c>
      <c r="S163" s="53">
        <f t="shared" si="64"/>
        <v>0</v>
      </c>
      <c r="T163" s="53">
        <f t="shared" si="65"/>
        <v>0.05</v>
      </c>
      <c r="U163" s="53">
        <f t="shared" si="66"/>
        <v>4.2653187775606449E-3</v>
      </c>
    </row>
    <row r="164" spans="1:21" x14ac:dyDescent="0.2">
      <c r="A164" s="62" t="e">
        <f t="shared" si="58"/>
        <v>#DIV/0!</v>
      </c>
      <c r="B164" s="45">
        <f t="shared" si="59"/>
        <v>150</v>
      </c>
      <c r="C164" s="49" t="e">
        <f t="shared" si="51"/>
        <v>#DIV/0!</v>
      </c>
      <c r="D164" s="47" t="e" cm="1">
        <f t="array" ref="D164">_xlfn.IFS(AND($C$7="Y",B164&lt;C$4),C164,AND($C$7="Y",B164=C$4),D163+F164-J164-K164-L164+N164,AND($C$7="Y",B164&gt;$C$4),D163-J164-K164-L164+N164, TRUE, D163-J164-K164-L164+N164)</f>
        <v>#DIV/0!</v>
      </c>
      <c r="E164" s="48">
        <f t="shared" si="60"/>
        <v>0</v>
      </c>
      <c r="F164" s="50">
        <f t="shared" si="61"/>
        <v>0</v>
      </c>
      <c r="G164" s="50">
        <f t="shared" si="67"/>
        <v>0</v>
      </c>
      <c r="H164" s="51" t="e">
        <f t="shared" si="52"/>
        <v>#DIV/0!</v>
      </c>
      <c r="I164" s="52" t="e">
        <f t="shared" si="62"/>
        <v>#DIV/0!</v>
      </c>
      <c r="J164" s="52" t="e">
        <f t="shared" si="53"/>
        <v>#DIV/0!</v>
      </c>
      <c r="K164" s="51" t="e">
        <f t="shared" si="55"/>
        <v>#DIV/0!</v>
      </c>
      <c r="L164" s="49" t="e">
        <f t="shared" si="56"/>
        <v>#DIV/0!</v>
      </c>
      <c r="M164" s="49">
        <f t="shared" si="57"/>
        <v>0</v>
      </c>
      <c r="N164" s="49">
        <f t="shared" si="68"/>
        <v>0</v>
      </c>
      <c r="O164" s="48" t="e">
        <f t="shared" si="50"/>
        <v>#DIV/0!</v>
      </c>
      <c r="P164" s="38" t="e">
        <f t="shared" si="54"/>
        <v>#DIV/0!</v>
      </c>
      <c r="Q164" s="53"/>
      <c r="R164" s="53">
        <f t="shared" si="63"/>
        <v>0</v>
      </c>
      <c r="S164" s="53">
        <f t="shared" si="64"/>
        <v>0</v>
      </c>
      <c r="T164" s="53">
        <f t="shared" si="65"/>
        <v>0.05</v>
      </c>
      <c r="U164" s="53">
        <f t="shared" si="66"/>
        <v>4.2653187775606449E-3</v>
      </c>
    </row>
    <row r="165" spans="1:21" x14ac:dyDescent="0.2">
      <c r="A165" s="62" t="e">
        <f t="shared" si="58"/>
        <v>#DIV/0!</v>
      </c>
      <c r="B165" s="45">
        <f t="shared" si="59"/>
        <v>151</v>
      </c>
      <c r="C165" s="49" t="e">
        <f t="shared" si="51"/>
        <v>#DIV/0!</v>
      </c>
      <c r="D165" s="47" t="e" cm="1">
        <f t="array" ref="D165">_xlfn.IFS(AND($C$7="Y",B165&lt;C$4),C165,AND($C$7="Y",B165=C$4),D164+F165-J165-K165-L165+N165,AND($C$7="Y",B165&gt;$C$4),D164-J165-K165-L165+N165, TRUE, D164-J165-K165-L165+N165)</f>
        <v>#DIV/0!</v>
      </c>
      <c r="E165" s="48">
        <f t="shared" si="60"/>
        <v>0</v>
      </c>
      <c r="F165" s="50">
        <f t="shared" si="61"/>
        <v>0</v>
      </c>
      <c r="G165" s="50">
        <f t="shared" si="67"/>
        <v>0</v>
      </c>
      <c r="H165" s="51" t="e">
        <f t="shared" si="52"/>
        <v>#DIV/0!</v>
      </c>
      <c r="I165" s="52" t="e">
        <f t="shared" si="62"/>
        <v>#DIV/0!</v>
      </c>
      <c r="J165" s="52" t="e">
        <f t="shared" si="53"/>
        <v>#DIV/0!</v>
      </c>
      <c r="K165" s="51" t="e">
        <f t="shared" si="55"/>
        <v>#DIV/0!</v>
      </c>
      <c r="L165" s="49" t="e">
        <f t="shared" si="56"/>
        <v>#DIV/0!</v>
      </c>
      <c r="M165" s="49">
        <f t="shared" si="57"/>
        <v>0</v>
      </c>
      <c r="N165" s="49">
        <f t="shared" si="68"/>
        <v>0</v>
      </c>
      <c r="O165" s="48" t="e">
        <f t="shared" si="50"/>
        <v>#DIV/0!</v>
      </c>
      <c r="P165" s="38" t="e">
        <f t="shared" si="54"/>
        <v>#DIV/0!</v>
      </c>
      <c r="Q165" s="53"/>
      <c r="R165" s="53">
        <f t="shared" si="63"/>
        <v>0</v>
      </c>
      <c r="S165" s="53">
        <f t="shared" si="64"/>
        <v>0</v>
      </c>
      <c r="T165" s="53">
        <f t="shared" si="65"/>
        <v>0.05</v>
      </c>
      <c r="U165" s="53">
        <f t="shared" si="66"/>
        <v>4.2653187775606449E-3</v>
      </c>
    </row>
    <row r="166" spans="1:21" x14ac:dyDescent="0.2">
      <c r="A166" s="62" t="e">
        <f t="shared" si="58"/>
        <v>#DIV/0!</v>
      </c>
      <c r="B166" s="45">
        <f t="shared" si="59"/>
        <v>152</v>
      </c>
      <c r="C166" s="49" t="e">
        <f t="shared" si="51"/>
        <v>#DIV/0!</v>
      </c>
      <c r="D166" s="47" t="e" cm="1">
        <f t="array" ref="D166">_xlfn.IFS(AND($C$7="Y",B166&lt;C$4),C166,AND($C$7="Y",B166=C$4),D165+F166-J166-K166-L166+N166,AND($C$7="Y",B166&gt;$C$4),D165-J166-K166-L166+N166, TRUE, D165-J166-K166-L166+N166)</f>
        <v>#DIV/0!</v>
      </c>
      <c r="E166" s="48">
        <f t="shared" si="60"/>
        <v>0</v>
      </c>
      <c r="F166" s="50">
        <f t="shared" si="61"/>
        <v>0</v>
      </c>
      <c r="G166" s="50">
        <f t="shared" si="67"/>
        <v>0</v>
      </c>
      <c r="H166" s="51" t="e">
        <f t="shared" si="52"/>
        <v>#DIV/0!</v>
      </c>
      <c r="I166" s="52" t="e">
        <f t="shared" si="62"/>
        <v>#DIV/0!</v>
      </c>
      <c r="J166" s="52" t="e">
        <f t="shared" si="53"/>
        <v>#DIV/0!</v>
      </c>
      <c r="K166" s="51" t="e">
        <f t="shared" si="55"/>
        <v>#DIV/0!</v>
      </c>
      <c r="L166" s="49" t="e">
        <f t="shared" si="56"/>
        <v>#DIV/0!</v>
      </c>
      <c r="M166" s="49">
        <f t="shared" si="57"/>
        <v>0</v>
      </c>
      <c r="N166" s="49">
        <f t="shared" si="68"/>
        <v>0</v>
      </c>
      <c r="O166" s="48" t="e">
        <f t="shared" si="50"/>
        <v>#DIV/0!</v>
      </c>
      <c r="P166" s="38" t="e">
        <f t="shared" si="54"/>
        <v>#DIV/0!</v>
      </c>
      <c r="Q166" s="53"/>
      <c r="R166" s="53">
        <f t="shared" si="63"/>
        <v>0</v>
      </c>
      <c r="S166" s="53">
        <f t="shared" si="64"/>
        <v>0</v>
      </c>
      <c r="T166" s="53">
        <f t="shared" si="65"/>
        <v>0.05</v>
      </c>
      <c r="U166" s="53">
        <f t="shared" si="66"/>
        <v>4.2653187775606449E-3</v>
      </c>
    </row>
    <row r="167" spans="1:21" x14ac:dyDescent="0.2">
      <c r="A167" s="62" t="e">
        <f t="shared" si="58"/>
        <v>#DIV/0!</v>
      </c>
      <c r="B167" s="45">
        <f t="shared" si="59"/>
        <v>153</v>
      </c>
      <c r="C167" s="49" t="e">
        <f t="shared" si="51"/>
        <v>#DIV/0!</v>
      </c>
      <c r="D167" s="47" t="e" cm="1">
        <f t="array" ref="D167">_xlfn.IFS(AND($C$7="Y",B167&lt;C$4),C167,AND($C$7="Y",B167=C$4),D166+F167-J167-K167-L167+N167,AND($C$7="Y",B167&gt;$C$4),D166-J167-K167-L167+N167, TRUE, D166-J167-K167-L167+N167)</f>
        <v>#DIV/0!</v>
      </c>
      <c r="E167" s="48">
        <f t="shared" si="60"/>
        <v>0</v>
      </c>
      <c r="F167" s="50">
        <f t="shared" si="61"/>
        <v>0</v>
      </c>
      <c r="G167" s="50">
        <f t="shared" si="67"/>
        <v>0</v>
      </c>
      <c r="H167" s="51" t="e">
        <f t="shared" si="52"/>
        <v>#DIV/0!</v>
      </c>
      <c r="I167" s="52" t="e">
        <f t="shared" si="62"/>
        <v>#DIV/0!</v>
      </c>
      <c r="J167" s="52" t="e">
        <f t="shared" si="53"/>
        <v>#DIV/0!</v>
      </c>
      <c r="K167" s="51" t="e">
        <f t="shared" si="55"/>
        <v>#DIV/0!</v>
      </c>
      <c r="L167" s="49" t="e">
        <f t="shared" si="56"/>
        <v>#DIV/0!</v>
      </c>
      <c r="M167" s="49">
        <f t="shared" si="57"/>
        <v>0</v>
      </c>
      <c r="N167" s="49">
        <f t="shared" si="68"/>
        <v>0</v>
      </c>
      <c r="O167" s="48" t="e">
        <f t="shared" si="50"/>
        <v>#DIV/0!</v>
      </c>
      <c r="P167" s="38" t="e">
        <f t="shared" si="54"/>
        <v>#DIV/0!</v>
      </c>
      <c r="Q167" s="53"/>
      <c r="R167" s="53">
        <f t="shared" si="63"/>
        <v>0</v>
      </c>
      <c r="S167" s="53">
        <f t="shared" si="64"/>
        <v>0</v>
      </c>
      <c r="T167" s="53">
        <f t="shared" si="65"/>
        <v>0.05</v>
      </c>
      <c r="U167" s="53">
        <f t="shared" si="66"/>
        <v>4.2653187775606449E-3</v>
      </c>
    </row>
    <row r="168" spans="1:21" x14ac:dyDescent="0.2">
      <c r="A168" s="62" t="e">
        <f t="shared" si="58"/>
        <v>#DIV/0!</v>
      </c>
      <c r="B168" s="45">
        <f t="shared" si="59"/>
        <v>154</v>
      </c>
      <c r="C168" s="49" t="e">
        <f t="shared" si="51"/>
        <v>#DIV/0!</v>
      </c>
      <c r="D168" s="47" t="e" cm="1">
        <f t="array" ref="D168">_xlfn.IFS(AND($C$7="Y",B168&lt;C$4),C168,AND($C$7="Y",B168=C$4),D167+F168-J168-K168-L168+N168,AND($C$7="Y",B168&gt;$C$4),D167-J168-K168-L168+N168, TRUE, D167-J168-K168-L168+N168)</f>
        <v>#DIV/0!</v>
      </c>
      <c r="E168" s="48">
        <f t="shared" si="60"/>
        <v>0</v>
      </c>
      <c r="F168" s="50">
        <f t="shared" si="61"/>
        <v>0</v>
      </c>
      <c r="G168" s="50">
        <f t="shared" si="67"/>
        <v>0</v>
      </c>
      <c r="H168" s="51" t="e">
        <f t="shared" si="52"/>
        <v>#DIV/0!</v>
      </c>
      <c r="I168" s="52" t="e">
        <f t="shared" si="62"/>
        <v>#DIV/0!</v>
      </c>
      <c r="J168" s="52" t="e">
        <f t="shared" si="53"/>
        <v>#DIV/0!</v>
      </c>
      <c r="K168" s="51" t="e">
        <f t="shared" si="55"/>
        <v>#DIV/0!</v>
      </c>
      <c r="L168" s="49" t="e">
        <f t="shared" si="56"/>
        <v>#DIV/0!</v>
      </c>
      <c r="M168" s="49">
        <f t="shared" si="57"/>
        <v>0</v>
      </c>
      <c r="N168" s="49">
        <f t="shared" si="68"/>
        <v>0</v>
      </c>
      <c r="O168" s="48" t="e">
        <f t="shared" ref="O168:O218" si="69">K168+I168+J168-L168+N168+G168</f>
        <v>#DIV/0!</v>
      </c>
      <c r="P168" s="38" t="e">
        <f t="shared" si="54"/>
        <v>#DIV/0!</v>
      </c>
      <c r="Q168" s="53"/>
      <c r="R168" s="53">
        <f t="shared" si="63"/>
        <v>0</v>
      </c>
      <c r="S168" s="53">
        <f t="shared" si="64"/>
        <v>0</v>
      </c>
      <c r="T168" s="53">
        <f t="shared" si="65"/>
        <v>0.05</v>
      </c>
      <c r="U168" s="53">
        <f t="shared" si="66"/>
        <v>4.2653187775606449E-3</v>
      </c>
    </row>
    <row r="169" spans="1:21" x14ac:dyDescent="0.2">
      <c r="A169" s="62" t="e">
        <f t="shared" si="58"/>
        <v>#DIV/0!</v>
      </c>
      <c r="B169" s="45">
        <f t="shared" si="59"/>
        <v>155</v>
      </c>
      <c r="C169" s="49" t="e">
        <f t="shared" ref="C169:C219" si="70">IF(B169&lt;C$4,C$1,D168)</f>
        <v>#DIV/0!</v>
      </c>
      <c r="D169" s="47" t="e" cm="1">
        <f t="array" ref="D169">_xlfn.IFS(AND($C$7="Y",B169&lt;C$4),C169,AND($C$7="Y",B169=C$4),D168+F169-J169-K169-L169+N169,AND($C$7="Y",B169&gt;$C$4),D168-J169-K169-L169+N169, TRUE, D168-J169-K169-L169+N169)</f>
        <v>#DIV/0!</v>
      </c>
      <c r="E169" s="48">
        <f t="shared" si="60"/>
        <v>0</v>
      </c>
      <c r="F169" s="50">
        <f t="shared" si="61"/>
        <v>0</v>
      </c>
      <c r="G169" s="50">
        <f t="shared" si="67"/>
        <v>0</v>
      </c>
      <c r="H169" s="51" t="e">
        <f t="shared" ref="H169:H219" si="71">IF(AND($B169&lt;=$C$4,C$7="Y"),0,IF(AND(C$7="N",C$4&gt;0,B169&lt;=C$4),0,D168*C$2/12/(1-(1/(1+C$2/12))^(C$3+C$4-B169+1))))</f>
        <v>#DIV/0!</v>
      </c>
      <c r="I169" s="52" t="e">
        <f t="shared" si="62"/>
        <v>#DIV/0!</v>
      </c>
      <c r="J169" s="52" t="e">
        <f t="shared" ref="J169:J219" si="72">IF(AND($B169&lt;=$C$4,C$7="Y"),0,IF(AND(C$7="N",C$4&gt;0,B169&lt;=C$4),0,H169-I169))</f>
        <v>#DIV/0!</v>
      </c>
      <c r="K169" s="51" t="e">
        <f t="shared" si="55"/>
        <v>#DIV/0!</v>
      </c>
      <c r="L169" s="49" t="e">
        <f t="shared" si="56"/>
        <v>#DIV/0!</v>
      </c>
      <c r="M169" s="49">
        <f t="shared" si="57"/>
        <v>0</v>
      </c>
      <c r="N169" s="49">
        <f t="shared" si="68"/>
        <v>0</v>
      </c>
      <c r="O169" s="48" t="e">
        <f t="shared" si="69"/>
        <v>#DIV/0!</v>
      </c>
      <c r="P169" s="38" t="e">
        <f t="shared" ref="P169:P232" si="73">O169*(1/((1+P$12)^(B169/12)))</f>
        <v>#DIV/0!</v>
      </c>
      <c r="Q169" s="53"/>
      <c r="R169" s="53">
        <f t="shared" si="63"/>
        <v>0</v>
      </c>
      <c r="S169" s="53">
        <f t="shared" si="64"/>
        <v>0</v>
      </c>
      <c r="T169" s="53">
        <f t="shared" si="65"/>
        <v>0.05</v>
      </c>
      <c r="U169" s="53">
        <f t="shared" si="66"/>
        <v>4.2653187775606449E-3</v>
      </c>
    </row>
    <row r="170" spans="1:21" x14ac:dyDescent="0.2">
      <c r="A170" s="62" t="e">
        <f t="shared" si="58"/>
        <v>#DIV/0!</v>
      </c>
      <c r="B170" s="45">
        <f t="shared" si="59"/>
        <v>156</v>
      </c>
      <c r="C170" s="49" t="e">
        <f t="shared" si="70"/>
        <v>#DIV/0!</v>
      </c>
      <c r="D170" s="47" t="e" cm="1">
        <f t="array" ref="D170">_xlfn.IFS(AND($C$7="Y",B170&lt;C$4),C170,AND($C$7="Y",B170=C$4),D169+F170-J170-K170-L170+N170,AND($C$7="Y",B170&gt;$C$4),D169-J170-K170-L170+N170, TRUE, D169-J170-K170-L170+N170)</f>
        <v>#DIV/0!</v>
      </c>
      <c r="E170" s="48">
        <f t="shared" si="60"/>
        <v>0</v>
      </c>
      <c r="F170" s="50">
        <f t="shared" si="61"/>
        <v>0</v>
      </c>
      <c r="G170" s="50">
        <f t="shared" si="67"/>
        <v>0</v>
      </c>
      <c r="H170" s="51" t="e">
        <f t="shared" si="71"/>
        <v>#DIV/0!</v>
      </c>
      <c r="I170" s="52" t="e">
        <f t="shared" si="62"/>
        <v>#DIV/0!</v>
      </c>
      <c r="J170" s="52" t="e">
        <f t="shared" si="72"/>
        <v>#DIV/0!</v>
      </c>
      <c r="K170" s="51" t="e">
        <f t="shared" ref="K170:K233" si="74">IF(AND(C$7="Y",$B170&lt;=$C$4),0,IF(AND(C$7="N",C$4&gt;0,B170&lt;=C$4),0,S170*(C170-J170)))</f>
        <v>#DIV/0!</v>
      </c>
      <c r="L170" s="49" t="e">
        <f t="shared" si="56"/>
        <v>#DIV/0!</v>
      </c>
      <c r="M170" s="49">
        <f t="shared" si="57"/>
        <v>0</v>
      </c>
      <c r="N170" s="49">
        <f t="shared" si="68"/>
        <v>0</v>
      </c>
      <c r="O170" s="48" t="e">
        <f t="shared" si="69"/>
        <v>#DIV/0!</v>
      </c>
      <c r="P170" s="38" t="e">
        <f t="shared" si="73"/>
        <v>#DIV/0!</v>
      </c>
      <c r="Q170" s="53"/>
      <c r="R170" s="53">
        <f t="shared" si="63"/>
        <v>0</v>
      </c>
      <c r="S170" s="53">
        <f t="shared" si="64"/>
        <v>0</v>
      </c>
      <c r="T170" s="53">
        <f t="shared" si="65"/>
        <v>0.05</v>
      </c>
      <c r="U170" s="53">
        <f t="shared" si="66"/>
        <v>4.2653187775606449E-3</v>
      </c>
    </row>
    <row r="171" spans="1:21" x14ac:dyDescent="0.2">
      <c r="A171" s="62" t="e">
        <f t="shared" si="58"/>
        <v>#DIV/0!</v>
      </c>
      <c r="B171" s="45">
        <f t="shared" si="59"/>
        <v>157</v>
      </c>
      <c r="C171" s="49" t="e">
        <f t="shared" si="70"/>
        <v>#DIV/0!</v>
      </c>
      <c r="D171" s="47" t="e" cm="1">
        <f t="array" ref="D171">_xlfn.IFS(AND($C$7="Y",B171&lt;C$4),C171,AND($C$7="Y",B171=C$4),D170+F171-J171-K171-L171+N171,AND($C$7="Y",B171&gt;$C$4),D170-J171-K171-L171+N171, TRUE, D170-J171-K171-L171+N171)</f>
        <v>#DIV/0!</v>
      </c>
      <c r="E171" s="48">
        <f t="shared" si="60"/>
        <v>0</v>
      </c>
      <c r="F171" s="50">
        <f t="shared" si="61"/>
        <v>0</v>
      </c>
      <c r="G171" s="50">
        <f t="shared" si="67"/>
        <v>0</v>
      </c>
      <c r="H171" s="51" t="e">
        <f t="shared" si="71"/>
        <v>#DIV/0!</v>
      </c>
      <c r="I171" s="52" t="e">
        <f t="shared" si="62"/>
        <v>#DIV/0!</v>
      </c>
      <c r="J171" s="52" t="e">
        <f t="shared" si="72"/>
        <v>#DIV/0!</v>
      </c>
      <c r="K171" s="51" t="e">
        <f t="shared" si="74"/>
        <v>#DIV/0!</v>
      </c>
      <c r="L171" s="49" t="e">
        <f t="shared" si="56"/>
        <v>#DIV/0!</v>
      </c>
      <c r="M171" s="49">
        <f t="shared" si="57"/>
        <v>0</v>
      </c>
      <c r="N171" s="49">
        <f t="shared" si="68"/>
        <v>0</v>
      </c>
      <c r="O171" s="48" t="e">
        <f t="shared" si="69"/>
        <v>#DIV/0!</v>
      </c>
      <c r="P171" s="38" t="e">
        <f t="shared" si="73"/>
        <v>#DIV/0!</v>
      </c>
      <c r="Q171" s="53"/>
      <c r="R171" s="53">
        <f t="shared" si="63"/>
        <v>0</v>
      </c>
      <c r="S171" s="53">
        <f t="shared" si="64"/>
        <v>0</v>
      </c>
      <c r="T171" s="53">
        <f t="shared" si="65"/>
        <v>0.05</v>
      </c>
      <c r="U171" s="53">
        <f t="shared" si="66"/>
        <v>4.2653187775606449E-3</v>
      </c>
    </row>
    <row r="172" spans="1:21" x14ac:dyDescent="0.2">
      <c r="A172" s="62" t="e">
        <f t="shared" si="58"/>
        <v>#DIV/0!</v>
      </c>
      <c r="B172" s="45">
        <f t="shared" si="59"/>
        <v>158</v>
      </c>
      <c r="C172" s="49" t="e">
        <f t="shared" si="70"/>
        <v>#DIV/0!</v>
      </c>
      <c r="D172" s="47" t="e" cm="1">
        <f t="array" ref="D172">_xlfn.IFS(AND($C$7="Y",B172&lt;C$4),C172,AND($C$7="Y",B172=C$4),D171+F172-J172-K172-L172+N172,AND($C$7="Y",B172&gt;$C$4),D171-J172-K172-L172+N172, TRUE, D171-J172-K172-L172+N172)</f>
        <v>#DIV/0!</v>
      </c>
      <c r="E172" s="48">
        <f t="shared" si="60"/>
        <v>0</v>
      </c>
      <c r="F172" s="50">
        <f t="shared" si="61"/>
        <v>0</v>
      </c>
      <c r="G172" s="50">
        <f t="shared" si="67"/>
        <v>0</v>
      </c>
      <c r="H172" s="51" t="e">
        <f t="shared" si="71"/>
        <v>#DIV/0!</v>
      </c>
      <c r="I172" s="52" t="e">
        <f t="shared" si="62"/>
        <v>#DIV/0!</v>
      </c>
      <c r="J172" s="52" t="e">
        <f t="shared" si="72"/>
        <v>#DIV/0!</v>
      </c>
      <c r="K172" s="51" t="e">
        <f t="shared" si="74"/>
        <v>#DIV/0!</v>
      </c>
      <c r="L172" s="49" t="e">
        <f t="shared" si="56"/>
        <v>#DIV/0!</v>
      </c>
      <c r="M172" s="49">
        <f t="shared" si="57"/>
        <v>0</v>
      </c>
      <c r="N172" s="49">
        <f t="shared" si="68"/>
        <v>0</v>
      </c>
      <c r="O172" s="48" t="e">
        <f t="shared" si="69"/>
        <v>#DIV/0!</v>
      </c>
      <c r="P172" s="38" t="e">
        <f t="shared" si="73"/>
        <v>#DIV/0!</v>
      </c>
      <c r="Q172" s="53"/>
      <c r="R172" s="53">
        <f t="shared" si="63"/>
        <v>0</v>
      </c>
      <c r="S172" s="53">
        <f t="shared" si="64"/>
        <v>0</v>
      </c>
      <c r="T172" s="53">
        <f t="shared" si="65"/>
        <v>0.05</v>
      </c>
      <c r="U172" s="53">
        <f t="shared" si="66"/>
        <v>4.2653187775606449E-3</v>
      </c>
    </row>
    <row r="173" spans="1:21" x14ac:dyDescent="0.2">
      <c r="A173" s="62" t="e">
        <f t="shared" si="58"/>
        <v>#DIV/0!</v>
      </c>
      <c r="B173" s="45">
        <f t="shared" si="59"/>
        <v>159</v>
      </c>
      <c r="C173" s="49" t="e">
        <f t="shared" si="70"/>
        <v>#DIV/0!</v>
      </c>
      <c r="D173" s="47" t="e" cm="1">
        <f t="array" ref="D173">_xlfn.IFS(AND($C$7="Y",B173&lt;C$4),C173,AND($C$7="Y",B173=C$4),D172+F173-J173-K173-L173+N173,AND($C$7="Y",B173&gt;$C$4),D172-J173-K173-L173+N173, TRUE, D172-J173-K173-L173+N173)</f>
        <v>#DIV/0!</v>
      </c>
      <c r="E173" s="48">
        <f t="shared" si="60"/>
        <v>0</v>
      </c>
      <c r="F173" s="50">
        <f t="shared" si="61"/>
        <v>0</v>
      </c>
      <c r="G173" s="50">
        <f t="shared" si="67"/>
        <v>0</v>
      </c>
      <c r="H173" s="51" t="e">
        <f t="shared" si="71"/>
        <v>#DIV/0!</v>
      </c>
      <c r="I173" s="52" t="e">
        <f t="shared" si="62"/>
        <v>#DIV/0!</v>
      </c>
      <c r="J173" s="52" t="e">
        <f t="shared" si="72"/>
        <v>#DIV/0!</v>
      </c>
      <c r="K173" s="51" t="e">
        <f t="shared" si="74"/>
        <v>#DIV/0!</v>
      </c>
      <c r="L173" s="49" t="e">
        <f t="shared" ref="L173:L235" si="75">IF(AND(C$7="Y",$B173&lt;=$C$4),0,IF(AND(C$7="N",C$4&gt;0,B173&lt;=C$4),0,U173*D172))</f>
        <v>#DIV/0!</v>
      </c>
      <c r="M173" s="49">
        <f t="shared" ref="M173:M235" si="76">IFERROR(L169*-1,0)</f>
        <v>0</v>
      </c>
      <c r="N173" s="49">
        <f t="shared" si="68"/>
        <v>0</v>
      </c>
      <c r="O173" s="48" t="e">
        <f t="shared" si="69"/>
        <v>#DIV/0!</v>
      </c>
      <c r="P173" s="38" t="e">
        <f t="shared" si="73"/>
        <v>#DIV/0!</v>
      </c>
      <c r="Q173" s="53"/>
      <c r="R173" s="53">
        <f t="shared" si="63"/>
        <v>0</v>
      </c>
      <c r="S173" s="53">
        <f t="shared" si="64"/>
        <v>0</v>
      </c>
      <c r="T173" s="53">
        <f t="shared" si="65"/>
        <v>0.05</v>
      </c>
      <c r="U173" s="53">
        <f t="shared" si="66"/>
        <v>4.2653187775606449E-3</v>
      </c>
    </row>
    <row r="174" spans="1:21" x14ac:dyDescent="0.2">
      <c r="A174" s="62" t="e">
        <f t="shared" si="58"/>
        <v>#DIV/0!</v>
      </c>
      <c r="B174" s="45">
        <f t="shared" si="59"/>
        <v>160</v>
      </c>
      <c r="C174" s="49" t="e">
        <f t="shared" si="70"/>
        <v>#DIV/0!</v>
      </c>
      <c r="D174" s="47" t="e" cm="1">
        <f t="array" ref="D174">_xlfn.IFS(AND($C$7="Y",B174&lt;C$4),C174,AND($C$7="Y",B174=C$4),D173+F174-J174-K174-L174+N174,AND($C$7="Y",B174&gt;$C$4),D173-J174-K174-L174+N174, TRUE, D173-J174-K174-L174+N174)</f>
        <v>#DIV/0!</v>
      </c>
      <c r="E174" s="48">
        <f t="shared" si="60"/>
        <v>0</v>
      </c>
      <c r="F174" s="50">
        <f t="shared" si="61"/>
        <v>0</v>
      </c>
      <c r="G174" s="50">
        <f t="shared" si="67"/>
        <v>0</v>
      </c>
      <c r="H174" s="51" t="e">
        <f t="shared" si="71"/>
        <v>#DIV/0!</v>
      </c>
      <c r="I174" s="52" t="e">
        <f t="shared" si="62"/>
        <v>#DIV/0!</v>
      </c>
      <c r="J174" s="52" t="e">
        <f t="shared" si="72"/>
        <v>#DIV/0!</v>
      </c>
      <c r="K174" s="51" t="e">
        <f t="shared" si="74"/>
        <v>#DIV/0!</v>
      </c>
      <c r="L174" s="49" t="e">
        <f t="shared" si="75"/>
        <v>#DIV/0!</v>
      </c>
      <c r="M174" s="49">
        <f t="shared" si="76"/>
        <v>0</v>
      </c>
      <c r="N174" s="49">
        <f t="shared" si="68"/>
        <v>0</v>
      </c>
      <c r="O174" s="48" t="e">
        <f t="shared" si="69"/>
        <v>#DIV/0!</v>
      </c>
      <c r="P174" s="38" t="e">
        <f t="shared" si="73"/>
        <v>#DIV/0!</v>
      </c>
      <c r="Q174" s="53"/>
      <c r="R174" s="53">
        <f t="shared" si="63"/>
        <v>0</v>
      </c>
      <c r="S174" s="53">
        <f t="shared" si="64"/>
        <v>0</v>
      </c>
      <c r="T174" s="53">
        <f t="shared" si="65"/>
        <v>0.05</v>
      </c>
      <c r="U174" s="53">
        <f t="shared" si="66"/>
        <v>4.2653187775606449E-3</v>
      </c>
    </row>
    <row r="175" spans="1:21" x14ac:dyDescent="0.2">
      <c r="A175" s="62" t="e">
        <f t="shared" si="58"/>
        <v>#DIV/0!</v>
      </c>
      <c r="B175" s="45">
        <f t="shared" si="59"/>
        <v>161</v>
      </c>
      <c r="C175" s="49" t="e">
        <f t="shared" si="70"/>
        <v>#DIV/0!</v>
      </c>
      <c r="D175" s="47" t="e" cm="1">
        <f t="array" ref="D175">_xlfn.IFS(AND($C$7="Y",B175&lt;C$4),C175,AND($C$7="Y",B175=C$4),D174+F175-J175-K175-L175+N175,AND($C$7="Y",B175&gt;$C$4),D174-J175-K175-L175+N175, TRUE, D174-J175-K175-L175+N175)</f>
        <v>#DIV/0!</v>
      </c>
      <c r="E175" s="48">
        <f t="shared" si="60"/>
        <v>0</v>
      </c>
      <c r="F175" s="50">
        <f t="shared" si="61"/>
        <v>0</v>
      </c>
      <c r="G175" s="50">
        <f t="shared" si="67"/>
        <v>0</v>
      </c>
      <c r="H175" s="51" t="e">
        <f t="shared" si="71"/>
        <v>#DIV/0!</v>
      </c>
      <c r="I175" s="52" t="e">
        <f t="shared" si="62"/>
        <v>#DIV/0!</v>
      </c>
      <c r="J175" s="52" t="e">
        <f t="shared" si="72"/>
        <v>#DIV/0!</v>
      </c>
      <c r="K175" s="51" t="e">
        <f t="shared" si="74"/>
        <v>#DIV/0!</v>
      </c>
      <c r="L175" s="49" t="e">
        <f t="shared" si="75"/>
        <v>#DIV/0!</v>
      </c>
      <c r="M175" s="49">
        <f t="shared" si="76"/>
        <v>0</v>
      </c>
      <c r="N175" s="49">
        <f t="shared" si="68"/>
        <v>0</v>
      </c>
      <c r="O175" s="48" t="e">
        <f t="shared" si="69"/>
        <v>#DIV/0!</v>
      </c>
      <c r="P175" s="38" t="e">
        <f t="shared" si="73"/>
        <v>#DIV/0!</v>
      </c>
      <c r="Q175" s="53"/>
      <c r="R175" s="53">
        <f t="shared" si="63"/>
        <v>0</v>
      </c>
      <c r="S175" s="53">
        <f t="shared" si="64"/>
        <v>0</v>
      </c>
      <c r="T175" s="53">
        <f t="shared" si="65"/>
        <v>0.05</v>
      </c>
      <c r="U175" s="53">
        <f t="shared" si="66"/>
        <v>4.2653187775606449E-3</v>
      </c>
    </row>
    <row r="176" spans="1:21" x14ac:dyDescent="0.2">
      <c r="A176" s="62" t="e">
        <f t="shared" si="58"/>
        <v>#DIV/0!</v>
      </c>
      <c r="B176" s="45">
        <f t="shared" si="59"/>
        <v>162</v>
      </c>
      <c r="C176" s="49" t="e">
        <f t="shared" si="70"/>
        <v>#DIV/0!</v>
      </c>
      <c r="D176" s="47" t="e" cm="1">
        <f t="array" ref="D176">_xlfn.IFS(AND($C$7="Y",B176&lt;C$4),C176,AND($C$7="Y",B176=C$4),D175+F176-J176-K176-L176+N176,AND($C$7="Y",B176&gt;$C$4),D175-J176-K176-L176+N176, TRUE, D175-J176-K176-L176+N176)</f>
        <v>#DIV/0!</v>
      </c>
      <c r="E176" s="48">
        <f t="shared" si="60"/>
        <v>0</v>
      </c>
      <c r="F176" s="50">
        <f t="shared" si="61"/>
        <v>0</v>
      </c>
      <c r="G176" s="50">
        <f t="shared" si="67"/>
        <v>0</v>
      </c>
      <c r="H176" s="51" t="e">
        <f t="shared" si="71"/>
        <v>#DIV/0!</v>
      </c>
      <c r="I176" s="52" t="e">
        <f t="shared" si="62"/>
        <v>#DIV/0!</v>
      </c>
      <c r="J176" s="52" t="e">
        <f t="shared" si="72"/>
        <v>#DIV/0!</v>
      </c>
      <c r="K176" s="51" t="e">
        <f t="shared" si="74"/>
        <v>#DIV/0!</v>
      </c>
      <c r="L176" s="49" t="e">
        <f t="shared" si="75"/>
        <v>#DIV/0!</v>
      </c>
      <c r="M176" s="49">
        <f t="shared" si="76"/>
        <v>0</v>
      </c>
      <c r="N176" s="49">
        <f t="shared" si="68"/>
        <v>0</v>
      </c>
      <c r="O176" s="48" t="e">
        <f t="shared" si="69"/>
        <v>#DIV/0!</v>
      </c>
      <c r="P176" s="38" t="e">
        <f t="shared" si="73"/>
        <v>#DIV/0!</v>
      </c>
      <c r="Q176" s="53"/>
      <c r="R176" s="53">
        <f t="shared" si="63"/>
        <v>0</v>
      </c>
      <c r="S176" s="53">
        <f t="shared" si="64"/>
        <v>0</v>
      </c>
      <c r="T176" s="53">
        <f t="shared" si="65"/>
        <v>0.05</v>
      </c>
      <c r="U176" s="53">
        <f t="shared" si="66"/>
        <v>4.2653187775606449E-3</v>
      </c>
    </row>
    <row r="177" spans="1:21" x14ac:dyDescent="0.2">
      <c r="A177" s="62" t="e">
        <f t="shared" si="58"/>
        <v>#DIV/0!</v>
      </c>
      <c r="B177" s="45">
        <f t="shared" si="59"/>
        <v>163</v>
      </c>
      <c r="C177" s="49" t="e">
        <f t="shared" si="70"/>
        <v>#DIV/0!</v>
      </c>
      <c r="D177" s="47" t="e" cm="1">
        <f t="array" ref="D177">_xlfn.IFS(AND($C$7="Y",B177&lt;C$4),C177,AND($C$7="Y",B177=C$4),D176+F177-J177-K177-L177+N177,AND($C$7="Y",B177&gt;$C$4),D176-J177-K177-L177+N177, TRUE, D176-J177-K177-L177+N177)</f>
        <v>#DIV/0!</v>
      </c>
      <c r="E177" s="48">
        <f t="shared" si="60"/>
        <v>0</v>
      </c>
      <c r="F177" s="50">
        <f t="shared" si="61"/>
        <v>0</v>
      </c>
      <c r="G177" s="50">
        <f t="shared" si="67"/>
        <v>0</v>
      </c>
      <c r="H177" s="51" t="e">
        <f t="shared" si="71"/>
        <v>#DIV/0!</v>
      </c>
      <c r="I177" s="52" t="e">
        <f t="shared" si="62"/>
        <v>#DIV/0!</v>
      </c>
      <c r="J177" s="52" t="e">
        <f t="shared" si="72"/>
        <v>#DIV/0!</v>
      </c>
      <c r="K177" s="51" t="e">
        <f t="shared" si="74"/>
        <v>#DIV/0!</v>
      </c>
      <c r="L177" s="49" t="e">
        <f t="shared" si="75"/>
        <v>#DIV/0!</v>
      </c>
      <c r="M177" s="49">
        <f t="shared" si="76"/>
        <v>0</v>
      </c>
      <c r="N177" s="49">
        <f t="shared" si="68"/>
        <v>0</v>
      </c>
      <c r="O177" s="48" t="e">
        <f t="shared" si="69"/>
        <v>#DIV/0!</v>
      </c>
      <c r="P177" s="38" t="e">
        <f t="shared" si="73"/>
        <v>#DIV/0!</v>
      </c>
      <c r="Q177" s="53"/>
      <c r="R177" s="53">
        <f t="shared" si="63"/>
        <v>0</v>
      </c>
      <c r="S177" s="53">
        <f t="shared" si="64"/>
        <v>0</v>
      </c>
      <c r="T177" s="53">
        <f t="shared" si="65"/>
        <v>0.05</v>
      </c>
      <c r="U177" s="53">
        <f t="shared" si="66"/>
        <v>4.2653187775606449E-3</v>
      </c>
    </row>
    <row r="178" spans="1:21" x14ac:dyDescent="0.2">
      <c r="A178" s="62" t="e">
        <f t="shared" si="58"/>
        <v>#DIV/0!</v>
      </c>
      <c r="B178" s="45">
        <f t="shared" si="59"/>
        <v>164</v>
      </c>
      <c r="C178" s="49" t="e">
        <f t="shared" si="70"/>
        <v>#DIV/0!</v>
      </c>
      <c r="D178" s="47" t="e" cm="1">
        <f t="array" ref="D178">_xlfn.IFS(AND($C$7="Y",B178&lt;C$4),C178,AND($C$7="Y",B178=C$4),D177+F178-J178-K178-L178+N178,AND($C$7="Y",B178&gt;$C$4),D177-J178-K178-L178+N178, TRUE, D177-J178-K178-L178+N178)</f>
        <v>#DIV/0!</v>
      </c>
      <c r="E178" s="48">
        <f t="shared" si="60"/>
        <v>0</v>
      </c>
      <c r="F178" s="50">
        <f t="shared" si="61"/>
        <v>0</v>
      </c>
      <c r="G178" s="50">
        <f t="shared" si="67"/>
        <v>0</v>
      </c>
      <c r="H178" s="51" t="e">
        <f t="shared" si="71"/>
        <v>#DIV/0!</v>
      </c>
      <c r="I178" s="52" t="e">
        <f t="shared" si="62"/>
        <v>#DIV/0!</v>
      </c>
      <c r="J178" s="52" t="e">
        <f t="shared" si="72"/>
        <v>#DIV/0!</v>
      </c>
      <c r="K178" s="51" t="e">
        <f t="shared" si="74"/>
        <v>#DIV/0!</v>
      </c>
      <c r="L178" s="49" t="e">
        <f t="shared" si="75"/>
        <v>#DIV/0!</v>
      </c>
      <c r="M178" s="49">
        <f t="shared" si="76"/>
        <v>0</v>
      </c>
      <c r="N178" s="49">
        <f t="shared" si="68"/>
        <v>0</v>
      </c>
      <c r="O178" s="48" t="e">
        <f t="shared" si="69"/>
        <v>#DIV/0!</v>
      </c>
      <c r="P178" s="38" t="e">
        <f t="shared" si="73"/>
        <v>#DIV/0!</v>
      </c>
      <c r="Q178" s="53"/>
      <c r="R178" s="53">
        <f t="shared" si="63"/>
        <v>0</v>
      </c>
      <c r="S178" s="53">
        <f t="shared" si="64"/>
        <v>0</v>
      </c>
      <c r="T178" s="53">
        <f t="shared" si="65"/>
        <v>0.05</v>
      </c>
      <c r="U178" s="53">
        <f t="shared" si="66"/>
        <v>4.2653187775606449E-3</v>
      </c>
    </row>
    <row r="179" spans="1:21" x14ac:dyDescent="0.2">
      <c r="A179" s="62" t="e">
        <f t="shared" si="58"/>
        <v>#DIV/0!</v>
      </c>
      <c r="B179" s="45">
        <f t="shared" si="59"/>
        <v>165</v>
      </c>
      <c r="C179" s="49" t="e">
        <f t="shared" si="70"/>
        <v>#DIV/0!</v>
      </c>
      <c r="D179" s="47" t="e" cm="1">
        <f t="array" ref="D179">_xlfn.IFS(AND($C$7="Y",B179&lt;C$4),C179,AND($C$7="Y",B179=C$4),D178+F179-J179-K179-L179+N179,AND($C$7="Y",B179&gt;$C$4),D178-J179-K179-L179+N179, TRUE, D178-J179-K179-L179+N179)</f>
        <v>#DIV/0!</v>
      </c>
      <c r="E179" s="48">
        <f t="shared" si="60"/>
        <v>0</v>
      </c>
      <c r="F179" s="50">
        <f t="shared" si="61"/>
        <v>0</v>
      </c>
      <c r="G179" s="50">
        <f t="shared" si="67"/>
        <v>0</v>
      </c>
      <c r="H179" s="51" t="e">
        <f t="shared" si="71"/>
        <v>#DIV/0!</v>
      </c>
      <c r="I179" s="52" t="e">
        <f t="shared" si="62"/>
        <v>#DIV/0!</v>
      </c>
      <c r="J179" s="52" t="e">
        <f t="shared" si="72"/>
        <v>#DIV/0!</v>
      </c>
      <c r="K179" s="51" t="e">
        <f t="shared" si="74"/>
        <v>#DIV/0!</v>
      </c>
      <c r="L179" s="49" t="e">
        <f t="shared" si="75"/>
        <v>#DIV/0!</v>
      </c>
      <c r="M179" s="49">
        <f t="shared" si="76"/>
        <v>0</v>
      </c>
      <c r="N179" s="49">
        <f t="shared" si="68"/>
        <v>0</v>
      </c>
      <c r="O179" s="48" t="e">
        <f t="shared" si="69"/>
        <v>#DIV/0!</v>
      </c>
      <c r="P179" s="38" t="e">
        <f t="shared" si="73"/>
        <v>#DIV/0!</v>
      </c>
      <c r="Q179" s="53"/>
      <c r="R179" s="53">
        <f t="shared" si="63"/>
        <v>0</v>
      </c>
      <c r="S179" s="53">
        <f t="shared" si="64"/>
        <v>0</v>
      </c>
      <c r="T179" s="53">
        <f t="shared" si="65"/>
        <v>0.05</v>
      </c>
      <c r="U179" s="53">
        <f t="shared" si="66"/>
        <v>4.2653187775606449E-3</v>
      </c>
    </row>
    <row r="180" spans="1:21" x14ac:dyDescent="0.2">
      <c r="A180" s="62" t="e">
        <f t="shared" si="58"/>
        <v>#DIV/0!</v>
      </c>
      <c r="B180" s="45">
        <f t="shared" si="59"/>
        <v>166</v>
      </c>
      <c r="C180" s="49" t="e">
        <f t="shared" si="70"/>
        <v>#DIV/0!</v>
      </c>
      <c r="D180" s="47" t="e" cm="1">
        <f t="array" ref="D180">_xlfn.IFS(AND($C$7="Y",B180&lt;C$4),C180,AND($C$7="Y",B180=C$4),D179+F180-J180-K180-L180+N180,AND($C$7="Y",B180&gt;$C$4),D179-J180-K180-L180+N180, TRUE, D179-J180-K180-L180+N180)</f>
        <v>#DIV/0!</v>
      </c>
      <c r="E180" s="48">
        <f t="shared" si="60"/>
        <v>0</v>
      </c>
      <c r="F180" s="50">
        <f t="shared" si="61"/>
        <v>0</v>
      </c>
      <c r="G180" s="50">
        <f t="shared" si="67"/>
        <v>0</v>
      </c>
      <c r="H180" s="51" t="e">
        <f t="shared" si="71"/>
        <v>#DIV/0!</v>
      </c>
      <c r="I180" s="52" t="e">
        <f t="shared" si="62"/>
        <v>#DIV/0!</v>
      </c>
      <c r="J180" s="52" t="e">
        <f t="shared" si="72"/>
        <v>#DIV/0!</v>
      </c>
      <c r="K180" s="51" t="e">
        <f t="shared" si="74"/>
        <v>#DIV/0!</v>
      </c>
      <c r="L180" s="49" t="e">
        <f t="shared" si="75"/>
        <v>#DIV/0!</v>
      </c>
      <c r="M180" s="49">
        <f t="shared" si="76"/>
        <v>0</v>
      </c>
      <c r="N180" s="49">
        <f t="shared" si="68"/>
        <v>0</v>
      </c>
      <c r="O180" s="48" t="e">
        <f t="shared" si="69"/>
        <v>#DIV/0!</v>
      </c>
      <c r="P180" s="38" t="e">
        <f t="shared" si="73"/>
        <v>#DIV/0!</v>
      </c>
      <c r="Q180" s="53"/>
      <c r="R180" s="53">
        <f t="shared" si="63"/>
        <v>0</v>
      </c>
      <c r="S180" s="53">
        <f t="shared" si="64"/>
        <v>0</v>
      </c>
      <c r="T180" s="53">
        <f t="shared" si="65"/>
        <v>0.05</v>
      </c>
      <c r="U180" s="53">
        <f t="shared" si="66"/>
        <v>4.2653187775606449E-3</v>
      </c>
    </row>
    <row r="181" spans="1:21" x14ac:dyDescent="0.2">
      <c r="A181" s="62" t="e">
        <f t="shared" si="58"/>
        <v>#DIV/0!</v>
      </c>
      <c r="B181" s="45">
        <f t="shared" si="59"/>
        <v>167</v>
      </c>
      <c r="C181" s="49" t="e">
        <f t="shared" si="70"/>
        <v>#DIV/0!</v>
      </c>
      <c r="D181" s="47" t="e" cm="1">
        <f t="array" ref="D181">_xlfn.IFS(AND($C$7="Y",B181&lt;C$4),C181,AND($C$7="Y",B181=C$4),D180+F181-J181-K181-L181+N181,AND($C$7="Y",B181&gt;$C$4),D180-J181-K181-L181+N181, TRUE, D180-J181-K181-L181+N181)</f>
        <v>#DIV/0!</v>
      </c>
      <c r="E181" s="48">
        <f t="shared" si="60"/>
        <v>0</v>
      </c>
      <c r="F181" s="50">
        <f t="shared" si="61"/>
        <v>0</v>
      </c>
      <c r="G181" s="50">
        <f t="shared" si="67"/>
        <v>0</v>
      </c>
      <c r="H181" s="51" t="e">
        <f t="shared" si="71"/>
        <v>#DIV/0!</v>
      </c>
      <c r="I181" s="52" t="e">
        <f t="shared" si="62"/>
        <v>#DIV/0!</v>
      </c>
      <c r="J181" s="52" t="e">
        <f t="shared" si="72"/>
        <v>#DIV/0!</v>
      </c>
      <c r="K181" s="51" t="e">
        <f t="shared" si="74"/>
        <v>#DIV/0!</v>
      </c>
      <c r="L181" s="49" t="e">
        <f t="shared" si="75"/>
        <v>#DIV/0!</v>
      </c>
      <c r="M181" s="49">
        <f t="shared" si="76"/>
        <v>0</v>
      </c>
      <c r="N181" s="49">
        <f t="shared" si="68"/>
        <v>0</v>
      </c>
      <c r="O181" s="48" t="e">
        <f t="shared" si="69"/>
        <v>#DIV/0!</v>
      </c>
      <c r="P181" s="38" t="e">
        <f t="shared" si="73"/>
        <v>#DIV/0!</v>
      </c>
      <c r="Q181" s="53"/>
      <c r="R181" s="53">
        <f t="shared" si="63"/>
        <v>0</v>
      </c>
      <c r="S181" s="53">
        <f t="shared" si="64"/>
        <v>0</v>
      </c>
      <c r="T181" s="53">
        <f t="shared" si="65"/>
        <v>0.05</v>
      </c>
      <c r="U181" s="53">
        <f t="shared" si="66"/>
        <v>4.2653187775606449E-3</v>
      </c>
    </row>
    <row r="182" spans="1:21" x14ac:dyDescent="0.2">
      <c r="A182" s="62" t="e">
        <f t="shared" si="58"/>
        <v>#DIV/0!</v>
      </c>
      <c r="B182" s="45">
        <f t="shared" si="59"/>
        <v>168</v>
      </c>
      <c r="C182" s="49" t="e">
        <f t="shared" si="70"/>
        <v>#DIV/0!</v>
      </c>
      <c r="D182" s="47" t="e" cm="1">
        <f t="array" ref="D182">_xlfn.IFS(AND($C$7="Y",B182&lt;C$4),C182,AND($C$7="Y",B182=C$4),D181+F182-J182-K182-L182+N182,AND($C$7="Y",B182&gt;$C$4),D181-J182-K182-L182+N182, TRUE, D181-J182-K182-L182+N182)</f>
        <v>#DIV/0!</v>
      </c>
      <c r="E182" s="48">
        <f t="shared" si="60"/>
        <v>0</v>
      </c>
      <c r="F182" s="50">
        <f t="shared" si="61"/>
        <v>0</v>
      </c>
      <c r="G182" s="50">
        <f t="shared" si="67"/>
        <v>0</v>
      </c>
      <c r="H182" s="51" t="e">
        <f t="shared" si="71"/>
        <v>#DIV/0!</v>
      </c>
      <c r="I182" s="52" t="e">
        <f t="shared" si="62"/>
        <v>#DIV/0!</v>
      </c>
      <c r="J182" s="52" t="e">
        <f t="shared" si="72"/>
        <v>#DIV/0!</v>
      </c>
      <c r="K182" s="51" t="e">
        <f t="shared" si="74"/>
        <v>#DIV/0!</v>
      </c>
      <c r="L182" s="49" t="e">
        <f t="shared" si="75"/>
        <v>#DIV/0!</v>
      </c>
      <c r="M182" s="49">
        <f t="shared" si="76"/>
        <v>0</v>
      </c>
      <c r="N182" s="49">
        <f t="shared" si="68"/>
        <v>0</v>
      </c>
      <c r="O182" s="48" t="e">
        <f t="shared" si="69"/>
        <v>#DIV/0!</v>
      </c>
      <c r="P182" s="38" t="e">
        <f t="shared" si="73"/>
        <v>#DIV/0!</v>
      </c>
      <c r="Q182" s="53"/>
      <c r="R182" s="53">
        <f t="shared" si="63"/>
        <v>0</v>
      </c>
      <c r="S182" s="53">
        <f t="shared" si="64"/>
        <v>0</v>
      </c>
      <c r="T182" s="53">
        <f t="shared" si="65"/>
        <v>0.05</v>
      </c>
      <c r="U182" s="53">
        <f t="shared" si="66"/>
        <v>4.2653187775606449E-3</v>
      </c>
    </row>
    <row r="183" spans="1:21" x14ac:dyDescent="0.2">
      <c r="A183" s="62" t="e">
        <f t="shared" si="58"/>
        <v>#DIV/0!</v>
      </c>
      <c r="B183" s="45">
        <f t="shared" si="59"/>
        <v>169</v>
      </c>
      <c r="C183" s="49" t="e">
        <f t="shared" si="70"/>
        <v>#DIV/0!</v>
      </c>
      <c r="D183" s="47" t="e" cm="1">
        <f t="array" ref="D183">_xlfn.IFS(AND($C$7="Y",B183&lt;C$4),C183,AND($C$7="Y",B183=C$4),D182+F183-J183-K183-L183+N183,AND($C$7="Y",B183&gt;$C$4),D182-J183-K183-L183+N183, TRUE, D182-J183-K183-L183+N183)</f>
        <v>#DIV/0!</v>
      </c>
      <c r="E183" s="48">
        <f t="shared" si="60"/>
        <v>0</v>
      </c>
      <c r="F183" s="50">
        <f t="shared" si="61"/>
        <v>0</v>
      </c>
      <c r="G183" s="50">
        <f t="shared" si="67"/>
        <v>0</v>
      </c>
      <c r="H183" s="51" t="e">
        <f t="shared" si="71"/>
        <v>#DIV/0!</v>
      </c>
      <c r="I183" s="52" t="e">
        <f t="shared" si="62"/>
        <v>#DIV/0!</v>
      </c>
      <c r="J183" s="52" t="e">
        <f t="shared" si="72"/>
        <v>#DIV/0!</v>
      </c>
      <c r="K183" s="51" t="e">
        <f t="shared" si="74"/>
        <v>#DIV/0!</v>
      </c>
      <c r="L183" s="49" t="e">
        <f t="shared" si="75"/>
        <v>#DIV/0!</v>
      </c>
      <c r="M183" s="49">
        <f t="shared" si="76"/>
        <v>0</v>
      </c>
      <c r="N183" s="49">
        <f t="shared" si="68"/>
        <v>0</v>
      </c>
      <c r="O183" s="48" t="e">
        <f t="shared" si="69"/>
        <v>#DIV/0!</v>
      </c>
      <c r="P183" s="38" t="e">
        <f t="shared" si="73"/>
        <v>#DIV/0!</v>
      </c>
      <c r="Q183" s="53"/>
      <c r="R183" s="53">
        <f t="shared" si="63"/>
        <v>0</v>
      </c>
      <c r="S183" s="53">
        <f t="shared" si="64"/>
        <v>0</v>
      </c>
      <c r="T183" s="53">
        <f t="shared" si="65"/>
        <v>0.05</v>
      </c>
      <c r="U183" s="53">
        <f t="shared" si="66"/>
        <v>4.2653187775606449E-3</v>
      </c>
    </row>
    <row r="184" spans="1:21" x14ac:dyDescent="0.2">
      <c r="A184" s="62" t="e">
        <f t="shared" si="58"/>
        <v>#DIV/0!</v>
      </c>
      <c r="B184" s="45">
        <f t="shared" si="59"/>
        <v>170</v>
      </c>
      <c r="C184" s="49" t="e">
        <f t="shared" si="70"/>
        <v>#DIV/0!</v>
      </c>
      <c r="D184" s="47" t="e" cm="1">
        <f t="array" ref="D184">_xlfn.IFS(AND($C$7="Y",B184&lt;C$4),C184,AND($C$7="Y",B184=C$4),D183+F184-J184-K184-L184+N184,AND($C$7="Y",B184&gt;$C$4),D183-J184-K184-L184+N184, TRUE, D183-J184-K184-L184+N184)</f>
        <v>#DIV/0!</v>
      </c>
      <c r="E184" s="48">
        <f t="shared" si="60"/>
        <v>0</v>
      </c>
      <c r="F184" s="50">
        <f t="shared" si="61"/>
        <v>0</v>
      </c>
      <c r="G184" s="50">
        <f t="shared" si="67"/>
        <v>0</v>
      </c>
      <c r="H184" s="51" t="e">
        <f t="shared" si="71"/>
        <v>#DIV/0!</v>
      </c>
      <c r="I184" s="52" t="e">
        <f t="shared" si="62"/>
        <v>#DIV/0!</v>
      </c>
      <c r="J184" s="52" t="e">
        <f t="shared" si="72"/>
        <v>#DIV/0!</v>
      </c>
      <c r="K184" s="51" t="e">
        <f t="shared" si="74"/>
        <v>#DIV/0!</v>
      </c>
      <c r="L184" s="49" t="e">
        <f t="shared" si="75"/>
        <v>#DIV/0!</v>
      </c>
      <c r="M184" s="49">
        <f t="shared" si="76"/>
        <v>0</v>
      </c>
      <c r="N184" s="49">
        <f t="shared" si="68"/>
        <v>0</v>
      </c>
      <c r="O184" s="48" t="e">
        <f t="shared" si="69"/>
        <v>#DIV/0!</v>
      </c>
      <c r="P184" s="38" t="e">
        <f t="shared" si="73"/>
        <v>#DIV/0!</v>
      </c>
      <c r="Q184" s="53"/>
      <c r="R184" s="53">
        <f t="shared" si="63"/>
        <v>0</v>
      </c>
      <c r="S184" s="53">
        <f t="shared" si="64"/>
        <v>0</v>
      </c>
      <c r="T184" s="53">
        <f t="shared" si="65"/>
        <v>0.05</v>
      </c>
      <c r="U184" s="53">
        <f t="shared" si="66"/>
        <v>4.2653187775606449E-3</v>
      </c>
    </row>
    <row r="185" spans="1:21" x14ac:dyDescent="0.2">
      <c r="A185" s="62" t="e">
        <f t="shared" si="58"/>
        <v>#DIV/0!</v>
      </c>
      <c r="B185" s="45">
        <f t="shared" si="59"/>
        <v>171</v>
      </c>
      <c r="C185" s="49" t="e">
        <f t="shared" si="70"/>
        <v>#DIV/0!</v>
      </c>
      <c r="D185" s="47" t="e" cm="1">
        <f t="array" ref="D185">_xlfn.IFS(AND($C$7="Y",B185&lt;C$4),C185,AND($C$7="Y",B185=C$4),D184+F185-J185-K185-L185+N185,AND($C$7="Y",B185&gt;$C$4),D184-J185-K185-L185+N185, TRUE, D184-J185-K185-L185+N185)</f>
        <v>#DIV/0!</v>
      </c>
      <c r="E185" s="48">
        <f t="shared" si="60"/>
        <v>0</v>
      </c>
      <c r="F185" s="50">
        <f t="shared" si="61"/>
        <v>0</v>
      </c>
      <c r="G185" s="50">
        <f t="shared" si="67"/>
        <v>0</v>
      </c>
      <c r="H185" s="51" t="e">
        <f t="shared" si="71"/>
        <v>#DIV/0!</v>
      </c>
      <c r="I185" s="52" t="e">
        <f t="shared" si="62"/>
        <v>#DIV/0!</v>
      </c>
      <c r="J185" s="52" t="e">
        <f t="shared" si="72"/>
        <v>#DIV/0!</v>
      </c>
      <c r="K185" s="51" t="e">
        <f t="shared" si="74"/>
        <v>#DIV/0!</v>
      </c>
      <c r="L185" s="49" t="e">
        <f t="shared" si="75"/>
        <v>#DIV/0!</v>
      </c>
      <c r="M185" s="49">
        <f t="shared" si="76"/>
        <v>0</v>
      </c>
      <c r="N185" s="49">
        <f t="shared" si="68"/>
        <v>0</v>
      </c>
      <c r="O185" s="48" t="e">
        <f t="shared" si="69"/>
        <v>#DIV/0!</v>
      </c>
      <c r="P185" s="38" t="e">
        <f t="shared" si="73"/>
        <v>#DIV/0!</v>
      </c>
      <c r="Q185" s="53"/>
      <c r="R185" s="53">
        <f t="shared" si="63"/>
        <v>0</v>
      </c>
      <c r="S185" s="53">
        <f t="shared" si="64"/>
        <v>0</v>
      </c>
      <c r="T185" s="53">
        <f t="shared" si="65"/>
        <v>0.05</v>
      </c>
      <c r="U185" s="53">
        <f t="shared" si="66"/>
        <v>4.2653187775606449E-3</v>
      </c>
    </row>
    <row r="186" spans="1:21" x14ac:dyDescent="0.2">
      <c r="A186" s="62" t="e">
        <f t="shared" si="58"/>
        <v>#DIV/0!</v>
      </c>
      <c r="B186" s="45">
        <f t="shared" si="59"/>
        <v>172</v>
      </c>
      <c r="C186" s="49" t="e">
        <f t="shared" si="70"/>
        <v>#DIV/0!</v>
      </c>
      <c r="D186" s="47" t="e" cm="1">
        <f t="array" ref="D186">_xlfn.IFS(AND($C$7="Y",B186&lt;C$4),C186,AND($C$7="Y",B186=C$4),D185+F186-J186-K186-L186+N186,AND($C$7="Y",B186&gt;$C$4),D185-J186-K186-L186+N186, TRUE, D185-J186-K186-L186+N186)</f>
        <v>#DIV/0!</v>
      </c>
      <c r="E186" s="48">
        <f t="shared" si="60"/>
        <v>0</v>
      </c>
      <c r="F186" s="50">
        <f t="shared" si="61"/>
        <v>0</v>
      </c>
      <c r="G186" s="50">
        <f t="shared" si="67"/>
        <v>0</v>
      </c>
      <c r="H186" s="51" t="e">
        <f t="shared" si="71"/>
        <v>#DIV/0!</v>
      </c>
      <c r="I186" s="52" t="e">
        <f t="shared" si="62"/>
        <v>#DIV/0!</v>
      </c>
      <c r="J186" s="52" t="e">
        <f t="shared" si="72"/>
        <v>#DIV/0!</v>
      </c>
      <c r="K186" s="51" t="e">
        <f t="shared" si="74"/>
        <v>#DIV/0!</v>
      </c>
      <c r="L186" s="49" t="e">
        <f t="shared" si="75"/>
        <v>#DIV/0!</v>
      </c>
      <c r="M186" s="49">
        <f t="shared" si="76"/>
        <v>0</v>
      </c>
      <c r="N186" s="49">
        <f t="shared" si="68"/>
        <v>0</v>
      </c>
      <c r="O186" s="48" t="e">
        <f t="shared" si="69"/>
        <v>#DIV/0!</v>
      </c>
      <c r="P186" s="38" t="e">
        <f t="shared" si="73"/>
        <v>#DIV/0!</v>
      </c>
      <c r="Q186" s="53"/>
      <c r="R186" s="53">
        <f t="shared" si="63"/>
        <v>0</v>
      </c>
      <c r="S186" s="53">
        <f t="shared" si="64"/>
        <v>0</v>
      </c>
      <c r="T186" s="53">
        <f t="shared" si="65"/>
        <v>0.05</v>
      </c>
      <c r="U186" s="53">
        <f t="shared" si="66"/>
        <v>4.2653187775606449E-3</v>
      </c>
    </row>
    <row r="187" spans="1:21" x14ac:dyDescent="0.2">
      <c r="A187" s="62" t="e">
        <f t="shared" si="58"/>
        <v>#DIV/0!</v>
      </c>
      <c r="B187" s="45">
        <f t="shared" si="59"/>
        <v>173</v>
      </c>
      <c r="C187" s="49" t="e">
        <f t="shared" si="70"/>
        <v>#DIV/0!</v>
      </c>
      <c r="D187" s="47" t="e" cm="1">
        <f t="array" ref="D187">_xlfn.IFS(AND($C$7="Y",B187&lt;C$4),C187,AND($C$7="Y",B187=C$4),D186+F187-J187-K187-L187+N187,AND($C$7="Y",B187&gt;$C$4),D186-J187-K187-L187+N187, TRUE, D186-J187-K187-L187+N187)</f>
        <v>#DIV/0!</v>
      </c>
      <c r="E187" s="48">
        <f t="shared" si="60"/>
        <v>0</v>
      </c>
      <c r="F187" s="50">
        <f t="shared" si="61"/>
        <v>0</v>
      </c>
      <c r="G187" s="50">
        <f t="shared" si="67"/>
        <v>0</v>
      </c>
      <c r="H187" s="51" t="e">
        <f t="shared" si="71"/>
        <v>#DIV/0!</v>
      </c>
      <c r="I187" s="52" t="e">
        <f t="shared" si="62"/>
        <v>#DIV/0!</v>
      </c>
      <c r="J187" s="52" t="e">
        <f t="shared" si="72"/>
        <v>#DIV/0!</v>
      </c>
      <c r="K187" s="51" t="e">
        <f t="shared" si="74"/>
        <v>#DIV/0!</v>
      </c>
      <c r="L187" s="49" t="e">
        <f t="shared" si="75"/>
        <v>#DIV/0!</v>
      </c>
      <c r="M187" s="49">
        <f t="shared" si="76"/>
        <v>0</v>
      </c>
      <c r="N187" s="49">
        <f t="shared" si="68"/>
        <v>0</v>
      </c>
      <c r="O187" s="48" t="e">
        <f t="shared" si="69"/>
        <v>#DIV/0!</v>
      </c>
      <c r="P187" s="38" t="e">
        <f t="shared" si="73"/>
        <v>#DIV/0!</v>
      </c>
      <c r="Q187" s="53"/>
      <c r="R187" s="53">
        <f t="shared" si="63"/>
        <v>0</v>
      </c>
      <c r="S187" s="53">
        <f t="shared" si="64"/>
        <v>0</v>
      </c>
      <c r="T187" s="53">
        <f t="shared" si="65"/>
        <v>0.05</v>
      </c>
      <c r="U187" s="53">
        <f t="shared" si="66"/>
        <v>4.2653187775606449E-3</v>
      </c>
    </row>
    <row r="188" spans="1:21" x14ac:dyDescent="0.2">
      <c r="A188" s="62" t="e">
        <f t="shared" si="58"/>
        <v>#DIV/0!</v>
      </c>
      <c r="B188" s="45">
        <f t="shared" si="59"/>
        <v>174</v>
      </c>
      <c r="C188" s="49" t="e">
        <f t="shared" si="70"/>
        <v>#DIV/0!</v>
      </c>
      <c r="D188" s="47" t="e" cm="1">
        <f t="array" ref="D188">_xlfn.IFS(AND($C$7="Y",B188&lt;C$4),C188,AND($C$7="Y",B188=C$4),D187+F188-J188-K188-L188+N188,AND($C$7="Y",B188&gt;$C$4),D187-J188-K188-L188+N188, TRUE, D187-J188-K188-L188+N188)</f>
        <v>#DIV/0!</v>
      </c>
      <c r="E188" s="48">
        <f t="shared" si="60"/>
        <v>0</v>
      </c>
      <c r="F188" s="50">
        <f t="shared" si="61"/>
        <v>0</v>
      </c>
      <c r="G188" s="50">
        <f t="shared" si="67"/>
        <v>0</v>
      </c>
      <c r="H188" s="51" t="e">
        <f t="shared" si="71"/>
        <v>#DIV/0!</v>
      </c>
      <c r="I188" s="52" t="e">
        <f t="shared" si="62"/>
        <v>#DIV/0!</v>
      </c>
      <c r="J188" s="52" t="e">
        <f t="shared" si="72"/>
        <v>#DIV/0!</v>
      </c>
      <c r="K188" s="51" t="e">
        <f t="shared" si="74"/>
        <v>#DIV/0!</v>
      </c>
      <c r="L188" s="49" t="e">
        <f t="shared" si="75"/>
        <v>#DIV/0!</v>
      </c>
      <c r="M188" s="49">
        <f t="shared" si="76"/>
        <v>0</v>
      </c>
      <c r="N188" s="49">
        <f t="shared" si="68"/>
        <v>0</v>
      </c>
      <c r="O188" s="48" t="e">
        <f t="shared" si="69"/>
        <v>#DIV/0!</v>
      </c>
      <c r="P188" s="38" t="e">
        <f t="shared" si="73"/>
        <v>#DIV/0!</v>
      </c>
      <c r="Q188" s="53"/>
      <c r="R188" s="53">
        <f t="shared" si="63"/>
        <v>0</v>
      </c>
      <c r="S188" s="53">
        <f t="shared" si="64"/>
        <v>0</v>
      </c>
      <c r="T188" s="53">
        <f t="shared" si="65"/>
        <v>0.05</v>
      </c>
      <c r="U188" s="53">
        <f t="shared" si="66"/>
        <v>4.2653187775606449E-3</v>
      </c>
    </row>
    <row r="189" spans="1:21" x14ac:dyDescent="0.2">
      <c r="A189" s="62" t="e">
        <f t="shared" si="58"/>
        <v>#DIV/0!</v>
      </c>
      <c r="B189" s="45">
        <f t="shared" si="59"/>
        <v>175</v>
      </c>
      <c r="C189" s="49" t="e">
        <f t="shared" si="70"/>
        <v>#DIV/0!</v>
      </c>
      <c r="D189" s="47" t="e" cm="1">
        <f t="array" ref="D189">_xlfn.IFS(AND($C$7="Y",B189&lt;C$4),C189,AND($C$7="Y",B189=C$4),D188+F189-J189-K189-L189+N189,AND($C$7="Y",B189&gt;$C$4),D188-J189-K189-L189+N189, TRUE, D188-J189-K189-L189+N189)</f>
        <v>#DIV/0!</v>
      </c>
      <c r="E189" s="48">
        <f t="shared" si="60"/>
        <v>0</v>
      </c>
      <c r="F189" s="50">
        <f t="shared" si="61"/>
        <v>0</v>
      </c>
      <c r="G189" s="50">
        <f t="shared" si="67"/>
        <v>0</v>
      </c>
      <c r="H189" s="51" t="e">
        <f t="shared" si="71"/>
        <v>#DIV/0!</v>
      </c>
      <c r="I189" s="52" t="e">
        <f t="shared" si="62"/>
        <v>#DIV/0!</v>
      </c>
      <c r="J189" s="52" t="e">
        <f t="shared" si="72"/>
        <v>#DIV/0!</v>
      </c>
      <c r="K189" s="51" t="e">
        <f t="shared" si="74"/>
        <v>#DIV/0!</v>
      </c>
      <c r="L189" s="49" t="e">
        <f t="shared" si="75"/>
        <v>#DIV/0!</v>
      </c>
      <c r="M189" s="49">
        <f t="shared" si="76"/>
        <v>0</v>
      </c>
      <c r="N189" s="49">
        <f t="shared" si="68"/>
        <v>0</v>
      </c>
      <c r="O189" s="48" t="e">
        <f t="shared" si="69"/>
        <v>#DIV/0!</v>
      </c>
      <c r="P189" s="38" t="e">
        <f t="shared" si="73"/>
        <v>#DIV/0!</v>
      </c>
      <c r="Q189" s="53"/>
      <c r="R189" s="53">
        <f t="shared" si="63"/>
        <v>0</v>
      </c>
      <c r="S189" s="53">
        <f t="shared" si="64"/>
        <v>0</v>
      </c>
      <c r="T189" s="53">
        <f t="shared" si="65"/>
        <v>0.05</v>
      </c>
      <c r="U189" s="53">
        <f t="shared" si="66"/>
        <v>4.2653187775606449E-3</v>
      </c>
    </row>
    <row r="190" spans="1:21" x14ac:dyDescent="0.2">
      <c r="A190" s="62" t="e">
        <f t="shared" si="58"/>
        <v>#DIV/0!</v>
      </c>
      <c r="B190" s="45">
        <f t="shared" si="59"/>
        <v>176</v>
      </c>
      <c r="C190" s="49" t="e">
        <f t="shared" si="70"/>
        <v>#DIV/0!</v>
      </c>
      <c r="D190" s="47" t="e" cm="1">
        <f t="array" ref="D190">_xlfn.IFS(AND($C$7="Y",B190&lt;C$4),C190,AND($C$7="Y",B190=C$4),D189+F190-J190-K190-L190+N190,AND($C$7="Y",B190&gt;$C$4),D189-J190-K190-L190+N190, TRUE, D189-J190-K190-L190+N190)</f>
        <v>#DIV/0!</v>
      </c>
      <c r="E190" s="48">
        <f t="shared" si="60"/>
        <v>0</v>
      </c>
      <c r="F190" s="50">
        <f t="shared" si="61"/>
        <v>0</v>
      </c>
      <c r="G190" s="50">
        <f t="shared" si="67"/>
        <v>0</v>
      </c>
      <c r="H190" s="51" t="e">
        <f t="shared" si="71"/>
        <v>#DIV/0!</v>
      </c>
      <c r="I190" s="52" t="e">
        <f t="shared" si="62"/>
        <v>#DIV/0!</v>
      </c>
      <c r="J190" s="52" t="e">
        <f t="shared" si="72"/>
        <v>#DIV/0!</v>
      </c>
      <c r="K190" s="51" t="e">
        <f t="shared" si="74"/>
        <v>#DIV/0!</v>
      </c>
      <c r="L190" s="49" t="e">
        <f t="shared" si="75"/>
        <v>#DIV/0!</v>
      </c>
      <c r="M190" s="49">
        <f t="shared" si="76"/>
        <v>0</v>
      </c>
      <c r="N190" s="49">
        <f t="shared" si="68"/>
        <v>0</v>
      </c>
      <c r="O190" s="48" t="e">
        <f t="shared" si="69"/>
        <v>#DIV/0!</v>
      </c>
      <c r="P190" s="38" t="e">
        <f t="shared" si="73"/>
        <v>#DIV/0!</v>
      </c>
      <c r="Q190" s="53"/>
      <c r="R190" s="53">
        <f t="shared" si="63"/>
        <v>0</v>
      </c>
      <c r="S190" s="53">
        <f t="shared" si="64"/>
        <v>0</v>
      </c>
      <c r="T190" s="53">
        <f t="shared" si="65"/>
        <v>0.05</v>
      </c>
      <c r="U190" s="53">
        <f t="shared" si="66"/>
        <v>4.2653187775606449E-3</v>
      </c>
    </row>
    <row r="191" spans="1:21" x14ac:dyDescent="0.2">
      <c r="A191" s="62" t="e">
        <f t="shared" si="58"/>
        <v>#DIV/0!</v>
      </c>
      <c r="B191" s="45">
        <f t="shared" si="59"/>
        <v>177</v>
      </c>
      <c r="C191" s="49" t="e">
        <f t="shared" si="70"/>
        <v>#DIV/0!</v>
      </c>
      <c r="D191" s="47" t="e" cm="1">
        <f t="array" ref="D191">_xlfn.IFS(AND($C$7="Y",B191&lt;C$4),C191,AND($C$7="Y",B191=C$4),D190+F191-J191-K191-L191+N191,AND($C$7="Y",B191&gt;$C$4),D190-J191-K191-L191+N191, TRUE, D190-J191-K191-L191+N191)</f>
        <v>#DIV/0!</v>
      </c>
      <c r="E191" s="48">
        <f t="shared" si="60"/>
        <v>0</v>
      </c>
      <c r="F191" s="50">
        <f t="shared" si="61"/>
        <v>0</v>
      </c>
      <c r="G191" s="50">
        <f t="shared" si="67"/>
        <v>0</v>
      </c>
      <c r="H191" s="51" t="e">
        <f t="shared" si="71"/>
        <v>#DIV/0!</v>
      </c>
      <c r="I191" s="52" t="e">
        <f t="shared" si="62"/>
        <v>#DIV/0!</v>
      </c>
      <c r="J191" s="52" t="e">
        <f t="shared" si="72"/>
        <v>#DIV/0!</v>
      </c>
      <c r="K191" s="51" t="e">
        <f t="shared" si="74"/>
        <v>#DIV/0!</v>
      </c>
      <c r="L191" s="49" t="e">
        <f t="shared" si="75"/>
        <v>#DIV/0!</v>
      </c>
      <c r="M191" s="49">
        <f t="shared" si="76"/>
        <v>0</v>
      </c>
      <c r="N191" s="49">
        <f t="shared" si="68"/>
        <v>0</v>
      </c>
      <c r="O191" s="48" t="e">
        <f t="shared" si="69"/>
        <v>#DIV/0!</v>
      </c>
      <c r="P191" s="38" t="e">
        <f t="shared" si="73"/>
        <v>#DIV/0!</v>
      </c>
      <c r="Q191" s="53"/>
      <c r="R191" s="53">
        <f t="shared" si="63"/>
        <v>0</v>
      </c>
      <c r="S191" s="53">
        <f t="shared" si="64"/>
        <v>0</v>
      </c>
      <c r="T191" s="53">
        <f t="shared" si="65"/>
        <v>0.05</v>
      </c>
      <c r="U191" s="53">
        <f t="shared" si="66"/>
        <v>4.2653187775606449E-3</v>
      </c>
    </row>
    <row r="192" spans="1:21" x14ac:dyDescent="0.2">
      <c r="A192" s="62" t="e">
        <f t="shared" si="58"/>
        <v>#DIV/0!</v>
      </c>
      <c r="B192" s="45">
        <f t="shared" si="59"/>
        <v>178</v>
      </c>
      <c r="C192" s="49" t="e">
        <f t="shared" si="70"/>
        <v>#DIV/0!</v>
      </c>
      <c r="D192" s="47" t="e" cm="1">
        <f t="array" ref="D192">_xlfn.IFS(AND($C$7="Y",B192&lt;C$4),C192,AND($C$7="Y",B192=C$4),D191+F192-J192-K192-L192+N192,AND($C$7="Y",B192&gt;$C$4),D191-J192-K192-L192+N192, TRUE, D191-J192-K192-L192+N192)</f>
        <v>#DIV/0!</v>
      </c>
      <c r="E192" s="48">
        <f t="shared" si="60"/>
        <v>0</v>
      </c>
      <c r="F192" s="50">
        <f t="shared" si="61"/>
        <v>0</v>
      </c>
      <c r="G192" s="50">
        <f t="shared" si="67"/>
        <v>0</v>
      </c>
      <c r="H192" s="51" t="e">
        <f t="shared" si="71"/>
        <v>#DIV/0!</v>
      </c>
      <c r="I192" s="52" t="e">
        <f t="shared" si="62"/>
        <v>#DIV/0!</v>
      </c>
      <c r="J192" s="52" t="e">
        <f t="shared" si="72"/>
        <v>#DIV/0!</v>
      </c>
      <c r="K192" s="51" t="e">
        <f t="shared" si="74"/>
        <v>#DIV/0!</v>
      </c>
      <c r="L192" s="49" t="e">
        <f t="shared" si="75"/>
        <v>#DIV/0!</v>
      </c>
      <c r="M192" s="49">
        <f t="shared" si="76"/>
        <v>0</v>
      </c>
      <c r="N192" s="49">
        <f t="shared" si="68"/>
        <v>0</v>
      </c>
      <c r="O192" s="48" t="e">
        <f t="shared" si="69"/>
        <v>#DIV/0!</v>
      </c>
      <c r="P192" s="38" t="e">
        <f t="shared" si="73"/>
        <v>#DIV/0!</v>
      </c>
      <c r="Q192" s="53"/>
      <c r="R192" s="53">
        <f t="shared" si="63"/>
        <v>0</v>
      </c>
      <c r="S192" s="53">
        <f t="shared" si="64"/>
        <v>0</v>
      </c>
      <c r="T192" s="53">
        <f t="shared" si="65"/>
        <v>0.05</v>
      </c>
      <c r="U192" s="53">
        <f t="shared" si="66"/>
        <v>4.2653187775606449E-3</v>
      </c>
    </row>
    <row r="193" spans="1:21" x14ac:dyDescent="0.2">
      <c r="A193" s="62" t="e">
        <f t="shared" si="58"/>
        <v>#DIV/0!</v>
      </c>
      <c r="B193" s="45">
        <f t="shared" si="59"/>
        <v>179</v>
      </c>
      <c r="C193" s="49" t="e">
        <f t="shared" si="70"/>
        <v>#DIV/0!</v>
      </c>
      <c r="D193" s="47" t="e" cm="1">
        <f t="array" ref="D193">_xlfn.IFS(AND($C$7="Y",B193&lt;C$4),C193,AND($C$7="Y",B193=C$4),D192+F193-J193-K193-L193+N193,AND($C$7="Y",B193&gt;$C$4),D192-J193-K193-L193+N193, TRUE, D192-J193-K193-L193+N193)</f>
        <v>#DIV/0!</v>
      </c>
      <c r="E193" s="48">
        <f t="shared" si="60"/>
        <v>0</v>
      </c>
      <c r="F193" s="50">
        <f t="shared" si="61"/>
        <v>0</v>
      </c>
      <c r="G193" s="50">
        <f t="shared" si="67"/>
        <v>0</v>
      </c>
      <c r="H193" s="51" t="e">
        <f t="shared" si="71"/>
        <v>#DIV/0!</v>
      </c>
      <c r="I193" s="52" t="e">
        <f t="shared" si="62"/>
        <v>#DIV/0!</v>
      </c>
      <c r="J193" s="52" t="e">
        <f t="shared" si="72"/>
        <v>#DIV/0!</v>
      </c>
      <c r="K193" s="51" t="e">
        <f t="shared" si="74"/>
        <v>#DIV/0!</v>
      </c>
      <c r="L193" s="49" t="e">
        <f t="shared" si="75"/>
        <v>#DIV/0!</v>
      </c>
      <c r="M193" s="49">
        <f t="shared" si="76"/>
        <v>0</v>
      </c>
      <c r="N193" s="49">
        <f t="shared" si="68"/>
        <v>0</v>
      </c>
      <c r="O193" s="48" t="e">
        <f t="shared" si="69"/>
        <v>#DIV/0!</v>
      </c>
      <c r="P193" s="38" t="e">
        <f t="shared" si="73"/>
        <v>#DIV/0!</v>
      </c>
      <c r="Q193" s="53"/>
      <c r="R193" s="53">
        <f t="shared" si="63"/>
        <v>0</v>
      </c>
      <c r="S193" s="53">
        <f t="shared" si="64"/>
        <v>0</v>
      </c>
      <c r="T193" s="53">
        <f t="shared" si="65"/>
        <v>0.05</v>
      </c>
      <c r="U193" s="53">
        <f t="shared" si="66"/>
        <v>4.2653187775606449E-3</v>
      </c>
    </row>
    <row r="194" spans="1:21" x14ac:dyDescent="0.2">
      <c r="A194" s="62" t="e">
        <f t="shared" si="58"/>
        <v>#DIV/0!</v>
      </c>
      <c r="B194" s="45">
        <f t="shared" si="59"/>
        <v>180</v>
      </c>
      <c r="C194" s="49" t="e">
        <f t="shared" si="70"/>
        <v>#DIV/0!</v>
      </c>
      <c r="D194" s="47" t="e" cm="1">
        <f t="array" ref="D194">_xlfn.IFS(AND($C$7="Y",B194&lt;C$4),C194,AND($C$7="Y",B194=C$4),D193+F194-J194-K194-L194+N194,AND($C$7="Y",B194&gt;$C$4),D193-J194-K194-L194+N194, TRUE, D193-J194-K194-L194+N194)</f>
        <v>#DIV/0!</v>
      </c>
      <c r="E194" s="48">
        <f t="shared" si="60"/>
        <v>0</v>
      </c>
      <c r="F194" s="50">
        <f t="shared" si="61"/>
        <v>0</v>
      </c>
      <c r="G194" s="50">
        <f t="shared" si="67"/>
        <v>0</v>
      </c>
      <c r="H194" s="51" t="e">
        <f t="shared" si="71"/>
        <v>#DIV/0!</v>
      </c>
      <c r="I194" s="52" t="e">
        <f t="shared" si="62"/>
        <v>#DIV/0!</v>
      </c>
      <c r="J194" s="52" t="e">
        <f t="shared" si="72"/>
        <v>#DIV/0!</v>
      </c>
      <c r="K194" s="51" t="e">
        <f t="shared" si="74"/>
        <v>#DIV/0!</v>
      </c>
      <c r="L194" s="49" t="e">
        <f t="shared" si="75"/>
        <v>#DIV/0!</v>
      </c>
      <c r="M194" s="49">
        <f t="shared" si="76"/>
        <v>0</v>
      </c>
      <c r="N194" s="49">
        <f t="shared" si="68"/>
        <v>0</v>
      </c>
      <c r="O194" s="48" t="e">
        <f t="shared" si="69"/>
        <v>#DIV/0!</v>
      </c>
      <c r="P194" s="38" t="e">
        <f t="shared" si="73"/>
        <v>#DIV/0!</v>
      </c>
      <c r="Q194" s="53"/>
      <c r="R194" s="53">
        <f t="shared" si="63"/>
        <v>0</v>
      </c>
      <c r="S194" s="53">
        <f t="shared" si="64"/>
        <v>0</v>
      </c>
      <c r="T194" s="53">
        <f t="shared" si="65"/>
        <v>0.05</v>
      </c>
      <c r="U194" s="53">
        <f t="shared" si="66"/>
        <v>4.2653187775606449E-3</v>
      </c>
    </row>
    <row r="195" spans="1:21" x14ac:dyDescent="0.2">
      <c r="A195" s="62" t="e">
        <f t="shared" si="58"/>
        <v>#DIV/0!</v>
      </c>
      <c r="B195" s="45">
        <f t="shared" si="59"/>
        <v>181</v>
      </c>
      <c r="C195" s="49" t="e">
        <f t="shared" si="70"/>
        <v>#DIV/0!</v>
      </c>
      <c r="D195" s="47" t="e" cm="1">
        <f t="array" ref="D195">_xlfn.IFS(AND($C$7="Y",B195&lt;C$4),C195,AND($C$7="Y",B195=C$4),D194+F195-J195-K195-L195+N195,AND($C$7="Y",B195&gt;$C$4),D194-J195-K195-L195+N195, TRUE, D194-J195-K195-L195+N195)</f>
        <v>#DIV/0!</v>
      </c>
      <c r="E195" s="48">
        <f t="shared" si="60"/>
        <v>0</v>
      </c>
      <c r="F195" s="50">
        <f t="shared" si="61"/>
        <v>0</v>
      </c>
      <c r="G195" s="50">
        <f t="shared" si="67"/>
        <v>0</v>
      </c>
      <c r="H195" s="51" t="e">
        <f t="shared" si="71"/>
        <v>#DIV/0!</v>
      </c>
      <c r="I195" s="52" t="e">
        <f t="shared" si="62"/>
        <v>#DIV/0!</v>
      </c>
      <c r="J195" s="52" t="e">
        <f t="shared" si="72"/>
        <v>#DIV/0!</v>
      </c>
      <c r="K195" s="51" t="e">
        <f t="shared" si="74"/>
        <v>#DIV/0!</v>
      </c>
      <c r="L195" s="49" t="e">
        <f t="shared" si="75"/>
        <v>#DIV/0!</v>
      </c>
      <c r="M195" s="49">
        <f t="shared" si="76"/>
        <v>0</v>
      </c>
      <c r="N195" s="49">
        <f t="shared" si="68"/>
        <v>0</v>
      </c>
      <c r="O195" s="48" t="e">
        <f t="shared" si="69"/>
        <v>#DIV/0!</v>
      </c>
      <c r="P195" s="38" t="e">
        <f t="shared" si="73"/>
        <v>#DIV/0!</v>
      </c>
      <c r="Q195" s="53"/>
      <c r="R195" s="53">
        <f t="shared" si="63"/>
        <v>0</v>
      </c>
      <c r="S195" s="53">
        <f t="shared" si="64"/>
        <v>0</v>
      </c>
      <c r="T195" s="53">
        <f t="shared" si="65"/>
        <v>0.05</v>
      </c>
      <c r="U195" s="53">
        <f t="shared" si="66"/>
        <v>4.2653187775606449E-3</v>
      </c>
    </row>
    <row r="196" spans="1:21" x14ac:dyDescent="0.2">
      <c r="A196" s="62" t="e">
        <f t="shared" si="58"/>
        <v>#DIV/0!</v>
      </c>
      <c r="B196" s="45">
        <f t="shared" si="59"/>
        <v>182</v>
      </c>
      <c r="C196" s="49" t="e">
        <f t="shared" si="70"/>
        <v>#DIV/0!</v>
      </c>
      <c r="D196" s="47" t="e" cm="1">
        <f t="array" ref="D196">_xlfn.IFS(AND($C$7="Y",B196&lt;C$4),C196,AND($C$7="Y",B196=C$4),D195+F196-J196-K196-L196+N196,AND($C$7="Y",B196&gt;$C$4),D195-J196-K196-L196+N196, TRUE, D195-J196-K196-L196+N196)</f>
        <v>#DIV/0!</v>
      </c>
      <c r="E196" s="48">
        <f t="shared" si="60"/>
        <v>0</v>
      </c>
      <c r="F196" s="50">
        <f t="shared" si="61"/>
        <v>0</v>
      </c>
      <c r="G196" s="50">
        <f t="shared" si="67"/>
        <v>0</v>
      </c>
      <c r="H196" s="51" t="e">
        <f t="shared" si="71"/>
        <v>#DIV/0!</v>
      </c>
      <c r="I196" s="52" t="e">
        <f t="shared" si="62"/>
        <v>#DIV/0!</v>
      </c>
      <c r="J196" s="52" t="e">
        <f t="shared" si="72"/>
        <v>#DIV/0!</v>
      </c>
      <c r="K196" s="51" t="e">
        <f t="shared" si="74"/>
        <v>#DIV/0!</v>
      </c>
      <c r="L196" s="49" t="e">
        <f t="shared" si="75"/>
        <v>#DIV/0!</v>
      </c>
      <c r="M196" s="49">
        <f t="shared" si="76"/>
        <v>0</v>
      </c>
      <c r="N196" s="49">
        <f t="shared" si="68"/>
        <v>0</v>
      </c>
      <c r="O196" s="48" t="e">
        <f t="shared" si="69"/>
        <v>#DIV/0!</v>
      </c>
      <c r="P196" s="38" t="e">
        <f t="shared" si="73"/>
        <v>#DIV/0!</v>
      </c>
      <c r="Q196" s="53"/>
      <c r="R196" s="53">
        <f t="shared" si="63"/>
        <v>0</v>
      </c>
      <c r="S196" s="53">
        <f t="shared" si="64"/>
        <v>0</v>
      </c>
      <c r="T196" s="53">
        <f t="shared" si="65"/>
        <v>0.05</v>
      </c>
      <c r="U196" s="53">
        <f t="shared" si="66"/>
        <v>4.2653187775606449E-3</v>
      </c>
    </row>
    <row r="197" spans="1:21" x14ac:dyDescent="0.2">
      <c r="A197" s="62" t="e">
        <f t="shared" si="58"/>
        <v>#DIV/0!</v>
      </c>
      <c r="B197" s="45">
        <f t="shared" si="59"/>
        <v>183</v>
      </c>
      <c r="C197" s="49" t="e">
        <f t="shared" si="70"/>
        <v>#DIV/0!</v>
      </c>
      <c r="D197" s="47" t="e" cm="1">
        <f t="array" ref="D197">_xlfn.IFS(AND($C$7="Y",B197&lt;C$4),C197,AND($C$7="Y",B197=C$4),D196+F197-J197-K197-L197+N197,AND($C$7="Y",B197&gt;$C$4),D196-J197-K197-L197+N197, TRUE, D196-J197-K197-L197+N197)</f>
        <v>#DIV/0!</v>
      </c>
      <c r="E197" s="48">
        <f t="shared" si="60"/>
        <v>0</v>
      </c>
      <c r="F197" s="50">
        <f t="shared" si="61"/>
        <v>0</v>
      </c>
      <c r="G197" s="50">
        <f t="shared" si="67"/>
        <v>0</v>
      </c>
      <c r="H197" s="51" t="e">
        <f t="shared" si="71"/>
        <v>#DIV/0!</v>
      </c>
      <c r="I197" s="52" t="e">
        <f t="shared" si="62"/>
        <v>#DIV/0!</v>
      </c>
      <c r="J197" s="52" t="e">
        <f t="shared" si="72"/>
        <v>#DIV/0!</v>
      </c>
      <c r="K197" s="51" t="e">
        <f t="shared" si="74"/>
        <v>#DIV/0!</v>
      </c>
      <c r="L197" s="49" t="e">
        <f t="shared" si="75"/>
        <v>#DIV/0!</v>
      </c>
      <c r="M197" s="49">
        <f t="shared" si="76"/>
        <v>0</v>
      </c>
      <c r="N197" s="49">
        <f t="shared" si="68"/>
        <v>0</v>
      </c>
      <c r="O197" s="48" t="e">
        <f t="shared" si="69"/>
        <v>#DIV/0!</v>
      </c>
      <c r="P197" s="38" t="e">
        <f t="shared" si="73"/>
        <v>#DIV/0!</v>
      </c>
      <c r="Q197" s="53"/>
      <c r="R197" s="53">
        <f t="shared" si="63"/>
        <v>0</v>
      </c>
      <c r="S197" s="53">
        <f t="shared" si="64"/>
        <v>0</v>
      </c>
      <c r="T197" s="53">
        <f t="shared" si="65"/>
        <v>0.05</v>
      </c>
      <c r="U197" s="53">
        <f t="shared" si="66"/>
        <v>4.2653187775606449E-3</v>
      </c>
    </row>
    <row r="198" spans="1:21" x14ac:dyDescent="0.2">
      <c r="A198" s="62" t="e">
        <f t="shared" si="58"/>
        <v>#DIV/0!</v>
      </c>
      <c r="B198" s="45">
        <f t="shared" si="59"/>
        <v>184</v>
      </c>
      <c r="C198" s="49" t="e">
        <f t="shared" si="70"/>
        <v>#DIV/0!</v>
      </c>
      <c r="D198" s="47" t="e" cm="1">
        <f t="array" ref="D198">_xlfn.IFS(AND($C$7="Y",B198&lt;C$4),C198,AND($C$7="Y",B198=C$4),D197+F198-J198-K198-L198+N198,AND($C$7="Y",B198&gt;$C$4),D197-J198-K198-L198+N198, TRUE, D197-J198-K198-L198+N198)</f>
        <v>#DIV/0!</v>
      </c>
      <c r="E198" s="48">
        <f t="shared" si="60"/>
        <v>0</v>
      </c>
      <c r="F198" s="50">
        <f t="shared" si="61"/>
        <v>0</v>
      </c>
      <c r="G198" s="50">
        <f t="shared" si="67"/>
        <v>0</v>
      </c>
      <c r="H198" s="51" t="e">
        <f t="shared" si="71"/>
        <v>#DIV/0!</v>
      </c>
      <c r="I198" s="52" t="e">
        <f t="shared" si="62"/>
        <v>#DIV/0!</v>
      </c>
      <c r="J198" s="52" t="e">
        <f t="shared" si="72"/>
        <v>#DIV/0!</v>
      </c>
      <c r="K198" s="51" t="e">
        <f t="shared" si="74"/>
        <v>#DIV/0!</v>
      </c>
      <c r="L198" s="49" t="e">
        <f t="shared" si="75"/>
        <v>#DIV/0!</v>
      </c>
      <c r="M198" s="49">
        <f t="shared" si="76"/>
        <v>0</v>
      </c>
      <c r="N198" s="49">
        <f t="shared" si="68"/>
        <v>0</v>
      </c>
      <c r="O198" s="48" t="e">
        <f t="shared" si="69"/>
        <v>#DIV/0!</v>
      </c>
      <c r="P198" s="38" t="e">
        <f t="shared" si="73"/>
        <v>#DIV/0!</v>
      </c>
      <c r="Q198" s="53"/>
      <c r="R198" s="53">
        <f t="shared" si="63"/>
        <v>0</v>
      </c>
      <c r="S198" s="53">
        <f t="shared" si="64"/>
        <v>0</v>
      </c>
      <c r="T198" s="53">
        <f t="shared" si="65"/>
        <v>0.05</v>
      </c>
      <c r="U198" s="53">
        <f t="shared" si="66"/>
        <v>4.2653187775606449E-3</v>
      </c>
    </row>
    <row r="199" spans="1:21" x14ac:dyDescent="0.2">
      <c r="A199" s="62" t="e">
        <f t="shared" si="58"/>
        <v>#DIV/0!</v>
      </c>
      <c r="B199" s="45">
        <f t="shared" si="59"/>
        <v>185</v>
      </c>
      <c r="C199" s="49" t="e">
        <f t="shared" si="70"/>
        <v>#DIV/0!</v>
      </c>
      <c r="D199" s="47" t="e" cm="1">
        <f t="array" ref="D199">_xlfn.IFS(AND($C$7="Y",B199&lt;C$4),C199,AND($C$7="Y",B199=C$4),D198+F199-J199-K199-L199+N199,AND($C$7="Y",B199&gt;$C$4),D198-J199-K199-L199+N199, TRUE, D198-J199-K199-L199+N199)</f>
        <v>#DIV/0!</v>
      </c>
      <c r="E199" s="48">
        <f t="shared" si="60"/>
        <v>0</v>
      </c>
      <c r="F199" s="50">
        <f t="shared" si="61"/>
        <v>0</v>
      </c>
      <c r="G199" s="50">
        <f t="shared" si="67"/>
        <v>0</v>
      </c>
      <c r="H199" s="51" t="e">
        <f t="shared" si="71"/>
        <v>#DIV/0!</v>
      </c>
      <c r="I199" s="52" t="e">
        <f t="shared" si="62"/>
        <v>#DIV/0!</v>
      </c>
      <c r="J199" s="52" t="e">
        <f t="shared" si="72"/>
        <v>#DIV/0!</v>
      </c>
      <c r="K199" s="51" t="e">
        <f t="shared" si="74"/>
        <v>#DIV/0!</v>
      </c>
      <c r="L199" s="49" t="e">
        <f t="shared" si="75"/>
        <v>#DIV/0!</v>
      </c>
      <c r="M199" s="49">
        <f t="shared" si="76"/>
        <v>0</v>
      </c>
      <c r="N199" s="49">
        <f t="shared" si="68"/>
        <v>0</v>
      </c>
      <c r="O199" s="48" t="e">
        <f t="shared" si="69"/>
        <v>#DIV/0!</v>
      </c>
      <c r="P199" s="38" t="e">
        <f t="shared" si="73"/>
        <v>#DIV/0!</v>
      </c>
      <c r="Q199" s="53"/>
      <c r="R199" s="53">
        <f t="shared" si="63"/>
        <v>0</v>
      </c>
      <c r="S199" s="53">
        <f t="shared" si="64"/>
        <v>0</v>
      </c>
      <c r="T199" s="53">
        <f t="shared" si="65"/>
        <v>0.05</v>
      </c>
      <c r="U199" s="53">
        <f t="shared" si="66"/>
        <v>4.2653187775606449E-3</v>
      </c>
    </row>
    <row r="200" spans="1:21" x14ac:dyDescent="0.2">
      <c r="A200" s="62" t="e">
        <f t="shared" si="58"/>
        <v>#DIV/0!</v>
      </c>
      <c r="B200" s="45">
        <f t="shared" si="59"/>
        <v>186</v>
      </c>
      <c r="C200" s="49" t="e">
        <f t="shared" si="70"/>
        <v>#DIV/0!</v>
      </c>
      <c r="D200" s="47" t="e" cm="1">
        <f t="array" ref="D200">_xlfn.IFS(AND($C$7="Y",B200&lt;C$4),C200,AND($C$7="Y",B200=C$4),D199+F200-J200-K200-L200+N200,AND($C$7="Y",B200&gt;$C$4),D199-J200-K200-L200+N200, TRUE, D199-J200-K200-L200+N200)</f>
        <v>#DIV/0!</v>
      </c>
      <c r="E200" s="48">
        <f t="shared" si="60"/>
        <v>0</v>
      </c>
      <c r="F200" s="50">
        <f t="shared" si="61"/>
        <v>0</v>
      </c>
      <c r="G200" s="50">
        <f t="shared" si="67"/>
        <v>0</v>
      </c>
      <c r="H200" s="51" t="e">
        <f t="shared" si="71"/>
        <v>#DIV/0!</v>
      </c>
      <c r="I200" s="52" t="e">
        <f t="shared" si="62"/>
        <v>#DIV/0!</v>
      </c>
      <c r="J200" s="52" t="e">
        <f t="shared" si="72"/>
        <v>#DIV/0!</v>
      </c>
      <c r="K200" s="51" t="e">
        <f t="shared" si="74"/>
        <v>#DIV/0!</v>
      </c>
      <c r="L200" s="49" t="e">
        <f t="shared" si="75"/>
        <v>#DIV/0!</v>
      </c>
      <c r="M200" s="49">
        <f t="shared" si="76"/>
        <v>0</v>
      </c>
      <c r="N200" s="49">
        <f t="shared" si="68"/>
        <v>0</v>
      </c>
      <c r="O200" s="48" t="e">
        <f t="shared" si="69"/>
        <v>#DIV/0!</v>
      </c>
      <c r="P200" s="38" t="e">
        <f t="shared" si="73"/>
        <v>#DIV/0!</v>
      </c>
      <c r="Q200" s="53"/>
      <c r="R200" s="53">
        <f t="shared" si="63"/>
        <v>0</v>
      </c>
      <c r="S200" s="53">
        <f t="shared" si="64"/>
        <v>0</v>
      </c>
      <c r="T200" s="53">
        <f t="shared" si="65"/>
        <v>0.05</v>
      </c>
      <c r="U200" s="53">
        <f t="shared" si="66"/>
        <v>4.2653187775606449E-3</v>
      </c>
    </row>
    <row r="201" spans="1:21" x14ac:dyDescent="0.2">
      <c r="A201" s="62" t="e">
        <f t="shared" si="58"/>
        <v>#DIV/0!</v>
      </c>
      <c r="B201" s="45">
        <f t="shared" si="59"/>
        <v>187</v>
      </c>
      <c r="C201" s="49" t="e">
        <f t="shared" si="70"/>
        <v>#DIV/0!</v>
      </c>
      <c r="D201" s="47" t="e" cm="1">
        <f t="array" ref="D201">_xlfn.IFS(AND($C$7="Y",B201&lt;C$4),C201,AND($C$7="Y",B201=C$4),D200+F201-J201-K201-L201+N201,AND($C$7="Y",B201&gt;$C$4),D200-J201-K201-L201+N201, TRUE, D200-J201-K201-L201+N201)</f>
        <v>#DIV/0!</v>
      </c>
      <c r="E201" s="48">
        <f t="shared" si="60"/>
        <v>0</v>
      </c>
      <c r="F201" s="50">
        <f t="shared" si="61"/>
        <v>0</v>
      </c>
      <c r="G201" s="50">
        <f t="shared" si="67"/>
        <v>0</v>
      </c>
      <c r="H201" s="51" t="e">
        <f t="shared" si="71"/>
        <v>#DIV/0!</v>
      </c>
      <c r="I201" s="52" t="e">
        <f t="shared" si="62"/>
        <v>#DIV/0!</v>
      </c>
      <c r="J201" s="52" t="e">
        <f t="shared" si="72"/>
        <v>#DIV/0!</v>
      </c>
      <c r="K201" s="51" t="e">
        <f t="shared" si="74"/>
        <v>#DIV/0!</v>
      </c>
      <c r="L201" s="49" t="e">
        <f t="shared" si="75"/>
        <v>#DIV/0!</v>
      </c>
      <c r="M201" s="49">
        <f t="shared" si="76"/>
        <v>0</v>
      </c>
      <c r="N201" s="49">
        <f t="shared" si="68"/>
        <v>0</v>
      </c>
      <c r="O201" s="48" t="e">
        <f t="shared" si="69"/>
        <v>#DIV/0!</v>
      </c>
      <c r="P201" s="38" t="e">
        <f t="shared" si="73"/>
        <v>#DIV/0!</v>
      </c>
      <c r="Q201" s="53"/>
      <c r="R201" s="53">
        <f t="shared" si="63"/>
        <v>0</v>
      </c>
      <c r="S201" s="53">
        <f t="shared" si="64"/>
        <v>0</v>
      </c>
      <c r="T201" s="53">
        <f t="shared" si="65"/>
        <v>0.05</v>
      </c>
      <c r="U201" s="53">
        <f t="shared" si="66"/>
        <v>4.2653187775606449E-3</v>
      </c>
    </row>
    <row r="202" spans="1:21" x14ac:dyDescent="0.2">
      <c r="A202" s="62" t="e">
        <f t="shared" si="58"/>
        <v>#DIV/0!</v>
      </c>
      <c r="B202" s="45">
        <f t="shared" si="59"/>
        <v>188</v>
      </c>
      <c r="C202" s="49" t="e">
        <f t="shared" si="70"/>
        <v>#DIV/0!</v>
      </c>
      <c r="D202" s="47" t="e" cm="1">
        <f t="array" ref="D202">_xlfn.IFS(AND($C$7="Y",B202&lt;C$4),C202,AND($C$7="Y",B202=C$4),D201+F202-J202-K202-L202+N202,AND($C$7="Y",B202&gt;$C$4),D201-J202-K202-L202+N202, TRUE, D201-J202-K202-L202+N202)</f>
        <v>#DIV/0!</v>
      </c>
      <c r="E202" s="48">
        <f t="shared" si="60"/>
        <v>0</v>
      </c>
      <c r="F202" s="50">
        <f t="shared" si="61"/>
        <v>0</v>
      </c>
      <c r="G202" s="50">
        <f t="shared" si="67"/>
        <v>0</v>
      </c>
      <c r="H202" s="51" t="e">
        <f t="shared" si="71"/>
        <v>#DIV/0!</v>
      </c>
      <c r="I202" s="52" t="e">
        <f t="shared" si="62"/>
        <v>#DIV/0!</v>
      </c>
      <c r="J202" s="52" t="e">
        <f t="shared" si="72"/>
        <v>#DIV/0!</v>
      </c>
      <c r="K202" s="51" t="e">
        <f t="shared" si="74"/>
        <v>#DIV/0!</v>
      </c>
      <c r="L202" s="49" t="e">
        <f t="shared" si="75"/>
        <v>#DIV/0!</v>
      </c>
      <c r="M202" s="49">
        <f t="shared" si="76"/>
        <v>0</v>
      </c>
      <c r="N202" s="49">
        <f t="shared" si="68"/>
        <v>0</v>
      </c>
      <c r="O202" s="48" t="e">
        <f t="shared" si="69"/>
        <v>#DIV/0!</v>
      </c>
      <c r="P202" s="38" t="e">
        <f t="shared" si="73"/>
        <v>#DIV/0!</v>
      </c>
      <c r="Q202" s="53"/>
      <c r="R202" s="53">
        <f t="shared" si="63"/>
        <v>0</v>
      </c>
      <c r="S202" s="53">
        <f t="shared" si="64"/>
        <v>0</v>
      </c>
      <c r="T202" s="53">
        <f t="shared" si="65"/>
        <v>0.05</v>
      </c>
      <c r="U202" s="53">
        <f t="shared" si="66"/>
        <v>4.2653187775606449E-3</v>
      </c>
    </row>
    <row r="203" spans="1:21" x14ac:dyDescent="0.2">
      <c r="A203" s="62" t="e">
        <f t="shared" si="58"/>
        <v>#DIV/0!</v>
      </c>
      <c r="B203" s="45">
        <f t="shared" si="59"/>
        <v>189</v>
      </c>
      <c r="C203" s="49" t="e">
        <f t="shared" si="70"/>
        <v>#DIV/0!</v>
      </c>
      <c r="D203" s="47" t="e" cm="1">
        <f t="array" ref="D203">_xlfn.IFS(AND($C$7="Y",B203&lt;C$4),C203,AND($C$7="Y",B203=C$4),D202+F203-J203-K203-L203+N203,AND($C$7="Y",B203&gt;$C$4),D202-J203-K203-L203+N203, TRUE, D202-J203-K203-L203+N203)</f>
        <v>#DIV/0!</v>
      </c>
      <c r="E203" s="48">
        <f t="shared" si="60"/>
        <v>0</v>
      </c>
      <c r="F203" s="50">
        <f t="shared" si="61"/>
        <v>0</v>
      </c>
      <c r="G203" s="50">
        <f t="shared" si="67"/>
        <v>0</v>
      </c>
      <c r="H203" s="51" t="e">
        <f t="shared" si="71"/>
        <v>#DIV/0!</v>
      </c>
      <c r="I203" s="52" t="e">
        <f t="shared" si="62"/>
        <v>#DIV/0!</v>
      </c>
      <c r="J203" s="52" t="e">
        <f t="shared" si="72"/>
        <v>#DIV/0!</v>
      </c>
      <c r="K203" s="51" t="e">
        <f t="shared" si="74"/>
        <v>#DIV/0!</v>
      </c>
      <c r="L203" s="49" t="e">
        <f t="shared" si="75"/>
        <v>#DIV/0!</v>
      </c>
      <c r="M203" s="49">
        <f t="shared" si="76"/>
        <v>0</v>
      </c>
      <c r="N203" s="49">
        <f t="shared" si="68"/>
        <v>0</v>
      </c>
      <c r="O203" s="48" t="e">
        <f t="shared" si="69"/>
        <v>#DIV/0!</v>
      </c>
      <c r="P203" s="38" t="e">
        <f t="shared" si="73"/>
        <v>#DIV/0!</v>
      </c>
      <c r="Q203" s="53"/>
      <c r="R203" s="53">
        <f t="shared" si="63"/>
        <v>0</v>
      </c>
      <c r="S203" s="53">
        <f t="shared" si="64"/>
        <v>0</v>
      </c>
      <c r="T203" s="53">
        <f t="shared" si="65"/>
        <v>0.05</v>
      </c>
      <c r="U203" s="53">
        <f t="shared" si="66"/>
        <v>4.2653187775606449E-3</v>
      </c>
    </row>
    <row r="204" spans="1:21" x14ac:dyDescent="0.2">
      <c r="A204" s="62" t="e">
        <f t="shared" si="58"/>
        <v>#DIV/0!</v>
      </c>
      <c r="B204" s="45">
        <f t="shared" si="59"/>
        <v>190</v>
      </c>
      <c r="C204" s="49" t="e">
        <f t="shared" si="70"/>
        <v>#DIV/0!</v>
      </c>
      <c r="D204" s="47" t="e" cm="1">
        <f t="array" ref="D204">_xlfn.IFS(AND($C$7="Y",B204&lt;C$4),C204,AND($C$7="Y",B204=C$4),D203+F204-J204-K204-L204+N204,AND($C$7="Y",B204&gt;$C$4),D203-J204-K204-L204+N204, TRUE, D203-J204-K204-L204+N204)</f>
        <v>#DIV/0!</v>
      </c>
      <c r="E204" s="48">
        <f t="shared" si="60"/>
        <v>0</v>
      </c>
      <c r="F204" s="50">
        <f t="shared" si="61"/>
        <v>0</v>
      </c>
      <c r="G204" s="50">
        <f t="shared" si="67"/>
        <v>0</v>
      </c>
      <c r="H204" s="51" t="e">
        <f t="shared" si="71"/>
        <v>#DIV/0!</v>
      </c>
      <c r="I204" s="52" t="e">
        <f t="shared" si="62"/>
        <v>#DIV/0!</v>
      </c>
      <c r="J204" s="52" t="e">
        <f t="shared" si="72"/>
        <v>#DIV/0!</v>
      </c>
      <c r="K204" s="51" t="e">
        <f t="shared" si="74"/>
        <v>#DIV/0!</v>
      </c>
      <c r="L204" s="49" t="e">
        <f t="shared" si="75"/>
        <v>#DIV/0!</v>
      </c>
      <c r="M204" s="49">
        <f t="shared" si="76"/>
        <v>0</v>
      </c>
      <c r="N204" s="49">
        <f t="shared" si="68"/>
        <v>0</v>
      </c>
      <c r="O204" s="48" t="e">
        <f t="shared" si="69"/>
        <v>#DIV/0!</v>
      </c>
      <c r="P204" s="38" t="e">
        <f t="shared" si="73"/>
        <v>#DIV/0!</v>
      </c>
      <c r="Q204" s="53"/>
      <c r="R204" s="53">
        <f t="shared" si="63"/>
        <v>0</v>
      </c>
      <c r="S204" s="53">
        <f t="shared" si="64"/>
        <v>0</v>
      </c>
      <c r="T204" s="53">
        <f t="shared" si="65"/>
        <v>0.05</v>
      </c>
      <c r="U204" s="53">
        <f t="shared" si="66"/>
        <v>4.2653187775606449E-3</v>
      </c>
    </row>
    <row r="205" spans="1:21" x14ac:dyDescent="0.2">
      <c r="A205" s="62" t="e">
        <f t="shared" si="58"/>
        <v>#DIV/0!</v>
      </c>
      <c r="B205" s="45">
        <f t="shared" si="59"/>
        <v>191</v>
      </c>
      <c r="C205" s="49" t="e">
        <f t="shared" si="70"/>
        <v>#DIV/0!</v>
      </c>
      <c r="D205" s="47" t="e" cm="1">
        <f t="array" ref="D205">_xlfn.IFS(AND($C$7="Y",B205&lt;C$4),C205,AND($C$7="Y",B205=C$4),D204+F205-J205-K205-L205+N205,AND($C$7="Y",B205&gt;$C$4),D204-J205-K205-L205+N205, TRUE, D204-J205-K205-L205+N205)</f>
        <v>#DIV/0!</v>
      </c>
      <c r="E205" s="48">
        <f t="shared" si="60"/>
        <v>0</v>
      </c>
      <c r="F205" s="50">
        <f t="shared" si="61"/>
        <v>0</v>
      </c>
      <c r="G205" s="50">
        <f t="shared" si="67"/>
        <v>0</v>
      </c>
      <c r="H205" s="51" t="e">
        <f t="shared" si="71"/>
        <v>#DIV/0!</v>
      </c>
      <c r="I205" s="52" t="e">
        <f t="shared" si="62"/>
        <v>#DIV/0!</v>
      </c>
      <c r="J205" s="52" t="e">
        <f t="shared" si="72"/>
        <v>#DIV/0!</v>
      </c>
      <c r="K205" s="51" t="e">
        <f t="shared" si="74"/>
        <v>#DIV/0!</v>
      </c>
      <c r="L205" s="49" t="e">
        <f t="shared" si="75"/>
        <v>#DIV/0!</v>
      </c>
      <c r="M205" s="49">
        <f t="shared" si="76"/>
        <v>0</v>
      </c>
      <c r="N205" s="49">
        <f t="shared" si="68"/>
        <v>0</v>
      </c>
      <c r="O205" s="48" t="e">
        <f t="shared" si="69"/>
        <v>#DIV/0!</v>
      </c>
      <c r="P205" s="38" t="e">
        <f t="shared" si="73"/>
        <v>#DIV/0!</v>
      </c>
      <c r="Q205" s="53"/>
      <c r="R205" s="53">
        <f t="shared" si="63"/>
        <v>0</v>
      </c>
      <c r="S205" s="53">
        <f t="shared" si="64"/>
        <v>0</v>
      </c>
      <c r="T205" s="53">
        <f t="shared" si="65"/>
        <v>0.05</v>
      </c>
      <c r="U205" s="53">
        <f t="shared" si="66"/>
        <v>4.2653187775606449E-3</v>
      </c>
    </row>
    <row r="206" spans="1:21" x14ac:dyDescent="0.2">
      <c r="A206" s="62" t="e">
        <f t="shared" si="58"/>
        <v>#DIV/0!</v>
      </c>
      <c r="B206" s="45">
        <f t="shared" si="59"/>
        <v>192</v>
      </c>
      <c r="C206" s="49" t="e">
        <f t="shared" si="70"/>
        <v>#DIV/0!</v>
      </c>
      <c r="D206" s="47" t="e" cm="1">
        <f t="array" ref="D206">_xlfn.IFS(AND($C$7="Y",B206&lt;C$4),C206,AND($C$7="Y",B206=C$4),D205+F206-J206-K206-L206+N206,AND($C$7="Y",B206&gt;$C$4),D205-J206-K206-L206+N206, TRUE, D205-J206-K206-L206+N206)</f>
        <v>#DIV/0!</v>
      </c>
      <c r="E206" s="48">
        <f t="shared" si="60"/>
        <v>0</v>
      </c>
      <c r="F206" s="50">
        <f t="shared" si="61"/>
        <v>0</v>
      </c>
      <c r="G206" s="50">
        <f t="shared" si="67"/>
        <v>0</v>
      </c>
      <c r="H206" s="51" t="e">
        <f t="shared" si="71"/>
        <v>#DIV/0!</v>
      </c>
      <c r="I206" s="52" t="e">
        <f t="shared" si="62"/>
        <v>#DIV/0!</v>
      </c>
      <c r="J206" s="52" t="e">
        <f t="shared" si="72"/>
        <v>#DIV/0!</v>
      </c>
      <c r="K206" s="51" t="e">
        <f t="shared" si="74"/>
        <v>#DIV/0!</v>
      </c>
      <c r="L206" s="49" t="e">
        <f t="shared" si="75"/>
        <v>#DIV/0!</v>
      </c>
      <c r="M206" s="49">
        <f t="shared" si="76"/>
        <v>0</v>
      </c>
      <c r="N206" s="49">
        <f t="shared" si="68"/>
        <v>0</v>
      </c>
      <c r="O206" s="48" t="e">
        <f t="shared" si="69"/>
        <v>#DIV/0!</v>
      </c>
      <c r="P206" s="38" t="e">
        <f t="shared" si="73"/>
        <v>#DIV/0!</v>
      </c>
      <c r="Q206" s="53"/>
      <c r="R206" s="53">
        <f t="shared" si="63"/>
        <v>0</v>
      </c>
      <c r="S206" s="53">
        <f t="shared" si="64"/>
        <v>0</v>
      </c>
      <c r="T206" s="53">
        <f t="shared" si="65"/>
        <v>0.05</v>
      </c>
      <c r="U206" s="53">
        <f t="shared" si="66"/>
        <v>4.2653187775606449E-3</v>
      </c>
    </row>
    <row r="207" spans="1:21" x14ac:dyDescent="0.2">
      <c r="A207" s="62" t="e">
        <f t="shared" ref="A207:A235" si="77">D207/C$1</f>
        <v>#DIV/0!</v>
      </c>
      <c r="B207" s="45">
        <f t="shared" si="59"/>
        <v>193</v>
      </c>
      <c r="C207" s="49" t="e">
        <f t="shared" si="70"/>
        <v>#DIV/0!</v>
      </c>
      <c r="D207" s="47" t="e" cm="1">
        <f t="array" ref="D207">_xlfn.IFS(AND($C$7="Y",B207&lt;C$4),C207,AND($C$7="Y",B207=C$4),D206+F207-J207-K207-L207+N207,AND($C$7="Y",B207&gt;$C$4),D206-J207-K207-L207+N207, TRUE, D206-J207-K207-L207+N207)</f>
        <v>#DIV/0!</v>
      </c>
      <c r="E207" s="48">
        <f t="shared" si="60"/>
        <v>0</v>
      </c>
      <c r="F207" s="50">
        <f t="shared" si="61"/>
        <v>0</v>
      </c>
      <c r="G207" s="50">
        <f t="shared" si="67"/>
        <v>0</v>
      </c>
      <c r="H207" s="51" t="e">
        <f t="shared" si="71"/>
        <v>#DIV/0!</v>
      </c>
      <c r="I207" s="52" t="e">
        <f t="shared" si="62"/>
        <v>#DIV/0!</v>
      </c>
      <c r="J207" s="52" t="e">
        <f t="shared" si="72"/>
        <v>#DIV/0!</v>
      </c>
      <c r="K207" s="51" t="e">
        <f t="shared" si="74"/>
        <v>#DIV/0!</v>
      </c>
      <c r="L207" s="49" t="e">
        <f t="shared" si="75"/>
        <v>#DIV/0!</v>
      </c>
      <c r="M207" s="49">
        <f t="shared" si="76"/>
        <v>0</v>
      </c>
      <c r="N207" s="49">
        <f t="shared" si="68"/>
        <v>0</v>
      </c>
      <c r="O207" s="48" t="e">
        <f t="shared" si="69"/>
        <v>#DIV/0!</v>
      </c>
      <c r="P207" s="38" t="e">
        <f t="shared" si="73"/>
        <v>#DIV/0!</v>
      </c>
      <c r="Q207" s="53"/>
      <c r="R207" s="53">
        <f t="shared" si="63"/>
        <v>0</v>
      </c>
      <c r="S207" s="53">
        <f t="shared" si="64"/>
        <v>0</v>
      </c>
      <c r="T207" s="53">
        <f t="shared" si="65"/>
        <v>0.05</v>
      </c>
      <c r="U207" s="53">
        <f t="shared" si="66"/>
        <v>4.2653187775606449E-3</v>
      </c>
    </row>
    <row r="208" spans="1:21" x14ac:dyDescent="0.2">
      <c r="A208" s="62" t="e">
        <f t="shared" si="77"/>
        <v>#DIV/0!</v>
      </c>
      <c r="B208" s="45">
        <f t="shared" ref="B208:B223" si="78">B207+1</f>
        <v>194</v>
      </c>
      <c r="C208" s="49" t="e">
        <f t="shared" si="70"/>
        <v>#DIV/0!</v>
      </c>
      <c r="D208" s="47" t="e" cm="1">
        <f t="array" ref="D208">_xlfn.IFS(AND($C$7="Y",B208&lt;C$4),C208,AND($C$7="Y",B208=C$4),D207+F208-J208-K208-L208+N208,AND($C$7="Y",B208&gt;$C$4),D207-J208-K208-L208+N208, TRUE, D207-J208-K208-L208+N208)</f>
        <v>#DIV/0!</v>
      </c>
      <c r="E208" s="48">
        <f t="shared" ref="E208:E219" si="79">IF(AND($C$7="Y",B208&lt;=$C$4),D207*C$2/12-G208,0)</f>
        <v>0</v>
      </c>
      <c r="F208" s="50">
        <f t="shared" ref="F208:F219" si="80">IF(AND($C$7="Y",B208&lt;=C$4),E208+F207,0)</f>
        <v>0</v>
      </c>
      <c r="G208" s="50">
        <f t="shared" si="67"/>
        <v>0</v>
      </c>
      <c r="H208" s="51" t="e">
        <f t="shared" si="71"/>
        <v>#DIV/0!</v>
      </c>
      <c r="I208" s="52" t="e">
        <f t="shared" ref="I208:I219" si="81">IF(AND(C$7="Y",$B208&lt;=C$4),0,IF(AND(C$7="Y",$B208&gt;C$4),(1-U208)*C$2*D207/12,IF(AND($C$7="N",C$4&gt;0),(1-U208)*D207*C$2/12, (1-U208)*D207*C$2/12)))</f>
        <v>#DIV/0!</v>
      </c>
      <c r="J208" s="52" t="e">
        <f t="shared" si="72"/>
        <v>#DIV/0!</v>
      </c>
      <c r="K208" s="51" t="e">
        <f t="shared" si="74"/>
        <v>#DIV/0!</v>
      </c>
      <c r="L208" s="49" t="e">
        <f t="shared" si="75"/>
        <v>#DIV/0!</v>
      </c>
      <c r="M208" s="49">
        <f t="shared" si="76"/>
        <v>0</v>
      </c>
      <c r="N208" s="49">
        <f t="shared" si="68"/>
        <v>0</v>
      </c>
      <c r="O208" s="48" t="e">
        <f t="shared" si="69"/>
        <v>#DIV/0!</v>
      </c>
      <c r="P208" s="38" t="e">
        <f t="shared" si="73"/>
        <v>#DIV/0!</v>
      </c>
      <c r="Q208" s="53"/>
      <c r="R208" s="53">
        <f t="shared" ref="R208:R219" si="82">R$12</f>
        <v>0</v>
      </c>
      <c r="S208" s="53">
        <f t="shared" ref="S208:S219" si="83">1-(1-R208)^(1/12)</f>
        <v>0</v>
      </c>
      <c r="T208" s="53">
        <f t="shared" ref="T208:T219" si="84">T$12</f>
        <v>0.05</v>
      </c>
      <c r="U208" s="53">
        <f t="shared" si="66"/>
        <v>4.2653187775606449E-3</v>
      </c>
    </row>
    <row r="209" spans="1:21" x14ac:dyDescent="0.2">
      <c r="A209" s="62" t="e">
        <f t="shared" si="77"/>
        <v>#DIV/0!</v>
      </c>
      <c r="B209" s="45">
        <f t="shared" si="78"/>
        <v>195</v>
      </c>
      <c r="C209" s="49" t="e">
        <f t="shared" si="70"/>
        <v>#DIV/0!</v>
      </c>
      <c r="D209" s="47" t="e" cm="1">
        <f t="array" ref="D209">_xlfn.IFS(AND($C$7="Y",B209&lt;C$4),C209,AND($C$7="Y",B209=C$4),D208+F209-J209-K209-L209+N209,AND($C$7="Y",B209&gt;$C$4),D208-J209-K209-L209+N209, TRUE, D208-J209-K209-L209+N209)</f>
        <v>#DIV/0!</v>
      </c>
      <c r="E209" s="48">
        <f t="shared" si="79"/>
        <v>0</v>
      </c>
      <c r="F209" s="50">
        <f t="shared" si="80"/>
        <v>0</v>
      </c>
      <c r="G209" s="50">
        <f t="shared" si="67"/>
        <v>0</v>
      </c>
      <c r="H209" s="51" t="e">
        <f t="shared" si="71"/>
        <v>#DIV/0!</v>
      </c>
      <c r="I209" s="52" t="e">
        <f t="shared" si="81"/>
        <v>#DIV/0!</v>
      </c>
      <c r="J209" s="52" t="e">
        <f t="shared" si="72"/>
        <v>#DIV/0!</v>
      </c>
      <c r="K209" s="51" t="e">
        <f t="shared" si="74"/>
        <v>#DIV/0!</v>
      </c>
      <c r="L209" s="49" t="e">
        <f t="shared" si="75"/>
        <v>#DIV/0!</v>
      </c>
      <c r="M209" s="49">
        <f t="shared" si="76"/>
        <v>0</v>
      </c>
      <c r="N209" s="49">
        <f t="shared" si="68"/>
        <v>0</v>
      </c>
      <c r="O209" s="48" t="e">
        <f t="shared" si="69"/>
        <v>#DIV/0!</v>
      </c>
      <c r="P209" s="38" t="e">
        <f t="shared" si="73"/>
        <v>#DIV/0!</v>
      </c>
      <c r="Q209" s="53"/>
      <c r="R209" s="53">
        <f t="shared" si="82"/>
        <v>0</v>
      </c>
      <c r="S209" s="53">
        <f t="shared" si="83"/>
        <v>0</v>
      </c>
      <c r="T209" s="53">
        <f t="shared" si="84"/>
        <v>0.05</v>
      </c>
      <c r="U209" s="53">
        <f t="shared" ref="U209:U219" si="85">1-(1-T209)^(1/12)</f>
        <v>4.2653187775606449E-3</v>
      </c>
    </row>
    <row r="210" spans="1:21" x14ac:dyDescent="0.2">
      <c r="A210" s="62" t="e">
        <f t="shared" si="77"/>
        <v>#DIV/0!</v>
      </c>
      <c r="B210" s="45">
        <f t="shared" si="78"/>
        <v>196</v>
      </c>
      <c r="C210" s="49" t="e">
        <f t="shared" si="70"/>
        <v>#DIV/0!</v>
      </c>
      <c r="D210" s="47" t="e" cm="1">
        <f t="array" ref="D210">_xlfn.IFS(AND($C$7="Y",B210&lt;C$4),C210,AND($C$7="Y",B210=C$4),D209+F210-J210-K210-L210+N210,AND($C$7="Y",B210&gt;$C$4),D209-J210-K210-L210+N210, TRUE, D209-J210-K210-L210+N210)</f>
        <v>#DIV/0!</v>
      </c>
      <c r="E210" s="48">
        <f t="shared" si="79"/>
        <v>0</v>
      </c>
      <c r="F210" s="50">
        <f t="shared" si="80"/>
        <v>0</v>
      </c>
      <c r="G210" s="50">
        <f t="shared" ref="G210:G219" si="86">IF($B210&lt;=$C$4,C$6,0)</f>
        <v>0</v>
      </c>
      <c r="H210" s="51" t="e">
        <f t="shared" si="71"/>
        <v>#DIV/0!</v>
      </c>
      <c r="I210" s="52" t="e">
        <f t="shared" si="81"/>
        <v>#DIV/0!</v>
      </c>
      <c r="J210" s="52" t="e">
        <f t="shared" si="72"/>
        <v>#DIV/0!</v>
      </c>
      <c r="K210" s="51" t="e">
        <f t="shared" si="74"/>
        <v>#DIV/0!</v>
      </c>
      <c r="L210" s="49" t="e">
        <f t="shared" si="75"/>
        <v>#DIV/0!</v>
      </c>
      <c r="M210" s="49">
        <f t="shared" si="76"/>
        <v>0</v>
      </c>
      <c r="N210" s="49">
        <f t="shared" si="68"/>
        <v>0</v>
      </c>
      <c r="O210" s="48" t="e">
        <f t="shared" si="69"/>
        <v>#DIV/0!</v>
      </c>
      <c r="P210" s="38" t="e">
        <f t="shared" si="73"/>
        <v>#DIV/0!</v>
      </c>
      <c r="Q210" s="53"/>
      <c r="R210" s="53">
        <f t="shared" si="82"/>
        <v>0</v>
      </c>
      <c r="S210" s="53">
        <f t="shared" si="83"/>
        <v>0</v>
      </c>
      <c r="T210" s="53">
        <f t="shared" si="84"/>
        <v>0.05</v>
      </c>
      <c r="U210" s="53">
        <f t="shared" si="85"/>
        <v>4.2653187775606449E-3</v>
      </c>
    </row>
    <row r="211" spans="1:21" x14ac:dyDescent="0.2">
      <c r="A211" s="62" t="e">
        <f t="shared" si="77"/>
        <v>#DIV/0!</v>
      </c>
      <c r="B211" s="45">
        <f t="shared" si="78"/>
        <v>197</v>
      </c>
      <c r="C211" s="49" t="e">
        <f t="shared" si="70"/>
        <v>#DIV/0!</v>
      </c>
      <c r="D211" s="47" t="e" cm="1">
        <f t="array" ref="D211">_xlfn.IFS(AND($C$7="Y",B211&lt;C$4),C211,AND($C$7="Y",B211=C$4),D210+F211-J211-K211-L211+N211,AND($C$7="Y",B211&gt;$C$4),D210-J211-K211-L211+N211, TRUE, D210-J211-K211-L211+N211)</f>
        <v>#DIV/0!</v>
      </c>
      <c r="E211" s="48">
        <f t="shared" si="79"/>
        <v>0</v>
      </c>
      <c r="F211" s="50">
        <f t="shared" si="80"/>
        <v>0</v>
      </c>
      <c r="G211" s="50">
        <f t="shared" si="86"/>
        <v>0</v>
      </c>
      <c r="H211" s="51" t="e">
        <f t="shared" si="71"/>
        <v>#DIV/0!</v>
      </c>
      <c r="I211" s="52" t="e">
        <f t="shared" si="81"/>
        <v>#DIV/0!</v>
      </c>
      <c r="J211" s="52" t="e">
        <f t="shared" si="72"/>
        <v>#DIV/0!</v>
      </c>
      <c r="K211" s="51" t="e">
        <f t="shared" si="74"/>
        <v>#DIV/0!</v>
      </c>
      <c r="L211" s="49" t="e">
        <f t="shared" si="75"/>
        <v>#DIV/0!</v>
      </c>
      <c r="M211" s="49">
        <f t="shared" si="76"/>
        <v>0</v>
      </c>
      <c r="N211" s="49">
        <f t="shared" si="68"/>
        <v>0</v>
      </c>
      <c r="O211" s="48" t="e">
        <f t="shared" si="69"/>
        <v>#DIV/0!</v>
      </c>
      <c r="P211" s="38" t="e">
        <f t="shared" si="73"/>
        <v>#DIV/0!</v>
      </c>
      <c r="Q211" s="53"/>
      <c r="R211" s="53">
        <f t="shared" si="82"/>
        <v>0</v>
      </c>
      <c r="S211" s="53">
        <f t="shared" si="83"/>
        <v>0</v>
      </c>
      <c r="T211" s="53">
        <f t="shared" si="84"/>
        <v>0.05</v>
      </c>
      <c r="U211" s="53">
        <f t="shared" si="85"/>
        <v>4.2653187775606449E-3</v>
      </c>
    </row>
    <row r="212" spans="1:21" x14ac:dyDescent="0.2">
      <c r="A212" s="62" t="e">
        <f t="shared" si="77"/>
        <v>#DIV/0!</v>
      </c>
      <c r="B212" s="45">
        <f t="shared" si="78"/>
        <v>198</v>
      </c>
      <c r="C212" s="49" t="e">
        <f t="shared" si="70"/>
        <v>#DIV/0!</v>
      </c>
      <c r="D212" s="47" t="e" cm="1">
        <f t="array" ref="D212">_xlfn.IFS(AND($C$7="Y",B212&lt;C$4),C212,AND($C$7="Y",B212=C$4),D211+F212-J212-K212-L212+N212,AND($C$7="Y",B212&gt;$C$4),D211-J212-K212-L212+N212, TRUE, D211-J212-K212-L212+N212)</f>
        <v>#DIV/0!</v>
      </c>
      <c r="E212" s="48">
        <f t="shared" si="79"/>
        <v>0</v>
      </c>
      <c r="F212" s="50">
        <f t="shared" si="80"/>
        <v>0</v>
      </c>
      <c r="G212" s="50">
        <f t="shared" si="86"/>
        <v>0</v>
      </c>
      <c r="H212" s="51" t="e">
        <f t="shared" si="71"/>
        <v>#DIV/0!</v>
      </c>
      <c r="I212" s="52" t="e">
        <f t="shared" si="81"/>
        <v>#DIV/0!</v>
      </c>
      <c r="J212" s="52" t="e">
        <f t="shared" si="72"/>
        <v>#DIV/0!</v>
      </c>
      <c r="K212" s="51" t="e">
        <f t="shared" si="74"/>
        <v>#DIV/0!</v>
      </c>
      <c r="L212" s="49" t="e">
        <f t="shared" si="75"/>
        <v>#DIV/0!</v>
      </c>
      <c r="M212" s="49">
        <f t="shared" si="76"/>
        <v>0</v>
      </c>
      <c r="N212" s="49">
        <f t="shared" si="68"/>
        <v>0</v>
      </c>
      <c r="O212" s="48" t="e">
        <f t="shared" si="69"/>
        <v>#DIV/0!</v>
      </c>
      <c r="P212" s="38" t="e">
        <f t="shared" si="73"/>
        <v>#DIV/0!</v>
      </c>
      <c r="Q212" s="53"/>
      <c r="R212" s="53">
        <f t="shared" si="82"/>
        <v>0</v>
      </c>
      <c r="S212" s="53">
        <f t="shared" si="83"/>
        <v>0</v>
      </c>
      <c r="T212" s="53">
        <f t="shared" si="84"/>
        <v>0.05</v>
      </c>
      <c r="U212" s="53">
        <f t="shared" si="85"/>
        <v>4.2653187775606449E-3</v>
      </c>
    </row>
    <row r="213" spans="1:21" x14ac:dyDescent="0.2">
      <c r="A213" s="62" t="e">
        <f t="shared" si="77"/>
        <v>#DIV/0!</v>
      </c>
      <c r="B213" s="45">
        <f t="shared" si="78"/>
        <v>199</v>
      </c>
      <c r="C213" s="49" t="e">
        <f t="shared" si="70"/>
        <v>#DIV/0!</v>
      </c>
      <c r="D213" s="47" t="e" cm="1">
        <f t="array" ref="D213">_xlfn.IFS(AND($C$7="Y",B213&lt;C$4),C213,AND($C$7="Y",B213=C$4),D212+F213-J213-K213-L213+N213,AND($C$7="Y",B213&gt;$C$4),D212-J213-K213-L213+N213, TRUE, D212-J213-K213-L213+N213)</f>
        <v>#DIV/0!</v>
      </c>
      <c r="E213" s="48">
        <f t="shared" si="79"/>
        <v>0</v>
      </c>
      <c r="F213" s="50">
        <f t="shared" si="80"/>
        <v>0</v>
      </c>
      <c r="G213" s="50">
        <f t="shared" si="86"/>
        <v>0</v>
      </c>
      <c r="H213" s="51" t="e">
        <f t="shared" si="71"/>
        <v>#DIV/0!</v>
      </c>
      <c r="I213" s="52" t="e">
        <f t="shared" si="81"/>
        <v>#DIV/0!</v>
      </c>
      <c r="J213" s="52" t="e">
        <f t="shared" si="72"/>
        <v>#DIV/0!</v>
      </c>
      <c r="K213" s="51" t="e">
        <f t="shared" si="74"/>
        <v>#DIV/0!</v>
      </c>
      <c r="L213" s="49" t="e">
        <f t="shared" si="75"/>
        <v>#DIV/0!</v>
      </c>
      <c r="M213" s="49">
        <f t="shared" si="76"/>
        <v>0</v>
      </c>
      <c r="N213" s="49">
        <f t="shared" si="68"/>
        <v>0</v>
      </c>
      <c r="O213" s="48" t="e">
        <f t="shared" si="69"/>
        <v>#DIV/0!</v>
      </c>
      <c r="P213" s="38" t="e">
        <f t="shared" si="73"/>
        <v>#DIV/0!</v>
      </c>
      <c r="Q213" s="53"/>
      <c r="R213" s="53">
        <f t="shared" si="82"/>
        <v>0</v>
      </c>
      <c r="S213" s="53">
        <f t="shared" si="83"/>
        <v>0</v>
      </c>
      <c r="T213" s="53">
        <f t="shared" si="84"/>
        <v>0.05</v>
      </c>
      <c r="U213" s="53">
        <f t="shared" si="85"/>
        <v>4.2653187775606449E-3</v>
      </c>
    </row>
    <row r="214" spans="1:21" x14ac:dyDescent="0.2">
      <c r="A214" s="62" t="e">
        <f t="shared" si="77"/>
        <v>#DIV/0!</v>
      </c>
      <c r="B214" s="45">
        <f t="shared" si="78"/>
        <v>200</v>
      </c>
      <c r="C214" s="49" t="e">
        <f t="shared" si="70"/>
        <v>#DIV/0!</v>
      </c>
      <c r="D214" s="47" t="e" cm="1">
        <f t="array" ref="D214">_xlfn.IFS(AND($C$7="Y",B214&lt;C$4),C214,AND($C$7="Y",B214=C$4),D213+F214-J214-K214-L214+N214,AND($C$7="Y",B214&gt;$C$4),D213-J214-K214-L214+N214, TRUE, D213-J214-K214-L214+N214)</f>
        <v>#DIV/0!</v>
      </c>
      <c r="E214" s="48">
        <f t="shared" si="79"/>
        <v>0</v>
      </c>
      <c r="F214" s="50">
        <f t="shared" si="80"/>
        <v>0</v>
      </c>
      <c r="G214" s="50">
        <f t="shared" si="86"/>
        <v>0</v>
      </c>
      <c r="H214" s="51" t="e">
        <f t="shared" si="71"/>
        <v>#DIV/0!</v>
      </c>
      <c r="I214" s="52" t="e">
        <f t="shared" si="81"/>
        <v>#DIV/0!</v>
      </c>
      <c r="J214" s="52" t="e">
        <f t="shared" si="72"/>
        <v>#DIV/0!</v>
      </c>
      <c r="K214" s="51" t="e">
        <f t="shared" si="74"/>
        <v>#DIV/0!</v>
      </c>
      <c r="L214" s="49" t="e">
        <f t="shared" si="75"/>
        <v>#DIV/0!</v>
      </c>
      <c r="M214" s="49">
        <f t="shared" si="76"/>
        <v>0</v>
      </c>
      <c r="N214" s="49">
        <f t="shared" si="68"/>
        <v>0</v>
      </c>
      <c r="O214" s="48" t="e">
        <f t="shared" si="69"/>
        <v>#DIV/0!</v>
      </c>
      <c r="P214" s="38" t="e">
        <f t="shared" si="73"/>
        <v>#DIV/0!</v>
      </c>
      <c r="Q214" s="53"/>
      <c r="R214" s="53">
        <f t="shared" si="82"/>
        <v>0</v>
      </c>
      <c r="S214" s="53">
        <f t="shared" si="83"/>
        <v>0</v>
      </c>
      <c r="T214" s="53">
        <f t="shared" si="84"/>
        <v>0.05</v>
      </c>
      <c r="U214" s="53">
        <f t="shared" si="85"/>
        <v>4.2653187775606449E-3</v>
      </c>
    </row>
    <row r="215" spans="1:21" x14ac:dyDescent="0.2">
      <c r="A215" s="62" t="e">
        <f t="shared" si="77"/>
        <v>#DIV/0!</v>
      </c>
      <c r="B215" s="45">
        <f t="shared" si="78"/>
        <v>201</v>
      </c>
      <c r="C215" s="49" t="e">
        <f t="shared" si="70"/>
        <v>#DIV/0!</v>
      </c>
      <c r="D215" s="47" t="e" cm="1">
        <f t="array" ref="D215">_xlfn.IFS(AND($C$7="Y",B215&lt;C$4),C215,AND($C$7="Y",B215=C$4),D214+F215-J215-K215-L215+N215,AND($C$7="Y",B215&gt;$C$4),D214-J215-K215-L215+N215, TRUE, D214-J215-K215-L215+N215)</f>
        <v>#DIV/0!</v>
      </c>
      <c r="E215" s="48">
        <f t="shared" si="79"/>
        <v>0</v>
      </c>
      <c r="F215" s="50">
        <f t="shared" si="80"/>
        <v>0</v>
      </c>
      <c r="G215" s="50">
        <f t="shared" si="86"/>
        <v>0</v>
      </c>
      <c r="H215" s="51" t="e">
        <f t="shared" si="71"/>
        <v>#DIV/0!</v>
      </c>
      <c r="I215" s="52" t="e">
        <f t="shared" si="81"/>
        <v>#DIV/0!</v>
      </c>
      <c r="J215" s="52" t="e">
        <f t="shared" si="72"/>
        <v>#DIV/0!</v>
      </c>
      <c r="K215" s="51" t="e">
        <f t="shared" si="74"/>
        <v>#DIV/0!</v>
      </c>
      <c r="L215" s="49" t="e">
        <f t="shared" si="75"/>
        <v>#DIV/0!</v>
      </c>
      <c r="M215" s="49">
        <f t="shared" si="76"/>
        <v>0</v>
      </c>
      <c r="N215" s="49">
        <f t="shared" si="68"/>
        <v>0</v>
      </c>
      <c r="O215" s="48" t="e">
        <f t="shared" si="69"/>
        <v>#DIV/0!</v>
      </c>
      <c r="P215" s="38" t="e">
        <f t="shared" si="73"/>
        <v>#DIV/0!</v>
      </c>
      <c r="Q215" s="53"/>
      <c r="R215" s="53">
        <f t="shared" si="82"/>
        <v>0</v>
      </c>
      <c r="S215" s="53">
        <f t="shared" si="83"/>
        <v>0</v>
      </c>
      <c r="T215" s="53">
        <f t="shared" si="84"/>
        <v>0.05</v>
      </c>
      <c r="U215" s="53">
        <f t="shared" si="85"/>
        <v>4.2653187775606449E-3</v>
      </c>
    </row>
    <row r="216" spans="1:21" x14ac:dyDescent="0.2">
      <c r="A216" s="62" t="e">
        <f t="shared" si="77"/>
        <v>#DIV/0!</v>
      </c>
      <c r="B216" s="45">
        <f t="shared" si="78"/>
        <v>202</v>
      </c>
      <c r="C216" s="49" t="e">
        <f t="shared" si="70"/>
        <v>#DIV/0!</v>
      </c>
      <c r="D216" s="47" t="e" cm="1">
        <f t="array" ref="D216">_xlfn.IFS(AND($C$7="Y",B216&lt;C$4),C216,AND($C$7="Y",B216=C$4),D215+F216-J216-K216-L216+N216,AND($C$7="Y",B216&gt;$C$4),D215-J216-K216-L216+N216, TRUE, D215-J216-K216-L216+N216)</f>
        <v>#DIV/0!</v>
      </c>
      <c r="E216" s="48">
        <f t="shared" si="79"/>
        <v>0</v>
      </c>
      <c r="F216" s="50">
        <f t="shared" si="80"/>
        <v>0</v>
      </c>
      <c r="G216" s="50">
        <f t="shared" si="86"/>
        <v>0</v>
      </c>
      <c r="H216" s="51" t="e">
        <f t="shared" si="71"/>
        <v>#DIV/0!</v>
      </c>
      <c r="I216" s="52" t="e">
        <f t="shared" si="81"/>
        <v>#DIV/0!</v>
      </c>
      <c r="J216" s="52" t="e">
        <f t="shared" si="72"/>
        <v>#DIV/0!</v>
      </c>
      <c r="K216" s="51" t="e">
        <f t="shared" si="74"/>
        <v>#DIV/0!</v>
      </c>
      <c r="L216" s="49" t="e">
        <f t="shared" si="75"/>
        <v>#DIV/0!</v>
      </c>
      <c r="M216" s="49">
        <f t="shared" si="76"/>
        <v>0</v>
      </c>
      <c r="N216" s="49">
        <f t="shared" si="68"/>
        <v>0</v>
      </c>
      <c r="O216" s="48" t="e">
        <f t="shared" si="69"/>
        <v>#DIV/0!</v>
      </c>
      <c r="P216" s="38" t="e">
        <f t="shared" si="73"/>
        <v>#DIV/0!</v>
      </c>
      <c r="Q216" s="53"/>
      <c r="R216" s="53">
        <f t="shared" si="82"/>
        <v>0</v>
      </c>
      <c r="S216" s="53">
        <f t="shared" si="83"/>
        <v>0</v>
      </c>
      <c r="T216" s="53">
        <f t="shared" si="84"/>
        <v>0.05</v>
      </c>
      <c r="U216" s="53">
        <f t="shared" si="85"/>
        <v>4.2653187775606449E-3</v>
      </c>
    </row>
    <row r="217" spans="1:21" x14ac:dyDescent="0.2">
      <c r="A217" s="62" t="e">
        <f t="shared" si="77"/>
        <v>#DIV/0!</v>
      </c>
      <c r="B217" s="45">
        <f t="shared" si="78"/>
        <v>203</v>
      </c>
      <c r="C217" s="49" t="e">
        <f t="shared" si="70"/>
        <v>#DIV/0!</v>
      </c>
      <c r="D217" s="47" t="e" cm="1">
        <f t="array" ref="D217">_xlfn.IFS(AND($C$7="Y",B217&lt;C$4),C217,AND($C$7="Y",B217=C$4),D216+F217-J217-K217-L217+N217,AND($C$7="Y",B217&gt;$C$4),D216-J217-K217-L217+N217, TRUE, D216-J217-K217-L217+N217)</f>
        <v>#DIV/0!</v>
      </c>
      <c r="E217" s="48">
        <f t="shared" si="79"/>
        <v>0</v>
      </c>
      <c r="F217" s="50">
        <f t="shared" si="80"/>
        <v>0</v>
      </c>
      <c r="G217" s="50">
        <f t="shared" si="86"/>
        <v>0</v>
      </c>
      <c r="H217" s="51" t="e">
        <f t="shared" si="71"/>
        <v>#DIV/0!</v>
      </c>
      <c r="I217" s="52" t="e">
        <f t="shared" si="81"/>
        <v>#DIV/0!</v>
      </c>
      <c r="J217" s="52" t="e">
        <f t="shared" si="72"/>
        <v>#DIV/0!</v>
      </c>
      <c r="K217" s="51" t="e">
        <f t="shared" si="74"/>
        <v>#DIV/0!</v>
      </c>
      <c r="L217" s="49" t="e">
        <f t="shared" si="75"/>
        <v>#DIV/0!</v>
      </c>
      <c r="M217" s="49">
        <f t="shared" si="76"/>
        <v>0</v>
      </c>
      <c r="N217" s="49">
        <f t="shared" si="68"/>
        <v>0</v>
      </c>
      <c r="O217" s="48" t="e">
        <f t="shared" si="69"/>
        <v>#DIV/0!</v>
      </c>
      <c r="P217" s="38" t="e">
        <f t="shared" si="73"/>
        <v>#DIV/0!</v>
      </c>
      <c r="Q217" s="53"/>
      <c r="R217" s="53">
        <f t="shared" si="82"/>
        <v>0</v>
      </c>
      <c r="S217" s="53">
        <f t="shared" si="83"/>
        <v>0</v>
      </c>
      <c r="T217" s="53">
        <f t="shared" si="84"/>
        <v>0.05</v>
      </c>
      <c r="U217" s="53">
        <f t="shared" si="85"/>
        <v>4.2653187775606449E-3</v>
      </c>
    </row>
    <row r="218" spans="1:21" x14ac:dyDescent="0.2">
      <c r="A218" s="62" t="e">
        <f t="shared" si="77"/>
        <v>#DIV/0!</v>
      </c>
      <c r="B218" s="45">
        <f t="shared" si="78"/>
        <v>204</v>
      </c>
      <c r="C218" s="49" t="e">
        <f t="shared" si="70"/>
        <v>#DIV/0!</v>
      </c>
      <c r="D218" s="47" t="e" cm="1">
        <f t="array" ref="D218">_xlfn.IFS(AND($C$7="Y",B218&lt;C$4),C218,AND($C$7="Y",B218=C$4),D217+F218-J218-K218-L218+N218,AND($C$7="Y",B218&gt;$C$4),D217-J218-K218-L218+N218, TRUE, D217-J218-K218-L218+N218)</f>
        <v>#DIV/0!</v>
      </c>
      <c r="E218" s="48">
        <f t="shared" si="79"/>
        <v>0</v>
      </c>
      <c r="F218" s="50">
        <f t="shared" si="80"/>
        <v>0</v>
      </c>
      <c r="G218" s="50">
        <f t="shared" si="86"/>
        <v>0</v>
      </c>
      <c r="H218" s="51" t="e">
        <f t="shared" si="71"/>
        <v>#DIV/0!</v>
      </c>
      <c r="I218" s="52" t="e">
        <f t="shared" si="81"/>
        <v>#DIV/0!</v>
      </c>
      <c r="J218" s="52" t="e">
        <f t="shared" si="72"/>
        <v>#DIV/0!</v>
      </c>
      <c r="K218" s="51" t="e">
        <f t="shared" si="74"/>
        <v>#DIV/0!</v>
      </c>
      <c r="L218" s="49" t="e">
        <f t="shared" si="75"/>
        <v>#DIV/0!</v>
      </c>
      <c r="M218" s="49">
        <f t="shared" si="76"/>
        <v>0</v>
      </c>
      <c r="N218" s="49">
        <f t="shared" si="68"/>
        <v>0</v>
      </c>
      <c r="O218" s="48" t="e">
        <f t="shared" si="69"/>
        <v>#DIV/0!</v>
      </c>
      <c r="P218" s="38" t="e">
        <f t="shared" si="73"/>
        <v>#DIV/0!</v>
      </c>
      <c r="Q218" s="53"/>
      <c r="R218" s="53">
        <f t="shared" si="82"/>
        <v>0</v>
      </c>
      <c r="S218" s="53">
        <f t="shared" si="83"/>
        <v>0</v>
      </c>
      <c r="T218" s="53">
        <f t="shared" si="84"/>
        <v>0.05</v>
      </c>
      <c r="U218" s="53">
        <f t="shared" si="85"/>
        <v>4.2653187775606449E-3</v>
      </c>
    </row>
    <row r="219" spans="1:21" x14ac:dyDescent="0.2">
      <c r="A219" s="62" t="e">
        <f t="shared" si="77"/>
        <v>#DIV/0!</v>
      </c>
      <c r="B219" s="45">
        <f t="shared" si="78"/>
        <v>205</v>
      </c>
      <c r="C219" s="49" t="e">
        <f t="shared" si="70"/>
        <v>#DIV/0!</v>
      </c>
      <c r="D219" s="47" t="e" cm="1">
        <f t="array" ref="D219">_xlfn.IFS(AND($C$7="Y",B219&lt;C$4),C219,AND($C$7="Y",B219=C$4),D218+F219-J219-K219-L219+N219,AND($C$7="Y",B219&gt;$C$4),D218-J219-K219-L219+N219, TRUE, D218-J219-K219-L219+N219)</f>
        <v>#DIV/0!</v>
      </c>
      <c r="E219" s="48">
        <f t="shared" si="79"/>
        <v>0</v>
      </c>
      <c r="F219" s="50">
        <f t="shared" si="80"/>
        <v>0</v>
      </c>
      <c r="G219" s="50">
        <f t="shared" si="86"/>
        <v>0</v>
      </c>
      <c r="H219" s="51" t="e">
        <f t="shared" si="71"/>
        <v>#DIV/0!</v>
      </c>
      <c r="I219" s="52" t="e">
        <f t="shared" si="81"/>
        <v>#DIV/0!</v>
      </c>
      <c r="J219" s="52" t="e">
        <f t="shared" si="72"/>
        <v>#DIV/0!</v>
      </c>
      <c r="K219" s="51" t="e">
        <f t="shared" si="74"/>
        <v>#DIV/0!</v>
      </c>
      <c r="L219" s="49" t="e">
        <f t="shared" si="75"/>
        <v>#DIV/0!</v>
      </c>
      <c r="M219" s="49">
        <f t="shared" si="76"/>
        <v>0</v>
      </c>
      <c r="N219" s="49">
        <f t="shared" si="68"/>
        <v>0</v>
      </c>
      <c r="O219" s="48" t="e">
        <f>K219+I219+J219-L219+N219+G219</f>
        <v>#DIV/0!</v>
      </c>
      <c r="P219" s="38" t="e">
        <f t="shared" si="73"/>
        <v>#DIV/0!</v>
      </c>
      <c r="Q219" s="53"/>
      <c r="R219" s="53">
        <f t="shared" si="82"/>
        <v>0</v>
      </c>
      <c r="S219" s="53">
        <f t="shared" si="83"/>
        <v>0</v>
      </c>
      <c r="T219" s="53">
        <f t="shared" si="84"/>
        <v>0.05</v>
      </c>
      <c r="U219" s="53">
        <f t="shared" si="85"/>
        <v>4.2653187775606449E-3</v>
      </c>
    </row>
    <row r="220" spans="1:21" x14ac:dyDescent="0.2">
      <c r="A220" s="62">
        <f t="shared" si="77"/>
        <v>0</v>
      </c>
      <c r="B220" s="45">
        <f t="shared" si="78"/>
        <v>206</v>
      </c>
      <c r="C220" s="49"/>
      <c r="D220" s="46"/>
      <c r="E220" s="61"/>
      <c r="F220" s="50"/>
      <c r="G220" s="50"/>
      <c r="H220" s="51"/>
      <c r="I220" s="51"/>
      <c r="J220" s="51"/>
      <c r="K220" s="51">
        <f t="shared" si="74"/>
        <v>0</v>
      </c>
      <c r="L220" s="49" t="e">
        <f t="shared" si="75"/>
        <v>#DIV/0!</v>
      </c>
      <c r="M220" s="49">
        <f t="shared" si="76"/>
        <v>0</v>
      </c>
      <c r="N220" s="49">
        <f t="shared" si="68"/>
        <v>0</v>
      </c>
      <c r="O220" s="48" t="e">
        <f>K220+I220+J220-L220+N220+G220</f>
        <v>#DIV/0!</v>
      </c>
      <c r="P220" s="38" t="e">
        <f t="shared" si="73"/>
        <v>#DIV/0!</v>
      </c>
      <c r="Q220" s="53"/>
      <c r="R220" s="53"/>
      <c r="S220" s="53"/>
    </row>
    <row r="221" spans="1:21" x14ac:dyDescent="0.2">
      <c r="A221" s="62">
        <f t="shared" si="77"/>
        <v>0</v>
      </c>
      <c r="B221" s="45">
        <f t="shared" si="78"/>
        <v>207</v>
      </c>
      <c r="C221" s="49"/>
      <c r="D221" s="46"/>
      <c r="E221" s="61"/>
      <c r="F221" s="50"/>
      <c r="G221" s="56"/>
      <c r="H221" s="51"/>
      <c r="I221" s="51">
        <f t="shared" ref="I221:I235" si="87">IF($B220&lt;=25,0,C$2*D220/12)</f>
        <v>0</v>
      </c>
      <c r="J221" s="51">
        <f t="shared" ref="J221:J235" si="88">H221-I221</f>
        <v>0</v>
      </c>
      <c r="K221" s="51" t="e">
        <f>IF(AND(C$7="Y",$B221&lt;=$C$4),0,IF(AND(C$7="N",C$4&gt;0,B221&lt;=C$4),0,S221*(C221-J221)))</f>
        <v>#REF!</v>
      </c>
      <c r="L221" s="49">
        <f t="shared" si="75"/>
        <v>0</v>
      </c>
      <c r="M221" s="49">
        <f t="shared" si="76"/>
        <v>0</v>
      </c>
      <c r="N221" s="49">
        <f t="shared" si="68"/>
        <v>0</v>
      </c>
      <c r="O221" s="48" t="e">
        <f t="shared" ref="O221:O235" si="89">K221+I221+J221-L221+N221+G221</f>
        <v>#REF!</v>
      </c>
      <c r="P221" s="38" t="e">
        <f>O221*(1/((1+P$12)^(B221/12)))</f>
        <v>#REF!</v>
      </c>
      <c r="Q221" s="53"/>
      <c r="R221" s="53" t="e">
        <f>INDEX(#REF!,MATCH(#REF!,#REF!,0),MATCH(ActiveCDR,#REF!,0))%</f>
        <v>#REF!</v>
      </c>
      <c r="S221" s="53" t="e">
        <f>1-(1-R221)^(1/12)</f>
        <v>#REF!</v>
      </c>
    </row>
    <row r="222" spans="1:21" x14ac:dyDescent="0.2">
      <c r="A222" s="62">
        <f t="shared" si="77"/>
        <v>0</v>
      </c>
      <c r="B222" s="45">
        <f t="shared" si="78"/>
        <v>208</v>
      </c>
      <c r="C222" s="49"/>
      <c r="D222" s="46"/>
      <c r="E222" s="61"/>
      <c r="F222" s="50"/>
      <c r="G222" s="56"/>
      <c r="H222" s="51"/>
      <c r="I222" s="51">
        <f t="shared" si="87"/>
        <v>0</v>
      </c>
      <c r="J222" s="51">
        <f t="shared" si="88"/>
        <v>0</v>
      </c>
      <c r="K222" s="51" t="e">
        <f t="shared" si="74"/>
        <v>#REF!</v>
      </c>
      <c r="L222" s="49">
        <f t="shared" si="75"/>
        <v>0</v>
      </c>
      <c r="M222" s="49">
        <f t="shared" si="76"/>
        <v>0</v>
      </c>
      <c r="N222" s="49">
        <f t="shared" si="68"/>
        <v>0</v>
      </c>
      <c r="O222" s="48" t="e">
        <f t="shared" si="89"/>
        <v>#REF!</v>
      </c>
      <c r="P222" s="38" t="e">
        <f t="shared" si="73"/>
        <v>#REF!</v>
      </c>
      <c r="Q222" s="53"/>
      <c r="R222" s="53" t="e">
        <f>INDEX(#REF!,MATCH(#REF!,#REF!,0),MATCH(ActiveCDR,#REF!,0))%</f>
        <v>#REF!</v>
      </c>
      <c r="S222" s="53" t="e">
        <f t="shared" ref="S222:S224" si="90">1-(1-R222)^(1/12)</f>
        <v>#REF!</v>
      </c>
    </row>
    <row r="223" spans="1:21" x14ac:dyDescent="0.2">
      <c r="A223" s="62">
        <f t="shared" si="77"/>
        <v>0</v>
      </c>
      <c r="B223" s="45">
        <f t="shared" si="78"/>
        <v>209</v>
      </c>
      <c r="C223" s="49"/>
      <c r="D223" s="46"/>
      <c r="E223" s="61"/>
      <c r="F223" s="50"/>
      <c r="G223" s="56"/>
      <c r="H223" s="51"/>
      <c r="I223" s="51">
        <f t="shared" si="87"/>
        <v>0</v>
      </c>
      <c r="J223" s="51">
        <f t="shared" si="88"/>
        <v>0</v>
      </c>
      <c r="K223" s="51" t="e">
        <f t="shared" si="74"/>
        <v>#REF!</v>
      </c>
      <c r="L223" s="49">
        <f t="shared" si="75"/>
        <v>0</v>
      </c>
      <c r="M223" s="49">
        <f t="shared" si="76"/>
        <v>0</v>
      </c>
      <c r="N223" s="49">
        <f t="shared" si="68"/>
        <v>0</v>
      </c>
      <c r="O223" s="48" t="e">
        <f t="shared" si="89"/>
        <v>#REF!</v>
      </c>
      <c r="P223" s="38" t="e">
        <f t="shared" si="73"/>
        <v>#REF!</v>
      </c>
      <c r="Q223" s="53"/>
      <c r="R223" s="53" t="e">
        <f>INDEX(#REF!,MATCH(#REF!,#REF!,0),MATCH(ActiveCDR,#REF!,0))%</f>
        <v>#REF!</v>
      </c>
      <c r="S223" s="53" t="e">
        <f t="shared" si="90"/>
        <v>#REF!</v>
      </c>
    </row>
    <row r="224" spans="1:21" x14ac:dyDescent="0.2">
      <c r="A224" s="62">
        <f t="shared" si="77"/>
        <v>0</v>
      </c>
      <c r="B224" s="45"/>
      <c r="C224" s="49"/>
      <c r="D224" s="46"/>
      <c r="E224" s="61"/>
      <c r="F224" s="50"/>
      <c r="G224" s="56"/>
      <c r="H224" s="51"/>
      <c r="I224" s="51">
        <f t="shared" si="87"/>
        <v>0</v>
      </c>
      <c r="J224" s="51">
        <f t="shared" si="88"/>
        <v>0</v>
      </c>
      <c r="K224" s="51">
        <f t="shared" si="74"/>
        <v>0</v>
      </c>
      <c r="L224" s="49">
        <f t="shared" si="75"/>
        <v>0</v>
      </c>
      <c r="M224" s="49">
        <f t="shared" si="76"/>
        <v>0</v>
      </c>
      <c r="N224" s="49">
        <f t="shared" si="68"/>
        <v>0</v>
      </c>
      <c r="O224" s="48">
        <f t="shared" si="89"/>
        <v>0</v>
      </c>
      <c r="P224" s="38">
        <f t="shared" si="73"/>
        <v>0</v>
      </c>
      <c r="Q224" s="53"/>
      <c r="R224" s="53" t="e">
        <f>INDEX(#REF!,MATCH(#REF!,#REF!,0),MATCH(ActiveCDR,#REF!,0))%</f>
        <v>#REF!</v>
      </c>
      <c r="S224" s="53" t="e">
        <f t="shared" si="90"/>
        <v>#REF!</v>
      </c>
    </row>
    <row r="225" spans="1:19" x14ac:dyDescent="0.2">
      <c r="A225" s="62">
        <f t="shared" si="77"/>
        <v>0</v>
      </c>
      <c r="B225" s="45"/>
      <c r="C225" s="49"/>
      <c r="D225" s="46"/>
      <c r="E225" s="61"/>
      <c r="F225" s="50"/>
      <c r="G225" s="56"/>
      <c r="H225" s="51"/>
      <c r="I225" s="51">
        <f t="shared" si="87"/>
        <v>0</v>
      </c>
      <c r="J225" s="51">
        <f t="shared" si="88"/>
        <v>0</v>
      </c>
      <c r="K225" s="51">
        <f t="shared" si="74"/>
        <v>0</v>
      </c>
      <c r="L225" s="49">
        <f t="shared" si="75"/>
        <v>0</v>
      </c>
      <c r="M225" s="49">
        <f t="shared" si="76"/>
        <v>0</v>
      </c>
      <c r="N225" s="49">
        <f t="shared" si="68"/>
        <v>0</v>
      </c>
      <c r="O225" s="48">
        <f t="shared" si="89"/>
        <v>0</v>
      </c>
      <c r="P225" s="38">
        <f t="shared" si="73"/>
        <v>0</v>
      </c>
      <c r="Q225" s="53"/>
      <c r="R225" s="53"/>
      <c r="S225" s="53"/>
    </row>
    <row r="226" spans="1:19" x14ac:dyDescent="0.2">
      <c r="A226" s="62">
        <f t="shared" si="77"/>
        <v>0</v>
      </c>
      <c r="B226" s="45"/>
      <c r="C226" s="49"/>
      <c r="D226" s="46"/>
      <c r="E226" s="61"/>
      <c r="F226" s="50"/>
      <c r="G226" s="56"/>
      <c r="H226" s="51"/>
      <c r="I226" s="51">
        <f t="shared" si="87"/>
        <v>0</v>
      </c>
      <c r="J226" s="51">
        <f t="shared" si="88"/>
        <v>0</v>
      </c>
      <c r="K226" s="51">
        <f t="shared" si="74"/>
        <v>0</v>
      </c>
      <c r="L226" s="49">
        <f t="shared" si="75"/>
        <v>0</v>
      </c>
      <c r="M226" s="49">
        <f t="shared" si="76"/>
        <v>0</v>
      </c>
      <c r="N226" s="49">
        <f t="shared" si="68"/>
        <v>0</v>
      </c>
      <c r="O226" s="48">
        <f t="shared" si="89"/>
        <v>0</v>
      </c>
      <c r="P226" s="38">
        <f t="shared" si="73"/>
        <v>0</v>
      </c>
      <c r="Q226" s="53"/>
      <c r="R226" s="53"/>
      <c r="S226" s="53"/>
    </row>
    <row r="227" spans="1:19" x14ac:dyDescent="0.2">
      <c r="A227" s="62">
        <f t="shared" si="77"/>
        <v>0</v>
      </c>
      <c r="B227" s="45"/>
      <c r="C227" s="49"/>
      <c r="D227" s="46"/>
      <c r="E227" s="61"/>
      <c r="F227" s="50"/>
      <c r="G227" s="56"/>
      <c r="H227" s="51"/>
      <c r="I227" s="51">
        <f t="shared" si="87"/>
        <v>0</v>
      </c>
      <c r="J227" s="51">
        <f t="shared" si="88"/>
        <v>0</v>
      </c>
      <c r="K227" s="51">
        <f t="shared" si="74"/>
        <v>0</v>
      </c>
      <c r="L227" s="49">
        <f t="shared" si="75"/>
        <v>0</v>
      </c>
      <c r="M227" s="49">
        <f t="shared" si="76"/>
        <v>0</v>
      </c>
      <c r="N227" s="49">
        <f t="shared" ref="N227:N235" si="91">IFERROR((1-$N$12)*L223,0)</f>
        <v>0</v>
      </c>
      <c r="O227" s="48">
        <f t="shared" si="89"/>
        <v>0</v>
      </c>
      <c r="P227" s="38">
        <f t="shared" si="73"/>
        <v>0</v>
      </c>
      <c r="Q227" s="53"/>
      <c r="R227" s="53"/>
      <c r="S227" s="53"/>
    </row>
    <row r="228" spans="1:19" x14ac:dyDescent="0.2">
      <c r="A228" s="62">
        <f t="shared" si="77"/>
        <v>0</v>
      </c>
      <c r="B228" s="45"/>
      <c r="C228" s="49"/>
      <c r="D228" s="46"/>
      <c r="E228" s="61"/>
      <c r="F228" s="50"/>
      <c r="G228" s="56"/>
      <c r="H228" s="51"/>
      <c r="I228" s="51">
        <f t="shared" si="87"/>
        <v>0</v>
      </c>
      <c r="J228" s="51">
        <f t="shared" si="88"/>
        <v>0</v>
      </c>
      <c r="K228" s="51">
        <f t="shared" si="74"/>
        <v>0</v>
      </c>
      <c r="L228" s="49">
        <f t="shared" si="75"/>
        <v>0</v>
      </c>
      <c r="M228" s="49">
        <f t="shared" si="76"/>
        <v>0</v>
      </c>
      <c r="N228" s="49">
        <f t="shared" si="91"/>
        <v>0</v>
      </c>
      <c r="O228" s="48">
        <f t="shared" si="89"/>
        <v>0</v>
      </c>
      <c r="P228" s="38">
        <f t="shared" si="73"/>
        <v>0</v>
      </c>
      <c r="Q228" s="53"/>
      <c r="R228" s="53"/>
      <c r="S228" s="53"/>
    </row>
    <row r="229" spans="1:19" x14ac:dyDescent="0.2">
      <c r="A229" s="62">
        <f t="shared" si="77"/>
        <v>0</v>
      </c>
      <c r="B229" s="45"/>
      <c r="C229" s="49"/>
      <c r="D229" s="46"/>
      <c r="E229" s="61"/>
      <c r="F229" s="50"/>
      <c r="G229" s="56"/>
      <c r="H229" s="51"/>
      <c r="I229" s="51">
        <f t="shared" si="87"/>
        <v>0</v>
      </c>
      <c r="J229" s="51">
        <f t="shared" si="88"/>
        <v>0</v>
      </c>
      <c r="K229" s="51">
        <f t="shared" si="74"/>
        <v>0</v>
      </c>
      <c r="L229" s="49">
        <f t="shared" si="75"/>
        <v>0</v>
      </c>
      <c r="M229" s="49">
        <f t="shared" si="76"/>
        <v>0</v>
      </c>
      <c r="N229" s="49">
        <f t="shared" si="91"/>
        <v>0</v>
      </c>
      <c r="O229" s="48">
        <f t="shared" si="89"/>
        <v>0</v>
      </c>
      <c r="P229" s="38">
        <f t="shared" si="73"/>
        <v>0</v>
      </c>
      <c r="Q229" s="53"/>
      <c r="R229" s="53"/>
      <c r="S229" s="53"/>
    </row>
    <row r="230" spans="1:19" x14ac:dyDescent="0.2">
      <c r="A230" s="62">
        <f t="shared" si="77"/>
        <v>0</v>
      </c>
      <c r="B230" s="45"/>
      <c r="C230" s="49"/>
      <c r="D230" s="46"/>
      <c r="E230" s="61"/>
      <c r="F230" s="50"/>
      <c r="G230" s="56"/>
      <c r="H230" s="51"/>
      <c r="I230" s="51">
        <f t="shared" si="87"/>
        <v>0</v>
      </c>
      <c r="J230" s="51">
        <f t="shared" si="88"/>
        <v>0</v>
      </c>
      <c r="K230" s="51">
        <f t="shared" si="74"/>
        <v>0</v>
      </c>
      <c r="L230" s="49">
        <f t="shared" si="75"/>
        <v>0</v>
      </c>
      <c r="M230" s="49">
        <f t="shared" si="76"/>
        <v>0</v>
      </c>
      <c r="N230" s="49">
        <f t="shared" si="91"/>
        <v>0</v>
      </c>
      <c r="O230" s="48">
        <f t="shared" si="89"/>
        <v>0</v>
      </c>
      <c r="P230" s="38">
        <f t="shared" si="73"/>
        <v>0</v>
      </c>
      <c r="Q230" s="53"/>
      <c r="R230" s="53"/>
      <c r="S230" s="53"/>
    </row>
    <row r="231" spans="1:19" x14ac:dyDescent="0.2">
      <c r="A231" s="62">
        <f t="shared" si="77"/>
        <v>0</v>
      </c>
      <c r="B231" s="45"/>
      <c r="C231" s="49"/>
      <c r="D231" s="46"/>
      <c r="E231" s="61"/>
      <c r="F231" s="50"/>
      <c r="G231" s="56"/>
      <c r="H231" s="51"/>
      <c r="I231" s="51">
        <f t="shared" si="87"/>
        <v>0</v>
      </c>
      <c r="J231" s="51">
        <f t="shared" si="88"/>
        <v>0</v>
      </c>
      <c r="K231" s="51">
        <f t="shared" si="74"/>
        <v>0</v>
      </c>
      <c r="L231" s="49">
        <f t="shared" si="75"/>
        <v>0</v>
      </c>
      <c r="M231" s="49">
        <f t="shared" si="76"/>
        <v>0</v>
      </c>
      <c r="N231" s="49">
        <f t="shared" si="91"/>
        <v>0</v>
      </c>
      <c r="O231" s="48">
        <f t="shared" si="89"/>
        <v>0</v>
      </c>
      <c r="P231" s="38">
        <f t="shared" si="73"/>
        <v>0</v>
      </c>
      <c r="Q231" s="53"/>
      <c r="R231" s="53"/>
      <c r="S231" s="53"/>
    </row>
    <row r="232" spans="1:19" x14ac:dyDescent="0.2">
      <c r="A232" s="62">
        <f t="shared" si="77"/>
        <v>0</v>
      </c>
      <c r="B232" s="45"/>
      <c r="C232" s="49"/>
      <c r="D232" s="46"/>
      <c r="E232" s="61"/>
      <c r="F232" s="50"/>
      <c r="G232" s="56"/>
      <c r="H232" s="51"/>
      <c r="I232" s="51">
        <f t="shared" si="87"/>
        <v>0</v>
      </c>
      <c r="J232" s="51">
        <f t="shared" si="88"/>
        <v>0</v>
      </c>
      <c r="K232" s="51">
        <f t="shared" si="74"/>
        <v>0</v>
      </c>
      <c r="L232" s="49">
        <f t="shared" si="75"/>
        <v>0</v>
      </c>
      <c r="M232" s="49">
        <f t="shared" si="76"/>
        <v>0</v>
      </c>
      <c r="N232" s="49">
        <f t="shared" si="91"/>
        <v>0</v>
      </c>
      <c r="O232" s="48">
        <f t="shared" si="89"/>
        <v>0</v>
      </c>
      <c r="P232" s="38">
        <f t="shared" si="73"/>
        <v>0</v>
      </c>
      <c r="Q232" s="53"/>
      <c r="R232" s="53"/>
      <c r="S232" s="53"/>
    </row>
    <row r="233" spans="1:19" x14ac:dyDescent="0.2">
      <c r="A233" s="62">
        <f t="shared" si="77"/>
        <v>0</v>
      </c>
      <c r="B233" s="45"/>
      <c r="C233" s="49"/>
      <c r="D233" s="46"/>
      <c r="E233" s="61"/>
      <c r="F233" s="50"/>
      <c r="G233" s="56"/>
      <c r="H233" s="51"/>
      <c r="I233" s="51">
        <f t="shared" si="87"/>
        <v>0</v>
      </c>
      <c r="J233" s="51">
        <f t="shared" si="88"/>
        <v>0</v>
      </c>
      <c r="K233" s="51">
        <f t="shared" si="74"/>
        <v>0</v>
      </c>
      <c r="L233" s="49">
        <f t="shared" si="75"/>
        <v>0</v>
      </c>
      <c r="M233" s="49">
        <f t="shared" si="76"/>
        <v>0</v>
      </c>
      <c r="N233" s="49">
        <f t="shared" si="91"/>
        <v>0</v>
      </c>
      <c r="O233" s="48">
        <f t="shared" si="89"/>
        <v>0</v>
      </c>
      <c r="P233" s="38">
        <f t="shared" ref="P233:P235" si="92">O233*(1/((1+P$12)^(B233/12)))</f>
        <v>0</v>
      </c>
      <c r="Q233" s="53"/>
      <c r="R233" s="53"/>
      <c r="S233" s="53"/>
    </row>
    <row r="234" spans="1:19" x14ac:dyDescent="0.2">
      <c r="A234" s="62">
        <f t="shared" si="77"/>
        <v>0</v>
      </c>
      <c r="B234" s="45"/>
      <c r="C234" s="49"/>
      <c r="D234" s="46"/>
      <c r="E234" s="61"/>
      <c r="F234" s="50"/>
      <c r="G234" s="56"/>
      <c r="H234" s="51"/>
      <c r="I234" s="51">
        <f t="shared" si="87"/>
        <v>0</v>
      </c>
      <c r="J234" s="51">
        <f t="shared" si="88"/>
        <v>0</v>
      </c>
      <c r="K234" s="51">
        <f t="shared" ref="K234:K235" si="93">IF(AND(C$7="Y",$B234&lt;=$C$4),0,IF(AND(C$7="N",C$4&gt;0,B234&lt;=C$4),0,S234*(C234-J234)))</f>
        <v>0</v>
      </c>
      <c r="L234" s="49">
        <f t="shared" si="75"/>
        <v>0</v>
      </c>
      <c r="M234" s="49">
        <f t="shared" si="76"/>
        <v>0</v>
      </c>
      <c r="N234" s="49">
        <f t="shared" si="91"/>
        <v>0</v>
      </c>
      <c r="O234" s="48">
        <f t="shared" si="89"/>
        <v>0</v>
      </c>
      <c r="P234" s="38">
        <f t="shared" si="92"/>
        <v>0</v>
      </c>
      <c r="Q234" s="53"/>
      <c r="R234" s="53"/>
      <c r="S234" s="53"/>
    </row>
    <row r="235" spans="1:19" x14ac:dyDescent="0.2">
      <c r="A235" s="62">
        <f t="shared" si="77"/>
        <v>0</v>
      </c>
      <c r="B235" s="45"/>
      <c r="C235" s="49"/>
      <c r="D235" s="46"/>
      <c r="E235" s="61"/>
      <c r="F235" s="50"/>
      <c r="G235" s="56"/>
      <c r="H235" s="51"/>
      <c r="I235" s="51">
        <f t="shared" si="87"/>
        <v>0</v>
      </c>
      <c r="J235" s="51">
        <f t="shared" si="88"/>
        <v>0</v>
      </c>
      <c r="K235" s="51">
        <f t="shared" si="93"/>
        <v>0</v>
      </c>
      <c r="L235" s="49">
        <f t="shared" si="75"/>
        <v>0</v>
      </c>
      <c r="M235" s="49">
        <f t="shared" si="76"/>
        <v>0</v>
      </c>
      <c r="N235" s="49">
        <f t="shared" si="91"/>
        <v>0</v>
      </c>
      <c r="O235" s="48">
        <f t="shared" si="89"/>
        <v>0</v>
      </c>
      <c r="P235" s="38">
        <f t="shared" si="92"/>
        <v>0</v>
      </c>
      <c r="Q235" s="53"/>
      <c r="R235" s="53"/>
      <c r="S235" s="53"/>
    </row>
  </sheetData>
  <pageMargins left="0.7" right="0.7" top="0.75" bottom="0.75" header="0.3" footer="0.3"/>
  <pageSetup orientation="portrait" horizontalDpi="300" verticalDpi="30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98C451-C1C9-4690-A57A-348D3756A63E}">
  <sheetPr codeName="Sheet11"/>
  <dimension ref="A1:W235"/>
  <sheetViews>
    <sheetView showGridLines="0" zoomScaleNormal="100" workbookViewId="0">
      <selection activeCell="H19" sqref="H19"/>
    </sheetView>
  </sheetViews>
  <sheetFormatPr defaultColWidth="9.140625" defaultRowHeight="11.25" x14ac:dyDescent="0.2"/>
  <cols>
    <col min="1" max="1" width="12.5703125" style="7" customWidth="1"/>
    <col min="2" max="2" width="15.42578125" style="7" customWidth="1"/>
    <col min="3" max="3" width="15.7109375" style="7" customWidth="1"/>
    <col min="4" max="4" width="15.85546875" style="7" customWidth="1"/>
    <col min="5" max="5" width="13.140625" style="7" customWidth="1"/>
    <col min="6" max="6" width="15.28515625" style="7" customWidth="1"/>
    <col min="7" max="7" width="17" style="7" customWidth="1"/>
    <col min="8" max="8" width="18" style="7" customWidth="1"/>
    <col min="9" max="15" width="17" style="7" customWidth="1"/>
    <col min="16" max="16" width="15.85546875" style="7" customWidth="1"/>
    <col min="17" max="19" width="9.140625" style="7"/>
    <col min="20" max="20" width="11.140625" style="7" bestFit="1" customWidth="1"/>
    <col min="21" max="21" width="12.85546875" style="7" customWidth="1"/>
    <col min="22" max="22" width="11.42578125" style="7" bestFit="1" customWidth="1"/>
    <col min="23" max="23" width="12.5703125" style="7" bestFit="1" customWidth="1"/>
    <col min="24" max="16384" width="9.140625" style="7"/>
  </cols>
  <sheetData>
    <row r="1" spans="1:23" ht="12" x14ac:dyDescent="0.2">
      <c r="A1" s="1"/>
      <c r="B1" s="2" t="s">
        <v>0</v>
      </c>
      <c r="C1" s="3">
        <v>100000000</v>
      </c>
      <c r="D1" s="4" t="s">
        <v>1</v>
      </c>
      <c r="E1" s="5" t="s">
        <v>2</v>
      </c>
      <c r="F1" s="6"/>
      <c r="H1" s="8" t="s">
        <v>3</v>
      </c>
      <c r="I1" s="9">
        <f>T8*(-1)/C1</f>
        <v>-2.2688788903808988E-10</v>
      </c>
      <c r="N1" s="10">
        <f>M8*0.9/C1</f>
        <v>-3.7499999999999999E-3</v>
      </c>
    </row>
    <row r="2" spans="1:23" ht="12" x14ac:dyDescent="0.2">
      <c r="A2" s="11"/>
      <c r="B2" s="12" t="s">
        <v>4</v>
      </c>
      <c r="C2" s="13">
        <v>0.05</v>
      </c>
      <c r="D2" s="14"/>
      <c r="E2" s="15" t="s">
        <v>5</v>
      </c>
      <c r="F2" s="16"/>
      <c r="H2" s="17" t="s">
        <v>6</v>
      </c>
      <c r="I2" s="18">
        <v>0.05</v>
      </c>
      <c r="M2" s="19">
        <f>(M8+N8)/C1</f>
        <v>-4.1666666666666666E-3</v>
      </c>
    </row>
    <row r="3" spans="1:23" ht="12" x14ac:dyDescent="0.2">
      <c r="A3" s="11"/>
      <c r="B3" s="12" t="s">
        <v>7</v>
      </c>
      <c r="C3" s="20">
        <v>60</v>
      </c>
      <c r="E3" s="17" t="s">
        <v>8</v>
      </c>
      <c r="F3" s="21"/>
      <c r="H3" s="17" t="s">
        <v>9</v>
      </c>
      <c r="I3" s="22">
        <f>T12</f>
        <v>0</v>
      </c>
      <c r="K3" s="46">
        <v>419512.21</v>
      </c>
      <c r="L3" s="49" t="e">
        <f>K3/U16</f>
        <v>#DIV/0!</v>
      </c>
      <c r="T3" s="46">
        <v>2339837.2599999998</v>
      </c>
      <c r="U3" s="46">
        <v>3564282.02</v>
      </c>
      <c r="V3" s="46"/>
    </row>
    <row r="4" spans="1:23" ht="12" x14ac:dyDescent="0.2">
      <c r="B4" s="100" t="s">
        <v>10</v>
      </c>
      <c r="C4" s="20">
        <v>0</v>
      </c>
      <c r="E4" s="17" t="s">
        <v>11</v>
      </c>
      <c r="F4" s="23"/>
      <c r="H4" s="17"/>
      <c r="I4" s="24"/>
      <c r="L4" s="38" t="e">
        <f>L3-D15</f>
        <v>#DIV/0!</v>
      </c>
    </row>
    <row r="5" spans="1:23" ht="12" x14ac:dyDescent="0.2">
      <c r="B5" s="101" t="s">
        <v>12</v>
      </c>
      <c r="C5" s="25">
        <v>0</v>
      </c>
      <c r="E5" s="17" t="s">
        <v>13</v>
      </c>
      <c r="F5" s="26"/>
      <c r="H5" s="17"/>
      <c r="I5" s="24"/>
      <c r="J5" s="38">
        <f>H15-I15</f>
        <v>1470456.6977344383</v>
      </c>
      <c r="T5" s="46"/>
      <c r="U5" s="46"/>
    </row>
    <row r="6" spans="1:23" ht="12" x14ac:dyDescent="0.2">
      <c r="B6" s="101" t="s">
        <v>14</v>
      </c>
      <c r="C6" s="25">
        <v>0</v>
      </c>
      <c r="E6" s="17" t="s">
        <v>15</v>
      </c>
      <c r="F6" s="27"/>
      <c r="H6" s="17"/>
      <c r="I6" s="24"/>
      <c r="V6" s="46"/>
    </row>
    <row r="7" spans="1:23" x14ac:dyDescent="0.2">
      <c r="B7" s="101" t="s">
        <v>16</v>
      </c>
      <c r="C7" s="28" t="s">
        <v>38</v>
      </c>
      <c r="E7" s="17" t="s">
        <v>17</v>
      </c>
      <c r="F7" s="26"/>
      <c r="H7" s="29"/>
      <c r="I7" s="30"/>
      <c r="J7" s="31"/>
      <c r="T7" s="86">
        <f>1-T8</f>
        <v>0.97731121109619101</v>
      </c>
    </row>
    <row r="8" spans="1:23" ht="12" thickBot="1" x14ac:dyDescent="0.25">
      <c r="B8" s="32" t="s">
        <v>18</v>
      </c>
      <c r="C8" s="33">
        <v>0.12</v>
      </c>
      <c r="E8" s="34"/>
      <c r="F8" s="35"/>
      <c r="H8" s="36"/>
      <c r="I8" s="37"/>
      <c r="J8" s="31">
        <f t="shared" ref="J8:Q8" si="0">_xlfn.AGGREGATE(9, 6, J14:J303)</f>
        <v>73305776.822524801</v>
      </c>
      <c r="K8" s="38">
        <f>D15+J12</f>
        <v>196015043.82114005</v>
      </c>
      <c r="L8" s="31">
        <f>_xlfn.AGGREGATE(9, 6, L14:L303)</f>
        <v>0</v>
      </c>
      <c r="M8" s="31">
        <f t="shared" si="0"/>
        <v>-416666.66666666669</v>
      </c>
      <c r="N8" s="31">
        <f t="shared" si="0"/>
        <v>0</v>
      </c>
      <c r="O8" s="31">
        <f t="shared" si="0"/>
        <v>110802175.3368336</v>
      </c>
      <c r="P8" s="31">
        <f>_xlfn.AGGREGATE(9, 6, P14:P303)</f>
        <v>110802175.3368336</v>
      </c>
      <c r="Q8" s="31">
        <f t="shared" si="0"/>
        <v>0</v>
      </c>
      <c r="T8" s="86">
        <v>2.2688788903808987E-2</v>
      </c>
      <c r="V8" s="46"/>
      <c r="W8" s="46"/>
    </row>
    <row r="9" spans="1:23" x14ac:dyDescent="0.2">
      <c r="B9" s="11"/>
      <c r="C9" s="90"/>
      <c r="E9" s="31"/>
      <c r="F9" s="59"/>
      <c r="J9" s="31"/>
      <c r="K9" s="38"/>
      <c r="L9" s="31"/>
      <c r="M9" s="31"/>
      <c r="N9" s="31"/>
      <c r="O9" s="31"/>
      <c r="P9" s="31"/>
      <c r="Q9" s="31"/>
      <c r="T9" s="86"/>
      <c r="V9" s="46"/>
      <c r="W9" s="46"/>
    </row>
    <row r="10" spans="1:23" ht="29.45" customHeight="1" x14ac:dyDescent="0.2">
      <c r="B10" s="11"/>
      <c r="C10" s="90"/>
      <c r="D10" s="38">
        <f>D14-L15</f>
        <v>100000000</v>
      </c>
      <c r="E10" s="31"/>
      <c r="F10" s="105">
        <f>-1*PMT(C2/12,60,D10)</f>
        <v>1887123.3644010937</v>
      </c>
      <c r="G10" s="87">
        <f>F10-I15</f>
        <v>1470456.6977344269</v>
      </c>
      <c r="H10" s="38">
        <f>C14-G10</f>
        <v>98529543.30226557</v>
      </c>
      <c r="I10" s="38">
        <f>S15*H10</f>
        <v>1044042.7899307044</v>
      </c>
      <c r="J10" s="103" t="s">
        <v>86</v>
      </c>
      <c r="K10" s="38"/>
      <c r="L10" s="31"/>
      <c r="M10" s="31"/>
      <c r="N10" s="31"/>
      <c r="O10" s="31"/>
      <c r="P10" s="31"/>
      <c r="Q10" s="31"/>
      <c r="T10" s="86"/>
      <c r="V10" s="46"/>
      <c r="W10" s="46"/>
    </row>
    <row r="11" spans="1:23" ht="33.950000000000003" customHeight="1" x14ac:dyDescent="0.2">
      <c r="A11" s="87">
        <f>B12+I15</f>
        <v>-1462407.5127057794</v>
      </c>
      <c r="B11" s="31">
        <f>C12+D11</f>
        <v>-243185.5127057794</v>
      </c>
      <c r="C11" s="90"/>
      <c r="D11" s="49">
        <v>1219222</v>
      </c>
      <c r="E11" s="31">
        <f>D11-J15</f>
        <v>-251234.69773443835</v>
      </c>
      <c r="F11" s="59"/>
      <c r="G11" s="38">
        <f>D14-L15</f>
        <v>100000000</v>
      </c>
      <c r="I11" s="38">
        <f>D14-M11</f>
        <v>100000000</v>
      </c>
      <c r="J11" s="103">
        <v>1044042.79</v>
      </c>
      <c r="K11" s="38">
        <f>J12+J15</f>
        <v>100000000.00653966</v>
      </c>
      <c r="L11" s="31"/>
      <c r="M11" s="31"/>
      <c r="N11" s="31"/>
      <c r="O11" s="31"/>
      <c r="P11" s="31"/>
      <c r="Q11" s="31"/>
      <c r="T11" s="86"/>
      <c r="V11" s="46" t="s">
        <v>85</v>
      </c>
      <c r="W11" s="46"/>
    </row>
    <row r="12" spans="1:23" ht="41.1" customHeight="1" x14ac:dyDescent="0.2">
      <c r="B12" s="87">
        <f>PMT(C2/12,60,99573468)</f>
        <v>-1879074.1793724461</v>
      </c>
      <c r="C12" s="38">
        <f>B12+C1*C2/12</f>
        <v>-1462407.5127057794</v>
      </c>
      <c r="D12" s="88" t="e">
        <f>D15-W16</f>
        <v>#DIV/0!</v>
      </c>
      <c r="E12" s="38">
        <f>D14-F12-L15</f>
        <v>103112876.6355989</v>
      </c>
      <c r="F12" s="55">
        <f>H15-C1*C2/1</f>
        <v>-3112876.6355988951</v>
      </c>
      <c r="G12" s="38">
        <f>(G11-J15)*S15</f>
        <v>1044042.7899307043</v>
      </c>
      <c r="H12" s="46"/>
      <c r="I12" s="38" t="s">
        <v>87</v>
      </c>
      <c r="J12" s="104">
        <f>J11/S15</f>
        <v>98529543.308805212</v>
      </c>
      <c r="K12" s="38">
        <f>D14-J12</f>
        <v>1470456.6911947876</v>
      </c>
      <c r="L12" s="38">
        <f>D14*C2/12</f>
        <v>416666.66666666669</v>
      </c>
      <c r="N12" s="39">
        <v>1</v>
      </c>
      <c r="O12" s="11"/>
      <c r="P12" s="40"/>
      <c r="Q12" s="11"/>
      <c r="R12" s="40">
        <v>0.12</v>
      </c>
      <c r="S12" s="11"/>
      <c r="T12" s="41">
        <v>0</v>
      </c>
      <c r="U12" s="11"/>
      <c r="V12" s="49"/>
    </row>
    <row r="13" spans="1:23" ht="22.5" customHeight="1" x14ac:dyDescent="0.2">
      <c r="B13" s="42" t="s">
        <v>19</v>
      </c>
      <c r="C13" s="43" t="s">
        <v>20</v>
      </c>
      <c r="D13" s="43" t="s">
        <v>21</v>
      </c>
      <c r="E13" s="44" t="s">
        <v>22</v>
      </c>
      <c r="F13" s="44" t="s">
        <v>23</v>
      </c>
      <c r="G13" s="44" t="s">
        <v>24</v>
      </c>
      <c r="H13" s="43" t="s">
        <v>25</v>
      </c>
      <c r="I13" s="43" t="s">
        <v>26</v>
      </c>
      <c r="J13" s="43" t="s">
        <v>27</v>
      </c>
      <c r="K13" s="43" t="s">
        <v>28</v>
      </c>
      <c r="L13" s="43" t="s">
        <v>29</v>
      </c>
      <c r="M13" s="43" t="s">
        <v>30</v>
      </c>
      <c r="N13" s="43" t="s">
        <v>31</v>
      </c>
      <c r="O13" s="43" t="s">
        <v>32</v>
      </c>
      <c r="P13" s="43" t="s">
        <v>33</v>
      </c>
      <c r="Q13" s="43"/>
      <c r="R13" s="43" t="s">
        <v>34</v>
      </c>
      <c r="S13" s="43" t="s">
        <v>35</v>
      </c>
      <c r="T13" s="43" t="s">
        <v>36</v>
      </c>
      <c r="U13" s="43" t="s">
        <v>37</v>
      </c>
      <c r="V13" s="38"/>
      <c r="W13" s="38"/>
    </row>
    <row r="14" spans="1:23" x14ac:dyDescent="0.2">
      <c r="A14" s="62">
        <f>D14/C$1</f>
        <v>1</v>
      </c>
      <c r="B14" s="45">
        <v>0</v>
      </c>
      <c r="C14" s="46">
        <f>C1</f>
        <v>100000000</v>
      </c>
      <c r="D14" s="47">
        <f>C1</f>
        <v>100000000</v>
      </c>
      <c r="E14" s="38">
        <f>C5</f>
        <v>0</v>
      </c>
      <c r="F14" s="38">
        <f>C$5</f>
        <v>0</v>
      </c>
      <c r="O14" s="48">
        <f>K14+I14+J14+M14+N14+G14</f>
        <v>0</v>
      </c>
      <c r="P14" s="38">
        <f t="shared" ref="P14:P77" si="1">O14*(1/((1+P$12)^(B14/12)))</f>
        <v>0</v>
      </c>
    </row>
    <row r="15" spans="1:23" x14ac:dyDescent="0.2">
      <c r="A15" s="62">
        <f t="shared" ref="A15:A78" si="2">D15/C$1</f>
        <v>0.97485500512334855</v>
      </c>
      <c r="B15" s="45">
        <f>B14+1</f>
        <v>1</v>
      </c>
      <c r="C15" s="49">
        <f>IF(B15&lt;C$4,C$1,D14)</f>
        <v>100000000</v>
      </c>
      <c r="D15" s="47" cm="1">
        <f t="array" ref="D15">_xlfn.IFS(AND($C$7="Y",B15&lt;C$4),C15,AND($C$7="Y",B15=C$4),D14+F15-J15-K15-L15+N15,AND($C$7="Y",B15&gt;$C$4),D14-J15-K15-L15+N15, TRUE, D14-J15-K15-L15+N15)</f>
        <v>97485500.512334853</v>
      </c>
      <c r="E15" s="48">
        <f>IF(AND($C$7="Y",B15&lt;=$C$4),D14*C$2/12-G15,0)</f>
        <v>0</v>
      </c>
      <c r="F15" s="50">
        <f>IF(AND($C$7="Y",B15&lt;=C$4),E15+F14,0)</f>
        <v>0</v>
      </c>
      <c r="G15" s="50">
        <f>IF(AND(C$7="Y",$B15&lt;=$C$4),C$6,0)</f>
        <v>0</v>
      </c>
      <c r="H15" s="51">
        <f>IF(AND($B15&lt;=$C$4,C$7="Y"),0,IF(AND(C$7="N",C$4&gt;0,B15&lt;=C$4),0,(D14-L15+N15)*C$2/12/(1-(1/(1+C$2/12))^(C$3+C$4-B15+1))))</f>
        <v>1887123.3644011051</v>
      </c>
      <c r="I15" s="52">
        <f t="shared" ref="I15:I78" si="3">IF(AND(C$7="Y",$B15&lt;=C$4),0,IF(AND(C$7="Y",$B15&gt;C$4),(1-U15)*C$2*D14/12,IF(AND($C$7="N",C$4&gt;0),(1-U15)*D14*C$2/12, (1-U15)*D14*C$2/12)))</f>
        <v>416666.66666666669</v>
      </c>
      <c r="J15" s="57">
        <f t="shared" ref="J15:J78" si="4">IF(AND($B15&lt;=$C$4,C$7="Y"),0,IF(AND(C$7="N",C$4&gt;0,B15&lt;=C$4),0,H15-I15))</f>
        <v>1470456.6977344383</v>
      </c>
      <c r="K15" s="51">
        <f>IF(AND(C$7="Y",$B15&lt;=$C$4),0,IF(AND(C$7="N",C$4&gt;0,B15&lt;=C$4),0,S15*(C15-J15)))</f>
        <v>1044042.7899307043</v>
      </c>
      <c r="L15" s="49">
        <f>IF(AND(C$7="Y",$B15&lt;=$C$4),0,IF(AND(C$7="N",C$4&gt;0,B15&lt;=C$4),0,U15*C14))</f>
        <v>0</v>
      </c>
      <c r="M15" s="49">
        <f>IFERROR(#REF!*-1,0)</f>
        <v>0</v>
      </c>
      <c r="N15" s="49">
        <f>IFERROR((1-$N$12)*#REF!,0)</f>
        <v>0</v>
      </c>
      <c r="O15" s="48">
        <f t="shared" ref="O15:O78" si="5">K15+I15+J15-L15+N15+G15</f>
        <v>2931166.1543318094</v>
      </c>
      <c r="P15" s="38">
        <f t="shared" si="1"/>
        <v>2931166.1543318094</v>
      </c>
      <c r="Q15" s="53"/>
      <c r="R15" s="53">
        <f>R$12</f>
        <v>0.12</v>
      </c>
      <c r="S15" s="53">
        <f>1-(1-R15)^(1/12)</f>
        <v>1.0596241035318976E-2</v>
      </c>
      <c r="T15" s="53">
        <f>T$12</f>
        <v>0</v>
      </c>
      <c r="U15" s="53">
        <f>1-(1-T15)^(1/12)</f>
        <v>0</v>
      </c>
      <c r="V15" s="38">
        <f>C$2*D14/12</f>
        <v>416666.66666666669</v>
      </c>
      <c r="W15" s="89">
        <f>S15*D14</f>
        <v>1059624.1035318975</v>
      </c>
    </row>
    <row r="16" spans="1:23" s="59" customFormat="1" x14ac:dyDescent="0.2">
      <c r="A16" s="92">
        <f t="shared" si="2"/>
        <v>0.95007063731012953</v>
      </c>
      <c r="B16" s="54">
        <f t="shared" ref="B16:B79" si="6">B15+1</f>
        <v>2</v>
      </c>
      <c r="C16" s="51">
        <f t="shared" ref="C16:C79" si="7">IF(B16&lt;C$4,C$1,D15-L16+N16)</f>
        <v>97485500.512334853</v>
      </c>
      <c r="D16" s="60" cm="1">
        <f t="array" ref="D16">_xlfn.IFS(AND($C$7="Y",B16&lt;C$4),C16,AND($C$7="Y",B16=C$4),D15+F16-J16-K16-L16+N16,AND($C$7="Y",B16&gt;$C$4),D15-J16-K16-L16+N16, TRUE, D15-J16-K16-L16+N16)</f>
        <v>95007063.731012955</v>
      </c>
      <c r="E16" s="93">
        <f t="shared" ref="E16:E79" si="8">IF(AND($C$7="Y",B16&lt;=$C$4),D15*C$2/12-G16,0)</f>
        <v>0</v>
      </c>
      <c r="F16" s="56">
        <f t="shared" ref="F16:F79" si="9">IF(AND($C$7="Y",B16&lt;=C$4),E16+F15,0)</f>
        <v>0</v>
      </c>
      <c r="G16" s="56">
        <f>IF(AND(C$7="Y",$B16&lt;=$C$4),C$6,0)</f>
        <v>0</v>
      </c>
      <c r="H16" s="51">
        <f>IF(AND($B16&lt;=$C$4,C$7="Y"),0,IF(AND(C$7="N",C$4&gt;0,B16&lt;=C$4),0,(D15-L16+N16)*C$2/12/(1-(1/(1+C$2/12))^(C$3+C$4-B16+1))))</f>
        <v>1867126.9503685283</v>
      </c>
      <c r="I16" s="52">
        <f t="shared" si="3"/>
        <v>406189.58546806191</v>
      </c>
      <c r="J16" s="52">
        <f t="shared" si="4"/>
        <v>1460937.3649004663</v>
      </c>
      <c r="K16" s="51">
        <f>IF(AND(C$7="Y",$B16&lt;=$C$4),0,IF(AND(C$7="N",C$4&gt;0,B16&lt;=C$4),0,S16*(C16-J16-L16)))</f>
        <v>1017499.4164214225</v>
      </c>
      <c r="L16" s="51">
        <f t="shared" ref="L16:L79" si="10">IF(AND(C$7="Y",$B16&lt;=$C$4),0,IF(AND(C$7="N",C$4&gt;0,B16&lt;=C$4),0,U16*D15))</f>
        <v>0</v>
      </c>
      <c r="M16" s="55">
        <f>IFERROR(L12*-1,0)</f>
        <v>-416666.66666666669</v>
      </c>
      <c r="N16" s="55">
        <f>IFERROR((1-$N$12)*K8,0)</f>
        <v>0</v>
      </c>
      <c r="O16" s="93">
        <f t="shared" si="5"/>
        <v>2884626.366789951</v>
      </c>
      <c r="P16" s="58">
        <f t="shared" si="1"/>
        <v>2884626.366789951</v>
      </c>
      <c r="Q16" s="94"/>
      <c r="R16" s="94">
        <f t="shared" ref="R16:R79" si="11">R$12</f>
        <v>0.12</v>
      </c>
      <c r="S16" s="95">
        <f t="shared" ref="S16:S79" si="12">1-(1-R16)^(1/12)</f>
        <v>1.0596241035318976E-2</v>
      </c>
      <c r="T16" s="94">
        <f t="shared" ref="T16:T79" si="13">T$12</f>
        <v>0</v>
      </c>
      <c r="U16" s="95">
        <f>1-(1-T16)^(1/12)</f>
        <v>0</v>
      </c>
      <c r="V16" s="96">
        <v>419512.21</v>
      </c>
      <c r="W16" s="55" t="e">
        <f>V16/U16</f>
        <v>#DIV/0!</v>
      </c>
    </row>
    <row r="17" spans="1:21" x14ac:dyDescent="0.2">
      <c r="A17" s="62">
        <f t="shared" si="2"/>
        <v>0.92564246554358165</v>
      </c>
      <c r="B17" s="45">
        <f t="shared" si="6"/>
        <v>3</v>
      </c>
      <c r="C17" s="51">
        <f t="shared" si="7"/>
        <v>95007063.731012955</v>
      </c>
      <c r="D17" s="47" cm="1">
        <f t="array" ref="D17">_xlfn.IFS(AND($C$7="Y",B17&lt;C$4),C17,AND($C$7="Y",B17=C$4),D16+F17-J17-K17-L17+N17,AND($C$7="Y",B17&gt;$C$4),D16-J17-K17-L17+N17, TRUE, D16-J17-K17-L17+N17)</f>
        <v>92564246.554358169</v>
      </c>
      <c r="E17" s="48">
        <f t="shared" si="8"/>
        <v>0</v>
      </c>
      <c r="F17" s="50">
        <f t="shared" si="9"/>
        <v>0</v>
      </c>
      <c r="G17" s="50">
        <f>IF(AND(C$7="Y",$B17&lt;=$C$4),C$6,0)</f>
        <v>0</v>
      </c>
      <c r="H17" s="51">
        <f>IF(AND($B17&lt;=$C$4,C$7="Y"),0,IF(AND(C$7="N",C$4&gt;0,B17&lt;=C$4),0,(D16-L17+N17)*C$2/12/(1-(1/(1+C$2/12))^(C$3+C$4-B17+1))))</f>
        <v>1847342.4231588824</v>
      </c>
      <c r="I17" s="52">
        <f t="shared" si="3"/>
        <v>395862.76554588735</v>
      </c>
      <c r="J17" s="52">
        <f t="shared" si="4"/>
        <v>1451479.657612995</v>
      </c>
      <c r="K17" s="51">
        <f t="shared" ref="K17:K80" si="14">IF(AND(C$7="Y",$B17&lt;=$C$4),0,IF(AND(C$7="N",C$4&gt;0,B17&lt;=C$4),0,S17*(C17-J17)))</f>
        <v>991337.51904179517</v>
      </c>
      <c r="L17" s="49">
        <f t="shared" si="10"/>
        <v>0</v>
      </c>
      <c r="M17" s="55">
        <f t="shared" ref="M17" si="15">IFERROR(L13*-1,0)</f>
        <v>0</v>
      </c>
      <c r="N17" s="49">
        <f t="shared" ref="N17" si="16">IFERROR((1-$N$12)*L13,0)</f>
        <v>0</v>
      </c>
      <c r="O17" s="48">
        <f t="shared" si="5"/>
        <v>2838679.9422006775</v>
      </c>
      <c r="P17" s="38">
        <f t="shared" si="1"/>
        <v>2838679.9422006775</v>
      </c>
      <c r="Q17" s="53"/>
      <c r="R17" s="53">
        <f t="shared" si="11"/>
        <v>0.12</v>
      </c>
      <c r="S17" s="53">
        <f t="shared" si="12"/>
        <v>1.0596241035318976E-2</v>
      </c>
      <c r="T17" s="53">
        <f t="shared" si="13"/>
        <v>0</v>
      </c>
      <c r="U17" s="53">
        <f t="shared" ref="U17:U80" si="17">1-(1-T17)^(1/12)</f>
        <v>0</v>
      </c>
    </row>
    <row r="18" spans="1:21" s="114" customFormat="1" x14ac:dyDescent="0.2">
      <c r="A18" s="106">
        <f t="shared" si="2"/>
        <v>0.90156610970626017</v>
      </c>
      <c r="B18" s="107">
        <f t="shared" si="6"/>
        <v>4</v>
      </c>
      <c r="C18" s="108">
        <f t="shared" si="7"/>
        <v>92564246.554358169</v>
      </c>
      <c r="D18" s="109" cm="1">
        <f t="array" ref="D18">_xlfn.IFS(AND($C$7="Y",B18&lt;C$4),C18,AND($C$7="Y",B18=C$4),D17+F18-J18-K18-L18+N18,AND($C$7="Y",B18&gt;$C$4),D17-J18-K18-L18+N18, TRUE, D17-J18-K18-L18+N18)</f>
        <v>90156610.970626011</v>
      </c>
      <c r="E18" s="110">
        <f t="shared" si="8"/>
        <v>0</v>
      </c>
      <c r="F18" s="111">
        <f t="shared" si="9"/>
        <v>0</v>
      </c>
      <c r="G18" s="111">
        <f t="shared" ref="G18:G81" si="18">IF($B18&lt;=$C$4,C$6,0)</f>
        <v>0</v>
      </c>
      <c r="H18" s="108">
        <f>IF(AND($B18&lt;=$C$4,C$7="Y"),0,IF(AND(C$7="N",C$4&gt;0,B18&lt;=C$4),0,(C18-L18+N18)*C$2/12/(1-(1/(1+C$2/12))^(C$3+C$4-B18+1))))</f>
        <v>1827767.537568321</v>
      </c>
      <c r="I18" s="112">
        <f t="shared" si="3"/>
        <v>385684.36064315907</v>
      </c>
      <c r="J18" s="112">
        <f t="shared" si="4"/>
        <v>1442083.1769251619</v>
      </c>
      <c r="K18" s="108">
        <f t="shared" si="14"/>
        <v>965552.40680699563</v>
      </c>
      <c r="L18" s="108">
        <f t="shared" si="10"/>
        <v>0</v>
      </c>
      <c r="M18" s="108">
        <f>IFERROR(L14*-1,0)</f>
        <v>0</v>
      </c>
      <c r="N18" s="108">
        <f>IFERROR((1-$N$12)*L14,0)</f>
        <v>0</v>
      </c>
      <c r="O18" s="110">
        <f t="shared" si="5"/>
        <v>2793319.9443753166</v>
      </c>
      <c r="P18" s="104">
        <f t="shared" si="1"/>
        <v>2793319.9443753166</v>
      </c>
      <c r="Q18" s="113"/>
      <c r="R18" s="113">
        <f t="shared" si="11"/>
        <v>0.12</v>
      </c>
      <c r="S18" s="113">
        <f t="shared" si="12"/>
        <v>1.0596241035318976E-2</v>
      </c>
      <c r="T18" s="113">
        <f t="shared" si="13"/>
        <v>0</v>
      </c>
      <c r="U18" s="113">
        <f t="shared" si="17"/>
        <v>0</v>
      </c>
    </row>
    <row r="19" spans="1:21" x14ac:dyDescent="0.2">
      <c r="A19" s="62">
        <f t="shared" si="2"/>
        <v>0.87783724001514252</v>
      </c>
      <c r="B19" s="45">
        <f t="shared" si="6"/>
        <v>5</v>
      </c>
      <c r="C19" s="51">
        <f t="shared" si="7"/>
        <v>90156610.970626011</v>
      </c>
      <c r="D19" s="47" cm="1">
        <f t="array" ref="D19">_xlfn.IFS(AND($C$7="Y",B19&lt;C$4),C19,AND($C$7="Y",B19=C$4),D18+F19-J19-K19-L19+N19,AND($C$7="Y",B19&gt;$C$4),D18-J19-K19-L19+N19, TRUE, D18-J19-K19-L19+N19)</f>
        <v>87783724.001514256</v>
      </c>
      <c r="E19" s="48">
        <f t="shared" si="8"/>
        <v>0</v>
      </c>
      <c r="F19" s="50">
        <f t="shared" si="9"/>
        <v>0</v>
      </c>
      <c r="G19" s="50">
        <f t="shared" si="18"/>
        <v>0</v>
      </c>
      <c r="H19" s="51">
        <f t="shared" ref="H19:H82" si="19">IF(AND($B19&lt;=$C$4,C$7="Y"),0,IF(AND(C$7="N",C$4&gt;0,B19&lt;=C$4),0,(D18-L19+N19)*C$2/12/(1-(1/(1+C$2/12))^(C$3+C$4-B19+1))))</f>
        <v>1808400.0721837147</v>
      </c>
      <c r="I19" s="52">
        <f t="shared" si="3"/>
        <v>375652.54571094172</v>
      </c>
      <c r="J19" s="52">
        <f t="shared" si="4"/>
        <v>1432747.5264727729</v>
      </c>
      <c r="K19" s="51">
        <f t="shared" si="14"/>
        <v>940139.44263897371</v>
      </c>
      <c r="L19" s="49">
        <f t="shared" si="10"/>
        <v>0</v>
      </c>
      <c r="M19" s="49">
        <f>IFERROR(L15*-1,0)</f>
        <v>0</v>
      </c>
      <c r="N19" s="49">
        <f>IFERROR((1-$N$12)*L15,0)</f>
        <v>0</v>
      </c>
      <c r="O19" s="48">
        <f t="shared" si="5"/>
        <v>2748539.5148226884</v>
      </c>
      <c r="P19" s="38">
        <f t="shared" si="1"/>
        <v>2748539.5148226884</v>
      </c>
      <c r="Q19" s="53"/>
      <c r="R19" s="53">
        <f t="shared" si="11"/>
        <v>0.12</v>
      </c>
      <c r="S19" s="53">
        <f t="shared" si="12"/>
        <v>1.0596241035318976E-2</v>
      </c>
      <c r="T19" s="53">
        <f t="shared" si="13"/>
        <v>0</v>
      </c>
      <c r="U19" s="53">
        <f t="shared" si="17"/>
        <v>0</v>
      </c>
    </row>
    <row r="20" spans="1:21" x14ac:dyDescent="0.2">
      <c r="A20" s="62">
        <f t="shared" si="2"/>
        <v>0.85445157646288605</v>
      </c>
      <c r="B20" s="45">
        <f t="shared" si="6"/>
        <v>6</v>
      </c>
      <c r="C20" s="51">
        <f t="shared" si="7"/>
        <v>87783724.001514256</v>
      </c>
      <c r="D20" s="47" cm="1">
        <f t="array" ref="D20">_xlfn.IFS(AND($C$7="Y",B20&lt;C$4),C20,AND($C$7="Y",B20=C$4),D19+F20-J20-K20-L20+N20,AND($C$7="Y",B20&gt;$C$4),D19-J20-K20-L20+N20, TRUE, D19-J20-K20-L20+N20)</f>
        <v>85445157.646288604</v>
      </c>
      <c r="E20" s="48">
        <f t="shared" si="8"/>
        <v>0</v>
      </c>
      <c r="F20" s="50">
        <f t="shared" si="9"/>
        <v>0</v>
      </c>
      <c r="G20" s="50">
        <f t="shared" si="18"/>
        <v>0</v>
      </c>
      <c r="H20" s="51">
        <f t="shared" si="19"/>
        <v>1789237.8291305671</v>
      </c>
      <c r="I20" s="52">
        <f t="shared" si="3"/>
        <v>365765.51667297608</v>
      </c>
      <c r="J20" s="52">
        <f t="shared" si="4"/>
        <v>1423472.3124575911</v>
      </c>
      <c r="K20" s="51">
        <f t="shared" si="14"/>
        <v>915094.0427680572</v>
      </c>
      <c r="L20" s="49">
        <f t="shared" si="10"/>
        <v>0</v>
      </c>
      <c r="M20" s="49">
        <f t="shared" ref="M20" si="20">IFERROR(L16*-1,0)</f>
        <v>0</v>
      </c>
      <c r="N20" s="49">
        <f>IFERROR((1-$N$12)*L16,0)</f>
        <v>0</v>
      </c>
      <c r="O20" s="48">
        <f t="shared" si="5"/>
        <v>2704331.8718986241</v>
      </c>
      <c r="P20" s="38">
        <f t="shared" si="1"/>
        <v>2704331.8718986241</v>
      </c>
      <c r="Q20" s="53"/>
      <c r="R20" s="53">
        <f t="shared" si="11"/>
        <v>0.12</v>
      </c>
      <c r="S20" s="53">
        <f t="shared" si="12"/>
        <v>1.0596241035318976E-2</v>
      </c>
      <c r="T20" s="53">
        <f t="shared" si="13"/>
        <v>0</v>
      </c>
      <c r="U20" s="53">
        <f t="shared" si="17"/>
        <v>0</v>
      </c>
    </row>
    <row r="21" spans="1:21" x14ac:dyDescent="0.2">
      <c r="A21" s="62">
        <f t="shared" si="2"/>
        <v>0.83140488826516823</v>
      </c>
      <c r="B21" s="45">
        <f t="shared" si="6"/>
        <v>7</v>
      </c>
      <c r="C21" s="51">
        <f t="shared" si="7"/>
        <v>85445157.646288604</v>
      </c>
      <c r="D21" s="47" cm="1">
        <f t="array" ref="D21">_xlfn.IFS(AND($C$7="Y",B21&lt;C$4),C21,AND($C$7="Y",B21=C$4),D20+F21-J21-K21-L21+N21,AND($C$7="Y",B21&gt;$C$4),D20-J21-K21-L21+N21, TRUE, D20-J21-K21-L21+N21)</f>
        <v>83140488.826516822</v>
      </c>
      <c r="E21" s="48">
        <f t="shared" si="8"/>
        <v>0</v>
      </c>
      <c r="F21" s="50">
        <f t="shared" si="9"/>
        <v>0</v>
      </c>
      <c r="G21" s="50">
        <f t="shared" si="18"/>
        <v>0</v>
      </c>
      <c r="H21" s="51">
        <f t="shared" si="19"/>
        <v>1770278.6338235897</v>
      </c>
      <c r="I21" s="52">
        <f t="shared" si="3"/>
        <v>356021.49019286921</v>
      </c>
      <c r="J21" s="52">
        <f t="shared" si="4"/>
        <v>1414257.1436307204</v>
      </c>
      <c r="K21" s="51">
        <f t="shared" si="14"/>
        <v>890411.6761410695</v>
      </c>
      <c r="L21" s="49">
        <f t="shared" si="10"/>
        <v>0</v>
      </c>
      <c r="M21" s="49">
        <f>IFERROR(L17*-1,0)</f>
        <v>0</v>
      </c>
      <c r="N21" s="49">
        <f t="shared" ref="N21:N24" si="21">IFERROR((1-$N$12)*L17,0)</f>
        <v>0</v>
      </c>
      <c r="O21" s="48">
        <f t="shared" si="5"/>
        <v>2660690.3099646592</v>
      </c>
      <c r="P21" s="38">
        <f t="shared" si="1"/>
        <v>2660690.3099646592</v>
      </c>
      <c r="Q21" s="53"/>
      <c r="R21" s="53">
        <f t="shared" si="11"/>
        <v>0.12</v>
      </c>
      <c r="S21" s="53">
        <f t="shared" si="12"/>
        <v>1.0596241035318976E-2</v>
      </c>
      <c r="T21" s="53">
        <f t="shared" si="13"/>
        <v>0</v>
      </c>
      <c r="U21" s="53">
        <f t="shared" si="17"/>
        <v>0</v>
      </c>
    </row>
    <row r="22" spans="1:21" x14ac:dyDescent="0.2">
      <c r="A22" s="62">
        <f t="shared" si="2"/>
        <v>0.8086929933140482</v>
      </c>
      <c r="B22" s="45">
        <f t="shared" si="6"/>
        <v>8</v>
      </c>
      <c r="C22" s="51">
        <f t="shared" si="7"/>
        <v>83140488.826516822</v>
      </c>
      <c r="D22" s="47" cm="1">
        <f t="array" ref="D22">_xlfn.IFS(AND($C$7="Y",B22&lt;C$4),C22,AND($C$7="Y",B22=C$4),D21+F22-J22-K22-L22+N22,AND($C$7="Y",B22&gt;$C$4),D21-J22-K22-L22+N22, TRUE, D21-J22-K22-L22+N22)</f>
        <v>80869299.33140482</v>
      </c>
      <c r="E22" s="48">
        <f t="shared" si="8"/>
        <v>0</v>
      </c>
      <c r="F22" s="50">
        <f t="shared" si="9"/>
        <v>0</v>
      </c>
      <c r="G22" s="50">
        <f t="shared" si="18"/>
        <v>0</v>
      </c>
      <c r="H22" s="51">
        <f t="shared" si="19"/>
        <v>1751520.3347199196</v>
      </c>
      <c r="I22" s="52">
        <f t="shared" si="3"/>
        <v>346418.70344382012</v>
      </c>
      <c r="J22" s="52">
        <f t="shared" si="4"/>
        <v>1405101.6312760995</v>
      </c>
      <c r="K22" s="51">
        <f t="shared" si="14"/>
        <v>866087.86383589497</v>
      </c>
      <c r="L22" s="49">
        <f t="shared" si="10"/>
        <v>0</v>
      </c>
      <c r="M22" s="49">
        <f t="shared" ref="M22:M23" si="22">IFERROR(L18*-1,0)</f>
        <v>0</v>
      </c>
      <c r="N22" s="49">
        <f t="shared" si="21"/>
        <v>0</v>
      </c>
      <c r="O22" s="48">
        <f t="shared" si="5"/>
        <v>2617608.1985558146</v>
      </c>
      <c r="P22" s="38">
        <f t="shared" si="1"/>
        <v>2617608.1985558146</v>
      </c>
      <c r="Q22" s="53"/>
      <c r="R22" s="53">
        <f t="shared" si="11"/>
        <v>0.12</v>
      </c>
      <c r="S22" s="53">
        <f t="shared" si="12"/>
        <v>1.0596241035318976E-2</v>
      </c>
      <c r="T22" s="53">
        <f t="shared" si="13"/>
        <v>0</v>
      </c>
      <c r="U22" s="53">
        <f t="shared" si="17"/>
        <v>0</v>
      </c>
    </row>
    <row r="23" spans="1:21" x14ac:dyDescent="0.2">
      <c r="A23" s="62">
        <f t="shared" si="2"/>
        <v>0.78631175763728289</v>
      </c>
      <c r="B23" s="45">
        <f t="shared" si="6"/>
        <v>9</v>
      </c>
      <c r="C23" s="51">
        <f t="shared" si="7"/>
        <v>80869299.33140482</v>
      </c>
      <c r="D23" s="47" cm="1">
        <f t="array" ref="D23">_xlfn.IFS(AND($C$7="Y",B23&lt;C$4),C23,AND($C$7="Y",B23=C$4),D22+F23-J23-K23-L23+N23,AND($C$7="Y",B23&gt;$C$4),D22-J23-K23-L23+N23, TRUE, D22-J23-K23-L23+N23)</f>
        <v>78631175.763728291</v>
      </c>
      <c r="E23" s="48">
        <f t="shared" si="8"/>
        <v>0</v>
      </c>
      <c r="F23" s="50">
        <f t="shared" si="9"/>
        <v>0</v>
      </c>
      <c r="G23" s="50">
        <f t="shared" si="18"/>
        <v>0</v>
      </c>
      <c r="H23" s="51">
        <f t="shared" si="19"/>
        <v>1732960.8030749632</v>
      </c>
      <c r="I23" s="52">
        <f t="shared" si="3"/>
        <v>336955.41388085345</v>
      </c>
      <c r="J23" s="52">
        <f t="shared" si="4"/>
        <v>1396005.3891941097</v>
      </c>
      <c r="K23" s="51">
        <f t="shared" si="14"/>
        <v>842118.17848242004</v>
      </c>
      <c r="L23" s="49">
        <f t="shared" si="10"/>
        <v>0</v>
      </c>
      <c r="M23" s="49">
        <f t="shared" si="22"/>
        <v>0</v>
      </c>
      <c r="N23" s="49">
        <f t="shared" si="21"/>
        <v>0</v>
      </c>
      <c r="O23" s="48">
        <f t="shared" si="5"/>
        <v>2575078.9815573832</v>
      </c>
      <c r="P23" s="38">
        <f t="shared" si="1"/>
        <v>2575078.9815573832</v>
      </c>
      <c r="Q23" s="53"/>
      <c r="R23" s="53">
        <f t="shared" si="11"/>
        <v>0.12</v>
      </c>
      <c r="S23" s="53">
        <f t="shared" si="12"/>
        <v>1.0596241035318976E-2</v>
      </c>
      <c r="T23" s="53">
        <f t="shared" si="13"/>
        <v>0</v>
      </c>
      <c r="U23" s="53">
        <f t="shared" si="17"/>
        <v>0</v>
      </c>
    </row>
    <row r="24" spans="1:21" x14ac:dyDescent="0.2">
      <c r="A24" s="62">
        <f t="shared" si="2"/>
        <v>0.76425709486353222</v>
      </c>
      <c r="B24" s="45">
        <f t="shared" si="6"/>
        <v>10</v>
      </c>
      <c r="C24" s="51">
        <f t="shared" si="7"/>
        <v>78631175.763728291</v>
      </c>
      <c r="D24" s="47" cm="1">
        <f t="array" ref="D24">_xlfn.IFS(AND($C$7="Y",B24&lt;C$4),C24,AND($C$7="Y",B24=C$4),D23+F24-J24-K24-L24+N24,AND($C$7="Y",B24&gt;$C$4),D23-J24-K24-L24+N24, TRUE, D23-J24-K24-L24+N24)</f>
        <v>76425709.486353219</v>
      </c>
      <c r="E24" s="48">
        <f t="shared" si="8"/>
        <v>0</v>
      </c>
      <c r="F24" s="50">
        <f t="shared" si="9"/>
        <v>0</v>
      </c>
      <c r="G24" s="50">
        <f t="shared" si="18"/>
        <v>0</v>
      </c>
      <c r="H24" s="51">
        <f t="shared" si="19"/>
        <v>1714597.9327008212</v>
      </c>
      <c r="I24" s="52">
        <f t="shared" si="3"/>
        <v>327629.89901553455</v>
      </c>
      <c r="J24" s="52">
        <f t="shared" si="4"/>
        <v>1386968.0336852865</v>
      </c>
      <c r="K24" s="51">
        <f t="shared" si="14"/>
        <v>818498.24368978501</v>
      </c>
      <c r="L24" s="49">
        <f t="shared" si="10"/>
        <v>0</v>
      </c>
      <c r="M24" s="49">
        <f>IFERROR(L20*-1,0)</f>
        <v>0</v>
      </c>
      <c r="N24" s="49">
        <f t="shared" si="21"/>
        <v>0</v>
      </c>
      <c r="O24" s="48">
        <f t="shared" si="5"/>
        <v>2533096.176390606</v>
      </c>
      <c r="P24" s="38">
        <f t="shared" si="1"/>
        <v>2533096.176390606</v>
      </c>
      <c r="Q24" s="53"/>
      <c r="R24" s="53">
        <f t="shared" si="11"/>
        <v>0.12</v>
      </c>
      <c r="S24" s="53">
        <f t="shared" si="12"/>
        <v>1.0596241035318976E-2</v>
      </c>
      <c r="T24" s="53">
        <f t="shared" si="13"/>
        <v>0</v>
      </c>
      <c r="U24" s="53">
        <f t="shared" si="17"/>
        <v>0</v>
      </c>
    </row>
    <row r="25" spans="1:21" x14ac:dyDescent="0.2">
      <c r="A25" s="62">
        <f t="shared" si="2"/>
        <v>0.7425249656933921</v>
      </c>
      <c r="B25" s="45">
        <f t="shared" si="6"/>
        <v>11</v>
      </c>
      <c r="C25" s="51">
        <f t="shared" si="7"/>
        <v>76425709.486353219</v>
      </c>
      <c r="D25" s="47" cm="1">
        <f t="array" ref="D25">_xlfn.IFS(AND($C$7="Y",B25&lt;C$4),C25,AND($C$7="Y",B25=C$4),D24+F25-J25-K25-L25+N25,AND($C$7="Y",B25&gt;$C$4),D24-J25-K25-L25+N25, TRUE, D24-J25-K25-L25+N25)</f>
        <v>74252496.569339216</v>
      </c>
      <c r="E25" s="48">
        <f t="shared" si="8"/>
        <v>0</v>
      </c>
      <c r="F25" s="50">
        <f t="shared" si="9"/>
        <v>0</v>
      </c>
      <c r="G25" s="50">
        <f t="shared" si="18"/>
        <v>0</v>
      </c>
      <c r="H25" s="51">
        <f t="shared" si="19"/>
        <v>1696429.6397272635</v>
      </c>
      <c r="I25" s="52">
        <f t="shared" si="3"/>
        <v>318440.45619313844</v>
      </c>
      <c r="J25" s="52">
        <f t="shared" si="4"/>
        <v>1377989.1835341251</v>
      </c>
      <c r="K25" s="51">
        <f t="shared" si="14"/>
        <v>795223.7334798727</v>
      </c>
      <c r="L25" s="49">
        <f t="shared" si="10"/>
        <v>0</v>
      </c>
      <c r="M25" s="49">
        <f t="shared" ref="M25:M28" si="23">IFERROR(L21*-1,0)</f>
        <v>0</v>
      </c>
      <c r="N25" s="49">
        <f>IFERROR((1-$N$12)*L21,0)</f>
        <v>0</v>
      </c>
      <c r="O25" s="48">
        <f t="shared" si="5"/>
        <v>2491653.3732071361</v>
      </c>
      <c r="P25" s="38">
        <f t="shared" si="1"/>
        <v>2491653.3732071361</v>
      </c>
      <c r="Q25" s="53"/>
      <c r="R25" s="53">
        <f t="shared" si="11"/>
        <v>0.12</v>
      </c>
      <c r="S25" s="53">
        <f t="shared" si="12"/>
        <v>1.0596241035318976E-2</v>
      </c>
      <c r="T25" s="53">
        <f t="shared" si="13"/>
        <v>0</v>
      </c>
      <c r="U25" s="53">
        <f t="shared" si="17"/>
        <v>0</v>
      </c>
    </row>
    <row r="26" spans="1:21" x14ac:dyDescent="0.2">
      <c r="A26" s="62">
        <f t="shared" si="2"/>
        <v>0.72111137737619235</v>
      </c>
      <c r="B26" s="45">
        <f t="shared" si="6"/>
        <v>12</v>
      </c>
      <c r="C26" s="51">
        <f t="shared" si="7"/>
        <v>74252496.569339216</v>
      </c>
      <c r="D26" s="47" cm="1">
        <f t="array" ref="D26">_xlfn.IFS(AND($C$7="Y",B26&lt;C$4),C26,AND($C$7="Y",B26=C$4),D25+F26-J26-K26-L26+N26,AND($C$7="Y",B26&gt;$C$4),D25-J26-K26-L26+N26, TRUE, D25-J26-K26-L26+N26)</f>
        <v>72111137.737619236</v>
      </c>
      <c r="E26" s="48">
        <f t="shared" si="8"/>
        <v>0</v>
      </c>
      <c r="F26" s="50">
        <f t="shared" si="9"/>
        <v>0</v>
      </c>
      <c r="G26" s="50">
        <f t="shared" si="18"/>
        <v>0</v>
      </c>
      <c r="H26" s="51">
        <f t="shared" si="19"/>
        <v>1678453.8623652542</v>
      </c>
      <c r="I26" s="52">
        <f t="shared" si="3"/>
        <v>309385.40237224678</v>
      </c>
      <c r="J26" s="52">
        <f t="shared" si="4"/>
        <v>1369068.4599930074</v>
      </c>
      <c r="K26" s="51">
        <f t="shared" si="14"/>
        <v>772290.37172697484</v>
      </c>
      <c r="L26" s="49">
        <f t="shared" si="10"/>
        <v>0</v>
      </c>
      <c r="M26" s="49">
        <f t="shared" si="23"/>
        <v>0</v>
      </c>
      <c r="N26" s="49">
        <f t="shared" ref="N26:N33" si="24">IFERROR((1-$N$12)*L22,0)</f>
        <v>0</v>
      </c>
      <c r="O26" s="48">
        <f t="shared" si="5"/>
        <v>2450744.234092229</v>
      </c>
      <c r="P26" s="38">
        <f t="shared" si="1"/>
        <v>2450744.234092229</v>
      </c>
      <c r="Q26" s="53"/>
      <c r="R26" s="53">
        <f t="shared" si="11"/>
        <v>0.12</v>
      </c>
      <c r="S26" s="53">
        <f t="shared" si="12"/>
        <v>1.0596241035318976E-2</v>
      </c>
      <c r="T26" s="53">
        <f t="shared" si="13"/>
        <v>0</v>
      </c>
      <c r="U26" s="53">
        <f t="shared" si="17"/>
        <v>0</v>
      </c>
    </row>
    <row r="27" spans="1:21" x14ac:dyDescent="0.2">
      <c r="A27" s="62">
        <f t="shared" si="2"/>
        <v>0.70001238319249448</v>
      </c>
      <c r="B27" s="45">
        <f t="shared" si="6"/>
        <v>13</v>
      </c>
      <c r="C27" s="51">
        <f t="shared" si="7"/>
        <v>72111137.737619236</v>
      </c>
      <c r="D27" s="47" cm="1">
        <f t="array" ref="D27">_xlfn.IFS(AND($C$7="Y",B27&lt;C$4),C27,AND($C$7="Y",B27=C$4),D26+F27-J27-K27-L27+N27,AND($C$7="Y",B27&gt;$C$4),D26-J27-K27-L27+N27, TRUE, D26-J27-K27-L27+N27)</f>
        <v>70001238.319249451</v>
      </c>
      <c r="E27" s="48">
        <f t="shared" si="8"/>
        <v>0</v>
      </c>
      <c r="F27" s="50">
        <f t="shared" si="9"/>
        <v>0</v>
      </c>
      <c r="G27" s="50">
        <f t="shared" si="18"/>
        <v>0</v>
      </c>
      <c r="H27" s="51">
        <f t="shared" si="19"/>
        <v>1660668.5606729693</v>
      </c>
      <c r="I27" s="52">
        <f t="shared" si="3"/>
        <v>300463.07390674687</v>
      </c>
      <c r="J27" s="52">
        <f t="shared" si="4"/>
        <v>1360205.4867662224</v>
      </c>
      <c r="K27" s="51">
        <f t="shared" si="14"/>
        <v>749693.9316035615</v>
      </c>
      <c r="L27" s="49">
        <f t="shared" si="10"/>
        <v>0</v>
      </c>
      <c r="M27" s="49">
        <f t="shared" si="23"/>
        <v>0</v>
      </c>
      <c r="N27" s="49">
        <f t="shared" si="24"/>
        <v>0</v>
      </c>
      <c r="O27" s="48">
        <f t="shared" si="5"/>
        <v>2410362.4922765307</v>
      </c>
      <c r="P27" s="38">
        <f t="shared" si="1"/>
        <v>2410362.4922765307</v>
      </c>
      <c r="Q27" s="53"/>
      <c r="R27" s="53">
        <f t="shared" si="11"/>
        <v>0.12</v>
      </c>
      <c r="S27" s="53">
        <f t="shared" si="12"/>
        <v>1.0596241035318976E-2</v>
      </c>
      <c r="T27" s="53">
        <f t="shared" si="13"/>
        <v>0</v>
      </c>
      <c r="U27" s="53">
        <f t="shared" si="17"/>
        <v>0</v>
      </c>
    </row>
    <row r="28" spans="1:21" x14ac:dyDescent="0.2">
      <c r="A28" s="62">
        <f t="shared" si="2"/>
        <v>0.67922408194223249</v>
      </c>
      <c r="B28" s="45">
        <f t="shared" si="6"/>
        <v>14</v>
      </c>
      <c r="C28" s="51">
        <f t="shared" si="7"/>
        <v>70001238.319249451</v>
      </c>
      <c r="D28" s="47" cm="1">
        <f t="array" ref="D28">_xlfn.IFS(AND($C$7="Y",B28&lt;C$4),C28,AND($C$7="Y",B28=C$4),D27+F28-J28-K28-L28+N28,AND($C$7="Y",B28&gt;$C$4),D27-J28-K28-L28+N28, TRUE, D27-J28-K28-L28+N28)</f>
        <v>67922408.194223255</v>
      </c>
      <c r="E28" s="48">
        <f t="shared" si="8"/>
        <v>0</v>
      </c>
      <c r="F28" s="50">
        <f t="shared" si="9"/>
        <v>0</v>
      </c>
      <c r="G28" s="50">
        <f t="shared" si="18"/>
        <v>0</v>
      </c>
      <c r="H28" s="51">
        <f t="shared" si="19"/>
        <v>1643071.7163243019</v>
      </c>
      <c r="I28" s="52">
        <f t="shared" si="3"/>
        <v>291671.82633020607</v>
      </c>
      <c r="J28" s="52">
        <f t="shared" si="4"/>
        <v>1351399.8899940958</v>
      </c>
      <c r="K28" s="51">
        <f t="shared" si="14"/>
        <v>727430.23503209313</v>
      </c>
      <c r="L28" s="49">
        <f t="shared" si="10"/>
        <v>0</v>
      </c>
      <c r="M28" s="49">
        <f t="shared" si="23"/>
        <v>0</v>
      </c>
      <c r="N28" s="49">
        <f t="shared" si="24"/>
        <v>0</v>
      </c>
      <c r="O28" s="48">
        <f t="shared" si="5"/>
        <v>2370501.9513563951</v>
      </c>
      <c r="P28" s="38">
        <f t="shared" si="1"/>
        <v>2370501.9513563951</v>
      </c>
      <c r="Q28" s="53"/>
      <c r="R28" s="53">
        <f t="shared" si="11"/>
        <v>0.12</v>
      </c>
      <c r="S28" s="53">
        <f t="shared" si="12"/>
        <v>1.0596241035318976E-2</v>
      </c>
      <c r="T28" s="53">
        <f t="shared" si="13"/>
        <v>0</v>
      </c>
      <c r="U28" s="53">
        <f t="shared" si="17"/>
        <v>0</v>
      </c>
    </row>
    <row r="29" spans="1:21" x14ac:dyDescent="0.2">
      <c r="A29" s="62">
        <f t="shared" si="2"/>
        <v>0.65874261743843232</v>
      </c>
      <c r="B29" s="45">
        <f t="shared" si="6"/>
        <v>15</v>
      </c>
      <c r="C29" s="51">
        <f t="shared" si="7"/>
        <v>67922408.194223255</v>
      </c>
      <c r="D29" s="47" cm="1">
        <f t="array" ref="D29">_xlfn.IFS(AND($C$7="Y",B29&lt;C$4),C29,AND($C$7="Y",B29=C$4),D28+F29-J29-K29-L29+N29,AND($C$7="Y",B29&gt;$C$4),D28-J29-K29-L29+N29, TRUE, D28-J29-K29-L29+N29)</f>
        <v>65874261.743843228</v>
      </c>
      <c r="E29" s="48">
        <f t="shared" si="8"/>
        <v>0</v>
      </c>
      <c r="F29" s="50">
        <f t="shared" si="9"/>
        <v>0</v>
      </c>
      <c r="G29" s="50">
        <f t="shared" si="18"/>
        <v>0</v>
      </c>
      <c r="H29" s="51">
        <f t="shared" si="19"/>
        <v>1625661.332379814</v>
      </c>
      <c r="I29" s="52">
        <f t="shared" si="3"/>
        <v>283010.03414259694</v>
      </c>
      <c r="J29" s="52">
        <f t="shared" si="4"/>
        <v>1342651.2982372171</v>
      </c>
      <c r="K29" s="51">
        <f t="shared" si="14"/>
        <v>705495.15214280877</v>
      </c>
      <c r="L29" s="51">
        <f t="shared" si="10"/>
        <v>0</v>
      </c>
      <c r="M29" s="51">
        <f>IFERROR(L25*-1,0)</f>
        <v>0</v>
      </c>
      <c r="N29" s="51">
        <f t="shared" si="24"/>
        <v>0</v>
      </c>
      <c r="O29" s="48">
        <f t="shared" si="5"/>
        <v>2331156.484522623</v>
      </c>
      <c r="P29" s="38">
        <f t="shared" si="1"/>
        <v>2331156.484522623</v>
      </c>
      <c r="Q29" s="53"/>
      <c r="R29" s="53">
        <f t="shared" si="11"/>
        <v>0.12</v>
      </c>
      <c r="S29" s="53">
        <f t="shared" si="12"/>
        <v>1.0596241035318976E-2</v>
      </c>
      <c r="T29" s="53">
        <f t="shared" si="13"/>
        <v>0</v>
      </c>
      <c r="U29" s="53">
        <f t="shared" si="17"/>
        <v>0</v>
      </c>
    </row>
    <row r="30" spans="1:21" x14ac:dyDescent="0.2">
      <c r="A30" s="62">
        <f t="shared" si="2"/>
        <v>0.63856417800645027</v>
      </c>
      <c r="B30" s="45">
        <f t="shared" si="6"/>
        <v>16</v>
      </c>
      <c r="C30" s="51">
        <f t="shared" si="7"/>
        <v>65874261.743843228</v>
      </c>
      <c r="D30" s="47" cm="1">
        <f t="array" ref="D30">_xlfn.IFS(AND($C$7="Y",B30&lt;C$4),C30,AND($C$7="Y",B30=C$4),D29+F30-J30-K30-L30+N30,AND($C$7="Y",B30&gt;$C$4),D29-J30-K30-L30+N30, TRUE, D29-J30-K30-L30+N30)</f>
        <v>63856417.800645031</v>
      </c>
      <c r="E30" s="48">
        <f t="shared" si="8"/>
        <v>0</v>
      </c>
      <c r="F30" s="50">
        <f t="shared" si="9"/>
        <v>0</v>
      </c>
      <c r="G30" s="50">
        <f t="shared" si="18"/>
        <v>0</v>
      </c>
      <c r="H30" s="51">
        <f t="shared" si="19"/>
        <v>1608435.4330601196</v>
      </c>
      <c r="I30" s="52">
        <f t="shared" si="3"/>
        <v>274476.09059934679</v>
      </c>
      <c r="J30" s="52">
        <f t="shared" si="4"/>
        <v>1333959.342460773</v>
      </c>
      <c r="K30" s="51">
        <f t="shared" si="14"/>
        <v>683884.60073742457</v>
      </c>
      <c r="L30" s="49">
        <f t="shared" si="10"/>
        <v>0</v>
      </c>
      <c r="M30" s="49">
        <f t="shared" ref="M30:M43" si="25">IFERROR(L26*-1,0)</f>
        <v>0</v>
      </c>
      <c r="N30" s="49">
        <f t="shared" si="24"/>
        <v>0</v>
      </c>
      <c r="O30" s="48">
        <f t="shared" si="5"/>
        <v>2292320.0337975444</v>
      </c>
      <c r="P30" s="38">
        <f t="shared" si="1"/>
        <v>2292320.0337975444</v>
      </c>
      <c r="Q30" s="53"/>
      <c r="R30" s="53">
        <f t="shared" si="11"/>
        <v>0.12</v>
      </c>
      <c r="S30" s="53">
        <f t="shared" si="12"/>
        <v>1.0596241035318976E-2</v>
      </c>
      <c r="T30" s="53">
        <f t="shared" si="13"/>
        <v>0</v>
      </c>
      <c r="U30" s="53">
        <f t="shared" si="17"/>
        <v>0</v>
      </c>
    </row>
    <row r="31" spans="1:21" x14ac:dyDescent="0.2">
      <c r="A31" s="62">
        <f t="shared" si="2"/>
        <v>0.61868499598867377</v>
      </c>
      <c r="B31" s="45">
        <f t="shared" si="6"/>
        <v>17</v>
      </c>
      <c r="C31" s="51">
        <f t="shared" si="7"/>
        <v>63856417.800645031</v>
      </c>
      <c r="D31" s="47" cm="1">
        <f t="array" ref="D31">_xlfn.IFS(AND($C$7="Y",B31&lt;C$4),C31,AND($C$7="Y",B31=C$4),D30+F31-J31-K31-L31+N31,AND($C$7="Y",B31&gt;$C$4),D30-J31-K31-L31+N31, TRUE, D30-J31-K31-L31+N31)</f>
        <v>61868499.598867372</v>
      </c>
      <c r="E31" s="48">
        <f t="shared" si="8"/>
        <v>0</v>
      </c>
      <c r="F31" s="50">
        <f t="shared" si="9"/>
        <v>0</v>
      </c>
      <c r="G31" s="50">
        <f t="shared" si="18"/>
        <v>0</v>
      </c>
      <c r="H31" s="51">
        <f t="shared" si="19"/>
        <v>1591392.0635216669</v>
      </c>
      <c r="I31" s="52">
        <f t="shared" si="3"/>
        <v>266068.40750268765</v>
      </c>
      <c r="J31" s="52">
        <f t="shared" si="4"/>
        <v>1325323.6560189794</v>
      </c>
      <c r="K31" s="51">
        <f t="shared" si="14"/>
        <v>662594.54575868067</v>
      </c>
      <c r="L31" s="49">
        <f t="shared" si="10"/>
        <v>0</v>
      </c>
      <c r="M31" s="49">
        <f t="shared" si="25"/>
        <v>0</v>
      </c>
      <c r="N31" s="49">
        <f t="shared" si="24"/>
        <v>0</v>
      </c>
      <c r="O31" s="48">
        <f t="shared" si="5"/>
        <v>2253986.6092803478</v>
      </c>
      <c r="P31" s="38">
        <f t="shared" si="1"/>
        <v>2253986.6092803478</v>
      </c>
      <c r="Q31" s="53"/>
      <c r="R31" s="53">
        <f t="shared" si="11"/>
        <v>0.12</v>
      </c>
      <c r="S31" s="53">
        <f t="shared" si="12"/>
        <v>1.0596241035318976E-2</v>
      </c>
      <c r="T31" s="53">
        <f t="shared" si="13"/>
        <v>0</v>
      </c>
      <c r="U31" s="53">
        <f t="shared" si="17"/>
        <v>0</v>
      </c>
    </row>
    <row r="32" spans="1:21" x14ac:dyDescent="0.2">
      <c r="A32" s="62">
        <f t="shared" si="2"/>
        <v>0.59910134725462083</v>
      </c>
      <c r="B32" s="45">
        <f t="shared" si="6"/>
        <v>18</v>
      </c>
      <c r="C32" s="51">
        <f t="shared" si="7"/>
        <v>61868499.598867372</v>
      </c>
      <c r="D32" s="47" cm="1">
        <f t="array" ref="D32">_xlfn.IFS(AND($C$7="Y",B32&lt;C$4),C32,AND($C$7="Y",B32=C$4),D31+F32-J32-K32-L32+N32,AND($C$7="Y",B32&gt;$C$4),D31-J32-K32-L32+N32, TRUE, D31-J32-K32-L32+N32)</f>
        <v>59910134.725462086</v>
      </c>
      <c r="E32" s="48">
        <f t="shared" si="8"/>
        <v>0</v>
      </c>
      <c r="F32" s="50">
        <f t="shared" si="9"/>
        <v>0</v>
      </c>
      <c r="G32" s="50">
        <f t="shared" si="18"/>
        <v>0</v>
      </c>
      <c r="H32" s="51">
        <f t="shared" si="19"/>
        <v>1574529.2896348971</v>
      </c>
      <c r="I32" s="52">
        <f t="shared" si="3"/>
        <v>257785.41499528071</v>
      </c>
      <c r="J32" s="52">
        <f t="shared" si="4"/>
        <v>1316743.8746396163</v>
      </c>
      <c r="K32" s="51">
        <f t="shared" si="14"/>
        <v>641620.99876567291</v>
      </c>
      <c r="L32" s="49">
        <f t="shared" si="10"/>
        <v>0</v>
      </c>
      <c r="M32" s="49">
        <f t="shared" si="25"/>
        <v>0</v>
      </c>
      <c r="N32" s="49">
        <f t="shared" si="24"/>
        <v>0</v>
      </c>
      <c r="O32" s="48">
        <f t="shared" si="5"/>
        <v>2216150.2884005699</v>
      </c>
      <c r="P32" s="38">
        <f t="shared" si="1"/>
        <v>2216150.2884005699</v>
      </c>
      <c r="Q32" s="53"/>
      <c r="R32" s="53">
        <f t="shared" si="11"/>
        <v>0.12</v>
      </c>
      <c r="S32" s="53">
        <f t="shared" si="12"/>
        <v>1.0596241035318976E-2</v>
      </c>
      <c r="T32" s="53">
        <f t="shared" si="13"/>
        <v>0</v>
      </c>
      <c r="U32" s="53">
        <f t="shared" si="17"/>
        <v>0</v>
      </c>
    </row>
    <row r="33" spans="1:23" x14ac:dyDescent="0.2">
      <c r="A33" s="62">
        <f t="shared" si="2"/>
        <v>0.57980955071638518</v>
      </c>
      <c r="B33" s="45">
        <f t="shared" si="6"/>
        <v>19</v>
      </c>
      <c r="C33" s="51">
        <f t="shared" si="7"/>
        <v>59910134.725462086</v>
      </c>
      <c r="D33" s="47" cm="1">
        <f t="array" ref="D33">_xlfn.IFS(AND($C$7="Y",B33&lt;C$4),C33,AND($C$7="Y",B33=C$4),D32+F33-J33-K33-L33+N33,AND($C$7="Y",B33&gt;$C$4),D32-J33-K33-L33+N33, TRUE, D32-J33-K33-L33+N33)</f>
        <v>57980955.071638517</v>
      </c>
      <c r="E33" s="48">
        <f t="shared" si="8"/>
        <v>0</v>
      </c>
      <c r="F33" s="50">
        <f t="shared" si="9"/>
        <v>0</v>
      </c>
      <c r="G33" s="50">
        <f t="shared" si="18"/>
        <v>0</v>
      </c>
      <c r="H33" s="51">
        <f t="shared" si="19"/>
        <v>1557845.1977647564</v>
      </c>
      <c r="I33" s="52">
        <f t="shared" si="3"/>
        <v>249625.56135609202</v>
      </c>
      <c r="J33" s="52">
        <f t="shared" si="4"/>
        <v>1308219.6364086643</v>
      </c>
      <c r="K33" s="51">
        <f t="shared" si="14"/>
        <v>620960.01741490618</v>
      </c>
      <c r="L33" s="49">
        <f t="shared" si="10"/>
        <v>0</v>
      </c>
      <c r="M33" s="49">
        <f t="shared" si="25"/>
        <v>0</v>
      </c>
      <c r="N33" s="49">
        <f t="shared" si="24"/>
        <v>0</v>
      </c>
      <c r="O33" s="48">
        <f t="shared" si="5"/>
        <v>2178805.2151796622</v>
      </c>
      <c r="P33" s="38">
        <f t="shared" si="1"/>
        <v>2178805.2151796622</v>
      </c>
      <c r="Q33" s="53"/>
      <c r="R33" s="53">
        <f t="shared" si="11"/>
        <v>0.12</v>
      </c>
      <c r="S33" s="53">
        <f t="shared" si="12"/>
        <v>1.0596241035318976E-2</v>
      </c>
      <c r="T33" s="53">
        <f t="shared" si="13"/>
        <v>0</v>
      </c>
      <c r="U33" s="53">
        <f t="shared" si="17"/>
        <v>0</v>
      </c>
    </row>
    <row r="34" spans="1:23" x14ac:dyDescent="0.2">
      <c r="A34" s="62">
        <f t="shared" si="2"/>
        <v>0.56080596784936476</v>
      </c>
      <c r="B34" s="45">
        <f t="shared" si="6"/>
        <v>20</v>
      </c>
      <c r="C34" s="51">
        <f t="shared" si="7"/>
        <v>57980955.071638517</v>
      </c>
      <c r="D34" s="47" cm="1">
        <f t="array" ref="D34">_xlfn.IFS(AND($C$7="Y",B34&lt;C$4),C34,AND($C$7="Y",B34=C$4),D33+F34-J34-K34-L34+N34,AND($C$7="Y",B34&gt;$C$4),D33-J34-K34-L34+N34, TRUE, D33-J34-K34-L34+N34)</f>
        <v>56080596.784936473</v>
      </c>
      <c r="E34" s="48">
        <f t="shared" si="8"/>
        <v>0</v>
      </c>
      <c r="F34" s="50">
        <f t="shared" si="9"/>
        <v>0</v>
      </c>
      <c r="G34" s="50">
        <f t="shared" si="18"/>
        <v>0</v>
      </c>
      <c r="H34" s="51">
        <f t="shared" si="19"/>
        <v>1541337.8945535268</v>
      </c>
      <c r="I34" s="52">
        <f t="shared" si="3"/>
        <v>241587.31279849386</v>
      </c>
      <c r="J34" s="52">
        <f t="shared" si="4"/>
        <v>1299750.581755033</v>
      </c>
      <c r="K34" s="51">
        <f t="shared" si="14"/>
        <v>600607.70494700957</v>
      </c>
      <c r="L34" s="49">
        <f t="shared" si="10"/>
        <v>0</v>
      </c>
      <c r="M34" s="49">
        <f t="shared" si="25"/>
        <v>0</v>
      </c>
      <c r="N34" s="49">
        <f>IFERROR((1-$N$12)*L30,0)</f>
        <v>0</v>
      </c>
      <c r="O34" s="48">
        <f t="shared" si="5"/>
        <v>2141945.5995005365</v>
      </c>
      <c r="P34" s="38">
        <f t="shared" si="1"/>
        <v>2141945.5995005365</v>
      </c>
      <c r="Q34" s="53"/>
      <c r="R34" s="53">
        <f t="shared" si="11"/>
        <v>0.12</v>
      </c>
      <c r="S34" s="53">
        <f t="shared" si="12"/>
        <v>1.0596241035318976E-2</v>
      </c>
      <c r="T34" s="53">
        <f t="shared" si="13"/>
        <v>0</v>
      </c>
      <c r="U34" s="53">
        <f t="shared" si="17"/>
        <v>0</v>
      </c>
    </row>
    <row r="35" spans="1:23" x14ac:dyDescent="0.2">
      <c r="A35" s="62">
        <f t="shared" si="2"/>
        <v>0.54208700221822026</v>
      </c>
      <c r="B35" s="45">
        <f t="shared" si="6"/>
        <v>21</v>
      </c>
      <c r="C35" s="51">
        <f t="shared" si="7"/>
        <v>56080596.784936473</v>
      </c>
      <c r="D35" s="47" cm="1">
        <f t="array" ref="D35">_xlfn.IFS(AND($C$7="Y",B35&lt;C$4),C35,AND($C$7="Y",B35=C$4),D34+F35-J35-K35-L35+N35,AND($C$7="Y",B35&gt;$C$4),D34-J35-K35-L35+N35, TRUE, D34-J35-K35-L35+N35)</f>
        <v>54208700.221822023</v>
      </c>
      <c r="E35" s="48">
        <f t="shared" si="8"/>
        <v>0</v>
      </c>
      <c r="F35" s="50">
        <f t="shared" si="9"/>
        <v>0</v>
      </c>
      <c r="G35" s="50">
        <f t="shared" si="18"/>
        <v>0</v>
      </c>
      <c r="H35" s="51">
        <f t="shared" si="19"/>
        <v>1525005.5067059661</v>
      </c>
      <c r="I35" s="52">
        <f t="shared" si="3"/>
        <v>233669.15327056867</v>
      </c>
      <c r="J35" s="52">
        <f t="shared" si="4"/>
        <v>1291336.3534353974</v>
      </c>
      <c r="K35" s="51">
        <f t="shared" si="14"/>
        <v>580560.20967905002</v>
      </c>
      <c r="L35" s="49">
        <f t="shared" si="10"/>
        <v>0</v>
      </c>
      <c r="M35" s="49">
        <f t="shared" si="25"/>
        <v>0</v>
      </c>
      <c r="N35" s="49">
        <f t="shared" ref="N35:N98" si="26">IFERROR((1-$N$12)*L31,0)</f>
        <v>0</v>
      </c>
      <c r="O35" s="48">
        <f t="shared" si="5"/>
        <v>2105565.7163850162</v>
      </c>
      <c r="P35" s="38">
        <f t="shared" si="1"/>
        <v>2105565.7163850162</v>
      </c>
      <c r="Q35" s="53"/>
      <c r="R35" s="53">
        <f t="shared" si="11"/>
        <v>0.12</v>
      </c>
      <c r="S35" s="53">
        <f t="shared" si="12"/>
        <v>1.0596241035318976E-2</v>
      </c>
      <c r="T35" s="53">
        <f t="shared" si="13"/>
        <v>0</v>
      </c>
      <c r="U35" s="53">
        <f t="shared" si="17"/>
        <v>0</v>
      </c>
    </row>
    <row r="36" spans="1:23" x14ac:dyDescent="0.2">
      <c r="A36" s="62">
        <f t="shared" si="2"/>
        <v>0.52364909900800516</v>
      </c>
      <c r="B36" s="45">
        <f t="shared" si="6"/>
        <v>22</v>
      </c>
      <c r="C36" s="51">
        <f t="shared" si="7"/>
        <v>54208700.221822023</v>
      </c>
      <c r="D36" s="47" cm="1">
        <f t="array" ref="D36">_xlfn.IFS(AND($C$7="Y",B36&lt;C$4),C36,AND($C$7="Y",B36=C$4),D35+F36-J36-K36-L36+N36,AND($C$7="Y",B36&gt;$C$4),D35-J36-K36-L36+N36, TRUE, D35-J36-K36-L36+N36)</f>
        <v>52364909.900800511</v>
      </c>
      <c r="E36" s="48">
        <f t="shared" si="8"/>
        <v>0</v>
      </c>
      <c r="F36" s="50">
        <f t="shared" si="9"/>
        <v>0</v>
      </c>
      <c r="G36" s="50">
        <f t="shared" si="18"/>
        <v>0</v>
      </c>
      <c r="H36" s="51">
        <f t="shared" si="19"/>
        <v>1508846.1807767206</v>
      </c>
      <c r="I36" s="52">
        <f t="shared" si="3"/>
        <v>225869.58425759178</v>
      </c>
      <c r="J36" s="52">
        <f t="shared" si="4"/>
        <v>1282976.5965191289</v>
      </c>
      <c r="K36" s="51">
        <f t="shared" si="14"/>
        <v>560813.72450238559</v>
      </c>
      <c r="L36" s="49">
        <f t="shared" si="10"/>
        <v>0</v>
      </c>
      <c r="M36" s="49">
        <f t="shared" si="25"/>
        <v>0</v>
      </c>
      <c r="N36" s="49">
        <f t="shared" si="26"/>
        <v>0</v>
      </c>
      <c r="O36" s="48">
        <f t="shared" si="5"/>
        <v>2069659.9052791062</v>
      </c>
      <c r="P36" s="38">
        <f t="shared" si="1"/>
        <v>2069659.9052791062</v>
      </c>
      <c r="Q36" s="53"/>
      <c r="R36" s="53">
        <f t="shared" si="11"/>
        <v>0.12</v>
      </c>
      <c r="S36" s="53">
        <f t="shared" si="12"/>
        <v>1.0596241035318976E-2</v>
      </c>
      <c r="T36" s="53">
        <f t="shared" si="13"/>
        <v>0</v>
      </c>
      <c r="U36" s="53">
        <f t="shared" si="17"/>
        <v>0</v>
      </c>
      <c r="W36" s="49"/>
    </row>
    <row r="37" spans="1:23" x14ac:dyDescent="0.2">
      <c r="A37" s="62">
        <f t="shared" si="2"/>
        <v>0.50548874456041182</v>
      </c>
      <c r="B37" s="45">
        <f t="shared" si="6"/>
        <v>23</v>
      </c>
      <c r="C37" s="51">
        <f t="shared" si="7"/>
        <v>52364909.900800511</v>
      </c>
      <c r="D37" s="47" cm="1">
        <f t="array" ref="D37">_xlfn.IFS(AND($C$7="Y",B37&lt;C$4),C37,AND($C$7="Y",B37=C$4),D36+F37-J37-K37-L37+N37,AND($C$7="Y",B37&gt;$C$4),D36-J37-K37-L37+N37, TRUE, D36-J37-K37-L37+N37)</f>
        <v>50548874.456041187</v>
      </c>
      <c r="E37" s="48">
        <f t="shared" si="8"/>
        <v>0</v>
      </c>
      <c r="F37" s="50">
        <f t="shared" si="9"/>
        <v>0</v>
      </c>
      <c r="G37" s="50">
        <f t="shared" si="18"/>
        <v>0</v>
      </c>
      <c r="H37" s="51">
        <f t="shared" si="19"/>
        <v>1492858.0829599893</v>
      </c>
      <c r="I37" s="52">
        <f t="shared" si="3"/>
        <v>218187.1245866688</v>
      </c>
      <c r="J37" s="52">
        <f t="shared" si="4"/>
        <v>1274670.9583733205</v>
      </c>
      <c r="K37" s="51">
        <f t="shared" si="14"/>
        <v>541364.48638599855</v>
      </c>
      <c r="L37" s="49">
        <f t="shared" si="10"/>
        <v>0</v>
      </c>
      <c r="M37" s="49">
        <f t="shared" si="25"/>
        <v>0</v>
      </c>
      <c r="N37" s="49">
        <f t="shared" si="26"/>
        <v>0</v>
      </c>
      <c r="O37" s="48">
        <f t="shared" si="5"/>
        <v>2034222.5693459879</v>
      </c>
      <c r="P37" s="38">
        <f t="shared" si="1"/>
        <v>2034222.5693459879</v>
      </c>
      <c r="Q37" s="53"/>
      <c r="R37" s="53">
        <f t="shared" si="11"/>
        <v>0.12</v>
      </c>
      <c r="S37" s="53">
        <f t="shared" si="12"/>
        <v>1.0596241035318976E-2</v>
      </c>
      <c r="T37" s="53">
        <f t="shared" si="13"/>
        <v>0</v>
      </c>
      <c r="U37" s="53">
        <f t="shared" si="17"/>
        <v>0</v>
      </c>
    </row>
    <row r="38" spans="1:23" x14ac:dyDescent="0.2">
      <c r="A38" s="62">
        <f t="shared" si="2"/>
        <v>0.48760246591508022</v>
      </c>
      <c r="B38" s="45">
        <f t="shared" si="6"/>
        <v>24</v>
      </c>
      <c r="C38" s="51">
        <f t="shared" si="7"/>
        <v>50548874.456041187</v>
      </c>
      <c r="D38" s="47" cm="1">
        <f t="array" ref="D38">_xlfn.IFS(AND($C$7="Y",B38&lt;C$4),C38,AND($C$7="Y",B38=C$4),D37+F38-J38-K38-L38+N38,AND($C$7="Y",B38&gt;$C$4),D37-J38-K38-L38+N38, TRUE, D37-J38-K38-L38+N38)</f>
        <v>48760246.591508023</v>
      </c>
      <c r="E38" s="48">
        <f t="shared" si="8"/>
        <v>0</v>
      </c>
      <c r="F38" s="50">
        <f t="shared" si="9"/>
        <v>0</v>
      </c>
      <c r="G38" s="50">
        <f t="shared" si="18"/>
        <v>0</v>
      </c>
      <c r="H38" s="51">
        <f t="shared" si="19"/>
        <v>1477039.3988814217</v>
      </c>
      <c r="I38" s="52">
        <f t="shared" si="3"/>
        <v>210620.31023350498</v>
      </c>
      <c r="J38" s="52">
        <f t="shared" si="4"/>
        <v>1266419.0886479167</v>
      </c>
      <c r="K38" s="51">
        <f t="shared" si="14"/>
        <v>522208.7758852485</v>
      </c>
      <c r="L38" s="49">
        <f t="shared" si="10"/>
        <v>0</v>
      </c>
      <c r="M38" s="49">
        <f t="shared" si="25"/>
        <v>0</v>
      </c>
      <c r="N38" s="49">
        <f t="shared" si="26"/>
        <v>0</v>
      </c>
      <c r="O38" s="48">
        <f t="shared" si="5"/>
        <v>1999248.1747666702</v>
      </c>
      <c r="P38" s="38">
        <f t="shared" si="1"/>
        <v>1999248.1747666702</v>
      </c>
      <c r="Q38" s="53"/>
      <c r="R38" s="53">
        <f t="shared" si="11"/>
        <v>0.12</v>
      </c>
      <c r="S38" s="53">
        <f t="shared" si="12"/>
        <v>1.0596241035318976E-2</v>
      </c>
      <c r="T38" s="53">
        <f t="shared" si="13"/>
        <v>0</v>
      </c>
      <c r="U38" s="53">
        <f t="shared" si="17"/>
        <v>0</v>
      </c>
    </row>
    <row r="39" spans="1:23" s="59" customFormat="1" x14ac:dyDescent="0.2">
      <c r="A39" s="62">
        <f t="shared" si="2"/>
        <v>0.4699868303559111</v>
      </c>
      <c r="B39" s="54">
        <f t="shared" si="6"/>
        <v>25</v>
      </c>
      <c r="C39" s="51">
        <f t="shared" si="7"/>
        <v>48760246.591508023</v>
      </c>
      <c r="D39" s="47" cm="1">
        <f t="array" ref="D39">_xlfn.IFS(AND($C$7="Y",B39&lt;C$4),C39,AND($C$7="Y",B39=C$4),D38+F39-J39-K39-L39+N39,AND($C$7="Y",B39&gt;$C$4),D38-J39-K39-L39+N39, TRUE, D38-J39-K39-L39+N39)</f>
        <v>46998683.035591111</v>
      </c>
      <c r="E39" s="48">
        <f t="shared" si="8"/>
        <v>0</v>
      </c>
      <c r="F39" s="50">
        <f t="shared" si="9"/>
        <v>0</v>
      </c>
      <c r="G39" s="56">
        <f t="shared" si="18"/>
        <v>0</v>
      </c>
      <c r="H39" s="51">
        <f t="shared" si="19"/>
        <v>1461388.3333922105</v>
      </c>
      <c r="I39" s="52">
        <f t="shared" si="3"/>
        <v>203167.69413128344</v>
      </c>
      <c r="J39" s="57">
        <f t="shared" si="4"/>
        <v>1258220.6392609272</v>
      </c>
      <c r="K39" s="55">
        <f t="shared" si="14"/>
        <v>503342.91665598768</v>
      </c>
      <c r="L39" s="55">
        <f t="shared" si="10"/>
        <v>0</v>
      </c>
      <c r="M39" s="55">
        <f t="shared" si="25"/>
        <v>0</v>
      </c>
      <c r="N39" s="55">
        <f t="shared" si="26"/>
        <v>0</v>
      </c>
      <c r="O39" s="48">
        <f t="shared" si="5"/>
        <v>1964731.2500481983</v>
      </c>
      <c r="P39" s="58">
        <f t="shared" si="1"/>
        <v>1964731.2500481983</v>
      </c>
      <c r="Q39" s="53"/>
      <c r="R39" s="53">
        <f t="shared" si="11"/>
        <v>0.12</v>
      </c>
      <c r="S39" s="53">
        <f t="shared" si="12"/>
        <v>1.0596241035318976E-2</v>
      </c>
      <c r="T39" s="53">
        <f t="shared" si="13"/>
        <v>0</v>
      </c>
      <c r="U39" s="53">
        <f t="shared" si="17"/>
        <v>0</v>
      </c>
    </row>
    <row r="40" spans="1:23" x14ac:dyDescent="0.2">
      <c r="A40" s="62">
        <f t="shared" si="2"/>
        <v>0.45263844496233374</v>
      </c>
      <c r="B40" s="45">
        <f t="shared" si="6"/>
        <v>26</v>
      </c>
      <c r="C40" s="51">
        <f t="shared" si="7"/>
        <v>46998683.035591111</v>
      </c>
      <c r="D40" s="60" cm="1">
        <f t="array" ref="D40">_xlfn.IFS(AND($C$7="Y",B40&lt;C$4),C40,AND($C$7="Y",B40=C$4),D39+F40-J40-K40-L40+N40,AND($C$7="Y",B40&gt;$C$4),D39-J40-K40-L40+N40, TRUE, D39-J40-K40-L40+N40)</f>
        <v>45263844.496233374</v>
      </c>
      <c r="E40" s="48">
        <f t="shared" si="8"/>
        <v>0</v>
      </c>
      <c r="F40" s="50">
        <f t="shared" si="9"/>
        <v>0</v>
      </c>
      <c r="G40" s="50">
        <f t="shared" si="18"/>
        <v>0</v>
      </c>
      <c r="H40" s="51">
        <f t="shared" si="19"/>
        <v>1445903.1103653836</v>
      </c>
      <c r="I40" s="52">
        <f t="shared" si="3"/>
        <v>195827.84598162965</v>
      </c>
      <c r="J40" s="52">
        <f t="shared" si="4"/>
        <v>1250075.264383754</v>
      </c>
      <c r="K40" s="51">
        <f t="shared" si="14"/>
        <v>484763.27497397998</v>
      </c>
      <c r="L40" s="49">
        <f t="shared" si="10"/>
        <v>0</v>
      </c>
      <c r="M40" s="49">
        <f t="shared" si="25"/>
        <v>0</v>
      </c>
      <c r="N40" s="49">
        <f t="shared" si="26"/>
        <v>0</v>
      </c>
      <c r="O40" s="48">
        <f t="shared" si="5"/>
        <v>1930666.3853393635</v>
      </c>
      <c r="P40" s="38">
        <f t="shared" si="1"/>
        <v>1930666.3853393635</v>
      </c>
      <c r="Q40" s="53"/>
      <c r="R40" s="53">
        <f t="shared" si="11"/>
        <v>0.12</v>
      </c>
      <c r="S40" s="53">
        <f t="shared" si="12"/>
        <v>1.0596241035318976E-2</v>
      </c>
      <c r="T40" s="53">
        <f t="shared" si="13"/>
        <v>0</v>
      </c>
      <c r="U40" s="53">
        <f t="shared" si="17"/>
        <v>0</v>
      </c>
    </row>
    <row r="41" spans="1:23" x14ac:dyDescent="0.2">
      <c r="A41" s="62">
        <f t="shared" si="2"/>
        <v>0.4355539561654721</v>
      </c>
      <c r="B41" s="45">
        <f t="shared" si="6"/>
        <v>27</v>
      </c>
      <c r="C41" s="51">
        <f t="shared" si="7"/>
        <v>45263844.496233374</v>
      </c>
      <c r="D41" s="47" cm="1">
        <f t="array" ref="D41">_xlfn.IFS(AND($C$7="Y",B41&lt;C$4),C41,AND($C$7="Y",B41=C$4),D40+F41-J41-K41-L41+N41,AND($C$7="Y",B41&gt;$C$4),D40-J41-K41-L41+N41, TRUE, D40-J41-K41-L41+N41)</f>
        <v>43555395.616547212</v>
      </c>
      <c r="E41" s="48">
        <f t="shared" si="8"/>
        <v>0</v>
      </c>
      <c r="F41" s="50">
        <f t="shared" si="9"/>
        <v>0</v>
      </c>
      <c r="G41" s="50">
        <f t="shared" si="18"/>
        <v>0</v>
      </c>
      <c r="H41" s="51">
        <f t="shared" si="19"/>
        <v>1430581.9724942336</v>
      </c>
      <c r="I41" s="52">
        <f t="shared" si="3"/>
        <v>188599.35206763909</v>
      </c>
      <c r="J41" s="52">
        <f t="shared" si="4"/>
        <v>1241982.6204265945</v>
      </c>
      <c r="K41" s="51">
        <f t="shared" si="14"/>
        <v>466466.25925956777</v>
      </c>
      <c r="L41" s="49">
        <f t="shared" si="10"/>
        <v>0</v>
      </c>
      <c r="M41" s="49">
        <f t="shared" si="25"/>
        <v>0</v>
      </c>
      <c r="N41" s="49">
        <f t="shared" si="26"/>
        <v>0</v>
      </c>
      <c r="O41" s="48">
        <f t="shared" si="5"/>
        <v>1897048.2317538015</v>
      </c>
      <c r="P41" s="38">
        <f t="shared" si="1"/>
        <v>1897048.2317538015</v>
      </c>
      <c r="Q41" s="53"/>
      <c r="R41" s="53">
        <f t="shared" si="11"/>
        <v>0.12</v>
      </c>
      <c r="S41" s="53">
        <f t="shared" si="12"/>
        <v>1.0596241035318976E-2</v>
      </c>
      <c r="T41" s="53">
        <f t="shared" si="13"/>
        <v>0</v>
      </c>
      <c r="U41" s="53">
        <f t="shared" si="17"/>
        <v>0</v>
      </c>
    </row>
    <row r="42" spans="1:23" x14ac:dyDescent="0.2">
      <c r="A42" s="62">
        <f t="shared" si="2"/>
        <v>0.4187300493091573</v>
      </c>
      <c r="B42" s="45">
        <f t="shared" si="6"/>
        <v>28</v>
      </c>
      <c r="C42" s="51">
        <f t="shared" si="7"/>
        <v>43555395.616547212</v>
      </c>
      <c r="D42" s="47" cm="1">
        <f t="array" ref="D42">_xlfn.IFS(AND($C$7="Y",B42&lt;C$4),C42,AND($C$7="Y",B42=C$4),D41+F42-J42-K42-L42+N42,AND($C$7="Y",B42&gt;$C$4),D41-J42-K42-L42+N42, TRUE, D41-J42-K42-L42+N42)</f>
        <v>41873004.930915728</v>
      </c>
      <c r="E42" s="48">
        <f t="shared" si="8"/>
        <v>0</v>
      </c>
      <c r="F42" s="50">
        <f t="shared" si="9"/>
        <v>0</v>
      </c>
      <c r="G42" s="50">
        <f t="shared" si="18"/>
        <v>0</v>
      </c>
      <c r="H42" s="51">
        <f t="shared" si="19"/>
        <v>1415423.1810929035</v>
      </c>
      <c r="I42" s="52">
        <f t="shared" si="3"/>
        <v>181480.81506894671</v>
      </c>
      <c r="J42" s="52">
        <f t="shared" si="4"/>
        <v>1233942.3660239568</v>
      </c>
      <c r="K42" s="51">
        <f t="shared" si="14"/>
        <v>448448.31960752816</v>
      </c>
      <c r="L42" s="49">
        <f t="shared" si="10"/>
        <v>0</v>
      </c>
      <c r="M42" s="49">
        <f t="shared" si="25"/>
        <v>0</v>
      </c>
      <c r="N42" s="49">
        <f t="shared" si="26"/>
        <v>0</v>
      </c>
      <c r="O42" s="48">
        <f t="shared" si="5"/>
        <v>1863871.5007004316</v>
      </c>
      <c r="P42" s="38">
        <f t="shared" si="1"/>
        <v>1863871.5007004316</v>
      </c>
      <c r="Q42" s="53"/>
      <c r="R42" s="53">
        <f t="shared" si="11"/>
        <v>0.12</v>
      </c>
      <c r="S42" s="53">
        <f t="shared" si="12"/>
        <v>1.0596241035318976E-2</v>
      </c>
      <c r="T42" s="53">
        <f t="shared" si="13"/>
        <v>0</v>
      </c>
      <c r="U42" s="53">
        <f t="shared" si="17"/>
        <v>0</v>
      </c>
    </row>
    <row r="43" spans="1:23" x14ac:dyDescent="0.2">
      <c r="A43" s="62">
        <f t="shared" si="2"/>
        <v>0.40216344821573413</v>
      </c>
      <c r="B43" s="45">
        <f t="shared" si="6"/>
        <v>29</v>
      </c>
      <c r="C43" s="51">
        <f t="shared" si="7"/>
        <v>41873004.930915728</v>
      </c>
      <c r="D43" s="47" cm="1">
        <f t="array" ref="D43">_xlfn.IFS(AND($C$7="Y",B43&lt;C$4),C43,AND($C$7="Y",B43=C$4),D42+F43-J43-K43-L43+N43,AND($C$7="Y",B43&gt;$C$4),D42-J43-K43-L43+N43, TRUE, D42-J43-K43-L43+N43)</f>
        <v>40216344.821573414</v>
      </c>
      <c r="E43" s="48">
        <f t="shared" si="8"/>
        <v>0</v>
      </c>
      <c r="F43" s="50">
        <f t="shared" si="9"/>
        <v>0</v>
      </c>
      <c r="G43" s="50">
        <f t="shared" si="18"/>
        <v>0</v>
      </c>
      <c r="H43" s="51">
        <f t="shared" si="19"/>
        <v>1400425.0158990645</v>
      </c>
      <c r="I43" s="52">
        <f t="shared" si="3"/>
        <v>174470.85387881554</v>
      </c>
      <c r="J43" s="52">
        <f t="shared" si="4"/>
        <v>1225954.1620202488</v>
      </c>
      <c r="K43" s="51">
        <f t="shared" si="14"/>
        <v>430705.94732206402</v>
      </c>
      <c r="L43" s="49">
        <f t="shared" si="10"/>
        <v>0</v>
      </c>
      <c r="M43" s="49">
        <f t="shared" si="25"/>
        <v>0</v>
      </c>
      <c r="N43" s="49">
        <f t="shared" si="26"/>
        <v>0</v>
      </c>
      <c r="O43" s="48">
        <f t="shared" si="5"/>
        <v>1831130.9632211283</v>
      </c>
      <c r="P43" s="38">
        <f t="shared" si="1"/>
        <v>1831130.9632211283</v>
      </c>
      <c r="Q43" s="53"/>
      <c r="R43" s="53">
        <f t="shared" si="11"/>
        <v>0.12</v>
      </c>
      <c r="S43" s="53">
        <f t="shared" si="12"/>
        <v>1.0596241035318976E-2</v>
      </c>
      <c r="T43" s="53">
        <f t="shared" si="13"/>
        <v>0</v>
      </c>
      <c r="U43" s="53">
        <f t="shared" si="17"/>
        <v>0</v>
      </c>
    </row>
    <row r="44" spans="1:23" x14ac:dyDescent="0.2">
      <c r="A44" s="62">
        <f t="shared" si="2"/>
        <v>0.38585091475661054</v>
      </c>
      <c r="B44" s="54">
        <f t="shared" si="6"/>
        <v>30</v>
      </c>
      <c r="C44" s="51">
        <f t="shared" si="7"/>
        <v>40216344.821573414</v>
      </c>
      <c r="D44" s="60" cm="1">
        <f t="array" ref="D44">_xlfn.IFS(AND($C$7="Y",B44&lt;C$4),C44,AND($C$7="Y",B44=C$4),D43+F44-J44-K44-L44+N44,AND($C$7="Y",B44&gt;$C$4),D43-J44-K44-L44+N44, TRUE, D43-J44-K44-L44+N44)</f>
        <v>38585091.475661054</v>
      </c>
      <c r="E44" s="48">
        <f t="shared" si="8"/>
        <v>0</v>
      </c>
      <c r="F44" s="50">
        <f t="shared" si="9"/>
        <v>0</v>
      </c>
      <c r="G44" s="50">
        <f t="shared" si="18"/>
        <v>0</v>
      </c>
      <c r="H44" s="51">
        <f t="shared" si="19"/>
        <v>1385585.7748787082</v>
      </c>
      <c r="I44" s="52">
        <f t="shared" si="3"/>
        <v>167568.10342322258</v>
      </c>
      <c r="J44" s="52">
        <f t="shared" si="4"/>
        <v>1218017.6714554855</v>
      </c>
      <c r="K44" s="51">
        <f t="shared" si="14"/>
        <v>413235.67445687373</v>
      </c>
      <c r="L44" s="49">
        <f t="shared" si="10"/>
        <v>0</v>
      </c>
      <c r="M44" s="49">
        <f>IFERROR(L40*-1,0)</f>
        <v>0</v>
      </c>
      <c r="N44" s="49">
        <f t="shared" si="26"/>
        <v>0</v>
      </c>
      <c r="O44" s="48">
        <f t="shared" si="5"/>
        <v>1798821.4493355819</v>
      </c>
      <c r="P44" s="38">
        <f t="shared" si="1"/>
        <v>1798821.4493355819</v>
      </c>
      <c r="Q44" s="53"/>
      <c r="R44" s="53">
        <f t="shared" si="11"/>
        <v>0.12</v>
      </c>
      <c r="S44" s="53">
        <f t="shared" si="12"/>
        <v>1.0596241035318976E-2</v>
      </c>
      <c r="T44" s="53">
        <f t="shared" si="13"/>
        <v>0</v>
      </c>
      <c r="U44" s="53">
        <f t="shared" si="17"/>
        <v>0</v>
      </c>
    </row>
    <row r="45" spans="1:23" x14ac:dyDescent="0.2">
      <c r="A45" s="62">
        <f t="shared" si="2"/>
        <v>0.3697892484274975</v>
      </c>
      <c r="B45" s="54">
        <f t="shared" si="6"/>
        <v>31</v>
      </c>
      <c r="C45" s="51">
        <f t="shared" si="7"/>
        <v>38585091.475661054</v>
      </c>
      <c r="D45" s="60" cm="1">
        <f t="array" ref="D45">_xlfn.IFS(AND($C$7="Y",B45&lt;C$4),C45,AND($C$7="Y",B45=C$4),D44+F45-J45-K45-L45+N45,AND($C$7="Y",B45&gt;$C$4),D44-J45-K45-L45+N45, TRUE, D44-J45-K45-L45+N45)</f>
        <v>36978924.842749752</v>
      </c>
      <c r="E45" s="48">
        <f t="shared" si="8"/>
        <v>0</v>
      </c>
      <c r="F45" s="50">
        <f t="shared" si="9"/>
        <v>0</v>
      </c>
      <c r="G45" s="50">
        <f t="shared" si="18"/>
        <v>0</v>
      </c>
      <c r="H45" s="51">
        <f t="shared" si="19"/>
        <v>1370903.7740329837</v>
      </c>
      <c r="I45" s="52">
        <f t="shared" si="3"/>
        <v>160771.21448192108</v>
      </c>
      <c r="J45" s="52">
        <f t="shared" si="4"/>
        <v>1210132.5595510625</v>
      </c>
      <c r="K45" s="51">
        <f t="shared" si="14"/>
        <v>396034.07336024556</v>
      </c>
      <c r="L45" s="49">
        <f t="shared" si="10"/>
        <v>0</v>
      </c>
      <c r="M45" s="49">
        <f t="shared" ref="M45:M108" si="27">IFERROR(L41*-1,0)</f>
        <v>0</v>
      </c>
      <c r="N45" s="49">
        <f t="shared" si="26"/>
        <v>0</v>
      </c>
      <c r="O45" s="48">
        <f t="shared" si="5"/>
        <v>1766937.8473932291</v>
      </c>
      <c r="P45" s="38">
        <f t="shared" si="1"/>
        <v>1766937.8473932291</v>
      </c>
      <c r="Q45" s="53"/>
      <c r="R45" s="53">
        <f t="shared" si="11"/>
        <v>0.12</v>
      </c>
      <c r="S45" s="53">
        <f t="shared" si="12"/>
        <v>1.0596241035318976E-2</v>
      </c>
      <c r="T45" s="53">
        <f t="shared" si="13"/>
        <v>0</v>
      </c>
      <c r="U45" s="53">
        <f t="shared" si="17"/>
        <v>0</v>
      </c>
    </row>
    <row r="46" spans="1:23" x14ac:dyDescent="0.2">
      <c r="A46" s="62">
        <f t="shared" si="2"/>
        <v>0.35397528592828981</v>
      </c>
      <c r="B46" s="45">
        <f t="shared" si="6"/>
        <v>32</v>
      </c>
      <c r="C46" s="51">
        <f t="shared" si="7"/>
        <v>36978924.842749752</v>
      </c>
      <c r="D46" s="47" cm="1">
        <f t="array" ref="D46">_xlfn.IFS(AND($C$7="Y",B46&lt;C$4),C46,AND($C$7="Y",B46=C$4),D45+F46-J46-K46-L46+N46,AND($C$7="Y",B46&gt;$C$4),D45-J46-K46-L46+N46, TRUE, D45-J46-K46-L46+N46)</f>
        <v>35397528.592828982</v>
      </c>
      <c r="E46" s="48">
        <f t="shared" si="8"/>
        <v>0</v>
      </c>
      <c r="F46" s="50">
        <f t="shared" si="9"/>
        <v>0</v>
      </c>
      <c r="G46" s="50">
        <f t="shared" si="18"/>
        <v>0</v>
      </c>
      <c r="H46" s="51">
        <f t="shared" si="19"/>
        <v>1356377.3472071018</v>
      </c>
      <c r="I46" s="52">
        <f t="shared" si="3"/>
        <v>154078.8535114573</v>
      </c>
      <c r="J46" s="52">
        <f t="shared" si="4"/>
        <v>1202298.4936956444</v>
      </c>
      <c r="K46" s="51">
        <f t="shared" si="14"/>
        <v>379097.75622512127</v>
      </c>
      <c r="L46" s="49">
        <f t="shared" si="10"/>
        <v>0</v>
      </c>
      <c r="M46" s="49">
        <f t="shared" si="27"/>
        <v>0</v>
      </c>
      <c r="N46" s="49">
        <f t="shared" si="26"/>
        <v>0</v>
      </c>
      <c r="O46" s="48">
        <f t="shared" si="5"/>
        <v>1735475.103432223</v>
      </c>
      <c r="P46" s="38">
        <f t="shared" si="1"/>
        <v>1735475.103432223</v>
      </c>
      <c r="Q46" s="53"/>
      <c r="R46" s="53">
        <f t="shared" si="11"/>
        <v>0.12</v>
      </c>
      <c r="S46" s="53">
        <f t="shared" si="12"/>
        <v>1.0596241035318976E-2</v>
      </c>
      <c r="T46" s="53">
        <f t="shared" si="13"/>
        <v>0</v>
      </c>
      <c r="U46" s="53">
        <f t="shared" si="17"/>
        <v>0</v>
      </c>
    </row>
    <row r="47" spans="1:23" x14ac:dyDescent="0.2">
      <c r="A47" s="62">
        <f t="shared" si="2"/>
        <v>0.33840590074753774</v>
      </c>
      <c r="B47" s="45">
        <f t="shared" si="6"/>
        <v>33</v>
      </c>
      <c r="C47" s="51">
        <f t="shared" si="7"/>
        <v>35397528.592828982</v>
      </c>
      <c r="D47" s="47" cm="1">
        <f t="array" ref="D47">_xlfn.IFS(AND($C$7="Y",B47&lt;C$4),C47,AND($C$7="Y",B47=C$4),D46+F47-J47-K47-L47+N47,AND($C$7="Y",B47&gt;$C$4),D46-J47-K47-L47+N47, TRUE, D46-J47-K47-L47+N47)</f>
        <v>33840590.074753776</v>
      </c>
      <c r="E47" s="48">
        <f t="shared" si="8"/>
        <v>0</v>
      </c>
      <c r="F47" s="50">
        <f t="shared" si="9"/>
        <v>0</v>
      </c>
      <c r="G47" s="50">
        <f t="shared" si="18"/>
        <v>0</v>
      </c>
      <c r="H47" s="51">
        <f t="shared" si="19"/>
        <v>1342004.845901249</v>
      </c>
      <c r="I47" s="52">
        <f t="shared" si="3"/>
        <v>147489.70247012077</v>
      </c>
      <c r="J47" s="52">
        <f t="shared" si="4"/>
        <v>1194515.1434311282</v>
      </c>
      <c r="K47" s="51">
        <f t="shared" si="14"/>
        <v>362423.37464407639</v>
      </c>
      <c r="L47" s="49">
        <f t="shared" si="10"/>
        <v>0</v>
      </c>
      <c r="M47" s="49">
        <f t="shared" si="27"/>
        <v>0</v>
      </c>
      <c r="N47" s="49">
        <f t="shared" si="26"/>
        <v>0</v>
      </c>
      <c r="O47" s="48">
        <f t="shared" si="5"/>
        <v>1704428.2205453254</v>
      </c>
      <c r="P47" s="38">
        <f t="shared" si="1"/>
        <v>1704428.2205453254</v>
      </c>
      <c r="Q47" s="53"/>
      <c r="R47" s="53">
        <f t="shared" si="11"/>
        <v>0.12</v>
      </c>
      <c r="S47" s="53">
        <f t="shared" si="12"/>
        <v>1.0596241035318976E-2</v>
      </c>
      <c r="T47" s="53">
        <f t="shared" si="13"/>
        <v>0</v>
      </c>
      <c r="U47" s="53">
        <f t="shared" si="17"/>
        <v>0</v>
      </c>
    </row>
    <row r="48" spans="1:23" x14ac:dyDescent="0.2">
      <c r="A48" s="62">
        <f t="shared" si="2"/>
        <v>0.32307800275145909</v>
      </c>
      <c r="B48" s="45">
        <f t="shared" si="6"/>
        <v>34</v>
      </c>
      <c r="C48" s="51">
        <f t="shared" si="7"/>
        <v>33840590.074753776</v>
      </c>
      <c r="D48" s="47" cm="1">
        <f t="array" ref="D48">_xlfn.IFS(AND($C$7="Y",B48&lt;C$4),C48,AND($C$7="Y",B48=C$4),D47+F48-J48-K48-L48+N48,AND($C$7="Y",B48&gt;$C$4),D47-J48-K48-L48+N48, TRUE, D47-J48-K48-L48+N48)</f>
        <v>32307800.275145907</v>
      </c>
      <c r="E48" s="48">
        <f t="shared" si="8"/>
        <v>0</v>
      </c>
      <c r="F48" s="50">
        <f t="shared" si="9"/>
        <v>0</v>
      </c>
      <c r="G48" s="50">
        <f t="shared" si="18"/>
        <v>0</v>
      </c>
      <c r="H48" s="51">
        <f t="shared" si="19"/>
        <v>1327784.6390835126</v>
      </c>
      <c r="I48" s="52">
        <f t="shared" si="3"/>
        <v>141002.45864480743</v>
      </c>
      <c r="J48" s="52">
        <f t="shared" si="4"/>
        <v>1186782.1804387053</v>
      </c>
      <c r="K48" s="51">
        <f t="shared" si="14"/>
        <v>346007.6191691641</v>
      </c>
      <c r="L48" s="49">
        <f t="shared" si="10"/>
        <v>0</v>
      </c>
      <c r="M48" s="49">
        <f t="shared" si="27"/>
        <v>0</v>
      </c>
      <c r="N48" s="49">
        <f t="shared" si="26"/>
        <v>0</v>
      </c>
      <c r="O48" s="48">
        <f t="shared" si="5"/>
        <v>1673792.2582526768</v>
      </c>
      <c r="P48" s="38">
        <f t="shared" si="1"/>
        <v>1673792.2582526768</v>
      </c>
      <c r="Q48" s="53"/>
      <c r="R48" s="53">
        <f t="shared" si="11"/>
        <v>0.12</v>
      </c>
      <c r="S48" s="53">
        <f t="shared" si="12"/>
        <v>1.0596241035318976E-2</v>
      </c>
      <c r="T48" s="53">
        <f t="shared" si="13"/>
        <v>0</v>
      </c>
      <c r="U48" s="53">
        <f t="shared" si="17"/>
        <v>0</v>
      </c>
    </row>
    <row r="49" spans="1:21" x14ac:dyDescent="0.2">
      <c r="A49" s="62">
        <f t="shared" si="2"/>
        <v>0.30798853777744323</v>
      </c>
      <c r="B49" s="45">
        <f t="shared" si="6"/>
        <v>35</v>
      </c>
      <c r="C49" s="51">
        <f t="shared" si="7"/>
        <v>32307800.275145907</v>
      </c>
      <c r="D49" s="47" cm="1">
        <f t="array" ref="D49">_xlfn.IFS(AND($C$7="Y",B49&lt;C$4),C49,AND($C$7="Y",B49=C$4),D48+F49-J49-K49-L49+N49,AND($C$7="Y",B49&gt;$C$4),D48-J49-K49-L49+N49, TRUE, D48-J49-K49-L49+N49)</f>
        <v>30798853.777744323</v>
      </c>
      <c r="E49" s="48">
        <f t="shared" si="8"/>
        <v>0</v>
      </c>
      <c r="F49" s="50">
        <f t="shared" si="9"/>
        <v>0</v>
      </c>
      <c r="G49" s="50">
        <f t="shared" si="18"/>
        <v>0</v>
      </c>
      <c r="H49" s="51">
        <f t="shared" si="19"/>
        <v>1313715.1130047892</v>
      </c>
      <c r="I49" s="52">
        <f t="shared" si="3"/>
        <v>134615.83447977461</v>
      </c>
      <c r="J49" s="52">
        <f t="shared" si="4"/>
        <v>1179099.2785250146</v>
      </c>
      <c r="K49" s="51">
        <f t="shared" si="14"/>
        <v>329847.21887656901</v>
      </c>
      <c r="L49" s="49">
        <f t="shared" si="10"/>
        <v>0</v>
      </c>
      <c r="M49" s="49">
        <f t="shared" si="27"/>
        <v>0</v>
      </c>
      <c r="N49" s="49">
        <f t="shared" si="26"/>
        <v>0</v>
      </c>
      <c r="O49" s="48">
        <f t="shared" si="5"/>
        <v>1643562.3318813583</v>
      </c>
      <c r="P49" s="38">
        <f t="shared" si="1"/>
        <v>1643562.3318813583</v>
      </c>
      <c r="Q49" s="53"/>
      <c r="R49" s="53">
        <f t="shared" si="11"/>
        <v>0.12</v>
      </c>
      <c r="S49" s="53">
        <f t="shared" si="12"/>
        <v>1.0596241035318976E-2</v>
      </c>
      <c r="T49" s="53">
        <f t="shared" si="13"/>
        <v>0</v>
      </c>
      <c r="U49" s="53">
        <f t="shared" si="17"/>
        <v>0</v>
      </c>
    </row>
    <row r="50" spans="1:21" x14ac:dyDescent="0.2">
      <c r="A50" s="62">
        <f t="shared" si="2"/>
        <v>0.29313448723199925</v>
      </c>
      <c r="B50" s="45">
        <f t="shared" si="6"/>
        <v>36</v>
      </c>
      <c r="C50" s="51">
        <f t="shared" si="7"/>
        <v>30798853.777744323</v>
      </c>
      <c r="D50" s="47" cm="1">
        <f t="array" ref="D50">_xlfn.IFS(AND($C$7="Y",B50&lt;C$4),C50,AND($C$7="Y",B50=C$4),D49+F50-J50-K50-L50+N50,AND($C$7="Y",B50&gt;$C$4),D49-J50-K50-L50+N50, TRUE, D49-J50-K50-L50+N50)</f>
        <v>29313448.723199923</v>
      </c>
      <c r="E50" s="48">
        <f t="shared" si="8"/>
        <v>0</v>
      </c>
      <c r="F50" s="50">
        <f t="shared" si="9"/>
        <v>0</v>
      </c>
      <c r="G50" s="50">
        <f t="shared" si="18"/>
        <v>0</v>
      </c>
      <c r="H50" s="51">
        <f t="shared" si="19"/>
        <v>1299794.6710156479</v>
      </c>
      <c r="I50" s="52">
        <f t="shared" si="3"/>
        <v>128328.55740726802</v>
      </c>
      <c r="J50" s="52">
        <f t="shared" si="4"/>
        <v>1171466.1136083798</v>
      </c>
      <c r="K50" s="51">
        <f t="shared" si="14"/>
        <v>313938.94093602052</v>
      </c>
      <c r="L50" s="49">
        <f t="shared" si="10"/>
        <v>0</v>
      </c>
      <c r="M50" s="49">
        <f t="shared" si="27"/>
        <v>0</v>
      </c>
      <c r="N50" s="49">
        <f t="shared" si="26"/>
        <v>0</v>
      </c>
      <c r="O50" s="48">
        <f t="shared" si="5"/>
        <v>1613733.6119516683</v>
      </c>
      <c r="P50" s="38">
        <f t="shared" si="1"/>
        <v>1613733.6119516683</v>
      </c>
      <c r="Q50" s="53"/>
      <c r="R50" s="53">
        <f t="shared" si="11"/>
        <v>0.12</v>
      </c>
      <c r="S50" s="53">
        <f t="shared" si="12"/>
        <v>1.0596241035318976E-2</v>
      </c>
      <c r="T50" s="53">
        <f t="shared" si="13"/>
        <v>0</v>
      </c>
      <c r="U50" s="53">
        <f t="shared" si="17"/>
        <v>0</v>
      </c>
    </row>
    <row r="51" spans="1:21" x14ac:dyDescent="0.2">
      <c r="A51" s="62">
        <f t="shared" si="2"/>
        <v>0.27851286769309869</v>
      </c>
      <c r="B51" s="45">
        <f t="shared" si="6"/>
        <v>37</v>
      </c>
      <c r="C51" s="51">
        <f t="shared" si="7"/>
        <v>29313448.723199923</v>
      </c>
      <c r="D51" s="47" cm="1">
        <f t="array" ref="D51">_xlfn.IFS(AND($C$7="Y",B51&lt;C$4),C51,AND($C$7="Y",B51=C$4),D50+F51-J51-K51-L51+N51,AND($C$7="Y",B51&gt;$C$4),D50-J51-K51-L51+N51, TRUE, D50-J51-K51-L51+N51)</f>
        <v>27851286.769309867</v>
      </c>
      <c r="E51" s="48">
        <f t="shared" si="8"/>
        <v>0</v>
      </c>
      <c r="F51" s="50">
        <f t="shared" si="9"/>
        <v>0</v>
      </c>
      <c r="G51" s="50">
        <f t="shared" si="18"/>
        <v>0</v>
      </c>
      <c r="H51" s="51">
        <f t="shared" si="19"/>
        <v>1286021.7333851433</v>
      </c>
      <c r="I51" s="52">
        <f t="shared" si="3"/>
        <v>122139.3696799997</v>
      </c>
      <c r="J51" s="52">
        <f t="shared" si="4"/>
        <v>1163882.3637051436</v>
      </c>
      <c r="K51" s="51">
        <f t="shared" si="14"/>
        <v>298279.59018491319</v>
      </c>
      <c r="L51" s="49">
        <f t="shared" si="10"/>
        <v>0</v>
      </c>
      <c r="M51" s="49">
        <f t="shared" si="27"/>
        <v>0</v>
      </c>
      <c r="N51" s="49">
        <f t="shared" si="26"/>
        <v>0</v>
      </c>
      <c r="O51" s="48">
        <f t="shared" si="5"/>
        <v>1584301.3235700564</v>
      </c>
      <c r="P51" s="38">
        <f t="shared" si="1"/>
        <v>1584301.3235700564</v>
      </c>
      <c r="Q51" s="53"/>
      <c r="R51" s="53">
        <f t="shared" si="11"/>
        <v>0.12</v>
      </c>
      <c r="S51" s="53">
        <f t="shared" si="12"/>
        <v>1.0596241035318976E-2</v>
      </c>
      <c r="T51" s="53">
        <f t="shared" si="13"/>
        <v>0</v>
      </c>
      <c r="U51" s="53">
        <f t="shared" si="17"/>
        <v>0</v>
      </c>
    </row>
    <row r="52" spans="1:21" x14ac:dyDescent="0.2">
      <c r="A52" s="62">
        <f t="shared" si="2"/>
        <v>0.26412073051686707</v>
      </c>
      <c r="B52" s="45">
        <f t="shared" si="6"/>
        <v>38</v>
      </c>
      <c r="C52" s="51">
        <f t="shared" si="7"/>
        <v>27851286.769309867</v>
      </c>
      <c r="D52" s="47" cm="1">
        <f t="array" ref="D52">_xlfn.IFS(AND($C$7="Y",B52&lt;C$4),C52,AND($C$7="Y",B52=C$4),D51+F52-J52-K52-L52+N52,AND($C$7="Y",B52&gt;$C$4),D51-J52-K52-L52+N52, TRUE, D51-J52-K52-L52+N52)</f>
        <v>26412073.051686708</v>
      </c>
      <c r="E52" s="48">
        <f t="shared" si="8"/>
        <v>0</v>
      </c>
      <c r="F52" s="50">
        <f t="shared" si="9"/>
        <v>0</v>
      </c>
      <c r="G52" s="50">
        <f t="shared" si="18"/>
        <v>0</v>
      </c>
      <c r="H52" s="51">
        <f t="shared" si="19"/>
        <v>1272394.7371215345</v>
      </c>
      <c r="I52" s="52">
        <f t="shared" si="3"/>
        <v>116047.02820545778</v>
      </c>
      <c r="J52" s="52">
        <f t="shared" si="4"/>
        <v>1156347.7089160767</v>
      </c>
      <c r="K52" s="51">
        <f t="shared" si="14"/>
        <v>282866.00870708411</v>
      </c>
      <c r="L52" s="49">
        <f t="shared" si="10"/>
        <v>0</v>
      </c>
      <c r="M52" s="49">
        <f t="shared" si="27"/>
        <v>0</v>
      </c>
      <c r="N52" s="49">
        <f t="shared" si="26"/>
        <v>0</v>
      </c>
      <c r="O52" s="48">
        <f t="shared" si="5"/>
        <v>1555260.7458286185</v>
      </c>
      <c r="P52" s="38">
        <f t="shared" si="1"/>
        <v>1555260.7458286185</v>
      </c>
      <c r="Q52" s="53"/>
      <c r="R52" s="53">
        <f t="shared" si="11"/>
        <v>0.12</v>
      </c>
      <c r="S52" s="53">
        <f t="shared" si="12"/>
        <v>1.0596241035318976E-2</v>
      </c>
      <c r="T52" s="53">
        <f t="shared" si="13"/>
        <v>0</v>
      </c>
      <c r="U52" s="53">
        <f t="shared" si="17"/>
        <v>0</v>
      </c>
    </row>
    <row r="53" spans="1:21" x14ac:dyDescent="0.2">
      <c r="A53" s="62">
        <f t="shared" si="2"/>
        <v>0.24995516144857616</v>
      </c>
      <c r="B53" s="45">
        <f t="shared" si="6"/>
        <v>39</v>
      </c>
      <c r="C53" s="51">
        <f t="shared" si="7"/>
        <v>26412073.051686708</v>
      </c>
      <c r="D53" s="47" cm="1">
        <f t="array" ref="D53">_xlfn.IFS(AND($C$7="Y",B53&lt;C$4),C53,AND($C$7="Y",B53=C$4),D52+F53-J53-K53-L53+N53,AND($C$7="Y",B53&gt;$C$4),D52-J53-K53-L53+N53, TRUE, D52-J53-K53-L53+N53)</f>
        <v>24995516.144857615</v>
      </c>
      <c r="E53" s="48">
        <f t="shared" si="8"/>
        <v>0</v>
      </c>
      <c r="F53" s="50">
        <f t="shared" si="9"/>
        <v>0</v>
      </c>
      <c r="G53" s="50">
        <f t="shared" si="18"/>
        <v>0</v>
      </c>
      <c r="H53" s="51">
        <f t="shared" si="19"/>
        <v>1258912.1357949239</v>
      </c>
      <c r="I53" s="52">
        <f t="shared" si="3"/>
        <v>110050.30438202796</v>
      </c>
      <c r="J53" s="52">
        <f t="shared" si="4"/>
        <v>1148861.8314128958</v>
      </c>
      <c r="K53" s="51">
        <f t="shared" si="14"/>
        <v>267695.07541619614</v>
      </c>
      <c r="L53" s="49">
        <f t="shared" si="10"/>
        <v>0</v>
      </c>
      <c r="M53" s="49">
        <f t="shared" si="27"/>
        <v>0</v>
      </c>
      <c r="N53" s="49">
        <f t="shared" si="26"/>
        <v>0</v>
      </c>
      <c r="O53" s="48">
        <f t="shared" si="5"/>
        <v>1526607.2112111198</v>
      </c>
      <c r="P53" s="38">
        <f t="shared" si="1"/>
        <v>1526607.2112111198</v>
      </c>
      <c r="Q53" s="53"/>
      <c r="R53" s="53">
        <f t="shared" si="11"/>
        <v>0.12</v>
      </c>
      <c r="S53" s="53">
        <f t="shared" si="12"/>
        <v>1.0596241035318976E-2</v>
      </c>
      <c r="T53" s="53">
        <f t="shared" si="13"/>
        <v>0</v>
      </c>
      <c r="U53" s="53">
        <f t="shared" si="17"/>
        <v>0</v>
      </c>
    </row>
    <row r="54" spans="1:21" x14ac:dyDescent="0.2">
      <c r="A54" s="62">
        <f t="shared" si="2"/>
        <v>0.23601328023789089</v>
      </c>
      <c r="B54" s="45">
        <f t="shared" si="6"/>
        <v>40</v>
      </c>
      <c r="C54" s="51">
        <f t="shared" si="7"/>
        <v>24995516.144857615</v>
      </c>
      <c r="D54" s="47" cm="1">
        <f t="array" ref="D54">_xlfn.IFS(AND($C$7="Y",B54&lt;C$4),C54,AND($C$7="Y",B54=C$4),D53+F54-J54-K54-L54+N54,AND($C$7="Y",B54&gt;$C$4),D53-J54-K54-L54+N54, TRUE, D53-J54-K54-L54+N54)</f>
        <v>23601328.023789089</v>
      </c>
      <c r="E54" s="48">
        <f t="shared" si="8"/>
        <v>0</v>
      </c>
      <c r="F54" s="50">
        <f t="shared" si="9"/>
        <v>0</v>
      </c>
      <c r="G54" s="50">
        <f t="shared" si="18"/>
        <v>0</v>
      </c>
      <c r="H54" s="51">
        <f t="shared" si="19"/>
        <v>1245572.3993617522</v>
      </c>
      <c r="I54" s="52">
        <f t="shared" si="3"/>
        <v>104147.98393690673</v>
      </c>
      <c r="J54" s="52">
        <f t="shared" si="4"/>
        <v>1141424.4154248454</v>
      </c>
      <c r="K54" s="51">
        <f t="shared" si="14"/>
        <v>252763.70564367852</v>
      </c>
      <c r="L54" s="49">
        <f t="shared" si="10"/>
        <v>0</v>
      </c>
      <c r="M54" s="49">
        <f t="shared" si="27"/>
        <v>0</v>
      </c>
      <c r="N54" s="49">
        <f t="shared" si="26"/>
        <v>0</v>
      </c>
      <c r="O54" s="48">
        <f t="shared" si="5"/>
        <v>1498336.1050054305</v>
      </c>
      <c r="P54" s="38">
        <f t="shared" si="1"/>
        <v>1498336.1050054305</v>
      </c>
      <c r="Q54" s="53"/>
      <c r="R54" s="53">
        <f t="shared" si="11"/>
        <v>0.12</v>
      </c>
      <c r="S54" s="53">
        <f t="shared" si="12"/>
        <v>1.0596241035318976E-2</v>
      </c>
      <c r="T54" s="53">
        <f t="shared" si="13"/>
        <v>0</v>
      </c>
      <c r="U54" s="53">
        <f t="shared" si="17"/>
        <v>0</v>
      </c>
    </row>
    <row r="55" spans="1:21" x14ac:dyDescent="0.2">
      <c r="A55" s="62">
        <f t="shared" si="2"/>
        <v>0.22229224025832531</v>
      </c>
      <c r="B55" s="45">
        <f t="shared" si="6"/>
        <v>41</v>
      </c>
      <c r="C55" s="51">
        <f t="shared" si="7"/>
        <v>23601328.023789089</v>
      </c>
      <c r="D55" s="47" cm="1">
        <f t="array" ref="D55">_xlfn.IFS(AND($C$7="Y",B55&lt;C$4),C55,AND($C$7="Y",B55=C$4),D54+F55-J55-K55-L55+N55,AND($C$7="Y",B55&gt;$C$4),D54-J55-K55-L55+N55, TRUE, D54-J55-K55-L55+N55)</f>
        <v>22229224.02583253</v>
      </c>
      <c r="E55" s="48">
        <f t="shared" si="8"/>
        <v>0</v>
      </c>
      <c r="F55" s="50">
        <f t="shared" si="9"/>
        <v>0</v>
      </c>
      <c r="G55" s="50">
        <f t="shared" si="18"/>
        <v>0</v>
      </c>
      <c r="H55" s="51">
        <f t="shared" si="19"/>
        <v>1232374.0139911729</v>
      </c>
      <c r="I55" s="52">
        <f t="shared" si="3"/>
        <v>98338.866765787883</v>
      </c>
      <c r="J55" s="52">
        <f t="shared" si="4"/>
        <v>1134035.1472253851</v>
      </c>
      <c r="K55" s="51">
        <f t="shared" si="14"/>
        <v>238068.85073117405</v>
      </c>
      <c r="L55" s="49">
        <f t="shared" si="10"/>
        <v>0</v>
      </c>
      <c r="M55" s="49">
        <f t="shared" si="27"/>
        <v>0</v>
      </c>
      <c r="N55" s="49">
        <f t="shared" si="26"/>
        <v>0</v>
      </c>
      <c r="O55" s="48">
        <f t="shared" si="5"/>
        <v>1470442.8647223469</v>
      </c>
      <c r="P55" s="38">
        <f t="shared" si="1"/>
        <v>1470442.8647223469</v>
      </c>
      <c r="Q55" s="53"/>
      <c r="R55" s="53">
        <f t="shared" si="11"/>
        <v>0.12</v>
      </c>
      <c r="S55" s="53">
        <f t="shared" si="12"/>
        <v>1.0596241035318976E-2</v>
      </c>
      <c r="T55" s="53">
        <f t="shared" si="13"/>
        <v>0</v>
      </c>
      <c r="U55" s="53">
        <f t="shared" si="17"/>
        <v>0</v>
      </c>
    </row>
    <row r="56" spans="1:21" x14ac:dyDescent="0.2">
      <c r="A56" s="62">
        <f t="shared" si="2"/>
        <v>0.20878922813086129</v>
      </c>
      <c r="B56" s="45">
        <f t="shared" si="6"/>
        <v>42</v>
      </c>
      <c r="C56" s="51">
        <f t="shared" si="7"/>
        <v>22229224.02583253</v>
      </c>
      <c r="D56" s="47" cm="1">
        <f t="array" ref="D56">_xlfn.IFS(AND($C$7="Y",B56&lt;C$4),C56,AND($C$7="Y",B56=C$4),D55+F56-J56-K56-L56+N56,AND($C$7="Y",B56&gt;$C$4),D55-J56-K56-L56+N56, TRUE, D55-J56-K56-L56+N56)</f>
        <v>20878922.81308613</v>
      </c>
      <c r="E56" s="48">
        <f t="shared" si="8"/>
        <v>0</v>
      </c>
      <c r="F56" s="50">
        <f t="shared" si="9"/>
        <v>0</v>
      </c>
      <c r="G56" s="50">
        <f t="shared" si="18"/>
        <v>0</v>
      </c>
      <c r="H56" s="51">
        <f t="shared" si="19"/>
        <v>1219315.4818932596</v>
      </c>
      <c r="I56" s="52">
        <f t="shared" si="3"/>
        <v>92621.766774302218</v>
      </c>
      <c r="J56" s="52">
        <f t="shared" si="4"/>
        <v>1126693.7151189575</v>
      </c>
      <c r="K56" s="51">
        <f t="shared" si="14"/>
        <v>223607.49762744567</v>
      </c>
      <c r="L56" s="49">
        <f t="shared" si="10"/>
        <v>0</v>
      </c>
      <c r="M56" s="49">
        <f t="shared" si="27"/>
        <v>0</v>
      </c>
      <c r="N56" s="49">
        <f t="shared" si="26"/>
        <v>0</v>
      </c>
      <c r="O56" s="48">
        <f t="shared" si="5"/>
        <v>1442922.9795207053</v>
      </c>
      <c r="P56" s="38">
        <f t="shared" si="1"/>
        <v>1442922.9795207053</v>
      </c>
      <c r="Q56" s="53"/>
      <c r="R56" s="53">
        <f t="shared" si="11"/>
        <v>0.12</v>
      </c>
      <c r="S56" s="53">
        <f t="shared" si="12"/>
        <v>1.0596241035318976E-2</v>
      </c>
      <c r="T56" s="53">
        <f t="shared" si="13"/>
        <v>0</v>
      </c>
      <c r="U56" s="53">
        <f t="shared" si="17"/>
        <v>0</v>
      </c>
    </row>
    <row r="57" spans="1:21" x14ac:dyDescent="0.2">
      <c r="A57" s="62">
        <f t="shared" si="2"/>
        <v>0.19550146335168603</v>
      </c>
      <c r="B57" s="45">
        <f t="shared" si="6"/>
        <v>43</v>
      </c>
      <c r="C57" s="51">
        <f t="shared" si="7"/>
        <v>20878922.81308613</v>
      </c>
      <c r="D57" s="47" cm="1">
        <f t="array" ref="D57">_xlfn.IFS(AND($C$7="Y",B57&lt;C$4),C57,AND($C$7="Y",B57=C$4),D56+F57-J57-K57-L57+N57,AND($C$7="Y",B57&gt;$C$4),D56-J57-K57-L57+N57, TRUE, D56-J57-K57-L57+N57)</f>
        <v>19550146.335168604</v>
      </c>
      <c r="E57" s="48">
        <f t="shared" si="8"/>
        <v>0</v>
      </c>
      <c r="F57" s="50">
        <f t="shared" si="9"/>
        <v>0</v>
      </c>
      <c r="G57" s="50">
        <f t="shared" si="18"/>
        <v>0</v>
      </c>
      <c r="H57" s="51">
        <f t="shared" si="19"/>
        <v>1206395.3211490221</v>
      </c>
      <c r="I57" s="52">
        <f t="shared" si="3"/>
        <v>86995.511721192204</v>
      </c>
      <c r="J57" s="52">
        <f t="shared" si="4"/>
        <v>1119399.8094278299</v>
      </c>
      <c r="K57" s="51">
        <f t="shared" si="14"/>
        <v>209376.66848969334</v>
      </c>
      <c r="L57" s="49">
        <f t="shared" si="10"/>
        <v>0</v>
      </c>
      <c r="M57" s="49">
        <f t="shared" si="27"/>
        <v>0</v>
      </c>
      <c r="N57" s="49">
        <f t="shared" si="26"/>
        <v>0</v>
      </c>
      <c r="O57" s="48">
        <f t="shared" si="5"/>
        <v>1415771.9896387155</v>
      </c>
      <c r="P57" s="38">
        <f t="shared" si="1"/>
        <v>1415771.9896387155</v>
      </c>
      <c r="Q57" s="53"/>
      <c r="R57" s="53">
        <f t="shared" si="11"/>
        <v>0.12</v>
      </c>
      <c r="S57" s="53">
        <f t="shared" si="12"/>
        <v>1.0596241035318976E-2</v>
      </c>
      <c r="T57" s="53">
        <f t="shared" si="13"/>
        <v>0</v>
      </c>
      <c r="U57" s="53">
        <f t="shared" si="17"/>
        <v>0</v>
      </c>
    </row>
    <row r="58" spans="1:21" x14ac:dyDescent="0.2">
      <c r="A58" s="62">
        <f t="shared" si="2"/>
        <v>0.1824261979240033</v>
      </c>
      <c r="B58" s="45">
        <f t="shared" si="6"/>
        <v>44</v>
      </c>
      <c r="C58" s="51">
        <f t="shared" si="7"/>
        <v>19550146.335168604</v>
      </c>
      <c r="D58" s="47" cm="1">
        <f t="array" ref="D58">_xlfn.IFS(AND($C$7="Y",B58&lt;C$4),C58,AND($C$7="Y",B58=C$4),D57+F58-J58-K58-L58+N58,AND($C$7="Y",B58&gt;$C$4),D57-J58-K58-L58+N58, TRUE, D57-J58-K58-L58+N58)</f>
        <v>18242619.79240033</v>
      </c>
      <c r="E58" s="48">
        <f t="shared" si="8"/>
        <v>0</v>
      </c>
      <c r="F58" s="50">
        <f t="shared" si="9"/>
        <v>0</v>
      </c>
      <c r="G58" s="50">
        <f t="shared" si="18"/>
        <v>0</v>
      </c>
      <c r="H58" s="51">
        <f t="shared" si="19"/>
        <v>1193612.0655422444</v>
      </c>
      <c r="I58" s="52">
        <f t="shared" si="3"/>
        <v>81458.943063202518</v>
      </c>
      <c r="J58" s="52">
        <f t="shared" si="4"/>
        <v>1112153.1224790418</v>
      </c>
      <c r="K58" s="51">
        <f t="shared" si="14"/>
        <v>195373.42028923391</v>
      </c>
      <c r="L58" s="49">
        <f t="shared" si="10"/>
        <v>0</v>
      </c>
      <c r="M58" s="49">
        <f t="shared" si="27"/>
        <v>0</v>
      </c>
      <c r="N58" s="49">
        <f t="shared" si="26"/>
        <v>0</v>
      </c>
      <c r="O58" s="48">
        <f t="shared" si="5"/>
        <v>1388985.4858314781</v>
      </c>
      <c r="P58" s="38">
        <f t="shared" si="1"/>
        <v>1388985.4858314781</v>
      </c>
      <c r="Q58" s="53"/>
      <c r="R58" s="53">
        <f t="shared" si="11"/>
        <v>0.12</v>
      </c>
      <c r="S58" s="53">
        <f t="shared" si="12"/>
        <v>1.0596241035318976E-2</v>
      </c>
      <c r="T58" s="53">
        <f t="shared" si="13"/>
        <v>0</v>
      </c>
      <c r="U58" s="53">
        <f t="shared" si="17"/>
        <v>0</v>
      </c>
    </row>
    <row r="59" spans="1:21" x14ac:dyDescent="0.2">
      <c r="A59" s="62">
        <f t="shared" si="2"/>
        <v>0.16956071599387407</v>
      </c>
      <c r="B59" s="45">
        <f t="shared" si="6"/>
        <v>45</v>
      </c>
      <c r="C59" s="51">
        <f t="shared" si="7"/>
        <v>18242619.79240033</v>
      </c>
      <c r="D59" s="47" cm="1">
        <f t="array" ref="D59">_xlfn.IFS(AND($C$7="Y",B59&lt;C$4),C59,AND($C$7="Y",B59=C$4),D58+F59-J59-K59-L59+N59,AND($C$7="Y",B59&gt;$C$4),D58-J59-K59-L59+N59, TRUE, D58-J59-K59-L59+N59)</f>
        <v>16956071.599387407</v>
      </c>
      <c r="E59" s="48">
        <f t="shared" si="8"/>
        <v>0</v>
      </c>
      <c r="F59" s="50">
        <f t="shared" si="9"/>
        <v>0</v>
      </c>
      <c r="G59" s="50">
        <f t="shared" si="18"/>
        <v>0</v>
      </c>
      <c r="H59" s="51">
        <f t="shared" si="19"/>
        <v>1180964.2643930942</v>
      </c>
      <c r="I59" s="52">
        <f t="shared" si="3"/>
        <v>76010.915801668045</v>
      </c>
      <c r="J59" s="52">
        <f t="shared" si="4"/>
        <v>1104953.3485914262</v>
      </c>
      <c r="K59" s="51">
        <f t="shared" si="14"/>
        <v>181594.84442149696</v>
      </c>
      <c r="L59" s="49">
        <f t="shared" si="10"/>
        <v>0</v>
      </c>
      <c r="M59" s="49">
        <f t="shared" si="27"/>
        <v>0</v>
      </c>
      <c r="N59" s="49">
        <f t="shared" si="26"/>
        <v>0</v>
      </c>
      <c r="O59" s="48">
        <f t="shared" si="5"/>
        <v>1362559.1088145911</v>
      </c>
      <c r="P59" s="38">
        <f t="shared" si="1"/>
        <v>1362559.1088145911</v>
      </c>
      <c r="Q59" s="53"/>
      <c r="R59" s="53">
        <f t="shared" si="11"/>
        <v>0.12</v>
      </c>
      <c r="S59" s="53">
        <f t="shared" si="12"/>
        <v>1.0596241035318976E-2</v>
      </c>
      <c r="T59" s="53">
        <f t="shared" si="13"/>
        <v>0</v>
      </c>
      <c r="U59" s="53">
        <f t="shared" si="17"/>
        <v>0</v>
      </c>
    </row>
    <row r="60" spans="1:21" x14ac:dyDescent="0.2">
      <c r="A60" s="62">
        <f t="shared" si="2"/>
        <v>0.15690233349004415</v>
      </c>
      <c r="B60" s="45">
        <f t="shared" si="6"/>
        <v>46</v>
      </c>
      <c r="C60" s="51">
        <f t="shared" si="7"/>
        <v>16956071.599387407</v>
      </c>
      <c r="D60" s="47" cm="1">
        <f t="array" ref="D60">_xlfn.IFS(AND($C$7="Y",B60&lt;C$4),C60,AND($C$7="Y",B60=C$4),D59+F60-J60-K60-L60+N60,AND($C$7="Y",B60&gt;$C$4),D59-J60-K60-L60+N60, TRUE, D59-J60-K60-L60+N60)</f>
        <v>15690233.349004414</v>
      </c>
      <c r="E60" s="48">
        <f t="shared" si="8"/>
        <v>0</v>
      </c>
      <c r="F60" s="50">
        <f t="shared" si="9"/>
        <v>0</v>
      </c>
      <c r="G60" s="50">
        <f t="shared" si="18"/>
        <v>0</v>
      </c>
      <c r="H60" s="51">
        <f t="shared" si="19"/>
        <v>1168450.482393486</v>
      </c>
      <c r="I60" s="52">
        <f t="shared" si="3"/>
        <v>70650.298330780861</v>
      </c>
      <c r="J60" s="52">
        <f t="shared" si="4"/>
        <v>1097800.1840627051</v>
      </c>
      <c r="K60" s="51">
        <f t="shared" si="14"/>
        <v>168038.06632028957</v>
      </c>
      <c r="L60" s="49">
        <f t="shared" si="10"/>
        <v>0</v>
      </c>
      <c r="M60" s="49">
        <f t="shared" si="27"/>
        <v>0</v>
      </c>
      <c r="N60" s="49">
        <f t="shared" si="26"/>
        <v>0</v>
      </c>
      <c r="O60" s="48">
        <f t="shared" si="5"/>
        <v>1336488.5487137756</v>
      </c>
      <c r="P60" s="38">
        <f t="shared" si="1"/>
        <v>1336488.5487137756</v>
      </c>
      <c r="Q60" s="53"/>
      <c r="R60" s="53">
        <f t="shared" si="11"/>
        <v>0.12</v>
      </c>
      <c r="S60" s="53">
        <f t="shared" si="12"/>
        <v>1.0596241035318976E-2</v>
      </c>
      <c r="T60" s="53">
        <f t="shared" si="13"/>
        <v>0</v>
      </c>
      <c r="U60" s="53">
        <f t="shared" si="17"/>
        <v>0</v>
      </c>
    </row>
    <row r="61" spans="1:21" x14ac:dyDescent="0.2">
      <c r="A61" s="62">
        <f t="shared" si="2"/>
        <v>0.1444483977677144</v>
      </c>
      <c r="B61" s="45">
        <f t="shared" si="6"/>
        <v>47</v>
      </c>
      <c r="C61" s="51">
        <f t="shared" si="7"/>
        <v>15690233.349004414</v>
      </c>
      <c r="D61" s="47" cm="1">
        <f t="array" ref="D61">_xlfn.IFS(AND($C$7="Y",B61&lt;C$4),C61,AND($C$7="Y",B61=C$4),D60+F61-J61-K61-L61+N61,AND($C$7="Y",B61&gt;$C$4),D60-J61-K61-L61+N61, TRUE, D60-J61-K61-L61+N61)</f>
        <v>14444839.776771439</v>
      </c>
      <c r="E61" s="48">
        <f t="shared" si="8"/>
        <v>0</v>
      </c>
      <c r="F61" s="50">
        <f t="shared" si="9"/>
        <v>0</v>
      </c>
      <c r="G61" s="50">
        <f t="shared" si="18"/>
        <v>0</v>
      </c>
      <c r="H61" s="51">
        <f t="shared" si="19"/>
        <v>1156069.2994442096</v>
      </c>
      <c r="I61" s="52">
        <f t="shared" si="3"/>
        <v>65375.972287518402</v>
      </c>
      <c r="J61" s="52">
        <f t="shared" si="4"/>
        <v>1090693.3271566911</v>
      </c>
      <c r="K61" s="51">
        <f t="shared" si="14"/>
        <v>154700.24507628454</v>
      </c>
      <c r="L61" s="49">
        <f t="shared" si="10"/>
        <v>0</v>
      </c>
      <c r="M61" s="49">
        <f t="shared" si="27"/>
        <v>0</v>
      </c>
      <c r="N61" s="49">
        <f t="shared" si="26"/>
        <v>0</v>
      </c>
      <c r="O61" s="48">
        <f t="shared" si="5"/>
        <v>1310769.5445204941</v>
      </c>
      <c r="P61" s="38">
        <f t="shared" si="1"/>
        <v>1310769.5445204941</v>
      </c>
      <c r="Q61" s="53"/>
      <c r="R61" s="53">
        <f t="shared" si="11"/>
        <v>0.12</v>
      </c>
      <c r="S61" s="53">
        <f t="shared" si="12"/>
        <v>1.0596241035318976E-2</v>
      </c>
      <c r="T61" s="53">
        <f t="shared" si="13"/>
        <v>0</v>
      </c>
      <c r="U61" s="53">
        <f t="shared" si="17"/>
        <v>0</v>
      </c>
    </row>
    <row r="62" spans="1:21" x14ac:dyDescent="0.2">
      <c r="A62" s="62">
        <f t="shared" si="2"/>
        <v>0.13219628725621202</v>
      </c>
      <c r="B62" s="45">
        <f t="shared" si="6"/>
        <v>48</v>
      </c>
      <c r="C62" s="51">
        <f t="shared" si="7"/>
        <v>14444839.776771439</v>
      </c>
      <c r="D62" s="47" cm="1">
        <f t="array" ref="D62">_xlfn.IFS(AND($C$7="Y",B62&lt;C$4),C62,AND($C$7="Y",B62=C$4),D61+F62-J62-K62-L62+N62,AND($C$7="Y",B62&gt;$C$4),D61-J62-K62-L62+N62, TRUE, D61-J62-K62-L62+N62)</f>
        <v>13219628.725621201</v>
      </c>
      <c r="E62" s="48">
        <f t="shared" si="8"/>
        <v>0</v>
      </c>
      <c r="F62" s="50">
        <f t="shared" si="9"/>
        <v>0</v>
      </c>
      <c r="G62" s="50">
        <f t="shared" si="18"/>
        <v>0</v>
      </c>
      <c r="H62" s="51">
        <f t="shared" si="19"/>
        <v>1143819.3104937673</v>
      </c>
      <c r="I62" s="52">
        <f t="shared" si="3"/>
        <v>60186.832403214335</v>
      </c>
      <c r="J62" s="52">
        <f t="shared" si="4"/>
        <v>1083632.4780905528</v>
      </c>
      <c r="K62" s="51">
        <f t="shared" si="14"/>
        <v>141578.57305968582</v>
      </c>
      <c r="L62" s="49">
        <f t="shared" si="10"/>
        <v>0</v>
      </c>
      <c r="M62" s="49">
        <f t="shared" si="27"/>
        <v>0</v>
      </c>
      <c r="N62" s="49">
        <f t="shared" si="26"/>
        <v>0</v>
      </c>
      <c r="O62" s="48">
        <f t="shared" si="5"/>
        <v>1285397.883553453</v>
      </c>
      <c r="P62" s="38">
        <f t="shared" si="1"/>
        <v>1285397.883553453</v>
      </c>
      <c r="Q62" s="53"/>
      <c r="R62" s="53">
        <f t="shared" si="11"/>
        <v>0.12</v>
      </c>
      <c r="S62" s="53">
        <f t="shared" si="12"/>
        <v>1.0596241035318976E-2</v>
      </c>
      <c r="T62" s="53">
        <f t="shared" si="13"/>
        <v>0</v>
      </c>
      <c r="U62" s="53">
        <f t="shared" si="17"/>
        <v>0</v>
      </c>
    </row>
    <row r="63" spans="1:21" x14ac:dyDescent="0.2">
      <c r="A63" s="62">
        <f t="shared" si="2"/>
        <v>0.12014341111052008</v>
      </c>
      <c r="B63" s="45">
        <f t="shared" si="6"/>
        <v>49</v>
      </c>
      <c r="C63" s="51">
        <f t="shared" si="7"/>
        <v>13219628.725621201</v>
      </c>
      <c r="D63" s="47" cm="1">
        <f t="array" ref="D63">_xlfn.IFS(AND($C$7="Y",B63&lt;C$4),C63,AND($C$7="Y",B63=C$4),D62+F63-J63-K63-L63+N63,AND($C$7="Y",B63&gt;$C$4),D62-J63-K63-L63+N63, TRUE, D62-J63-K63-L63+N63)</f>
        <v>12014341.111052008</v>
      </c>
      <c r="E63" s="48">
        <f t="shared" si="8"/>
        <v>0</v>
      </c>
      <c r="F63" s="50">
        <f t="shared" si="9"/>
        <v>0</v>
      </c>
      <c r="G63" s="50">
        <f t="shared" si="18"/>
        <v>0</v>
      </c>
      <c r="H63" s="51">
        <f t="shared" si="19"/>
        <v>1131699.1253789223</v>
      </c>
      <c r="I63" s="52">
        <f t="shared" si="3"/>
        <v>55081.786356755008</v>
      </c>
      <c r="J63" s="52">
        <f t="shared" si="4"/>
        <v>1076617.3390221673</v>
      </c>
      <c r="K63" s="51">
        <f t="shared" si="14"/>
        <v>128670.27554702626</v>
      </c>
      <c r="L63" s="49">
        <f t="shared" si="10"/>
        <v>0</v>
      </c>
      <c r="M63" s="49">
        <f t="shared" si="27"/>
        <v>0</v>
      </c>
      <c r="N63" s="49">
        <f t="shared" si="26"/>
        <v>0</v>
      </c>
      <c r="O63" s="48">
        <f t="shared" si="5"/>
        <v>1260369.4009259485</v>
      </c>
      <c r="P63" s="38">
        <f t="shared" si="1"/>
        <v>1260369.4009259485</v>
      </c>
      <c r="Q63" s="53"/>
      <c r="R63" s="53">
        <f t="shared" si="11"/>
        <v>0.12</v>
      </c>
      <c r="S63" s="53">
        <f t="shared" si="12"/>
        <v>1.0596241035318976E-2</v>
      </c>
      <c r="T63" s="53">
        <f t="shared" si="13"/>
        <v>0</v>
      </c>
      <c r="U63" s="53">
        <f t="shared" si="17"/>
        <v>0</v>
      </c>
    </row>
    <row r="64" spans="1:21" x14ac:dyDescent="0.2">
      <c r="A64" s="62">
        <f t="shared" si="2"/>
        <v>0.10828720886662394</v>
      </c>
      <c r="B64" s="45">
        <f t="shared" si="6"/>
        <v>50</v>
      </c>
      <c r="C64" s="51">
        <f t="shared" si="7"/>
        <v>12014341.111052008</v>
      </c>
      <c r="D64" s="47" cm="1">
        <f t="array" ref="D64">_xlfn.IFS(AND($C$7="Y",B64&lt;C$4),C64,AND($C$7="Y",B64=C$4),D63+F64-J64-K64-L64+N64,AND($C$7="Y",B64&gt;$C$4),D63-J64-K64-L64+N64, TRUE, D63-J64-K64-L64+N64)</f>
        <v>10828720.886662394</v>
      </c>
      <c r="E64" s="48">
        <f t="shared" si="8"/>
        <v>0</v>
      </c>
      <c r="F64" s="50">
        <f t="shared" si="9"/>
        <v>0</v>
      </c>
      <c r="G64" s="50">
        <f t="shared" si="18"/>
        <v>0</v>
      </c>
      <c r="H64" s="51">
        <f t="shared" si="19"/>
        <v>1119707.3686669455</v>
      </c>
      <c r="I64" s="52">
        <f t="shared" si="3"/>
        <v>50059.754629383366</v>
      </c>
      <c r="J64" s="52">
        <f t="shared" si="4"/>
        <v>1069647.6140375622</v>
      </c>
      <c r="K64" s="51">
        <f t="shared" si="14"/>
        <v>115972.61035205322</v>
      </c>
      <c r="L64" s="49">
        <f t="shared" si="10"/>
        <v>0</v>
      </c>
      <c r="M64" s="49">
        <f t="shared" si="27"/>
        <v>0</v>
      </c>
      <c r="N64" s="49">
        <f t="shared" si="26"/>
        <v>0</v>
      </c>
      <c r="O64" s="48">
        <f t="shared" si="5"/>
        <v>1235679.9790189988</v>
      </c>
      <c r="P64" s="38">
        <f t="shared" si="1"/>
        <v>1235679.9790189988</v>
      </c>
      <c r="Q64" s="53"/>
      <c r="R64" s="53">
        <f t="shared" si="11"/>
        <v>0.12</v>
      </c>
      <c r="S64" s="53">
        <f t="shared" si="12"/>
        <v>1.0596241035318976E-2</v>
      </c>
      <c r="T64" s="53">
        <f t="shared" si="13"/>
        <v>0</v>
      </c>
      <c r="U64" s="53">
        <f t="shared" si="17"/>
        <v>0</v>
      </c>
    </row>
    <row r="65" spans="1:21" x14ac:dyDescent="0.2">
      <c r="A65" s="62">
        <f t="shared" si="2"/>
        <v>9.6625150100633023E-2</v>
      </c>
      <c r="B65" s="45">
        <f t="shared" si="6"/>
        <v>51</v>
      </c>
      <c r="C65" s="51">
        <f t="shared" si="7"/>
        <v>10828720.886662394</v>
      </c>
      <c r="D65" s="47" cm="1">
        <f t="array" ref="D65">_xlfn.IFS(AND($C$7="Y",B65&lt;C$4),C65,AND($C$7="Y",B65=C$4),D64+F65-J65-K65-L65+N65,AND($C$7="Y",B65&gt;$C$4),D64-J65-K65-L65+N65, TRUE, D64-J65-K65-L65+N65)</f>
        <v>9662515.0100633018</v>
      </c>
      <c r="E65" s="48">
        <f t="shared" si="8"/>
        <v>0</v>
      </c>
      <c r="F65" s="50">
        <f t="shared" si="9"/>
        <v>0</v>
      </c>
      <c r="G65" s="50">
        <f t="shared" si="18"/>
        <v>0</v>
      </c>
      <c r="H65" s="51">
        <f t="shared" si="19"/>
        <v>1107842.6794995284</v>
      </c>
      <c r="I65" s="52">
        <f t="shared" si="3"/>
        <v>45119.670361093311</v>
      </c>
      <c r="J65" s="52">
        <f t="shared" si="4"/>
        <v>1062723.0091384351</v>
      </c>
      <c r="K65" s="51">
        <f t="shared" si="14"/>
        <v>103482.86746065739</v>
      </c>
      <c r="L65" s="49">
        <f t="shared" si="10"/>
        <v>0</v>
      </c>
      <c r="M65" s="49">
        <f t="shared" si="27"/>
        <v>0</v>
      </c>
      <c r="N65" s="49">
        <f t="shared" si="26"/>
        <v>0</v>
      </c>
      <c r="O65" s="48">
        <f t="shared" si="5"/>
        <v>1211325.5469601857</v>
      </c>
      <c r="P65" s="38">
        <f t="shared" si="1"/>
        <v>1211325.5469601857</v>
      </c>
      <c r="Q65" s="53"/>
      <c r="R65" s="53">
        <f t="shared" si="11"/>
        <v>0.12</v>
      </c>
      <c r="S65" s="53">
        <f t="shared" si="12"/>
        <v>1.0596241035318976E-2</v>
      </c>
      <c r="T65" s="53">
        <f t="shared" si="13"/>
        <v>0</v>
      </c>
      <c r="U65" s="53">
        <f t="shared" si="17"/>
        <v>0</v>
      </c>
    </row>
    <row r="66" spans="1:21" x14ac:dyDescent="0.2">
      <c r="A66" s="62">
        <f t="shared" si="2"/>
        <v>8.5154734091637624E-2</v>
      </c>
      <c r="B66" s="45">
        <f t="shared" si="6"/>
        <v>52</v>
      </c>
      <c r="C66" s="51">
        <f t="shared" si="7"/>
        <v>9662515.0100633018</v>
      </c>
      <c r="D66" s="47" cm="1">
        <f t="array" ref="D66">_xlfn.IFS(AND($C$7="Y",B66&lt;C$4),C66,AND($C$7="Y",B66=C$4),D65+F66-J66-K66-L66+N66,AND($C$7="Y",B66&gt;$C$4),D65-J66-K66-L66+N66, TRUE, D65-J66-K66-L66+N66)</f>
        <v>8515473.4091637619</v>
      </c>
      <c r="E66" s="48">
        <f t="shared" si="8"/>
        <v>0</v>
      </c>
      <c r="F66" s="50">
        <f t="shared" si="9"/>
        <v>0</v>
      </c>
      <c r="G66" s="50">
        <f t="shared" si="18"/>
        <v>0</v>
      </c>
      <c r="H66" s="51">
        <f t="shared" si="19"/>
        <v>1096103.7114383343</v>
      </c>
      <c r="I66" s="52">
        <f t="shared" si="3"/>
        <v>40260.479208597091</v>
      </c>
      <c r="J66" s="52">
        <f t="shared" si="4"/>
        <v>1055843.2322297373</v>
      </c>
      <c r="K66" s="51">
        <f t="shared" si="14"/>
        <v>91198.368669801741</v>
      </c>
      <c r="L66" s="49">
        <f t="shared" si="10"/>
        <v>0</v>
      </c>
      <c r="M66" s="49">
        <f t="shared" si="27"/>
        <v>0</v>
      </c>
      <c r="N66" s="49">
        <f t="shared" si="26"/>
        <v>0</v>
      </c>
      <c r="O66" s="48">
        <f t="shared" si="5"/>
        <v>1187302.0801081362</v>
      </c>
      <c r="P66" s="38">
        <f t="shared" si="1"/>
        <v>1187302.0801081362</v>
      </c>
      <c r="Q66" s="53"/>
      <c r="R66" s="53">
        <f t="shared" si="11"/>
        <v>0.12</v>
      </c>
      <c r="S66" s="53">
        <f t="shared" si="12"/>
        <v>1.0596241035318976E-2</v>
      </c>
      <c r="T66" s="53">
        <f t="shared" si="13"/>
        <v>0</v>
      </c>
      <c r="U66" s="53">
        <f t="shared" si="17"/>
        <v>0</v>
      </c>
    </row>
    <row r="67" spans="1:21" x14ac:dyDescent="0.2">
      <c r="A67" s="62">
        <f t="shared" si="2"/>
        <v>7.3873489488259766E-2</v>
      </c>
      <c r="B67" s="45">
        <f t="shared" si="6"/>
        <v>53</v>
      </c>
      <c r="C67" s="51">
        <f t="shared" si="7"/>
        <v>8515473.4091637619</v>
      </c>
      <c r="D67" s="47" cm="1">
        <f t="array" ref="D67">_xlfn.IFS(AND($C$7="Y",B67&lt;C$4),C67,AND($C$7="Y",B67=C$4),D66+F67-J67-K67-L67+N67,AND($C$7="Y",B67&gt;$C$4),D66-J67-K67-L67+N67, TRUE, D66-J67-K67-L67+N67)</f>
        <v>7387348.9488259768</v>
      </c>
      <c r="E67" s="48">
        <f t="shared" si="8"/>
        <v>0</v>
      </c>
      <c r="F67" s="50">
        <f t="shared" si="9"/>
        <v>0</v>
      </c>
      <c r="G67" s="50">
        <f t="shared" si="18"/>
        <v>0</v>
      </c>
      <c r="H67" s="51">
        <f t="shared" si="19"/>
        <v>1084489.132312227</v>
      </c>
      <c r="I67" s="52">
        <f t="shared" si="3"/>
        <v>35481.139204849009</v>
      </c>
      <c r="J67" s="52">
        <f t="shared" si="4"/>
        <v>1049007.993107378</v>
      </c>
      <c r="K67" s="51">
        <f t="shared" si="14"/>
        <v>79116.467230406619</v>
      </c>
      <c r="L67" s="49">
        <f t="shared" si="10"/>
        <v>0</v>
      </c>
      <c r="M67" s="49">
        <f t="shared" si="27"/>
        <v>0</v>
      </c>
      <c r="N67" s="49">
        <f t="shared" si="26"/>
        <v>0</v>
      </c>
      <c r="O67" s="48">
        <f t="shared" si="5"/>
        <v>1163605.5995426336</v>
      </c>
      <c r="P67" s="38">
        <f t="shared" si="1"/>
        <v>1163605.5995426336</v>
      </c>
      <c r="Q67" s="53"/>
      <c r="R67" s="53">
        <f t="shared" si="11"/>
        <v>0.12</v>
      </c>
      <c r="S67" s="53">
        <f t="shared" si="12"/>
        <v>1.0596241035318976E-2</v>
      </c>
      <c r="T67" s="53">
        <f t="shared" si="13"/>
        <v>0</v>
      </c>
      <c r="U67" s="53">
        <f t="shared" si="17"/>
        <v>0</v>
      </c>
    </row>
    <row r="68" spans="1:21" x14ac:dyDescent="0.2">
      <c r="A68" s="62">
        <f t="shared" si="2"/>
        <v>6.277897397885876E-2</v>
      </c>
      <c r="B68" s="45">
        <f t="shared" si="6"/>
        <v>54</v>
      </c>
      <c r="C68" s="51">
        <f t="shared" si="7"/>
        <v>7387348.9488259768</v>
      </c>
      <c r="D68" s="47" cm="1">
        <f t="array" ref="D68">_xlfn.IFS(AND($C$7="Y",B68&lt;C$4),C68,AND($C$7="Y",B68=C$4),D67+F68-J68-K68-L68+N68,AND($C$7="Y",B68&gt;$C$4),D67-J68-K68-L68+N68, TRUE, D67-J68-K68-L68+N68)</f>
        <v>6277897.3978858758</v>
      </c>
      <c r="E68" s="48">
        <f t="shared" si="8"/>
        <v>0</v>
      </c>
      <c r="F68" s="50">
        <f t="shared" si="9"/>
        <v>0</v>
      </c>
      <c r="G68" s="50">
        <f t="shared" si="18"/>
        <v>0</v>
      </c>
      <c r="H68" s="51">
        <f t="shared" si="19"/>
        <v>1072997.6240660606</v>
      </c>
      <c r="I68" s="52">
        <f t="shared" si="3"/>
        <v>30780.620620108239</v>
      </c>
      <c r="J68" s="52">
        <f t="shared" si="4"/>
        <v>1042217.0034459524</v>
      </c>
      <c r="K68" s="51">
        <f t="shared" si="14"/>
        <v>67234.547494149141</v>
      </c>
      <c r="L68" s="49">
        <f t="shared" si="10"/>
        <v>0</v>
      </c>
      <c r="M68" s="49">
        <f t="shared" si="27"/>
        <v>0</v>
      </c>
      <c r="N68" s="49">
        <f t="shared" si="26"/>
        <v>0</v>
      </c>
      <c r="O68" s="48">
        <f t="shared" si="5"/>
        <v>1140232.1715602097</v>
      </c>
      <c r="P68" s="38">
        <f t="shared" si="1"/>
        <v>1140232.1715602097</v>
      </c>
      <c r="Q68" s="53"/>
      <c r="R68" s="53">
        <f t="shared" si="11"/>
        <v>0.12</v>
      </c>
      <c r="S68" s="53">
        <f t="shared" si="12"/>
        <v>1.0596241035318976E-2</v>
      </c>
      <c r="T68" s="53">
        <f t="shared" si="13"/>
        <v>0</v>
      </c>
      <c r="U68" s="53">
        <f t="shared" si="17"/>
        <v>0</v>
      </c>
    </row>
    <row r="69" spans="1:21" x14ac:dyDescent="0.2">
      <c r="A69" s="62">
        <f t="shared" si="2"/>
        <v>5.186877396535134E-2</v>
      </c>
      <c r="B69" s="45">
        <f t="shared" si="6"/>
        <v>55</v>
      </c>
      <c r="C69" s="51">
        <f t="shared" si="7"/>
        <v>6277897.3978858758</v>
      </c>
      <c r="D69" s="47" cm="1">
        <f t="array" ref="D69">_xlfn.IFS(AND($C$7="Y",B69&lt;C$4),C69,AND($C$7="Y",B69=C$4),D68+F69-J69-K69-L69+N69,AND($C$7="Y",B69&gt;$C$4),D68-J69-K69-L69+N69, TRUE, D68-J69-K69-L69+N69)</f>
        <v>5186877.3965351339</v>
      </c>
      <c r="E69" s="48">
        <f t="shared" si="8"/>
        <v>0</v>
      </c>
      <c r="F69" s="50">
        <f t="shared" si="9"/>
        <v>0</v>
      </c>
      <c r="G69" s="50">
        <f t="shared" si="18"/>
        <v>0</v>
      </c>
      <c r="H69" s="51">
        <f t="shared" si="19"/>
        <v>1061627.882611132</v>
      </c>
      <c r="I69" s="52">
        <f t="shared" si="3"/>
        <v>26157.905824524481</v>
      </c>
      <c r="J69" s="52">
        <f t="shared" si="4"/>
        <v>1035469.9767866075</v>
      </c>
      <c r="K69" s="51">
        <f t="shared" si="14"/>
        <v>55550.024564133499</v>
      </c>
      <c r="L69" s="49">
        <f t="shared" si="10"/>
        <v>0</v>
      </c>
      <c r="M69" s="49">
        <f t="shared" si="27"/>
        <v>0</v>
      </c>
      <c r="N69" s="49">
        <f t="shared" si="26"/>
        <v>0</v>
      </c>
      <c r="O69" s="48">
        <f t="shared" si="5"/>
        <v>1117177.9071752655</v>
      </c>
      <c r="P69" s="38">
        <f t="shared" si="1"/>
        <v>1117177.9071752655</v>
      </c>
      <c r="Q69" s="53"/>
      <c r="R69" s="53">
        <f t="shared" si="11"/>
        <v>0.12</v>
      </c>
      <c r="S69" s="53">
        <f t="shared" si="12"/>
        <v>1.0596241035318976E-2</v>
      </c>
      <c r="T69" s="53">
        <f t="shared" si="13"/>
        <v>0</v>
      </c>
      <c r="U69" s="53">
        <f t="shared" si="17"/>
        <v>0</v>
      </c>
    </row>
    <row r="70" spans="1:21" x14ac:dyDescent="0.2">
      <c r="A70" s="62">
        <f t="shared" si="2"/>
        <v>4.1140504240608049E-2</v>
      </c>
      <c r="B70" s="45">
        <f t="shared" si="6"/>
        <v>56</v>
      </c>
      <c r="C70" s="51">
        <f t="shared" si="7"/>
        <v>5186877.3965351339</v>
      </c>
      <c r="D70" s="47" cm="1">
        <f t="array" ref="D70">_xlfn.IFS(AND($C$7="Y",B70&lt;C$4),C70,AND($C$7="Y",B70=C$4),D69+F70-J70-K70-L70+N70,AND($C$7="Y",B70&gt;$C$4),D69-J70-K70-L70+N70, TRUE, D69-J70-K70-L70+N70)</f>
        <v>4114050.4240608048</v>
      </c>
      <c r="E70" s="48">
        <f t="shared" si="8"/>
        <v>0</v>
      </c>
      <c r="F70" s="50">
        <f t="shared" si="9"/>
        <v>0</v>
      </c>
      <c r="G70" s="50">
        <f t="shared" si="18"/>
        <v>0</v>
      </c>
      <c r="H70" s="51">
        <f t="shared" si="19"/>
        <v>1050378.6176771675</v>
      </c>
      <c r="I70" s="52">
        <f t="shared" si="3"/>
        <v>21611.989152229726</v>
      </c>
      <c r="J70" s="52">
        <f t="shared" si="4"/>
        <v>1028766.6285249378</v>
      </c>
      <c r="K70" s="51">
        <f t="shared" si="14"/>
        <v>44060.343949391347</v>
      </c>
      <c r="L70" s="49">
        <f t="shared" si="10"/>
        <v>0</v>
      </c>
      <c r="M70" s="49">
        <f t="shared" si="27"/>
        <v>0</v>
      </c>
      <c r="N70" s="49">
        <f t="shared" si="26"/>
        <v>0</v>
      </c>
      <c r="O70" s="48">
        <f t="shared" si="5"/>
        <v>1094438.9616265588</v>
      </c>
      <c r="P70" s="38">
        <f t="shared" si="1"/>
        <v>1094438.9616265588</v>
      </c>
      <c r="Q70" s="53"/>
      <c r="R70" s="53">
        <f t="shared" si="11"/>
        <v>0.12</v>
      </c>
      <c r="S70" s="53">
        <f t="shared" si="12"/>
        <v>1.0596241035318976E-2</v>
      </c>
      <c r="T70" s="53">
        <f t="shared" si="13"/>
        <v>0</v>
      </c>
      <c r="U70" s="53">
        <f t="shared" si="17"/>
        <v>0</v>
      </c>
    </row>
    <row r="71" spans="1:21" x14ac:dyDescent="0.2">
      <c r="A71" s="62">
        <f t="shared" si="2"/>
        <v>3.0591807669386416E-2</v>
      </c>
      <c r="B71" s="45">
        <f t="shared" si="6"/>
        <v>57</v>
      </c>
      <c r="C71" s="51">
        <f t="shared" si="7"/>
        <v>4114050.4240608048</v>
      </c>
      <c r="D71" s="47" cm="1">
        <f t="array" ref="D71">_xlfn.IFS(AND($C$7="Y",B71&lt;C$4),C71,AND($C$7="Y",B71=C$4),D70+F71-J71-K71-L71+N71,AND($C$7="Y",B71&gt;$C$4),D70-J71-K71-L71+N71, TRUE, D70-J71-K71-L71+N71)</f>
        <v>3059180.7669386417</v>
      </c>
      <c r="E71" s="48">
        <f t="shared" si="8"/>
        <v>0</v>
      </c>
      <c r="F71" s="50">
        <f t="shared" si="9"/>
        <v>0</v>
      </c>
      <c r="G71" s="50">
        <f t="shared" si="18"/>
        <v>0</v>
      </c>
      <c r="H71" s="51">
        <f t="shared" si="19"/>
        <v>1039248.5526659129</v>
      </c>
      <c r="I71" s="52">
        <f t="shared" si="3"/>
        <v>17141.876766920021</v>
      </c>
      <c r="J71" s="52">
        <f t="shared" si="4"/>
        <v>1022106.6758989929</v>
      </c>
      <c r="K71" s="51">
        <f t="shared" si="14"/>
        <v>32762.981223170154</v>
      </c>
      <c r="L71" s="49">
        <f t="shared" si="10"/>
        <v>0</v>
      </c>
      <c r="M71" s="49">
        <f t="shared" si="27"/>
        <v>0</v>
      </c>
      <c r="N71" s="49">
        <f t="shared" si="26"/>
        <v>0</v>
      </c>
      <c r="O71" s="48">
        <f t="shared" si="5"/>
        <v>1072011.5338890832</v>
      </c>
      <c r="P71" s="38">
        <f t="shared" si="1"/>
        <v>1072011.5338890832</v>
      </c>
      <c r="Q71" s="53"/>
      <c r="R71" s="53">
        <f t="shared" si="11"/>
        <v>0.12</v>
      </c>
      <c r="S71" s="53">
        <f t="shared" si="12"/>
        <v>1.0596241035318976E-2</v>
      </c>
      <c r="T71" s="53">
        <f t="shared" si="13"/>
        <v>0</v>
      </c>
      <c r="U71" s="53">
        <f t="shared" si="17"/>
        <v>0</v>
      </c>
    </row>
    <row r="72" spans="1:21" x14ac:dyDescent="0.2">
      <c r="A72" s="62">
        <f t="shared" si="2"/>
        <v>2.0220354872763281E-2</v>
      </c>
      <c r="B72" s="45">
        <f t="shared" si="6"/>
        <v>58</v>
      </c>
      <c r="C72" s="51">
        <f t="shared" si="7"/>
        <v>3059180.7669386417</v>
      </c>
      <c r="D72" s="47" cm="1">
        <f t="array" ref="D72">_xlfn.IFS(AND($C$7="Y",B72&lt;C$4),C72,AND($C$7="Y",B72=C$4),D71+F72-J72-K72-L72+N72,AND($C$7="Y",B72&gt;$C$4),D71-J72-K72-L72+N72, TRUE, D71-J72-K72-L72+N72)</f>
        <v>2022035.487276328</v>
      </c>
      <c r="E72" s="48">
        <f t="shared" si="8"/>
        <v>0</v>
      </c>
      <c r="F72" s="50">
        <f t="shared" si="9"/>
        <v>0</v>
      </c>
      <c r="G72" s="50">
        <f t="shared" si="18"/>
        <v>0</v>
      </c>
      <c r="H72" s="51">
        <f t="shared" si="19"/>
        <v>1028236.4245062559</v>
      </c>
      <c r="I72" s="52">
        <f t="shared" si="3"/>
        <v>12746.586528911008</v>
      </c>
      <c r="J72" s="52">
        <f t="shared" si="4"/>
        <v>1015489.8379773449</v>
      </c>
      <c r="K72" s="51">
        <f t="shared" si="14"/>
        <v>21655.441684968853</v>
      </c>
      <c r="L72" s="49">
        <f t="shared" si="10"/>
        <v>0</v>
      </c>
      <c r="M72" s="49">
        <f t="shared" si="27"/>
        <v>0</v>
      </c>
      <c r="N72" s="49">
        <f t="shared" si="26"/>
        <v>0</v>
      </c>
      <c r="O72" s="48">
        <f t="shared" si="5"/>
        <v>1049891.8661912247</v>
      </c>
      <c r="P72" s="38">
        <f t="shared" si="1"/>
        <v>1049891.8661912247</v>
      </c>
      <c r="Q72" s="53"/>
      <c r="R72" s="53">
        <f t="shared" si="11"/>
        <v>0.12</v>
      </c>
      <c r="S72" s="53">
        <f t="shared" si="12"/>
        <v>1.0596241035318976E-2</v>
      </c>
      <c r="T72" s="53">
        <f t="shared" si="13"/>
        <v>0</v>
      </c>
      <c r="U72" s="53">
        <f t="shared" si="17"/>
        <v>0</v>
      </c>
    </row>
    <row r="73" spans="1:21" x14ac:dyDescent="0.2">
      <c r="A73" s="62">
        <f t="shared" si="2"/>
        <v>1.0023843916028114E-2</v>
      </c>
      <c r="B73" s="45">
        <f t="shared" si="6"/>
        <v>59</v>
      </c>
      <c r="C73" s="51">
        <f t="shared" si="7"/>
        <v>2022035.487276328</v>
      </c>
      <c r="D73" s="47" cm="1">
        <f t="array" ref="D73">_xlfn.IFS(AND($C$7="Y",B73&lt;C$4),C73,AND($C$7="Y",B73=C$4),D72+F73-J73-K73-L73+N73,AND($C$7="Y",B73&gt;$C$4),D72-J73-K73-L73+N73, TRUE, D72-J73-K73-L73+N73)</f>
        <v>1002384.3916028114</v>
      </c>
      <c r="E73" s="48">
        <f t="shared" si="8"/>
        <v>0</v>
      </c>
      <c r="F73" s="50">
        <f t="shared" si="9"/>
        <v>0</v>
      </c>
      <c r="G73" s="50">
        <f t="shared" si="18"/>
        <v>0</v>
      </c>
      <c r="H73" s="51">
        <f t="shared" si="19"/>
        <v>1017340.9835108877</v>
      </c>
      <c r="I73" s="52">
        <f t="shared" si="3"/>
        <v>8425.1478636513675</v>
      </c>
      <c r="J73" s="52">
        <f t="shared" si="4"/>
        <v>1008915.8356472363</v>
      </c>
      <c r="K73" s="51">
        <f t="shared" si="14"/>
        <v>10735.260026280248</v>
      </c>
      <c r="L73" s="49">
        <f t="shared" si="10"/>
        <v>0</v>
      </c>
      <c r="M73" s="49">
        <f t="shared" si="27"/>
        <v>0</v>
      </c>
      <c r="N73" s="49">
        <f t="shared" si="26"/>
        <v>0</v>
      </c>
      <c r="O73" s="48">
        <f t="shared" si="5"/>
        <v>1028076.2435371679</v>
      </c>
      <c r="P73" s="38">
        <f t="shared" si="1"/>
        <v>1028076.2435371679</v>
      </c>
      <c r="Q73" s="53"/>
      <c r="R73" s="53">
        <f t="shared" si="11"/>
        <v>0.12</v>
      </c>
      <c r="S73" s="53">
        <f t="shared" si="12"/>
        <v>1.0596241035318976E-2</v>
      </c>
      <c r="T73" s="53">
        <f t="shared" si="13"/>
        <v>0</v>
      </c>
      <c r="U73" s="53">
        <f t="shared" si="17"/>
        <v>0</v>
      </c>
    </row>
    <row r="74" spans="1:21" x14ac:dyDescent="0.2">
      <c r="A74" s="62">
        <f t="shared" si="2"/>
        <v>-3.6858162245328762E-17</v>
      </c>
      <c r="B74" s="45">
        <f t="shared" si="6"/>
        <v>60</v>
      </c>
      <c r="C74" s="51">
        <f t="shared" si="7"/>
        <v>1002384.3916028114</v>
      </c>
      <c r="D74" s="47" cm="1">
        <f t="array" ref="D74">_xlfn.IFS(AND($C$7="Y",B74&lt;C$4),C74,AND($C$7="Y",B74=C$4),D73+F74-J74-K74-L74+N74,AND($C$7="Y",B74&gt;$C$4),D73-J74-K74-L74+N74, TRUE, D73-J74-K74-L74+N74)</f>
        <v>-3.6858162245328763E-9</v>
      </c>
      <c r="E74" s="48">
        <f t="shared" si="8"/>
        <v>0</v>
      </c>
      <c r="F74" s="50">
        <f t="shared" si="9"/>
        <v>0</v>
      </c>
      <c r="G74" s="50">
        <f t="shared" si="18"/>
        <v>0</v>
      </c>
      <c r="H74" s="51">
        <f t="shared" si="19"/>
        <v>1006560.9932344935</v>
      </c>
      <c r="I74" s="52">
        <f t="shared" si="3"/>
        <v>4176.6016316783816</v>
      </c>
      <c r="J74" s="52">
        <f t="shared" si="4"/>
        <v>1002384.3916028151</v>
      </c>
      <c r="K74" s="51">
        <f t="shared" si="14"/>
        <v>-3.947407392903781E-11</v>
      </c>
      <c r="L74" s="49">
        <f t="shared" si="10"/>
        <v>0</v>
      </c>
      <c r="M74" s="49">
        <f t="shared" si="27"/>
        <v>0</v>
      </c>
      <c r="N74" s="49">
        <f t="shared" si="26"/>
        <v>0</v>
      </c>
      <c r="O74" s="48">
        <f t="shared" si="5"/>
        <v>1006560.9932344934</v>
      </c>
      <c r="P74" s="38">
        <f t="shared" si="1"/>
        <v>1006560.9932344934</v>
      </c>
      <c r="Q74" s="53"/>
      <c r="R74" s="53">
        <f t="shared" si="11"/>
        <v>0.12</v>
      </c>
      <c r="S74" s="53">
        <f t="shared" si="12"/>
        <v>1.0596241035318976E-2</v>
      </c>
      <c r="T74" s="53">
        <f t="shared" si="13"/>
        <v>0</v>
      </c>
      <c r="U74" s="53">
        <f t="shared" si="17"/>
        <v>0</v>
      </c>
    </row>
    <row r="75" spans="1:21" x14ac:dyDescent="0.2">
      <c r="A75" s="62" t="e">
        <f t="shared" si="2"/>
        <v>#DIV/0!</v>
      </c>
      <c r="B75" s="45">
        <f t="shared" si="6"/>
        <v>61</v>
      </c>
      <c r="C75" s="51">
        <f t="shared" si="7"/>
        <v>-3.6858162245328763E-9</v>
      </c>
      <c r="D75" s="47" t="e" cm="1">
        <f t="array" ref="D75">_xlfn.IFS(AND($C$7="Y",B75&lt;C$4),C75,AND($C$7="Y",B75=C$4),D74+F75-J75-K75-L75+N75,AND($C$7="Y",B75&gt;$C$4),D74-J75-K75-L75+N75, TRUE, D74-J75-K75-L75+N75)</f>
        <v>#DIV/0!</v>
      </c>
      <c r="E75" s="48">
        <f t="shared" si="8"/>
        <v>0</v>
      </c>
      <c r="F75" s="50">
        <f t="shared" si="9"/>
        <v>0</v>
      </c>
      <c r="G75" s="50">
        <f t="shared" si="18"/>
        <v>0</v>
      </c>
      <c r="H75" s="51" t="e">
        <f t="shared" si="19"/>
        <v>#DIV/0!</v>
      </c>
      <c r="I75" s="52">
        <f t="shared" si="3"/>
        <v>-1.5357567602220318E-11</v>
      </c>
      <c r="J75" s="52" t="e">
        <f t="shared" si="4"/>
        <v>#DIV/0!</v>
      </c>
      <c r="K75" s="51" t="e">
        <f t="shared" si="14"/>
        <v>#DIV/0!</v>
      </c>
      <c r="L75" s="49">
        <f t="shared" si="10"/>
        <v>0</v>
      </c>
      <c r="M75" s="49">
        <f t="shared" si="27"/>
        <v>0</v>
      </c>
      <c r="N75" s="49">
        <f t="shared" si="26"/>
        <v>0</v>
      </c>
      <c r="O75" s="48" t="e">
        <f t="shared" si="5"/>
        <v>#DIV/0!</v>
      </c>
      <c r="P75" s="38" t="e">
        <f t="shared" si="1"/>
        <v>#DIV/0!</v>
      </c>
      <c r="Q75" s="53"/>
      <c r="R75" s="53">
        <f t="shared" si="11"/>
        <v>0.12</v>
      </c>
      <c r="S75" s="53">
        <f t="shared" si="12"/>
        <v>1.0596241035318976E-2</v>
      </c>
      <c r="T75" s="53">
        <f t="shared" si="13"/>
        <v>0</v>
      </c>
      <c r="U75" s="53">
        <f t="shared" si="17"/>
        <v>0</v>
      </c>
    </row>
    <row r="76" spans="1:21" x14ac:dyDescent="0.2">
      <c r="A76" s="62" t="e">
        <f t="shared" si="2"/>
        <v>#DIV/0!</v>
      </c>
      <c r="B76" s="45">
        <f t="shared" si="6"/>
        <v>62</v>
      </c>
      <c r="C76" s="51" t="e">
        <f t="shared" si="7"/>
        <v>#DIV/0!</v>
      </c>
      <c r="D76" s="47" t="e" cm="1">
        <f t="array" ref="D76">_xlfn.IFS(AND($C$7="Y",B76&lt;C$4),C76,AND($C$7="Y",B76=C$4),D75+F76-J76-K76-L76+N76,AND($C$7="Y",B76&gt;$C$4),D75-J76-K76-L76+N76, TRUE, D75-J76-K76-L76+N76)</f>
        <v>#DIV/0!</v>
      </c>
      <c r="E76" s="48">
        <f t="shared" si="8"/>
        <v>0</v>
      </c>
      <c r="F76" s="50">
        <f t="shared" si="9"/>
        <v>0</v>
      </c>
      <c r="G76" s="50">
        <f t="shared" si="18"/>
        <v>0</v>
      </c>
      <c r="H76" s="51" t="e">
        <f t="shared" si="19"/>
        <v>#DIV/0!</v>
      </c>
      <c r="I76" s="52" t="e">
        <f t="shared" si="3"/>
        <v>#DIV/0!</v>
      </c>
      <c r="J76" s="52" t="e">
        <f t="shared" si="4"/>
        <v>#DIV/0!</v>
      </c>
      <c r="K76" s="51" t="e">
        <f t="shared" si="14"/>
        <v>#DIV/0!</v>
      </c>
      <c r="L76" s="49" t="e">
        <f t="shared" si="10"/>
        <v>#DIV/0!</v>
      </c>
      <c r="M76" s="49">
        <f t="shared" si="27"/>
        <v>0</v>
      </c>
      <c r="N76" s="49">
        <f t="shared" si="26"/>
        <v>0</v>
      </c>
      <c r="O76" s="48" t="e">
        <f t="shared" si="5"/>
        <v>#DIV/0!</v>
      </c>
      <c r="P76" s="38" t="e">
        <f t="shared" si="1"/>
        <v>#DIV/0!</v>
      </c>
      <c r="Q76" s="53"/>
      <c r="R76" s="53">
        <f t="shared" si="11"/>
        <v>0.12</v>
      </c>
      <c r="S76" s="53">
        <f t="shared" si="12"/>
        <v>1.0596241035318976E-2</v>
      </c>
      <c r="T76" s="53">
        <f t="shared" si="13"/>
        <v>0</v>
      </c>
      <c r="U76" s="53">
        <f t="shared" si="17"/>
        <v>0</v>
      </c>
    </row>
    <row r="77" spans="1:21" x14ac:dyDescent="0.2">
      <c r="A77" s="62" t="e">
        <f t="shared" si="2"/>
        <v>#DIV/0!</v>
      </c>
      <c r="B77" s="45">
        <f t="shared" si="6"/>
        <v>63</v>
      </c>
      <c r="C77" s="51" t="e">
        <f t="shared" si="7"/>
        <v>#DIV/0!</v>
      </c>
      <c r="D77" s="47" t="e" cm="1">
        <f t="array" ref="D77">_xlfn.IFS(AND($C$7="Y",B77&lt;C$4),C77,AND($C$7="Y",B77=C$4),D76+F77-J77-K77-L77+N77,AND($C$7="Y",B77&gt;$C$4),D76-J77-K77-L77+N77, TRUE, D76-J77-K77-L77+N77)</f>
        <v>#DIV/0!</v>
      </c>
      <c r="E77" s="48">
        <f t="shared" si="8"/>
        <v>0</v>
      </c>
      <c r="F77" s="50">
        <f t="shared" si="9"/>
        <v>0</v>
      </c>
      <c r="G77" s="50">
        <f t="shared" si="18"/>
        <v>0</v>
      </c>
      <c r="H77" s="51" t="e">
        <f t="shared" si="19"/>
        <v>#DIV/0!</v>
      </c>
      <c r="I77" s="52" t="e">
        <f t="shared" si="3"/>
        <v>#DIV/0!</v>
      </c>
      <c r="J77" s="52" t="e">
        <f t="shared" si="4"/>
        <v>#DIV/0!</v>
      </c>
      <c r="K77" s="51" t="e">
        <f t="shared" si="14"/>
        <v>#DIV/0!</v>
      </c>
      <c r="L77" s="49" t="e">
        <f t="shared" si="10"/>
        <v>#DIV/0!</v>
      </c>
      <c r="M77" s="49">
        <f t="shared" si="27"/>
        <v>0</v>
      </c>
      <c r="N77" s="49">
        <f t="shared" si="26"/>
        <v>0</v>
      </c>
      <c r="O77" s="48" t="e">
        <f t="shared" si="5"/>
        <v>#DIV/0!</v>
      </c>
      <c r="P77" s="38" t="e">
        <f t="shared" si="1"/>
        <v>#DIV/0!</v>
      </c>
      <c r="Q77" s="53"/>
      <c r="R77" s="53">
        <f t="shared" si="11"/>
        <v>0.12</v>
      </c>
      <c r="S77" s="53">
        <f t="shared" si="12"/>
        <v>1.0596241035318976E-2</v>
      </c>
      <c r="T77" s="53">
        <f t="shared" si="13"/>
        <v>0</v>
      </c>
      <c r="U77" s="53">
        <f t="shared" si="17"/>
        <v>0</v>
      </c>
    </row>
    <row r="78" spans="1:21" x14ac:dyDescent="0.2">
      <c r="A78" s="62" t="e">
        <f t="shared" si="2"/>
        <v>#DIV/0!</v>
      </c>
      <c r="B78" s="45">
        <f t="shared" si="6"/>
        <v>64</v>
      </c>
      <c r="C78" s="51" t="e">
        <f t="shared" si="7"/>
        <v>#DIV/0!</v>
      </c>
      <c r="D78" s="47" t="e" cm="1">
        <f t="array" ref="D78">_xlfn.IFS(AND($C$7="Y",B78&lt;C$4),C78,AND($C$7="Y",B78=C$4),D77+F78-J78-K78-L78+N78,AND($C$7="Y",B78&gt;$C$4),D77-J78-K78-L78+N78, TRUE, D77-J78-K78-L78+N78)</f>
        <v>#DIV/0!</v>
      </c>
      <c r="E78" s="48">
        <f t="shared" si="8"/>
        <v>0</v>
      </c>
      <c r="F78" s="50">
        <f t="shared" si="9"/>
        <v>0</v>
      </c>
      <c r="G78" s="50">
        <f t="shared" si="18"/>
        <v>0</v>
      </c>
      <c r="H78" s="51" t="e">
        <f t="shared" si="19"/>
        <v>#DIV/0!</v>
      </c>
      <c r="I78" s="52" t="e">
        <f t="shared" si="3"/>
        <v>#DIV/0!</v>
      </c>
      <c r="J78" s="52" t="e">
        <f t="shared" si="4"/>
        <v>#DIV/0!</v>
      </c>
      <c r="K78" s="51" t="e">
        <f t="shared" si="14"/>
        <v>#DIV/0!</v>
      </c>
      <c r="L78" s="49" t="e">
        <f t="shared" si="10"/>
        <v>#DIV/0!</v>
      </c>
      <c r="M78" s="49">
        <f t="shared" si="27"/>
        <v>0</v>
      </c>
      <c r="N78" s="49">
        <f t="shared" si="26"/>
        <v>0</v>
      </c>
      <c r="O78" s="48" t="e">
        <f t="shared" si="5"/>
        <v>#DIV/0!</v>
      </c>
      <c r="P78" s="38" t="e">
        <f t="shared" ref="P78:P141" si="28">O78*(1/((1+P$12)^(B78/12)))</f>
        <v>#DIV/0!</v>
      </c>
      <c r="Q78" s="53"/>
      <c r="R78" s="53">
        <f t="shared" si="11"/>
        <v>0.12</v>
      </c>
      <c r="S78" s="53">
        <f t="shared" si="12"/>
        <v>1.0596241035318976E-2</v>
      </c>
      <c r="T78" s="53">
        <f t="shared" si="13"/>
        <v>0</v>
      </c>
      <c r="U78" s="53">
        <f t="shared" si="17"/>
        <v>0</v>
      </c>
    </row>
    <row r="79" spans="1:21" x14ac:dyDescent="0.2">
      <c r="A79" s="62" t="e">
        <f t="shared" ref="A79:A142" si="29">D79/C$1</f>
        <v>#DIV/0!</v>
      </c>
      <c r="B79" s="45">
        <f t="shared" si="6"/>
        <v>65</v>
      </c>
      <c r="C79" s="51" t="e">
        <f t="shared" si="7"/>
        <v>#DIV/0!</v>
      </c>
      <c r="D79" s="47" t="e" cm="1">
        <f t="array" ref="D79">_xlfn.IFS(AND($C$7="Y",B79&lt;C$4),C79,AND($C$7="Y",B79=C$4),D78+F79-J79-K79-L79+N79,AND($C$7="Y",B79&gt;$C$4),D78-J79-K79-L79+N79, TRUE, D78-J79-K79-L79+N79)</f>
        <v>#DIV/0!</v>
      </c>
      <c r="E79" s="48">
        <f t="shared" si="8"/>
        <v>0</v>
      </c>
      <c r="F79" s="50">
        <f t="shared" si="9"/>
        <v>0</v>
      </c>
      <c r="G79" s="50">
        <f t="shared" si="18"/>
        <v>0</v>
      </c>
      <c r="H79" s="51" t="e">
        <f t="shared" si="19"/>
        <v>#DIV/0!</v>
      </c>
      <c r="I79" s="52" t="e">
        <f t="shared" ref="I79:I142" si="30">IF(AND(C$7="Y",$B79&lt;=C$4),0,IF(AND(C$7="Y",$B79&gt;C$4),(1-U79)*C$2*D78/12,IF(AND($C$7="N",C$4&gt;0),(1-U79)*D78*C$2/12, (1-U79)*D78*C$2/12)))</f>
        <v>#DIV/0!</v>
      </c>
      <c r="J79" s="52" t="e">
        <f t="shared" ref="J79:J142" si="31">IF(AND($B79&lt;=$C$4,C$7="Y"),0,IF(AND(C$7="N",C$4&gt;0,B79&lt;=C$4),0,H79-I79))</f>
        <v>#DIV/0!</v>
      </c>
      <c r="K79" s="51" t="e">
        <f t="shared" si="14"/>
        <v>#DIV/0!</v>
      </c>
      <c r="L79" s="49" t="e">
        <f t="shared" si="10"/>
        <v>#DIV/0!</v>
      </c>
      <c r="M79" s="49">
        <f t="shared" si="27"/>
        <v>0</v>
      </c>
      <c r="N79" s="49">
        <f t="shared" si="26"/>
        <v>0</v>
      </c>
      <c r="O79" s="48" t="e">
        <f t="shared" ref="O79:O142" si="32">K79+I79+J79-L79+N79+G79</f>
        <v>#DIV/0!</v>
      </c>
      <c r="P79" s="38" t="e">
        <f t="shared" si="28"/>
        <v>#DIV/0!</v>
      </c>
      <c r="Q79" s="53"/>
      <c r="R79" s="53">
        <f t="shared" si="11"/>
        <v>0.12</v>
      </c>
      <c r="S79" s="53">
        <f t="shared" si="12"/>
        <v>1.0596241035318976E-2</v>
      </c>
      <c r="T79" s="53">
        <f t="shared" si="13"/>
        <v>0</v>
      </c>
      <c r="U79" s="53">
        <f t="shared" si="17"/>
        <v>0</v>
      </c>
    </row>
    <row r="80" spans="1:21" x14ac:dyDescent="0.2">
      <c r="A80" s="62" t="e">
        <f t="shared" si="29"/>
        <v>#DIV/0!</v>
      </c>
      <c r="B80" s="45">
        <f t="shared" ref="B80:B143" si="33">B79+1</f>
        <v>66</v>
      </c>
      <c r="C80" s="51" t="e">
        <f t="shared" ref="C80:C143" si="34">IF(B80&lt;C$4,C$1,D79-L80+N80)</f>
        <v>#DIV/0!</v>
      </c>
      <c r="D80" s="47" t="e" cm="1">
        <f t="array" ref="D80">_xlfn.IFS(AND($C$7="Y",B80&lt;C$4),C80,AND($C$7="Y",B80=C$4),D79+F80-J80-K80-L80+N80,AND($C$7="Y",B80&gt;$C$4),D79-J80-K80-L80+N80, TRUE, D79-J80-K80-L80+N80)</f>
        <v>#DIV/0!</v>
      </c>
      <c r="E80" s="48">
        <f t="shared" ref="E80:E143" si="35">IF(AND($C$7="Y",B80&lt;=$C$4),D79*C$2/12-G80,0)</f>
        <v>0</v>
      </c>
      <c r="F80" s="50">
        <f t="shared" ref="F80:F143" si="36">IF(AND($C$7="Y",B80&lt;=C$4),E80+F79,0)</f>
        <v>0</v>
      </c>
      <c r="G80" s="50">
        <f t="shared" si="18"/>
        <v>0</v>
      </c>
      <c r="H80" s="51" t="e">
        <f t="shared" si="19"/>
        <v>#DIV/0!</v>
      </c>
      <c r="I80" s="52" t="e">
        <f t="shared" si="30"/>
        <v>#DIV/0!</v>
      </c>
      <c r="J80" s="52" t="e">
        <f t="shared" si="31"/>
        <v>#DIV/0!</v>
      </c>
      <c r="K80" s="51" t="e">
        <f t="shared" si="14"/>
        <v>#DIV/0!</v>
      </c>
      <c r="L80" s="49" t="e">
        <f t="shared" ref="L80:L143" si="37">IF(AND(C$7="Y",$B80&lt;=$C$4),0,IF(AND(C$7="N",C$4&gt;0,B80&lt;=C$4),0,U80*D79))</f>
        <v>#DIV/0!</v>
      </c>
      <c r="M80" s="49">
        <f t="shared" si="27"/>
        <v>0</v>
      </c>
      <c r="N80" s="49">
        <f t="shared" si="26"/>
        <v>0</v>
      </c>
      <c r="O80" s="48" t="e">
        <f t="shared" si="32"/>
        <v>#DIV/0!</v>
      </c>
      <c r="P80" s="38" t="e">
        <f t="shared" si="28"/>
        <v>#DIV/0!</v>
      </c>
      <c r="Q80" s="53"/>
      <c r="R80" s="53">
        <f t="shared" ref="R80:R143" si="38">R$12</f>
        <v>0.12</v>
      </c>
      <c r="S80" s="53">
        <f t="shared" ref="S80:S143" si="39">1-(1-R80)^(1/12)</f>
        <v>1.0596241035318976E-2</v>
      </c>
      <c r="T80" s="53">
        <f t="shared" ref="T80:T143" si="40">T$12</f>
        <v>0</v>
      </c>
      <c r="U80" s="53">
        <f t="shared" si="17"/>
        <v>0</v>
      </c>
    </row>
    <row r="81" spans="1:21" x14ac:dyDescent="0.2">
      <c r="A81" s="62" t="e">
        <f t="shared" si="29"/>
        <v>#DIV/0!</v>
      </c>
      <c r="B81" s="45">
        <f t="shared" si="33"/>
        <v>67</v>
      </c>
      <c r="C81" s="51" t="e">
        <f t="shared" si="34"/>
        <v>#DIV/0!</v>
      </c>
      <c r="D81" s="47" t="e" cm="1">
        <f t="array" ref="D81">_xlfn.IFS(AND($C$7="Y",B81&lt;C$4),C81,AND($C$7="Y",B81=C$4),D80+F81-J81-K81-L81+N81,AND($C$7="Y",B81&gt;$C$4),D80-J81-K81-L81+N81, TRUE, D80-J81-K81-L81+N81)</f>
        <v>#DIV/0!</v>
      </c>
      <c r="E81" s="48">
        <f t="shared" si="35"/>
        <v>0</v>
      </c>
      <c r="F81" s="50">
        <f t="shared" si="36"/>
        <v>0</v>
      </c>
      <c r="G81" s="50">
        <f t="shared" si="18"/>
        <v>0</v>
      </c>
      <c r="H81" s="51" t="e">
        <f t="shared" si="19"/>
        <v>#DIV/0!</v>
      </c>
      <c r="I81" s="52" t="e">
        <f t="shared" si="30"/>
        <v>#DIV/0!</v>
      </c>
      <c r="J81" s="52" t="e">
        <f t="shared" si="31"/>
        <v>#DIV/0!</v>
      </c>
      <c r="K81" s="51" t="e">
        <f t="shared" ref="K81:K144" si="41">IF(AND(C$7="Y",$B81&lt;=$C$4),0,IF(AND(C$7="N",C$4&gt;0,B81&lt;=C$4),0,S81*(C81-J81)))</f>
        <v>#DIV/0!</v>
      </c>
      <c r="L81" s="49" t="e">
        <f t="shared" si="37"/>
        <v>#DIV/0!</v>
      </c>
      <c r="M81" s="49">
        <f t="shared" si="27"/>
        <v>0</v>
      </c>
      <c r="N81" s="49">
        <f t="shared" si="26"/>
        <v>0</v>
      </c>
      <c r="O81" s="48" t="e">
        <f t="shared" si="32"/>
        <v>#DIV/0!</v>
      </c>
      <c r="P81" s="38" t="e">
        <f t="shared" si="28"/>
        <v>#DIV/0!</v>
      </c>
      <c r="Q81" s="53"/>
      <c r="R81" s="53">
        <f t="shared" si="38"/>
        <v>0.12</v>
      </c>
      <c r="S81" s="53">
        <f t="shared" si="39"/>
        <v>1.0596241035318976E-2</v>
      </c>
      <c r="T81" s="53">
        <f t="shared" si="40"/>
        <v>0</v>
      </c>
      <c r="U81" s="53">
        <f t="shared" ref="U81:U144" si="42">1-(1-T81)^(1/12)</f>
        <v>0</v>
      </c>
    </row>
    <row r="82" spans="1:21" x14ac:dyDescent="0.2">
      <c r="A82" s="62" t="e">
        <f t="shared" si="29"/>
        <v>#DIV/0!</v>
      </c>
      <c r="B82" s="45">
        <f t="shared" si="33"/>
        <v>68</v>
      </c>
      <c r="C82" s="51" t="e">
        <f t="shared" si="34"/>
        <v>#DIV/0!</v>
      </c>
      <c r="D82" s="47" t="e" cm="1">
        <f t="array" ref="D82">_xlfn.IFS(AND($C$7="Y",B82&lt;C$4),C82,AND($C$7="Y",B82=C$4),D81+F82-J82-K82-L82+N82,AND($C$7="Y",B82&gt;$C$4),D81-J82-K82-L82+N82, TRUE, D81-J82-K82-L82+N82)</f>
        <v>#DIV/0!</v>
      </c>
      <c r="E82" s="48">
        <f t="shared" si="35"/>
        <v>0</v>
      </c>
      <c r="F82" s="50">
        <f t="shared" si="36"/>
        <v>0</v>
      </c>
      <c r="G82" s="50">
        <f t="shared" ref="G82:G145" si="43">IF($B82&lt;=$C$4,C$6,0)</f>
        <v>0</v>
      </c>
      <c r="H82" s="51" t="e">
        <f t="shared" si="19"/>
        <v>#DIV/0!</v>
      </c>
      <c r="I82" s="52" t="e">
        <f t="shared" si="30"/>
        <v>#DIV/0!</v>
      </c>
      <c r="J82" s="52" t="e">
        <f t="shared" si="31"/>
        <v>#DIV/0!</v>
      </c>
      <c r="K82" s="51" t="e">
        <f t="shared" si="41"/>
        <v>#DIV/0!</v>
      </c>
      <c r="L82" s="49" t="e">
        <f t="shared" si="37"/>
        <v>#DIV/0!</v>
      </c>
      <c r="M82" s="49">
        <f t="shared" si="27"/>
        <v>0</v>
      </c>
      <c r="N82" s="49">
        <f t="shared" si="26"/>
        <v>0</v>
      </c>
      <c r="O82" s="48" t="e">
        <f t="shared" si="32"/>
        <v>#DIV/0!</v>
      </c>
      <c r="P82" s="38" t="e">
        <f t="shared" si="28"/>
        <v>#DIV/0!</v>
      </c>
      <c r="Q82" s="53"/>
      <c r="R82" s="53">
        <f t="shared" si="38"/>
        <v>0.12</v>
      </c>
      <c r="S82" s="53">
        <f t="shared" si="39"/>
        <v>1.0596241035318976E-2</v>
      </c>
      <c r="T82" s="53">
        <f t="shared" si="40"/>
        <v>0</v>
      </c>
      <c r="U82" s="53">
        <f t="shared" si="42"/>
        <v>0</v>
      </c>
    </row>
    <row r="83" spans="1:21" x14ac:dyDescent="0.2">
      <c r="A83" s="62" t="e">
        <f t="shared" si="29"/>
        <v>#DIV/0!</v>
      </c>
      <c r="B83" s="45">
        <f t="shared" si="33"/>
        <v>69</v>
      </c>
      <c r="C83" s="51" t="e">
        <f t="shared" si="34"/>
        <v>#DIV/0!</v>
      </c>
      <c r="D83" s="47" t="e" cm="1">
        <f t="array" ref="D83">_xlfn.IFS(AND($C$7="Y",B83&lt;C$4),C83,AND($C$7="Y",B83=C$4),D82+F83-J83-K83-L83+N83,AND($C$7="Y",B83&gt;$C$4),D82-J83-K83-L83+N83, TRUE, D82-J83-K83-L83+N83)</f>
        <v>#DIV/0!</v>
      </c>
      <c r="E83" s="48">
        <f t="shared" si="35"/>
        <v>0</v>
      </c>
      <c r="F83" s="50">
        <f t="shared" si="36"/>
        <v>0</v>
      </c>
      <c r="G83" s="50">
        <f t="shared" si="43"/>
        <v>0</v>
      </c>
      <c r="H83" s="51" t="e">
        <f t="shared" ref="H83:H146" si="44">IF(AND($B83&lt;=$C$4,C$7="Y"),0,IF(AND(C$7="N",C$4&gt;0,B83&lt;=C$4),0,(D82-L83+N83)*C$2/12/(1-(1/(1+C$2/12))^(C$3+C$4-B83+1))))</f>
        <v>#DIV/0!</v>
      </c>
      <c r="I83" s="52" t="e">
        <f t="shared" si="30"/>
        <v>#DIV/0!</v>
      </c>
      <c r="J83" s="52" t="e">
        <f t="shared" si="31"/>
        <v>#DIV/0!</v>
      </c>
      <c r="K83" s="51" t="e">
        <f t="shared" si="41"/>
        <v>#DIV/0!</v>
      </c>
      <c r="L83" s="49" t="e">
        <f t="shared" si="37"/>
        <v>#DIV/0!</v>
      </c>
      <c r="M83" s="49">
        <f t="shared" si="27"/>
        <v>0</v>
      </c>
      <c r="N83" s="49">
        <f t="shared" si="26"/>
        <v>0</v>
      </c>
      <c r="O83" s="48" t="e">
        <f t="shared" si="32"/>
        <v>#DIV/0!</v>
      </c>
      <c r="P83" s="38" t="e">
        <f t="shared" si="28"/>
        <v>#DIV/0!</v>
      </c>
      <c r="Q83" s="53"/>
      <c r="R83" s="53">
        <f t="shared" si="38"/>
        <v>0.12</v>
      </c>
      <c r="S83" s="53">
        <f t="shared" si="39"/>
        <v>1.0596241035318976E-2</v>
      </c>
      <c r="T83" s="53">
        <f t="shared" si="40"/>
        <v>0</v>
      </c>
      <c r="U83" s="53">
        <f t="shared" si="42"/>
        <v>0</v>
      </c>
    </row>
    <row r="84" spans="1:21" x14ac:dyDescent="0.2">
      <c r="A84" s="62" t="e">
        <f t="shared" si="29"/>
        <v>#DIV/0!</v>
      </c>
      <c r="B84" s="45">
        <f t="shared" si="33"/>
        <v>70</v>
      </c>
      <c r="C84" s="51" t="e">
        <f t="shared" si="34"/>
        <v>#DIV/0!</v>
      </c>
      <c r="D84" s="47" t="e" cm="1">
        <f t="array" ref="D84">_xlfn.IFS(AND($C$7="Y",B84&lt;C$4),C84,AND($C$7="Y",B84=C$4),D83+F84-J84-K84-L84+N84,AND($C$7="Y",B84&gt;$C$4),D83-J84-K84-L84+N84, TRUE, D83-J84-K84-L84+N84)</f>
        <v>#DIV/0!</v>
      </c>
      <c r="E84" s="48">
        <f t="shared" si="35"/>
        <v>0</v>
      </c>
      <c r="F84" s="50">
        <f t="shared" si="36"/>
        <v>0</v>
      </c>
      <c r="G84" s="50">
        <f t="shared" si="43"/>
        <v>0</v>
      </c>
      <c r="H84" s="51" t="e">
        <f t="shared" si="44"/>
        <v>#DIV/0!</v>
      </c>
      <c r="I84" s="52" t="e">
        <f t="shared" si="30"/>
        <v>#DIV/0!</v>
      </c>
      <c r="J84" s="52" t="e">
        <f t="shared" si="31"/>
        <v>#DIV/0!</v>
      </c>
      <c r="K84" s="51" t="e">
        <f t="shared" si="41"/>
        <v>#DIV/0!</v>
      </c>
      <c r="L84" s="49" t="e">
        <f t="shared" si="37"/>
        <v>#DIV/0!</v>
      </c>
      <c r="M84" s="49">
        <f t="shared" si="27"/>
        <v>0</v>
      </c>
      <c r="N84" s="49">
        <f t="shared" si="26"/>
        <v>0</v>
      </c>
      <c r="O84" s="48" t="e">
        <f t="shared" si="32"/>
        <v>#DIV/0!</v>
      </c>
      <c r="P84" s="38" t="e">
        <f t="shared" si="28"/>
        <v>#DIV/0!</v>
      </c>
      <c r="Q84" s="53"/>
      <c r="R84" s="53">
        <f t="shared" si="38"/>
        <v>0.12</v>
      </c>
      <c r="S84" s="53">
        <f t="shared" si="39"/>
        <v>1.0596241035318976E-2</v>
      </c>
      <c r="T84" s="53">
        <f t="shared" si="40"/>
        <v>0</v>
      </c>
      <c r="U84" s="53">
        <f t="shared" si="42"/>
        <v>0</v>
      </c>
    </row>
    <row r="85" spans="1:21" x14ac:dyDescent="0.2">
      <c r="A85" s="62" t="e">
        <f t="shared" si="29"/>
        <v>#DIV/0!</v>
      </c>
      <c r="B85" s="45">
        <f t="shared" si="33"/>
        <v>71</v>
      </c>
      <c r="C85" s="51" t="e">
        <f t="shared" si="34"/>
        <v>#DIV/0!</v>
      </c>
      <c r="D85" s="47" t="e" cm="1">
        <f t="array" ref="D85">_xlfn.IFS(AND($C$7="Y",B85&lt;C$4),C85,AND($C$7="Y",B85=C$4),D84+F85-J85-K85-L85+N85,AND($C$7="Y",B85&gt;$C$4),D84-J85-K85-L85+N85, TRUE, D84-J85-K85-L85+N85)</f>
        <v>#DIV/0!</v>
      </c>
      <c r="E85" s="48">
        <f t="shared" si="35"/>
        <v>0</v>
      </c>
      <c r="F85" s="50">
        <f t="shared" si="36"/>
        <v>0</v>
      </c>
      <c r="G85" s="50">
        <f t="shared" si="43"/>
        <v>0</v>
      </c>
      <c r="H85" s="51" t="e">
        <f t="shared" si="44"/>
        <v>#DIV/0!</v>
      </c>
      <c r="I85" s="52" t="e">
        <f t="shared" si="30"/>
        <v>#DIV/0!</v>
      </c>
      <c r="J85" s="52" t="e">
        <f t="shared" si="31"/>
        <v>#DIV/0!</v>
      </c>
      <c r="K85" s="51" t="e">
        <f t="shared" si="41"/>
        <v>#DIV/0!</v>
      </c>
      <c r="L85" s="49" t="e">
        <f t="shared" si="37"/>
        <v>#DIV/0!</v>
      </c>
      <c r="M85" s="49">
        <f t="shared" si="27"/>
        <v>0</v>
      </c>
      <c r="N85" s="49">
        <f t="shared" si="26"/>
        <v>0</v>
      </c>
      <c r="O85" s="48" t="e">
        <f t="shared" si="32"/>
        <v>#DIV/0!</v>
      </c>
      <c r="P85" s="38" t="e">
        <f t="shared" si="28"/>
        <v>#DIV/0!</v>
      </c>
      <c r="Q85" s="53"/>
      <c r="R85" s="53">
        <f t="shared" si="38"/>
        <v>0.12</v>
      </c>
      <c r="S85" s="53">
        <f t="shared" si="39"/>
        <v>1.0596241035318976E-2</v>
      </c>
      <c r="T85" s="53">
        <f t="shared" si="40"/>
        <v>0</v>
      </c>
      <c r="U85" s="53">
        <f t="shared" si="42"/>
        <v>0</v>
      </c>
    </row>
    <row r="86" spans="1:21" x14ac:dyDescent="0.2">
      <c r="A86" s="62" t="e">
        <f t="shared" si="29"/>
        <v>#DIV/0!</v>
      </c>
      <c r="B86" s="45">
        <f t="shared" si="33"/>
        <v>72</v>
      </c>
      <c r="C86" s="51" t="e">
        <f t="shared" si="34"/>
        <v>#DIV/0!</v>
      </c>
      <c r="D86" s="47" t="e" cm="1">
        <f t="array" ref="D86">_xlfn.IFS(AND($C$7="Y",B86&lt;C$4),C86,AND($C$7="Y",B86=C$4),D85+F86-J86-K86-L86+N86,AND($C$7="Y",B86&gt;$C$4),D85-J86-K86-L86+N86, TRUE, D85-J86-K86-L86+N86)</f>
        <v>#DIV/0!</v>
      </c>
      <c r="E86" s="48">
        <f t="shared" si="35"/>
        <v>0</v>
      </c>
      <c r="F86" s="50">
        <f t="shared" si="36"/>
        <v>0</v>
      </c>
      <c r="G86" s="50">
        <f t="shared" si="43"/>
        <v>0</v>
      </c>
      <c r="H86" s="51" t="e">
        <f t="shared" si="44"/>
        <v>#DIV/0!</v>
      </c>
      <c r="I86" s="52" t="e">
        <f t="shared" si="30"/>
        <v>#DIV/0!</v>
      </c>
      <c r="J86" s="52" t="e">
        <f t="shared" si="31"/>
        <v>#DIV/0!</v>
      </c>
      <c r="K86" s="51" t="e">
        <f t="shared" si="41"/>
        <v>#DIV/0!</v>
      </c>
      <c r="L86" s="49" t="e">
        <f t="shared" si="37"/>
        <v>#DIV/0!</v>
      </c>
      <c r="M86" s="49">
        <f t="shared" si="27"/>
        <v>0</v>
      </c>
      <c r="N86" s="49">
        <f t="shared" si="26"/>
        <v>0</v>
      </c>
      <c r="O86" s="48" t="e">
        <f t="shared" si="32"/>
        <v>#DIV/0!</v>
      </c>
      <c r="P86" s="38" t="e">
        <f t="shared" si="28"/>
        <v>#DIV/0!</v>
      </c>
      <c r="Q86" s="53"/>
      <c r="R86" s="53">
        <f t="shared" si="38"/>
        <v>0.12</v>
      </c>
      <c r="S86" s="53">
        <f t="shared" si="39"/>
        <v>1.0596241035318976E-2</v>
      </c>
      <c r="T86" s="53">
        <f t="shared" si="40"/>
        <v>0</v>
      </c>
      <c r="U86" s="53">
        <f t="shared" si="42"/>
        <v>0</v>
      </c>
    </row>
    <row r="87" spans="1:21" x14ac:dyDescent="0.2">
      <c r="A87" s="62" t="e">
        <f t="shared" si="29"/>
        <v>#DIV/0!</v>
      </c>
      <c r="B87" s="45">
        <f t="shared" si="33"/>
        <v>73</v>
      </c>
      <c r="C87" s="51" t="e">
        <f t="shared" si="34"/>
        <v>#DIV/0!</v>
      </c>
      <c r="D87" s="47" t="e" cm="1">
        <f t="array" ref="D87">_xlfn.IFS(AND($C$7="Y",B87&lt;C$4),C87,AND($C$7="Y",B87=C$4),D86+F87-J87-K87-L87+N87,AND($C$7="Y",B87&gt;$C$4),D86-J87-K87-L87+N87, TRUE, D86-J87-K87-L87+N87)</f>
        <v>#DIV/0!</v>
      </c>
      <c r="E87" s="48">
        <f t="shared" si="35"/>
        <v>0</v>
      </c>
      <c r="F87" s="50">
        <f t="shared" si="36"/>
        <v>0</v>
      </c>
      <c r="G87" s="50">
        <f t="shared" si="43"/>
        <v>0</v>
      </c>
      <c r="H87" s="51" t="e">
        <f t="shared" si="44"/>
        <v>#DIV/0!</v>
      </c>
      <c r="I87" s="52" t="e">
        <f t="shared" si="30"/>
        <v>#DIV/0!</v>
      </c>
      <c r="J87" s="52" t="e">
        <f t="shared" si="31"/>
        <v>#DIV/0!</v>
      </c>
      <c r="K87" s="51" t="e">
        <f t="shared" si="41"/>
        <v>#DIV/0!</v>
      </c>
      <c r="L87" s="49" t="e">
        <f t="shared" si="37"/>
        <v>#DIV/0!</v>
      </c>
      <c r="M87" s="49">
        <f t="shared" si="27"/>
        <v>0</v>
      </c>
      <c r="N87" s="49">
        <f t="shared" si="26"/>
        <v>0</v>
      </c>
      <c r="O87" s="48" t="e">
        <f t="shared" si="32"/>
        <v>#DIV/0!</v>
      </c>
      <c r="P87" s="38" t="e">
        <f t="shared" si="28"/>
        <v>#DIV/0!</v>
      </c>
      <c r="Q87" s="53"/>
      <c r="R87" s="53">
        <f t="shared" si="38"/>
        <v>0.12</v>
      </c>
      <c r="S87" s="53">
        <f t="shared" si="39"/>
        <v>1.0596241035318976E-2</v>
      </c>
      <c r="T87" s="53">
        <f t="shared" si="40"/>
        <v>0</v>
      </c>
      <c r="U87" s="53">
        <f t="shared" si="42"/>
        <v>0</v>
      </c>
    </row>
    <row r="88" spans="1:21" x14ac:dyDescent="0.2">
      <c r="A88" s="62" t="e">
        <f t="shared" si="29"/>
        <v>#DIV/0!</v>
      </c>
      <c r="B88" s="45">
        <f t="shared" si="33"/>
        <v>74</v>
      </c>
      <c r="C88" s="51" t="e">
        <f t="shared" si="34"/>
        <v>#DIV/0!</v>
      </c>
      <c r="D88" s="47" t="e" cm="1">
        <f t="array" ref="D88">_xlfn.IFS(AND($C$7="Y",B88&lt;C$4),C88,AND($C$7="Y",B88=C$4),D87+F88-J88-K88-L88+N88,AND($C$7="Y",B88&gt;$C$4),D87-J88-K88-L88+N88, TRUE, D87-J88-K88-L88+N88)</f>
        <v>#DIV/0!</v>
      </c>
      <c r="E88" s="48">
        <f t="shared" si="35"/>
        <v>0</v>
      </c>
      <c r="F88" s="50">
        <f t="shared" si="36"/>
        <v>0</v>
      </c>
      <c r="G88" s="50">
        <f t="shared" si="43"/>
        <v>0</v>
      </c>
      <c r="H88" s="51" t="e">
        <f t="shared" si="44"/>
        <v>#DIV/0!</v>
      </c>
      <c r="I88" s="52" t="e">
        <f t="shared" si="30"/>
        <v>#DIV/0!</v>
      </c>
      <c r="J88" s="52" t="e">
        <f t="shared" si="31"/>
        <v>#DIV/0!</v>
      </c>
      <c r="K88" s="51" t="e">
        <f t="shared" si="41"/>
        <v>#DIV/0!</v>
      </c>
      <c r="L88" s="49" t="e">
        <f t="shared" si="37"/>
        <v>#DIV/0!</v>
      </c>
      <c r="M88" s="49">
        <f t="shared" si="27"/>
        <v>0</v>
      </c>
      <c r="N88" s="49">
        <f t="shared" si="26"/>
        <v>0</v>
      </c>
      <c r="O88" s="48" t="e">
        <f t="shared" si="32"/>
        <v>#DIV/0!</v>
      </c>
      <c r="P88" s="38" t="e">
        <f t="shared" si="28"/>
        <v>#DIV/0!</v>
      </c>
      <c r="Q88" s="53"/>
      <c r="R88" s="53">
        <f t="shared" si="38"/>
        <v>0.12</v>
      </c>
      <c r="S88" s="53">
        <f t="shared" si="39"/>
        <v>1.0596241035318976E-2</v>
      </c>
      <c r="T88" s="53">
        <f t="shared" si="40"/>
        <v>0</v>
      </c>
      <c r="U88" s="53">
        <f t="shared" si="42"/>
        <v>0</v>
      </c>
    </row>
    <row r="89" spans="1:21" x14ac:dyDescent="0.2">
      <c r="A89" s="62" t="e">
        <f t="shared" si="29"/>
        <v>#DIV/0!</v>
      </c>
      <c r="B89" s="45">
        <f t="shared" si="33"/>
        <v>75</v>
      </c>
      <c r="C89" s="51" t="e">
        <f t="shared" si="34"/>
        <v>#DIV/0!</v>
      </c>
      <c r="D89" s="47" t="e" cm="1">
        <f t="array" ref="D89">_xlfn.IFS(AND($C$7="Y",B89&lt;C$4),C89,AND($C$7="Y",B89=C$4),D88+F89-J89-K89-L89+N89,AND($C$7="Y",B89&gt;$C$4),D88-J89-K89-L89+N89, TRUE, D88-J89-K89-L89+N89)</f>
        <v>#DIV/0!</v>
      </c>
      <c r="E89" s="48">
        <f t="shared" si="35"/>
        <v>0</v>
      </c>
      <c r="F89" s="50">
        <f t="shared" si="36"/>
        <v>0</v>
      </c>
      <c r="G89" s="50">
        <f t="shared" si="43"/>
        <v>0</v>
      </c>
      <c r="H89" s="51" t="e">
        <f t="shared" si="44"/>
        <v>#DIV/0!</v>
      </c>
      <c r="I89" s="52" t="e">
        <f t="shared" si="30"/>
        <v>#DIV/0!</v>
      </c>
      <c r="J89" s="52" t="e">
        <f t="shared" si="31"/>
        <v>#DIV/0!</v>
      </c>
      <c r="K89" s="51" t="e">
        <f t="shared" si="41"/>
        <v>#DIV/0!</v>
      </c>
      <c r="L89" s="49" t="e">
        <f t="shared" si="37"/>
        <v>#DIV/0!</v>
      </c>
      <c r="M89" s="49">
        <f t="shared" si="27"/>
        <v>0</v>
      </c>
      <c r="N89" s="49">
        <f t="shared" si="26"/>
        <v>0</v>
      </c>
      <c r="O89" s="48" t="e">
        <f t="shared" si="32"/>
        <v>#DIV/0!</v>
      </c>
      <c r="P89" s="38" t="e">
        <f t="shared" si="28"/>
        <v>#DIV/0!</v>
      </c>
      <c r="Q89" s="53"/>
      <c r="R89" s="53">
        <f t="shared" si="38"/>
        <v>0.12</v>
      </c>
      <c r="S89" s="53">
        <f t="shared" si="39"/>
        <v>1.0596241035318976E-2</v>
      </c>
      <c r="T89" s="53">
        <f t="shared" si="40"/>
        <v>0</v>
      </c>
      <c r="U89" s="53">
        <f t="shared" si="42"/>
        <v>0</v>
      </c>
    </row>
    <row r="90" spans="1:21" x14ac:dyDescent="0.2">
      <c r="A90" s="62" t="e">
        <f t="shared" si="29"/>
        <v>#DIV/0!</v>
      </c>
      <c r="B90" s="45">
        <f t="shared" si="33"/>
        <v>76</v>
      </c>
      <c r="C90" s="51" t="e">
        <f t="shared" si="34"/>
        <v>#DIV/0!</v>
      </c>
      <c r="D90" s="47" t="e" cm="1">
        <f t="array" ref="D90">_xlfn.IFS(AND($C$7="Y",B90&lt;C$4),C90,AND($C$7="Y",B90=C$4),D89+F90-J90-K90-L90+N90,AND($C$7="Y",B90&gt;$C$4),D89-J90-K90-L90+N90, TRUE, D89-J90-K90-L90+N90)</f>
        <v>#DIV/0!</v>
      </c>
      <c r="E90" s="48">
        <f t="shared" si="35"/>
        <v>0</v>
      </c>
      <c r="F90" s="50">
        <f t="shared" si="36"/>
        <v>0</v>
      </c>
      <c r="G90" s="50">
        <f t="shared" si="43"/>
        <v>0</v>
      </c>
      <c r="H90" s="51" t="e">
        <f t="shared" si="44"/>
        <v>#DIV/0!</v>
      </c>
      <c r="I90" s="52" t="e">
        <f t="shared" si="30"/>
        <v>#DIV/0!</v>
      </c>
      <c r="J90" s="52" t="e">
        <f t="shared" si="31"/>
        <v>#DIV/0!</v>
      </c>
      <c r="K90" s="51" t="e">
        <f t="shared" si="41"/>
        <v>#DIV/0!</v>
      </c>
      <c r="L90" s="49" t="e">
        <f t="shared" si="37"/>
        <v>#DIV/0!</v>
      </c>
      <c r="M90" s="49">
        <f t="shared" si="27"/>
        <v>0</v>
      </c>
      <c r="N90" s="49">
        <f t="shared" si="26"/>
        <v>0</v>
      </c>
      <c r="O90" s="48" t="e">
        <f t="shared" si="32"/>
        <v>#DIV/0!</v>
      </c>
      <c r="P90" s="38" t="e">
        <f t="shared" si="28"/>
        <v>#DIV/0!</v>
      </c>
      <c r="Q90" s="53"/>
      <c r="R90" s="53">
        <f t="shared" si="38"/>
        <v>0.12</v>
      </c>
      <c r="S90" s="53">
        <f t="shared" si="39"/>
        <v>1.0596241035318976E-2</v>
      </c>
      <c r="T90" s="53">
        <f t="shared" si="40"/>
        <v>0</v>
      </c>
      <c r="U90" s="53">
        <f t="shared" si="42"/>
        <v>0</v>
      </c>
    </row>
    <row r="91" spans="1:21" x14ac:dyDescent="0.2">
      <c r="A91" s="62" t="e">
        <f t="shared" si="29"/>
        <v>#DIV/0!</v>
      </c>
      <c r="B91" s="45">
        <f t="shared" si="33"/>
        <v>77</v>
      </c>
      <c r="C91" s="51" t="e">
        <f t="shared" si="34"/>
        <v>#DIV/0!</v>
      </c>
      <c r="D91" s="47" t="e" cm="1">
        <f t="array" ref="D91">_xlfn.IFS(AND($C$7="Y",B91&lt;C$4),C91,AND($C$7="Y",B91=C$4),D90+F91-J91-K91-L91+N91,AND($C$7="Y",B91&gt;$C$4),D90-J91-K91-L91+N91, TRUE, D90-J91-K91-L91+N91)</f>
        <v>#DIV/0!</v>
      </c>
      <c r="E91" s="48">
        <f t="shared" si="35"/>
        <v>0</v>
      </c>
      <c r="F91" s="50">
        <f t="shared" si="36"/>
        <v>0</v>
      </c>
      <c r="G91" s="50">
        <f t="shared" si="43"/>
        <v>0</v>
      </c>
      <c r="H91" s="51" t="e">
        <f t="shared" si="44"/>
        <v>#DIV/0!</v>
      </c>
      <c r="I91" s="52" t="e">
        <f t="shared" si="30"/>
        <v>#DIV/0!</v>
      </c>
      <c r="J91" s="52" t="e">
        <f t="shared" si="31"/>
        <v>#DIV/0!</v>
      </c>
      <c r="K91" s="51" t="e">
        <f t="shared" si="41"/>
        <v>#DIV/0!</v>
      </c>
      <c r="L91" s="49" t="e">
        <f t="shared" si="37"/>
        <v>#DIV/0!</v>
      </c>
      <c r="M91" s="49">
        <f t="shared" si="27"/>
        <v>0</v>
      </c>
      <c r="N91" s="49">
        <f t="shared" si="26"/>
        <v>0</v>
      </c>
      <c r="O91" s="48" t="e">
        <f t="shared" si="32"/>
        <v>#DIV/0!</v>
      </c>
      <c r="P91" s="38" t="e">
        <f t="shared" si="28"/>
        <v>#DIV/0!</v>
      </c>
      <c r="Q91" s="53"/>
      <c r="R91" s="53">
        <f t="shared" si="38"/>
        <v>0.12</v>
      </c>
      <c r="S91" s="53">
        <f t="shared" si="39"/>
        <v>1.0596241035318976E-2</v>
      </c>
      <c r="T91" s="53">
        <f t="shared" si="40"/>
        <v>0</v>
      </c>
      <c r="U91" s="53">
        <f t="shared" si="42"/>
        <v>0</v>
      </c>
    </row>
    <row r="92" spans="1:21" x14ac:dyDescent="0.2">
      <c r="A92" s="62" t="e">
        <f t="shared" si="29"/>
        <v>#DIV/0!</v>
      </c>
      <c r="B92" s="45">
        <f t="shared" si="33"/>
        <v>78</v>
      </c>
      <c r="C92" s="51" t="e">
        <f t="shared" si="34"/>
        <v>#DIV/0!</v>
      </c>
      <c r="D92" s="47" t="e" cm="1">
        <f t="array" ref="D92">_xlfn.IFS(AND($C$7="Y",B92&lt;C$4),C92,AND($C$7="Y",B92=C$4),D91+F92-J92-K92-L92+N92,AND($C$7="Y",B92&gt;$C$4),D91-J92-K92-L92+N92, TRUE, D91-J92-K92-L92+N92)</f>
        <v>#DIV/0!</v>
      </c>
      <c r="E92" s="48">
        <f t="shared" si="35"/>
        <v>0</v>
      </c>
      <c r="F92" s="50">
        <f t="shared" si="36"/>
        <v>0</v>
      </c>
      <c r="G92" s="50">
        <f t="shared" si="43"/>
        <v>0</v>
      </c>
      <c r="H92" s="51" t="e">
        <f t="shared" si="44"/>
        <v>#DIV/0!</v>
      </c>
      <c r="I92" s="52" t="e">
        <f t="shared" si="30"/>
        <v>#DIV/0!</v>
      </c>
      <c r="J92" s="52" t="e">
        <f t="shared" si="31"/>
        <v>#DIV/0!</v>
      </c>
      <c r="K92" s="51" t="e">
        <f t="shared" si="41"/>
        <v>#DIV/0!</v>
      </c>
      <c r="L92" s="49" t="e">
        <f t="shared" si="37"/>
        <v>#DIV/0!</v>
      </c>
      <c r="M92" s="49">
        <f t="shared" si="27"/>
        <v>0</v>
      </c>
      <c r="N92" s="49">
        <f t="shared" si="26"/>
        <v>0</v>
      </c>
      <c r="O92" s="48" t="e">
        <f t="shared" si="32"/>
        <v>#DIV/0!</v>
      </c>
      <c r="P92" s="38" t="e">
        <f t="shared" si="28"/>
        <v>#DIV/0!</v>
      </c>
      <c r="Q92" s="53"/>
      <c r="R92" s="53">
        <f t="shared" si="38"/>
        <v>0.12</v>
      </c>
      <c r="S92" s="53">
        <f t="shared" si="39"/>
        <v>1.0596241035318976E-2</v>
      </c>
      <c r="T92" s="53">
        <f t="shared" si="40"/>
        <v>0</v>
      </c>
      <c r="U92" s="53">
        <f t="shared" si="42"/>
        <v>0</v>
      </c>
    </row>
    <row r="93" spans="1:21" x14ac:dyDescent="0.2">
      <c r="A93" s="62" t="e">
        <f t="shared" si="29"/>
        <v>#DIV/0!</v>
      </c>
      <c r="B93" s="45">
        <f t="shared" si="33"/>
        <v>79</v>
      </c>
      <c r="C93" s="51" t="e">
        <f t="shared" si="34"/>
        <v>#DIV/0!</v>
      </c>
      <c r="D93" s="47" t="e" cm="1">
        <f t="array" ref="D93">_xlfn.IFS(AND($C$7="Y",B93&lt;C$4),C93,AND($C$7="Y",B93=C$4),D92+F93-J93-K93-L93+N93,AND($C$7="Y",B93&gt;$C$4),D92-J93-K93-L93+N93, TRUE, D92-J93-K93-L93+N93)</f>
        <v>#DIV/0!</v>
      </c>
      <c r="E93" s="48">
        <f t="shared" si="35"/>
        <v>0</v>
      </c>
      <c r="F93" s="50">
        <f t="shared" si="36"/>
        <v>0</v>
      </c>
      <c r="G93" s="50">
        <f t="shared" si="43"/>
        <v>0</v>
      </c>
      <c r="H93" s="51" t="e">
        <f t="shared" si="44"/>
        <v>#DIV/0!</v>
      </c>
      <c r="I93" s="52" t="e">
        <f t="shared" si="30"/>
        <v>#DIV/0!</v>
      </c>
      <c r="J93" s="52" t="e">
        <f t="shared" si="31"/>
        <v>#DIV/0!</v>
      </c>
      <c r="K93" s="51" t="e">
        <f t="shared" si="41"/>
        <v>#DIV/0!</v>
      </c>
      <c r="L93" s="49" t="e">
        <f t="shared" si="37"/>
        <v>#DIV/0!</v>
      </c>
      <c r="M93" s="49">
        <f t="shared" si="27"/>
        <v>0</v>
      </c>
      <c r="N93" s="49">
        <f t="shared" si="26"/>
        <v>0</v>
      </c>
      <c r="O93" s="48" t="e">
        <f t="shared" si="32"/>
        <v>#DIV/0!</v>
      </c>
      <c r="P93" s="38" t="e">
        <f t="shared" si="28"/>
        <v>#DIV/0!</v>
      </c>
      <c r="Q93" s="53"/>
      <c r="R93" s="53">
        <f t="shared" si="38"/>
        <v>0.12</v>
      </c>
      <c r="S93" s="53">
        <f t="shared" si="39"/>
        <v>1.0596241035318976E-2</v>
      </c>
      <c r="T93" s="53">
        <f t="shared" si="40"/>
        <v>0</v>
      </c>
      <c r="U93" s="53">
        <f t="shared" si="42"/>
        <v>0</v>
      </c>
    </row>
    <row r="94" spans="1:21" x14ac:dyDescent="0.2">
      <c r="A94" s="62" t="e">
        <f t="shared" si="29"/>
        <v>#DIV/0!</v>
      </c>
      <c r="B94" s="45">
        <f t="shared" si="33"/>
        <v>80</v>
      </c>
      <c r="C94" s="51" t="e">
        <f t="shared" si="34"/>
        <v>#DIV/0!</v>
      </c>
      <c r="D94" s="47" t="e" cm="1">
        <f t="array" ref="D94">_xlfn.IFS(AND($C$7="Y",B94&lt;C$4),C94,AND($C$7="Y",B94=C$4),D93+F94-J94-K94-L94+N94,AND($C$7="Y",B94&gt;$C$4),D93-J94-K94-L94+N94, TRUE, D93-J94-K94-L94+N94)</f>
        <v>#DIV/0!</v>
      </c>
      <c r="E94" s="48">
        <f t="shared" si="35"/>
        <v>0</v>
      </c>
      <c r="F94" s="50">
        <f t="shared" si="36"/>
        <v>0</v>
      </c>
      <c r="G94" s="50">
        <f t="shared" si="43"/>
        <v>0</v>
      </c>
      <c r="H94" s="51" t="e">
        <f t="shared" si="44"/>
        <v>#DIV/0!</v>
      </c>
      <c r="I94" s="52" t="e">
        <f t="shared" si="30"/>
        <v>#DIV/0!</v>
      </c>
      <c r="J94" s="52" t="e">
        <f t="shared" si="31"/>
        <v>#DIV/0!</v>
      </c>
      <c r="K94" s="51" t="e">
        <f t="shared" si="41"/>
        <v>#DIV/0!</v>
      </c>
      <c r="L94" s="49" t="e">
        <f t="shared" si="37"/>
        <v>#DIV/0!</v>
      </c>
      <c r="M94" s="49">
        <f t="shared" si="27"/>
        <v>0</v>
      </c>
      <c r="N94" s="49">
        <f t="shared" si="26"/>
        <v>0</v>
      </c>
      <c r="O94" s="48" t="e">
        <f t="shared" si="32"/>
        <v>#DIV/0!</v>
      </c>
      <c r="P94" s="38" t="e">
        <f t="shared" si="28"/>
        <v>#DIV/0!</v>
      </c>
      <c r="Q94" s="53"/>
      <c r="R94" s="53">
        <f t="shared" si="38"/>
        <v>0.12</v>
      </c>
      <c r="S94" s="53">
        <f t="shared" si="39"/>
        <v>1.0596241035318976E-2</v>
      </c>
      <c r="T94" s="53">
        <f t="shared" si="40"/>
        <v>0</v>
      </c>
      <c r="U94" s="53">
        <f t="shared" si="42"/>
        <v>0</v>
      </c>
    </row>
    <row r="95" spans="1:21" x14ac:dyDescent="0.2">
      <c r="A95" s="62" t="e">
        <f t="shared" si="29"/>
        <v>#DIV/0!</v>
      </c>
      <c r="B95" s="45">
        <f t="shared" si="33"/>
        <v>81</v>
      </c>
      <c r="C95" s="51" t="e">
        <f t="shared" si="34"/>
        <v>#DIV/0!</v>
      </c>
      <c r="D95" s="47" t="e" cm="1">
        <f t="array" ref="D95">_xlfn.IFS(AND($C$7="Y",B95&lt;C$4),C95,AND($C$7="Y",B95=C$4),D94+F95-J95-K95-L95+N95,AND($C$7="Y",B95&gt;$C$4),D94-J95-K95-L95+N95, TRUE, D94-J95-K95-L95+N95)</f>
        <v>#DIV/0!</v>
      </c>
      <c r="E95" s="48">
        <f t="shared" si="35"/>
        <v>0</v>
      </c>
      <c r="F95" s="50">
        <f t="shared" si="36"/>
        <v>0</v>
      </c>
      <c r="G95" s="50">
        <f t="shared" si="43"/>
        <v>0</v>
      </c>
      <c r="H95" s="51" t="e">
        <f t="shared" si="44"/>
        <v>#DIV/0!</v>
      </c>
      <c r="I95" s="52" t="e">
        <f t="shared" si="30"/>
        <v>#DIV/0!</v>
      </c>
      <c r="J95" s="52" t="e">
        <f t="shared" si="31"/>
        <v>#DIV/0!</v>
      </c>
      <c r="K95" s="51" t="e">
        <f t="shared" si="41"/>
        <v>#DIV/0!</v>
      </c>
      <c r="L95" s="49" t="e">
        <f t="shared" si="37"/>
        <v>#DIV/0!</v>
      </c>
      <c r="M95" s="49">
        <f t="shared" si="27"/>
        <v>0</v>
      </c>
      <c r="N95" s="49">
        <f t="shared" si="26"/>
        <v>0</v>
      </c>
      <c r="O95" s="48" t="e">
        <f t="shared" si="32"/>
        <v>#DIV/0!</v>
      </c>
      <c r="P95" s="38" t="e">
        <f t="shared" si="28"/>
        <v>#DIV/0!</v>
      </c>
      <c r="Q95" s="53"/>
      <c r="R95" s="53">
        <f t="shared" si="38"/>
        <v>0.12</v>
      </c>
      <c r="S95" s="53">
        <f t="shared" si="39"/>
        <v>1.0596241035318976E-2</v>
      </c>
      <c r="T95" s="53">
        <f t="shared" si="40"/>
        <v>0</v>
      </c>
      <c r="U95" s="53">
        <f t="shared" si="42"/>
        <v>0</v>
      </c>
    </row>
    <row r="96" spans="1:21" x14ac:dyDescent="0.2">
      <c r="A96" s="62" t="e">
        <f t="shared" si="29"/>
        <v>#DIV/0!</v>
      </c>
      <c r="B96" s="45">
        <f t="shared" si="33"/>
        <v>82</v>
      </c>
      <c r="C96" s="51" t="e">
        <f t="shared" si="34"/>
        <v>#DIV/0!</v>
      </c>
      <c r="D96" s="47" t="e" cm="1">
        <f t="array" ref="D96">_xlfn.IFS(AND($C$7="Y",B96&lt;C$4),C96,AND($C$7="Y",B96=C$4),D95+F96-J96-K96-L96+N96,AND($C$7="Y",B96&gt;$C$4),D95-J96-K96-L96+N96, TRUE, D95-J96-K96-L96+N96)</f>
        <v>#DIV/0!</v>
      </c>
      <c r="E96" s="48">
        <f t="shared" si="35"/>
        <v>0</v>
      </c>
      <c r="F96" s="50">
        <f t="shared" si="36"/>
        <v>0</v>
      </c>
      <c r="G96" s="50">
        <f t="shared" si="43"/>
        <v>0</v>
      </c>
      <c r="H96" s="51" t="e">
        <f t="shared" si="44"/>
        <v>#DIV/0!</v>
      </c>
      <c r="I96" s="52" t="e">
        <f t="shared" si="30"/>
        <v>#DIV/0!</v>
      </c>
      <c r="J96" s="52" t="e">
        <f t="shared" si="31"/>
        <v>#DIV/0!</v>
      </c>
      <c r="K96" s="51" t="e">
        <f t="shared" si="41"/>
        <v>#DIV/0!</v>
      </c>
      <c r="L96" s="49" t="e">
        <f t="shared" si="37"/>
        <v>#DIV/0!</v>
      </c>
      <c r="M96" s="49">
        <f t="shared" si="27"/>
        <v>0</v>
      </c>
      <c r="N96" s="49">
        <f t="shared" si="26"/>
        <v>0</v>
      </c>
      <c r="O96" s="48" t="e">
        <f t="shared" si="32"/>
        <v>#DIV/0!</v>
      </c>
      <c r="P96" s="38" t="e">
        <f t="shared" si="28"/>
        <v>#DIV/0!</v>
      </c>
      <c r="Q96" s="53"/>
      <c r="R96" s="53">
        <f t="shared" si="38"/>
        <v>0.12</v>
      </c>
      <c r="S96" s="53">
        <f t="shared" si="39"/>
        <v>1.0596241035318976E-2</v>
      </c>
      <c r="T96" s="53">
        <f t="shared" si="40"/>
        <v>0</v>
      </c>
      <c r="U96" s="53">
        <f t="shared" si="42"/>
        <v>0</v>
      </c>
    </row>
    <row r="97" spans="1:21" x14ac:dyDescent="0.2">
      <c r="A97" s="62" t="e">
        <f t="shared" si="29"/>
        <v>#DIV/0!</v>
      </c>
      <c r="B97" s="45">
        <f t="shared" si="33"/>
        <v>83</v>
      </c>
      <c r="C97" s="51" t="e">
        <f t="shared" si="34"/>
        <v>#DIV/0!</v>
      </c>
      <c r="D97" s="47" t="e" cm="1">
        <f t="array" ref="D97">_xlfn.IFS(AND($C$7="Y",B97&lt;C$4),C97,AND($C$7="Y",B97=C$4),D96+F97-J97-K97-L97+N97,AND($C$7="Y",B97&gt;$C$4),D96-J97-K97-L97+N97, TRUE, D96-J97-K97-L97+N97)</f>
        <v>#DIV/0!</v>
      </c>
      <c r="E97" s="48">
        <f t="shared" si="35"/>
        <v>0</v>
      </c>
      <c r="F97" s="50">
        <f t="shared" si="36"/>
        <v>0</v>
      </c>
      <c r="G97" s="50">
        <f t="shared" si="43"/>
        <v>0</v>
      </c>
      <c r="H97" s="51" t="e">
        <f t="shared" si="44"/>
        <v>#DIV/0!</v>
      </c>
      <c r="I97" s="52" t="e">
        <f t="shared" si="30"/>
        <v>#DIV/0!</v>
      </c>
      <c r="J97" s="52" t="e">
        <f t="shared" si="31"/>
        <v>#DIV/0!</v>
      </c>
      <c r="K97" s="51" t="e">
        <f t="shared" si="41"/>
        <v>#DIV/0!</v>
      </c>
      <c r="L97" s="49" t="e">
        <f t="shared" si="37"/>
        <v>#DIV/0!</v>
      </c>
      <c r="M97" s="49">
        <f t="shared" si="27"/>
        <v>0</v>
      </c>
      <c r="N97" s="49">
        <f t="shared" si="26"/>
        <v>0</v>
      </c>
      <c r="O97" s="48" t="e">
        <f t="shared" si="32"/>
        <v>#DIV/0!</v>
      </c>
      <c r="P97" s="38" t="e">
        <f t="shared" si="28"/>
        <v>#DIV/0!</v>
      </c>
      <c r="Q97" s="53"/>
      <c r="R97" s="53">
        <f t="shared" si="38"/>
        <v>0.12</v>
      </c>
      <c r="S97" s="53">
        <f t="shared" si="39"/>
        <v>1.0596241035318976E-2</v>
      </c>
      <c r="T97" s="53">
        <f t="shared" si="40"/>
        <v>0</v>
      </c>
      <c r="U97" s="53">
        <f t="shared" si="42"/>
        <v>0</v>
      </c>
    </row>
    <row r="98" spans="1:21" x14ac:dyDescent="0.2">
      <c r="A98" s="62" t="e">
        <f t="shared" si="29"/>
        <v>#DIV/0!</v>
      </c>
      <c r="B98" s="45">
        <f t="shared" si="33"/>
        <v>84</v>
      </c>
      <c r="C98" s="51" t="e">
        <f t="shared" si="34"/>
        <v>#DIV/0!</v>
      </c>
      <c r="D98" s="47" t="e" cm="1">
        <f t="array" ref="D98">_xlfn.IFS(AND($C$7="Y",B98&lt;C$4),C98,AND($C$7="Y",B98=C$4),D97+F98-J98-K98-L98+N98,AND($C$7="Y",B98&gt;$C$4),D97-J98-K98-L98+N98, TRUE, D97-J98-K98-L98+N98)</f>
        <v>#DIV/0!</v>
      </c>
      <c r="E98" s="48">
        <f t="shared" si="35"/>
        <v>0</v>
      </c>
      <c r="F98" s="50">
        <f t="shared" si="36"/>
        <v>0</v>
      </c>
      <c r="G98" s="50">
        <f t="shared" si="43"/>
        <v>0</v>
      </c>
      <c r="H98" s="51" t="e">
        <f t="shared" si="44"/>
        <v>#DIV/0!</v>
      </c>
      <c r="I98" s="52" t="e">
        <f t="shared" si="30"/>
        <v>#DIV/0!</v>
      </c>
      <c r="J98" s="52" t="e">
        <f t="shared" si="31"/>
        <v>#DIV/0!</v>
      </c>
      <c r="K98" s="51" t="e">
        <f t="shared" si="41"/>
        <v>#DIV/0!</v>
      </c>
      <c r="L98" s="49" t="e">
        <f t="shared" si="37"/>
        <v>#DIV/0!</v>
      </c>
      <c r="M98" s="49">
        <f t="shared" si="27"/>
        <v>0</v>
      </c>
      <c r="N98" s="49">
        <f t="shared" si="26"/>
        <v>0</v>
      </c>
      <c r="O98" s="48" t="e">
        <f t="shared" si="32"/>
        <v>#DIV/0!</v>
      </c>
      <c r="P98" s="38" t="e">
        <f t="shared" si="28"/>
        <v>#DIV/0!</v>
      </c>
      <c r="Q98" s="53"/>
      <c r="R98" s="53">
        <f t="shared" si="38"/>
        <v>0.12</v>
      </c>
      <c r="S98" s="53">
        <f t="shared" si="39"/>
        <v>1.0596241035318976E-2</v>
      </c>
      <c r="T98" s="53">
        <f t="shared" si="40"/>
        <v>0</v>
      </c>
      <c r="U98" s="53">
        <f t="shared" si="42"/>
        <v>0</v>
      </c>
    </row>
    <row r="99" spans="1:21" x14ac:dyDescent="0.2">
      <c r="A99" s="62" t="e">
        <f t="shared" si="29"/>
        <v>#DIV/0!</v>
      </c>
      <c r="B99" s="45">
        <f t="shared" si="33"/>
        <v>85</v>
      </c>
      <c r="C99" s="51" t="e">
        <f t="shared" si="34"/>
        <v>#DIV/0!</v>
      </c>
      <c r="D99" s="47" t="e" cm="1">
        <f t="array" ref="D99">_xlfn.IFS(AND($C$7="Y",B99&lt;C$4),C99,AND($C$7="Y",B99=C$4),D98+F99-J99-K99-L99+N99,AND($C$7="Y",B99&gt;$C$4),D98-J99-K99-L99+N99, TRUE, D98-J99-K99-L99+N99)</f>
        <v>#DIV/0!</v>
      </c>
      <c r="E99" s="48">
        <f t="shared" si="35"/>
        <v>0</v>
      </c>
      <c r="F99" s="50">
        <f t="shared" si="36"/>
        <v>0</v>
      </c>
      <c r="G99" s="50">
        <f t="shared" si="43"/>
        <v>0</v>
      </c>
      <c r="H99" s="51" t="e">
        <f t="shared" si="44"/>
        <v>#DIV/0!</v>
      </c>
      <c r="I99" s="52" t="e">
        <f t="shared" si="30"/>
        <v>#DIV/0!</v>
      </c>
      <c r="J99" s="52" t="e">
        <f t="shared" si="31"/>
        <v>#DIV/0!</v>
      </c>
      <c r="K99" s="51" t="e">
        <f t="shared" si="41"/>
        <v>#DIV/0!</v>
      </c>
      <c r="L99" s="49" t="e">
        <f t="shared" si="37"/>
        <v>#DIV/0!</v>
      </c>
      <c r="M99" s="49">
        <f t="shared" si="27"/>
        <v>0</v>
      </c>
      <c r="N99" s="49">
        <f t="shared" ref="N99:N162" si="45">IFERROR((1-$N$12)*L95,0)</f>
        <v>0</v>
      </c>
      <c r="O99" s="48" t="e">
        <f t="shared" si="32"/>
        <v>#DIV/0!</v>
      </c>
      <c r="P99" s="38" t="e">
        <f t="shared" si="28"/>
        <v>#DIV/0!</v>
      </c>
      <c r="Q99" s="53"/>
      <c r="R99" s="53">
        <f t="shared" si="38"/>
        <v>0.12</v>
      </c>
      <c r="S99" s="53">
        <f t="shared" si="39"/>
        <v>1.0596241035318976E-2</v>
      </c>
      <c r="T99" s="53">
        <f t="shared" si="40"/>
        <v>0</v>
      </c>
      <c r="U99" s="53">
        <f t="shared" si="42"/>
        <v>0</v>
      </c>
    </row>
    <row r="100" spans="1:21" x14ac:dyDescent="0.2">
      <c r="A100" s="62" t="e">
        <f t="shared" si="29"/>
        <v>#DIV/0!</v>
      </c>
      <c r="B100" s="45">
        <f t="shared" si="33"/>
        <v>86</v>
      </c>
      <c r="C100" s="51" t="e">
        <f t="shared" si="34"/>
        <v>#DIV/0!</v>
      </c>
      <c r="D100" s="47" t="e" cm="1">
        <f t="array" ref="D100">_xlfn.IFS(AND($C$7="Y",B100&lt;C$4),C100,AND($C$7="Y",B100=C$4),D99+F100-J100-K100-L100+N100,AND($C$7="Y",B100&gt;$C$4),D99-J100-K100-L100+N100, TRUE, D99-J100-K100-L100+N100)</f>
        <v>#DIV/0!</v>
      </c>
      <c r="E100" s="48">
        <f t="shared" si="35"/>
        <v>0</v>
      </c>
      <c r="F100" s="50">
        <f t="shared" si="36"/>
        <v>0</v>
      </c>
      <c r="G100" s="50">
        <f t="shared" si="43"/>
        <v>0</v>
      </c>
      <c r="H100" s="51" t="e">
        <f t="shared" si="44"/>
        <v>#DIV/0!</v>
      </c>
      <c r="I100" s="52" t="e">
        <f t="shared" si="30"/>
        <v>#DIV/0!</v>
      </c>
      <c r="J100" s="52" t="e">
        <f t="shared" si="31"/>
        <v>#DIV/0!</v>
      </c>
      <c r="K100" s="51" t="e">
        <f t="shared" si="41"/>
        <v>#DIV/0!</v>
      </c>
      <c r="L100" s="49" t="e">
        <f t="shared" si="37"/>
        <v>#DIV/0!</v>
      </c>
      <c r="M100" s="49">
        <f t="shared" si="27"/>
        <v>0</v>
      </c>
      <c r="N100" s="49">
        <f t="shared" si="45"/>
        <v>0</v>
      </c>
      <c r="O100" s="48" t="e">
        <f t="shared" si="32"/>
        <v>#DIV/0!</v>
      </c>
      <c r="P100" s="38" t="e">
        <f t="shared" si="28"/>
        <v>#DIV/0!</v>
      </c>
      <c r="Q100" s="53"/>
      <c r="R100" s="53">
        <f t="shared" si="38"/>
        <v>0.12</v>
      </c>
      <c r="S100" s="53">
        <f t="shared" si="39"/>
        <v>1.0596241035318976E-2</v>
      </c>
      <c r="T100" s="53">
        <f t="shared" si="40"/>
        <v>0</v>
      </c>
      <c r="U100" s="53">
        <f t="shared" si="42"/>
        <v>0</v>
      </c>
    </row>
    <row r="101" spans="1:21" x14ac:dyDescent="0.2">
      <c r="A101" s="62" t="e">
        <f t="shared" si="29"/>
        <v>#DIV/0!</v>
      </c>
      <c r="B101" s="45">
        <f t="shared" si="33"/>
        <v>87</v>
      </c>
      <c r="C101" s="51" t="e">
        <f t="shared" si="34"/>
        <v>#DIV/0!</v>
      </c>
      <c r="D101" s="47" t="e" cm="1">
        <f t="array" ref="D101">_xlfn.IFS(AND($C$7="Y",B101&lt;C$4),C101,AND($C$7="Y",B101=C$4),D100+F101-J101-K101-L101+N101,AND($C$7="Y",B101&gt;$C$4),D100-J101-K101-L101+N101, TRUE, D100-J101-K101-L101+N101)</f>
        <v>#DIV/0!</v>
      </c>
      <c r="E101" s="48">
        <f t="shared" si="35"/>
        <v>0</v>
      </c>
      <c r="F101" s="50">
        <f t="shared" si="36"/>
        <v>0</v>
      </c>
      <c r="G101" s="50">
        <f t="shared" si="43"/>
        <v>0</v>
      </c>
      <c r="H101" s="51" t="e">
        <f t="shared" si="44"/>
        <v>#DIV/0!</v>
      </c>
      <c r="I101" s="52" t="e">
        <f t="shared" si="30"/>
        <v>#DIV/0!</v>
      </c>
      <c r="J101" s="52" t="e">
        <f t="shared" si="31"/>
        <v>#DIV/0!</v>
      </c>
      <c r="K101" s="51" t="e">
        <f t="shared" si="41"/>
        <v>#DIV/0!</v>
      </c>
      <c r="L101" s="49" t="e">
        <f t="shared" si="37"/>
        <v>#DIV/0!</v>
      </c>
      <c r="M101" s="49">
        <f t="shared" si="27"/>
        <v>0</v>
      </c>
      <c r="N101" s="49">
        <f t="shared" si="45"/>
        <v>0</v>
      </c>
      <c r="O101" s="48" t="e">
        <f t="shared" si="32"/>
        <v>#DIV/0!</v>
      </c>
      <c r="P101" s="38" t="e">
        <f t="shared" si="28"/>
        <v>#DIV/0!</v>
      </c>
      <c r="Q101" s="53"/>
      <c r="R101" s="53">
        <f t="shared" si="38"/>
        <v>0.12</v>
      </c>
      <c r="S101" s="53">
        <f t="shared" si="39"/>
        <v>1.0596241035318976E-2</v>
      </c>
      <c r="T101" s="53">
        <f t="shared" si="40"/>
        <v>0</v>
      </c>
      <c r="U101" s="53">
        <f t="shared" si="42"/>
        <v>0</v>
      </c>
    </row>
    <row r="102" spans="1:21" x14ac:dyDescent="0.2">
      <c r="A102" s="62" t="e">
        <f t="shared" si="29"/>
        <v>#DIV/0!</v>
      </c>
      <c r="B102" s="45">
        <f t="shared" si="33"/>
        <v>88</v>
      </c>
      <c r="C102" s="51" t="e">
        <f t="shared" si="34"/>
        <v>#DIV/0!</v>
      </c>
      <c r="D102" s="47" t="e" cm="1">
        <f t="array" ref="D102">_xlfn.IFS(AND($C$7="Y",B102&lt;C$4),C102,AND($C$7="Y",B102=C$4),D101+F102-J102-K102-L102+N102,AND($C$7="Y",B102&gt;$C$4),D101-J102-K102-L102+N102, TRUE, D101-J102-K102-L102+N102)</f>
        <v>#DIV/0!</v>
      </c>
      <c r="E102" s="48">
        <f t="shared" si="35"/>
        <v>0</v>
      </c>
      <c r="F102" s="50">
        <f t="shared" si="36"/>
        <v>0</v>
      </c>
      <c r="G102" s="50">
        <f t="shared" si="43"/>
        <v>0</v>
      </c>
      <c r="H102" s="51" t="e">
        <f t="shared" si="44"/>
        <v>#DIV/0!</v>
      </c>
      <c r="I102" s="52" t="e">
        <f t="shared" si="30"/>
        <v>#DIV/0!</v>
      </c>
      <c r="J102" s="52" t="e">
        <f t="shared" si="31"/>
        <v>#DIV/0!</v>
      </c>
      <c r="K102" s="51" t="e">
        <f t="shared" si="41"/>
        <v>#DIV/0!</v>
      </c>
      <c r="L102" s="49" t="e">
        <f t="shared" si="37"/>
        <v>#DIV/0!</v>
      </c>
      <c r="M102" s="49">
        <f t="shared" si="27"/>
        <v>0</v>
      </c>
      <c r="N102" s="49">
        <f t="shared" si="45"/>
        <v>0</v>
      </c>
      <c r="O102" s="48" t="e">
        <f t="shared" si="32"/>
        <v>#DIV/0!</v>
      </c>
      <c r="P102" s="38" t="e">
        <f t="shared" si="28"/>
        <v>#DIV/0!</v>
      </c>
      <c r="Q102" s="53"/>
      <c r="R102" s="53">
        <f t="shared" si="38"/>
        <v>0.12</v>
      </c>
      <c r="S102" s="53">
        <f t="shared" si="39"/>
        <v>1.0596241035318976E-2</v>
      </c>
      <c r="T102" s="53">
        <f t="shared" si="40"/>
        <v>0</v>
      </c>
      <c r="U102" s="53">
        <f t="shared" si="42"/>
        <v>0</v>
      </c>
    </row>
    <row r="103" spans="1:21" x14ac:dyDescent="0.2">
      <c r="A103" s="62" t="e">
        <f t="shared" si="29"/>
        <v>#DIV/0!</v>
      </c>
      <c r="B103" s="45">
        <f t="shared" si="33"/>
        <v>89</v>
      </c>
      <c r="C103" s="51" t="e">
        <f t="shared" si="34"/>
        <v>#DIV/0!</v>
      </c>
      <c r="D103" s="47" t="e" cm="1">
        <f t="array" ref="D103">_xlfn.IFS(AND($C$7="Y",B103&lt;C$4),C103,AND($C$7="Y",B103=C$4),D102+F103-J103-K103-L103+N103,AND($C$7="Y",B103&gt;$C$4),D102-J103-K103-L103+N103, TRUE, D102-J103-K103-L103+N103)</f>
        <v>#DIV/0!</v>
      </c>
      <c r="E103" s="48">
        <f t="shared" si="35"/>
        <v>0</v>
      </c>
      <c r="F103" s="50">
        <f t="shared" si="36"/>
        <v>0</v>
      </c>
      <c r="G103" s="50">
        <f t="shared" si="43"/>
        <v>0</v>
      </c>
      <c r="H103" s="51" t="e">
        <f t="shared" si="44"/>
        <v>#DIV/0!</v>
      </c>
      <c r="I103" s="52" t="e">
        <f t="shared" si="30"/>
        <v>#DIV/0!</v>
      </c>
      <c r="J103" s="52" t="e">
        <f t="shared" si="31"/>
        <v>#DIV/0!</v>
      </c>
      <c r="K103" s="51" t="e">
        <f t="shared" si="41"/>
        <v>#DIV/0!</v>
      </c>
      <c r="L103" s="49" t="e">
        <f t="shared" si="37"/>
        <v>#DIV/0!</v>
      </c>
      <c r="M103" s="49">
        <f t="shared" si="27"/>
        <v>0</v>
      </c>
      <c r="N103" s="49">
        <f t="shared" si="45"/>
        <v>0</v>
      </c>
      <c r="O103" s="48" t="e">
        <f t="shared" si="32"/>
        <v>#DIV/0!</v>
      </c>
      <c r="P103" s="38" t="e">
        <f t="shared" si="28"/>
        <v>#DIV/0!</v>
      </c>
      <c r="Q103" s="53"/>
      <c r="R103" s="53">
        <f t="shared" si="38"/>
        <v>0.12</v>
      </c>
      <c r="S103" s="53">
        <f t="shared" si="39"/>
        <v>1.0596241035318976E-2</v>
      </c>
      <c r="T103" s="53">
        <f t="shared" si="40"/>
        <v>0</v>
      </c>
      <c r="U103" s="53">
        <f t="shared" si="42"/>
        <v>0</v>
      </c>
    </row>
    <row r="104" spans="1:21" x14ac:dyDescent="0.2">
      <c r="A104" s="62" t="e">
        <f t="shared" si="29"/>
        <v>#DIV/0!</v>
      </c>
      <c r="B104" s="45">
        <f t="shared" si="33"/>
        <v>90</v>
      </c>
      <c r="C104" s="51" t="e">
        <f t="shared" si="34"/>
        <v>#DIV/0!</v>
      </c>
      <c r="D104" s="47" t="e" cm="1">
        <f t="array" ref="D104">_xlfn.IFS(AND($C$7="Y",B104&lt;C$4),C104,AND($C$7="Y",B104=C$4),D103+F104-J104-K104-L104+N104,AND($C$7="Y",B104&gt;$C$4),D103-J104-K104-L104+N104, TRUE, D103-J104-K104-L104+N104)</f>
        <v>#DIV/0!</v>
      </c>
      <c r="E104" s="48">
        <f t="shared" si="35"/>
        <v>0</v>
      </c>
      <c r="F104" s="50">
        <f t="shared" si="36"/>
        <v>0</v>
      </c>
      <c r="G104" s="50">
        <f t="shared" si="43"/>
        <v>0</v>
      </c>
      <c r="H104" s="51" t="e">
        <f t="shared" si="44"/>
        <v>#DIV/0!</v>
      </c>
      <c r="I104" s="52" t="e">
        <f t="shared" si="30"/>
        <v>#DIV/0!</v>
      </c>
      <c r="J104" s="52" t="e">
        <f t="shared" si="31"/>
        <v>#DIV/0!</v>
      </c>
      <c r="K104" s="51" t="e">
        <f t="shared" si="41"/>
        <v>#DIV/0!</v>
      </c>
      <c r="L104" s="49" t="e">
        <f t="shared" si="37"/>
        <v>#DIV/0!</v>
      </c>
      <c r="M104" s="49">
        <f t="shared" si="27"/>
        <v>0</v>
      </c>
      <c r="N104" s="49">
        <f t="shared" si="45"/>
        <v>0</v>
      </c>
      <c r="O104" s="48" t="e">
        <f t="shared" si="32"/>
        <v>#DIV/0!</v>
      </c>
      <c r="P104" s="38" t="e">
        <f t="shared" si="28"/>
        <v>#DIV/0!</v>
      </c>
      <c r="Q104" s="53"/>
      <c r="R104" s="53">
        <f t="shared" si="38"/>
        <v>0.12</v>
      </c>
      <c r="S104" s="53">
        <f t="shared" si="39"/>
        <v>1.0596241035318976E-2</v>
      </c>
      <c r="T104" s="53">
        <f t="shared" si="40"/>
        <v>0</v>
      </c>
      <c r="U104" s="53">
        <f t="shared" si="42"/>
        <v>0</v>
      </c>
    </row>
    <row r="105" spans="1:21" x14ac:dyDescent="0.2">
      <c r="A105" s="62" t="e">
        <f t="shared" si="29"/>
        <v>#DIV/0!</v>
      </c>
      <c r="B105" s="45">
        <f t="shared" si="33"/>
        <v>91</v>
      </c>
      <c r="C105" s="51" t="e">
        <f t="shared" si="34"/>
        <v>#DIV/0!</v>
      </c>
      <c r="D105" s="47" t="e" cm="1">
        <f t="array" ref="D105">_xlfn.IFS(AND($C$7="Y",B105&lt;C$4),C105,AND($C$7="Y",B105=C$4),D104+F105-J105-K105-L105+N105,AND($C$7="Y",B105&gt;$C$4),D104-J105-K105-L105+N105, TRUE, D104-J105-K105-L105+N105)</f>
        <v>#DIV/0!</v>
      </c>
      <c r="E105" s="48">
        <f t="shared" si="35"/>
        <v>0</v>
      </c>
      <c r="F105" s="50">
        <f t="shared" si="36"/>
        <v>0</v>
      </c>
      <c r="G105" s="50">
        <f t="shared" si="43"/>
        <v>0</v>
      </c>
      <c r="H105" s="51" t="e">
        <f t="shared" si="44"/>
        <v>#DIV/0!</v>
      </c>
      <c r="I105" s="52" t="e">
        <f t="shared" si="30"/>
        <v>#DIV/0!</v>
      </c>
      <c r="J105" s="52" t="e">
        <f t="shared" si="31"/>
        <v>#DIV/0!</v>
      </c>
      <c r="K105" s="51" t="e">
        <f t="shared" si="41"/>
        <v>#DIV/0!</v>
      </c>
      <c r="L105" s="49" t="e">
        <f t="shared" si="37"/>
        <v>#DIV/0!</v>
      </c>
      <c r="M105" s="49">
        <f t="shared" si="27"/>
        <v>0</v>
      </c>
      <c r="N105" s="49">
        <f t="shared" si="45"/>
        <v>0</v>
      </c>
      <c r="O105" s="48" t="e">
        <f t="shared" si="32"/>
        <v>#DIV/0!</v>
      </c>
      <c r="P105" s="38" t="e">
        <f t="shared" si="28"/>
        <v>#DIV/0!</v>
      </c>
      <c r="Q105" s="53"/>
      <c r="R105" s="53">
        <f t="shared" si="38"/>
        <v>0.12</v>
      </c>
      <c r="S105" s="53">
        <f t="shared" si="39"/>
        <v>1.0596241035318976E-2</v>
      </c>
      <c r="T105" s="53">
        <f t="shared" si="40"/>
        <v>0</v>
      </c>
      <c r="U105" s="53">
        <f t="shared" si="42"/>
        <v>0</v>
      </c>
    </row>
    <row r="106" spans="1:21" x14ac:dyDescent="0.2">
      <c r="A106" s="62" t="e">
        <f t="shared" si="29"/>
        <v>#DIV/0!</v>
      </c>
      <c r="B106" s="45">
        <f t="shared" si="33"/>
        <v>92</v>
      </c>
      <c r="C106" s="51" t="e">
        <f t="shared" si="34"/>
        <v>#DIV/0!</v>
      </c>
      <c r="D106" s="47" t="e" cm="1">
        <f t="array" ref="D106">_xlfn.IFS(AND($C$7="Y",B106&lt;C$4),C106,AND($C$7="Y",B106=C$4),D105+F106-J106-K106-L106+N106,AND($C$7="Y",B106&gt;$C$4),D105-J106-K106-L106+N106, TRUE, D105-J106-K106-L106+N106)</f>
        <v>#DIV/0!</v>
      </c>
      <c r="E106" s="48">
        <f t="shared" si="35"/>
        <v>0</v>
      </c>
      <c r="F106" s="50">
        <f t="shared" si="36"/>
        <v>0</v>
      </c>
      <c r="G106" s="50">
        <f t="shared" si="43"/>
        <v>0</v>
      </c>
      <c r="H106" s="51" t="e">
        <f t="shared" si="44"/>
        <v>#DIV/0!</v>
      </c>
      <c r="I106" s="52" t="e">
        <f t="shared" si="30"/>
        <v>#DIV/0!</v>
      </c>
      <c r="J106" s="52" t="e">
        <f t="shared" si="31"/>
        <v>#DIV/0!</v>
      </c>
      <c r="K106" s="51" t="e">
        <f t="shared" si="41"/>
        <v>#DIV/0!</v>
      </c>
      <c r="L106" s="49" t="e">
        <f t="shared" si="37"/>
        <v>#DIV/0!</v>
      </c>
      <c r="M106" s="49">
        <f t="shared" si="27"/>
        <v>0</v>
      </c>
      <c r="N106" s="49">
        <f t="shared" si="45"/>
        <v>0</v>
      </c>
      <c r="O106" s="48" t="e">
        <f t="shared" si="32"/>
        <v>#DIV/0!</v>
      </c>
      <c r="P106" s="38" t="e">
        <f t="shared" si="28"/>
        <v>#DIV/0!</v>
      </c>
      <c r="Q106" s="53"/>
      <c r="R106" s="53">
        <f t="shared" si="38"/>
        <v>0.12</v>
      </c>
      <c r="S106" s="53">
        <f t="shared" si="39"/>
        <v>1.0596241035318976E-2</v>
      </c>
      <c r="T106" s="53">
        <f t="shared" si="40"/>
        <v>0</v>
      </c>
      <c r="U106" s="53">
        <f t="shared" si="42"/>
        <v>0</v>
      </c>
    </row>
    <row r="107" spans="1:21" x14ac:dyDescent="0.2">
      <c r="A107" s="62" t="e">
        <f t="shared" si="29"/>
        <v>#DIV/0!</v>
      </c>
      <c r="B107" s="45">
        <f t="shared" si="33"/>
        <v>93</v>
      </c>
      <c r="C107" s="51" t="e">
        <f t="shared" si="34"/>
        <v>#DIV/0!</v>
      </c>
      <c r="D107" s="47" t="e" cm="1">
        <f t="array" ref="D107">_xlfn.IFS(AND($C$7="Y",B107&lt;C$4),C107,AND($C$7="Y",B107=C$4),D106+F107-J107-K107-L107+N107,AND($C$7="Y",B107&gt;$C$4),D106-J107-K107-L107+N107, TRUE, D106-J107-K107-L107+N107)</f>
        <v>#DIV/0!</v>
      </c>
      <c r="E107" s="48">
        <f t="shared" si="35"/>
        <v>0</v>
      </c>
      <c r="F107" s="50">
        <f t="shared" si="36"/>
        <v>0</v>
      </c>
      <c r="G107" s="50">
        <f t="shared" si="43"/>
        <v>0</v>
      </c>
      <c r="H107" s="51" t="e">
        <f t="shared" si="44"/>
        <v>#DIV/0!</v>
      </c>
      <c r="I107" s="52" t="e">
        <f t="shared" si="30"/>
        <v>#DIV/0!</v>
      </c>
      <c r="J107" s="52" t="e">
        <f t="shared" si="31"/>
        <v>#DIV/0!</v>
      </c>
      <c r="K107" s="51" t="e">
        <f t="shared" si="41"/>
        <v>#DIV/0!</v>
      </c>
      <c r="L107" s="49" t="e">
        <f t="shared" si="37"/>
        <v>#DIV/0!</v>
      </c>
      <c r="M107" s="49">
        <f t="shared" si="27"/>
        <v>0</v>
      </c>
      <c r="N107" s="49">
        <f t="shared" si="45"/>
        <v>0</v>
      </c>
      <c r="O107" s="48" t="e">
        <f t="shared" si="32"/>
        <v>#DIV/0!</v>
      </c>
      <c r="P107" s="38" t="e">
        <f t="shared" si="28"/>
        <v>#DIV/0!</v>
      </c>
      <c r="Q107" s="53"/>
      <c r="R107" s="53">
        <f t="shared" si="38"/>
        <v>0.12</v>
      </c>
      <c r="S107" s="53">
        <f t="shared" si="39"/>
        <v>1.0596241035318976E-2</v>
      </c>
      <c r="T107" s="53">
        <f t="shared" si="40"/>
        <v>0</v>
      </c>
      <c r="U107" s="53">
        <f t="shared" si="42"/>
        <v>0</v>
      </c>
    </row>
    <row r="108" spans="1:21" x14ac:dyDescent="0.2">
      <c r="A108" s="62" t="e">
        <f t="shared" si="29"/>
        <v>#DIV/0!</v>
      </c>
      <c r="B108" s="45">
        <f t="shared" si="33"/>
        <v>94</v>
      </c>
      <c r="C108" s="51" t="e">
        <f t="shared" si="34"/>
        <v>#DIV/0!</v>
      </c>
      <c r="D108" s="47" t="e" cm="1">
        <f t="array" ref="D108">_xlfn.IFS(AND($C$7="Y",B108&lt;C$4),C108,AND($C$7="Y",B108=C$4),D107+F108-J108-K108-L108+N108,AND($C$7="Y",B108&gt;$C$4),D107-J108-K108-L108+N108, TRUE, D107-J108-K108-L108+N108)</f>
        <v>#DIV/0!</v>
      </c>
      <c r="E108" s="48">
        <f t="shared" si="35"/>
        <v>0</v>
      </c>
      <c r="F108" s="50">
        <f t="shared" si="36"/>
        <v>0</v>
      </c>
      <c r="G108" s="50">
        <f t="shared" si="43"/>
        <v>0</v>
      </c>
      <c r="H108" s="51" t="e">
        <f t="shared" si="44"/>
        <v>#DIV/0!</v>
      </c>
      <c r="I108" s="52" t="e">
        <f t="shared" si="30"/>
        <v>#DIV/0!</v>
      </c>
      <c r="J108" s="52" t="e">
        <f t="shared" si="31"/>
        <v>#DIV/0!</v>
      </c>
      <c r="K108" s="51" t="e">
        <f t="shared" si="41"/>
        <v>#DIV/0!</v>
      </c>
      <c r="L108" s="49" t="e">
        <f t="shared" si="37"/>
        <v>#DIV/0!</v>
      </c>
      <c r="M108" s="49">
        <f t="shared" si="27"/>
        <v>0</v>
      </c>
      <c r="N108" s="49">
        <f t="shared" si="45"/>
        <v>0</v>
      </c>
      <c r="O108" s="48" t="e">
        <f t="shared" si="32"/>
        <v>#DIV/0!</v>
      </c>
      <c r="P108" s="38" t="e">
        <f t="shared" si="28"/>
        <v>#DIV/0!</v>
      </c>
      <c r="Q108" s="53"/>
      <c r="R108" s="53">
        <f t="shared" si="38"/>
        <v>0.12</v>
      </c>
      <c r="S108" s="53">
        <f t="shared" si="39"/>
        <v>1.0596241035318976E-2</v>
      </c>
      <c r="T108" s="53">
        <f t="shared" si="40"/>
        <v>0</v>
      </c>
      <c r="U108" s="53">
        <f t="shared" si="42"/>
        <v>0</v>
      </c>
    </row>
    <row r="109" spans="1:21" x14ac:dyDescent="0.2">
      <c r="A109" s="62" t="e">
        <f t="shared" si="29"/>
        <v>#DIV/0!</v>
      </c>
      <c r="B109" s="45">
        <f t="shared" si="33"/>
        <v>95</v>
      </c>
      <c r="C109" s="51" t="e">
        <f t="shared" si="34"/>
        <v>#DIV/0!</v>
      </c>
      <c r="D109" s="47" t="e" cm="1">
        <f t="array" ref="D109">_xlfn.IFS(AND($C$7="Y",B109&lt;C$4),C109,AND($C$7="Y",B109=C$4),D108+F109-J109-K109-L109+N109,AND($C$7="Y",B109&gt;$C$4),D108-J109-K109-L109+N109, TRUE, D108-J109-K109-L109+N109)</f>
        <v>#DIV/0!</v>
      </c>
      <c r="E109" s="48">
        <f t="shared" si="35"/>
        <v>0</v>
      </c>
      <c r="F109" s="50">
        <f t="shared" si="36"/>
        <v>0</v>
      </c>
      <c r="G109" s="50">
        <f t="shared" si="43"/>
        <v>0</v>
      </c>
      <c r="H109" s="51" t="e">
        <f t="shared" si="44"/>
        <v>#DIV/0!</v>
      </c>
      <c r="I109" s="52" t="e">
        <f t="shared" si="30"/>
        <v>#DIV/0!</v>
      </c>
      <c r="J109" s="52" t="e">
        <f t="shared" si="31"/>
        <v>#DIV/0!</v>
      </c>
      <c r="K109" s="51" t="e">
        <f t="shared" si="41"/>
        <v>#DIV/0!</v>
      </c>
      <c r="L109" s="49" t="e">
        <f t="shared" si="37"/>
        <v>#DIV/0!</v>
      </c>
      <c r="M109" s="49">
        <f t="shared" ref="M109:M172" si="46">IFERROR(L105*-1,0)</f>
        <v>0</v>
      </c>
      <c r="N109" s="49">
        <f t="shared" si="45"/>
        <v>0</v>
      </c>
      <c r="O109" s="48" t="e">
        <f t="shared" si="32"/>
        <v>#DIV/0!</v>
      </c>
      <c r="P109" s="38" t="e">
        <f t="shared" si="28"/>
        <v>#DIV/0!</v>
      </c>
      <c r="Q109" s="53"/>
      <c r="R109" s="53">
        <f t="shared" si="38"/>
        <v>0.12</v>
      </c>
      <c r="S109" s="53">
        <f t="shared" si="39"/>
        <v>1.0596241035318976E-2</v>
      </c>
      <c r="T109" s="53">
        <f t="shared" si="40"/>
        <v>0</v>
      </c>
      <c r="U109" s="53">
        <f t="shared" si="42"/>
        <v>0</v>
      </c>
    </row>
    <row r="110" spans="1:21" x14ac:dyDescent="0.2">
      <c r="A110" s="62" t="e">
        <f t="shared" si="29"/>
        <v>#DIV/0!</v>
      </c>
      <c r="B110" s="45">
        <f t="shared" si="33"/>
        <v>96</v>
      </c>
      <c r="C110" s="51" t="e">
        <f t="shared" si="34"/>
        <v>#DIV/0!</v>
      </c>
      <c r="D110" s="47" t="e" cm="1">
        <f t="array" ref="D110">_xlfn.IFS(AND($C$7="Y",B110&lt;C$4),C110,AND($C$7="Y",B110=C$4),D109+F110-J110-K110-L110+N110,AND($C$7="Y",B110&gt;$C$4),D109-J110-K110-L110+N110, TRUE, D109-J110-K110-L110+N110)</f>
        <v>#DIV/0!</v>
      </c>
      <c r="E110" s="48">
        <f t="shared" si="35"/>
        <v>0</v>
      </c>
      <c r="F110" s="50">
        <f t="shared" si="36"/>
        <v>0</v>
      </c>
      <c r="G110" s="50">
        <f t="shared" si="43"/>
        <v>0</v>
      </c>
      <c r="H110" s="51" t="e">
        <f t="shared" si="44"/>
        <v>#DIV/0!</v>
      </c>
      <c r="I110" s="52" t="e">
        <f t="shared" si="30"/>
        <v>#DIV/0!</v>
      </c>
      <c r="J110" s="52" t="e">
        <f t="shared" si="31"/>
        <v>#DIV/0!</v>
      </c>
      <c r="K110" s="51" t="e">
        <f t="shared" si="41"/>
        <v>#DIV/0!</v>
      </c>
      <c r="L110" s="49" t="e">
        <f t="shared" si="37"/>
        <v>#DIV/0!</v>
      </c>
      <c r="M110" s="49">
        <f t="shared" si="46"/>
        <v>0</v>
      </c>
      <c r="N110" s="49">
        <f t="shared" si="45"/>
        <v>0</v>
      </c>
      <c r="O110" s="48" t="e">
        <f t="shared" si="32"/>
        <v>#DIV/0!</v>
      </c>
      <c r="P110" s="38" t="e">
        <f t="shared" si="28"/>
        <v>#DIV/0!</v>
      </c>
      <c r="Q110" s="53"/>
      <c r="R110" s="53">
        <f t="shared" si="38"/>
        <v>0.12</v>
      </c>
      <c r="S110" s="53">
        <f t="shared" si="39"/>
        <v>1.0596241035318976E-2</v>
      </c>
      <c r="T110" s="53">
        <f t="shared" si="40"/>
        <v>0</v>
      </c>
      <c r="U110" s="53">
        <f t="shared" si="42"/>
        <v>0</v>
      </c>
    </row>
    <row r="111" spans="1:21" x14ac:dyDescent="0.2">
      <c r="A111" s="62" t="e">
        <f t="shared" si="29"/>
        <v>#DIV/0!</v>
      </c>
      <c r="B111" s="45">
        <f t="shared" si="33"/>
        <v>97</v>
      </c>
      <c r="C111" s="51" t="e">
        <f t="shared" si="34"/>
        <v>#DIV/0!</v>
      </c>
      <c r="D111" s="47" t="e" cm="1">
        <f t="array" ref="D111">_xlfn.IFS(AND($C$7="Y",B111&lt;C$4),C111,AND($C$7="Y",B111=C$4),D110+F111-J111-K111-L111+N111,AND($C$7="Y",B111&gt;$C$4),D110-J111-K111-L111+N111, TRUE, D110-J111-K111-L111+N111)</f>
        <v>#DIV/0!</v>
      </c>
      <c r="E111" s="48">
        <f t="shared" si="35"/>
        <v>0</v>
      </c>
      <c r="F111" s="50">
        <f t="shared" si="36"/>
        <v>0</v>
      </c>
      <c r="G111" s="50">
        <f t="shared" si="43"/>
        <v>0</v>
      </c>
      <c r="H111" s="51" t="e">
        <f t="shared" si="44"/>
        <v>#DIV/0!</v>
      </c>
      <c r="I111" s="52" t="e">
        <f t="shared" si="30"/>
        <v>#DIV/0!</v>
      </c>
      <c r="J111" s="52" t="e">
        <f t="shared" si="31"/>
        <v>#DIV/0!</v>
      </c>
      <c r="K111" s="51" t="e">
        <f t="shared" si="41"/>
        <v>#DIV/0!</v>
      </c>
      <c r="L111" s="49" t="e">
        <f t="shared" si="37"/>
        <v>#DIV/0!</v>
      </c>
      <c r="M111" s="49">
        <f t="shared" si="46"/>
        <v>0</v>
      </c>
      <c r="N111" s="49">
        <f t="shared" si="45"/>
        <v>0</v>
      </c>
      <c r="O111" s="48" t="e">
        <f t="shared" si="32"/>
        <v>#DIV/0!</v>
      </c>
      <c r="P111" s="38" t="e">
        <f t="shared" si="28"/>
        <v>#DIV/0!</v>
      </c>
      <c r="Q111" s="53"/>
      <c r="R111" s="53">
        <f t="shared" si="38"/>
        <v>0.12</v>
      </c>
      <c r="S111" s="53">
        <f t="shared" si="39"/>
        <v>1.0596241035318976E-2</v>
      </c>
      <c r="T111" s="53">
        <f t="shared" si="40"/>
        <v>0</v>
      </c>
      <c r="U111" s="53">
        <f t="shared" si="42"/>
        <v>0</v>
      </c>
    </row>
    <row r="112" spans="1:21" x14ac:dyDescent="0.2">
      <c r="A112" s="62" t="e">
        <f t="shared" si="29"/>
        <v>#DIV/0!</v>
      </c>
      <c r="B112" s="45">
        <f t="shared" si="33"/>
        <v>98</v>
      </c>
      <c r="C112" s="51" t="e">
        <f t="shared" si="34"/>
        <v>#DIV/0!</v>
      </c>
      <c r="D112" s="47" t="e" cm="1">
        <f t="array" ref="D112">_xlfn.IFS(AND($C$7="Y",B112&lt;C$4),C112,AND($C$7="Y",B112=C$4),D111+F112-J112-K112-L112+N112,AND($C$7="Y",B112&gt;$C$4),D111-J112-K112-L112+N112, TRUE, D111-J112-K112-L112+N112)</f>
        <v>#DIV/0!</v>
      </c>
      <c r="E112" s="48">
        <f t="shared" si="35"/>
        <v>0</v>
      </c>
      <c r="F112" s="50">
        <f t="shared" si="36"/>
        <v>0</v>
      </c>
      <c r="G112" s="50">
        <f t="shared" si="43"/>
        <v>0</v>
      </c>
      <c r="H112" s="51" t="e">
        <f t="shared" si="44"/>
        <v>#DIV/0!</v>
      </c>
      <c r="I112" s="52" t="e">
        <f t="shared" si="30"/>
        <v>#DIV/0!</v>
      </c>
      <c r="J112" s="52" t="e">
        <f t="shared" si="31"/>
        <v>#DIV/0!</v>
      </c>
      <c r="K112" s="51" t="e">
        <f t="shared" si="41"/>
        <v>#DIV/0!</v>
      </c>
      <c r="L112" s="49" t="e">
        <f t="shared" si="37"/>
        <v>#DIV/0!</v>
      </c>
      <c r="M112" s="49">
        <f t="shared" si="46"/>
        <v>0</v>
      </c>
      <c r="N112" s="49">
        <f t="shared" si="45"/>
        <v>0</v>
      </c>
      <c r="O112" s="48" t="e">
        <f t="shared" si="32"/>
        <v>#DIV/0!</v>
      </c>
      <c r="P112" s="38" t="e">
        <f t="shared" si="28"/>
        <v>#DIV/0!</v>
      </c>
      <c r="Q112" s="53"/>
      <c r="R112" s="53">
        <f t="shared" si="38"/>
        <v>0.12</v>
      </c>
      <c r="S112" s="53">
        <f t="shared" si="39"/>
        <v>1.0596241035318976E-2</v>
      </c>
      <c r="T112" s="53">
        <f t="shared" si="40"/>
        <v>0</v>
      </c>
      <c r="U112" s="53">
        <f t="shared" si="42"/>
        <v>0</v>
      </c>
    </row>
    <row r="113" spans="1:21" x14ac:dyDescent="0.2">
      <c r="A113" s="62" t="e">
        <f t="shared" si="29"/>
        <v>#DIV/0!</v>
      </c>
      <c r="B113" s="45">
        <f t="shared" si="33"/>
        <v>99</v>
      </c>
      <c r="C113" s="51" t="e">
        <f t="shared" si="34"/>
        <v>#DIV/0!</v>
      </c>
      <c r="D113" s="47" t="e" cm="1">
        <f t="array" ref="D113">_xlfn.IFS(AND($C$7="Y",B113&lt;C$4),C113,AND($C$7="Y",B113=C$4),D112+F113-J113-K113-L113+N113,AND($C$7="Y",B113&gt;$C$4),D112-J113-K113-L113+N113, TRUE, D112-J113-K113-L113+N113)</f>
        <v>#DIV/0!</v>
      </c>
      <c r="E113" s="48">
        <f t="shared" si="35"/>
        <v>0</v>
      </c>
      <c r="F113" s="50">
        <f t="shared" si="36"/>
        <v>0</v>
      </c>
      <c r="G113" s="50">
        <f t="shared" si="43"/>
        <v>0</v>
      </c>
      <c r="H113" s="51" t="e">
        <f t="shared" si="44"/>
        <v>#DIV/0!</v>
      </c>
      <c r="I113" s="52" t="e">
        <f t="shared" si="30"/>
        <v>#DIV/0!</v>
      </c>
      <c r="J113" s="52" t="e">
        <f t="shared" si="31"/>
        <v>#DIV/0!</v>
      </c>
      <c r="K113" s="51" t="e">
        <f t="shared" si="41"/>
        <v>#DIV/0!</v>
      </c>
      <c r="L113" s="49" t="e">
        <f t="shared" si="37"/>
        <v>#DIV/0!</v>
      </c>
      <c r="M113" s="49">
        <f t="shared" si="46"/>
        <v>0</v>
      </c>
      <c r="N113" s="49">
        <f t="shared" si="45"/>
        <v>0</v>
      </c>
      <c r="O113" s="48" t="e">
        <f t="shared" si="32"/>
        <v>#DIV/0!</v>
      </c>
      <c r="P113" s="38" t="e">
        <f t="shared" si="28"/>
        <v>#DIV/0!</v>
      </c>
      <c r="Q113" s="53"/>
      <c r="R113" s="53">
        <f t="shared" si="38"/>
        <v>0.12</v>
      </c>
      <c r="S113" s="53">
        <f t="shared" si="39"/>
        <v>1.0596241035318976E-2</v>
      </c>
      <c r="T113" s="53">
        <f t="shared" si="40"/>
        <v>0</v>
      </c>
      <c r="U113" s="53">
        <f t="shared" si="42"/>
        <v>0</v>
      </c>
    </row>
    <row r="114" spans="1:21" x14ac:dyDescent="0.2">
      <c r="A114" s="62" t="e">
        <f t="shared" si="29"/>
        <v>#DIV/0!</v>
      </c>
      <c r="B114" s="45">
        <f t="shared" si="33"/>
        <v>100</v>
      </c>
      <c r="C114" s="51" t="e">
        <f t="shared" si="34"/>
        <v>#DIV/0!</v>
      </c>
      <c r="D114" s="47" t="e" cm="1">
        <f t="array" ref="D114">_xlfn.IFS(AND($C$7="Y",B114&lt;C$4),C114,AND($C$7="Y",B114=C$4),D113+F114-J114-K114-L114+N114,AND($C$7="Y",B114&gt;$C$4),D113-J114-K114-L114+N114, TRUE, D113-J114-K114-L114+N114)</f>
        <v>#DIV/0!</v>
      </c>
      <c r="E114" s="48">
        <f t="shared" si="35"/>
        <v>0</v>
      </c>
      <c r="F114" s="50">
        <f t="shared" si="36"/>
        <v>0</v>
      </c>
      <c r="G114" s="50">
        <f t="shared" si="43"/>
        <v>0</v>
      </c>
      <c r="H114" s="51" t="e">
        <f t="shared" si="44"/>
        <v>#DIV/0!</v>
      </c>
      <c r="I114" s="52" t="e">
        <f t="shared" si="30"/>
        <v>#DIV/0!</v>
      </c>
      <c r="J114" s="52" t="e">
        <f t="shared" si="31"/>
        <v>#DIV/0!</v>
      </c>
      <c r="K114" s="51" t="e">
        <f t="shared" si="41"/>
        <v>#DIV/0!</v>
      </c>
      <c r="L114" s="49" t="e">
        <f t="shared" si="37"/>
        <v>#DIV/0!</v>
      </c>
      <c r="M114" s="49">
        <f t="shared" si="46"/>
        <v>0</v>
      </c>
      <c r="N114" s="49">
        <f t="shared" si="45"/>
        <v>0</v>
      </c>
      <c r="O114" s="48" t="e">
        <f t="shared" si="32"/>
        <v>#DIV/0!</v>
      </c>
      <c r="P114" s="38" t="e">
        <f t="shared" si="28"/>
        <v>#DIV/0!</v>
      </c>
      <c r="Q114" s="53"/>
      <c r="R114" s="53">
        <f t="shared" si="38"/>
        <v>0.12</v>
      </c>
      <c r="S114" s="53">
        <f t="shared" si="39"/>
        <v>1.0596241035318976E-2</v>
      </c>
      <c r="T114" s="53">
        <f t="shared" si="40"/>
        <v>0</v>
      </c>
      <c r="U114" s="53">
        <f t="shared" si="42"/>
        <v>0</v>
      </c>
    </row>
    <row r="115" spans="1:21" x14ac:dyDescent="0.2">
      <c r="A115" s="62" t="e">
        <f t="shared" si="29"/>
        <v>#DIV/0!</v>
      </c>
      <c r="B115" s="45">
        <f t="shared" si="33"/>
        <v>101</v>
      </c>
      <c r="C115" s="51" t="e">
        <f t="shared" si="34"/>
        <v>#DIV/0!</v>
      </c>
      <c r="D115" s="47" t="e" cm="1">
        <f t="array" ref="D115">_xlfn.IFS(AND($C$7="Y",B115&lt;C$4),C115,AND($C$7="Y",B115=C$4),D114+F115-J115-K115-L115+N115,AND($C$7="Y",B115&gt;$C$4),D114-J115-K115-L115+N115, TRUE, D114-J115-K115-L115+N115)</f>
        <v>#DIV/0!</v>
      </c>
      <c r="E115" s="48">
        <f t="shared" si="35"/>
        <v>0</v>
      </c>
      <c r="F115" s="50">
        <f t="shared" si="36"/>
        <v>0</v>
      </c>
      <c r="G115" s="50">
        <f t="shared" si="43"/>
        <v>0</v>
      </c>
      <c r="H115" s="51" t="e">
        <f t="shared" si="44"/>
        <v>#DIV/0!</v>
      </c>
      <c r="I115" s="52" t="e">
        <f t="shared" si="30"/>
        <v>#DIV/0!</v>
      </c>
      <c r="J115" s="52" t="e">
        <f t="shared" si="31"/>
        <v>#DIV/0!</v>
      </c>
      <c r="K115" s="51" t="e">
        <f t="shared" si="41"/>
        <v>#DIV/0!</v>
      </c>
      <c r="L115" s="49" t="e">
        <f t="shared" si="37"/>
        <v>#DIV/0!</v>
      </c>
      <c r="M115" s="49">
        <f t="shared" si="46"/>
        <v>0</v>
      </c>
      <c r="N115" s="49">
        <f t="shared" si="45"/>
        <v>0</v>
      </c>
      <c r="O115" s="48" t="e">
        <f t="shared" si="32"/>
        <v>#DIV/0!</v>
      </c>
      <c r="P115" s="38" t="e">
        <f t="shared" si="28"/>
        <v>#DIV/0!</v>
      </c>
      <c r="Q115" s="53"/>
      <c r="R115" s="53">
        <f t="shared" si="38"/>
        <v>0.12</v>
      </c>
      <c r="S115" s="53">
        <f t="shared" si="39"/>
        <v>1.0596241035318976E-2</v>
      </c>
      <c r="T115" s="53">
        <f t="shared" si="40"/>
        <v>0</v>
      </c>
      <c r="U115" s="53">
        <f t="shared" si="42"/>
        <v>0</v>
      </c>
    </row>
    <row r="116" spans="1:21" x14ac:dyDescent="0.2">
      <c r="A116" s="62" t="e">
        <f t="shared" si="29"/>
        <v>#DIV/0!</v>
      </c>
      <c r="B116" s="45">
        <f t="shared" si="33"/>
        <v>102</v>
      </c>
      <c r="C116" s="51" t="e">
        <f t="shared" si="34"/>
        <v>#DIV/0!</v>
      </c>
      <c r="D116" s="47" t="e" cm="1">
        <f t="array" ref="D116">_xlfn.IFS(AND($C$7="Y",B116&lt;C$4),C116,AND($C$7="Y",B116=C$4),D115+F116-J116-K116-L116+N116,AND($C$7="Y",B116&gt;$C$4),D115-J116-K116-L116+N116, TRUE, D115-J116-K116-L116+N116)</f>
        <v>#DIV/0!</v>
      </c>
      <c r="E116" s="48">
        <f t="shared" si="35"/>
        <v>0</v>
      </c>
      <c r="F116" s="50">
        <f t="shared" si="36"/>
        <v>0</v>
      </c>
      <c r="G116" s="50">
        <f t="shared" si="43"/>
        <v>0</v>
      </c>
      <c r="H116" s="51" t="e">
        <f t="shared" si="44"/>
        <v>#DIV/0!</v>
      </c>
      <c r="I116" s="52" t="e">
        <f t="shared" si="30"/>
        <v>#DIV/0!</v>
      </c>
      <c r="J116" s="52" t="e">
        <f t="shared" si="31"/>
        <v>#DIV/0!</v>
      </c>
      <c r="K116" s="51" t="e">
        <f t="shared" si="41"/>
        <v>#DIV/0!</v>
      </c>
      <c r="L116" s="49" t="e">
        <f t="shared" si="37"/>
        <v>#DIV/0!</v>
      </c>
      <c r="M116" s="49">
        <f t="shared" si="46"/>
        <v>0</v>
      </c>
      <c r="N116" s="49">
        <f t="shared" si="45"/>
        <v>0</v>
      </c>
      <c r="O116" s="48" t="e">
        <f t="shared" si="32"/>
        <v>#DIV/0!</v>
      </c>
      <c r="P116" s="38" t="e">
        <f t="shared" si="28"/>
        <v>#DIV/0!</v>
      </c>
      <c r="Q116" s="53"/>
      <c r="R116" s="53">
        <f t="shared" si="38"/>
        <v>0.12</v>
      </c>
      <c r="S116" s="53">
        <f t="shared" si="39"/>
        <v>1.0596241035318976E-2</v>
      </c>
      <c r="T116" s="53">
        <f t="shared" si="40"/>
        <v>0</v>
      </c>
      <c r="U116" s="53">
        <f t="shared" si="42"/>
        <v>0</v>
      </c>
    </row>
    <row r="117" spans="1:21" x14ac:dyDescent="0.2">
      <c r="A117" s="62" t="e">
        <f t="shared" si="29"/>
        <v>#DIV/0!</v>
      </c>
      <c r="B117" s="45">
        <f t="shared" si="33"/>
        <v>103</v>
      </c>
      <c r="C117" s="51" t="e">
        <f t="shared" si="34"/>
        <v>#DIV/0!</v>
      </c>
      <c r="D117" s="47" t="e" cm="1">
        <f t="array" ref="D117">_xlfn.IFS(AND($C$7="Y",B117&lt;C$4),C117,AND($C$7="Y",B117=C$4),D116+F117-J117-K117-L117+N117,AND($C$7="Y",B117&gt;$C$4),D116-J117-K117-L117+N117, TRUE, D116-J117-K117-L117+N117)</f>
        <v>#DIV/0!</v>
      </c>
      <c r="E117" s="48">
        <f t="shared" si="35"/>
        <v>0</v>
      </c>
      <c r="F117" s="50">
        <f t="shared" si="36"/>
        <v>0</v>
      </c>
      <c r="G117" s="50">
        <f t="shared" si="43"/>
        <v>0</v>
      </c>
      <c r="H117" s="51" t="e">
        <f t="shared" si="44"/>
        <v>#DIV/0!</v>
      </c>
      <c r="I117" s="52" t="e">
        <f t="shared" si="30"/>
        <v>#DIV/0!</v>
      </c>
      <c r="J117" s="52" t="e">
        <f t="shared" si="31"/>
        <v>#DIV/0!</v>
      </c>
      <c r="K117" s="51" t="e">
        <f t="shared" si="41"/>
        <v>#DIV/0!</v>
      </c>
      <c r="L117" s="49" t="e">
        <f t="shared" si="37"/>
        <v>#DIV/0!</v>
      </c>
      <c r="M117" s="49">
        <f t="shared" si="46"/>
        <v>0</v>
      </c>
      <c r="N117" s="49">
        <f t="shared" si="45"/>
        <v>0</v>
      </c>
      <c r="O117" s="48" t="e">
        <f t="shared" si="32"/>
        <v>#DIV/0!</v>
      </c>
      <c r="P117" s="38" t="e">
        <f t="shared" si="28"/>
        <v>#DIV/0!</v>
      </c>
      <c r="Q117" s="53"/>
      <c r="R117" s="53">
        <f t="shared" si="38"/>
        <v>0.12</v>
      </c>
      <c r="S117" s="53">
        <f t="shared" si="39"/>
        <v>1.0596241035318976E-2</v>
      </c>
      <c r="T117" s="53">
        <f t="shared" si="40"/>
        <v>0</v>
      </c>
      <c r="U117" s="53">
        <f t="shared" si="42"/>
        <v>0</v>
      </c>
    </row>
    <row r="118" spans="1:21" x14ac:dyDescent="0.2">
      <c r="A118" s="62" t="e">
        <f t="shared" si="29"/>
        <v>#DIV/0!</v>
      </c>
      <c r="B118" s="45">
        <f t="shared" si="33"/>
        <v>104</v>
      </c>
      <c r="C118" s="51" t="e">
        <f t="shared" si="34"/>
        <v>#DIV/0!</v>
      </c>
      <c r="D118" s="47" t="e" cm="1">
        <f t="array" ref="D118">_xlfn.IFS(AND($C$7="Y",B118&lt;C$4),C118,AND($C$7="Y",B118=C$4),D117+F118-J118-K118-L118+N118,AND($C$7="Y",B118&gt;$C$4),D117-J118-K118-L118+N118, TRUE, D117-J118-K118-L118+N118)</f>
        <v>#DIV/0!</v>
      </c>
      <c r="E118" s="48">
        <f t="shared" si="35"/>
        <v>0</v>
      </c>
      <c r="F118" s="50">
        <f t="shared" si="36"/>
        <v>0</v>
      </c>
      <c r="G118" s="50">
        <f t="shared" si="43"/>
        <v>0</v>
      </c>
      <c r="H118" s="51" t="e">
        <f t="shared" si="44"/>
        <v>#DIV/0!</v>
      </c>
      <c r="I118" s="52" t="e">
        <f t="shared" si="30"/>
        <v>#DIV/0!</v>
      </c>
      <c r="J118" s="52" t="e">
        <f t="shared" si="31"/>
        <v>#DIV/0!</v>
      </c>
      <c r="K118" s="51" t="e">
        <f t="shared" si="41"/>
        <v>#DIV/0!</v>
      </c>
      <c r="L118" s="49" t="e">
        <f t="shared" si="37"/>
        <v>#DIV/0!</v>
      </c>
      <c r="M118" s="49">
        <f t="shared" si="46"/>
        <v>0</v>
      </c>
      <c r="N118" s="49">
        <f t="shared" si="45"/>
        <v>0</v>
      </c>
      <c r="O118" s="48" t="e">
        <f t="shared" si="32"/>
        <v>#DIV/0!</v>
      </c>
      <c r="P118" s="38" t="e">
        <f t="shared" si="28"/>
        <v>#DIV/0!</v>
      </c>
      <c r="Q118" s="53"/>
      <c r="R118" s="53">
        <f t="shared" si="38"/>
        <v>0.12</v>
      </c>
      <c r="S118" s="53">
        <f t="shared" si="39"/>
        <v>1.0596241035318976E-2</v>
      </c>
      <c r="T118" s="53">
        <f t="shared" si="40"/>
        <v>0</v>
      </c>
      <c r="U118" s="53">
        <f t="shared" si="42"/>
        <v>0</v>
      </c>
    </row>
    <row r="119" spans="1:21" x14ac:dyDescent="0.2">
      <c r="A119" s="62" t="e">
        <f t="shared" si="29"/>
        <v>#DIV/0!</v>
      </c>
      <c r="B119" s="45">
        <f t="shared" si="33"/>
        <v>105</v>
      </c>
      <c r="C119" s="51" t="e">
        <f t="shared" si="34"/>
        <v>#DIV/0!</v>
      </c>
      <c r="D119" s="47" t="e" cm="1">
        <f t="array" ref="D119">_xlfn.IFS(AND($C$7="Y",B119&lt;C$4),C119,AND($C$7="Y",B119=C$4),D118+F119-J119-K119-L119+N119,AND($C$7="Y",B119&gt;$C$4),D118-J119-K119-L119+N119, TRUE, D118-J119-K119-L119+N119)</f>
        <v>#DIV/0!</v>
      </c>
      <c r="E119" s="48">
        <f t="shared" si="35"/>
        <v>0</v>
      </c>
      <c r="F119" s="50">
        <f t="shared" si="36"/>
        <v>0</v>
      </c>
      <c r="G119" s="50">
        <f t="shared" si="43"/>
        <v>0</v>
      </c>
      <c r="H119" s="51" t="e">
        <f t="shared" si="44"/>
        <v>#DIV/0!</v>
      </c>
      <c r="I119" s="52" t="e">
        <f t="shared" si="30"/>
        <v>#DIV/0!</v>
      </c>
      <c r="J119" s="52" t="e">
        <f t="shared" si="31"/>
        <v>#DIV/0!</v>
      </c>
      <c r="K119" s="51" t="e">
        <f t="shared" si="41"/>
        <v>#DIV/0!</v>
      </c>
      <c r="L119" s="49" t="e">
        <f t="shared" si="37"/>
        <v>#DIV/0!</v>
      </c>
      <c r="M119" s="49">
        <f t="shared" si="46"/>
        <v>0</v>
      </c>
      <c r="N119" s="49">
        <f t="shared" si="45"/>
        <v>0</v>
      </c>
      <c r="O119" s="48" t="e">
        <f t="shared" si="32"/>
        <v>#DIV/0!</v>
      </c>
      <c r="P119" s="38" t="e">
        <f t="shared" si="28"/>
        <v>#DIV/0!</v>
      </c>
      <c r="Q119" s="53"/>
      <c r="R119" s="53">
        <f t="shared" si="38"/>
        <v>0.12</v>
      </c>
      <c r="S119" s="53">
        <f t="shared" si="39"/>
        <v>1.0596241035318976E-2</v>
      </c>
      <c r="T119" s="53">
        <f t="shared" si="40"/>
        <v>0</v>
      </c>
      <c r="U119" s="53">
        <f t="shared" si="42"/>
        <v>0</v>
      </c>
    </row>
    <row r="120" spans="1:21" x14ac:dyDescent="0.2">
      <c r="A120" s="62" t="e">
        <f t="shared" si="29"/>
        <v>#DIV/0!</v>
      </c>
      <c r="B120" s="45">
        <f t="shared" si="33"/>
        <v>106</v>
      </c>
      <c r="C120" s="51" t="e">
        <f t="shared" si="34"/>
        <v>#DIV/0!</v>
      </c>
      <c r="D120" s="47" t="e" cm="1">
        <f t="array" ref="D120">_xlfn.IFS(AND($C$7="Y",B120&lt;C$4),C120,AND($C$7="Y",B120=C$4),D119+F120-J120-K120-L120+N120,AND($C$7="Y",B120&gt;$C$4),D119-J120-K120-L120+N120, TRUE, D119-J120-K120-L120+N120)</f>
        <v>#DIV/0!</v>
      </c>
      <c r="E120" s="48">
        <f t="shared" si="35"/>
        <v>0</v>
      </c>
      <c r="F120" s="50">
        <f t="shared" si="36"/>
        <v>0</v>
      </c>
      <c r="G120" s="50">
        <f t="shared" si="43"/>
        <v>0</v>
      </c>
      <c r="H120" s="51" t="e">
        <f t="shared" si="44"/>
        <v>#DIV/0!</v>
      </c>
      <c r="I120" s="52" t="e">
        <f t="shared" si="30"/>
        <v>#DIV/0!</v>
      </c>
      <c r="J120" s="52" t="e">
        <f t="shared" si="31"/>
        <v>#DIV/0!</v>
      </c>
      <c r="K120" s="51" t="e">
        <f t="shared" si="41"/>
        <v>#DIV/0!</v>
      </c>
      <c r="L120" s="49" t="e">
        <f t="shared" si="37"/>
        <v>#DIV/0!</v>
      </c>
      <c r="M120" s="49">
        <f t="shared" si="46"/>
        <v>0</v>
      </c>
      <c r="N120" s="49">
        <f t="shared" si="45"/>
        <v>0</v>
      </c>
      <c r="O120" s="48" t="e">
        <f t="shared" si="32"/>
        <v>#DIV/0!</v>
      </c>
      <c r="P120" s="38" t="e">
        <f t="shared" si="28"/>
        <v>#DIV/0!</v>
      </c>
      <c r="Q120" s="53"/>
      <c r="R120" s="53">
        <f t="shared" si="38"/>
        <v>0.12</v>
      </c>
      <c r="S120" s="53">
        <f t="shared" si="39"/>
        <v>1.0596241035318976E-2</v>
      </c>
      <c r="T120" s="53">
        <f t="shared" si="40"/>
        <v>0</v>
      </c>
      <c r="U120" s="53">
        <f t="shared" si="42"/>
        <v>0</v>
      </c>
    </row>
    <row r="121" spans="1:21" x14ac:dyDescent="0.2">
      <c r="A121" s="62" t="e">
        <f t="shared" si="29"/>
        <v>#DIV/0!</v>
      </c>
      <c r="B121" s="45">
        <f t="shared" si="33"/>
        <v>107</v>
      </c>
      <c r="C121" s="51" t="e">
        <f t="shared" si="34"/>
        <v>#DIV/0!</v>
      </c>
      <c r="D121" s="47" t="e" cm="1">
        <f t="array" ref="D121">_xlfn.IFS(AND($C$7="Y",B121&lt;C$4),C121,AND($C$7="Y",B121=C$4),D120+F121-J121-K121-L121+N121,AND($C$7="Y",B121&gt;$C$4),D120-J121-K121-L121+N121, TRUE, D120-J121-K121-L121+N121)</f>
        <v>#DIV/0!</v>
      </c>
      <c r="E121" s="48">
        <f t="shared" si="35"/>
        <v>0</v>
      </c>
      <c r="F121" s="50">
        <f t="shared" si="36"/>
        <v>0</v>
      </c>
      <c r="G121" s="50">
        <f t="shared" si="43"/>
        <v>0</v>
      </c>
      <c r="H121" s="51" t="e">
        <f t="shared" si="44"/>
        <v>#DIV/0!</v>
      </c>
      <c r="I121" s="52" t="e">
        <f t="shared" si="30"/>
        <v>#DIV/0!</v>
      </c>
      <c r="J121" s="52" t="e">
        <f t="shared" si="31"/>
        <v>#DIV/0!</v>
      </c>
      <c r="K121" s="51" t="e">
        <f t="shared" si="41"/>
        <v>#DIV/0!</v>
      </c>
      <c r="L121" s="49" t="e">
        <f t="shared" si="37"/>
        <v>#DIV/0!</v>
      </c>
      <c r="M121" s="49">
        <f t="shared" si="46"/>
        <v>0</v>
      </c>
      <c r="N121" s="49">
        <f t="shared" si="45"/>
        <v>0</v>
      </c>
      <c r="O121" s="48" t="e">
        <f t="shared" si="32"/>
        <v>#DIV/0!</v>
      </c>
      <c r="P121" s="38" t="e">
        <f t="shared" si="28"/>
        <v>#DIV/0!</v>
      </c>
      <c r="Q121" s="53"/>
      <c r="R121" s="53">
        <f t="shared" si="38"/>
        <v>0.12</v>
      </c>
      <c r="S121" s="53">
        <f t="shared" si="39"/>
        <v>1.0596241035318976E-2</v>
      </c>
      <c r="T121" s="53">
        <f t="shared" si="40"/>
        <v>0</v>
      </c>
      <c r="U121" s="53">
        <f t="shared" si="42"/>
        <v>0</v>
      </c>
    </row>
    <row r="122" spans="1:21" x14ac:dyDescent="0.2">
      <c r="A122" s="62" t="e">
        <f t="shared" si="29"/>
        <v>#DIV/0!</v>
      </c>
      <c r="B122" s="45">
        <f t="shared" si="33"/>
        <v>108</v>
      </c>
      <c r="C122" s="51" t="e">
        <f t="shared" si="34"/>
        <v>#DIV/0!</v>
      </c>
      <c r="D122" s="47" t="e" cm="1">
        <f t="array" ref="D122">_xlfn.IFS(AND($C$7="Y",B122&lt;C$4),C122,AND($C$7="Y",B122=C$4),D121+F122-J122-K122-L122+N122,AND($C$7="Y",B122&gt;$C$4),D121-J122-K122-L122+N122, TRUE, D121-J122-K122-L122+N122)</f>
        <v>#DIV/0!</v>
      </c>
      <c r="E122" s="48">
        <f t="shared" si="35"/>
        <v>0</v>
      </c>
      <c r="F122" s="50">
        <f t="shared" si="36"/>
        <v>0</v>
      </c>
      <c r="G122" s="50">
        <f t="shared" si="43"/>
        <v>0</v>
      </c>
      <c r="H122" s="51" t="e">
        <f t="shared" si="44"/>
        <v>#DIV/0!</v>
      </c>
      <c r="I122" s="52" t="e">
        <f t="shared" si="30"/>
        <v>#DIV/0!</v>
      </c>
      <c r="J122" s="52" t="e">
        <f t="shared" si="31"/>
        <v>#DIV/0!</v>
      </c>
      <c r="K122" s="51" t="e">
        <f t="shared" si="41"/>
        <v>#DIV/0!</v>
      </c>
      <c r="L122" s="49" t="e">
        <f t="shared" si="37"/>
        <v>#DIV/0!</v>
      </c>
      <c r="M122" s="49">
        <f t="shared" si="46"/>
        <v>0</v>
      </c>
      <c r="N122" s="49">
        <f t="shared" si="45"/>
        <v>0</v>
      </c>
      <c r="O122" s="48" t="e">
        <f t="shared" si="32"/>
        <v>#DIV/0!</v>
      </c>
      <c r="P122" s="38" t="e">
        <f t="shared" si="28"/>
        <v>#DIV/0!</v>
      </c>
      <c r="Q122" s="53"/>
      <c r="R122" s="53">
        <f t="shared" si="38"/>
        <v>0.12</v>
      </c>
      <c r="S122" s="53">
        <f t="shared" si="39"/>
        <v>1.0596241035318976E-2</v>
      </c>
      <c r="T122" s="53">
        <f t="shared" si="40"/>
        <v>0</v>
      </c>
      <c r="U122" s="53">
        <f t="shared" si="42"/>
        <v>0</v>
      </c>
    </row>
    <row r="123" spans="1:21" x14ac:dyDescent="0.2">
      <c r="A123" s="62" t="e">
        <f t="shared" si="29"/>
        <v>#DIV/0!</v>
      </c>
      <c r="B123" s="45">
        <f t="shared" si="33"/>
        <v>109</v>
      </c>
      <c r="C123" s="51" t="e">
        <f t="shared" si="34"/>
        <v>#DIV/0!</v>
      </c>
      <c r="D123" s="47" t="e" cm="1">
        <f t="array" ref="D123">_xlfn.IFS(AND($C$7="Y",B123&lt;C$4),C123,AND($C$7="Y",B123=C$4),D122+F123-J123-K123-L123+N123,AND($C$7="Y",B123&gt;$C$4),D122-J123-K123-L123+N123, TRUE, D122-J123-K123-L123+N123)</f>
        <v>#DIV/0!</v>
      </c>
      <c r="E123" s="48">
        <f t="shared" si="35"/>
        <v>0</v>
      </c>
      <c r="F123" s="50">
        <f t="shared" si="36"/>
        <v>0</v>
      </c>
      <c r="G123" s="50">
        <f t="shared" si="43"/>
        <v>0</v>
      </c>
      <c r="H123" s="51" t="e">
        <f t="shared" si="44"/>
        <v>#DIV/0!</v>
      </c>
      <c r="I123" s="52" t="e">
        <f t="shared" si="30"/>
        <v>#DIV/0!</v>
      </c>
      <c r="J123" s="52" t="e">
        <f t="shared" si="31"/>
        <v>#DIV/0!</v>
      </c>
      <c r="K123" s="51" t="e">
        <f t="shared" si="41"/>
        <v>#DIV/0!</v>
      </c>
      <c r="L123" s="49" t="e">
        <f t="shared" si="37"/>
        <v>#DIV/0!</v>
      </c>
      <c r="M123" s="49">
        <f t="shared" si="46"/>
        <v>0</v>
      </c>
      <c r="N123" s="49">
        <f t="shared" si="45"/>
        <v>0</v>
      </c>
      <c r="O123" s="48" t="e">
        <f t="shared" si="32"/>
        <v>#DIV/0!</v>
      </c>
      <c r="P123" s="38" t="e">
        <f t="shared" si="28"/>
        <v>#DIV/0!</v>
      </c>
      <c r="Q123" s="53"/>
      <c r="R123" s="53">
        <f t="shared" si="38"/>
        <v>0.12</v>
      </c>
      <c r="S123" s="53">
        <f t="shared" si="39"/>
        <v>1.0596241035318976E-2</v>
      </c>
      <c r="T123" s="53">
        <f t="shared" si="40"/>
        <v>0</v>
      </c>
      <c r="U123" s="53">
        <f t="shared" si="42"/>
        <v>0</v>
      </c>
    </row>
    <row r="124" spans="1:21" x14ac:dyDescent="0.2">
      <c r="A124" s="62" t="e">
        <f t="shared" si="29"/>
        <v>#DIV/0!</v>
      </c>
      <c r="B124" s="45">
        <f t="shared" si="33"/>
        <v>110</v>
      </c>
      <c r="C124" s="51" t="e">
        <f t="shared" si="34"/>
        <v>#DIV/0!</v>
      </c>
      <c r="D124" s="47" t="e" cm="1">
        <f t="array" ref="D124">_xlfn.IFS(AND($C$7="Y",B124&lt;C$4),C124,AND($C$7="Y",B124=C$4),D123+F124-J124-K124-L124+N124,AND($C$7="Y",B124&gt;$C$4),D123-J124-K124-L124+N124, TRUE, D123-J124-K124-L124+N124)</f>
        <v>#DIV/0!</v>
      </c>
      <c r="E124" s="48">
        <f t="shared" si="35"/>
        <v>0</v>
      </c>
      <c r="F124" s="50">
        <f t="shared" si="36"/>
        <v>0</v>
      </c>
      <c r="G124" s="50">
        <f t="shared" si="43"/>
        <v>0</v>
      </c>
      <c r="H124" s="51" t="e">
        <f t="shared" si="44"/>
        <v>#DIV/0!</v>
      </c>
      <c r="I124" s="52" t="e">
        <f t="shared" si="30"/>
        <v>#DIV/0!</v>
      </c>
      <c r="J124" s="52" t="e">
        <f t="shared" si="31"/>
        <v>#DIV/0!</v>
      </c>
      <c r="K124" s="51" t="e">
        <f t="shared" si="41"/>
        <v>#DIV/0!</v>
      </c>
      <c r="L124" s="49" t="e">
        <f t="shared" si="37"/>
        <v>#DIV/0!</v>
      </c>
      <c r="M124" s="49">
        <f t="shared" si="46"/>
        <v>0</v>
      </c>
      <c r="N124" s="49">
        <f t="shared" si="45"/>
        <v>0</v>
      </c>
      <c r="O124" s="48" t="e">
        <f t="shared" si="32"/>
        <v>#DIV/0!</v>
      </c>
      <c r="P124" s="38" t="e">
        <f t="shared" si="28"/>
        <v>#DIV/0!</v>
      </c>
      <c r="Q124" s="53"/>
      <c r="R124" s="53">
        <f t="shared" si="38"/>
        <v>0.12</v>
      </c>
      <c r="S124" s="53">
        <f t="shared" si="39"/>
        <v>1.0596241035318976E-2</v>
      </c>
      <c r="T124" s="53">
        <f t="shared" si="40"/>
        <v>0</v>
      </c>
      <c r="U124" s="53">
        <f t="shared" si="42"/>
        <v>0</v>
      </c>
    </row>
    <row r="125" spans="1:21" x14ac:dyDescent="0.2">
      <c r="A125" s="62" t="e">
        <f t="shared" si="29"/>
        <v>#DIV/0!</v>
      </c>
      <c r="B125" s="45">
        <f t="shared" si="33"/>
        <v>111</v>
      </c>
      <c r="C125" s="51" t="e">
        <f t="shared" si="34"/>
        <v>#DIV/0!</v>
      </c>
      <c r="D125" s="47" t="e" cm="1">
        <f t="array" ref="D125">_xlfn.IFS(AND($C$7="Y",B125&lt;C$4),C125,AND($C$7="Y",B125=C$4),D124+F125-J125-K125-L125+N125,AND($C$7="Y",B125&gt;$C$4),D124-J125-K125-L125+N125, TRUE, D124-J125-K125-L125+N125)</f>
        <v>#DIV/0!</v>
      </c>
      <c r="E125" s="48">
        <f t="shared" si="35"/>
        <v>0</v>
      </c>
      <c r="F125" s="50">
        <f t="shared" si="36"/>
        <v>0</v>
      </c>
      <c r="G125" s="50">
        <f t="shared" si="43"/>
        <v>0</v>
      </c>
      <c r="H125" s="51" t="e">
        <f t="shared" si="44"/>
        <v>#DIV/0!</v>
      </c>
      <c r="I125" s="52" t="e">
        <f t="shared" si="30"/>
        <v>#DIV/0!</v>
      </c>
      <c r="J125" s="52" t="e">
        <f t="shared" si="31"/>
        <v>#DIV/0!</v>
      </c>
      <c r="K125" s="51" t="e">
        <f t="shared" si="41"/>
        <v>#DIV/0!</v>
      </c>
      <c r="L125" s="49" t="e">
        <f t="shared" si="37"/>
        <v>#DIV/0!</v>
      </c>
      <c r="M125" s="49">
        <f t="shared" si="46"/>
        <v>0</v>
      </c>
      <c r="N125" s="49">
        <f t="shared" si="45"/>
        <v>0</v>
      </c>
      <c r="O125" s="48" t="e">
        <f t="shared" si="32"/>
        <v>#DIV/0!</v>
      </c>
      <c r="P125" s="38" t="e">
        <f t="shared" si="28"/>
        <v>#DIV/0!</v>
      </c>
      <c r="Q125" s="53"/>
      <c r="R125" s="53">
        <f t="shared" si="38"/>
        <v>0.12</v>
      </c>
      <c r="S125" s="53">
        <f t="shared" si="39"/>
        <v>1.0596241035318976E-2</v>
      </c>
      <c r="T125" s="53">
        <f t="shared" si="40"/>
        <v>0</v>
      </c>
      <c r="U125" s="53">
        <f t="shared" si="42"/>
        <v>0</v>
      </c>
    </row>
    <row r="126" spans="1:21" x14ac:dyDescent="0.2">
      <c r="A126" s="62" t="e">
        <f t="shared" si="29"/>
        <v>#DIV/0!</v>
      </c>
      <c r="B126" s="45">
        <f t="shared" si="33"/>
        <v>112</v>
      </c>
      <c r="C126" s="51" t="e">
        <f t="shared" si="34"/>
        <v>#DIV/0!</v>
      </c>
      <c r="D126" s="47" t="e" cm="1">
        <f t="array" ref="D126">_xlfn.IFS(AND($C$7="Y",B126&lt;C$4),C126,AND($C$7="Y",B126=C$4),D125+F126-J126-K126-L126+N126,AND($C$7="Y",B126&gt;$C$4),D125-J126-K126-L126+N126, TRUE, D125-J126-K126-L126+N126)</f>
        <v>#DIV/0!</v>
      </c>
      <c r="E126" s="48">
        <f t="shared" si="35"/>
        <v>0</v>
      </c>
      <c r="F126" s="50">
        <f t="shared" si="36"/>
        <v>0</v>
      </c>
      <c r="G126" s="50">
        <f t="shared" si="43"/>
        <v>0</v>
      </c>
      <c r="H126" s="51" t="e">
        <f t="shared" si="44"/>
        <v>#DIV/0!</v>
      </c>
      <c r="I126" s="52" t="e">
        <f t="shared" si="30"/>
        <v>#DIV/0!</v>
      </c>
      <c r="J126" s="52" t="e">
        <f t="shared" si="31"/>
        <v>#DIV/0!</v>
      </c>
      <c r="K126" s="51" t="e">
        <f t="shared" si="41"/>
        <v>#DIV/0!</v>
      </c>
      <c r="L126" s="49" t="e">
        <f t="shared" si="37"/>
        <v>#DIV/0!</v>
      </c>
      <c r="M126" s="49">
        <f t="shared" si="46"/>
        <v>0</v>
      </c>
      <c r="N126" s="49">
        <f t="shared" si="45"/>
        <v>0</v>
      </c>
      <c r="O126" s="48" t="e">
        <f t="shared" si="32"/>
        <v>#DIV/0!</v>
      </c>
      <c r="P126" s="38" t="e">
        <f t="shared" si="28"/>
        <v>#DIV/0!</v>
      </c>
      <c r="Q126" s="53"/>
      <c r="R126" s="53">
        <f t="shared" si="38"/>
        <v>0.12</v>
      </c>
      <c r="S126" s="53">
        <f t="shared" si="39"/>
        <v>1.0596241035318976E-2</v>
      </c>
      <c r="T126" s="53">
        <f t="shared" si="40"/>
        <v>0</v>
      </c>
      <c r="U126" s="53">
        <f t="shared" si="42"/>
        <v>0</v>
      </c>
    </row>
    <row r="127" spans="1:21" x14ac:dyDescent="0.2">
      <c r="A127" s="62" t="e">
        <f t="shared" si="29"/>
        <v>#DIV/0!</v>
      </c>
      <c r="B127" s="45">
        <f t="shared" si="33"/>
        <v>113</v>
      </c>
      <c r="C127" s="51" t="e">
        <f t="shared" si="34"/>
        <v>#DIV/0!</v>
      </c>
      <c r="D127" s="47" t="e" cm="1">
        <f t="array" ref="D127">_xlfn.IFS(AND($C$7="Y",B127&lt;C$4),C127,AND($C$7="Y",B127=C$4),D126+F127-J127-K127-L127+N127,AND($C$7="Y",B127&gt;$C$4),D126-J127-K127-L127+N127, TRUE, D126-J127-K127-L127+N127)</f>
        <v>#DIV/0!</v>
      </c>
      <c r="E127" s="48">
        <f t="shared" si="35"/>
        <v>0</v>
      </c>
      <c r="F127" s="50">
        <f t="shared" si="36"/>
        <v>0</v>
      </c>
      <c r="G127" s="50">
        <f t="shared" si="43"/>
        <v>0</v>
      </c>
      <c r="H127" s="51" t="e">
        <f t="shared" si="44"/>
        <v>#DIV/0!</v>
      </c>
      <c r="I127" s="52" t="e">
        <f t="shared" si="30"/>
        <v>#DIV/0!</v>
      </c>
      <c r="J127" s="52" t="e">
        <f t="shared" si="31"/>
        <v>#DIV/0!</v>
      </c>
      <c r="K127" s="51" t="e">
        <f t="shared" si="41"/>
        <v>#DIV/0!</v>
      </c>
      <c r="L127" s="49" t="e">
        <f t="shared" si="37"/>
        <v>#DIV/0!</v>
      </c>
      <c r="M127" s="49">
        <f t="shared" si="46"/>
        <v>0</v>
      </c>
      <c r="N127" s="49">
        <f t="shared" si="45"/>
        <v>0</v>
      </c>
      <c r="O127" s="48" t="e">
        <f t="shared" si="32"/>
        <v>#DIV/0!</v>
      </c>
      <c r="P127" s="38" t="e">
        <f t="shared" si="28"/>
        <v>#DIV/0!</v>
      </c>
      <c r="Q127" s="53"/>
      <c r="R127" s="53">
        <f t="shared" si="38"/>
        <v>0.12</v>
      </c>
      <c r="S127" s="53">
        <f t="shared" si="39"/>
        <v>1.0596241035318976E-2</v>
      </c>
      <c r="T127" s="53">
        <f t="shared" si="40"/>
        <v>0</v>
      </c>
      <c r="U127" s="53">
        <f t="shared" si="42"/>
        <v>0</v>
      </c>
    </row>
    <row r="128" spans="1:21" x14ac:dyDescent="0.2">
      <c r="A128" s="62" t="e">
        <f t="shared" si="29"/>
        <v>#DIV/0!</v>
      </c>
      <c r="B128" s="45">
        <f t="shared" si="33"/>
        <v>114</v>
      </c>
      <c r="C128" s="51" t="e">
        <f t="shared" si="34"/>
        <v>#DIV/0!</v>
      </c>
      <c r="D128" s="47" t="e" cm="1">
        <f t="array" ref="D128">_xlfn.IFS(AND($C$7="Y",B128&lt;C$4),C128,AND($C$7="Y",B128=C$4),D127+F128-J128-K128-L128+N128,AND($C$7="Y",B128&gt;$C$4),D127-J128-K128-L128+N128, TRUE, D127-J128-K128-L128+N128)</f>
        <v>#DIV/0!</v>
      </c>
      <c r="E128" s="48">
        <f t="shared" si="35"/>
        <v>0</v>
      </c>
      <c r="F128" s="50">
        <f t="shared" si="36"/>
        <v>0</v>
      </c>
      <c r="G128" s="50">
        <f t="shared" si="43"/>
        <v>0</v>
      </c>
      <c r="H128" s="51" t="e">
        <f t="shared" si="44"/>
        <v>#DIV/0!</v>
      </c>
      <c r="I128" s="52" t="e">
        <f t="shared" si="30"/>
        <v>#DIV/0!</v>
      </c>
      <c r="J128" s="52" t="e">
        <f t="shared" si="31"/>
        <v>#DIV/0!</v>
      </c>
      <c r="K128" s="51" t="e">
        <f t="shared" si="41"/>
        <v>#DIV/0!</v>
      </c>
      <c r="L128" s="49" t="e">
        <f t="shared" si="37"/>
        <v>#DIV/0!</v>
      </c>
      <c r="M128" s="49">
        <f t="shared" si="46"/>
        <v>0</v>
      </c>
      <c r="N128" s="49">
        <f t="shared" si="45"/>
        <v>0</v>
      </c>
      <c r="O128" s="48" t="e">
        <f t="shared" si="32"/>
        <v>#DIV/0!</v>
      </c>
      <c r="P128" s="38" t="e">
        <f t="shared" si="28"/>
        <v>#DIV/0!</v>
      </c>
      <c r="Q128" s="53"/>
      <c r="R128" s="53">
        <f t="shared" si="38"/>
        <v>0.12</v>
      </c>
      <c r="S128" s="53">
        <f t="shared" si="39"/>
        <v>1.0596241035318976E-2</v>
      </c>
      <c r="T128" s="53">
        <f t="shared" si="40"/>
        <v>0</v>
      </c>
      <c r="U128" s="53">
        <f t="shared" si="42"/>
        <v>0</v>
      </c>
    </row>
    <row r="129" spans="1:21" x14ac:dyDescent="0.2">
      <c r="A129" s="62" t="e">
        <f t="shared" si="29"/>
        <v>#DIV/0!</v>
      </c>
      <c r="B129" s="45">
        <f t="shared" si="33"/>
        <v>115</v>
      </c>
      <c r="C129" s="51" t="e">
        <f t="shared" si="34"/>
        <v>#DIV/0!</v>
      </c>
      <c r="D129" s="47" t="e" cm="1">
        <f t="array" ref="D129">_xlfn.IFS(AND($C$7="Y",B129&lt;C$4),C129,AND($C$7="Y",B129=C$4),D128+F129-J129-K129-L129+N129,AND($C$7="Y",B129&gt;$C$4),D128-J129-K129-L129+N129, TRUE, D128-J129-K129-L129+N129)</f>
        <v>#DIV/0!</v>
      </c>
      <c r="E129" s="48">
        <f t="shared" si="35"/>
        <v>0</v>
      </c>
      <c r="F129" s="50">
        <f t="shared" si="36"/>
        <v>0</v>
      </c>
      <c r="G129" s="50">
        <f t="shared" si="43"/>
        <v>0</v>
      </c>
      <c r="H129" s="51" t="e">
        <f t="shared" si="44"/>
        <v>#DIV/0!</v>
      </c>
      <c r="I129" s="52" t="e">
        <f t="shared" si="30"/>
        <v>#DIV/0!</v>
      </c>
      <c r="J129" s="52" t="e">
        <f t="shared" si="31"/>
        <v>#DIV/0!</v>
      </c>
      <c r="K129" s="51" t="e">
        <f t="shared" si="41"/>
        <v>#DIV/0!</v>
      </c>
      <c r="L129" s="49" t="e">
        <f t="shared" si="37"/>
        <v>#DIV/0!</v>
      </c>
      <c r="M129" s="49">
        <f t="shared" si="46"/>
        <v>0</v>
      </c>
      <c r="N129" s="49">
        <f t="shared" si="45"/>
        <v>0</v>
      </c>
      <c r="O129" s="48" t="e">
        <f t="shared" si="32"/>
        <v>#DIV/0!</v>
      </c>
      <c r="P129" s="38" t="e">
        <f t="shared" si="28"/>
        <v>#DIV/0!</v>
      </c>
      <c r="Q129" s="53"/>
      <c r="R129" s="53">
        <f t="shared" si="38"/>
        <v>0.12</v>
      </c>
      <c r="S129" s="53">
        <f t="shared" si="39"/>
        <v>1.0596241035318976E-2</v>
      </c>
      <c r="T129" s="53">
        <f t="shared" si="40"/>
        <v>0</v>
      </c>
      <c r="U129" s="53">
        <f t="shared" si="42"/>
        <v>0</v>
      </c>
    </row>
    <row r="130" spans="1:21" x14ac:dyDescent="0.2">
      <c r="A130" s="62" t="e">
        <f t="shared" si="29"/>
        <v>#DIV/0!</v>
      </c>
      <c r="B130" s="45">
        <f t="shared" si="33"/>
        <v>116</v>
      </c>
      <c r="C130" s="51" t="e">
        <f t="shared" si="34"/>
        <v>#DIV/0!</v>
      </c>
      <c r="D130" s="47" t="e" cm="1">
        <f t="array" ref="D130">_xlfn.IFS(AND($C$7="Y",B130&lt;C$4),C130,AND($C$7="Y",B130=C$4),D129+F130-J130-K130-L130+N130,AND($C$7="Y",B130&gt;$C$4),D129-J130-K130-L130+N130, TRUE, D129-J130-K130-L130+N130)</f>
        <v>#DIV/0!</v>
      </c>
      <c r="E130" s="48">
        <f t="shared" si="35"/>
        <v>0</v>
      </c>
      <c r="F130" s="50">
        <f t="shared" si="36"/>
        <v>0</v>
      </c>
      <c r="G130" s="50">
        <f t="shared" si="43"/>
        <v>0</v>
      </c>
      <c r="H130" s="51" t="e">
        <f t="shared" si="44"/>
        <v>#DIV/0!</v>
      </c>
      <c r="I130" s="52" t="e">
        <f t="shared" si="30"/>
        <v>#DIV/0!</v>
      </c>
      <c r="J130" s="52" t="e">
        <f t="shared" si="31"/>
        <v>#DIV/0!</v>
      </c>
      <c r="K130" s="51" t="e">
        <f t="shared" si="41"/>
        <v>#DIV/0!</v>
      </c>
      <c r="L130" s="49" t="e">
        <f t="shared" si="37"/>
        <v>#DIV/0!</v>
      </c>
      <c r="M130" s="49">
        <f t="shared" si="46"/>
        <v>0</v>
      </c>
      <c r="N130" s="49">
        <f t="shared" si="45"/>
        <v>0</v>
      </c>
      <c r="O130" s="48" t="e">
        <f t="shared" si="32"/>
        <v>#DIV/0!</v>
      </c>
      <c r="P130" s="38" t="e">
        <f t="shared" si="28"/>
        <v>#DIV/0!</v>
      </c>
      <c r="Q130" s="53"/>
      <c r="R130" s="53">
        <f t="shared" si="38"/>
        <v>0.12</v>
      </c>
      <c r="S130" s="53">
        <f t="shared" si="39"/>
        <v>1.0596241035318976E-2</v>
      </c>
      <c r="T130" s="53">
        <f t="shared" si="40"/>
        <v>0</v>
      </c>
      <c r="U130" s="53">
        <f t="shared" si="42"/>
        <v>0</v>
      </c>
    </row>
    <row r="131" spans="1:21" x14ac:dyDescent="0.2">
      <c r="A131" s="62" t="e">
        <f t="shared" si="29"/>
        <v>#DIV/0!</v>
      </c>
      <c r="B131" s="45">
        <f t="shared" si="33"/>
        <v>117</v>
      </c>
      <c r="C131" s="51" t="e">
        <f t="shared" si="34"/>
        <v>#DIV/0!</v>
      </c>
      <c r="D131" s="47" t="e" cm="1">
        <f t="array" ref="D131">_xlfn.IFS(AND($C$7="Y",B131&lt;C$4),C131,AND($C$7="Y",B131=C$4),D130+F131-J131-K131-L131+N131,AND($C$7="Y",B131&gt;$C$4),D130-J131-K131-L131+N131, TRUE, D130-J131-K131-L131+N131)</f>
        <v>#DIV/0!</v>
      </c>
      <c r="E131" s="48">
        <f t="shared" si="35"/>
        <v>0</v>
      </c>
      <c r="F131" s="50">
        <f t="shared" si="36"/>
        <v>0</v>
      </c>
      <c r="G131" s="50">
        <f t="shared" si="43"/>
        <v>0</v>
      </c>
      <c r="H131" s="51" t="e">
        <f t="shared" si="44"/>
        <v>#DIV/0!</v>
      </c>
      <c r="I131" s="52" t="e">
        <f t="shared" si="30"/>
        <v>#DIV/0!</v>
      </c>
      <c r="J131" s="52" t="e">
        <f t="shared" si="31"/>
        <v>#DIV/0!</v>
      </c>
      <c r="K131" s="51" t="e">
        <f t="shared" si="41"/>
        <v>#DIV/0!</v>
      </c>
      <c r="L131" s="49" t="e">
        <f t="shared" si="37"/>
        <v>#DIV/0!</v>
      </c>
      <c r="M131" s="49">
        <f t="shared" si="46"/>
        <v>0</v>
      </c>
      <c r="N131" s="49">
        <f t="shared" si="45"/>
        <v>0</v>
      </c>
      <c r="O131" s="48" t="e">
        <f t="shared" si="32"/>
        <v>#DIV/0!</v>
      </c>
      <c r="P131" s="38" t="e">
        <f t="shared" si="28"/>
        <v>#DIV/0!</v>
      </c>
      <c r="Q131" s="53"/>
      <c r="R131" s="53">
        <f t="shared" si="38"/>
        <v>0.12</v>
      </c>
      <c r="S131" s="53">
        <f t="shared" si="39"/>
        <v>1.0596241035318976E-2</v>
      </c>
      <c r="T131" s="53">
        <f t="shared" si="40"/>
        <v>0</v>
      </c>
      <c r="U131" s="53">
        <f t="shared" si="42"/>
        <v>0</v>
      </c>
    </row>
    <row r="132" spans="1:21" x14ac:dyDescent="0.2">
      <c r="A132" s="62" t="e">
        <f t="shared" si="29"/>
        <v>#DIV/0!</v>
      </c>
      <c r="B132" s="45">
        <f t="shared" si="33"/>
        <v>118</v>
      </c>
      <c r="C132" s="51" t="e">
        <f t="shared" si="34"/>
        <v>#DIV/0!</v>
      </c>
      <c r="D132" s="47" t="e" cm="1">
        <f t="array" ref="D132">_xlfn.IFS(AND($C$7="Y",B132&lt;C$4),C132,AND($C$7="Y",B132=C$4),D131+F132-J132-K132-L132+N132,AND($C$7="Y",B132&gt;$C$4),D131-J132-K132-L132+N132, TRUE, D131-J132-K132-L132+N132)</f>
        <v>#DIV/0!</v>
      </c>
      <c r="E132" s="48">
        <f t="shared" si="35"/>
        <v>0</v>
      </c>
      <c r="F132" s="50">
        <f t="shared" si="36"/>
        <v>0</v>
      </c>
      <c r="G132" s="50">
        <f t="shared" si="43"/>
        <v>0</v>
      </c>
      <c r="H132" s="51" t="e">
        <f t="shared" si="44"/>
        <v>#DIV/0!</v>
      </c>
      <c r="I132" s="52" t="e">
        <f t="shared" si="30"/>
        <v>#DIV/0!</v>
      </c>
      <c r="J132" s="52" t="e">
        <f t="shared" si="31"/>
        <v>#DIV/0!</v>
      </c>
      <c r="K132" s="51" t="e">
        <f t="shared" si="41"/>
        <v>#DIV/0!</v>
      </c>
      <c r="L132" s="49" t="e">
        <f t="shared" si="37"/>
        <v>#DIV/0!</v>
      </c>
      <c r="M132" s="49">
        <f t="shared" si="46"/>
        <v>0</v>
      </c>
      <c r="N132" s="49">
        <f t="shared" si="45"/>
        <v>0</v>
      </c>
      <c r="O132" s="48" t="e">
        <f t="shared" si="32"/>
        <v>#DIV/0!</v>
      </c>
      <c r="P132" s="38" t="e">
        <f t="shared" si="28"/>
        <v>#DIV/0!</v>
      </c>
      <c r="Q132" s="53"/>
      <c r="R132" s="53">
        <f t="shared" si="38"/>
        <v>0.12</v>
      </c>
      <c r="S132" s="53">
        <f t="shared" si="39"/>
        <v>1.0596241035318976E-2</v>
      </c>
      <c r="T132" s="53">
        <f t="shared" si="40"/>
        <v>0</v>
      </c>
      <c r="U132" s="53">
        <f t="shared" si="42"/>
        <v>0</v>
      </c>
    </row>
    <row r="133" spans="1:21" x14ac:dyDescent="0.2">
      <c r="A133" s="62" t="e">
        <f t="shared" si="29"/>
        <v>#DIV/0!</v>
      </c>
      <c r="B133" s="45">
        <f t="shared" si="33"/>
        <v>119</v>
      </c>
      <c r="C133" s="51" t="e">
        <f t="shared" si="34"/>
        <v>#DIV/0!</v>
      </c>
      <c r="D133" s="47" t="e" cm="1">
        <f t="array" ref="D133">_xlfn.IFS(AND($C$7="Y",B133&lt;C$4),C133,AND($C$7="Y",B133=C$4),D132+F133-J133-K133-L133+N133,AND($C$7="Y",B133&gt;$C$4),D132-J133-K133-L133+N133, TRUE, D132-J133-K133-L133+N133)</f>
        <v>#DIV/0!</v>
      </c>
      <c r="E133" s="48">
        <f t="shared" si="35"/>
        <v>0</v>
      </c>
      <c r="F133" s="50">
        <f t="shared" si="36"/>
        <v>0</v>
      </c>
      <c r="G133" s="50">
        <f t="shared" si="43"/>
        <v>0</v>
      </c>
      <c r="H133" s="51" t="e">
        <f t="shared" si="44"/>
        <v>#DIV/0!</v>
      </c>
      <c r="I133" s="52" t="e">
        <f t="shared" si="30"/>
        <v>#DIV/0!</v>
      </c>
      <c r="J133" s="52" t="e">
        <f t="shared" si="31"/>
        <v>#DIV/0!</v>
      </c>
      <c r="K133" s="51" t="e">
        <f t="shared" si="41"/>
        <v>#DIV/0!</v>
      </c>
      <c r="L133" s="49" t="e">
        <f t="shared" si="37"/>
        <v>#DIV/0!</v>
      </c>
      <c r="M133" s="49">
        <f t="shared" si="46"/>
        <v>0</v>
      </c>
      <c r="N133" s="49">
        <f t="shared" si="45"/>
        <v>0</v>
      </c>
      <c r="O133" s="48" t="e">
        <f t="shared" si="32"/>
        <v>#DIV/0!</v>
      </c>
      <c r="P133" s="38" t="e">
        <f t="shared" si="28"/>
        <v>#DIV/0!</v>
      </c>
      <c r="Q133" s="53"/>
      <c r="R133" s="53">
        <f t="shared" si="38"/>
        <v>0.12</v>
      </c>
      <c r="S133" s="53">
        <f t="shared" si="39"/>
        <v>1.0596241035318976E-2</v>
      </c>
      <c r="T133" s="53">
        <f t="shared" si="40"/>
        <v>0</v>
      </c>
      <c r="U133" s="53">
        <f t="shared" si="42"/>
        <v>0</v>
      </c>
    </row>
    <row r="134" spans="1:21" x14ac:dyDescent="0.2">
      <c r="A134" s="62" t="e">
        <f t="shared" si="29"/>
        <v>#DIV/0!</v>
      </c>
      <c r="B134" s="45">
        <f t="shared" si="33"/>
        <v>120</v>
      </c>
      <c r="C134" s="51" t="e">
        <f t="shared" si="34"/>
        <v>#DIV/0!</v>
      </c>
      <c r="D134" s="47" t="e" cm="1">
        <f t="array" ref="D134">_xlfn.IFS(AND($C$7="Y",B134&lt;C$4),C134,AND($C$7="Y",B134=C$4),D133+F134-J134-K134-L134+N134,AND($C$7="Y",B134&gt;$C$4),D133-J134-K134-L134+N134, TRUE, D133-J134-K134-L134+N134)</f>
        <v>#DIV/0!</v>
      </c>
      <c r="E134" s="48">
        <f t="shared" si="35"/>
        <v>0</v>
      </c>
      <c r="F134" s="50">
        <f t="shared" si="36"/>
        <v>0</v>
      </c>
      <c r="G134" s="50">
        <f t="shared" si="43"/>
        <v>0</v>
      </c>
      <c r="H134" s="51" t="e">
        <f t="shared" si="44"/>
        <v>#DIV/0!</v>
      </c>
      <c r="I134" s="52" t="e">
        <f t="shared" si="30"/>
        <v>#DIV/0!</v>
      </c>
      <c r="J134" s="52" t="e">
        <f t="shared" si="31"/>
        <v>#DIV/0!</v>
      </c>
      <c r="K134" s="51" t="e">
        <f t="shared" si="41"/>
        <v>#DIV/0!</v>
      </c>
      <c r="L134" s="49" t="e">
        <f t="shared" si="37"/>
        <v>#DIV/0!</v>
      </c>
      <c r="M134" s="49">
        <f t="shared" si="46"/>
        <v>0</v>
      </c>
      <c r="N134" s="49">
        <f t="shared" si="45"/>
        <v>0</v>
      </c>
      <c r="O134" s="48" t="e">
        <f t="shared" si="32"/>
        <v>#DIV/0!</v>
      </c>
      <c r="P134" s="38" t="e">
        <f t="shared" si="28"/>
        <v>#DIV/0!</v>
      </c>
      <c r="Q134" s="53"/>
      <c r="R134" s="53">
        <f t="shared" si="38"/>
        <v>0.12</v>
      </c>
      <c r="S134" s="53">
        <f t="shared" si="39"/>
        <v>1.0596241035318976E-2</v>
      </c>
      <c r="T134" s="53">
        <f t="shared" si="40"/>
        <v>0</v>
      </c>
      <c r="U134" s="53">
        <f t="shared" si="42"/>
        <v>0</v>
      </c>
    </row>
    <row r="135" spans="1:21" x14ac:dyDescent="0.2">
      <c r="A135" s="62" t="e">
        <f t="shared" si="29"/>
        <v>#DIV/0!</v>
      </c>
      <c r="B135" s="45">
        <f t="shared" si="33"/>
        <v>121</v>
      </c>
      <c r="C135" s="51" t="e">
        <f t="shared" si="34"/>
        <v>#DIV/0!</v>
      </c>
      <c r="D135" s="47" t="e" cm="1">
        <f t="array" ref="D135">_xlfn.IFS(AND($C$7="Y",B135&lt;C$4),C135,AND($C$7="Y",B135=C$4),D134+F135-J135-K135-L135+N135,AND($C$7="Y",B135&gt;$C$4),D134-J135-K135-L135+N135, TRUE, D134-J135-K135-L135+N135)</f>
        <v>#DIV/0!</v>
      </c>
      <c r="E135" s="48">
        <f t="shared" si="35"/>
        <v>0</v>
      </c>
      <c r="F135" s="50">
        <f t="shared" si="36"/>
        <v>0</v>
      </c>
      <c r="G135" s="50">
        <f t="shared" si="43"/>
        <v>0</v>
      </c>
      <c r="H135" s="51" t="e">
        <f t="shared" si="44"/>
        <v>#DIV/0!</v>
      </c>
      <c r="I135" s="52" t="e">
        <f t="shared" si="30"/>
        <v>#DIV/0!</v>
      </c>
      <c r="J135" s="52" t="e">
        <f t="shared" si="31"/>
        <v>#DIV/0!</v>
      </c>
      <c r="K135" s="51" t="e">
        <f t="shared" si="41"/>
        <v>#DIV/0!</v>
      </c>
      <c r="L135" s="49" t="e">
        <f t="shared" si="37"/>
        <v>#DIV/0!</v>
      </c>
      <c r="M135" s="49">
        <f t="shared" si="46"/>
        <v>0</v>
      </c>
      <c r="N135" s="49">
        <f t="shared" si="45"/>
        <v>0</v>
      </c>
      <c r="O135" s="48" t="e">
        <f t="shared" si="32"/>
        <v>#DIV/0!</v>
      </c>
      <c r="P135" s="38" t="e">
        <f t="shared" si="28"/>
        <v>#DIV/0!</v>
      </c>
      <c r="Q135" s="53"/>
      <c r="R135" s="53">
        <f t="shared" si="38"/>
        <v>0.12</v>
      </c>
      <c r="S135" s="53">
        <f t="shared" si="39"/>
        <v>1.0596241035318976E-2</v>
      </c>
      <c r="T135" s="53">
        <f t="shared" si="40"/>
        <v>0</v>
      </c>
      <c r="U135" s="53">
        <f t="shared" si="42"/>
        <v>0</v>
      </c>
    </row>
    <row r="136" spans="1:21" x14ac:dyDescent="0.2">
      <c r="A136" s="62" t="e">
        <f t="shared" si="29"/>
        <v>#DIV/0!</v>
      </c>
      <c r="B136" s="45">
        <f t="shared" si="33"/>
        <v>122</v>
      </c>
      <c r="C136" s="51" t="e">
        <f t="shared" si="34"/>
        <v>#DIV/0!</v>
      </c>
      <c r="D136" s="47" t="e" cm="1">
        <f t="array" ref="D136">_xlfn.IFS(AND($C$7="Y",B136&lt;C$4),C136,AND($C$7="Y",B136=C$4),D135+F136-J136-K136-L136+N136,AND($C$7="Y",B136&gt;$C$4),D135-J136-K136-L136+N136, TRUE, D135-J136-K136-L136+N136)</f>
        <v>#DIV/0!</v>
      </c>
      <c r="E136" s="48">
        <f t="shared" si="35"/>
        <v>0</v>
      </c>
      <c r="F136" s="50">
        <f t="shared" si="36"/>
        <v>0</v>
      </c>
      <c r="G136" s="50">
        <f t="shared" si="43"/>
        <v>0</v>
      </c>
      <c r="H136" s="51" t="e">
        <f t="shared" si="44"/>
        <v>#DIV/0!</v>
      </c>
      <c r="I136" s="52" t="e">
        <f t="shared" si="30"/>
        <v>#DIV/0!</v>
      </c>
      <c r="J136" s="52" t="e">
        <f t="shared" si="31"/>
        <v>#DIV/0!</v>
      </c>
      <c r="K136" s="51" t="e">
        <f t="shared" si="41"/>
        <v>#DIV/0!</v>
      </c>
      <c r="L136" s="49" t="e">
        <f t="shared" si="37"/>
        <v>#DIV/0!</v>
      </c>
      <c r="M136" s="49">
        <f t="shared" si="46"/>
        <v>0</v>
      </c>
      <c r="N136" s="49">
        <f t="shared" si="45"/>
        <v>0</v>
      </c>
      <c r="O136" s="48" t="e">
        <f t="shared" si="32"/>
        <v>#DIV/0!</v>
      </c>
      <c r="P136" s="38" t="e">
        <f t="shared" si="28"/>
        <v>#DIV/0!</v>
      </c>
      <c r="Q136" s="53"/>
      <c r="R136" s="53">
        <f t="shared" si="38"/>
        <v>0.12</v>
      </c>
      <c r="S136" s="53">
        <f t="shared" si="39"/>
        <v>1.0596241035318976E-2</v>
      </c>
      <c r="T136" s="53">
        <f t="shared" si="40"/>
        <v>0</v>
      </c>
      <c r="U136" s="53">
        <f t="shared" si="42"/>
        <v>0</v>
      </c>
    </row>
    <row r="137" spans="1:21" x14ac:dyDescent="0.2">
      <c r="A137" s="62" t="e">
        <f t="shared" si="29"/>
        <v>#DIV/0!</v>
      </c>
      <c r="B137" s="45">
        <f t="shared" si="33"/>
        <v>123</v>
      </c>
      <c r="C137" s="51" t="e">
        <f t="shared" si="34"/>
        <v>#DIV/0!</v>
      </c>
      <c r="D137" s="47" t="e" cm="1">
        <f t="array" ref="D137">_xlfn.IFS(AND($C$7="Y",B137&lt;C$4),C137,AND($C$7="Y",B137=C$4),D136+F137-J137-K137-L137+N137,AND($C$7="Y",B137&gt;$C$4),D136-J137-K137-L137+N137, TRUE, D136-J137-K137-L137+N137)</f>
        <v>#DIV/0!</v>
      </c>
      <c r="E137" s="48">
        <f t="shared" si="35"/>
        <v>0</v>
      </c>
      <c r="F137" s="50">
        <f t="shared" si="36"/>
        <v>0</v>
      </c>
      <c r="G137" s="50">
        <f t="shared" si="43"/>
        <v>0</v>
      </c>
      <c r="H137" s="51" t="e">
        <f t="shared" si="44"/>
        <v>#DIV/0!</v>
      </c>
      <c r="I137" s="52" t="e">
        <f t="shared" si="30"/>
        <v>#DIV/0!</v>
      </c>
      <c r="J137" s="52" t="e">
        <f t="shared" si="31"/>
        <v>#DIV/0!</v>
      </c>
      <c r="K137" s="51" t="e">
        <f t="shared" si="41"/>
        <v>#DIV/0!</v>
      </c>
      <c r="L137" s="49" t="e">
        <f t="shared" si="37"/>
        <v>#DIV/0!</v>
      </c>
      <c r="M137" s="49">
        <f t="shared" si="46"/>
        <v>0</v>
      </c>
      <c r="N137" s="49">
        <f t="shared" si="45"/>
        <v>0</v>
      </c>
      <c r="O137" s="48" t="e">
        <f t="shared" si="32"/>
        <v>#DIV/0!</v>
      </c>
      <c r="P137" s="38" t="e">
        <f t="shared" si="28"/>
        <v>#DIV/0!</v>
      </c>
      <c r="Q137" s="53"/>
      <c r="R137" s="53">
        <f t="shared" si="38"/>
        <v>0.12</v>
      </c>
      <c r="S137" s="53">
        <f t="shared" si="39"/>
        <v>1.0596241035318976E-2</v>
      </c>
      <c r="T137" s="53">
        <f t="shared" si="40"/>
        <v>0</v>
      </c>
      <c r="U137" s="53">
        <f t="shared" si="42"/>
        <v>0</v>
      </c>
    </row>
    <row r="138" spans="1:21" x14ac:dyDescent="0.2">
      <c r="A138" s="62" t="e">
        <f t="shared" si="29"/>
        <v>#DIV/0!</v>
      </c>
      <c r="B138" s="45">
        <f t="shared" si="33"/>
        <v>124</v>
      </c>
      <c r="C138" s="51" t="e">
        <f t="shared" si="34"/>
        <v>#DIV/0!</v>
      </c>
      <c r="D138" s="47" t="e" cm="1">
        <f t="array" ref="D138">_xlfn.IFS(AND($C$7="Y",B138&lt;C$4),C138,AND($C$7="Y",B138=C$4),D137+F138-J138-K138-L138+N138,AND($C$7="Y",B138&gt;$C$4),D137-J138-K138-L138+N138, TRUE, D137-J138-K138-L138+N138)</f>
        <v>#DIV/0!</v>
      </c>
      <c r="E138" s="48">
        <f t="shared" si="35"/>
        <v>0</v>
      </c>
      <c r="F138" s="50">
        <f t="shared" si="36"/>
        <v>0</v>
      </c>
      <c r="G138" s="50">
        <f t="shared" si="43"/>
        <v>0</v>
      </c>
      <c r="H138" s="51" t="e">
        <f t="shared" si="44"/>
        <v>#DIV/0!</v>
      </c>
      <c r="I138" s="52" t="e">
        <f t="shared" si="30"/>
        <v>#DIV/0!</v>
      </c>
      <c r="J138" s="52" t="e">
        <f t="shared" si="31"/>
        <v>#DIV/0!</v>
      </c>
      <c r="K138" s="51" t="e">
        <f t="shared" si="41"/>
        <v>#DIV/0!</v>
      </c>
      <c r="L138" s="49" t="e">
        <f t="shared" si="37"/>
        <v>#DIV/0!</v>
      </c>
      <c r="M138" s="49">
        <f t="shared" si="46"/>
        <v>0</v>
      </c>
      <c r="N138" s="49">
        <f t="shared" si="45"/>
        <v>0</v>
      </c>
      <c r="O138" s="48" t="e">
        <f t="shared" si="32"/>
        <v>#DIV/0!</v>
      </c>
      <c r="P138" s="38" t="e">
        <f t="shared" si="28"/>
        <v>#DIV/0!</v>
      </c>
      <c r="Q138" s="53"/>
      <c r="R138" s="53">
        <f t="shared" si="38"/>
        <v>0.12</v>
      </c>
      <c r="S138" s="53">
        <f t="shared" si="39"/>
        <v>1.0596241035318976E-2</v>
      </c>
      <c r="T138" s="53">
        <f t="shared" si="40"/>
        <v>0</v>
      </c>
      <c r="U138" s="53">
        <f t="shared" si="42"/>
        <v>0</v>
      </c>
    </row>
    <row r="139" spans="1:21" x14ac:dyDescent="0.2">
      <c r="A139" s="62" t="e">
        <f t="shared" si="29"/>
        <v>#DIV/0!</v>
      </c>
      <c r="B139" s="45">
        <f t="shared" si="33"/>
        <v>125</v>
      </c>
      <c r="C139" s="51" t="e">
        <f t="shared" si="34"/>
        <v>#DIV/0!</v>
      </c>
      <c r="D139" s="47" t="e" cm="1">
        <f t="array" ref="D139">_xlfn.IFS(AND($C$7="Y",B139&lt;C$4),C139,AND($C$7="Y",B139=C$4),D138+F139-J139-K139-L139+N139,AND($C$7="Y",B139&gt;$C$4),D138-J139-K139-L139+N139, TRUE, D138-J139-K139-L139+N139)</f>
        <v>#DIV/0!</v>
      </c>
      <c r="E139" s="48">
        <f t="shared" si="35"/>
        <v>0</v>
      </c>
      <c r="F139" s="50">
        <f t="shared" si="36"/>
        <v>0</v>
      </c>
      <c r="G139" s="50">
        <f t="shared" si="43"/>
        <v>0</v>
      </c>
      <c r="H139" s="51" t="e">
        <f t="shared" si="44"/>
        <v>#DIV/0!</v>
      </c>
      <c r="I139" s="52" t="e">
        <f t="shared" si="30"/>
        <v>#DIV/0!</v>
      </c>
      <c r="J139" s="52" t="e">
        <f t="shared" si="31"/>
        <v>#DIV/0!</v>
      </c>
      <c r="K139" s="51" t="e">
        <f t="shared" si="41"/>
        <v>#DIV/0!</v>
      </c>
      <c r="L139" s="49" t="e">
        <f t="shared" si="37"/>
        <v>#DIV/0!</v>
      </c>
      <c r="M139" s="49">
        <f t="shared" si="46"/>
        <v>0</v>
      </c>
      <c r="N139" s="49">
        <f t="shared" si="45"/>
        <v>0</v>
      </c>
      <c r="O139" s="48" t="e">
        <f t="shared" si="32"/>
        <v>#DIV/0!</v>
      </c>
      <c r="P139" s="38" t="e">
        <f t="shared" si="28"/>
        <v>#DIV/0!</v>
      </c>
      <c r="Q139" s="53"/>
      <c r="R139" s="53">
        <f t="shared" si="38"/>
        <v>0.12</v>
      </c>
      <c r="S139" s="53">
        <f t="shared" si="39"/>
        <v>1.0596241035318976E-2</v>
      </c>
      <c r="T139" s="53">
        <f t="shared" si="40"/>
        <v>0</v>
      </c>
      <c r="U139" s="53">
        <f t="shared" si="42"/>
        <v>0</v>
      </c>
    </row>
    <row r="140" spans="1:21" x14ac:dyDescent="0.2">
      <c r="A140" s="62" t="e">
        <f t="shared" si="29"/>
        <v>#DIV/0!</v>
      </c>
      <c r="B140" s="45">
        <f t="shared" si="33"/>
        <v>126</v>
      </c>
      <c r="C140" s="51" t="e">
        <f t="shared" si="34"/>
        <v>#DIV/0!</v>
      </c>
      <c r="D140" s="47" t="e" cm="1">
        <f t="array" ref="D140">_xlfn.IFS(AND($C$7="Y",B140&lt;C$4),C140,AND($C$7="Y",B140=C$4),D139+F140-J140-K140-L140+N140,AND($C$7="Y",B140&gt;$C$4),D139-J140-K140-L140+N140, TRUE, D139-J140-K140-L140+N140)</f>
        <v>#DIV/0!</v>
      </c>
      <c r="E140" s="48">
        <f t="shared" si="35"/>
        <v>0</v>
      </c>
      <c r="F140" s="50">
        <f t="shared" si="36"/>
        <v>0</v>
      </c>
      <c r="G140" s="50">
        <f t="shared" si="43"/>
        <v>0</v>
      </c>
      <c r="H140" s="51" t="e">
        <f t="shared" si="44"/>
        <v>#DIV/0!</v>
      </c>
      <c r="I140" s="52" t="e">
        <f t="shared" si="30"/>
        <v>#DIV/0!</v>
      </c>
      <c r="J140" s="52" t="e">
        <f t="shared" si="31"/>
        <v>#DIV/0!</v>
      </c>
      <c r="K140" s="51" t="e">
        <f t="shared" si="41"/>
        <v>#DIV/0!</v>
      </c>
      <c r="L140" s="49" t="e">
        <f t="shared" si="37"/>
        <v>#DIV/0!</v>
      </c>
      <c r="M140" s="49">
        <f t="shared" si="46"/>
        <v>0</v>
      </c>
      <c r="N140" s="49">
        <f t="shared" si="45"/>
        <v>0</v>
      </c>
      <c r="O140" s="48" t="e">
        <f t="shared" si="32"/>
        <v>#DIV/0!</v>
      </c>
      <c r="P140" s="38" t="e">
        <f t="shared" si="28"/>
        <v>#DIV/0!</v>
      </c>
      <c r="Q140" s="53"/>
      <c r="R140" s="53">
        <f t="shared" si="38"/>
        <v>0.12</v>
      </c>
      <c r="S140" s="53">
        <f t="shared" si="39"/>
        <v>1.0596241035318976E-2</v>
      </c>
      <c r="T140" s="53">
        <f t="shared" si="40"/>
        <v>0</v>
      </c>
      <c r="U140" s="53">
        <f t="shared" si="42"/>
        <v>0</v>
      </c>
    </row>
    <row r="141" spans="1:21" x14ac:dyDescent="0.2">
      <c r="A141" s="62" t="e">
        <f t="shared" si="29"/>
        <v>#DIV/0!</v>
      </c>
      <c r="B141" s="45">
        <f t="shared" si="33"/>
        <v>127</v>
      </c>
      <c r="C141" s="51" t="e">
        <f t="shared" si="34"/>
        <v>#DIV/0!</v>
      </c>
      <c r="D141" s="47" t="e" cm="1">
        <f t="array" ref="D141">_xlfn.IFS(AND($C$7="Y",B141&lt;C$4),C141,AND($C$7="Y",B141=C$4),D140+F141-J141-K141-L141+N141,AND($C$7="Y",B141&gt;$C$4),D140-J141-K141-L141+N141, TRUE, D140-J141-K141-L141+N141)</f>
        <v>#DIV/0!</v>
      </c>
      <c r="E141" s="48">
        <f t="shared" si="35"/>
        <v>0</v>
      </c>
      <c r="F141" s="50">
        <f t="shared" si="36"/>
        <v>0</v>
      </c>
      <c r="G141" s="50">
        <f t="shared" si="43"/>
        <v>0</v>
      </c>
      <c r="H141" s="51" t="e">
        <f t="shared" si="44"/>
        <v>#DIV/0!</v>
      </c>
      <c r="I141" s="52" t="e">
        <f t="shared" si="30"/>
        <v>#DIV/0!</v>
      </c>
      <c r="J141" s="52" t="e">
        <f t="shared" si="31"/>
        <v>#DIV/0!</v>
      </c>
      <c r="K141" s="51" t="e">
        <f t="shared" si="41"/>
        <v>#DIV/0!</v>
      </c>
      <c r="L141" s="49" t="e">
        <f t="shared" si="37"/>
        <v>#DIV/0!</v>
      </c>
      <c r="M141" s="49">
        <f t="shared" si="46"/>
        <v>0</v>
      </c>
      <c r="N141" s="49">
        <f t="shared" si="45"/>
        <v>0</v>
      </c>
      <c r="O141" s="48" t="e">
        <f t="shared" si="32"/>
        <v>#DIV/0!</v>
      </c>
      <c r="P141" s="38" t="e">
        <f t="shared" si="28"/>
        <v>#DIV/0!</v>
      </c>
      <c r="Q141" s="53"/>
      <c r="R141" s="53">
        <f t="shared" si="38"/>
        <v>0.12</v>
      </c>
      <c r="S141" s="53">
        <f t="shared" si="39"/>
        <v>1.0596241035318976E-2</v>
      </c>
      <c r="T141" s="53">
        <f t="shared" si="40"/>
        <v>0</v>
      </c>
      <c r="U141" s="53">
        <f t="shared" si="42"/>
        <v>0</v>
      </c>
    </row>
    <row r="142" spans="1:21" x14ac:dyDescent="0.2">
      <c r="A142" s="62" t="e">
        <f t="shared" si="29"/>
        <v>#DIV/0!</v>
      </c>
      <c r="B142" s="45">
        <f t="shared" si="33"/>
        <v>128</v>
      </c>
      <c r="C142" s="51" t="e">
        <f t="shared" si="34"/>
        <v>#DIV/0!</v>
      </c>
      <c r="D142" s="47" t="e" cm="1">
        <f t="array" ref="D142">_xlfn.IFS(AND($C$7="Y",B142&lt;C$4),C142,AND($C$7="Y",B142=C$4),D141+F142-J142-K142-L142+N142,AND($C$7="Y",B142&gt;$C$4),D141-J142-K142-L142+N142, TRUE, D141-J142-K142-L142+N142)</f>
        <v>#DIV/0!</v>
      </c>
      <c r="E142" s="48">
        <f t="shared" si="35"/>
        <v>0</v>
      </c>
      <c r="F142" s="50">
        <f t="shared" si="36"/>
        <v>0</v>
      </c>
      <c r="G142" s="50">
        <f t="shared" si="43"/>
        <v>0</v>
      </c>
      <c r="H142" s="51" t="e">
        <f t="shared" si="44"/>
        <v>#DIV/0!</v>
      </c>
      <c r="I142" s="52" t="e">
        <f t="shared" si="30"/>
        <v>#DIV/0!</v>
      </c>
      <c r="J142" s="52" t="e">
        <f t="shared" si="31"/>
        <v>#DIV/0!</v>
      </c>
      <c r="K142" s="51" t="e">
        <f t="shared" si="41"/>
        <v>#DIV/0!</v>
      </c>
      <c r="L142" s="49" t="e">
        <f t="shared" si="37"/>
        <v>#DIV/0!</v>
      </c>
      <c r="M142" s="49">
        <f t="shared" si="46"/>
        <v>0</v>
      </c>
      <c r="N142" s="49">
        <f t="shared" si="45"/>
        <v>0</v>
      </c>
      <c r="O142" s="48" t="e">
        <f t="shared" si="32"/>
        <v>#DIV/0!</v>
      </c>
      <c r="P142" s="38" t="e">
        <f t="shared" ref="P142:P205" si="47">O142*(1/((1+P$12)^(B142/12)))</f>
        <v>#DIV/0!</v>
      </c>
      <c r="Q142" s="53"/>
      <c r="R142" s="53">
        <f t="shared" si="38"/>
        <v>0.12</v>
      </c>
      <c r="S142" s="53">
        <f t="shared" si="39"/>
        <v>1.0596241035318976E-2</v>
      </c>
      <c r="T142" s="53">
        <f t="shared" si="40"/>
        <v>0</v>
      </c>
      <c r="U142" s="53">
        <f t="shared" si="42"/>
        <v>0</v>
      </c>
    </row>
    <row r="143" spans="1:21" x14ac:dyDescent="0.2">
      <c r="A143" s="62" t="e">
        <f t="shared" ref="A143:A206" si="48">D143/C$1</f>
        <v>#DIV/0!</v>
      </c>
      <c r="B143" s="45">
        <f t="shared" si="33"/>
        <v>129</v>
      </c>
      <c r="C143" s="51" t="e">
        <f t="shared" si="34"/>
        <v>#DIV/0!</v>
      </c>
      <c r="D143" s="47" t="e" cm="1">
        <f t="array" ref="D143">_xlfn.IFS(AND($C$7="Y",B143&lt;C$4),C143,AND($C$7="Y",B143=C$4),D142+F143-J143-K143-L143+N143,AND($C$7="Y",B143&gt;$C$4),D142-J143-K143-L143+N143, TRUE, D142-J143-K143-L143+N143)</f>
        <v>#DIV/0!</v>
      </c>
      <c r="E143" s="48">
        <f t="shared" si="35"/>
        <v>0</v>
      </c>
      <c r="F143" s="50">
        <f t="shared" si="36"/>
        <v>0</v>
      </c>
      <c r="G143" s="50">
        <f t="shared" si="43"/>
        <v>0</v>
      </c>
      <c r="H143" s="51" t="e">
        <f t="shared" si="44"/>
        <v>#DIV/0!</v>
      </c>
      <c r="I143" s="52" t="e">
        <f t="shared" ref="I143:I206" si="49">IF(AND(C$7="Y",$B143&lt;=C$4),0,IF(AND(C$7="Y",$B143&gt;C$4),(1-U143)*C$2*D142/12,IF(AND($C$7="N",C$4&gt;0),(1-U143)*D142*C$2/12, (1-U143)*D142*C$2/12)))</f>
        <v>#DIV/0!</v>
      </c>
      <c r="J143" s="52" t="e">
        <f t="shared" ref="J143:J206" si="50">IF(AND($B143&lt;=$C$4,C$7="Y"),0,IF(AND(C$7="N",C$4&gt;0,B143&lt;=C$4),0,H143-I143))</f>
        <v>#DIV/0!</v>
      </c>
      <c r="K143" s="51" t="e">
        <f t="shared" si="41"/>
        <v>#DIV/0!</v>
      </c>
      <c r="L143" s="49" t="e">
        <f t="shared" si="37"/>
        <v>#DIV/0!</v>
      </c>
      <c r="M143" s="49">
        <f t="shared" si="46"/>
        <v>0</v>
      </c>
      <c r="N143" s="49">
        <f t="shared" si="45"/>
        <v>0</v>
      </c>
      <c r="O143" s="48" t="e">
        <f t="shared" ref="O143:O206" si="51">K143+I143+J143-L143+N143+G143</f>
        <v>#DIV/0!</v>
      </c>
      <c r="P143" s="38" t="e">
        <f t="shared" si="47"/>
        <v>#DIV/0!</v>
      </c>
      <c r="Q143" s="53"/>
      <c r="R143" s="53">
        <f t="shared" si="38"/>
        <v>0.12</v>
      </c>
      <c r="S143" s="53">
        <f t="shared" si="39"/>
        <v>1.0596241035318976E-2</v>
      </c>
      <c r="T143" s="53">
        <f t="shared" si="40"/>
        <v>0</v>
      </c>
      <c r="U143" s="53">
        <f t="shared" si="42"/>
        <v>0</v>
      </c>
    </row>
    <row r="144" spans="1:21" x14ac:dyDescent="0.2">
      <c r="A144" s="62" t="e">
        <f t="shared" si="48"/>
        <v>#DIV/0!</v>
      </c>
      <c r="B144" s="45">
        <f t="shared" ref="B144:B207" si="52">B143+1</f>
        <v>130</v>
      </c>
      <c r="C144" s="51" t="e">
        <f t="shared" ref="C144:C207" si="53">IF(B144&lt;C$4,C$1,D143-L144+N144)</f>
        <v>#DIV/0!</v>
      </c>
      <c r="D144" s="47" t="e" cm="1">
        <f t="array" ref="D144">_xlfn.IFS(AND($C$7="Y",B144&lt;C$4),C144,AND($C$7="Y",B144=C$4),D143+F144-J144-K144-L144+N144,AND($C$7="Y",B144&gt;$C$4),D143-J144-K144-L144+N144, TRUE, D143-J144-K144-L144+N144)</f>
        <v>#DIV/0!</v>
      </c>
      <c r="E144" s="48">
        <f t="shared" ref="E144:E207" si="54">IF(AND($C$7="Y",B144&lt;=$C$4),D143*C$2/12-G144,0)</f>
        <v>0</v>
      </c>
      <c r="F144" s="50">
        <f t="shared" ref="F144:F207" si="55">IF(AND($C$7="Y",B144&lt;=C$4),E144+F143,0)</f>
        <v>0</v>
      </c>
      <c r="G144" s="50">
        <f t="shared" si="43"/>
        <v>0</v>
      </c>
      <c r="H144" s="51" t="e">
        <f t="shared" si="44"/>
        <v>#DIV/0!</v>
      </c>
      <c r="I144" s="52" t="e">
        <f t="shared" si="49"/>
        <v>#DIV/0!</v>
      </c>
      <c r="J144" s="52" t="e">
        <f t="shared" si="50"/>
        <v>#DIV/0!</v>
      </c>
      <c r="K144" s="51" t="e">
        <f t="shared" si="41"/>
        <v>#DIV/0!</v>
      </c>
      <c r="L144" s="49" t="e">
        <f t="shared" ref="L144:L207" si="56">IF(AND(C$7="Y",$B144&lt;=$C$4),0,IF(AND(C$7="N",C$4&gt;0,B144&lt;=C$4),0,U144*D143))</f>
        <v>#DIV/0!</v>
      </c>
      <c r="M144" s="49">
        <f t="shared" si="46"/>
        <v>0</v>
      </c>
      <c r="N144" s="49">
        <f t="shared" si="45"/>
        <v>0</v>
      </c>
      <c r="O144" s="48" t="e">
        <f t="shared" si="51"/>
        <v>#DIV/0!</v>
      </c>
      <c r="P144" s="38" t="e">
        <f t="shared" si="47"/>
        <v>#DIV/0!</v>
      </c>
      <c r="Q144" s="53"/>
      <c r="R144" s="53">
        <f t="shared" ref="R144:R207" si="57">R$12</f>
        <v>0.12</v>
      </c>
      <c r="S144" s="53">
        <f t="shared" ref="S144:S207" si="58">1-(1-R144)^(1/12)</f>
        <v>1.0596241035318976E-2</v>
      </c>
      <c r="T144" s="53">
        <f t="shared" ref="T144:T207" si="59">T$12</f>
        <v>0</v>
      </c>
      <c r="U144" s="53">
        <f t="shared" si="42"/>
        <v>0</v>
      </c>
    </row>
    <row r="145" spans="1:21" x14ac:dyDescent="0.2">
      <c r="A145" s="62" t="e">
        <f t="shared" si="48"/>
        <v>#DIV/0!</v>
      </c>
      <c r="B145" s="45">
        <f t="shared" si="52"/>
        <v>131</v>
      </c>
      <c r="C145" s="51" t="e">
        <f t="shared" si="53"/>
        <v>#DIV/0!</v>
      </c>
      <c r="D145" s="47" t="e" cm="1">
        <f t="array" ref="D145">_xlfn.IFS(AND($C$7="Y",B145&lt;C$4),C145,AND($C$7="Y",B145=C$4),D144+F145-J145-K145-L145+N145,AND($C$7="Y",B145&gt;$C$4),D144-J145-K145-L145+N145, TRUE, D144-J145-K145-L145+N145)</f>
        <v>#DIV/0!</v>
      </c>
      <c r="E145" s="48">
        <f t="shared" si="54"/>
        <v>0</v>
      </c>
      <c r="F145" s="50">
        <f t="shared" si="55"/>
        <v>0</v>
      </c>
      <c r="G145" s="50">
        <f t="shared" si="43"/>
        <v>0</v>
      </c>
      <c r="H145" s="51" t="e">
        <f t="shared" si="44"/>
        <v>#DIV/0!</v>
      </c>
      <c r="I145" s="52" t="e">
        <f t="shared" si="49"/>
        <v>#DIV/0!</v>
      </c>
      <c r="J145" s="52" t="e">
        <f t="shared" si="50"/>
        <v>#DIV/0!</v>
      </c>
      <c r="K145" s="51" t="e">
        <f t="shared" ref="K145:K208" si="60">IF(AND(C$7="Y",$B145&lt;=$C$4),0,IF(AND(C$7="N",C$4&gt;0,B145&lt;=C$4),0,S145*(C145-J145)))</f>
        <v>#DIV/0!</v>
      </c>
      <c r="L145" s="49" t="e">
        <f t="shared" si="56"/>
        <v>#DIV/0!</v>
      </c>
      <c r="M145" s="49">
        <f t="shared" si="46"/>
        <v>0</v>
      </c>
      <c r="N145" s="49">
        <f t="shared" si="45"/>
        <v>0</v>
      </c>
      <c r="O145" s="48" t="e">
        <f t="shared" si="51"/>
        <v>#DIV/0!</v>
      </c>
      <c r="P145" s="38" t="e">
        <f t="shared" si="47"/>
        <v>#DIV/0!</v>
      </c>
      <c r="Q145" s="53"/>
      <c r="R145" s="53">
        <f t="shared" si="57"/>
        <v>0.12</v>
      </c>
      <c r="S145" s="53">
        <f t="shared" si="58"/>
        <v>1.0596241035318976E-2</v>
      </c>
      <c r="T145" s="53">
        <f t="shared" si="59"/>
        <v>0</v>
      </c>
      <c r="U145" s="53">
        <f t="shared" ref="U145:U208" si="61">1-(1-T145)^(1/12)</f>
        <v>0</v>
      </c>
    </row>
    <row r="146" spans="1:21" x14ac:dyDescent="0.2">
      <c r="A146" s="62" t="e">
        <f t="shared" si="48"/>
        <v>#DIV/0!</v>
      </c>
      <c r="B146" s="45">
        <f t="shared" si="52"/>
        <v>132</v>
      </c>
      <c r="C146" s="51" t="e">
        <f t="shared" si="53"/>
        <v>#DIV/0!</v>
      </c>
      <c r="D146" s="47" t="e" cm="1">
        <f t="array" ref="D146">_xlfn.IFS(AND($C$7="Y",B146&lt;C$4),C146,AND($C$7="Y",B146=C$4),D145+F146-J146-K146-L146+N146,AND($C$7="Y",B146&gt;$C$4),D145-J146-K146-L146+N146, TRUE, D145-J146-K146-L146+N146)</f>
        <v>#DIV/0!</v>
      </c>
      <c r="E146" s="48">
        <f t="shared" si="54"/>
        <v>0</v>
      </c>
      <c r="F146" s="50">
        <f t="shared" si="55"/>
        <v>0</v>
      </c>
      <c r="G146" s="50">
        <f t="shared" ref="G146:G209" si="62">IF($B146&lt;=$C$4,C$6,0)</f>
        <v>0</v>
      </c>
      <c r="H146" s="51" t="e">
        <f t="shared" si="44"/>
        <v>#DIV/0!</v>
      </c>
      <c r="I146" s="52" t="e">
        <f t="shared" si="49"/>
        <v>#DIV/0!</v>
      </c>
      <c r="J146" s="52" t="e">
        <f t="shared" si="50"/>
        <v>#DIV/0!</v>
      </c>
      <c r="K146" s="51" t="e">
        <f t="shared" si="60"/>
        <v>#DIV/0!</v>
      </c>
      <c r="L146" s="49" t="e">
        <f t="shared" si="56"/>
        <v>#DIV/0!</v>
      </c>
      <c r="M146" s="49">
        <f t="shared" si="46"/>
        <v>0</v>
      </c>
      <c r="N146" s="49">
        <f t="shared" si="45"/>
        <v>0</v>
      </c>
      <c r="O146" s="48" t="e">
        <f t="shared" si="51"/>
        <v>#DIV/0!</v>
      </c>
      <c r="P146" s="38" t="e">
        <f t="shared" si="47"/>
        <v>#DIV/0!</v>
      </c>
      <c r="Q146" s="53"/>
      <c r="R146" s="53">
        <f t="shared" si="57"/>
        <v>0.12</v>
      </c>
      <c r="S146" s="53">
        <f t="shared" si="58"/>
        <v>1.0596241035318976E-2</v>
      </c>
      <c r="T146" s="53">
        <f t="shared" si="59"/>
        <v>0</v>
      </c>
      <c r="U146" s="53">
        <f t="shared" si="61"/>
        <v>0</v>
      </c>
    </row>
    <row r="147" spans="1:21" x14ac:dyDescent="0.2">
      <c r="A147" s="62" t="e">
        <f t="shared" si="48"/>
        <v>#DIV/0!</v>
      </c>
      <c r="B147" s="45">
        <f t="shared" si="52"/>
        <v>133</v>
      </c>
      <c r="C147" s="51" t="e">
        <f t="shared" si="53"/>
        <v>#DIV/0!</v>
      </c>
      <c r="D147" s="47" t="e" cm="1">
        <f t="array" ref="D147">_xlfn.IFS(AND($C$7="Y",B147&lt;C$4),C147,AND($C$7="Y",B147=C$4),D146+F147-J147-K147-L147+N147,AND($C$7="Y",B147&gt;$C$4),D146-J147-K147-L147+N147, TRUE, D146-J147-K147-L147+N147)</f>
        <v>#DIV/0!</v>
      </c>
      <c r="E147" s="48">
        <f t="shared" si="54"/>
        <v>0</v>
      </c>
      <c r="F147" s="50">
        <f t="shared" si="55"/>
        <v>0</v>
      </c>
      <c r="G147" s="50">
        <f t="shared" si="62"/>
        <v>0</v>
      </c>
      <c r="H147" s="51" t="e">
        <f t="shared" ref="H147:H210" si="63">IF(AND($B147&lt;=$C$4,C$7="Y"),0,IF(AND(C$7="N",C$4&gt;0,B147&lt;=C$4),0,(D146-L147+N147)*C$2/12/(1-(1/(1+C$2/12))^(C$3+C$4-B147+1))))</f>
        <v>#DIV/0!</v>
      </c>
      <c r="I147" s="52" t="e">
        <f t="shared" si="49"/>
        <v>#DIV/0!</v>
      </c>
      <c r="J147" s="52" t="e">
        <f t="shared" si="50"/>
        <v>#DIV/0!</v>
      </c>
      <c r="K147" s="51" t="e">
        <f t="shared" si="60"/>
        <v>#DIV/0!</v>
      </c>
      <c r="L147" s="49" t="e">
        <f t="shared" si="56"/>
        <v>#DIV/0!</v>
      </c>
      <c r="M147" s="49">
        <f t="shared" si="46"/>
        <v>0</v>
      </c>
      <c r="N147" s="49">
        <f t="shared" si="45"/>
        <v>0</v>
      </c>
      <c r="O147" s="48" t="e">
        <f t="shared" si="51"/>
        <v>#DIV/0!</v>
      </c>
      <c r="P147" s="38" t="e">
        <f t="shared" si="47"/>
        <v>#DIV/0!</v>
      </c>
      <c r="Q147" s="53"/>
      <c r="R147" s="53">
        <f t="shared" si="57"/>
        <v>0.12</v>
      </c>
      <c r="S147" s="53">
        <f t="shared" si="58"/>
        <v>1.0596241035318976E-2</v>
      </c>
      <c r="T147" s="53">
        <f t="shared" si="59"/>
        <v>0</v>
      </c>
      <c r="U147" s="53">
        <f t="shared" si="61"/>
        <v>0</v>
      </c>
    </row>
    <row r="148" spans="1:21" x14ac:dyDescent="0.2">
      <c r="A148" s="62" t="e">
        <f t="shared" si="48"/>
        <v>#DIV/0!</v>
      </c>
      <c r="B148" s="45">
        <f t="shared" si="52"/>
        <v>134</v>
      </c>
      <c r="C148" s="51" t="e">
        <f t="shared" si="53"/>
        <v>#DIV/0!</v>
      </c>
      <c r="D148" s="47" t="e" cm="1">
        <f t="array" ref="D148">_xlfn.IFS(AND($C$7="Y",B148&lt;C$4),C148,AND($C$7="Y",B148=C$4),D147+F148-J148-K148-L148+N148,AND($C$7="Y",B148&gt;$C$4),D147-J148-K148-L148+N148, TRUE, D147-J148-K148-L148+N148)</f>
        <v>#DIV/0!</v>
      </c>
      <c r="E148" s="48">
        <f t="shared" si="54"/>
        <v>0</v>
      </c>
      <c r="F148" s="50">
        <f t="shared" si="55"/>
        <v>0</v>
      </c>
      <c r="G148" s="50">
        <f t="shared" si="62"/>
        <v>0</v>
      </c>
      <c r="H148" s="51" t="e">
        <f t="shared" si="63"/>
        <v>#DIV/0!</v>
      </c>
      <c r="I148" s="52" t="e">
        <f t="shared" si="49"/>
        <v>#DIV/0!</v>
      </c>
      <c r="J148" s="52" t="e">
        <f t="shared" si="50"/>
        <v>#DIV/0!</v>
      </c>
      <c r="K148" s="51" t="e">
        <f t="shared" si="60"/>
        <v>#DIV/0!</v>
      </c>
      <c r="L148" s="49" t="e">
        <f t="shared" si="56"/>
        <v>#DIV/0!</v>
      </c>
      <c r="M148" s="49">
        <f t="shared" si="46"/>
        <v>0</v>
      </c>
      <c r="N148" s="49">
        <f t="shared" si="45"/>
        <v>0</v>
      </c>
      <c r="O148" s="48" t="e">
        <f t="shared" si="51"/>
        <v>#DIV/0!</v>
      </c>
      <c r="P148" s="38" t="e">
        <f t="shared" si="47"/>
        <v>#DIV/0!</v>
      </c>
      <c r="Q148" s="53"/>
      <c r="R148" s="53">
        <f t="shared" si="57"/>
        <v>0.12</v>
      </c>
      <c r="S148" s="53">
        <f t="shared" si="58"/>
        <v>1.0596241035318976E-2</v>
      </c>
      <c r="T148" s="53">
        <f t="shared" si="59"/>
        <v>0</v>
      </c>
      <c r="U148" s="53">
        <f t="shared" si="61"/>
        <v>0</v>
      </c>
    </row>
    <row r="149" spans="1:21" x14ac:dyDescent="0.2">
      <c r="A149" s="62" t="e">
        <f t="shared" si="48"/>
        <v>#DIV/0!</v>
      </c>
      <c r="B149" s="45">
        <f t="shared" si="52"/>
        <v>135</v>
      </c>
      <c r="C149" s="51" t="e">
        <f t="shared" si="53"/>
        <v>#DIV/0!</v>
      </c>
      <c r="D149" s="47" t="e" cm="1">
        <f t="array" ref="D149">_xlfn.IFS(AND($C$7="Y",B149&lt;C$4),C149,AND($C$7="Y",B149=C$4),D148+F149-J149-K149-L149+N149,AND($C$7="Y",B149&gt;$C$4),D148-J149-K149-L149+N149, TRUE, D148-J149-K149-L149+N149)</f>
        <v>#DIV/0!</v>
      </c>
      <c r="E149" s="48">
        <f t="shared" si="54"/>
        <v>0</v>
      </c>
      <c r="F149" s="50">
        <f t="shared" si="55"/>
        <v>0</v>
      </c>
      <c r="G149" s="50">
        <f t="shared" si="62"/>
        <v>0</v>
      </c>
      <c r="H149" s="51" t="e">
        <f t="shared" si="63"/>
        <v>#DIV/0!</v>
      </c>
      <c r="I149" s="52" t="e">
        <f t="shared" si="49"/>
        <v>#DIV/0!</v>
      </c>
      <c r="J149" s="52" t="e">
        <f t="shared" si="50"/>
        <v>#DIV/0!</v>
      </c>
      <c r="K149" s="51" t="e">
        <f t="shared" si="60"/>
        <v>#DIV/0!</v>
      </c>
      <c r="L149" s="49" t="e">
        <f t="shared" si="56"/>
        <v>#DIV/0!</v>
      </c>
      <c r="M149" s="49">
        <f t="shared" si="46"/>
        <v>0</v>
      </c>
      <c r="N149" s="49">
        <f t="shared" si="45"/>
        <v>0</v>
      </c>
      <c r="O149" s="48" t="e">
        <f t="shared" si="51"/>
        <v>#DIV/0!</v>
      </c>
      <c r="P149" s="38" t="e">
        <f t="shared" si="47"/>
        <v>#DIV/0!</v>
      </c>
      <c r="Q149" s="53"/>
      <c r="R149" s="53">
        <f t="shared" si="57"/>
        <v>0.12</v>
      </c>
      <c r="S149" s="53">
        <f t="shared" si="58"/>
        <v>1.0596241035318976E-2</v>
      </c>
      <c r="T149" s="53">
        <f t="shared" si="59"/>
        <v>0</v>
      </c>
      <c r="U149" s="53">
        <f t="shared" si="61"/>
        <v>0</v>
      </c>
    </row>
    <row r="150" spans="1:21" x14ac:dyDescent="0.2">
      <c r="A150" s="62" t="e">
        <f t="shared" si="48"/>
        <v>#DIV/0!</v>
      </c>
      <c r="B150" s="45">
        <f t="shared" si="52"/>
        <v>136</v>
      </c>
      <c r="C150" s="51" t="e">
        <f t="shared" si="53"/>
        <v>#DIV/0!</v>
      </c>
      <c r="D150" s="47" t="e" cm="1">
        <f t="array" ref="D150">_xlfn.IFS(AND($C$7="Y",B150&lt;C$4),C150,AND($C$7="Y",B150=C$4),D149+F150-J150-K150-L150+N150,AND($C$7="Y",B150&gt;$C$4),D149-J150-K150-L150+N150, TRUE, D149-J150-K150-L150+N150)</f>
        <v>#DIV/0!</v>
      </c>
      <c r="E150" s="48">
        <f t="shared" si="54"/>
        <v>0</v>
      </c>
      <c r="F150" s="50">
        <f t="shared" si="55"/>
        <v>0</v>
      </c>
      <c r="G150" s="50">
        <f t="shared" si="62"/>
        <v>0</v>
      </c>
      <c r="H150" s="51" t="e">
        <f t="shared" si="63"/>
        <v>#DIV/0!</v>
      </c>
      <c r="I150" s="52" t="e">
        <f t="shared" si="49"/>
        <v>#DIV/0!</v>
      </c>
      <c r="J150" s="52" t="e">
        <f t="shared" si="50"/>
        <v>#DIV/0!</v>
      </c>
      <c r="K150" s="51" t="e">
        <f t="shared" si="60"/>
        <v>#DIV/0!</v>
      </c>
      <c r="L150" s="49" t="e">
        <f t="shared" si="56"/>
        <v>#DIV/0!</v>
      </c>
      <c r="M150" s="49">
        <f t="shared" si="46"/>
        <v>0</v>
      </c>
      <c r="N150" s="49">
        <f t="shared" si="45"/>
        <v>0</v>
      </c>
      <c r="O150" s="48" t="e">
        <f t="shared" si="51"/>
        <v>#DIV/0!</v>
      </c>
      <c r="P150" s="38" t="e">
        <f t="shared" si="47"/>
        <v>#DIV/0!</v>
      </c>
      <c r="Q150" s="53"/>
      <c r="R150" s="53">
        <f t="shared" si="57"/>
        <v>0.12</v>
      </c>
      <c r="S150" s="53">
        <f t="shared" si="58"/>
        <v>1.0596241035318976E-2</v>
      </c>
      <c r="T150" s="53">
        <f t="shared" si="59"/>
        <v>0</v>
      </c>
      <c r="U150" s="53">
        <f t="shared" si="61"/>
        <v>0</v>
      </c>
    </row>
    <row r="151" spans="1:21" x14ac:dyDescent="0.2">
      <c r="A151" s="62" t="e">
        <f t="shared" si="48"/>
        <v>#DIV/0!</v>
      </c>
      <c r="B151" s="45">
        <f t="shared" si="52"/>
        <v>137</v>
      </c>
      <c r="C151" s="51" t="e">
        <f t="shared" si="53"/>
        <v>#DIV/0!</v>
      </c>
      <c r="D151" s="47" t="e" cm="1">
        <f t="array" ref="D151">_xlfn.IFS(AND($C$7="Y",B151&lt;C$4),C151,AND($C$7="Y",B151=C$4),D150+F151-J151-K151-L151+N151,AND($C$7="Y",B151&gt;$C$4),D150-J151-K151-L151+N151, TRUE, D150-J151-K151-L151+N151)</f>
        <v>#DIV/0!</v>
      </c>
      <c r="E151" s="48">
        <f t="shared" si="54"/>
        <v>0</v>
      </c>
      <c r="F151" s="50">
        <f t="shared" si="55"/>
        <v>0</v>
      </c>
      <c r="G151" s="50">
        <f t="shared" si="62"/>
        <v>0</v>
      </c>
      <c r="H151" s="51" t="e">
        <f t="shared" si="63"/>
        <v>#DIV/0!</v>
      </c>
      <c r="I151" s="52" t="e">
        <f t="shared" si="49"/>
        <v>#DIV/0!</v>
      </c>
      <c r="J151" s="52" t="e">
        <f t="shared" si="50"/>
        <v>#DIV/0!</v>
      </c>
      <c r="K151" s="51" t="e">
        <f t="shared" si="60"/>
        <v>#DIV/0!</v>
      </c>
      <c r="L151" s="49" t="e">
        <f t="shared" si="56"/>
        <v>#DIV/0!</v>
      </c>
      <c r="M151" s="49">
        <f t="shared" si="46"/>
        <v>0</v>
      </c>
      <c r="N151" s="49">
        <f t="shared" si="45"/>
        <v>0</v>
      </c>
      <c r="O151" s="48" t="e">
        <f t="shared" si="51"/>
        <v>#DIV/0!</v>
      </c>
      <c r="P151" s="38" t="e">
        <f t="shared" si="47"/>
        <v>#DIV/0!</v>
      </c>
      <c r="Q151" s="53"/>
      <c r="R151" s="53">
        <f t="shared" si="57"/>
        <v>0.12</v>
      </c>
      <c r="S151" s="53">
        <f t="shared" si="58"/>
        <v>1.0596241035318976E-2</v>
      </c>
      <c r="T151" s="53">
        <f t="shared" si="59"/>
        <v>0</v>
      </c>
      <c r="U151" s="53">
        <f t="shared" si="61"/>
        <v>0</v>
      </c>
    </row>
    <row r="152" spans="1:21" x14ac:dyDescent="0.2">
      <c r="A152" s="62" t="e">
        <f t="shared" si="48"/>
        <v>#DIV/0!</v>
      </c>
      <c r="B152" s="45">
        <f t="shared" si="52"/>
        <v>138</v>
      </c>
      <c r="C152" s="51" t="e">
        <f t="shared" si="53"/>
        <v>#DIV/0!</v>
      </c>
      <c r="D152" s="47" t="e" cm="1">
        <f t="array" ref="D152">_xlfn.IFS(AND($C$7="Y",B152&lt;C$4),C152,AND($C$7="Y",B152=C$4),D151+F152-J152-K152-L152+N152,AND($C$7="Y",B152&gt;$C$4),D151-J152-K152-L152+N152, TRUE, D151-J152-K152-L152+N152)</f>
        <v>#DIV/0!</v>
      </c>
      <c r="E152" s="48">
        <f t="shared" si="54"/>
        <v>0</v>
      </c>
      <c r="F152" s="50">
        <f t="shared" si="55"/>
        <v>0</v>
      </c>
      <c r="G152" s="50">
        <f t="shared" si="62"/>
        <v>0</v>
      </c>
      <c r="H152" s="51" t="e">
        <f t="shared" si="63"/>
        <v>#DIV/0!</v>
      </c>
      <c r="I152" s="52" t="e">
        <f t="shared" si="49"/>
        <v>#DIV/0!</v>
      </c>
      <c r="J152" s="52" t="e">
        <f t="shared" si="50"/>
        <v>#DIV/0!</v>
      </c>
      <c r="K152" s="51" t="e">
        <f t="shared" si="60"/>
        <v>#DIV/0!</v>
      </c>
      <c r="L152" s="49" t="e">
        <f t="shared" si="56"/>
        <v>#DIV/0!</v>
      </c>
      <c r="M152" s="49">
        <f t="shared" si="46"/>
        <v>0</v>
      </c>
      <c r="N152" s="49">
        <f t="shared" si="45"/>
        <v>0</v>
      </c>
      <c r="O152" s="48" t="e">
        <f t="shared" si="51"/>
        <v>#DIV/0!</v>
      </c>
      <c r="P152" s="38" t="e">
        <f t="shared" si="47"/>
        <v>#DIV/0!</v>
      </c>
      <c r="Q152" s="53"/>
      <c r="R152" s="53">
        <f t="shared" si="57"/>
        <v>0.12</v>
      </c>
      <c r="S152" s="53">
        <f t="shared" si="58"/>
        <v>1.0596241035318976E-2</v>
      </c>
      <c r="T152" s="53">
        <f t="shared" si="59"/>
        <v>0</v>
      </c>
      <c r="U152" s="53">
        <f t="shared" si="61"/>
        <v>0</v>
      </c>
    </row>
    <row r="153" spans="1:21" x14ac:dyDescent="0.2">
      <c r="A153" s="62" t="e">
        <f t="shared" si="48"/>
        <v>#DIV/0!</v>
      </c>
      <c r="B153" s="45">
        <f t="shared" si="52"/>
        <v>139</v>
      </c>
      <c r="C153" s="51" t="e">
        <f t="shared" si="53"/>
        <v>#DIV/0!</v>
      </c>
      <c r="D153" s="47" t="e" cm="1">
        <f t="array" ref="D153">_xlfn.IFS(AND($C$7="Y",B153&lt;C$4),C153,AND($C$7="Y",B153=C$4),D152+F153-J153-K153-L153+N153,AND($C$7="Y",B153&gt;$C$4),D152-J153-K153-L153+N153, TRUE, D152-J153-K153-L153+N153)</f>
        <v>#DIV/0!</v>
      </c>
      <c r="E153" s="48">
        <f t="shared" si="54"/>
        <v>0</v>
      </c>
      <c r="F153" s="50">
        <f t="shared" si="55"/>
        <v>0</v>
      </c>
      <c r="G153" s="50">
        <f t="shared" si="62"/>
        <v>0</v>
      </c>
      <c r="H153" s="51" t="e">
        <f t="shared" si="63"/>
        <v>#DIV/0!</v>
      </c>
      <c r="I153" s="52" t="e">
        <f t="shared" si="49"/>
        <v>#DIV/0!</v>
      </c>
      <c r="J153" s="52" t="e">
        <f t="shared" si="50"/>
        <v>#DIV/0!</v>
      </c>
      <c r="K153" s="51" t="e">
        <f t="shared" si="60"/>
        <v>#DIV/0!</v>
      </c>
      <c r="L153" s="49" t="e">
        <f t="shared" si="56"/>
        <v>#DIV/0!</v>
      </c>
      <c r="M153" s="49">
        <f t="shared" si="46"/>
        <v>0</v>
      </c>
      <c r="N153" s="49">
        <f t="shared" si="45"/>
        <v>0</v>
      </c>
      <c r="O153" s="48" t="e">
        <f t="shared" si="51"/>
        <v>#DIV/0!</v>
      </c>
      <c r="P153" s="38" t="e">
        <f t="shared" si="47"/>
        <v>#DIV/0!</v>
      </c>
      <c r="Q153" s="53"/>
      <c r="R153" s="53">
        <f t="shared" si="57"/>
        <v>0.12</v>
      </c>
      <c r="S153" s="53">
        <f t="shared" si="58"/>
        <v>1.0596241035318976E-2</v>
      </c>
      <c r="T153" s="53">
        <f t="shared" si="59"/>
        <v>0</v>
      </c>
      <c r="U153" s="53">
        <f t="shared" si="61"/>
        <v>0</v>
      </c>
    </row>
    <row r="154" spans="1:21" x14ac:dyDescent="0.2">
      <c r="A154" s="62" t="e">
        <f t="shared" si="48"/>
        <v>#DIV/0!</v>
      </c>
      <c r="B154" s="45">
        <f t="shared" si="52"/>
        <v>140</v>
      </c>
      <c r="C154" s="51" t="e">
        <f t="shared" si="53"/>
        <v>#DIV/0!</v>
      </c>
      <c r="D154" s="47" t="e" cm="1">
        <f t="array" ref="D154">_xlfn.IFS(AND($C$7="Y",B154&lt;C$4),C154,AND($C$7="Y",B154=C$4),D153+F154-J154-K154-L154+N154,AND($C$7="Y",B154&gt;$C$4),D153-J154-K154-L154+N154, TRUE, D153-J154-K154-L154+N154)</f>
        <v>#DIV/0!</v>
      </c>
      <c r="E154" s="48">
        <f t="shared" si="54"/>
        <v>0</v>
      </c>
      <c r="F154" s="50">
        <f t="shared" si="55"/>
        <v>0</v>
      </c>
      <c r="G154" s="50">
        <f t="shared" si="62"/>
        <v>0</v>
      </c>
      <c r="H154" s="51" t="e">
        <f t="shared" si="63"/>
        <v>#DIV/0!</v>
      </c>
      <c r="I154" s="52" t="e">
        <f t="shared" si="49"/>
        <v>#DIV/0!</v>
      </c>
      <c r="J154" s="52" t="e">
        <f t="shared" si="50"/>
        <v>#DIV/0!</v>
      </c>
      <c r="K154" s="51" t="e">
        <f t="shared" si="60"/>
        <v>#DIV/0!</v>
      </c>
      <c r="L154" s="49" t="e">
        <f t="shared" si="56"/>
        <v>#DIV/0!</v>
      </c>
      <c r="M154" s="49">
        <f t="shared" si="46"/>
        <v>0</v>
      </c>
      <c r="N154" s="49">
        <f t="shared" si="45"/>
        <v>0</v>
      </c>
      <c r="O154" s="48" t="e">
        <f t="shared" si="51"/>
        <v>#DIV/0!</v>
      </c>
      <c r="P154" s="38" t="e">
        <f t="shared" si="47"/>
        <v>#DIV/0!</v>
      </c>
      <c r="Q154" s="53"/>
      <c r="R154" s="53">
        <f t="shared" si="57"/>
        <v>0.12</v>
      </c>
      <c r="S154" s="53">
        <f t="shared" si="58"/>
        <v>1.0596241035318976E-2</v>
      </c>
      <c r="T154" s="53">
        <f t="shared" si="59"/>
        <v>0</v>
      </c>
      <c r="U154" s="53">
        <f t="shared" si="61"/>
        <v>0</v>
      </c>
    </row>
    <row r="155" spans="1:21" x14ac:dyDescent="0.2">
      <c r="A155" s="62" t="e">
        <f t="shared" si="48"/>
        <v>#DIV/0!</v>
      </c>
      <c r="B155" s="45">
        <f t="shared" si="52"/>
        <v>141</v>
      </c>
      <c r="C155" s="51" t="e">
        <f t="shared" si="53"/>
        <v>#DIV/0!</v>
      </c>
      <c r="D155" s="47" t="e" cm="1">
        <f t="array" ref="D155">_xlfn.IFS(AND($C$7="Y",B155&lt;C$4),C155,AND($C$7="Y",B155=C$4),D154+F155-J155-K155-L155+N155,AND($C$7="Y",B155&gt;$C$4),D154-J155-K155-L155+N155, TRUE, D154-J155-K155-L155+N155)</f>
        <v>#DIV/0!</v>
      </c>
      <c r="E155" s="48">
        <f t="shared" si="54"/>
        <v>0</v>
      </c>
      <c r="F155" s="50">
        <f t="shared" si="55"/>
        <v>0</v>
      </c>
      <c r="G155" s="50">
        <f t="shared" si="62"/>
        <v>0</v>
      </c>
      <c r="H155" s="51" t="e">
        <f t="shared" si="63"/>
        <v>#DIV/0!</v>
      </c>
      <c r="I155" s="52" t="e">
        <f t="shared" si="49"/>
        <v>#DIV/0!</v>
      </c>
      <c r="J155" s="52" t="e">
        <f t="shared" si="50"/>
        <v>#DIV/0!</v>
      </c>
      <c r="K155" s="51" t="e">
        <f t="shared" si="60"/>
        <v>#DIV/0!</v>
      </c>
      <c r="L155" s="49" t="e">
        <f t="shared" si="56"/>
        <v>#DIV/0!</v>
      </c>
      <c r="M155" s="49">
        <f t="shared" si="46"/>
        <v>0</v>
      </c>
      <c r="N155" s="49">
        <f t="shared" si="45"/>
        <v>0</v>
      </c>
      <c r="O155" s="48" t="e">
        <f t="shared" si="51"/>
        <v>#DIV/0!</v>
      </c>
      <c r="P155" s="38" t="e">
        <f t="shared" si="47"/>
        <v>#DIV/0!</v>
      </c>
      <c r="Q155" s="53"/>
      <c r="R155" s="53">
        <f t="shared" si="57"/>
        <v>0.12</v>
      </c>
      <c r="S155" s="53">
        <f t="shared" si="58"/>
        <v>1.0596241035318976E-2</v>
      </c>
      <c r="T155" s="53">
        <f t="shared" si="59"/>
        <v>0</v>
      </c>
      <c r="U155" s="53">
        <f t="shared" si="61"/>
        <v>0</v>
      </c>
    </row>
    <row r="156" spans="1:21" x14ac:dyDescent="0.2">
      <c r="A156" s="62" t="e">
        <f t="shared" si="48"/>
        <v>#DIV/0!</v>
      </c>
      <c r="B156" s="45">
        <f t="shared" si="52"/>
        <v>142</v>
      </c>
      <c r="C156" s="51" t="e">
        <f t="shared" si="53"/>
        <v>#DIV/0!</v>
      </c>
      <c r="D156" s="47" t="e" cm="1">
        <f t="array" ref="D156">_xlfn.IFS(AND($C$7="Y",B156&lt;C$4),C156,AND($C$7="Y",B156=C$4),D155+F156-J156-K156-L156+N156,AND($C$7="Y",B156&gt;$C$4),D155-J156-K156-L156+N156, TRUE, D155-J156-K156-L156+N156)</f>
        <v>#DIV/0!</v>
      </c>
      <c r="E156" s="48">
        <f t="shared" si="54"/>
        <v>0</v>
      </c>
      <c r="F156" s="50">
        <f t="shared" si="55"/>
        <v>0</v>
      </c>
      <c r="G156" s="50">
        <f t="shared" si="62"/>
        <v>0</v>
      </c>
      <c r="H156" s="51" t="e">
        <f t="shared" si="63"/>
        <v>#DIV/0!</v>
      </c>
      <c r="I156" s="52" t="e">
        <f t="shared" si="49"/>
        <v>#DIV/0!</v>
      </c>
      <c r="J156" s="52" t="e">
        <f t="shared" si="50"/>
        <v>#DIV/0!</v>
      </c>
      <c r="K156" s="51" t="e">
        <f t="shared" si="60"/>
        <v>#DIV/0!</v>
      </c>
      <c r="L156" s="49" t="e">
        <f t="shared" si="56"/>
        <v>#DIV/0!</v>
      </c>
      <c r="M156" s="49">
        <f t="shared" si="46"/>
        <v>0</v>
      </c>
      <c r="N156" s="49">
        <f t="shared" si="45"/>
        <v>0</v>
      </c>
      <c r="O156" s="48" t="e">
        <f t="shared" si="51"/>
        <v>#DIV/0!</v>
      </c>
      <c r="P156" s="38" t="e">
        <f t="shared" si="47"/>
        <v>#DIV/0!</v>
      </c>
      <c r="Q156" s="53"/>
      <c r="R156" s="53">
        <f t="shared" si="57"/>
        <v>0.12</v>
      </c>
      <c r="S156" s="53">
        <f t="shared" si="58"/>
        <v>1.0596241035318976E-2</v>
      </c>
      <c r="T156" s="53">
        <f t="shared" si="59"/>
        <v>0</v>
      </c>
      <c r="U156" s="53">
        <f t="shared" si="61"/>
        <v>0</v>
      </c>
    </row>
    <row r="157" spans="1:21" x14ac:dyDescent="0.2">
      <c r="A157" s="62" t="e">
        <f t="shared" si="48"/>
        <v>#DIV/0!</v>
      </c>
      <c r="B157" s="45">
        <f t="shared" si="52"/>
        <v>143</v>
      </c>
      <c r="C157" s="51" t="e">
        <f t="shared" si="53"/>
        <v>#DIV/0!</v>
      </c>
      <c r="D157" s="47" t="e" cm="1">
        <f t="array" ref="D157">_xlfn.IFS(AND($C$7="Y",B157&lt;C$4),C157,AND($C$7="Y",B157=C$4),D156+F157-J157-K157-L157+N157,AND($C$7="Y",B157&gt;$C$4),D156-J157-K157-L157+N157, TRUE, D156-J157-K157-L157+N157)</f>
        <v>#DIV/0!</v>
      </c>
      <c r="E157" s="48">
        <f t="shared" si="54"/>
        <v>0</v>
      </c>
      <c r="F157" s="50">
        <f t="shared" si="55"/>
        <v>0</v>
      </c>
      <c r="G157" s="50">
        <f t="shared" si="62"/>
        <v>0</v>
      </c>
      <c r="H157" s="51" t="e">
        <f t="shared" si="63"/>
        <v>#DIV/0!</v>
      </c>
      <c r="I157" s="52" t="e">
        <f t="shared" si="49"/>
        <v>#DIV/0!</v>
      </c>
      <c r="J157" s="52" t="e">
        <f t="shared" si="50"/>
        <v>#DIV/0!</v>
      </c>
      <c r="K157" s="51" t="e">
        <f t="shared" si="60"/>
        <v>#DIV/0!</v>
      </c>
      <c r="L157" s="49" t="e">
        <f t="shared" si="56"/>
        <v>#DIV/0!</v>
      </c>
      <c r="M157" s="49">
        <f t="shared" si="46"/>
        <v>0</v>
      </c>
      <c r="N157" s="49">
        <f t="shared" si="45"/>
        <v>0</v>
      </c>
      <c r="O157" s="48" t="e">
        <f t="shared" si="51"/>
        <v>#DIV/0!</v>
      </c>
      <c r="P157" s="38" t="e">
        <f t="shared" si="47"/>
        <v>#DIV/0!</v>
      </c>
      <c r="Q157" s="53"/>
      <c r="R157" s="53">
        <f t="shared" si="57"/>
        <v>0.12</v>
      </c>
      <c r="S157" s="53">
        <f t="shared" si="58"/>
        <v>1.0596241035318976E-2</v>
      </c>
      <c r="T157" s="53">
        <f t="shared" si="59"/>
        <v>0</v>
      </c>
      <c r="U157" s="53">
        <f t="shared" si="61"/>
        <v>0</v>
      </c>
    </row>
    <row r="158" spans="1:21" x14ac:dyDescent="0.2">
      <c r="A158" s="62" t="e">
        <f t="shared" si="48"/>
        <v>#DIV/0!</v>
      </c>
      <c r="B158" s="45">
        <f t="shared" si="52"/>
        <v>144</v>
      </c>
      <c r="C158" s="51" t="e">
        <f t="shared" si="53"/>
        <v>#DIV/0!</v>
      </c>
      <c r="D158" s="47" t="e" cm="1">
        <f t="array" ref="D158">_xlfn.IFS(AND($C$7="Y",B158&lt;C$4),C158,AND($C$7="Y",B158=C$4),D157+F158-J158-K158-L158+N158,AND($C$7="Y",B158&gt;$C$4),D157-J158-K158-L158+N158, TRUE, D157-J158-K158-L158+N158)</f>
        <v>#DIV/0!</v>
      </c>
      <c r="E158" s="48">
        <f t="shared" si="54"/>
        <v>0</v>
      </c>
      <c r="F158" s="50">
        <f t="shared" si="55"/>
        <v>0</v>
      </c>
      <c r="G158" s="50">
        <f t="shared" si="62"/>
        <v>0</v>
      </c>
      <c r="H158" s="51" t="e">
        <f t="shared" si="63"/>
        <v>#DIV/0!</v>
      </c>
      <c r="I158" s="52" t="e">
        <f t="shared" si="49"/>
        <v>#DIV/0!</v>
      </c>
      <c r="J158" s="52" t="e">
        <f t="shared" si="50"/>
        <v>#DIV/0!</v>
      </c>
      <c r="K158" s="51" t="e">
        <f t="shared" si="60"/>
        <v>#DIV/0!</v>
      </c>
      <c r="L158" s="49" t="e">
        <f t="shared" si="56"/>
        <v>#DIV/0!</v>
      </c>
      <c r="M158" s="49">
        <f t="shared" si="46"/>
        <v>0</v>
      </c>
      <c r="N158" s="49">
        <f t="shared" si="45"/>
        <v>0</v>
      </c>
      <c r="O158" s="48" t="e">
        <f t="shared" si="51"/>
        <v>#DIV/0!</v>
      </c>
      <c r="P158" s="38" t="e">
        <f t="shared" si="47"/>
        <v>#DIV/0!</v>
      </c>
      <c r="Q158" s="53"/>
      <c r="R158" s="53">
        <f t="shared" si="57"/>
        <v>0.12</v>
      </c>
      <c r="S158" s="53">
        <f t="shared" si="58"/>
        <v>1.0596241035318976E-2</v>
      </c>
      <c r="T158" s="53">
        <f t="shared" si="59"/>
        <v>0</v>
      </c>
      <c r="U158" s="53">
        <f t="shared" si="61"/>
        <v>0</v>
      </c>
    </row>
    <row r="159" spans="1:21" x14ac:dyDescent="0.2">
      <c r="A159" s="62" t="e">
        <f t="shared" si="48"/>
        <v>#DIV/0!</v>
      </c>
      <c r="B159" s="45">
        <f t="shared" si="52"/>
        <v>145</v>
      </c>
      <c r="C159" s="51" t="e">
        <f t="shared" si="53"/>
        <v>#DIV/0!</v>
      </c>
      <c r="D159" s="47" t="e" cm="1">
        <f t="array" ref="D159">_xlfn.IFS(AND($C$7="Y",B159&lt;C$4),C159,AND($C$7="Y",B159=C$4),D158+F159-J159-K159-L159+N159,AND($C$7="Y",B159&gt;$C$4),D158-J159-K159-L159+N159, TRUE, D158-J159-K159-L159+N159)</f>
        <v>#DIV/0!</v>
      </c>
      <c r="E159" s="48">
        <f t="shared" si="54"/>
        <v>0</v>
      </c>
      <c r="F159" s="50">
        <f t="shared" si="55"/>
        <v>0</v>
      </c>
      <c r="G159" s="50">
        <f t="shared" si="62"/>
        <v>0</v>
      </c>
      <c r="H159" s="51" t="e">
        <f t="shared" si="63"/>
        <v>#DIV/0!</v>
      </c>
      <c r="I159" s="52" t="e">
        <f t="shared" si="49"/>
        <v>#DIV/0!</v>
      </c>
      <c r="J159" s="52" t="e">
        <f t="shared" si="50"/>
        <v>#DIV/0!</v>
      </c>
      <c r="K159" s="51" t="e">
        <f t="shared" si="60"/>
        <v>#DIV/0!</v>
      </c>
      <c r="L159" s="49" t="e">
        <f t="shared" si="56"/>
        <v>#DIV/0!</v>
      </c>
      <c r="M159" s="49">
        <f t="shared" si="46"/>
        <v>0</v>
      </c>
      <c r="N159" s="49">
        <f t="shared" si="45"/>
        <v>0</v>
      </c>
      <c r="O159" s="48" t="e">
        <f t="shared" si="51"/>
        <v>#DIV/0!</v>
      </c>
      <c r="P159" s="38" t="e">
        <f t="shared" si="47"/>
        <v>#DIV/0!</v>
      </c>
      <c r="Q159" s="53"/>
      <c r="R159" s="53">
        <f t="shared" si="57"/>
        <v>0.12</v>
      </c>
      <c r="S159" s="53">
        <f t="shared" si="58"/>
        <v>1.0596241035318976E-2</v>
      </c>
      <c r="T159" s="53">
        <f t="shared" si="59"/>
        <v>0</v>
      </c>
      <c r="U159" s="53">
        <f t="shared" si="61"/>
        <v>0</v>
      </c>
    </row>
    <row r="160" spans="1:21" x14ac:dyDescent="0.2">
      <c r="A160" s="62" t="e">
        <f t="shared" si="48"/>
        <v>#DIV/0!</v>
      </c>
      <c r="B160" s="45">
        <f t="shared" si="52"/>
        <v>146</v>
      </c>
      <c r="C160" s="51" t="e">
        <f t="shared" si="53"/>
        <v>#DIV/0!</v>
      </c>
      <c r="D160" s="47" t="e" cm="1">
        <f t="array" ref="D160">_xlfn.IFS(AND($C$7="Y",B160&lt;C$4),C160,AND($C$7="Y",B160=C$4),D159+F160-J160-K160-L160+N160,AND($C$7="Y",B160&gt;$C$4),D159-J160-K160-L160+N160, TRUE, D159-J160-K160-L160+N160)</f>
        <v>#DIV/0!</v>
      </c>
      <c r="E160" s="48">
        <f t="shared" si="54"/>
        <v>0</v>
      </c>
      <c r="F160" s="50">
        <f t="shared" si="55"/>
        <v>0</v>
      </c>
      <c r="G160" s="50">
        <f t="shared" si="62"/>
        <v>0</v>
      </c>
      <c r="H160" s="51" t="e">
        <f t="shared" si="63"/>
        <v>#DIV/0!</v>
      </c>
      <c r="I160" s="52" t="e">
        <f t="shared" si="49"/>
        <v>#DIV/0!</v>
      </c>
      <c r="J160" s="52" t="e">
        <f t="shared" si="50"/>
        <v>#DIV/0!</v>
      </c>
      <c r="K160" s="51" t="e">
        <f t="shared" si="60"/>
        <v>#DIV/0!</v>
      </c>
      <c r="L160" s="49" t="e">
        <f t="shared" si="56"/>
        <v>#DIV/0!</v>
      </c>
      <c r="M160" s="49">
        <f t="shared" si="46"/>
        <v>0</v>
      </c>
      <c r="N160" s="49">
        <f t="shared" si="45"/>
        <v>0</v>
      </c>
      <c r="O160" s="48" t="e">
        <f t="shared" si="51"/>
        <v>#DIV/0!</v>
      </c>
      <c r="P160" s="38" t="e">
        <f t="shared" si="47"/>
        <v>#DIV/0!</v>
      </c>
      <c r="Q160" s="53"/>
      <c r="R160" s="53">
        <f t="shared" si="57"/>
        <v>0.12</v>
      </c>
      <c r="S160" s="53">
        <f t="shared" si="58"/>
        <v>1.0596241035318976E-2</v>
      </c>
      <c r="T160" s="53">
        <f t="shared" si="59"/>
        <v>0</v>
      </c>
      <c r="U160" s="53">
        <f t="shared" si="61"/>
        <v>0</v>
      </c>
    </row>
    <row r="161" spans="1:21" x14ac:dyDescent="0.2">
      <c r="A161" s="62" t="e">
        <f t="shared" si="48"/>
        <v>#DIV/0!</v>
      </c>
      <c r="B161" s="45">
        <f t="shared" si="52"/>
        <v>147</v>
      </c>
      <c r="C161" s="51" t="e">
        <f t="shared" si="53"/>
        <v>#DIV/0!</v>
      </c>
      <c r="D161" s="47" t="e" cm="1">
        <f t="array" ref="D161">_xlfn.IFS(AND($C$7="Y",B161&lt;C$4),C161,AND($C$7="Y",B161=C$4),D160+F161-J161-K161-L161+N161,AND($C$7="Y",B161&gt;$C$4),D160-J161-K161-L161+N161, TRUE, D160-J161-K161-L161+N161)</f>
        <v>#DIV/0!</v>
      </c>
      <c r="E161" s="48">
        <f t="shared" si="54"/>
        <v>0</v>
      </c>
      <c r="F161" s="50">
        <f t="shared" si="55"/>
        <v>0</v>
      </c>
      <c r="G161" s="50">
        <f t="shared" si="62"/>
        <v>0</v>
      </c>
      <c r="H161" s="51" t="e">
        <f t="shared" si="63"/>
        <v>#DIV/0!</v>
      </c>
      <c r="I161" s="52" t="e">
        <f t="shared" si="49"/>
        <v>#DIV/0!</v>
      </c>
      <c r="J161" s="52" t="e">
        <f t="shared" si="50"/>
        <v>#DIV/0!</v>
      </c>
      <c r="K161" s="51" t="e">
        <f t="shared" si="60"/>
        <v>#DIV/0!</v>
      </c>
      <c r="L161" s="49" t="e">
        <f t="shared" si="56"/>
        <v>#DIV/0!</v>
      </c>
      <c r="M161" s="49">
        <f t="shared" si="46"/>
        <v>0</v>
      </c>
      <c r="N161" s="49">
        <f t="shared" si="45"/>
        <v>0</v>
      </c>
      <c r="O161" s="48" t="e">
        <f t="shared" si="51"/>
        <v>#DIV/0!</v>
      </c>
      <c r="P161" s="38" t="e">
        <f t="shared" si="47"/>
        <v>#DIV/0!</v>
      </c>
      <c r="Q161" s="53"/>
      <c r="R161" s="53">
        <f t="shared" si="57"/>
        <v>0.12</v>
      </c>
      <c r="S161" s="53">
        <f t="shared" si="58"/>
        <v>1.0596241035318976E-2</v>
      </c>
      <c r="T161" s="53">
        <f t="shared" si="59"/>
        <v>0</v>
      </c>
      <c r="U161" s="53">
        <f t="shared" si="61"/>
        <v>0</v>
      </c>
    </row>
    <row r="162" spans="1:21" x14ac:dyDescent="0.2">
      <c r="A162" s="62" t="e">
        <f t="shared" si="48"/>
        <v>#DIV/0!</v>
      </c>
      <c r="B162" s="45">
        <f t="shared" si="52"/>
        <v>148</v>
      </c>
      <c r="C162" s="51" t="e">
        <f t="shared" si="53"/>
        <v>#DIV/0!</v>
      </c>
      <c r="D162" s="47" t="e" cm="1">
        <f t="array" ref="D162">_xlfn.IFS(AND($C$7="Y",B162&lt;C$4),C162,AND($C$7="Y",B162=C$4),D161+F162-J162-K162-L162+N162,AND($C$7="Y",B162&gt;$C$4),D161-J162-K162-L162+N162, TRUE, D161-J162-K162-L162+N162)</f>
        <v>#DIV/0!</v>
      </c>
      <c r="E162" s="48">
        <f t="shared" si="54"/>
        <v>0</v>
      </c>
      <c r="F162" s="50">
        <f t="shared" si="55"/>
        <v>0</v>
      </c>
      <c r="G162" s="50">
        <f t="shared" si="62"/>
        <v>0</v>
      </c>
      <c r="H162" s="51" t="e">
        <f t="shared" si="63"/>
        <v>#DIV/0!</v>
      </c>
      <c r="I162" s="52" t="e">
        <f t="shared" si="49"/>
        <v>#DIV/0!</v>
      </c>
      <c r="J162" s="52" t="e">
        <f t="shared" si="50"/>
        <v>#DIV/0!</v>
      </c>
      <c r="K162" s="51" t="e">
        <f t="shared" si="60"/>
        <v>#DIV/0!</v>
      </c>
      <c r="L162" s="49" t="e">
        <f t="shared" si="56"/>
        <v>#DIV/0!</v>
      </c>
      <c r="M162" s="49">
        <f t="shared" si="46"/>
        <v>0</v>
      </c>
      <c r="N162" s="49">
        <f t="shared" si="45"/>
        <v>0</v>
      </c>
      <c r="O162" s="48" t="e">
        <f t="shared" si="51"/>
        <v>#DIV/0!</v>
      </c>
      <c r="P162" s="38" t="e">
        <f t="shared" si="47"/>
        <v>#DIV/0!</v>
      </c>
      <c r="Q162" s="53"/>
      <c r="R162" s="53">
        <f t="shared" si="57"/>
        <v>0.12</v>
      </c>
      <c r="S162" s="53">
        <f t="shared" si="58"/>
        <v>1.0596241035318976E-2</v>
      </c>
      <c r="T162" s="53">
        <f t="shared" si="59"/>
        <v>0</v>
      </c>
      <c r="U162" s="53">
        <f t="shared" si="61"/>
        <v>0</v>
      </c>
    </row>
    <row r="163" spans="1:21" x14ac:dyDescent="0.2">
      <c r="A163" s="62" t="e">
        <f t="shared" si="48"/>
        <v>#DIV/0!</v>
      </c>
      <c r="B163" s="45">
        <f t="shared" si="52"/>
        <v>149</v>
      </c>
      <c r="C163" s="51" t="e">
        <f t="shared" si="53"/>
        <v>#DIV/0!</v>
      </c>
      <c r="D163" s="47" t="e" cm="1">
        <f t="array" ref="D163">_xlfn.IFS(AND($C$7="Y",B163&lt;C$4),C163,AND($C$7="Y",B163=C$4),D162+F163-J163-K163-L163+N163,AND($C$7="Y",B163&gt;$C$4),D162-J163-K163-L163+N163, TRUE, D162-J163-K163-L163+N163)</f>
        <v>#DIV/0!</v>
      </c>
      <c r="E163" s="48">
        <f t="shared" si="54"/>
        <v>0</v>
      </c>
      <c r="F163" s="50">
        <f t="shared" si="55"/>
        <v>0</v>
      </c>
      <c r="G163" s="50">
        <f t="shared" si="62"/>
        <v>0</v>
      </c>
      <c r="H163" s="51" t="e">
        <f t="shared" si="63"/>
        <v>#DIV/0!</v>
      </c>
      <c r="I163" s="52" t="e">
        <f t="shared" si="49"/>
        <v>#DIV/0!</v>
      </c>
      <c r="J163" s="52" t="e">
        <f t="shared" si="50"/>
        <v>#DIV/0!</v>
      </c>
      <c r="K163" s="51" t="e">
        <f t="shared" si="60"/>
        <v>#DIV/0!</v>
      </c>
      <c r="L163" s="49" t="e">
        <f t="shared" si="56"/>
        <v>#DIV/0!</v>
      </c>
      <c r="M163" s="49">
        <f t="shared" si="46"/>
        <v>0</v>
      </c>
      <c r="N163" s="49">
        <f t="shared" ref="N163:N226" si="64">IFERROR((1-$N$12)*L159,0)</f>
        <v>0</v>
      </c>
      <c r="O163" s="48" t="e">
        <f t="shared" si="51"/>
        <v>#DIV/0!</v>
      </c>
      <c r="P163" s="38" t="e">
        <f t="shared" si="47"/>
        <v>#DIV/0!</v>
      </c>
      <c r="Q163" s="53"/>
      <c r="R163" s="53">
        <f t="shared" si="57"/>
        <v>0.12</v>
      </c>
      <c r="S163" s="53">
        <f t="shared" si="58"/>
        <v>1.0596241035318976E-2</v>
      </c>
      <c r="T163" s="53">
        <f t="shared" si="59"/>
        <v>0</v>
      </c>
      <c r="U163" s="53">
        <f t="shared" si="61"/>
        <v>0</v>
      </c>
    </row>
    <row r="164" spans="1:21" x14ac:dyDescent="0.2">
      <c r="A164" s="62" t="e">
        <f t="shared" si="48"/>
        <v>#DIV/0!</v>
      </c>
      <c r="B164" s="45">
        <f t="shared" si="52"/>
        <v>150</v>
      </c>
      <c r="C164" s="51" t="e">
        <f t="shared" si="53"/>
        <v>#DIV/0!</v>
      </c>
      <c r="D164" s="47" t="e" cm="1">
        <f t="array" ref="D164">_xlfn.IFS(AND($C$7="Y",B164&lt;C$4),C164,AND($C$7="Y",B164=C$4),D163+F164-J164-K164-L164+N164,AND($C$7="Y",B164&gt;$C$4),D163-J164-K164-L164+N164, TRUE, D163-J164-K164-L164+N164)</f>
        <v>#DIV/0!</v>
      </c>
      <c r="E164" s="48">
        <f t="shared" si="54"/>
        <v>0</v>
      </c>
      <c r="F164" s="50">
        <f t="shared" si="55"/>
        <v>0</v>
      </c>
      <c r="G164" s="50">
        <f t="shared" si="62"/>
        <v>0</v>
      </c>
      <c r="H164" s="51" t="e">
        <f t="shared" si="63"/>
        <v>#DIV/0!</v>
      </c>
      <c r="I164" s="52" t="e">
        <f t="shared" si="49"/>
        <v>#DIV/0!</v>
      </c>
      <c r="J164" s="52" t="e">
        <f t="shared" si="50"/>
        <v>#DIV/0!</v>
      </c>
      <c r="K164" s="51" t="e">
        <f t="shared" si="60"/>
        <v>#DIV/0!</v>
      </c>
      <c r="L164" s="49" t="e">
        <f t="shared" si="56"/>
        <v>#DIV/0!</v>
      </c>
      <c r="M164" s="49">
        <f t="shared" si="46"/>
        <v>0</v>
      </c>
      <c r="N164" s="49">
        <f t="shared" si="64"/>
        <v>0</v>
      </c>
      <c r="O164" s="48" t="e">
        <f t="shared" si="51"/>
        <v>#DIV/0!</v>
      </c>
      <c r="P164" s="38" t="e">
        <f t="shared" si="47"/>
        <v>#DIV/0!</v>
      </c>
      <c r="Q164" s="53"/>
      <c r="R164" s="53">
        <f t="shared" si="57"/>
        <v>0.12</v>
      </c>
      <c r="S164" s="53">
        <f t="shared" si="58"/>
        <v>1.0596241035318976E-2</v>
      </c>
      <c r="T164" s="53">
        <f t="shared" si="59"/>
        <v>0</v>
      </c>
      <c r="U164" s="53">
        <f t="shared" si="61"/>
        <v>0</v>
      </c>
    </row>
    <row r="165" spans="1:21" x14ac:dyDescent="0.2">
      <c r="A165" s="62" t="e">
        <f t="shared" si="48"/>
        <v>#DIV/0!</v>
      </c>
      <c r="B165" s="45">
        <f t="shared" si="52"/>
        <v>151</v>
      </c>
      <c r="C165" s="51" t="e">
        <f t="shared" si="53"/>
        <v>#DIV/0!</v>
      </c>
      <c r="D165" s="47" t="e" cm="1">
        <f t="array" ref="D165">_xlfn.IFS(AND($C$7="Y",B165&lt;C$4),C165,AND($C$7="Y",B165=C$4),D164+F165-J165-K165-L165+N165,AND($C$7="Y",B165&gt;$C$4),D164-J165-K165-L165+N165, TRUE, D164-J165-K165-L165+N165)</f>
        <v>#DIV/0!</v>
      </c>
      <c r="E165" s="48">
        <f t="shared" si="54"/>
        <v>0</v>
      </c>
      <c r="F165" s="50">
        <f t="shared" si="55"/>
        <v>0</v>
      </c>
      <c r="G165" s="50">
        <f t="shared" si="62"/>
        <v>0</v>
      </c>
      <c r="H165" s="51" t="e">
        <f t="shared" si="63"/>
        <v>#DIV/0!</v>
      </c>
      <c r="I165" s="52" t="e">
        <f t="shared" si="49"/>
        <v>#DIV/0!</v>
      </c>
      <c r="J165" s="52" t="e">
        <f t="shared" si="50"/>
        <v>#DIV/0!</v>
      </c>
      <c r="K165" s="51" t="e">
        <f t="shared" si="60"/>
        <v>#DIV/0!</v>
      </c>
      <c r="L165" s="49" t="e">
        <f t="shared" si="56"/>
        <v>#DIV/0!</v>
      </c>
      <c r="M165" s="49">
        <f t="shared" si="46"/>
        <v>0</v>
      </c>
      <c r="N165" s="49">
        <f t="shared" si="64"/>
        <v>0</v>
      </c>
      <c r="O165" s="48" t="e">
        <f t="shared" si="51"/>
        <v>#DIV/0!</v>
      </c>
      <c r="P165" s="38" t="e">
        <f t="shared" si="47"/>
        <v>#DIV/0!</v>
      </c>
      <c r="Q165" s="53"/>
      <c r="R165" s="53">
        <f t="shared" si="57"/>
        <v>0.12</v>
      </c>
      <c r="S165" s="53">
        <f t="shared" si="58"/>
        <v>1.0596241035318976E-2</v>
      </c>
      <c r="T165" s="53">
        <f t="shared" si="59"/>
        <v>0</v>
      </c>
      <c r="U165" s="53">
        <f t="shared" si="61"/>
        <v>0</v>
      </c>
    </row>
    <row r="166" spans="1:21" x14ac:dyDescent="0.2">
      <c r="A166" s="62" t="e">
        <f t="shared" si="48"/>
        <v>#DIV/0!</v>
      </c>
      <c r="B166" s="45">
        <f t="shared" si="52"/>
        <v>152</v>
      </c>
      <c r="C166" s="51" t="e">
        <f t="shared" si="53"/>
        <v>#DIV/0!</v>
      </c>
      <c r="D166" s="47" t="e" cm="1">
        <f t="array" ref="D166">_xlfn.IFS(AND($C$7="Y",B166&lt;C$4),C166,AND($C$7="Y",B166=C$4),D165+F166-J166-K166-L166+N166,AND($C$7="Y",B166&gt;$C$4),D165-J166-K166-L166+N166, TRUE, D165-J166-K166-L166+N166)</f>
        <v>#DIV/0!</v>
      </c>
      <c r="E166" s="48">
        <f t="shared" si="54"/>
        <v>0</v>
      </c>
      <c r="F166" s="50">
        <f t="shared" si="55"/>
        <v>0</v>
      </c>
      <c r="G166" s="50">
        <f t="shared" si="62"/>
        <v>0</v>
      </c>
      <c r="H166" s="51" t="e">
        <f t="shared" si="63"/>
        <v>#DIV/0!</v>
      </c>
      <c r="I166" s="52" t="e">
        <f t="shared" si="49"/>
        <v>#DIV/0!</v>
      </c>
      <c r="J166" s="52" t="e">
        <f t="shared" si="50"/>
        <v>#DIV/0!</v>
      </c>
      <c r="K166" s="51" t="e">
        <f t="shared" si="60"/>
        <v>#DIV/0!</v>
      </c>
      <c r="L166" s="49" t="e">
        <f t="shared" si="56"/>
        <v>#DIV/0!</v>
      </c>
      <c r="M166" s="49">
        <f t="shared" si="46"/>
        <v>0</v>
      </c>
      <c r="N166" s="49">
        <f t="shared" si="64"/>
        <v>0</v>
      </c>
      <c r="O166" s="48" t="e">
        <f t="shared" si="51"/>
        <v>#DIV/0!</v>
      </c>
      <c r="P166" s="38" t="e">
        <f t="shared" si="47"/>
        <v>#DIV/0!</v>
      </c>
      <c r="Q166" s="53"/>
      <c r="R166" s="53">
        <f t="shared" si="57"/>
        <v>0.12</v>
      </c>
      <c r="S166" s="53">
        <f t="shared" si="58"/>
        <v>1.0596241035318976E-2</v>
      </c>
      <c r="T166" s="53">
        <f t="shared" si="59"/>
        <v>0</v>
      </c>
      <c r="U166" s="53">
        <f t="shared" si="61"/>
        <v>0</v>
      </c>
    </row>
    <row r="167" spans="1:21" x14ac:dyDescent="0.2">
      <c r="A167" s="62" t="e">
        <f t="shared" si="48"/>
        <v>#DIV/0!</v>
      </c>
      <c r="B167" s="45">
        <f t="shared" si="52"/>
        <v>153</v>
      </c>
      <c r="C167" s="51" t="e">
        <f t="shared" si="53"/>
        <v>#DIV/0!</v>
      </c>
      <c r="D167" s="47" t="e" cm="1">
        <f t="array" ref="D167">_xlfn.IFS(AND($C$7="Y",B167&lt;C$4),C167,AND($C$7="Y",B167=C$4),D166+F167-J167-K167-L167+N167,AND($C$7="Y",B167&gt;$C$4),D166-J167-K167-L167+N167, TRUE, D166-J167-K167-L167+N167)</f>
        <v>#DIV/0!</v>
      </c>
      <c r="E167" s="48">
        <f t="shared" si="54"/>
        <v>0</v>
      </c>
      <c r="F167" s="50">
        <f t="shared" si="55"/>
        <v>0</v>
      </c>
      <c r="G167" s="50">
        <f t="shared" si="62"/>
        <v>0</v>
      </c>
      <c r="H167" s="51" t="e">
        <f t="shared" si="63"/>
        <v>#DIV/0!</v>
      </c>
      <c r="I167" s="52" t="e">
        <f t="shared" si="49"/>
        <v>#DIV/0!</v>
      </c>
      <c r="J167" s="52" t="e">
        <f t="shared" si="50"/>
        <v>#DIV/0!</v>
      </c>
      <c r="K167" s="51" t="e">
        <f t="shared" si="60"/>
        <v>#DIV/0!</v>
      </c>
      <c r="L167" s="49" t="e">
        <f t="shared" si="56"/>
        <v>#DIV/0!</v>
      </c>
      <c r="M167" s="49">
        <f t="shared" si="46"/>
        <v>0</v>
      </c>
      <c r="N167" s="49">
        <f t="shared" si="64"/>
        <v>0</v>
      </c>
      <c r="O167" s="48" t="e">
        <f t="shared" si="51"/>
        <v>#DIV/0!</v>
      </c>
      <c r="P167" s="38" t="e">
        <f t="shared" si="47"/>
        <v>#DIV/0!</v>
      </c>
      <c r="Q167" s="53"/>
      <c r="R167" s="53">
        <f t="shared" si="57"/>
        <v>0.12</v>
      </c>
      <c r="S167" s="53">
        <f t="shared" si="58"/>
        <v>1.0596241035318976E-2</v>
      </c>
      <c r="T167" s="53">
        <f t="shared" si="59"/>
        <v>0</v>
      </c>
      <c r="U167" s="53">
        <f t="shared" si="61"/>
        <v>0</v>
      </c>
    </row>
    <row r="168" spans="1:21" x14ac:dyDescent="0.2">
      <c r="A168" s="62" t="e">
        <f t="shared" si="48"/>
        <v>#DIV/0!</v>
      </c>
      <c r="B168" s="45">
        <f t="shared" si="52"/>
        <v>154</v>
      </c>
      <c r="C168" s="51" t="e">
        <f t="shared" si="53"/>
        <v>#DIV/0!</v>
      </c>
      <c r="D168" s="47" t="e" cm="1">
        <f t="array" ref="D168">_xlfn.IFS(AND($C$7="Y",B168&lt;C$4),C168,AND($C$7="Y",B168=C$4),D167+F168-J168-K168-L168+N168,AND($C$7="Y",B168&gt;$C$4),D167-J168-K168-L168+N168, TRUE, D167-J168-K168-L168+N168)</f>
        <v>#DIV/0!</v>
      </c>
      <c r="E168" s="48">
        <f t="shared" si="54"/>
        <v>0</v>
      </c>
      <c r="F168" s="50">
        <f t="shared" si="55"/>
        <v>0</v>
      </c>
      <c r="G168" s="50">
        <f t="shared" si="62"/>
        <v>0</v>
      </c>
      <c r="H168" s="51" t="e">
        <f t="shared" si="63"/>
        <v>#DIV/0!</v>
      </c>
      <c r="I168" s="52" t="e">
        <f t="shared" si="49"/>
        <v>#DIV/0!</v>
      </c>
      <c r="J168" s="52" t="e">
        <f t="shared" si="50"/>
        <v>#DIV/0!</v>
      </c>
      <c r="K168" s="51" t="e">
        <f t="shared" si="60"/>
        <v>#DIV/0!</v>
      </c>
      <c r="L168" s="49" t="e">
        <f t="shared" si="56"/>
        <v>#DIV/0!</v>
      </c>
      <c r="M168" s="49">
        <f t="shared" si="46"/>
        <v>0</v>
      </c>
      <c r="N168" s="49">
        <f t="shared" si="64"/>
        <v>0</v>
      </c>
      <c r="O168" s="48" t="e">
        <f t="shared" si="51"/>
        <v>#DIV/0!</v>
      </c>
      <c r="P168" s="38" t="e">
        <f t="shared" si="47"/>
        <v>#DIV/0!</v>
      </c>
      <c r="Q168" s="53"/>
      <c r="R168" s="53">
        <f t="shared" si="57"/>
        <v>0.12</v>
      </c>
      <c r="S168" s="53">
        <f t="shared" si="58"/>
        <v>1.0596241035318976E-2</v>
      </c>
      <c r="T168" s="53">
        <f t="shared" si="59"/>
        <v>0</v>
      </c>
      <c r="U168" s="53">
        <f t="shared" si="61"/>
        <v>0</v>
      </c>
    </row>
    <row r="169" spans="1:21" x14ac:dyDescent="0.2">
      <c r="A169" s="62" t="e">
        <f t="shared" si="48"/>
        <v>#DIV/0!</v>
      </c>
      <c r="B169" s="45">
        <f t="shared" si="52"/>
        <v>155</v>
      </c>
      <c r="C169" s="51" t="e">
        <f t="shared" si="53"/>
        <v>#DIV/0!</v>
      </c>
      <c r="D169" s="47" t="e" cm="1">
        <f t="array" ref="D169">_xlfn.IFS(AND($C$7="Y",B169&lt;C$4),C169,AND($C$7="Y",B169=C$4),D168+F169-J169-K169-L169+N169,AND($C$7="Y",B169&gt;$C$4),D168-J169-K169-L169+N169, TRUE, D168-J169-K169-L169+N169)</f>
        <v>#DIV/0!</v>
      </c>
      <c r="E169" s="48">
        <f t="shared" si="54"/>
        <v>0</v>
      </c>
      <c r="F169" s="50">
        <f t="shared" si="55"/>
        <v>0</v>
      </c>
      <c r="G169" s="50">
        <f t="shared" si="62"/>
        <v>0</v>
      </c>
      <c r="H169" s="51" t="e">
        <f t="shared" si="63"/>
        <v>#DIV/0!</v>
      </c>
      <c r="I169" s="52" t="e">
        <f t="shared" si="49"/>
        <v>#DIV/0!</v>
      </c>
      <c r="J169" s="52" t="e">
        <f t="shared" si="50"/>
        <v>#DIV/0!</v>
      </c>
      <c r="K169" s="51" t="e">
        <f t="shared" si="60"/>
        <v>#DIV/0!</v>
      </c>
      <c r="L169" s="49" t="e">
        <f t="shared" si="56"/>
        <v>#DIV/0!</v>
      </c>
      <c r="M169" s="49">
        <f t="shared" si="46"/>
        <v>0</v>
      </c>
      <c r="N169" s="49">
        <f t="shared" si="64"/>
        <v>0</v>
      </c>
      <c r="O169" s="48" t="e">
        <f t="shared" si="51"/>
        <v>#DIV/0!</v>
      </c>
      <c r="P169" s="38" t="e">
        <f t="shared" si="47"/>
        <v>#DIV/0!</v>
      </c>
      <c r="Q169" s="53"/>
      <c r="R169" s="53">
        <f t="shared" si="57"/>
        <v>0.12</v>
      </c>
      <c r="S169" s="53">
        <f t="shared" si="58"/>
        <v>1.0596241035318976E-2</v>
      </c>
      <c r="T169" s="53">
        <f t="shared" si="59"/>
        <v>0</v>
      </c>
      <c r="U169" s="53">
        <f t="shared" si="61"/>
        <v>0</v>
      </c>
    </row>
    <row r="170" spans="1:21" x14ac:dyDescent="0.2">
      <c r="A170" s="62" t="e">
        <f t="shared" si="48"/>
        <v>#DIV/0!</v>
      </c>
      <c r="B170" s="45">
        <f t="shared" si="52"/>
        <v>156</v>
      </c>
      <c r="C170" s="51" t="e">
        <f t="shared" si="53"/>
        <v>#DIV/0!</v>
      </c>
      <c r="D170" s="47" t="e" cm="1">
        <f t="array" ref="D170">_xlfn.IFS(AND($C$7="Y",B170&lt;C$4),C170,AND($C$7="Y",B170=C$4),D169+F170-J170-K170-L170+N170,AND($C$7="Y",B170&gt;$C$4),D169-J170-K170-L170+N170, TRUE, D169-J170-K170-L170+N170)</f>
        <v>#DIV/0!</v>
      </c>
      <c r="E170" s="48">
        <f t="shared" si="54"/>
        <v>0</v>
      </c>
      <c r="F170" s="50">
        <f t="shared" si="55"/>
        <v>0</v>
      </c>
      <c r="G170" s="50">
        <f t="shared" si="62"/>
        <v>0</v>
      </c>
      <c r="H170" s="51" t="e">
        <f t="shared" si="63"/>
        <v>#DIV/0!</v>
      </c>
      <c r="I170" s="52" t="e">
        <f t="shared" si="49"/>
        <v>#DIV/0!</v>
      </c>
      <c r="J170" s="52" t="e">
        <f t="shared" si="50"/>
        <v>#DIV/0!</v>
      </c>
      <c r="K170" s="51" t="e">
        <f t="shared" si="60"/>
        <v>#DIV/0!</v>
      </c>
      <c r="L170" s="49" t="e">
        <f t="shared" si="56"/>
        <v>#DIV/0!</v>
      </c>
      <c r="M170" s="49">
        <f t="shared" si="46"/>
        <v>0</v>
      </c>
      <c r="N170" s="49">
        <f t="shared" si="64"/>
        <v>0</v>
      </c>
      <c r="O170" s="48" t="e">
        <f t="shared" si="51"/>
        <v>#DIV/0!</v>
      </c>
      <c r="P170" s="38" t="e">
        <f t="shared" si="47"/>
        <v>#DIV/0!</v>
      </c>
      <c r="Q170" s="53"/>
      <c r="R170" s="53">
        <f t="shared" si="57"/>
        <v>0.12</v>
      </c>
      <c r="S170" s="53">
        <f t="shared" si="58"/>
        <v>1.0596241035318976E-2</v>
      </c>
      <c r="T170" s="53">
        <f t="shared" si="59"/>
        <v>0</v>
      </c>
      <c r="U170" s="53">
        <f t="shared" si="61"/>
        <v>0</v>
      </c>
    </row>
    <row r="171" spans="1:21" x14ac:dyDescent="0.2">
      <c r="A171" s="62" t="e">
        <f t="shared" si="48"/>
        <v>#DIV/0!</v>
      </c>
      <c r="B171" s="45">
        <f t="shared" si="52"/>
        <v>157</v>
      </c>
      <c r="C171" s="51" t="e">
        <f t="shared" si="53"/>
        <v>#DIV/0!</v>
      </c>
      <c r="D171" s="47" t="e" cm="1">
        <f t="array" ref="D171">_xlfn.IFS(AND($C$7="Y",B171&lt;C$4),C171,AND($C$7="Y",B171=C$4),D170+F171-J171-K171-L171+N171,AND($C$7="Y",B171&gt;$C$4),D170-J171-K171-L171+N171, TRUE, D170-J171-K171-L171+N171)</f>
        <v>#DIV/0!</v>
      </c>
      <c r="E171" s="48">
        <f t="shared" si="54"/>
        <v>0</v>
      </c>
      <c r="F171" s="50">
        <f t="shared" si="55"/>
        <v>0</v>
      </c>
      <c r="G171" s="50">
        <f t="shared" si="62"/>
        <v>0</v>
      </c>
      <c r="H171" s="51" t="e">
        <f t="shared" si="63"/>
        <v>#DIV/0!</v>
      </c>
      <c r="I171" s="52" t="e">
        <f t="shared" si="49"/>
        <v>#DIV/0!</v>
      </c>
      <c r="J171" s="52" t="e">
        <f t="shared" si="50"/>
        <v>#DIV/0!</v>
      </c>
      <c r="K171" s="51" t="e">
        <f t="shared" si="60"/>
        <v>#DIV/0!</v>
      </c>
      <c r="L171" s="49" t="e">
        <f t="shared" si="56"/>
        <v>#DIV/0!</v>
      </c>
      <c r="M171" s="49">
        <f t="shared" si="46"/>
        <v>0</v>
      </c>
      <c r="N171" s="49">
        <f t="shared" si="64"/>
        <v>0</v>
      </c>
      <c r="O171" s="48" t="e">
        <f t="shared" si="51"/>
        <v>#DIV/0!</v>
      </c>
      <c r="P171" s="38" t="e">
        <f t="shared" si="47"/>
        <v>#DIV/0!</v>
      </c>
      <c r="Q171" s="53"/>
      <c r="R171" s="53">
        <f t="shared" si="57"/>
        <v>0.12</v>
      </c>
      <c r="S171" s="53">
        <f t="shared" si="58"/>
        <v>1.0596241035318976E-2</v>
      </c>
      <c r="T171" s="53">
        <f t="shared" si="59"/>
        <v>0</v>
      </c>
      <c r="U171" s="53">
        <f t="shared" si="61"/>
        <v>0</v>
      </c>
    </row>
    <row r="172" spans="1:21" x14ac:dyDescent="0.2">
      <c r="A172" s="62" t="e">
        <f t="shared" si="48"/>
        <v>#DIV/0!</v>
      </c>
      <c r="B172" s="45">
        <f t="shared" si="52"/>
        <v>158</v>
      </c>
      <c r="C172" s="51" t="e">
        <f t="shared" si="53"/>
        <v>#DIV/0!</v>
      </c>
      <c r="D172" s="47" t="e" cm="1">
        <f t="array" ref="D172">_xlfn.IFS(AND($C$7="Y",B172&lt;C$4),C172,AND($C$7="Y",B172=C$4),D171+F172-J172-K172-L172+N172,AND($C$7="Y",B172&gt;$C$4),D171-J172-K172-L172+N172, TRUE, D171-J172-K172-L172+N172)</f>
        <v>#DIV/0!</v>
      </c>
      <c r="E172" s="48">
        <f t="shared" si="54"/>
        <v>0</v>
      </c>
      <c r="F172" s="50">
        <f t="shared" si="55"/>
        <v>0</v>
      </c>
      <c r="G172" s="50">
        <f t="shared" si="62"/>
        <v>0</v>
      </c>
      <c r="H172" s="51" t="e">
        <f t="shared" si="63"/>
        <v>#DIV/0!</v>
      </c>
      <c r="I172" s="52" t="e">
        <f t="shared" si="49"/>
        <v>#DIV/0!</v>
      </c>
      <c r="J172" s="52" t="e">
        <f t="shared" si="50"/>
        <v>#DIV/0!</v>
      </c>
      <c r="K172" s="51" t="e">
        <f t="shared" si="60"/>
        <v>#DIV/0!</v>
      </c>
      <c r="L172" s="49" t="e">
        <f t="shared" si="56"/>
        <v>#DIV/0!</v>
      </c>
      <c r="M172" s="49">
        <f t="shared" si="46"/>
        <v>0</v>
      </c>
      <c r="N172" s="49">
        <f t="shared" si="64"/>
        <v>0</v>
      </c>
      <c r="O172" s="48" t="e">
        <f t="shared" si="51"/>
        <v>#DIV/0!</v>
      </c>
      <c r="P172" s="38" t="e">
        <f t="shared" si="47"/>
        <v>#DIV/0!</v>
      </c>
      <c r="Q172" s="53"/>
      <c r="R172" s="53">
        <f t="shared" si="57"/>
        <v>0.12</v>
      </c>
      <c r="S172" s="53">
        <f t="shared" si="58"/>
        <v>1.0596241035318976E-2</v>
      </c>
      <c r="T172" s="53">
        <f t="shared" si="59"/>
        <v>0</v>
      </c>
      <c r="U172" s="53">
        <f t="shared" si="61"/>
        <v>0</v>
      </c>
    </row>
    <row r="173" spans="1:21" x14ac:dyDescent="0.2">
      <c r="A173" s="62" t="e">
        <f t="shared" si="48"/>
        <v>#DIV/0!</v>
      </c>
      <c r="B173" s="45">
        <f t="shared" si="52"/>
        <v>159</v>
      </c>
      <c r="C173" s="51" t="e">
        <f t="shared" si="53"/>
        <v>#DIV/0!</v>
      </c>
      <c r="D173" s="47" t="e" cm="1">
        <f t="array" ref="D173">_xlfn.IFS(AND($C$7="Y",B173&lt;C$4),C173,AND($C$7="Y",B173=C$4),D172+F173-J173-K173-L173+N173,AND($C$7="Y",B173&gt;$C$4),D172-J173-K173-L173+N173, TRUE, D172-J173-K173-L173+N173)</f>
        <v>#DIV/0!</v>
      </c>
      <c r="E173" s="48">
        <f t="shared" si="54"/>
        <v>0</v>
      </c>
      <c r="F173" s="50">
        <f t="shared" si="55"/>
        <v>0</v>
      </c>
      <c r="G173" s="50">
        <f t="shared" si="62"/>
        <v>0</v>
      </c>
      <c r="H173" s="51" t="e">
        <f t="shared" si="63"/>
        <v>#DIV/0!</v>
      </c>
      <c r="I173" s="52" t="e">
        <f t="shared" si="49"/>
        <v>#DIV/0!</v>
      </c>
      <c r="J173" s="52" t="e">
        <f t="shared" si="50"/>
        <v>#DIV/0!</v>
      </c>
      <c r="K173" s="51" t="e">
        <f t="shared" si="60"/>
        <v>#DIV/0!</v>
      </c>
      <c r="L173" s="49" t="e">
        <f t="shared" si="56"/>
        <v>#DIV/0!</v>
      </c>
      <c r="M173" s="49">
        <f t="shared" ref="M173:M235" si="65">IFERROR(L169*-1,0)</f>
        <v>0</v>
      </c>
      <c r="N173" s="49">
        <f t="shared" si="64"/>
        <v>0</v>
      </c>
      <c r="O173" s="48" t="e">
        <f t="shared" si="51"/>
        <v>#DIV/0!</v>
      </c>
      <c r="P173" s="38" t="e">
        <f t="shared" si="47"/>
        <v>#DIV/0!</v>
      </c>
      <c r="Q173" s="53"/>
      <c r="R173" s="53">
        <f t="shared" si="57"/>
        <v>0.12</v>
      </c>
      <c r="S173" s="53">
        <f t="shared" si="58"/>
        <v>1.0596241035318976E-2</v>
      </c>
      <c r="T173" s="53">
        <f t="shared" si="59"/>
        <v>0</v>
      </c>
      <c r="U173" s="53">
        <f t="shared" si="61"/>
        <v>0</v>
      </c>
    </row>
    <row r="174" spans="1:21" x14ac:dyDescent="0.2">
      <c r="A174" s="62" t="e">
        <f t="shared" si="48"/>
        <v>#DIV/0!</v>
      </c>
      <c r="B174" s="45">
        <f t="shared" si="52"/>
        <v>160</v>
      </c>
      <c r="C174" s="51" t="e">
        <f t="shared" si="53"/>
        <v>#DIV/0!</v>
      </c>
      <c r="D174" s="47" t="e" cm="1">
        <f t="array" ref="D174">_xlfn.IFS(AND($C$7="Y",B174&lt;C$4),C174,AND($C$7="Y",B174=C$4),D173+F174-J174-K174-L174+N174,AND($C$7="Y",B174&gt;$C$4),D173-J174-K174-L174+N174, TRUE, D173-J174-K174-L174+N174)</f>
        <v>#DIV/0!</v>
      </c>
      <c r="E174" s="48">
        <f t="shared" si="54"/>
        <v>0</v>
      </c>
      <c r="F174" s="50">
        <f t="shared" si="55"/>
        <v>0</v>
      </c>
      <c r="G174" s="50">
        <f t="shared" si="62"/>
        <v>0</v>
      </c>
      <c r="H174" s="51" t="e">
        <f t="shared" si="63"/>
        <v>#DIV/0!</v>
      </c>
      <c r="I174" s="52" t="e">
        <f t="shared" si="49"/>
        <v>#DIV/0!</v>
      </c>
      <c r="J174" s="52" t="e">
        <f t="shared" si="50"/>
        <v>#DIV/0!</v>
      </c>
      <c r="K174" s="51" t="e">
        <f t="shared" si="60"/>
        <v>#DIV/0!</v>
      </c>
      <c r="L174" s="49" t="e">
        <f t="shared" si="56"/>
        <v>#DIV/0!</v>
      </c>
      <c r="M174" s="49">
        <f t="shared" si="65"/>
        <v>0</v>
      </c>
      <c r="N174" s="49">
        <f t="shared" si="64"/>
        <v>0</v>
      </c>
      <c r="O174" s="48" t="e">
        <f t="shared" si="51"/>
        <v>#DIV/0!</v>
      </c>
      <c r="P174" s="38" t="e">
        <f t="shared" si="47"/>
        <v>#DIV/0!</v>
      </c>
      <c r="Q174" s="53"/>
      <c r="R174" s="53">
        <f t="shared" si="57"/>
        <v>0.12</v>
      </c>
      <c r="S174" s="53">
        <f t="shared" si="58"/>
        <v>1.0596241035318976E-2</v>
      </c>
      <c r="T174" s="53">
        <f t="shared" si="59"/>
        <v>0</v>
      </c>
      <c r="U174" s="53">
        <f t="shared" si="61"/>
        <v>0</v>
      </c>
    </row>
    <row r="175" spans="1:21" x14ac:dyDescent="0.2">
      <c r="A175" s="62" t="e">
        <f t="shared" si="48"/>
        <v>#DIV/0!</v>
      </c>
      <c r="B175" s="45">
        <f t="shared" si="52"/>
        <v>161</v>
      </c>
      <c r="C175" s="51" t="e">
        <f t="shared" si="53"/>
        <v>#DIV/0!</v>
      </c>
      <c r="D175" s="47" t="e" cm="1">
        <f t="array" ref="D175">_xlfn.IFS(AND($C$7="Y",B175&lt;C$4),C175,AND($C$7="Y",B175=C$4),D174+F175-J175-K175-L175+N175,AND($C$7="Y",B175&gt;$C$4),D174-J175-K175-L175+N175, TRUE, D174-J175-K175-L175+N175)</f>
        <v>#DIV/0!</v>
      </c>
      <c r="E175" s="48">
        <f t="shared" si="54"/>
        <v>0</v>
      </c>
      <c r="F175" s="50">
        <f t="shared" si="55"/>
        <v>0</v>
      </c>
      <c r="G175" s="50">
        <f t="shared" si="62"/>
        <v>0</v>
      </c>
      <c r="H175" s="51" t="e">
        <f t="shared" si="63"/>
        <v>#DIV/0!</v>
      </c>
      <c r="I175" s="52" t="e">
        <f t="shared" si="49"/>
        <v>#DIV/0!</v>
      </c>
      <c r="J175" s="52" t="e">
        <f t="shared" si="50"/>
        <v>#DIV/0!</v>
      </c>
      <c r="K175" s="51" t="e">
        <f t="shared" si="60"/>
        <v>#DIV/0!</v>
      </c>
      <c r="L175" s="49" t="e">
        <f t="shared" si="56"/>
        <v>#DIV/0!</v>
      </c>
      <c r="M175" s="49">
        <f t="shared" si="65"/>
        <v>0</v>
      </c>
      <c r="N175" s="49">
        <f t="shared" si="64"/>
        <v>0</v>
      </c>
      <c r="O175" s="48" t="e">
        <f t="shared" si="51"/>
        <v>#DIV/0!</v>
      </c>
      <c r="P175" s="38" t="e">
        <f t="shared" si="47"/>
        <v>#DIV/0!</v>
      </c>
      <c r="Q175" s="53"/>
      <c r="R175" s="53">
        <f t="shared" si="57"/>
        <v>0.12</v>
      </c>
      <c r="S175" s="53">
        <f t="shared" si="58"/>
        <v>1.0596241035318976E-2</v>
      </c>
      <c r="T175" s="53">
        <f t="shared" si="59"/>
        <v>0</v>
      </c>
      <c r="U175" s="53">
        <f t="shared" si="61"/>
        <v>0</v>
      </c>
    </row>
    <row r="176" spans="1:21" x14ac:dyDescent="0.2">
      <c r="A176" s="62" t="e">
        <f t="shared" si="48"/>
        <v>#DIV/0!</v>
      </c>
      <c r="B176" s="45">
        <f t="shared" si="52"/>
        <v>162</v>
      </c>
      <c r="C176" s="51" t="e">
        <f t="shared" si="53"/>
        <v>#DIV/0!</v>
      </c>
      <c r="D176" s="47" t="e" cm="1">
        <f t="array" ref="D176">_xlfn.IFS(AND($C$7="Y",B176&lt;C$4),C176,AND($C$7="Y",B176=C$4),D175+F176-J176-K176-L176+N176,AND($C$7="Y",B176&gt;$C$4),D175-J176-K176-L176+N176, TRUE, D175-J176-K176-L176+N176)</f>
        <v>#DIV/0!</v>
      </c>
      <c r="E176" s="48">
        <f t="shared" si="54"/>
        <v>0</v>
      </c>
      <c r="F176" s="50">
        <f t="shared" si="55"/>
        <v>0</v>
      </c>
      <c r="G176" s="50">
        <f t="shared" si="62"/>
        <v>0</v>
      </c>
      <c r="H176" s="51" t="e">
        <f t="shared" si="63"/>
        <v>#DIV/0!</v>
      </c>
      <c r="I176" s="52" t="e">
        <f t="shared" si="49"/>
        <v>#DIV/0!</v>
      </c>
      <c r="J176" s="52" t="e">
        <f t="shared" si="50"/>
        <v>#DIV/0!</v>
      </c>
      <c r="K176" s="51" t="e">
        <f t="shared" si="60"/>
        <v>#DIV/0!</v>
      </c>
      <c r="L176" s="49" t="e">
        <f t="shared" si="56"/>
        <v>#DIV/0!</v>
      </c>
      <c r="M176" s="49">
        <f t="shared" si="65"/>
        <v>0</v>
      </c>
      <c r="N176" s="49">
        <f t="shared" si="64"/>
        <v>0</v>
      </c>
      <c r="O176" s="48" t="e">
        <f t="shared" si="51"/>
        <v>#DIV/0!</v>
      </c>
      <c r="P176" s="38" t="e">
        <f t="shared" si="47"/>
        <v>#DIV/0!</v>
      </c>
      <c r="Q176" s="53"/>
      <c r="R176" s="53">
        <f t="shared" si="57"/>
        <v>0.12</v>
      </c>
      <c r="S176" s="53">
        <f t="shared" si="58"/>
        <v>1.0596241035318976E-2</v>
      </c>
      <c r="T176" s="53">
        <f t="shared" si="59"/>
        <v>0</v>
      </c>
      <c r="U176" s="53">
        <f t="shared" si="61"/>
        <v>0</v>
      </c>
    </row>
    <row r="177" spans="1:21" x14ac:dyDescent="0.2">
      <c r="A177" s="62" t="e">
        <f t="shared" si="48"/>
        <v>#DIV/0!</v>
      </c>
      <c r="B177" s="45">
        <f t="shared" si="52"/>
        <v>163</v>
      </c>
      <c r="C177" s="51" t="e">
        <f t="shared" si="53"/>
        <v>#DIV/0!</v>
      </c>
      <c r="D177" s="47" t="e" cm="1">
        <f t="array" ref="D177">_xlfn.IFS(AND($C$7="Y",B177&lt;C$4),C177,AND($C$7="Y",B177=C$4),D176+F177-J177-K177-L177+N177,AND($C$7="Y",B177&gt;$C$4),D176-J177-K177-L177+N177, TRUE, D176-J177-K177-L177+N177)</f>
        <v>#DIV/0!</v>
      </c>
      <c r="E177" s="48">
        <f t="shared" si="54"/>
        <v>0</v>
      </c>
      <c r="F177" s="50">
        <f t="shared" si="55"/>
        <v>0</v>
      </c>
      <c r="G177" s="50">
        <f t="shared" si="62"/>
        <v>0</v>
      </c>
      <c r="H177" s="51" t="e">
        <f t="shared" si="63"/>
        <v>#DIV/0!</v>
      </c>
      <c r="I177" s="52" t="e">
        <f t="shared" si="49"/>
        <v>#DIV/0!</v>
      </c>
      <c r="J177" s="52" t="e">
        <f t="shared" si="50"/>
        <v>#DIV/0!</v>
      </c>
      <c r="K177" s="51" t="e">
        <f t="shared" si="60"/>
        <v>#DIV/0!</v>
      </c>
      <c r="L177" s="49" t="e">
        <f t="shared" si="56"/>
        <v>#DIV/0!</v>
      </c>
      <c r="M177" s="49">
        <f t="shared" si="65"/>
        <v>0</v>
      </c>
      <c r="N177" s="49">
        <f t="shared" si="64"/>
        <v>0</v>
      </c>
      <c r="O177" s="48" t="e">
        <f t="shared" si="51"/>
        <v>#DIV/0!</v>
      </c>
      <c r="P177" s="38" t="e">
        <f t="shared" si="47"/>
        <v>#DIV/0!</v>
      </c>
      <c r="Q177" s="53"/>
      <c r="R177" s="53">
        <f t="shared" si="57"/>
        <v>0.12</v>
      </c>
      <c r="S177" s="53">
        <f t="shared" si="58"/>
        <v>1.0596241035318976E-2</v>
      </c>
      <c r="T177" s="53">
        <f t="shared" si="59"/>
        <v>0</v>
      </c>
      <c r="U177" s="53">
        <f t="shared" si="61"/>
        <v>0</v>
      </c>
    </row>
    <row r="178" spans="1:21" x14ac:dyDescent="0.2">
      <c r="A178" s="62" t="e">
        <f t="shared" si="48"/>
        <v>#DIV/0!</v>
      </c>
      <c r="B178" s="45">
        <f t="shared" si="52"/>
        <v>164</v>
      </c>
      <c r="C178" s="51" t="e">
        <f t="shared" si="53"/>
        <v>#DIV/0!</v>
      </c>
      <c r="D178" s="47" t="e" cm="1">
        <f t="array" ref="D178">_xlfn.IFS(AND($C$7="Y",B178&lt;C$4),C178,AND($C$7="Y",B178=C$4),D177+F178-J178-K178-L178+N178,AND($C$7="Y",B178&gt;$C$4),D177-J178-K178-L178+N178, TRUE, D177-J178-K178-L178+N178)</f>
        <v>#DIV/0!</v>
      </c>
      <c r="E178" s="48">
        <f t="shared" si="54"/>
        <v>0</v>
      </c>
      <c r="F178" s="50">
        <f t="shared" si="55"/>
        <v>0</v>
      </c>
      <c r="G178" s="50">
        <f t="shared" si="62"/>
        <v>0</v>
      </c>
      <c r="H178" s="51" t="e">
        <f t="shared" si="63"/>
        <v>#DIV/0!</v>
      </c>
      <c r="I178" s="52" t="e">
        <f t="shared" si="49"/>
        <v>#DIV/0!</v>
      </c>
      <c r="J178" s="52" t="e">
        <f t="shared" si="50"/>
        <v>#DIV/0!</v>
      </c>
      <c r="K178" s="51" t="e">
        <f t="shared" si="60"/>
        <v>#DIV/0!</v>
      </c>
      <c r="L178" s="49" t="e">
        <f t="shared" si="56"/>
        <v>#DIV/0!</v>
      </c>
      <c r="M178" s="49">
        <f t="shared" si="65"/>
        <v>0</v>
      </c>
      <c r="N178" s="49">
        <f t="shared" si="64"/>
        <v>0</v>
      </c>
      <c r="O178" s="48" t="e">
        <f t="shared" si="51"/>
        <v>#DIV/0!</v>
      </c>
      <c r="P178" s="38" t="e">
        <f t="shared" si="47"/>
        <v>#DIV/0!</v>
      </c>
      <c r="Q178" s="53"/>
      <c r="R178" s="53">
        <f t="shared" si="57"/>
        <v>0.12</v>
      </c>
      <c r="S178" s="53">
        <f t="shared" si="58"/>
        <v>1.0596241035318976E-2</v>
      </c>
      <c r="T178" s="53">
        <f t="shared" si="59"/>
        <v>0</v>
      </c>
      <c r="U178" s="53">
        <f t="shared" si="61"/>
        <v>0</v>
      </c>
    </row>
    <row r="179" spans="1:21" x14ac:dyDescent="0.2">
      <c r="A179" s="62" t="e">
        <f t="shared" si="48"/>
        <v>#DIV/0!</v>
      </c>
      <c r="B179" s="45">
        <f t="shared" si="52"/>
        <v>165</v>
      </c>
      <c r="C179" s="51" t="e">
        <f t="shared" si="53"/>
        <v>#DIV/0!</v>
      </c>
      <c r="D179" s="47" t="e" cm="1">
        <f t="array" ref="D179">_xlfn.IFS(AND($C$7="Y",B179&lt;C$4),C179,AND($C$7="Y",B179=C$4),D178+F179-J179-K179-L179+N179,AND($C$7="Y",B179&gt;$C$4),D178-J179-K179-L179+N179, TRUE, D178-J179-K179-L179+N179)</f>
        <v>#DIV/0!</v>
      </c>
      <c r="E179" s="48">
        <f t="shared" si="54"/>
        <v>0</v>
      </c>
      <c r="F179" s="50">
        <f t="shared" si="55"/>
        <v>0</v>
      </c>
      <c r="G179" s="50">
        <f t="shared" si="62"/>
        <v>0</v>
      </c>
      <c r="H179" s="51" t="e">
        <f t="shared" si="63"/>
        <v>#DIV/0!</v>
      </c>
      <c r="I179" s="52" t="e">
        <f t="shared" si="49"/>
        <v>#DIV/0!</v>
      </c>
      <c r="J179" s="52" t="e">
        <f t="shared" si="50"/>
        <v>#DIV/0!</v>
      </c>
      <c r="K179" s="51" t="e">
        <f t="shared" si="60"/>
        <v>#DIV/0!</v>
      </c>
      <c r="L179" s="49" t="e">
        <f t="shared" si="56"/>
        <v>#DIV/0!</v>
      </c>
      <c r="M179" s="49">
        <f t="shared" si="65"/>
        <v>0</v>
      </c>
      <c r="N179" s="49">
        <f t="shared" si="64"/>
        <v>0</v>
      </c>
      <c r="O179" s="48" t="e">
        <f t="shared" si="51"/>
        <v>#DIV/0!</v>
      </c>
      <c r="P179" s="38" t="e">
        <f t="shared" si="47"/>
        <v>#DIV/0!</v>
      </c>
      <c r="Q179" s="53"/>
      <c r="R179" s="53">
        <f t="shared" si="57"/>
        <v>0.12</v>
      </c>
      <c r="S179" s="53">
        <f t="shared" si="58"/>
        <v>1.0596241035318976E-2</v>
      </c>
      <c r="T179" s="53">
        <f t="shared" si="59"/>
        <v>0</v>
      </c>
      <c r="U179" s="53">
        <f t="shared" si="61"/>
        <v>0</v>
      </c>
    </row>
    <row r="180" spans="1:21" x14ac:dyDescent="0.2">
      <c r="A180" s="62" t="e">
        <f t="shared" si="48"/>
        <v>#DIV/0!</v>
      </c>
      <c r="B180" s="45">
        <f t="shared" si="52"/>
        <v>166</v>
      </c>
      <c r="C180" s="51" t="e">
        <f t="shared" si="53"/>
        <v>#DIV/0!</v>
      </c>
      <c r="D180" s="47" t="e" cm="1">
        <f t="array" ref="D180">_xlfn.IFS(AND($C$7="Y",B180&lt;C$4),C180,AND($C$7="Y",B180=C$4),D179+F180-J180-K180-L180+N180,AND($C$7="Y",B180&gt;$C$4),D179-J180-K180-L180+N180, TRUE, D179-J180-K180-L180+N180)</f>
        <v>#DIV/0!</v>
      </c>
      <c r="E180" s="48">
        <f t="shared" si="54"/>
        <v>0</v>
      </c>
      <c r="F180" s="50">
        <f t="shared" si="55"/>
        <v>0</v>
      </c>
      <c r="G180" s="50">
        <f t="shared" si="62"/>
        <v>0</v>
      </c>
      <c r="H180" s="51" t="e">
        <f t="shared" si="63"/>
        <v>#DIV/0!</v>
      </c>
      <c r="I180" s="52" t="e">
        <f t="shared" si="49"/>
        <v>#DIV/0!</v>
      </c>
      <c r="J180" s="52" t="e">
        <f t="shared" si="50"/>
        <v>#DIV/0!</v>
      </c>
      <c r="K180" s="51" t="e">
        <f t="shared" si="60"/>
        <v>#DIV/0!</v>
      </c>
      <c r="L180" s="49" t="e">
        <f t="shared" si="56"/>
        <v>#DIV/0!</v>
      </c>
      <c r="M180" s="49">
        <f t="shared" si="65"/>
        <v>0</v>
      </c>
      <c r="N180" s="49">
        <f t="shared" si="64"/>
        <v>0</v>
      </c>
      <c r="O180" s="48" t="e">
        <f t="shared" si="51"/>
        <v>#DIV/0!</v>
      </c>
      <c r="P180" s="38" t="e">
        <f t="shared" si="47"/>
        <v>#DIV/0!</v>
      </c>
      <c r="Q180" s="53"/>
      <c r="R180" s="53">
        <f t="shared" si="57"/>
        <v>0.12</v>
      </c>
      <c r="S180" s="53">
        <f t="shared" si="58"/>
        <v>1.0596241035318976E-2</v>
      </c>
      <c r="T180" s="53">
        <f t="shared" si="59"/>
        <v>0</v>
      </c>
      <c r="U180" s="53">
        <f t="shared" si="61"/>
        <v>0</v>
      </c>
    </row>
    <row r="181" spans="1:21" x14ac:dyDescent="0.2">
      <c r="A181" s="62" t="e">
        <f t="shared" si="48"/>
        <v>#DIV/0!</v>
      </c>
      <c r="B181" s="45">
        <f t="shared" si="52"/>
        <v>167</v>
      </c>
      <c r="C181" s="51" t="e">
        <f t="shared" si="53"/>
        <v>#DIV/0!</v>
      </c>
      <c r="D181" s="47" t="e" cm="1">
        <f t="array" ref="D181">_xlfn.IFS(AND($C$7="Y",B181&lt;C$4),C181,AND($C$7="Y",B181=C$4),D180+F181-J181-K181-L181+N181,AND($C$7="Y",B181&gt;$C$4),D180-J181-K181-L181+N181, TRUE, D180-J181-K181-L181+N181)</f>
        <v>#DIV/0!</v>
      </c>
      <c r="E181" s="48">
        <f t="shared" si="54"/>
        <v>0</v>
      </c>
      <c r="F181" s="50">
        <f t="shared" si="55"/>
        <v>0</v>
      </c>
      <c r="G181" s="50">
        <f t="shared" si="62"/>
        <v>0</v>
      </c>
      <c r="H181" s="51" t="e">
        <f t="shared" si="63"/>
        <v>#DIV/0!</v>
      </c>
      <c r="I181" s="52" t="e">
        <f t="shared" si="49"/>
        <v>#DIV/0!</v>
      </c>
      <c r="J181" s="52" t="e">
        <f t="shared" si="50"/>
        <v>#DIV/0!</v>
      </c>
      <c r="K181" s="51" t="e">
        <f t="shared" si="60"/>
        <v>#DIV/0!</v>
      </c>
      <c r="L181" s="49" t="e">
        <f t="shared" si="56"/>
        <v>#DIV/0!</v>
      </c>
      <c r="M181" s="49">
        <f t="shared" si="65"/>
        <v>0</v>
      </c>
      <c r="N181" s="49">
        <f t="shared" si="64"/>
        <v>0</v>
      </c>
      <c r="O181" s="48" t="e">
        <f t="shared" si="51"/>
        <v>#DIV/0!</v>
      </c>
      <c r="P181" s="38" t="e">
        <f t="shared" si="47"/>
        <v>#DIV/0!</v>
      </c>
      <c r="Q181" s="53"/>
      <c r="R181" s="53">
        <f t="shared" si="57"/>
        <v>0.12</v>
      </c>
      <c r="S181" s="53">
        <f t="shared" si="58"/>
        <v>1.0596241035318976E-2</v>
      </c>
      <c r="T181" s="53">
        <f t="shared" si="59"/>
        <v>0</v>
      </c>
      <c r="U181" s="53">
        <f t="shared" si="61"/>
        <v>0</v>
      </c>
    </row>
    <row r="182" spans="1:21" x14ac:dyDescent="0.2">
      <c r="A182" s="62" t="e">
        <f t="shared" si="48"/>
        <v>#DIV/0!</v>
      </c>
      <c r="B182" s="45">
        <f t="shared" si="52"/>
        <v>168</v>
      </c>
      <c r="C182" s="51" t="e">
        <f t="shared" si="53"/>
        <v>#DIV/0!</v>
      </c>
      <c r="D182" s="47" t="e" cm="1">
        <f t="array" ref="D182">_xlfn.IFS(AND($C$7="Y",B182&lt;C$4),C182,AND($C$7="Y",B182=C$4),D181+F182-J182-K182-L182+N182,AND($C$7="Y",B182&gt;$C$4),D181-J182-K182-L182+N182, TRUE, D181-J182-K182-L182+N182)</f>
        <v>#DIV/0!</v>
      </c>
      <c r="E182" s="48">
        <f t="shared" si="54"/>
        <v>0</v>
      </c>
      <c r="F182" s="50">
        <f t="shared" si="55"/>
        <v>0</v>
      </c>
      <c r="G182" s="50">
        <f t="shared" si="62"/>
        <v>0</v>
      </c>
      <c r="H182" s="51" t="e">
        <f t="shared" si="63"/>
        <v>#DIV/0!</v>
      </c>
      <c r="I182" s="52" t="e">
        <f t="shared" si="49"/>
        <v>#DIV/0!</v>
      </c>
      <c r="J182" s="52" t="e">
        <f t="shared" si="50"/>
        <v>#DIV/0!</v>
      </c>
      <c r="K182" s="51" t="e">
        <f t="shared" si="60"/>
        <v>#DIV/0!</v>
      </c>
      <c r="L182" s="49" t="e">
        <f t="shared" si="56"/>
        <v>#DIV/0!</v>
      </c>
      <c r="M182" s="49">
        <f t="shared" si="65"/>
        <v>0</v>
      </c>
      <c r="N182" s="49">
        <f t="shared" si="64"/>
        <v>0</v>
      </c>
      <c r="O182" s="48" t="e">
        <f t="shared" si="51"/>
        <v>#DIV/0!</v>
      </c>
      <c r="P182" s="38" t="e">
        <f t="shared" si="47"/>
        <v>#DIV/0!</v>
      </c>
      <c r="Q182" s="53"/>
      <c r="R182" s="53">
        <f t="shared" si="57"/>
        <v>0.12</v>
      </c>
      <c r="S182" s="53">
        <f t="shared" si="58"/>
        <v>1.0596241035318976E-2</v>
      </c>
      <c r="T182" s="53">
        <f t="shared" si="59"/>
        <v>0</v>
      </c>
      <c r="U182" s="53">
        <f t="shared" si="61"/>
        <v>0</v>
      </c>
    </row>
    <row r="183" spans="1:21" x14ac:dyDescent="0.2">
      <c r="A183" s="62" t="e">
        <f t="shared" si="48"/>
        <v>#DIV/0!</v>
      </c>
      <c r="B183" s="45">
        <f t="shared" si="52"/>
        <v>169</v>
      </c>
      <c r="C183" s="51" t="e">
        <f t="shared" si="53"/>
        <v>#DIV/0!</v>
      </c>
      <c r="D183" s="47" t="e" cm="1">
        <f t="array" ref="D183">_xlfn.IFS(AND($C$7="Y",B183&lt;C$4),C183,AND($C$7="Y",B183=C$4),D182+F183-J183-K183-L183+N183,AND($C$7="Y",B183&gt;$C$4),D182-J183-K183-L183+N183, TRUE, D182-J183-K183-L183+N183)</f>
        <v>#DIV/0!</v>
      </c>
      <c r="E183" s="48">
        <f t="shared" si="54"/>
        <v>0</v>
      </c>
      <c r="F183" s="50">
        <f t="shared" si="55"/>
        <v>0</v>
      </c>
      <c r="G183" s="50">
        <f t="shared" si="62"/>
        <v>0</v>
      </c>
      <c r="H183" s="51" t="e">
        <f t="shared" si="63"/>
        <v>#DIV/0!</v>
      </c>
      <c r="I183" s="52" t="e">
        <f t="shared" si="49"/>
        <v>#DIV/0!</v>
      </c>
      <c r="J183" s="52" t="e">
        <f t="shared" si="50"/>
        <v>#DIV/0!</v>
      </c>
      <c r="K183" s="51" t="e">
        <f t="shared" si="60"/>
        <v>#DIV/0!</v>
      </c>
      <c r="L183" s="49" t="e">
        <f t="shared" si="56"/>
        <v>#DIV/0!</v>
      </c>
      <c r="M183" s="49">
        <f t="shared" si="65"/>
        <v>0</v>
      </c>
      <c r="N183" s="49">
        <f t="shared" si="64"/>
        <v>0</v>
      </c>
      <c r="O183" s="48" t="e">
        <f t="shared" si="51"/>
        <v>#DIV/0!</v>
      </c>
      <c r="P183" s="38" t="e">
        <f t="shared" si="47"/>
        <v>#DIV/0!</v>
      </c>
      <c r="Q183" s="53"/>
      <c r="R183" s="53">
        <f t="shared" si="57"/>
        <v>0.12</v>
      </c>
      <c r="S183" s="53">
        <f t="shared" si="58"/>
        <v>1.0596241035318976E-2</v>
      </c>
      <c r="T183" s="53">
        <f t="shared" si="59"/>
        <v>0</v>
      </c>
      <c r="U183" s="53">
        <f t="shared" si="61"/>
        <v>0</v>
      </c>
    </row>
    <row r="184" spans="1:21" x14ac:dyDescent="0.2">
      <c r="A184" s="62" t="e">
        <f t="shared" si="48"/>
        <v>#DIV/0!</v>
      </c>
      <c r="B184" s="45">
        <f t="shared" si="52"/>
        <v>170</v>
      </c>
      <c r="C184" s="51" t="e">
        <f t="shared" si="53"/>
        <v>#DIV/0!</v>
      </c>
      <c r="D184" s="47" t="e" cm="1">
        <f t="array" ref="D184">_xlfn.IFS(AND($C$7="Y",B184&lt;C$4),C184,AND($C$7="Y",B184=C$4),D183+F184-J184-K184-L184+N184,AND($C$7="Y",B184&gt;$C$4),D183-J184-K184-L184+N184, TRUE, D183-J184-K184-L184+N184)</f>
        <v>#DIV/0!</v>
      </c>
      <c r="E184" s="48">
        <f t="shared" si="54"/>
        <v>0</v>
      </c>
      <c r="F184" s="50">
        <f t="shared" si="55"/>
        <v>0</v>
      </c>
      <c r="G184" s="50">
        <f t="shared" si="62"/>
        <v>0</v>
      </c>
      <c r="H184" s="51" t="e">
        <f t="shared" si="63"/>
        <v>#DIV/0!</v>
      </c>
      <c r="I184" s="52" t="e">
        <f t="shared" si="49"/>
        <v>#DIV/0!</v>
      </c>
      <c r="J184" s="52" t="e">
        <f t="shared" si="50"/>
        <v>#DIV/0!</v>
      </c>
      <c r="K184" s="51" t="e">
        <f t="shared" si="60"/>
        <v>#DIV/0!</v>
      </c>
      <c r="L184" s="49" t="e">
        <f t="shared" si="56"/>
        <v>#DIV/0!</v>
      </c>
      <c r="M184" s="49">
        <f t="shared" si="65"/>
        <v>0</v>
      </c>
      <c r="N184" s="49">
        <f t="shared" si="64"/>
        <v>0</v>
      </c>
      <c r="O184" s="48" t="e">
        <f t="shared" si="51"/>
        <v>#DIV/0!</v>
      </c>
      <c r="P184" s="38" t="e">
        <f t="shared" si="47"/>
        <v>#DIV/0!</v>
      </c>
      <c r="Q184" s="53"/>
      <c r="R184" s="53">
        <f t="shared" si="57"/>
        <v>0.12</v>
      </c>
      <c r="S184" s="53">
        <f t="shared" si="58"/>
        <v>1.0596241035318976E-2</v>
      </c>
      <c r="T184" s="53">
        <f t="shared" si="59"/>
        <v>0</v>
      </c>
      <c r="U184" s="53">
        <f t="shared" si="61"/>
        <v>0</v>
      </c>
    </row>
    <row r="185" spans="1:21" x14ac:dyDescent="0.2">
      <c r="A185" s="62" t="e">
        <f t="shared" si="48"/>
        <v>#DIV/0!</v>
      </c>
      <c r="B185" s="45">
        <f t="shared" si="52"/>
        <v>171</v>
      </c>
      <c r="C185" s="51" t="e">
        <f t="shared" si="53"/>
        <v>#DIV/0!</v>
      </c>
      <c r="D185" s="47" t="e" cm="1">
        <f t="array" ref="D185">_xlfn.IFS(AND($C$7="Y",B185&lt;C$4),C185,AND($C$7="Y",B185=C$4),D184+F185-J185-K185-L185+N185,AND($C$7="Y",B185&gt;$C$4),D184-J185-K185-L185+N185, TRUE, D184-J185-K185-L185+N185)</f>
        <v>#DIV/0!</v>
      </c>
      <c r="E185" s="48">
        <f t="shared" si="54"/>
        <v>0</v>
      </c>
      <c r="F185" s="50">
        <f t="shared" si="55"/>
        <v>0</v>
      </c>
      <c r="G185" s="50">
        <f t="shared" si="62"/>
        <v>0</v>
      </c>
      <c r="H185" s="51" t="e">
        <f t="shared" si="63"/>
        <v>#DIV/0!</v>
      </c>
      <c r="I185" s="52" t="e">
        <f t="shared" si="49"/>
        <v>#DIV/0!</v>
      </c>
      <c r="J185" s="52" t="e">
        <f t="shared" si="50"/>
        <v>#DIV/0!</v>
      </c>
      <c r="K185" s="51" t="e">
        <f t="shared" si="60"/>
        <v>#DIV/0!</v>
      </c>
      <c r="L185" s="49" t="e">
        <f t="shared" si="56"/>
        <v>#DIV/0!</v>
      </c>
      <c r="M185" s="49">
        <f t="shared" si="65"/>
        <v>0</v>
      </c>
      <c r="N185" s="49">
        <f t="shared" si="64"/>
        <v>0</v>
      </c>
      <c r="O185" s="48" t="e">
        <f t="shared" si="51"/>
        <v>#DIV/0!</v>
      </c>
      <c r="P185" s="38" t="e">
        <f t="shared" si="47"/>
        <v>#DIV/0!</v>
      </c>
      <c r="Q185" s="53"/>
      <c r="R185" s="53">
        <f t="shared" si="57"/>
        <v>0.12</v>
      </c>
      <c r="S185" s="53">
        <f t="shared" si="58"/>
        <v>1.0596241035318976E-2</v>
      </c>
      <c r="T185" s="53">
        <f t="shared" si="59"/>
        <v>0</v>
      </c>
      <c r="U185" s="53">
        <f t="shared" si="61"/>
        <v>0</v>
      </c>
    </row>
    <row r="186" spans="1:21" x14ac:dyDescent="0.2">
      <c r="A186" s="62" t="e">
        <f t="shared" si="48"/>
        <v>#DIV/0!</v>
      </c>
      <c r="B186" s="45">
        <f t="shared" si="52"/>
        <v>172</v>
      </c>
      <c r="C186" s="51" t="e">
        <f t="shared" si="53"/>
        <v>#DIV/0!</v>
      </c>
      <c r="D186" s="47" t="e" cm="1">
        <f t="array" ref="D186">_xlfn.IFS(AND($C$7="Y",B186&lt;C$4),C186,AND($C$7="Y",B186=C$4),D185+F186-J186-K186-L186+N186,AND($C$7="Y",B186&gt;$C$4),D185-J186-K186-L186+N186, TRUE, D185-J186-K186-L186+N186)</f>
        <v>#DIV/0!</v>
      </c>
      <c r="E186" s="48">
        <f t="shared" si="54"/>
        <v>0</v>
      </c>
      <c r="F186" s="50">
        <f t="shared" si="55"/>
        <v>0</v>
      </c>
      <c r="G186" s="50">
        <f t="shared" si="62"/>
        <v>0</v>
      </c>
      <c r="H186" s="51" t="e">
        <f t="shared" si="63"/>
        <v>#DIV/0!</v>
      </c>
      <c r="I186" s="52" t="e">
        <f t="shared" si="49"/>
        <v>#DIV/0!</v>
      </c>
      <c r="J186" s="52" t="e">
        <f t="shared" si="50"/>
        <v>#DIV/0!</v>
      </c>
      <c r="K186" s="51" t="e">
        <f t="shared" si="60"/>
        <v>#DIV/0!</v>
      </c>
      <c r="L186" s="49" t="e">
        <f t="shared" si="56"/>
        <v>#DIV/0!</v>
      </c>
      <c r="M186" s="49">
        <f t="shared" si="65"/>
        <v>0</v>
      </c>
      <c r="N186" s="49">
        <f t="shared" si="64"/>
        <v>0</v>
      </c>
      <c r="O186" s="48" t="e">
        <f t="shared" si="51"/>
        <v>#DIV/0!</v>
      </c>
      <c r="P186" s="38" t="e">
        <f t="shared" si="47"/>
        <v>#DIV/0!</v>
      </c>
      <c r="Q186" s="53"/>
      <c r="R186" s="53">
        <f t="shared" si="57"/>
        <v>0.12</v>
      </c>
      <c r="S186" s="53">
        <f t="shared" si="58"/>
        <v>1.0596241035318976E-2</v>
      </c>
      <c r="T186" s="53">
        <f t="shared" si="59"/>
        <v>0</v>
      </c>
      <c r="U186" s="53">
        <f t="shared" si="61"/>
        <v>0</v>
      </c>
    </row>
    <row r="187" spans="1:21" x14ac:dyDescent="0.2">
      <c r="A187" s="62" t="e">
        <f t="shared" si="48"/>
        <v>#DIV/0!</v>
      </c>
      <c r="B187" s="45">
        <f t="shared" si="52"/>
        <v>173</v>
      </c>
      <c r="C187" s="51" t="e">
        <f t="shared" si="53"/>
        <v>#DIV/0!</v>
      </c>
      <c r="D187" s="47" t="e" cm="1">
        <f t="array" ref="D187">_xlfn.IFS(AND($C$7="Y",B187&lt;C$4),C187,AND($C$7="Y",B187=C$4),D186+F187-J187-K187-L187+N187,AND($C$7="Y",B187&gt;$C$4),D186-J187-K187-L187+N187, TRUE, D186-J187-K187-L187+N187)</f>
        <v>#DIV/0!</v>
      </c>
      <c r="E187" s="48">
        <f t="shared" si="54"/>
        <v>0</v>
      </c>
      <c r="F187" s="50">
        <f t="shared" si="55"/>
        <v>0</v>
      </c>
      <c r="G187" s="50">
        <f t="shared" si="62"/>
        <v>0</v>
      </c>
      <c r="H187" s="51" t="e">
        <f t="shared" si="63"/>
        <v>#DIV/0!</v>
      </c>
      <c r="I187" s="52" t="e">
        <f t="shared" si="49"/>
        <v>#DIV/0!</v>
      </c>
      <c r="J187" s="52" t="e">
        <f t="shared" si="50"/>
        <v>#DIV/0!</v>
      </c>
      <c r="K187" s="51" t="e">
        <f t="shared" si="60"/>
        <v>#DIV/0!</v>
      </c>
      <c r="L187" s="49" t="e">
        <f t="shared" si="56"/>
        <v>#DIV/0!</v>
      </c>
      <c r="M187" s="49">
        <f t="shared" si="65"/>
        <v>0</v>
      </c>
      <c r="N187" s="49">
        <f t="shared" si="64"/>
        <v>0</v>
      </c>
      <c r="O187" s="48" t="e">
        <f t="shared" si="51"/>
        <v>#DIV/0!</v>
      </c>
      <c r="P187" s="38" t="e">
        <f t="shared" si="47"/>
        <v>#DIV/0!</v>
      </c>
      <c r="Q187" s="53"/>
      <c r="R187" s="53">
        <f t="shared" si="57"/>
        <v>0.12</v>
      </c>
      <c r="S187" s="53">
        <f t="shared" si="58"/>
        <v>1.0596241035318976E-2</v>
      </c>
      <c r="T187" s="53">
        <f t="shared" si="59"/>
        <v>0</v>
      </c>
      <c r="U187" s="53">
        <f t="shared" si="61"/>
        <v>0</v>
      </c>
    </row>
    <row r="188" spans="1:21" x14ac:dyDescent="0.2">
      <c r="A188" s="62" t="e">
        <f t="shared" si="48"/>
        <v>#DIV/0!</v>
      </c>
      <c r="B188" s="45">
        <f t="shared" si="52"/>
        <v>174</v>
      </c>
      <c r="C188" s="51" t="e">
        <f t="shared" si="53"/>
        <v>#DIV/0!</v>
      </c>
      <c r="D188" s="47" t="e" cm="1">
        <f t="array" ref="D188">_xlfn.IFS(AND($C$7="Y",B188&lt;C$4),C188,AND($C$7="Y",B188=C$4),D187+F188-J188-K188-L188+N188,AND($C$7="Y",B188&gt;$C$4),D187-J188-K188-L188+N188, TRUE, D187-J188-K188-L188+N188)</f>
        <v>#DIV/0!</v>
      </c>
      <c r="E188" s="48">
        <f t="shared" si="54"/>
        <v>0</v>
      </c>
      <c r="F188" s="50">
        <f t="shared" si="55"/>
        <v>0</v>
      </c>
      <c r="G188" s="50">
        <f t="shared" si="62"/>
        <v>0</v>
      </c>
      <c r="H188" s="51" t="e">
        <f t="shared" si="63"/>
        <v>#DIV/0!</v>
      </c>
      <c r="I188" s="52" t="e">
        <f t="shared" si="49"/>
        <v>#DIV/0!</v>
      </c>
      <c r="J188" s="52" t="e">
        <f t="shared" si="50"/>
        <v>#DIV/0!</v>
      </c>
      <c r="K188" s="51" t="e">
        <f t="shared" si="60"/>
        <v>#DIV/0!</v>
      </c>
      <c r="L188" s="49" t="e">
        <f t="shared" si="56"/>
        <v>#DIV/0!</v>
      </c>
      <c r="M188" s="49">
        <f t="shared" si="65"/>
        <v>0</v>
      </c>
      <c r="N188" s="49">
        <f t="shared" si="64"/>
        <v>0</v>
      </c>
      <c r="O188" s="48" t="e">
        <f t="shared" si="51"/>
        <v>#DIV/0!</v>
      </c>
      <c r="P188" s="38" t="e">
        <f t="shared" si="47"/>
        <v>#DIV/0!</v>
      </c>
      <c r="Q188" s="53"/>
      <c r="R188" s="53">
        <f t="shared" si="57"/>
        <v>0.12</v>
      </c>
      <c r="S188" s="53">
        <f t="shared" si="58"/>
        <v>1.0596241035318976E-2</v>
      </c>
      <c r="T188" s="53">
        <f t="shared" si="59"/>
        <v>0</v>
      </c>
      <c r="U188" s="53">
        <f t="shared" si="61"/>
        <v>0</v>
      </c>
    </row>
    <row r="189" spans="1:21" x14ac:dyDescent="0.2">
      <c r="A189" s="62" t="e">
        <f t="shared" si="48"/>
        <v>#DIV/0!</v>
      </c>
      <c r="B189" s="45">
        <f t="shared" si="52"/>
        <v>175</v>
      </c>
      <c r="C189" s="51" t="e">
        <f t="shared" si="53"/>
        <v>#DIV/0!</v>
      </c>
      <c r="D189" s="47" t="e" cm="1">
        <f t="array" ref="D189">_xlfn.IFS(AND($C$7="Y",B189&lt;C$4),C189,AND($C$7="Y",B189=C$4),D188+F189-J189-K189-L189+N189,AND($C$7="Y",B189&gt;$C$4),D188-J189-K189-L189+N189, TRUE, D188-J189-K189-L189+N189)</f>
        <v>#DIV/0!</v>
      </c>
      <c r="E189" s="48">
        <f t="shared" si="54"/>
        <v>0</v>
      </c>
      <c r="F189" s="50">
        <f t="shared" si="55"/>
        <v>0</v>
      </c>
      <c r="G189" s="50">
        <f t="shared" si="62"/>
        <v>0</v>
      </c>
      <c r="H189" s="51" t="e">
        <f t="shared" si="63"/>
        <v>#DIV/0!</v>
      </c>
      <c r="I189" s="52" t="e">
        <f t="shared" si="49"/>
        <v>#DIV/0!</v>
      </c>
      <c r="J189" s="52" t="e">
        <f t="shared" si="50"/>
        <v>#DIV/0!</v>
      </c>
      <c r="K189" s="51" t="e">
        <f t="shared" si="60"/>
        <v>#DIV/0!</v>
      </c>
      <c r="L189" s="49" t="e">
        <f t="shared" si="56"/>
        <v>#DIV/0!</v>
      </c>
      <c r="M189" s="49">
        <f t="shared" si="65"/>
        <v>0</v>
      </c>
      <c r="N189" s="49">
        <f t="shared" si="64"/>
        <v>0</v>
      </c>
      <c r="O189" s="48" t="e">
        <f t="shared" si="51"/>
        <v>#DIV/0!</v>
      </c>
      <c r="P189" s="38" t="e">
        <f t="shared" si="47"/>
        <v>#DIV/0!</v>
      </c>
      <c r="Q189" s="53"/>
      <c r="R189" s="53">
        <f t="shared" si="57"/>
        <v>0.12</v>
      </c>
      <c r="S189" s="53">
        <f t="shared" si="58"/>
        <v>1.0596241035318976E-2</v>
      </c>
      <c r="T189" s="53">
        <f t="shared" si="59"/>
        <v>0</v>
      </c>
      <c r="U189" s="53">
        <f t="shared" si="61"/>
        <v>0</v>
      </c>
    </row>
    <row r="190" spans="1:21" x14ac:dyDescent="0.2">
      <c r="A190" s="62" t="e">
        <f t="shared" si="48"/>
        <v>#DIV/0!</v>
      </c>
      <c r="B190" s="45">
        <f t="shared" si="52"/>
        <v>176</v>
      </c>
      <c r="C190" s="51" t="e">
        <f t="shared" si="53"/>
        <v>#DIV/0!</v>
      </c>
      <c r="D190" s="47" t="e" cm="1">
        <f t="array" ref="D190">_xlfn.IFS(AND($C$7="Y",B190&lt;C$4),C190,AND($C$7="Y",B190=C$4),D189+F190-J190-K190-L190+N190,AND($C$7="Y",B190&gt;$C$4),D189-J190-K190-L190+N190, TRUE, D189-J190-K190-L190+N190)</f>
        <v>#DIV/0!</v>
      </c>
      <c r="E190" s="48">
        <f t="shared" si="54"/>
        <v>0</v>
      </c>
      <c r="F190" s="50">
        <f t="shared" si="55"/>
        <v>0</v>
      </c>
      <c r="G190" s="50">
        <f t="shared" si="62"/>
        <v>0</v>
      </c>
      <c r="H190" s="51" t="e">
        <f t="shared" si="63"/>
        <v>#DIV/0!</v>
      </c>
      <c r="I190" s="52" t="e">
        <f t="shared" si="49"/>
        <v>#DIV/0!</v>
      </c>
      <c r="J190" s="52" t="e">
        <f t="shared" si="50"/>
        <v>#DIV/0!</v>
      </c>
      <c r="K190" s="51" t="e">
        <f t="shared" si="60"/>
        <v>#DIV/0!</v>
      </c>
      <c r="L190" s="49" t="e">
        <f t="shared" si="56"/>
        <v>#DIV/0!</v>
      </c>
      <c r="M190" s="49">
        <f t="shared" si="65"/>
        <v>0</v>
      </c>
      <c r="N190" s="49">
        <f t="shared" si="64"/>
        <v>0</v>
      </c>
      <c r="O190" s="48" t="e">
        <f t="shared" si="51"/>
        <v>#DIV/0!</v>
      </c>
      <c r="P190" s="38" t="e">
        <f t="shared" si="47"/>
        <v>#DIV/0!</v>
      </c>
      <c r="Q190" s="53"/>
      <c r="R190" s="53">
        <f t="shared" si="57"/>
        <v>0.12</v>
      </c>
      <c r="S190" s="53">
        <f t="shared" si="58"/>
        <v>1.0596241035318976E-2</v>
      </c>
      <c r="T190" s="53">
        <f t="shared" si="59"/>
        <v>0</v>
      </c>
      <c r="U190" s="53">
        <f t="shared" si="61"/>
        <v>0</v>
      </c>
    </row>
    <row r="191" spans="1:21" x14ac:dyDescent="0.2">
      <c r="A191" s="62" t="e">
        <f t="shared" si="48"/>
        <v>#DIV/0!</v>
      </c>
      <c r="B191" s="45">
        <f t="shared" si="52"/>
        <v>177</v>
      </c>
      <c r="C191" s="51" t="e">
        <f t="shared" si="53"/>
        <v>#DIV/0!</v>
      </c>
      <c r="D191" s="47" t="e" cm="1">
        <f t="array" ref="D191">_xlfn.IFS(AND($C$7="Y",B191&lt;C$4),C191,AND($C$7="Y",B191=C$4),D190+F191-J191-K191-L191+N191,AND($C$7="Y",B191&gt;$C$4),D190-J191-K191-L191+N191, TRUE, D190-J191-K191-L191+N191)</f>
        <v>#DIV/0!</v>
      </c>
      <c r="E191" s="48">
        <f t="shared" si="54"/>
        <v>0</v>
      </c>
      <c r="F191" s="50">
        <f t="shared" si="55"/>
        <v>0</v>
      </c>
      <c r="G191" s="50">
        <f t="shared" si="62"/>
        <v>0</v>
      </c>
      <c r="H191" s="51" t="e">
        <f t="shared" si="63"/>
        <v>#DIV/0!</v>
      </c>
      <c r="I191" s="52" t="e">
        <f t="shared" si="49"/>
        <v>#DIV/0!</v>
      </c>
      <c r="J191" s="52" t="e">
        <f t="shared" si="50"/>
        <v>#DIV/0!</v>
      </c>
      <c r="K191" s="51" t="e">
        <f t="shared" si="60"/>
        <v>#DIV/0!</v>
      </c>
      <c r="L191" s="49" t="e">
        <f t="shared" si="56"/>
        <v>#DIV/0!</v>
      </c>
      <c r="M191" s="49">
        <f t="shared" si="65"/>
        <v>0</v>
      </c>
      <c r="N191" s="49">
        <f t="shared" si="64"/>
        <v>0</v>
      </c>
      <c r="O191" s="48" t="e">
        <f t="shared" si="51"/>
        <v>#DIV/0!</v>
      </c>
      <c r="P191" s="38" t="e">
        <f t="shared" si="47"/>
        <v>#DIV/0!</v>
      </c>
      <c r="Q191" s="53"/>
      <c r="R191" s="53">
        <f t="shared" si="57"/>
        <v>0.12</v>
      </c>
      <c r="S191" s="53">
        <f t="shared" si="58"/>
        <v>1.0596241035318976E-2</v>
      </c>
      <c r="T191" s="53">
        <f t="shared" si="59"/>
        <v>0</v>
      </c>
      <c r="U191" s="53">
        <f t="shared" si="61"/>
        <v>0</v>
      </c>
    </row>
    <row r="192" spans="1:21" x14ac:dyDescent="0.2">
      <c r="A192" s="62" t="e">
        <f t="shared" si="48"/>
        <v>#DIV/0!</v>
      </c>
      <c r="B192" s="45">
        <f t="shared" si="52"/>
        <v>178</v>
      </c>
      <c r="C192" s="51" t="e">
        <f t="shared" si="53"/>
        <v>#DIV/0!</v>
      </c>
      <c r="D192" s="47" t="e" cm="1">
        <f t="array" ref="D192">_xlfn.IFS(AND($C$7="Y",B192&lt;C$4),C192,AND($C$7="Y",B192=C$4),D191+F192-J192-K192-L192+N192,AND($C$7="Y",B192&gt;$C$4),D191-J192-K192-L192+N192, TRUE, D191-J192-K192-L192+N192)</f>
        <v>#DIV/0!</v>
      </c>
      <c r="E192" s="48">
        <f t="shared" si="54"/>
        <v>0</v>
      </c>
      <c r="F192" s="50">
        <f t="shared" si="55"/>
        <v>0</v>
      </c>
      <c r="G192" s="50">
        <f t="shared" si="62"/>
        <v>0</v>
      </c>
      <c r="H192" s="51" t="e">
        <f t="shared" si="63"/>
        <v>#DIV/0!</v>
      </c>
      <c r="I192" s="52" t="e">
        <f t="shared" si="49"/>
        <v>#DIV/0!</v>
      </c>
      <c r="J192" s="52" t="e">
        <f t="shared" si="50"/>
        <v>#DIV/0!</v>
      </c>
      <c r="K192" s="51" t="e">
        <f t="shared" si="60"/>
        <v>#DIV/0!</v>
      </c>
      <c r="L192" s="49" t="e">
        <f t="shared" si="56"/>
        <v>#DIV/0!</v>
      </c>
      <c r="M192" s="49">
        <f t="shared" si="65"/>
        <v>0</v>
      </c>
      <c r="N192" s="49">
        <f t="shared" si="64"/>
        <v>0</v>
      </c>
      <c r="O192" s="48" t="e">
        <f t="shared" si="51"/>
        <v>#DIV/0!</v>
      </c>
      <c r="P192" s="38" t="e">
        <f t="shared" si="47"/>
        <v>#DIV/0!</v>
      </c>
      <c r="Q192" s="53"/>
      <c r="R192" s="53">
        <f t="shared" si="57"/>
        <v>0.12</v>
      </c>
      <c r="S192" s="53">
        <f t="shared" si="58"/>
        <v>1.0596241035318976E-2</v>
      </c>
      <c r="T192" s="53">
        <f t="shared" si="59"/>
        <v>0</v>
      </c>
      <c r="U192" s="53">
        <f t="shared" si="61"/>
        <v>0</v>
      </c>
    </row>
    <row r="193" spans="1:21" x14ac:dyDescent="0.2">
      <c r="A193" s="62" t="e">
        <f t="shared" si="48"/>
        <v>#DIV/0!</v>
      </c>
      <c r="B193" s="45">
        <f t="shared" si="52"/>
        <v>179</v>
      </c>
      <c r="C193" s="51" t="e">
        <f t="shared" si="53"/>
        <v>#DIV/0!</v>
      </c>
      <c r="D193" s="47" t="e" cm="1">
        <f t="array" ref="D193">_xlfn.IFS(AND($C$7="Y",B193&lt;C$4),C193,AND($C$7="Y",B193=C$4),D192+F193-J193-K193-L193+N193,AND($C$7="Y",B193&gt;$C$4),D192-J193-K193-L193+N193, TRUE, D192-J193-K193-L193+N193)</f>
        <v>#DIV/0!</v>
      </c>
      <c r="E193" s="48">
        <f t="shared" si="54"/>
        <v>0</v>
      </c>
      <c r="F193" s="50">
        <f t="shared" si="55"/>
        <v>0</v>
      </c>
      <c r="G193" s="50">
        <f t="shared" si="62"/>
        <v>0</v>
      </c>
      <c r="H193" s="51" t="e">
        <f t="shared" si="63"/>
        <v>#DIV/0!</v>
      </c>
      <c r="I193" s="52" t="e">
        <f t="shared" si="49"/>
        <v>#DIV/0!</v>
      </c>
      <c r="J193" s="52" t="e">
        <f t="shared" si="50"/>
        <v>#DIV/0!</v>
      </c>
      <c r="K193" s="51" t="e">
        <f t="shared" si="60"/>
        <v>#DIV/0!</v>
      </c>
      <c r="L193" s="49" t="e">
        <f t="shared" si="56"/>
        <v>#DIV/0!</v>
      </c>
      <c r="M193" s="49">
        <f t="shared" si="65"/>
        <v>0</v>
      </c>
      <c r="N193" s="49">
        <f t="shared" si="64"/>
        <v>0</v>
      </c>
      <c r="O193" s="48" t="e">
        <f t="shared" si="51"/>
        <v>#DIV/0!</v>
      </c>
      <c r="P193" s="38" t="e">
        <f t="shared" si="47"/>
        <v>#DIV/0!</v>
      </c>
      <c r="Q193" s="53"/>
      <c r="R193" s="53">
        <f t="shared" si="57"/>
        <v>0.12</v>
      </c>
      <c r="S193" s="53">
        <f t="shared" si="58"/>
        <v>1.0596241035318976E-2</v>
      </c>
      <c r="T193" s="53">
        <f t="shared" si="59"/>
        <v>0</v>
      </c>
      <c r="U193" s="53">
        <f t="shared" si="61"/>
        <v>0</v>
      </c>
    </row>
    <row r="194" spans="1:21" x14ac:dyDescent="0.2">
      <c r="A194" s="62" t="e">
        <f t="shared" si="48"/>
        <v>#DIV/0!</v>
      </c>
      <c r="B194" s="45">
        <f t="shared" si="52"/>
        <v>180</v>
      </c>
      <c r="C194" s="51" t="e">
        <f t="shared" si="53"/>
        <v>#DIV/0!</v>
      </c>
      <c r="D194" s="47" t="e" cm="1">
        <f t="array" ref="D194">_xlfn.IFS(AND($C$7="Y",B194&lt;C$4),C194,AND($C$7="Y",B194=C$4),D193+F194-J194-K194-L194+N194,AND($C$7="Y",B194&gt;$C$4),D193-J194-K194-L194+N194, TRUE, D193-J194-K194-L194+N194)</f>
        <v>#DIV/0!</v>
      </c>
      <c r="E194" s="48">
        <f t="shared" si="54"/>
        <v>0</v>
      </c>
      <c r="F194" s="50">
        <f t="shared" si="55"/>
        <v>0</v>
      </c>
      <c r="G194" s="50">
        <f t="shared" si="62"/>
        <v>0</v>
      </c>
      <c r="H194" s="51" t="e">
        <f t="shared" si="63"/>
        <v>#DIV/0!</v>
      </c>
      <c r="I194" s="52" t="e">
        <f t="shared" si="49"/>
        <v>#DIV/0!</v>
      </c>
      <c r="J194" s="52" t="e">
        <f t="shared" si="50"/>
        <v>#DIV/0!</v>
      </c>
      <c r="K194" s="51" t="e">
        <f t="shared" si="60"/>
        <v>#DIV/0!</v>
      </c>
      <c r="L194" s="49" t="e">
        <f t="shared" si="56"/>
        <v>#DIV/0!</v>
      </c>
      <c r="M194" s="49">
        <f t="shared" si="65"/>
        <v>0</v>
      </c>
      <c r="N194" s="49">
        <f t="shared" si="64"/>
        <v>0</v>
      </c>
      <c r="O194" s="48" t="e">
        <f t="shared" si="51"/>
        <v>#DIV/0!</v>
      </c>
      <c r="P194" s="38" t="e">
        <f t="shared" si="47"/>
        <v>#DIV/0!</v>
      </c>
      <c r="Q194" s="53"/>
      <c r="R194" s="53">
        <f t="shared" si="57"/>
        <v>0.12</v>
      </c>
      <c r="S194" s="53">
        <f t="shared" si="58"/>
        <v>1.0596241035318976E-2</v>
      </c>
      <c r="T194" s="53">
        <f t="shared" si="59"/>
        <v>0</v>
      </c>
      <c r="U194" s="53">
        <f t="shared" si="61"/>
        <v>0</v>
      </c>
    </row>
    <row r="195" spans="1:21" x14ac:dyDescent="0.2">
      <c r="A195" s="62" t="e">
        <f t="shared" si="48"/>
        <v>#DIV/0!</v>
      </c>
      <c r="B195" s="45">
        <f t="shared" si="52"/>
        <v>181</v>
      </c>
      <c r="C195" s="51" t="e">
        <f t="shared" si="53"/>
        <v>#DIV/0!</v>
      </c>
      <c r="D195" s="47" t="e" cm="1">
        <f t="array" ref="D195">_xlfn.IFS(AND($C$7="Y",B195&lt;C$4),C195,AND($C$7="Y",B195=C$4),D194+F195-J195-K195-L195+N195,AND($C$7="Y",B195&gt;$C$4),D194-J195-K195-L195+N195, TRUE, D194-J195-K195-L195+N195)</f>
        <v>#DIV/0!</v>
      </c>
      <c r="E195" s="48">
        <f t="shared" si="54"/>
        <v>0</v>
      </c>
      <c r="F195" s="50">
        <f t="shared" si="55"/>
        <v>0</v>
      </c>
      <c r="G195" s="50">
        <f t="shared" si="62"/>
        <v>0</v>
      </c>
      <c r="H195" s="51" t="e">
        <f t="shared" si="63"/>
        <v>#DIV/0!</v>
      </c>
      <c r="I195" s="52" t="e">
        <f t="shared" si="49"/>
        <v>#DIV/0!</v>
      </c>
      <c r="J195" s="52" t="e">
        <f t="shared" si="50"/>
        <v>#DIV/0!</v>
      </c>
      <c r="K195" s="51" t="e">
        <f t="shared" si="60"/>
        <v>#DIV/0!</v>
      </c>
      <c r="L195" s="49" t="e">
        <f t="shared" si="56"/>
        <v>#DIV/0!</v>
      </c>
      <c r="M195" s="49">
        <f t="shared" si="65"/>
        <v>0</v>
      </c>
      <c r="N195" s="49">
        <f t="shared" si="64"/>
        <v>0</v>
      </c>
      <c r="O195" s="48" t="e">
        <f t="shared" si="51"/>
        <v>#DIV/0!</v>
      </c>
      <c r="P195" s="38" t="e">
        <f t="shared" si="47"/>
        <v>#DIV/0!</v>
      </c>
      <c r="Q195" s="53"/>
      <c r="R195" s="53">
        <f t="shared" si="57"/>
        <v>0.12</v>
      </c>
      <c r="S195" s="53">
        <f t="shared" si="58"/>
        <v>1.0596241035318976E-2</v>
      </c>
      <c r="T195" s="53">
        <f t="shared" si="59"/>
        <v>0</v>
      </c>
      <c r="U195" s="53">
        <f t="shared" si="61"/>
        <v>0</v>
      </c>
    </row>
    <row r="196" spans="1:21" x14ac:dyDescent="0.2">
      <c r="A196" s="62" t="e">
        <f t="shared" si="48"/>
        <v>#DIV/0!</v>
      </c>
      <c r="B196" s="45">
        <f t="shared" si="52"/>
        <v>182</v>
      </c>
      <c r="C196" s="51" t="e">
        <f t="shared" si="53"/>
        <v>#DIV/0!</v>
      </c>
      <c r="D196" s="47" t="e" cm="1">
        <f t="array" ref="D196">_xlfn.IFS(AND($C$7="Y",B196&lt;C$4),C196,AND($C$7="Y",B196=C$4),D195+F196-J196-K196-L196+N196,AND($C$7="Y",B196&gt;$C$4),D195-J196-K196-L196+N196, TRUE, D195-J196-K196-L196+N196)</f>
        <v>#DIV/0!</v>
      </c>
      <c r="E196" s="48">
        <f t="shared" si="54"/>
        <v>0</v>
      </c>
      <c r="F196" s="50">
        <f t="shared" si="55"/>
        <v>0</v>
      </c>
      <c r="G196" s="50">
        <f t="shared" si="62"/>
        <v>0</v>
      </c>
      <c r="H196" s="51" t="e">
        <f t="shared" si="63"/>
        <v>#DIV/0!</v>
      </c>
      <c r="I196" s="52" t="e">
        <f t="shared" si="49"/>
        <v>#DIV/0!</v>
      </c>
      <c r="J196" s="52" t="e">
        <f t="shared" si="50"/>
        <v>#DIV/0!</v>
      </c>
      <c r="K196" s="51" t="e">
        <f t="shared" si="60"/>
        <v>#DIV/0!</v>
      </c>
      <c r="L196" s="49" t="e">
        <f t="shared" si="56"/>
        <v>#DIV/0!</v>
      </c>
      <c r="M196" s="49">
        <f t="shared" si="65"/>
        <v>0</v>
      </c>
      <c r="N196" s="49">
        <f t="shared" si="64"/>
        <v>0</v>
      </c>
      <c r="O196" s="48" t="e">
        <f t="shared" si="51"/>
        <v>#DIV/0!</v>
      </c>
      <c r="P196" s="38" t="e">
        <f t="shared" si="47"/>
        <v>#DIV/0!</v>
      </c>
      <c r="Q196" s="53"/>
      <c r="R196" s="53">
        <f t="shared" si="57"/>
        <v>0.12</v>
      </c>
      <c r="S196" s="53">
        <f t="shared" si="58"/>
        <v>1.0596241035318976E-2</v>
      </c>
      <c r="T196" s="53">
        <f t="shared" si="59"/>
        <v>0</v>
      </c>
      <c r="U196" s="53">
        <f t="shared" si="61"/>
        <v>0</v>
      </c>
    </row>
    <row r="197" spans="1:21" x14ac:dyDescent="0.2">
      <c r="A197" s="62" t="e">
        <f t="shared" si="48"/>
        <v>#DIV/0!</v>
      </c>
      <c r="B197" s="45">
        <f t="shared" si="52"/>
        <v>183</v>
      </c>
      <c r="C197" s="51" t="e">
        <f t="shared" si="53"/>
        <v>#DIV/0!</v>
      </c>
      <c r="D197" s="47" t="e" cm="1">
        <f t="array" ref="D197">_xlfn.IFS(AND($C$7="Y",B197&lt;C$4),C197,AND($C$7="Y",B197=C$4),D196+F197-J197-K197-L197+N197,AND($C$7="Y",B197&gt;$C$4),D196-J197-K197-L197+N197, TRUE, D196-J197-K197-L197+N197)</f>
        <v>#DIV/0!</v>
      </c>
      <c r="E197" s="48">
        <f t="shared" si="54"/>
        <v>0</v>
      </c>
      <c r="F197" s="50">
        <f t="shared" si="55"/>
        <v>0</v>
      </c>
      <c r="G197" s="50">
        <f t="shared" si="62"/>
        <v>0</v>
      </c>
      <c r="H197" s="51" t="e">
        <f t="shared" si="63"/>
        <v>#DIV/0!</v>
      </c>
      <c r="I197" s="52" t="e">
        <f t="shared" si="49"/>
        <v>#DIV/0!</v>
      </c>
      <c r="J197" s="52" t="e">
        <f t="shared" si="50"/>
        <v>#DIV/0!</v>
      </c>
      <c r="K197" s="51" t="e">
        <f t="shared" si="60"/>
        <v>#DIV/0!</v>
      </c>
      <c r="L197" s="49" t="e">
        <f t="shared" si="56"/>
        <v>#DIV/0!</v>
      </c>
      <c r="M197" s="49">
        <f t="shared" si="65"/>
        <v>0</v>
      </c>
      <c r="N197" s="49">
        <f t="shared" si="64"/>
        <v>0</v>
      </c>
      <c r="O197" s="48" t="e">
        <f t="shared" si="51"/>
        <v>#DIV/0!</v>
      </c>
      <c r="P197" s="38" t="e">
        <f t="shared" si="47"/>
        <v>#DIV/0!</v>
      </c>
      <c r="Q197" s="53"/>
      <c r="R197" s="53">
        <f t="shared" si="57"/>
        <v>0.12</v>
      </c>
      <c r="S197" s="53">
        <f t="shared" si="58"/>
        <v>1.0596241035318976E-2</v>
      </c>
      <c r="T197" s="53">
        <f t="shared" si="59"/>
        <v>0</v>
      </c>
      <c r="U197" s="53">
        <f t="shared" si="61"/>
        <v>0</v>
      </c>
    </row>
    <row r="198" spans="1:21" x14ac:dyDescent="0.2">
      <c r="A198" s="62" t="e">
        <f t="shared" si="48"/>
        <v>#DIV/0!</v>
      </c>
      <c r="B198" s="45">
        <f t="shared" si="52"/>
        <v>184</v>
      </c>
      <c r="C198" s="51" t="e">
        <f t="shared" si="53"/>
        <v>#DIV/0!</v>
      </c>
      <c r="D198" s="47" t="e" cm="1">
        <f t="array" ref="D198">_xlfn.IFS(AND($C$7="Y",B198&lt;C$4),C198,AND($C$7="Y",B198=C$4),D197+F198-J198-K198-L198+N198,AND($C$7="Y",B198&gt;$C$4),D197-J198-K198-L198+N198, TRUE, D197-J198-K198-L198+N198)</f>
        <v>#DIV/0!</v>
      </c>
      <c r="E198" s="48">
        <f t="shared" si="54"/>
        <v>0</v>
      </c>
      <c r="F198" s="50">
        <f t="shared" si="55"/>
        <v>0</v>
      </c>
      <c r="G198" s="50">
        <f t="shared" si="62"/>
        <v>0</v>
      </c>
      <c r="H198" s="51" t="e">
        <f t="shared" si="63"/>
        <v>#DIV/0!</v>
      </c>
      <c r="I198" s="52" t="e">
        <f t="shared" si="49"/>
        <v>#DIV/0!</v>
      </c>
      <c r="J198" s="52" t="e">
        <f t="shared" si="50"/>
        <v>#DIV/0!</v>
      </c>
      <c r="K198" s="51" t="e">
        <f t="shared" si="60"/>
        <v>#DIV/0!</v>
      </c>
      <c r="L198" s="49" t="e">
        <f t="shared" si="56"/>
        <v>#DIV/0!</v>
      </c>
      <c r="M198" s="49">
        <f t="shared" si="65"/>
        <v>0</v>
      </c>
      <c r="N198" s="49">
        <f t="shared" si="64"/>
        <v>0</v>
      </c>
      <c r="O198" s="48" t="e">
        <f t="shared" si="51"/>
        <v>#DIV/0!</v>
      </c>
      <c r="P198" s="38" t="e">
        <f t="shared" si="47"/>
        <v>#DIV/0!</v>
      </c>
      <c r="Q198" s="53"/>
      <c r="R198" s="53">
        <f t="shared" si="57"/>
        <v>0.12</v>
      </c>
      <c r="S198" s="53">
        <f t="shared" si="58"/>
        <v>1.0596241035318976E-2</v>
      </c>
      <c r="T198" s="53">
        <f t="shared" si="59"/>
        <v>0</v>
      </c>
      <c r="U198" s="53">
        <f t="shared" si="61"/>
        <v>0</v>
      </c>
    </row>
    <row r="199" spans="1:21" x14ac:dyDescent="0.2">
      <c r="A199" s="62" t="e">
        <f t="shared" si="48"/>
        <v>#DIV/0!</v>
      </c>
      <c r="B199" s="45">
        <f t="shared" si="52"/>
        <v>185</v>
      </c>
      <c r="C199" s="51" t="e">
        <f t="shared" si="53"/>
        <v>#DIV/0!</v>
      </c>
      <c r="D199" s="47" t="e" cm="1">
        <f t="array" ref="D199">_xlfn.IFS(AND($C$7="Y",B199&lt;C$4),C199,AND($C$7="Y",B199=C$4),D198+F199-J199-K199-L199+N199,AND($C$7="Y",B199&gt;$C$4),D198-J199-K199-L199+N199, TRUE, D198-J199-K199-L199+N199)</f>
        <v>#DIV/0!</v>
      </c>
      <c r="E199" s="48">
        <f t="shared" si="54"/>
        <v>0</v>
      </c>
      <c r="F199" s="50">
        <f t="shared" si="55"/>
        <v>0</v>
      </c>
      <c r="G199" s="50">
        <f t="shared" si="62"/>
        <v>0</v>
      </c>
      <c r="H199" s="51" t="e">
        <f t="shared" si="63"/>
        <v>#DIV/0!</v>
      </c>
      <c r="I199" s="52" t="e">
        <f t="shared" si="49"/>
        <v>#DIV/0!</v>
      </c>
      <c r="J199" s="52" t="e">
        <f t="shared" si="50"/>
        <v>#DIV/0!</v>
      </c>
      <c r="K199" s="51" t="e">
        <f t="shared" si="60"/>
        <v>#DIV/0!</v>
      </c>
      <c r="L199" s="49" t="e">
        <f t="shared" si="56"/>
        <v>#DIV/0!</v>
      </c>
      <c r="M199" s="49">
        <f t="shared" si="65"/>
        <v>0</v>
      </c>
      <c r="N199" s="49">
        <f t="shared" si="64"/>
        <v>0</v>
      </c>
      <c r="O199" s="48" t="e">
        <f t="shared" si="51"/>
        <v>#DIV/0!</v>
      </c>
      <c r="P199" s="38" t="e">
        <f t="shared" si="47"/>
        <v>#DIV/0!</v>
      </c>
      <c r="Q199" s="53"/>
      <c r="R199" s="53">
        <f t="shared" si="57"/>
        <v>0.12</v>
      </c>
      <c r="S199" s="53">
        <f t="shared" si="58"/>
        <v>1.0596241035318976E-2</v>
      </c>
      <c r="T199" s="53">
        <f t="shared" si="59"/>
        <v>0</v>
      </c>
      <c r="U199" s="53">
        <f t="shared" si="61"/>
        <v>0</v>
      </c>
    </row>
    <row r="200" spans="1:21" x14ac:dyDescent="0.2">
      <c r="A200" s="62" t="e">
        <f t="shared" si="48"/>
        <v>#DIV/0!</v>
      </c>
      <c r="B200" s="45">
        <f t="shared" si="52"/>
        <v>186</v>
      </c>
      <c r="C200" s="51" t="e">
        <f t="shared" si="53"/>
        <v>#DIV/0!</v>
      </c>
      <c r="D200" s="47" t="e" cm="1">
        <f t="array" ref="D200">_xlfn.IFS(AND($C$7="Y",B200&lt;C$4),C200,AND($C$7="Y",B200=C$4),D199+F200-J200-K200-L200+N200,AND($C$7="Y",B200&gt;$C$4),D199-J200-K200-L200+N200, TRUE, D199-J200-K200-L200+N200)</f>
        <v>#DIV/0!</v>
      </c>
      <c r="E200" s="48">
        <f t="shared" si="54"/>
        <v>0</v>
      </c>
      <c r="F200" s="50">
        <f t="shared" si="55"/>
        <v>0</v>
      </c>
      <c r="G200" s="50">
        <f t="shared" si="62"/>
        <v>0</v>
      </c>
      <c r="H200" s="51" t="e">
        <f t="shared" si="63"/>
        <v>#DIV/0!</v>
      </c>
      <c r="I200" s="52" t="e">
        <f t="shared" si="49"/>
        <v>#DIV/0!</v>
      </c>
      <c r="J200" s="52" t="e">
        <f t="shared" si="50"/>
        <v>#DIV/0!</v>
      </c>
      <c r="K200" s="51" t="e">
        <f t="shared" si="60"/>
        <v>#DIV/0!</v>
      </c>
      <c r="L200" s="49" t="e">
        <f t="shared" si="56"/>
        <v>#DIV/0!</v>
      </c>
      <c r="M200" s="49">
        <f t="shared" si="65"/>
        <v>0</v>
      </c>
      <c r="N200" s="49">
        <f t="shared" si="64"/>
        <v>0</v>
      </c>
      <c r="O200" s="48" t="e">
        <f t="shared" si="51"/>
        <v>#DIV/0!</v>
      </c>
      <c r="P200" s="38" t="e">
        <f t="shared" si="47"/>
        <v>#DIV/0!</v>
      </c>
      <c r="Q200" s="53"/>
      <c r="R200" s="53">
        <f t="shared" si="57"/>
        <v>0.12</v>
      </c>
      <c r="S200" s="53">
        <f t="shared" si="58"/>
        <v>1.0596241035318976E-2</v>
      </c>
      <c r="T200" s="53">
        <f t="shared" si="59"/>
        <v>0</v>
      </c>
      <c r="U200" s="53">
        <f t="shared" si="61"/>
        <v>0</v>
      </c>
    </row>
    <row r="201" spans="1:21" x14ac:dyDescent="0.2">
      <c r="A201" s="62" t="e">
        <f t="shared" si="48"/>
        <v>#DIV/0!</v>
      </c>
      <c r="B201" s="45">
        <f t="shared" si="52"/>
        <v>187</v>
      </c>
      <c r="C201" s="51" t="e">
        <f t="shared" si="53"/>
        <v>#DIV/0!</v>
      </c>
      <c r="D201" s="47" t="e" cm="1">
        <f t="array" ref="D201">_xlfn.IFS(AND($C$7="Y",B201&lt;C$4),C201,AND($C$7="Y",B201=C$4),D200+F201-J201-K201-L201+N201,AND($C$7="Y",B201&gt;$C$4),D200-J201-K201-L201+N201, TRUE, D200-J201-K201-L201+N201)</f>
        <v>#DIV/0!</v>
      </c>
      <c r="E201" s="48">
        <f t="shared" si="54"/>
        <v>0</v>
      </c>
      <c r="F201" s="50">
        <f t="shared" si="55"/>
        <v>0</v>
      </c>
      <c r="G201" s="50">
        <f t="shared" si="62"/>
        <v>0</v>
      </c>
      <c r="H201" s="51" t="e">
        <f t="shared" si="63"/>
        <v>#DIV/0!</v>
      </c>
      <c r="I201" s="52" t="e">
        <f t="shared" si="49"/>
        <v>#DIV/0!</v>
      </c>
      <c r="J201" s="52" t="e">
        <f t="shared" si="50"/>
        <v>#DIV/0!</v>
      </c>
      <c r="K201" s="51" t="e">
        <f t="shared" si="60"/>
        <v>#DIV/0!</v>
      </c>
      <c r="L201" s="49" t="e">
        <f t="shared" si="56"/>
        <v>#DIV/0!</v>
      </c>
      <c r="M201" s="49">
        <f t="shared" si="65"/>
        <v>0</v>
      </c>
      <c r="N201" s="49">
        <f t="shared" si="64"/>
        <v>0</v>
      </c>
      <c r="O201" s="48" t="e">
        <f t="shared" si="51"/>
        <v>#DIV/0!</v>
      </c>
      <c r="P201" s="38" t="e">
        <f t="shared" si="47"/>
        <v>#DIV/0!</v>
      </c>
      <c r="Q201" s="53"/>
      <c r="R201" s="53">
        <f t="shared" si="57"/>
        <v>0.12</v>
      </c>
      <c r="S201" s="53">
        <f t="shared" si="58"/>
        <v>1.0596241035318976E-2</v>
      </c>
      <c r="T201" s="53">
        <f t="shared" si="59"/>
        <v>0</v>
      </c>
      <c r="U201" s="53">
        <f t="shared" si="61"/>
        <v>0</v>
      </c>
    </row>
    <row r="202" spans="1:21" x14ac:dyDescent="0.2">
      <c r="A202" s="62" t="e">
        <f t="shared" si="48"/>
        <v>#DIV/0!</v>
      </c>
      <c r="B202" s="45">
        <f t="shared" si="52"/>
        <v>188</v>
      </c>
      <c r="C202" s="51" t="e">
        <f t="shared" si="53"/>
        <v>#DIV/0!</v>
      </c>
      <c r="D202" s="47" t="e" cm="1">
        <f t="array" ref="D202">_xlfn.IFS(AND($C$7="Y",B202&lt;C$4),C202,AND($C$7="Y",B202=C$4),D201+F202-J202-K202-L202+N202,AND($C$7="Y",B202&gt;$C$4),D201-J202-K202-L202+N202, TRUE, D201-J202-K202-L202+N202)</f>
        <v>#DIV/0!</v>
      </c>
      <c r="E202" s="48">
        <f t="shared" si="54"/>
        <v>0</v>
      </c>
      <c r="F202" s="50">
        <f t="shared" si="55"/>
        <v>0</v>
      </c>
      <c r="G202" s="50">
        <f t="shared" si="62"/>
        <v>0</v>
      </c>
      <c r="H202" s="51" t="e">
        <f t="shared" si="63"/>
        <v>#DIV/0!</v>
      </c>
      <c r="I202" s="52" t="e">
        <f t="shared" si="49"/>
        <v>#DIV/0!</v>
      </c>
      <c r="J202" s="52" t="e">
        <f t="shared" si="50"/>
        <v>#DIV/0!</v>
      </c>
      <c r="K202" s="51" t="e">
        <f t="shared" si="60"/>
        <v>#DIV/0!</v>
      </c>
      <c r="L202" s="49" t="e">
        <f t="shared" si="56"/>
        <v>#DIV/0!</v>
      </c>
      <c r="M202" s="49">
        <f t="shared" si="65"/>
        <v>0</v>
      </c>
      <c r="N202" s="49">
        <f t="shared" si="64"/>
        <v>0</v>
      </c>
      <c r="O202" s="48" t="e">
        <f t="shared" si="51"/>
        <v>#DIV/0!</v>
      </c>
      <c r="P202" s="38" t="e">
        <f t="shared" si="47"/>
        <v>#DIV/0!</v>
      </c>
      <c r="Q202" s="53"/>
      <c r="R202" s="53">
        <f t="shared" si="57"/>
        <v>0.12</v>
      </c>
      <c r="S202" s="53">
        <f t="shared" si="58"/>
        <v>1.0596241035318976E-2</v>
      </c>
      <c r="T202" s="53">
        <f t="shared" si="59"/>
        <v>0</v>
      </c>
      <c r="U202" s="53">
        <f t="shared" si="61"/>
        <v>0</v>
      </c>
    </row>
    <row r="203" spans="1:21" x14ac:dyDescent="0.2">
      <c r="A203" s="62" t="e">
        <f t="shared" si="48"/>
        <v>#DIV/0!</v>
      </c>
      <c r="B203" s="45">
        <f t="shared" si="52"/>
        <v>189</v>
      </c>
      <c r="C203" s="51" t="e">
        <f t="shared" si="53"/>
        <v>#DIV/0!</v>
      </c>
      <c r="D203" s="47" t="e" cm="1">
        <f t="array" ref="D203">_xlfn.IFS(AND($C$7="Y",B203&lt;C$4),C203,AND($C$7="Y",B203=C$4),D202+F203-J203-K203-L203+N203,AND($C$7="Y",B203&gt;$C$4),D202-J203-K203-L203+N203, TRUE, D202-J203-K203-L203+N203)</f>
        <v>#DIV/0!</v>
      </c>
      <c r="E203" s="48">
        <f t="shared" si="54"/>
        <v>0</v>
      </c>
      <c r="F203" s="50">
        <f t="shared" si="55"/>
        <v>0</v>
      </c>
      <c r="G203" s="50">
        <f t="shared" si="62"/>
        <v>0</v>
      </c>
      <c r="H203" s="51" t="e">
        <f t="shared" si="63"/>
        <v>#DIV/0!</v>
      </c>
      <c r="I203" s="52" t="e">
        <f t="shared" si="49"/>
        <v>#DIV/0!</v>
      </c>
      <c r="J203" s="52" t="e">
        <f t="shared" si="50"/>
        <v>#DIV/0!</v>
      </c>
      <c r="K203" s="51" t="e">
        <f t="shared" si="60"/>
        <v>#DIV/0!</v>
      </c>
      <c r="L203" s="49" t="e">
        <f t="shared" si="56"/>
        <v>#DIV/0!</v>
      </c>
      <c r="M203" s="49">
        <f t="shared" si="65"/>
        <v>0</v>
      </c>
      <c r="N203" s="49">
        <f t="shared" si="64"/>
        <v>0</v>
      </c>
      <c r="O203" s="48" t="e">
        <f t="shared" si="51"/>
        <v>#DIV/0!</v>
      </c>
      <c r="P203" s="38" t="e">
        <f t="shared" si="47"/>
        <v>#DIV/0!</v>
      </c>
      <c r="Q203" s="53"/>
      <c r="R203" s="53">
        <f t="shared" si="57"/>
        <v>0.12</v>
      </c>
      <c r="S203" s="53">
        <f t="shared" si="58"/>
        <v>1.0596241035318976E-2</v>
      </c>
      <c r="T203" s="53">
        <f t="shared" si="59"/>
        <v>0</v>
      </c>
      <c r="U203" s="53">
        <f t="shared" si="61"/>
        <v>0</v>
      </c>
    </row>
    <row r="204" spans="1:21" x14ac:dyDescent="0.2">
      <c r="A204" s="62" t="e">
        <f t="shared" si="48"/>
        <v>#DIV/0!</v>
      </c>
      <c r="B204" s="45">
        <f t="shared" si="52"/>
        <v>190</v>
      </c>
      <c r="C204" s="51" t="e">
        <f t="shared" si="53"/>
        <v>#DIV/0!</v>
      </c>
      <c r="D204" s="47" t="e" cm="1">
        <f t="array" ref="D204">_xlfn.IFS(AND($C$7="Y",B204&lt;C$4),C204,AND($C$7="Y",B204=C$4),D203+F204-J204-K204-L204+N204,AND($C$7="Y",B204&gt;$C$4),D203-J204-K204-L204+N204, TRUE, D203-J204-K204-L204+N204)</f>
        <v>#DIV/0!</v>
      </c>
      <c r="E204" s="48">
        <f t="shared" si="54"/>
        <v>0</v>
      </c>
      <c r="F204" s="50">
        <f t="shared" si="55"/>
        <v>0</v>
      </c>
      <c r="G204" s="50">
        <f t="shared" si="62"/>
        <v>0</v>
      </c>
      <c r="H204" s="51" t="e">
        <f t="shared" si="63"/>
        <v>#DIV/0!</v>
      </c>
      <c r="I204" s="52" t="e">
        <f t="shared" si="49"/>
        <v>#DIV/0!</v>
      </c>
      <c r="J204" s="52" t="e">
        <f t="shared" si="50"/>
        <v>#DIV/0!</v>
      </c>
      <c r="K204" s="51" t="e">
        <f t="shared" si="60"/>
        <v>#DIV/0!</v>
      </c>
      <c r="L204" s="49" t="e">
        <f t="shared" si="56"/>
        <v>#DIV/0!</v>
      </c>
      <c r="M204" s="49">
        <f t="shared" si="65"/>
        <v>0</v>
      </c>
      <c r="N204" s="49">
        <f t="shared" si="64"/>
        <v>0</v>
      </c>
      <c r="O204" s="48" t="e">
        <f t="shared" si="51"/>
        <v>#DIV/0!</v>
      </c>
      <c r="P204" s="38" t="e">
        <f t="shared" si="47"/>
        <v>#DIV/0!</v>
      </c>
      <c r="Q204" s="53"/>
      <c r="R204" s="53">
        <f t="shared" si="57"/>
        <v>0.12</v>
      </c>
      <c r="S204" s="53">
        <f t="shared" si="58"/>
        <v>1.0596241035318976E-2</v>
      </c>
      <c r="T204" s="53">
        <f t="shared" si="59"/>
        <v>0</v>
      </c>
      <c r="U204" s="53">
        <f t="shared" si="61"/>
        <v>0</v>
      </c>
    </row>
    <row r="205" spans="1:21" x14ac:dyDescent="0.2">
      <c r="A205" s="62" t="e">
        <f t="shared" si="48"/>
        <v>#DIV/0!</v>
      </c>
      <c r="B205" s="45">
        <f t="shared" si="52"/>
        <v>191</v>
      </c>
      <c r="C205" s="51" t="e">
        <f t="shared" si="53"/>
        <v>#DIV/0!</v>
      </c>
      <c r="D205" s="47" t="e" cm="1">
        <f t="array" ref="D205">_xlfn.IFS(AND($C$7="Y",B205&lt;C$4),C205,AND($C$7="Y",B205=C$4),D204+F205-J205-K205-L205+N205,AND($C$7="Y",B205&gt;$C$4),D204-J205-K205-L205+N205, TRUE, D204-J205-K205-L205+N205)</f>
        <v>#DIV/0!</v>
      </c>
      <c r="E205" s="48">
        <f t="shared" si="54"/>
        <v>0</v>
      </c>
      <c r="F205" s="50">
        <f t="shared" si="55"/>
        <v>0</v>
      </c>
      <c r="G205" s="50">
        <f t="shared" si="62"/>
        <v>0</v>
      </c>
      <c r="H205" s="51" t="e">
        <f t="shared" si="63"/>
        <v>#DIV/0!</v>
      </c>
      <c r="I205" s="52" t="e">
        <f t="shared" si="49"/>
        <v>#DIV/0!</v>
      </c>
      <c r="J205" s="52" t="e">
        <f t="shared" si="50"/>
        <v>#DIV/0!</v>
      </c>
      <c r="K205" s="51" t="e">
        <f t="shared" si="60"/>
        <v>#DIV/0!</v>
      </c>
      <c r="L205" s="49" t="e">
        <f t="shared" si="56"/>
        <v>#DIV/0!</v>
      </c>
      <c r="M205" s="49">
        <f t="shared" si="65"/>
        <v>0</v>
      </c>
      <c r="N205" s="49">
        <f t="shared" si="64"/>
        <v>0</v>
      </c>
      <c r="O205" s="48" t="e">
        <f t="shared" si="51"/>
        <v>#DIV/0!</v>
      </c>
      <c r="P205" s="38" t="e">
        <f t="shared" si="47"/>
        <v>#DIV/0!</v>
      </c>
      <c r="Q205" s="53"/>
      <c r="R205" s="53">
        <f t="shared" si="57"/>
        <v>0.12</v>
      </c>
      <c r="S205" s="53">
        <f t="shared" si="58"/>
        <v>1.0596241035318976E-2</v>
      </c>
      <c r="T205" s="53">
        <f t="shared" si="59"/>
        <v>0</v>
      </c>
      <c r="U205" s="53">
        <f t="shared" si="61"/>
        <v>0</v>
      </c>
    </row>
    <row r="206" spans="1:21" x14ac:dyDescent="0.2">
      <c r="A206" s="62" t="e">
        <f t="shared" si="48"/>
        <v>#DIV/0!</v>
      </c>
      <c r="B206" s="45">
        <f t="shared" si="52"/>
        <v>192</v>
      </c>
      <c r="C206" s="51" t="e">
        <f t="shared" si="53"/>
        <v>#DIV/0!</v>
      </c>
      <c r="D206" s="47" t="e" cm="1">
        <f t="array" ref="D206">_xlfn.IFS(AND($C$7="Y",B206&lt;C$4),C206,AND($C$7="Y",B206=C$4),D205+F206-J206-K206-L206+N206,AND($C$7="Y",B206&gt;$C$4),D205-J206-K206-L206+N206, TRUE, D205-J206-K206-L206+N206)</f>
        <v>#DIV/0!</v>
      </c>
      <c r="E206" s="48">
        <f t="shared" si="54"/>
        <v>0</v>
      </c>
      <c r="F206" s="50">
        <f t="shared" si="55"/>
        <v>0</v>
      </c>
      <c r="G206" s="50">
        <f t="shared" si="62"/>
        <v>0</v>
      </c>
      <c r="H206" s="51" t="e">
        <f t="shared" si="63"/>
        <v>#DIV/0!</v>
      </c>
      <c r="I206" s="52" t="e">
        <f t="shared" si="49"/>
        <v>#DIV/0!</v>
      </c>
      <c r="J206" s="52" t="e">
        <f t="shared" si="50"/>
        <v>#DIV/0!</v>
      </c>
      <c r="K206" s="51" t="e">
        <f t="shared" si="60"/>
        <v>#DIV/0!</v>
      </c>
      <c r="L206" s="49" t="e">
        <f t="shared" si="56"/>
        <v>#DIV/0!</v>
      </c>
      <c r="M206" s="49">
        <f t="shared" si="65"/>
        <v>0</v>
      </c>
      <c r="N206" s="49">
        <f t="shared" si="64"/>
        <v>0</v>
      </c>
      <c r="O206" s="48" t="e">
        <f t="shared" si="51"/>
        <v>#DIV/0!</v>
      </c>
      <c r="P206" s="38" t="e">
        <f t="shared" ref="P206:P269" si="66">O206*(1/((1+P$12)^(B206/12)))</f>
        <v>#DIV/0!</v>
      </c>
      <c r="Q206" s="53"/>
      <c r="R206" s="53">
        <f t="shared" si="57"/>
        <v>0.12</v>
      </c>
      <c r="S206" s="53">
        <f t="shared" si="58"/>
        <v>1.0596241035318976E-2</v>
      </c>
      <c r="T206" s="53">
        <f t="shared" si="59"/>
        <v>0</v>
      </c>
      <c r="U206" s="53">
        <f t="shared" si="61"/>
        <v>0</v>
      </c>
    </row>
    <row r="207" spans="1:21" x14ac:dyDescent="0.2">
      <c r="A207" s="62" t="e">
        <f t="shared" ref="A207:A235" si="67">D207/C$1</f>
        <v>#DIV/0!</v>
      </c>
      <c r="B207" s="45">
        <f t="shared" si="52"/>
        <v>193</v>
      </c>
      <c r="C207" s="51" t="e">
        <f t="shared" si="53"/>
        <v>#DIV/0!</v>
      </c>
      <c r="D207" s="47" t="e" cm="1">
        <f t="array" ref="D207">_xlfn.IFS(AND($C$7="Y",B207&lt;C$4),C207,AND($C$7="Y",B207=C$4),D206+F207-J207-K207-L207+N207,AND($C$7="Y",B207&gt;$C$4),D206-J207-K207-L207+N207, TRUE, D206-J207-K207-L207+N207)</f>
        <v>#DIV/0!</v>
      </c>
      <c r="E207" s="48">
        <f t="shared" si="54"/>
        <v>0</v>
      </c>
      <c r="F207" s="50">
        <f t="shared" si="55"/>
        <v>0</v>
      </c>
      <c r="G207" s="50">
        <f t="shared" si="62"/>
        <v>0</v>
      </c>
      <c r="H207" s="51" t="e">
        <f t="shared" si="63"/>
        <v>#DIV/0!</v>
      </c>
      <c r="I207" s="52" t="e">
        <f t="shared" ref="I207:I219" si="68">IF(AND(C$7="Y",$B207&lt;=C$4),0,IF(AND(C$7="Y",$B207&gt;C$4),(1-U207)*C$2*D206/12,IF(AND($C$7="N",C$4&gt;0),(1-U207)*D206*C$2/12, (1-U207)*D206*C$2/12)))</f>
        <v>#DIV/0!</v>
      </c>
      <c r="J207" s="52" t="e">
        <f t="shared" ref="J207:J270" si="69">IF(AND($B207&lt;=$C$4,C$7="Y"),0,IF(AND(C$7="N",C$4&gt;0,B207&lt;=C$4),0,H207-I207))</f>
        <v>#DIV/0!</v>
      </c>
      <c r="K207" s="51" t="e">
        <f t="shared" si="60"/>
        <v>#DIV/0!</v>
      </c>
      <c r="L207" s="49" t="e">
        <f t="shared" si="56"/>
        <v>#DIV/0!</v>
      </c>
      <c r="M207" s="49">
        <f t="shared" si="65"/>
        <v>0</v>
      </c>
      <c r="N207" s="49">
        <f t="shared" si="64"/>
        <v>0</v>
      </c>
      <c r="O207" s="48" t="e">
        <f t="shared" ref="O207:O270" si="70">K207+I207+J207-L207+N207+G207</f>
        <v>#DIV/0!</v>
      </c>
      <c r="P207" s="38" t="e">
        <f t="shared" si="66"/>
        <v>#DIV/0!</v>
      </c>
      <c r="Q207" s="53"/>
      <c r="R207" s="53">
        <f t="shared" si="57"/>
        <v>0.12</v>
      </c>
      <c r="S207" s="53">
        <f t="shared" si="58"/>
        <v>1.0596241035318976E-2</v>
      </c>
      <c r="T207" s="53">
        <f t="shared" si="59"/>
        <v>0</v>
      </c>
      <c r="U207" s="53">
        <f t="shared" si="61"/>
        <v>0</v>
      </c>
    </row>
    <row r="208" spans="1:21" x14ac:dyDescent="0.2">
      <c r="A208" s="62" t="e">
        <f t="shared" si="67"/>
        <v>#DIV/0!</v>
      </c>
      <c r="B208" s="45">
        <f t="shared" ref="B208:B223" si="71">B207+1</f>
        <v>194</v>
      </c>
      <c r="C208" s="51" t="e">
        <f t="shared" ref="C208:C271" si="72">IF(B208&lt;C$4,C$1,D207-L208+N208)</f>
        <v>#DIV/0!</v>
      </c>
      <c r="D208" s="47" t="e" cm="1">
        <f t="array" ref="D208">_xlfn.IFS(AND($C$7="Y",B208&lt;C$4),C208,AND($C$7="Y",B208=C$4),D207+F208-J208-K208-L208+N208,AND($C$7="Y",B208&gt;$C$4),D207-J208-K208-L208+N208, TRUE, D207-J208-K208-L208+N208)</f>
        <v>#DIV/0!</v>
      </c>
      <c r="E208" s="48">
        <f t="shared" ref="E208:E219" si="73">IF(AND($C$7="Y",B208&lt;=$C$4),D207*C$2/12-G208,0)</f>
        <v>0</v>
      </c>
      <c r="F208" s="50">
        <f t="shared" ref="F208:F219" si="74">IF(AND($C$7="Y",B208&lt;=C$4),E208+F207,0)</f>
        <v>0</v>
      </c>
      <c r="G208" s="50">
        <f t="shared" si="62"/>
        <v>0</v>
      </c>
      <c r="H208" s="51" t="e">
        <f t="shared" si="63"/>
        <v>#DIV/0!</v>
      </c>
      <c r="I208" s="52" t="e">
        <f t="shared" si="68"/>
        <v>#DIV/0!</v>
      </c>
      <c r="J208" s="52" t="e">
        <f t="shared" si="69"/>
        <v>#DIV/0!</v>
      </c>
      <c r="K208" s="51" t="e">
        <f t="shared" si="60"/>
        <v>#DIV/0!</v>
      </c>
      <c r="L208" s="49" t="e">
        <f t="shared" ref="L208:L235" si="75">IF(AND(C$7="Y",$B208&lt;=$C$4),0,IF(AND(C$7="N",C$4&gt;0,B208&lt;=C$4),0,U208*D207))</f>
        <v>#DIV/0!</v>
      </c>
      <c r="M208" s="49">
        <f t="shared" si="65"/>
        <v>0</v>
      </c>
      <c r="N208" s="49">
        <f t="shared" si="64"/>
        <v>0</v>
      </c>
      <c r="O208" s="48" t="e">
        <f t="shared" si="70"/>
        <v>#DIV/0!</v>
      </c>
      <c r="P208" s="38" t="e">
        <f t="shared" si="66"/>
        <v>#DIV/0!</v>
      </c>
      <c r="Q208" s="53"/>
      <c r="R208" s="53">
        <f t="shared" ref="R208:R219" si="76">R$12</f>
        <v>0.12</v>
      </c>
      <c r="S208" s="53">
        <f t="shared" ref="S208:S219" si="77">1-(1-R208)^(1/12)</f>
        <v>1.0596241035318976E-2</v>
      </c>
      <c r="T208" s="53">
        <f t="shared" ref="T208:T219" si="78">T$12</f>
        <v>0</v>
      </c>
      <c r="U208" s="53">
        <f t="shared" si="61"/>
        <v>0</v>
      </c>
    </row>
    <row r="209" spans="1:21" x14ac:dyDescent="0.2">
      <c r="A209" s="62" t="e">
        <f t="shared" si="67"/>
        <v>#DIV/0!</v>
      </c>
      <c r="B209" s="45">
        <f t="shared" si="71"/>
        <v>195</v>
      </c>
      <c r="C209" s="51" t="e">
        <f t="shared" si="72"/>
        <v>#DIV/0!</v>
      </c>
      <c r="D209" s="47" t="e" cm="1">
        <f t="array" ref="D209">_xlfn.IFS(AND($C$7="Y",B209&lt;C$4),C209,AND($C$7="Y",B209=C$4),D208+F209-J209-K209-L209+N209,AND($C$7="Y",B209&gt;$C$4),D208-J209-K209-L209+N209, TRUE, D208-J209-K209-L209+N209)</f>
        <v>#DIV/0!</v>
      </c>
      <c r="E209" s="48">
        <f t="shared" si="73"/>
        <v>0</v>
      </c>
      <c r="F209" s="50">
        <f t="shared" si="74"/>
        <v>0</v>
      </c>
      <c r="G209" s="50">
        <f t="shared" si="62"/>
        <v>0</v>
      </c>
      <c r="H209" s="51" t="e">
        <f t="shared" si="63"/>
        <v>#DIV/0!</v>
      </c>
      <c r="I209" s="52" t="e">
        <f t="shared" si="68"/>
        <v>#DIV/0!</v>
      </c>
      <c r="J209" s="52" t="e">
        <f t="shared" si="69"/>
        <v>#DIV/0!</v>
      </c>
      <c r="K209" s="51" t="e">
        <f t="shared" ref="K209:K272" si="79">IF(AND(C$7="Y",$B209&lt;=$C$4),0,IF(AND(C$7="N",C$4&gt;0,B209&lt;=C$4),0,S209*(C209-J209)))</f>
        <v>#DIV/0!</v>
      </c>
      <c r="L209" s="49" t="e">
        <f t="shared" si="75"/>
        <v>#DIV/0!</v>
      </c>
      <c r="M209" s="49">
        <f t="shared" si="65"/>
        <v>0</v>
      </c>
      <c r="N209" s="49">
        <f t="shared" si="64"/>
        <v>0</v>
      </c>
      <c r="O209" s="48" t="e">
        <f t="shared" si="70"/>
        <v>#DIV/0!</v>
      </c>
      <c r="P209" s="38" t="e">
        <f t="shared" si="66"/>
        <v>#DIV/0!</v>
      </c>
      <c r="Q209" s="53"/>
      <c r="R209" s="53">
        <f t="shared" si="76"/>
        <v>0.12</v>
      </c>
      <c r="S209" s="53">
        <f t="shared" si="77"/>
        <v>1.0596241035318976E-2</v>
      </c>
      <c r="T209" s="53">
        <f t="shared" si="78"/>
        <v>0</v>
      </c>
      <c r="U209" s="53">
        <f t="shared" ref="U209:U219" si="80">1-(1-T209)^(1/12)</f>
        <v>0</v>
      </c>
    </row>
    <row r="210" spans="1:21" x14ac:dyDescent="0.2">
      <c r="A210" s="62" t="e">
        <f t="shared" si="67"/>
        <v>#DIV/0!</v>
      </c>
      <c r="B210" s="45">
        <f t="shared" si="71"/>
        <v>196</v>
      </c>
      <c r="C210" s="51" t="e">
        <f t="shared" si="72"/>
        <v>#DIV/0!</v>
      </c>
      <c r="D210" s="47" t="e" cm="1">
        <f t="array" ref="D210">_xlfn.IFS(AND($C$7="Y",B210&lt;C$4),C210,AND($C$7="Y",B210=C$4),D209+F210-J210-K210-L210+N210,AND($C$7="Y",B210&gt;$C$4),D209-J210-K210-L210+N210, TRUE, D209-J210-K210-L210+N210)</f>
        <v>#DIV/0!</v>
      </c>
      <c r="E210" s="48">
        <f t="shared" si="73"/>
        <v>0</v>
      </c>
      <c r="F210" s="50">
        <f t="shared" si="74"/>
        <v>0</v>
      </c>
      <c r="G210" s="50">
        <f t="shared" ref="G210:G219" si="81">IF($B210&lt;=$C$4,C$6,0)</f>
        <v>0</v>
      </c>
      <c r="H210" s="51" t="e">
        <f t="shared" si="63"/>
        <v>#DIV/0!</v>
      </c>
      <c r="I210" s="52" t="e">
        <f t="shared" si="68"/>
        <v>#DIV/0!</v>
      </c>
      <c r="J210" s="52" t="e">
        <f t="shared" si="69"/>
        <v>#DIV/0!</v>
      </c>
      <c r="K210" s="51" t="e">
        <f t="shared" si="79"/>
        <v>#DIV/0!</v>
      </c>
      <c r="L210" s="49" t="e">
        <f t="shared" si="75"/>
        <v>#DIV/0!</v>
      </c>
      <c r="M210" s="49">
        <f t="shared" si="65"/>
        <v>0</v>
      </c>
      <c r="N210" s="49">
        <f t="shared" si="64"/>
        <v>0</v>
      </c>
      <c r="O210" s="48" t="e">
        <f t="shared" si="70"/>
        <v>#DIV/0!</v>
      </c>
      <c r="P210" s="38" t="e">
        <f t="shared" si="66"/>
        <v>#DIV/0!</v>
      </c>
      <c r="Q210" s="53"/>
      <c r="R210" s="53">
        <f t="shared" si="76"/>
        <v>0.12</v>
      </c>
      <c r="S210" s="53">
        <f t="shared" si="77"/>
        <v>1.0596241035318976E-2</v>
      </c>
      <c r="T210" s="53">
        <f t="shared" si="78"/>
        <v>0</v>
      </c>
      <c r="U210" s="53">
        <f t="shared" si="80"/>
        <v>0</v>
      </c>
    </row>
    <row r="211" spans="1:21" x14ac:dyDescent="0.2">
      <c r="A211" s="62" t="e">
        <f t="shared" si="67"/>
        <v>#DIV/0!</v>
      </c>
      <c r="B211" s="45">
        <f t="shared" si="71"/>
        <v>197</v>
      </c>
      <c r="C211" s="51" t="e">
        <f t="shared" si="72"/>
        <v>#DIV/0!</v>
      </c>
      <c r="D211" s="47" t="e" cm="1">
        <f t="array" ref="D211">_xlfn.IFS(AND($C$7="Y",B211&lt;C$4),C211,AND($C$7="Y",B211=C$4),D210+F211-J211-K211-L211+N211,AND($C$7="Y",B211&gt;$C$4),D210-J211-K211-L211+N211, TRUE, D210-J211-K211-L211+N211)</f>
        <v>#DIV/0!</v>
      </c>
      <c r="E211" s="48">
        <f t="shared" si="73"/>
        <v>0</v>
      </c>
      <c r="F211" s="50">
        <f t="shared" si="74"/>
        <v>0</v>
      </c>
      <c r="G211" s="50">
        <f t="shared" si="81"/>
        <v>0</v>
      </c>
      <c r="H211" s="51" t="e">
        <f t="shared" ref="H211:H219" si="82">IF(AND($B211&lt;=$C$4,C$7="Y"),0,IF(AND(C$7="N",C$4&gt;0,B211&lt;=C$4),0,(D210-L211+N211)*C$2/12/(1-(1/(1+C$2/12))^(C$3+C$4-B211+1))))</f>
        <v>#DIV/0!</v>
      </c>
      <c r="I211" s="52" t="e">
        <f t="shared" si="68"/>
        <v>#DIV/0!</v>
      </c>
      <c r="J211" s="52" t="e">
        <f t="shared" si="69"/>
        <v>#DIV/0!</v>
      </c>
      <c r="K211" s="51" t="e">
        <f t="shared" si="79"/>
        <v>#DIV/0!</v>
      </c>
      <c r="L211" s="49" t="e">
        <f t="shared" si="75"/>
        <v>#DIV/0!</v>
      </c>
      <c r="M211" s="49">
        <f t="shared" si="65"/>
        <v>0</v>
      </c>
      <c r="N211" s="49">
        <f t="shared" si="64"/>
        <v>0</v>
      </c>
      <c r="O211" s="48" t="e">
        <f t="shared" si="70"/>
        <v>#DIV/0!</v>
      </c>
      <c r="P211" s="38" t="e">
        <f t="shared" si="66"/>
        <v>#DIV/0!</v>
      </c>
      <c r="Q211" s="53"/>
      <c r="R211" s="53">
        <f t="shared" si="76"/>
        <v>0.12</v>
      </c>
      <c r="S211" s="53">
        <f t="shared" si="77"/>
        <v>1.0596241035318976E-2</v>
      </c>
      <c r="T211" s="53">
        <f t="shared" si="78"/>
        <v>0</v>
      </c>
      <c r="U211" s="53">
        <f t="shared" si="80"/>
        <v>0</v>
      </c>
    </row>
    <row r="212" spans="1:21" x14ac:dyDescent="0.2">
      <c r="A212" s="62" t="e">
        <f t="shared" si="67"/>
        <v>#DIV/0!</v>
      </c>
      <c r="B212" s="45">
        <f t="shared" si="71"/>
        <v>198</v>
      </c>
      <c r="C212" s="51" t="e">
        <f t="shared" si="72"/>
        <v>#DIV/0!</v>
      </c>
      <c r="D212" s="47" t="e" cm="1">
        <f t="array" ref="D212">_xlfn.IFS(AND($C$7="Y",B212&lt;C$4),C212,AND($C$7="Y",B212=C$4),D211+F212-J212-K212-L212+N212,AND($C$7="Y",B212&gt;$C$4),D211-J212-K212-L212+N212, TRUE, D211-J212-K212-L212+N212)</f>
        <v>#DIV/0!</v>
      </c>
      <c r="E212" s="48">
        <f t="shared" si="73"/>
        <v>0</v>
      </c>
      <c r="F212" s="50">
        <f t="shared" si="74"/>
        <v>0</v>
      </c>
      <c r="G212" s="50">
        <f t="shared" si="81"/>
        <v>0</v>
      </c>
      <c r="H212" s="51" t="e">
        <f t="shared" si="82"/>
        <v>#DIV/0!</v>
      </c>
      <c r="I212" s="52" t="e">
        <f t="shared" si="68"/>
        <v>#DIV/0!</v>
      </c>
      <c r="J212" s="52" t="e">
        <f t="shared" si="69"/>
        <v>#DIV/0!</v>
      </c>
      <c r="K212" s="51" t="e">
        <f t="shared" si="79"/>
        <v>#DIV/0!</v>
      </c>
      <c r="L212" s="49" t="e">
        <f t="shared" si="75"/>
        <v>#DIV/0!</v>
      </c>
      <c r="M212" s="49">
        <f t="shared" si="65"/>
        <v>0</v>
      </c>
      <c r="N212" s="49">
        <f t="shared" si="64"/>
        <v>0</v>
      </c>
      <c r="O212" s="48" t="e">
        <f t="shared" si="70"/>
        <v>#DIV/0!</v>
      </c>
      <c r="P212" s="38" t="e">
        <f t="shared" si="66"/>
        <v>#DIV/0!</v>
      </c>
      <c r="Q212" s="53"/>
      <c r="R212" s="53">
        <f t="shared" si="76"/>
        <v>0.12</v>
      </c>
      <c r="S212" s="53">
        <f t="shared" si="77"/>
        <v>1.0596241035318976E-2</v>
      </c>
      <c r="T212" s="53">
        <f t="shared" si="78"/>
        <v>0</v>
      </c>
      <c r="U212" s="53">
        <f t="shared" si="80"/>
        <v>0</v>
      </c>
    </row>
    <row r="213" spans="1:21" x14ac:dyDescent="0.2">
      <c r="A213" s="62" t="e">
        <f t="shared" si="67"/>
        <v>#DIV/0!</v>
      </c>
      <c r="B213" s="45">
        <f t="shared" si="71"/>
        <v>199</v>
      </c>
      <c r="C213" s="51" t="e">
        <f t="shared" si="72"/>
        <v>#DIV/0!</v>
      </c>
      <c r="D213" s="47" t="e" cm="1">
        <f t="array" ref="D213">_xlfn.IFS(AND($C$7="Y",B213&lt;C$4),C213,AND($C$7="Y",B213=C$4),D212+F213-J213-K213-L213+N213,AND($C$7="Y",B213&gt;$C$4),D212-J213-K213-L213+N213, TRUE, D212-J213-K213-L213+N213)</f>
        <v>#DIV/0!</v>
      </c>
      <c r="E213" s="48">
        <f t="shared" si="73"/>
        <v>0</v>
      </c>
      <c r="F213" s="50">
        <f t="shared" si="74"/>
        <v>0</v>
      </c>
      <c r="G213" s="50">
        <f t="shared" si="81"/>
        <v>0</v>
      </c>
      <c r="H213" s="51" t="e">
        <f t="shared" si="82"/>
        <v>#DIV/0!</v>
      </c>
      <c r="I213" s="52" t="e">
        <f t="shared" si="68"/>
        <v>#DIV/0!</v>
      </c>
      <c r="J213" s="52" t="e">
        <f t="shared" si="69"/>
        <v>#DIV/0!</v>
      </c>
      <c r="K213" s="51" t="e">
        <f t="shared" si="79"/>
        <v>#DIV/0!</v>
      </c>
      <c r="L213" s="49" t="e">
        <f t="shared" si="75"/>
        <v>#DIV/0!</v>
      </c>
      <c r="M213" s="49">
        <f t="shared" si="65"/>
        <v>0</v>
      </c>
      <c r="N213" s="49">
        <f t="shared" si="64"/>
        <v>0</v>
      </c>
      <c r="O213" s="48" t="e">
        <f t="shared" si="70"/>
        <v>#DIV/0!</v>
      </c>
      <c r="P213" s="38" t="e">
        <f t="shared" si="66"/>
        <v>#DIV/0!</v>
      </c>
      <c r="Q213" s="53"/>
      <c r="R213" s="53">
        <f t="shared" si="76"/>
        <v>0.12</v>
      </c>
      <c r="S213" s="53">
        <f t="shared" si="77"/>
        <v>1.0596241035318976E-2</v>
      </c>
      <c r="T213" s="53">
        <f t="shared" si="78"/>
        <v>0</v>
      </c>
      <c r="U213" s="53">
        <f t="shared" si="80"/>
        <v>0</v>
      </c>
    </row>
    <row r="214" spans="1:21" x14ac:dyDescent="0.2">
      <c r="A214" s="62" t="e">
        <f t="shared" si="67"/>
        <v>#DIV/0!</v>
      </c>
      <c r="B214" s="45">
        <f t="shared" si="71"/>
        <v>200</v>
      </c>
      <c r="C214" s="51" t="e">
        <f t="shared" si="72"/>
        <v>#DIV/0!</v>
      </c>
      <c r="D214" s="47" t="e" cm="1">
        <f t="array" ref="D214">_xlfn.IFS(AND($C$7="Y",B214&lt;C$4),C214,AND($C$7="Y",B214=C$4),D213+F214-J214-K214-L214+N214,AND($C$7="Y",B214&gt;$C$4),D213-J214-K214-L214+N214, TRUE, D213-J214-K214-L214+N214)</f>
        <v>#DIV/0!</v>
      </c>
      <c r="E214" s="48">
        <f t="shared" si="73"/>
        <v>0</v>
      </c>
      <c r="F214" s="50">
        <f t="shared" si="74"/>
        <v>0</v>
      </c>
      <c r="G214" s="50">
        <f t="shared" si="81"/>
        <v>0</v>
      </c>
      <c r="H214" s="51" t="e">
        <f t="shared" si="82"/>
        <v>#DIV/0!</v>
      </c>
      <c r="I214" s="52" t="e">
        <f t="shared" si="68"/>
        <v>#DIV/0!</v>
      </c>
      <c r="J214" s="52" t="e">
        <f t="shared" si="69"/>
        <v>#DIV/0!</v>
      </c>
      <c r="K214" s="51" t="e">
        <f t="shared" si="79"/>
        <v>#DIV/0!</v>
      </c>
      <c r="L214" s="49" t="e">
        <f t="shared" si="75"/>
        <v>#DIV/0!</v>
      </c>
      <c r="M214" s="49">
        <f t="shared" si="65"/>
        <v>0</v>
      </c>
      <c r="N214" s="49">
        <f t="shared" si="64"/>
        <v>0</v>
      </c>
      <c r="O214" s="48" t="e">
        <f t="shared" si="70"/>
        <v>#DIV/0!</v>
      </c>
      <c r="P214" s="38" t="e">
        <f t="shared" si="66"/>
        <v>#DIV/0!</v>
      </c>
      <c r="Q214" s="53"/>
      <c r="R214" s="53">
        <f t="shared" si="76"/>
        <v>0.12</v>
      </c>
      <c r="S214" s="53">
        <f t="shared" si="77"/>
        <v>1.0596241035318976E-2</v>
      </c>
      <c r="T214" s="53">
        <f t="shared" si="78"/>
        <v>0</v>
      </c>
      <c r="U214" s="53">
        <f t="shared" si="80"/>
        <v>0</v>
      </c>
    </row>
    <row r="215" spans="1:21" x14ac:dyDescent="0.2">
      <c r="A215" s="62" t="e">
        <f t="shared" si="67"/>
        <v>#DIV/0!</v>
      </c>
      <c r="B215" s="45">
        <f t="shared" si="71"/>
        <v>201</v>
      </c>
      <c r="C215" s="51" t="e">
        <f t="shared" si="72"/>
        <v>#DIV/0!</v>
      </c>
      <c r="D215" s="47" t="e" cm="1">
        <f t="array" ref="D215">_xlfn.IFS(AND($C$7="Y",B215&lt;C$4),C215,AND($C$7="Y",B215=C$4),D214+F215-J215-K215-L215+N215,AND($C$7="Y",B215&gt;$C$4),D214-J215-K215-L215+N215, TRUE, D214-J215-K215-L215+N215)</f>
        <v>#DIV/0!</v>
      </c>
      <c r="E215" s="48">
        <f t="shared" si="73"/>
        <v>0</v>
      </c>
      <c r="F215" s="50">
        <f t="shared" si="74"/>
        <v>0</v>
      </c>
      <c r="G215" s="50">
        <f t="shared" si="81"/>
        <v>0</v>
      </c>
      <c r="H215" s="51" t="e">
        <f t="shared" si="82"/>
        <v>#DIV/0!</v>
      </c>
      <c r="I215" s="52" t="e">
        <f t="shared" si="68"/>
        <v>#DIV/0!</v>
      </c>
      <c r="J215" s="52" t="e">
        <f t="shared" si="69"/>
        <v>#DIV/0!</v>
      </c>
      <c r="K215" s="51" t="e">
        <f t="shared" si="79"/>
        <v>#DIV/0!</v>
      </c>
      <c r="L215" s="49" t="e">
        <f t="shared" si="75"/>
        <v>#DIV/0!</v>
      </c>
      <c r="M215" s="49">
        <f t="shared" si="65"/>
        <v>0</v>
      </c>
      <c r="N215" s="49">
        <f t="shared" si="64"/>
        <v>0</v>
      </c>
      <c r="O215" s="48" t="e">
        <f t="shared" si="70"/>
        <v>#DIV/0!</v>
      </c>
      <c r="P215" s="38" t="e">
        <f t="shared" si="66"/>
        <v>#DIV/0!</v>
      </c>
      <c r="Q215" s="53"/>
      <c r="R215" s="53">
        <f t="shared" si="76"/>
        <v>0.12</v>
      </c>
      <c r="S215" s="53">
        <f t="shared" si="77"/>
        <v>1.0596241035318976E-2</v>
      </c>
      <c r="T215" s="53">
        <f t="shared" si="78"/>
        <v>0</v>
      </c>
      <c r="U215" s="53">
        <f t="shared" si="80"/>
        <v>0</v>
      </c>
    </row>
    <row r="216" spans="1:21" x14ac:dyDescent="0.2">
      <c r="A216" s="62" t="e">
        <f t="shared" si="67"/>
        <v>#DIV/0!</v>
      </c>
      <c r="B216" s="45">
        <f t="shared" si="71"/>
        <v>202</v>
      </c>
      <c r="C216" s="51" t="e">
        <f t="shared" si="72"/>
        <v>#DIV/0!</v>
      </c>
      <c r="D216" s="47" t="e" cm="1">
        <f t="array" ref="D216">_xlfn.IFS(AND($C$7="Y",B216&lt;C$4),C216,AND($C$7="Y",B216=C$4),D215+F216-J216-K216-L216+N216,AND($C$7="Y",B216&gt;$C$4),D215-J216-K216-L216+N216, TRUE, D215-J216-K216-L216+N216)</f>
        <v>#DIV/0!</v>
      </c>
      <c r="E216" s="48">
        <f t="shared" si="73"/>
        <v>0</v>
      </c>
      <c r="F216" s="50">
        <f t="shared" si="74"/>
        <v>0</v>
      </c>
      <c r="G216" s="50">
        <f t="shared" si="81"/>
        <v>0</v>
      </c>
      <c r="H216" s="51" t="e">
        <f t="shared" si="82"/>
        <v>#DIV/0!</v>
      </c>
      <c r="I216" s="52" t="e">
        <f t="shared" si="68"/>
        <v>#DIV/0!</v>
      </c>
      <c r="J216" s="52" t="e">
        <f t="shared" si="69"/>
        <v>#DIV/0!</v>
      </c>
      <c r="K216" s="51" t="e">
        <f t="shared" si="79"/>
        <v>#DIV/0!</v>
      </c>
      <c r="L216" s="49" t="e">
        <f t="shared" si="75"/>
        <v>#DIV/0!</v>
      </c>
      <c r="M216" s="49">
        <f t="shared" si="65"/>
        <v>0</v>
      </c>
      <c r="N216" s="49">
        <f t="shared" si="64"/>
        <v>0</v>
      </c>
      <c r="O216" s="48" t="e">
        <f t="shared" si="70"/>
        <v>#DIV/0!</v>
      </c>
      <c r="P216" s="38" t="e">
        <f t="shared" si="66"/>
        <v>#DIV/0!</v>
      </c>
      <c r="Q216" s="53"/>
      <c r="R216" s="53">
        <f t="shared" si="76"/>
        <v>0.12</v>
      </c>
      <c r="S216" s="53">
        <f t="shared" si="77"/>
        <v>1.0596241035318976E-2</v>
      </c>
      <c r="T216" s="53">
        <f t="shared" si="78"/>
        <v>0</v>
      </c>
      <c r="U216" s="53">
        <f t="shared" si="80"/>
        <v>0</v>
      </c>
    </row>
    <row r="217" spans="1:21" x14ac:dyDescent="0.2">
      <c r="A217" s="62" t="e">
        <f t="shared" si="67"/>
        <v>#DIV/0!</v>
      </c>
      <c r="B217" s="45">
        <f t="shared" si="71"/>
        <v>203</v>
      </c>
      <c r="C217" s="51" t="e">
        <f t="shared" si="72"/>
        <v>#DIV/0!</v>
      </c>
      <c r="D217" s="47" t="e" cm="1">
        <f t="array" ref="D217">_xlfn.IFS(AND($C$7="Y",B217&lt;C$4),C217,AND($C$7="Y",B217=C$4),D216+F217-J217-K217-L217+N217,AND($C$7="Y",B217&gt;$C$4),D216-J217-K217-L217+N217, TRUE, D216-J217-K217-L217+N217)</f>
        <v>#DIV/0!</v>
      </c>
      <c r="E217" s="48">
        <f t="shared" si="73"/>
        <v>0</v>
      </c>
      <c r="F217" s="50">
        <f t="shared" si="74"/>
        <v>0</v>
      </c>
      <c r="G217" s="50">
        <f t="shared" si="81"/>
        <v>0</v>
      </c>
      <c r="H217" s="51" t="e">
        <f t="shared" si="82"/>
        <v>#DIV/0!</v>
      </c>
      <c r="I217" s="52" t="e">
        <f t="shared" si="68"/>
        <v>#DIV/0!</v>
      </c>
      <c r="J217" s="52" t="e">
        <f t="shared" si="69"/>
        <v>#DIV/0!</v>
      </c>
      <c r="K217" s="51" t="e">
        <f t="shared" si="79"/>
        <v>#DIV/0!</v>
      </c>
      <c r="L217" s="49" t="e">
        <f t="shared" si="75"/>
        <v>#DIV/0!</v>
      </c>
      <c r="M217" s="49">
        <f t="shared" si="65"/>
        <v>0</v>
      </c>
      <c r="N217" s="49">
        <f t="shared" si="64"/>
        <v>0</v>
      </c>
      <c r="O217" s="48" t="e">
        <f t="shared" si="70"/>
        <v>#DIV/0!</v>
      </c>
      <c r="P217" s="38" t="e">
        <f t="shared" si="66"/>
        <v>#DIV/0!</v>
      </c>
      <c r="Q217" s="53"/>
      <c r="R217" s="53">
        <f t="shared" si="76"/>
        <v>0.12</v>
      </c>
      <c r="S217" s="53">
        <f t="shared" si="77"/>
        <v>1.0596241035318976E-2</v>
      </c>
      <c r="T217" s="53">
        <f t="shared" si="78"/>
        <v>0</v>
      </c>
      <c r="U217" s="53">
        <f t="shared" si="80"/>
        <v>0</v>
      </c>
    </row>
    <row r="218" spans="1:21" x14ac:dyDescent="0.2">
      <c r="A218" s="62" t="e">
        <f t="shared" si="67"/>
        <v>#DIV/0!</v>
      </c>
      <c r="B218" s="45">
        <f t="shared" si="71"/>
        <v>204</v>
      </c>
      <c r="C218" s="51" t="e">
        <f t="shared" si="72"/>
        <v>#DIV/0!</v>
      </c>
      <c r="D218" s="47" t="e" cm="1">
        <f t="array" ref="D218">_xlfn.IFS(AND($C$7="Y",B218&lt;C$4),C218,AND($C$7="Y",B218=C$4),D217+F218-J218-K218-L218+N218,AND($C$7="Y",B218&gt;$C$4),D217-J218-K218-L218+N218, TRUE, D217-J218-K218-L218+N218)</f>
        <v>#DIV/0!</v>
      </c>
      <c r="E218" s="48">
        <f t="shared" si="73"/>
        <v>0</v>
      </c>
      <c r="F218" s="50">
        <f t="shared" si="74"/>
        <v>0</v>
      </c>
      <c r="G218" s="50">
        <f t="shared" si="81"/>
        <v>0</v>
      </c>
      <c r="H218" s="51" t="e">
        <f t="shared" si="82"/>
        <v>#DIV/0!</v>
      </c>
      <c r="I218" s="52" t="e">
        <f t="shared" si="68"/>
        <v>#DIV/0!</v>
      </c>
      <c r="J218" s="52" t="e">
        <f t="shared" si="69"/>
        <v>#DIV/0!</v>
      </c>
      <c r="K218" s="51" t="e">
        <f t="shared" si="79"/>
        <v>#DIV/0!</v>
      </c>
      <c r="L218" s="49" t="e">
        <f t="shared" si="75"/>
        <v>#DIV/0!</v>
      </c>
      <c r="M218" s="49">
        <f t="shared" si="65"/>
        <v>0</v>
      </c>
      <c r="N218" s="49">
        <f t="shared" si="64"/>
        <v>0</v>
      </c>
      <c r="O218" s="48" t="e">
        <f t="shared" si="70"/>
        <v>#DIV/0!</v>
      </c>
      <c r="P218" s="38" t="e">
        <f t="shared" si="66"/>
        <v>#DIV/0!</v>
      </c>
      <c r="Q218" s="53"/>
      <c r="R218" s="53">
        <f t="shared" si="76"/>
        <v>0.12</v>
      </c>
      <c r="S218" s="53">
        <f t="shared" si="77"/>
        <v>1.0596241035318976E-2</v>
      </c>
      <c r="T218" s="53">
        <f t="shared" si="78"/>
        <v>0</v>
      </c>
      <c r="U218" s="53">
        <f t="shared" si="80"/>
        <v>0</v>
      </c>
    </row>
    <row r="219" spans="1:21" x14ac:dyDescent="0.2">
      <c r="A219" s="62" t="e">
        <f t="shared" si="67"/>
        <v>#DIV/0!</v>
      </c>
      <c r="B219" s="45">
        <f t="shared" si="71"/>
        <v>205</v>
      </c>
      <c r="C219" s="51" t="e">
        <f t="shared" si="72"/>
        <v>#DIV/0!</v>
      </c>
      <c r="D219" s="47" t="e" cm="1">
        <f t="array" ref="D219">_xlfn.IFS(AND($C$7="Y",B219&lt;C$4),C219,AND($C$7="Y",B219=C$4),D218+F219-J219-K219-L219+N219,AND($C$7="Y",B219&gt;$C$4),D218-J219-K219-L219+N219, TRUE, D218-J219-K219-L219+N219)</f>
        <v>#DIV/0!</v>
      </c>
      <c r="E219" s="48">
        <f t="shared" si="73"/>
        <v>0</v>
      </c>
      <c r="F219" s="50">
        <f t="shared" si="74"/>
        <v>0</v>
      </c>
      <c r="G219" s="50">
        <f t="shared" si="81"/>
        <v>0</v>
      </c>
      <c r="H219" s="51" t="e">
        <f t="shared" si="82"/>
        <v>#DIV/0!</v>
      </c>
      <c r="I219" s="52" t="e">
        <f t="shared" si="68"/>
        <v>#DIV/0!</v>
      </c>
      <c r="J219" s="52" t="e">
        <f t="shared" si="69"/>
        <v>#DIV/0!</v>
      </c>
      <c r="K219" s="51" t="e">
        <f t="shared" si="79"/>
        <v>#DIV/0!</v>
      </c>
      <c r="L219" s="49" t="e">
        <f t="shared" si="75"/>
        <v>#DIV/0!</v>
      </c>
      <c r="M219" s="49">
        <f t="shared" si="65"/>
        <v>0</v>
      </c>
      <c r="N219" s="49">
        <f t="shared" si="64"/>
        <v>0</v>
      </c>
      <c r="O219" s="48" t="e">
        <f t="shared" si="70"/>
        <v>#DIV/0!</v>
      </c>
      <c r="P219" s="38" t="e">
        <f t="shared" si="66"/>
        <v>#DIV/0!</v>
      </c>
      <c r="Q219" s="53"/>
      <c r="R219" s="53">
        <f t="shared" si="76"/>
        <v>0.12</v>
      </c>
      <c r="S219" s="53">
        <f t="shared" si="77"/>
        <v>1.0596241035318976E-2</v>
      </c>
      <c r="T219" s="53">
        <f t="shared" si="78"/>
        <v>0</v>
      </c>
      <c r="U219" s="53">
        <f t="shared" si="80"/>
        <v>0</v>
      </c>
    </row>
    <row r="220" spans="1:21" x14ac:dyDescent="0.2">
      <c r="A220" s="62">
        <f t="shared" si="67"/>
        <v>0</v>
      </c>
      <c r="B220" s="45">
        <f t="shared" si="71"/>
        <v>206</v>
      </c>
      <c r="C220" s="49"/>
      <c r="D220" s="46"/>
      <c r="E220" s="61"/>
      <c r="F220" s="50"/>
      <c r="G220" s="50"/>
      <c r="H220" s="51"/>
      <c r="I220" s="51"/>
      <c r="J220" s="51"/>
      <c r="K220" s="51">
        <f t="shared" si="79"/>
        <v>0</v>
      </c>
      <c r="L220" s="49" t="e">
        <f t="shared" si="75"/>
        <v>#DIV/0!</v>
      </c>
      <c r="M220" s="49">
        <f t="shared" si="65"/>
        <v>0</v>
      </c>
      <c r="N220" s="49">
        <f t="shared" si="64"/>
        <v>0</v>
      </c>
      <c r="O220" s="48" t="e">
        <f t="shared" si="70"/>
        <v>#DIV/0!</v>
      </c>
      <c r="P220" s="38" t="e">
        <f t="shared" si="66"/>
        <v>#DIV/0!</v>
      </c>
      <c r="Q220" s="53"/>
      <c r="R220" s="53"/>
      <c r="S220" s="53"/>
    </row>
    <row r="221" spans="1:21" x14ac:dyDescent="0.2">
      <c r="A221" s="62">
        <f t="shared" si="67"/>
        <v>0</v>
      </c>
      <c r="B221" s="45">
        <f t="shared" si="71"/>
        <v>207</v>
      </c>
      <c r="C221" s="49"/>
      <c r="D221" s="46"/>
      <c r="E221" s="61"/>
      <c r="F221" s="50"/>
      <c r="G221" s="56"/>
      <c r="H221" s="51"/>
      <c r="I221" s="51">
        <f t="shared" ref="I221:I235" si="83">IF($B220&lt;=25,0,C$2*D220/12)</f>
        <v>0</v>
      </c>
      <c r="J221" s="51">
        <f t="shared" ref="J221:J235" si="84">H221-I221</f>
        <v>0</v>
      </c>
      <c r="K221" s="51" t="e">
        <f t="shared" si="79"/>
        <v>#REF!</v>
      </c>
      <c r="L221" s="49">
        <f t="shared" si="75"/>
        <v>0</v>
      </c>
      <c r="M221" s="49">
        <f t="shared" si="65"/>
        <v>0</v>
      </c>
      <c r="N221" s="49">
        <f t="shared" si="64"/>
        <v>0</v>
      </c>
      <c r="O221" s="48" t="e">
        <f t="shared" si="70"/>
        <v>#REF!</v>
      </c>
      <c r="P221" s="38" t="e">
        <f t="shared" si="66"/>
        <v>#REF!</v>
      </c>
      <c r="Q221" s="53"/>
      <c r="R221" s="53" t="e">
        <f>INDEX(#REF!,MATCH(#REF!,#REF!,0),MATCH(ActiveCDR,#REF!,0))%</f>
        <v>#REF!</v>
      </c>
      <c r="S221" s="53" t="e">
        <f>1-(1-R221)^(1/12)</f>
        <v>#REF!</v>
      </c>
    </row>
    <row r="222" spans="1:21" x14ac:dyDescent="0.2">
      <c r="A222" s="62">
        <f t="shared" si="67"/>
        <v>0</v>
      </c>
      <c r="B222" s="45">
        <f t="shared" si="71"/>
        <v>208</v>
      </c>
      <c r="C222" s="49"/>
      <c r="D222" s="46"/>
      <c r="E222" s="61"/>
      <c r="F222" s="50"/>
      <c r="G222" s="56"/>
      <c r="H222" s="51"/>
      <c r="I222" s="51">
        <f t="shared" si="83"/>
        <v>0</v>
      </c>
      <c r="J222" s="51">
        <f t="shared" si="84"/>
        <v>0</v>
      </c>
      <c r="K222" s="51" t="e">
        <f t="shared" si="79"/>
        <v>#REF!</v>
      </c>
      <c r="L222" s="49">
        <f t="shared" si="75"/>
        <v>0</v>
      </c>
      <c r="M222" s="49">
        <f t="shared" si="65"/>
        <v>0</v>
      </c>
      <c r="N222" s="49">
        <f t="shared" si="64"/>
        <v>0</v>
      </c>
      <c r="O222" s="48" t="e">
        <f t="shared" si="70"/>
        <v>#REF!</v>
      </c>
      <c r="P222" s="38" t="e">
        <f t="shared" si="66"/>
        <v>#REF!</v>
      </c>
      <c r="Q222" s="53"/>
      <c r="R222" s="53" t="e">
        <f>INDEX(#REF!,MATCH(#REF!,#REF!,0),MATCH(ActiveCDR,#REF!,0))%</f>
        <v>#REF!</v>
      </c>
      <c r="S222" s="53" t="e">
        <f t="shared" ref="S222:S224" si="85">1-(1-R222)^(1/12)</f>
        <v>#REF!</v>
      </c>
    </row>
    <row r="223" spans="1:21" x14ac:dyDescent="0.2">
      <c r="A223" s="62">
        <f t="shared" si="67"/>
        <v>0</v>
      </c>
      <c r="B223" s="45">
        <f t="shared" si="71"/>
        <v>209</v>
      </c>
      <c r="C223" s="49"/>
      <c r="D223" s="46"/>
      <c r="E223" s="61"/>
      <c r="F223" s="50"/>
      <c r="G223" s="56"/>
      <c r="H223" s="51"/>
      <c r="I223" s="51">
        <f t="shared" si="83"/>
        <v>0</v>
      </c>
      <c r="J223" s="51">
        <f t="shared" si="84"/>
        <v>0</v>
      </c>
      <c r="K223" s="51" t="e">
        <f t="shared" si="79"/>
        <v>#REF!</v>
      </c>
      <c r="L223" s="49">
        <f t="shared" si="75"/>
        <v>0</v>
      </c>
      <c r="M223" s="49">
        <f t="shared" si="65"/>
        <v>0</v>
      </c>
      <c r="N223" s="49">
        <f t="shared" si="64"/>
        <v>0</v>
      </c>
      <c r="O223" s="48" t="e">
        <f t="shared" si="70"/>
        <v>#REF!</v>
      </c>
      <c r="P223" s="38" t="e">
        <f t="shared" si="66"/>
        <v>#REF!</v>
      </c>
      <c r="Q223" s="53"/>
      <c r="R223" s="53" t="e">
        <f>INDEX(#REF!,MATCH(#REF!,#REF!,0),MATCH(ActiveCDR,#REF!,0))%</f>
        <v>#REF!</v>
      </c>
      <c r="S223" s="53" t="e">
        <f t="shared" si="85"/>
        <v>#REF!</v>
      </c>
    </row>
    <row r="224" spans="1:21" x14ac:dyDescent="0.2">
      <c r="A224" s="62">
        <f t="shared" si="67"/>
        <v>0</v>
      </c>
      <c r="B224" s="45"/>
      <c r="C224" s="49"/>
      <c r="D224" s="46"/>
      <c r="E224" s="61"/>
      <c r="F224" s="50"/>
      <c r="G224" s="56"/>
      <c r="H224" s="51"/>
      <c r="I224" s="51">
        <f t="shared" si="83"/>
        <v>0</v>
      </c>
      <c r="J224" s="51">
        <f t="shared" si="84"/>
        <v>0</v>
      </c>
      <c r="K224" s="51" t="e">
        <f t="shared" si="79"/>
        <v>#REF!</v>
      </c>
      <c r="L224" s="49">
        <f t="shared" si="75"/>
        <v>0</v>
      </c>
      <c r="M224" s="49">
        <f t="shared" si="65"/>
        <v>0</v>
      </c>
      <c r="N224" s="49">
        <f t="shared" si="64"/>
        <v>0</v>
      </c>
      <c r="O224" s="48" t="e">
        <f t="shared" si="70"/>
        <v>#REF!</v>
      </c>
      <c r="P224" s="38" t="e">
        <f t="shared" si="66"/>
        <v>#REF!</v>
      </c>
      <c r="Q224" s="53"/>
      <c r="R224" s="53" t="e">
        <f>INDEX(#REF!,MATCH(#REF!,#REF!,0),MATCH(ActiveCDR,#REF!,0))%</f>
        <v>#REF!</v>
      </c>
      <c r="S224" s="53" t="e">
        <f t="shared" si="85"/>
        <v>#REF!</v>
      </c>
    </row>
    <row r="225" spans="1:19" x14ac:dyDescent="0.2">
      <c r="A225" s="62">
        <f t="shared" si="67"/>
        <v>0</v>
      </c>
      <c r="B225" s="45"/>
      <c r="C225" s="49"/>
      <c r="D225" s="46"/>
      <c r="E225" s="61"/>
      <c r="F225" s="50"/>
      <c r="G225" s="56"/>
      <c r="H225" s="51"/>
      <c r="I225" s="51">
        <f t="shared" si="83"/>
        <v>0</v>
      </c>
      <c r="J225" s="51">
        <f t="shared" si="84"/>
        <v>0</v>
      </c>
      <c r="K225" s="51">
        <f t="shared" si="79"/>
        <v>0</v>
      </c>
      <c r="L225" s="49">
        <f t="shared" si="75"/>
        <v>0</v>
      </c>
      <c r="M225" s="49">
        <f t="shared" si="65"/>
        <v>0</v>
      </c>
      <c r="N225" s="49">
        <f t="shared" si="64"/>
        <v>0</v>
      </c>
      <c r="O225" s="48">
        <f t="shared" si="70"/>
        <v>0</v>
      </c>
      <c r="P225" s="38">
        <f t="shared" si="66"/>
        <v>0</v>
      </c>
      <c r="Q225" s="53"/>
      <c r="R225" s="53"/>
      <c r="S225" s="53"/>
    </row>
    <row r="226" spans="1:19" x14ac:dyDescent="0.2">
      <c r="A226" s="62">
        <f t="shared" si="67"/>
        <v>0</v>
      </c>
      <c r="B226" s="45"/>
      <c r="C226" s="49"/>
      <c r="D226" s="46"/>
      <c r="E226" s="61"/>
      <c r="F226" s="50"/>
      <c r="G226" s="56"/>
      <c r="H226" s="51"/>
      <c r="I226" s="51">
        <f t="shared" si="83"/>
        <v>0</v>
      </c>
      <c r="J226" s="51">
        <f t="shared" si="84"/>
        <v>0</v>
      </c>
      <c r="K226" s="51">
        <f t="shared" si="79"/>
        <v>0</v>
      </c>
      <c r="L226" s="49">
        <f t="shared" si="75"/>
        <v>0</v>
      </c>
      <c r="M226" s="49">
        <f t="shared" si="65"/>
        <v>0</v>
      </c>
      <c r="N226" s="49">
        <f t="shared" si="64"/>
        <v>0</v>
      </c>
      <c r="O226" s="48">
        <f t="shared" si="70"/>
        <v>0</v>
      </c>
      <c r="P226" s="38">
        <f t="shared" si="66"/>
        <v>0</v>
      </c>
      <c r="Q226" s="53"/>
      <c r="R226" s="53"/>
      <c r="S226" s="53"/>
    </row>
    <row r="227" spans="1:19" x14ac:dyDescent="0.2">
      <c r="A227" s="62">
        <f t="shared" si="67"/>
        <v>0</v>
      </c>
      <c r="B227" s="45"/>
      <c r="C227" s="49"/>
      <c r="D227" s="46"/>
      <c r="E227" s="61"/>
      <c r="F227" s="50"/>
      <c r="G227" s="56"/>
      <c r="H227" s="51"/>
      <c r="I227" s="51">
        <f t="shared" si="83"/>
        <v>0</v>
      </c>
      <c r="J227" s="51">
        <f t="shared" si="84"/>
        <v>0</v>
      </c>
      <c r="K227" s="51">
        <f t="shared" si="79"/>
        <v>0</v>
      </c>
      <c r="L227" s="49">
        <f t="shared" si="75"/>
        <v>0</v>
      </c>
      <c r="M227" s="49">
        <f t="shared" si="65"/>
        <v>0</v>
      </c>
      <c r="N227" s="49">
        <f t="shared" ref="N227:N235" si="86">IFERROR((1-$N$12)*L223,0)</f>
        <v>0</v>
      </c>
      <c r="O227" s="48">
        <f t="shared" si="70"/>
        <v>0</v>
      </c>
      <c r="P227" s="38">
        <f t="shared" si="66"/>
        <v>0</v>
      </c>
      <c r="Q227" s="53"/>
      <c r="R227" s="53"/>
      <c r="S227" s="53"/>
    </row>
    <row r="228" spans="1:19" x14ac:dyDescent="0.2">
      <c r="A228" s="62">
        <f t="shared" si="67"/>
        <v>0</v>
      </c>
      <c r="B228" s="45"/>
      <c r="C228" s="49"/>
      <c r="D228" s="46"/>
      <c r="E228" s="61"/>
      <c r="F228" s="50"/>
      <c r="G228" s="56"/>
      <c r="H228" s="51"/>
      <c r="I228" s="51">
        <f t="shared" si="83"/>
        <v>0</v>
      </c>
      <c r="J228" s="51">
        <f t="shared" si="84"/>
        <v>0</v>
      </c>
      <c r="K228" s="51">
        <f t="shared" si="79"/>
        <v>0</v>
      </c>
      <c r="L228" s="49">
        <f t="shared" si="75"/>
        <v>0</v>
      </c>
      <c r="M228" s="49">
        <f t="shared" si="65"/>
        <v>0</v>
      </c>
      <c r="N228" s="49">
        <f t="shared" si="86"/>
        <v>0</v>
      </c>
      <c r="O228" s="48">
        <f t="shared" si="70"/>
        <v>0</v>
      </c>
      <c r="P228" s="38">
        <f t="shared" si="66"/>
        <v>0</v>
      </c>
      <c r="Q228" s="53"/>
      <c r="R228" s="53"/>
      <c r="S228" s="53"/>
    </row>
    <row r="229" spans="1:19" x14ac:dyDescent="0.2">
      <c r="A229" s="62">
        <f t="shared" si="67"/>
        <v>0</v>
      </c>
      <c r="B229" s="45"/>
      <c r="C229" s="49"/>
      <c r="D229" s="46"/>
      <c r="E229" s="61"/>
      <c r="F229" s="50"/>
      <c r="G229" s="56"/>
      <c r="H229" s="51"/>
      <c r="I229" s="51">
        <f t="shared" si="83"/>
        <v>0</v>
      </c>
      <c r="J229" s="51">
        <f t="shared" si="84"/>
        <v>0</v>
      </c>
      <c r="K229" s="51">
        <f t="shared" si="79"/>
        <v>0</v>
      </c>
      <c r="L229" s="49">
        <f t="shared" si="75"/>
        <v>0</v>
      </c>
      <c r="M229" s="49">
        <f t="shared" si="65"/>
        <v>0</v>
      </c>
      <c r="N229" s="49">
        <f t="shared" si="86"/>
        <v>0</v>
      </c>
      <c r="O229" s="48">
        <f t="shared" si="70"/>
        <v>0</v>
      </c>
      <c r="P229" s="38">
        <f t="shared" si="66"/>
        <v>0</v>
      </c>
      <c r="Q229" s="53"/>
      <c r="R229" s="53"/>
      <c r="S229" s="53"/>
    </row>
    <row r="230" spans="1:19" x14ac:dyDescent="0.2">
      <c r="A230" s="62">
        <f t="shared" si="67"/>
        <v>0</v>
      </c>
      <c r="B230" s="45"/>
      <c r="C230" s="49"/>
      <c r="D230" s="46"/>
      <c r="E230" s="61"/>
      <c r="F230" s="50"/>
      <c r="G230" s="56"/>
      <c r="H230" s="51"/>
      <c r="I230" s="51">
        <f t="shared" si="83"/>
        <v>0</v>
      </c>
      <c r="J230" s="51">
        <f t="shared" si="84"/>
        <v>0</v>
      </c>
      <c r="K230" s="51">
        <f t="shared" si="79"/>
        <v>0</v>
      </c>
      <c r="L230" s="49">
        <f t="shared" si="75"/>
        <v>0</v>
      </c>
      <c r="M230" s="49">
        <f t="shared" si="65"/>
        <v>0</v>
      </c>
      <c r="N230" s="49">
        <f t="shared" si="86"/>
        <v>0</v>
      </c>
      <c r="O230" s="48">
        <f t="shared" si="70"/>
        <v>0</v>
      </c>
      <c r="P230" s="38">
        <f t="shared" si="66"/>
        <v>0</v>
      </c>
      <c r="Q230" s="53"/>
      <c r="R230" s="53"/>
      <c r="S230" s="53"/>
    </row>
    <row r="231" spans="1:19" x14ac:dyDescent="0.2">
      <c r="A231" s="62">
        <f t="shared" si="67"/>
        <v>0</v>
      </c>
      <c r="B231" s="45"/>
      <c r="C231" s="49"/>
      <c r="D231" s="46"/>
      <c r="E231" s="61"/>
      <c r="F231" s="50"/>
      <c r="G231" s="56"/>
      <c r="H231" s="51"/>
      <c r="I231" s="51">
        <f t="shared" si="83"/>
        <v>0</v>
      </c>
      <c r="J231" s="51">
        <f t="shared" si="84"/>
        <v>0</v>
      </c>
      <c r="K231" s="51">
        <f t="shared" si="79"/>
        <v>0</v>
      </c>
      <c r="L231" s="49">
        <f t="shared" si="75"/>
        <v>0</v>
      </c>
      <c r="M231" s="49">
        <f t="shared" si="65"/>
        <v>0</v>
      </c>
      <c r="N231" s="49">
        <f t="shared" si="86"/>
        <v>0</v>
      </c>
      <c r="O231" s="48">
        <f t="shared" si="70"/>
        <v>0</v>
      </c>
      <c r="P231" s="38">
        <f t="shared" si="66"/>
        <v>0</v>
      </c>
      <c r="Q231" s="53"/>
      <c r="R231" s="53"/>
      <c r="S231" s="53"/>
    </row>
    <row r="232" spans="1:19" x14ac:dyDescent="0.2">
      <c r="A232" s="62">
        <f t="shared" si="67"/>
        <v>0</v>
      </c>
      <c r="B232" s="45"/>
      <c r="C232" s="49"/>
      <c r="D232" s="46"/>
      <c r="E232" s="61"/>
      <c r="F232" s="50"/>
      <c r="G232" s="56"/>
      <c r="H232" s="51"/>
      <c r="I232" s="51">
        <f t="shared" si="83"/>
        <v>0</v>
      </c>
      <c r="J232" s="51">
        <f t="shared" si="84"/>
        <v>0</v>
      </c>
      <c r="K232" s="51">
        <f t="shared" si="79"/>
        <v>0</v>
      </c>
      <c r="L232" s="49">
        <f t="shared" si="75"/>
        <v>0</v>
      </c>
      <c r="M232" s="49">
        <f t="shared" si="65"/>
        <v>0</v>
      </c>
      <c r="N232" s="49">
        <f t="shared" si="86"/>
        <v>0</v>
      </c>
      <c r="O232" s="48">
        <f t="shared" si="70"/>
        <v>0</v>
      </c>
      <c r="P232" s="38">
        <f t="shared" si="66"/>
        <v>0</v>
      </c>
      <c r="Q232" s="53"/>
      <c r="R232" s="53"/>
      <c r="S232" s="53"/>
    </row>
    <row r="233" spans="1:19" x14ac:dyDescent="0.2">
      <c r="A233" s="62">
        <f t="shared" si="67"/>
        <v>0</v>
      </c>
      <c r="B233" s="45"/>
      <c r="C233" s="49"/>
      <c r="D233" s="46"/>
      <c r="E233" s="61"/>
      <c r="F233" s="50"/>
      <c r="G233" s="56"/>
      <c r="H233" s="51"/>
      <c r="I233" s="51">
        <f t="shared" si="83"/>
        <v>0</v>
      </c>
      <c r="J233" s="51">
        <f t="shared" si="84"/>
        <v>0</v>
      </c>
      <c r="K233" s="51">
        <f t="shared" si="79"/>
        <v>0</v>
      </c>
      <c r="L233" s="49">
        <f t="shared" si="75"/>
        <v>0</v>
      </c>
      <c r="M233" s="49">
        <f t="shared" si="65"/>
        <v>0</v>
      </c>
      <c r="N233" s="49">
        <f t="shared" si="86"/>
        <v>0</v>
      </c>
      <c r="O233" s="48">
        <f t="shared" si="70"/>
        <v>0</v>
      </c>
      <c r="P233" s="38">
        <f t="shared" si="66"/>
        <v>0</v>
      </c>
      <c r="Q233" s="53"/>
      <c r="R233" s="53"/>
      <c r="S233" s="53"/>
    </row>
    <row r="234" spans="1:19" x14ac:dyDescent="0.2">
      <c r="A234" s="62">
        <f t="shared" si="67"/>
        <v>0</v>
      </c>
      <c r="B234" s="45"/>
      <c r="C234" s="49"/>
      <c r="D234" s="46"/>
      <c r="E234" s="61"/>
      <c r="F234" s="50"/>
      <c r="G234" s="56"/>
      <c r="H234" s="51"/>
      <c r="I234" s="51">
        <f t="shared" si="83"/>
        <v>0</v>
      </c>
      <c r="J234" s="51">
        <f t="shared" si="84"/>
        <v>0</v>
      </c>
      <c r="K234" s="51">
        <f t="shared" si="79"/>
        <v>0</v>
      </c>
      <c r="L234" s="49">
        <f t="shared" si="75"/>
        <v>0</v>
      </c>
      <c r="M234" s="49">
        <f t="shared" si="65"/>
        <v>0</v>
      </c>
      <c r="N234" s="49">
        <f t="shared" si="86"/>
        <v>0</v>
      </c>
      <c r="O234" s="48">
        <f t="shared" si="70"/>
        <v>0</v>
      </c>
      <c r="P234" s="38">
        <f t="shared" si="66"/>
        <v>0</v>
      </c>
      <c r="Q234" s="53"/>
      <c r="R234" s="53"/>
      <c r="S234" s="53"/>
    </row>
    <row r="235" spans="1:19" x14ac:dyDescent="0.2">
      <c r="A235" s="62">
        <f t="shared" si="67"/>
        <v>0</v>
      </c>
      <c r="B235" s="45"/>
      <c r="C235" s="49"/>
      <c r="D235" s="46"/>
      <c r="E235" s="61"/>
      <c r="F235" s="50"/>
      <c r="G235" s="56"/>
      <c r="H235" s="51"/>
      <c r="I235" s="51">
        <f t="shared" si="83"/>
        <v>0</v>
      </c>
      <c r="J235" s="51">
        <f t="shared" si="84"/>
        <v>0</v>
      </c>
      <c r="K235" s="51">
        <f t="shared" si="79"/>
        <v>0</v>
      </c>
      <c r="L235" s="49">
        <f t="shared" si="75"/>
        <v>0</v>
      </c>
      <c r="M235" s="49">
        <f t="shared" si="65"/>
        <v>0</v>
      </c>
      <c r="N235" s="49">
        <f t="shared" si="86"/>
        <v>0</v>
      </c>
      <c r="O235" s="48">
        <f t="shared" si="70"/>
        <v>0</v>
      </c>
      <c r="P235" s="38">
        <f t="shared" si="66"/>
        <v>0</v>
      </c>
      <c r="Q235" s="53"/>
      <c r="R235" s="53"/>
      <c r="S235" s="53"/>
    </row>
  </sheetData>
  <pageMargins left="0.7" right="0.7" top="0.75" bottom="0.75" header="0.3" footer="0.3"/>
  <pageSetup orientation="portrait" horizontalDpi="300" verticalDpi="30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1BD248-7331-46A0-9B5D-38B252BD1E41}">
  <sheetPr codeName="Sheet12"/>
  <dimension ref="A1:W235"/>
  <sheetViews>
    <sheetView showGridLines="0" zoomScaleNormal="100" workbookViewId="0">
      <selection activeCell="E15" sqref="E15"/>
    </sheetView>
  </sheetViews>
  <sheetFormatPr defaultColWidth="9.140625" defaultRowHeight="11.25" x14ac:dyDescent="0.2"/>
  <cols>
    <col min="1" max="1" width="12.5703125" style="7" customWidth="1"/>
    <col min="2" max="2" width="15.42578125" style="7" customWidth="1"/>
    <col min="3" max="3" width="15.7109375" style="7" customWidth="1"/>
    <col min="4" max="4" width="15.85546875" style="7" customWidth="1"/>
    <col min="5" max="5" width="13.140625" style="7" customWidth="1"/>
    <col min="6" max="6" width="15.28515625" style="7" customWidth="1"/>
    <col min="7" max="7" width="17" style="7" customWidth="1"/>
    <col min="8" max="8" width="18" style="7" customWidth="1"/>
    <col min="9" max="15" width="17" style="7" customWidth="1"/>
    <col min="16" max="16" width="15.85546875" style="7" customWidth="1"/>
    <col min="17" max="19" width="9.140625" style="7"/>
    <col min="20" max="20" width="11.140625" style="7" bestFit="1" customWidth="1"/>
    <col min="21" max="21" width="12.85546875" style="7" customWidth="1"/>
    <col min="22" max="22" width="11.42578125" style="7" bestFit="1" customWidth="1"/>
    <col min="23" max="23" width="12.5703125" style="7" bestFit="1" customWidth="1"/>
    <col min="24" max="16384" width="9.140625" style="7"/>
  </cols>
  <sheetData>
    <row r="1" spans="1:23" ht="12" x14ac:dyDescent="0.2">
      <c r="A1" s="1"/>
      <c r="B1" s="2" t="s">
        <v>0</v>
      </c>
      <c r="C1" s="3">
        <v>100000000</v>
      </c>
      <c r="D1" s="4" t="s">
        <v>1</v>
      </c>
      <c r="E1" s="5" t="s">
        <v>2</v>
      </c>
      <c r="F1" s="6"/>
      <c r="H1" s="8" t="s">
        <v>3</v>
      </c>
      <c r="I1" s="9">
        <f>T8*(-1)/C1</f>
        <v>-2.2688788903808988E-10</v>
      </c>
      <c r="N1" s="10">
        <f>M8*0.9/C1</f>
        <v>-0.1158080220973452</v>
      </c>
    </row>
    <row r="2" spans="1:23" ht="12" x14ac:dyDescent="0.2">
      <c r="A2" s="11"/>
      <c r="B2" s="12" t="s">
        <v>4</v>
      </c>
      <c r="C2" s="13">
        <v>0.05</v>
      </c>
      <c r="D2" s="14"/>
      <c r="E2" s="15" t="s">
        <v>5</v>
      </c>
      <c r="F2" s="16"/>
      <c r="H2" s="17" t="s">
        <v>6</v>
      </c>
      <c r="I2" s="18">
        <v>0.05</v>
      </c>
      <c r="M2" s="19">
        <f>(M8+N8)/C1</f>
        <v>-0.12867558010816132</v>
      </c>
    </row>
    <row r="3" spans="1:23" ht="12" x14ac:dyDescent="0.2">
      <c r="A3" s="11"/>
      <c r="B3" s="12" t="s">
        <v>7</v>
      </c>
      <c r="C3" s="20">
        <v>60</v>
      </c>
      <c r="E3" s="17" t="s">
        <v>8</v>
      </c>
      <c r="F3" s="21"/>
      <c r="H3" s="17" t="s">
        <v>9</v>
      </c>
      <c r="I3" s="22">
        <f>T12</f>
        <v>0.05</v>
      </c>
      <c r="K3" s="46">
        <v>419512.21</v>
      </c>
      <c r="L3" s="49">
        <f>K3/U16</f>
        <v>98354245.456870854</v>
      </c>
      <c r="T3" s="46">
        <v>2339837.2599999998</v>
      </c>
      <c r="U3" s="46">
        <v>3564282.02</v>
      </c>
      <c r="V3" s="46"/>
    </row>
    <row r="4" spans="1:23" ht="12" x14ac:dyDescent="0.2">
      <c r="B4" s="100" t="s">
        <v>10</v>
      </c>
      <c r="C4" s="20">
        <v>0</v>
      </c>
      <c r="E4" s="17" t="s">
        <v>11</v>
      </c>
      <c r="F4" s="23"/>
      <c r="H4" s="17"/>
      <c r="I4" s="24"/>
      <c r="L4" s="38">
        <f>L3-D15</f>
        <v>244962.06579691172</v>
      </c>
    </row>
    <row r="5" spans="1:23" ht="12" x14ac:dyDescent="0.2">
      <c r="B5" s="101" t="s">
        <v>12</v>
      </c>
      <c r="C5" s="25">
        <v>0</v>
      </c>
      <c r="E5" s="17" t="s">
        <v>13</v>
      </c>
      <c r="F5" s="26"/>
      <c r="H5" s="17"/>
      <c r="I5" s="24"/>
      <c r="J5" s="38">
        <f>H15-I15</f>
        <v>1464184.7311700017</v>
      </c>
      <c r="T5" s="46"/>
      <c r="U5" s="46"/>
    </row>
    <row r="6" spans="1:23" ht="12" x14ac:dyDescent="0.2">
      <c r="B6" s="101" t="s">
        <v>14</v>
      </c>
      <c r="C6" s="25">
        <v>0</v>
      </c>
      <c r="E6" s="17" t="s">
        <v>15</v>
      </c>
      <c r="F6" s="27"/>
      <c r="H6" s="17"/>
      <c r="I6" s="24"/>
      <c r="V6" s="46"/>
    </row>
    <row r="7" spans="1:23" x14ac:dyDescent="0.2">
      <c r="B7" s="101" t="s">
        <v>16</v>
      </c>
      <c r="C7" s="28" t="s">
        <v>38</v>
      </c>
      <c r="E7" s="17" t="s">
        <v>17</v>
      </c>
      <c r="F7" s="26"/>
      <c r="H7" s="29"/>
      <c r="I7" s="30"/>
      <c r="J7" s="31"/>
      <c r="T7" s="86">
        <f>1-T8</f>
        <v>0.97731121109619101</v>
      </c>
    </row>
    <row r="8" spans="1:23" ht="12" thickBot="1" x14ac:dyDescent="0.25">
      <c r="B8" s="32" t="s">
        <v>18</v>
      </c>
      <c r="C8" s="33">
        <v>0.12</v>
      </c>
      <c r="E8" s="34"/>
      <c r="F8" s="35"/>
      <c r="H8" s="36"/>
      <c r="I8" s="37"/>
      <c r="J8" s="31">
        <f t="shared" ref="J8:Q8" si="0">_xlfn.AGGREGATE(9, 6, J14:J303)</f>
        <v>87549108.655850574</v>
      </c>
      <c r="K8" s="38" t="e">
        <f>D15+J12</f>
        <v>#DIV/0!</v>
      </c>
      <c r="L8" s="31">
        <f>_xlfn.AGGREGATE(9, 6, L14:L303)</f>
        <v>12450891.344149468</v>
      </c>
      <c r="M8" s="31">
        <f t="shared" si="0"/>
        <v>-12867558.010816133</v>
      </c>
      <c r="N8" s="31">
        <f t="shared" si="0"/>
        <v>0</v>
      </c>
      <c r="O8" s="31">
        <f t="shared" si="0"/>
        <v>87209254.581183031</v>
      </c>
      <c r="P8" s="31">
        <f>_xlfn.AGGREGATE(9, 6, P14:P303)</f>
        <v>87209254.581183031</v>
      </c>
      <c r="Q8" s="31">
        <f t="shared" si="0"/>
        <v>0</v>
      </c>
      <c r="T8" s="86">
        <v>2.2688788903808987E-2</v>
      </c>
      <c r="V8" s="46"/>
      <c r="W8" s="46"/>
    </row>
    <row r="9" spans="1:23" x14ac:dyDescent="0.2">
      <c r="B9" s="11"/>
      <c r="C9" s="90"/>
      <c r="E9" s="31"/>
      <c r="F9" s="59"/>
      <c r="J9" s="31"/>
      <c r="K9" s="38"/>
      <c r="L9" s="31"/>
      <c r="M9" s="31"/>
      <c r="N9" s="31"/>
      <c r="O9" s="31"/>
      <c r="P9" s="31"/>
      <c r="Q9" s="31"/>
      <c r="T9" s="86"/>
      <c r="V9" s="46"/>
      <c r="W9" s="46"/>
    </row>
    <row r="10" spans="1:23" ht="29.45" customHeight="1" x14ac:dyDescent="0.2">
      <c r="B10" s="11"/>
      <c r="C10" s="90"/>
      <c r="D10" s="38">
        <f>D14-L15</f>
        <v>99573468.122243941</v>
      </c>
      <c r="E10" s="31"/>
      <c r="F10" s="105">
        <f>-1*PMT(C2/12,60,D10)</f>
        <v>1879074.1816793401</v>
      </c>
      <c r="G10" s="87">
        <f>F10-I15</f>
        <v>1464184.7311699903</v>
      </c>
      <c r="H10" s="38">
        <f>C14-G10</f>
        <v>98535815.268830016</v>
      </c>
      <c r="I10" s="38">
        <f>S15*H10</f>
        <v>0</v>
      </c>
      <c r="J10" s="103" t="s">
        <v>86</v>
      </c>
      <c r="K10" s="38"/>
      <c r="L10" s="31"/>
      <c r="M10" s="31"/>
      <c r="N10" s="31"/>
      <c r="O10" s="31"/>
      <c r="P10" s="31"/>
      <c r="Q10" s="31"/>
      <c r="T10" s="86"/>
      <c r="V10" s="46"/>
      <c r="W10" s="46"/>
    </row>
    <row r="11" spans="1:23" ht="33.950000000000003" customHeight="1" x14ac:dyDescent="0.2">
      <c r="A11" s="87">
        <f>B12+I15</f>
        <v>-1464184.7288630963</v>
      </c>
      <c r="B11" s="31">
        <f>C12+D11</f>
        <v>-243185.5127057794</v>
      </c>
      <c r="C11" s="90"/>
      <c r="D11" s="49">
        <v>1219222</v>
      </c>
      <c r="E11" s="31">
        <f>D11-J15</f>
        <v>-244962.73117000167</v>
      </c>
      <c r="F11" s="59"/>
      <c r="G11" s="38">
        <f>D14-L15</f>
        <v>99573468.122243941</v>
      </c>
      <c r="I11" s="38">
        <f>D14-M11</f>
        <v>100000000</v>
      </c>
      <c r="J11" s="103">
        <v>1044042.79</v>
      </c>
      <c r="K11" s="38" t="e">
        <f>J12+J15</f>
        <v>#DIV/0!</v>
      </c>
      <c r="L11" s="31"/>
      <c r="M11" s="31"/>
      <c r="N11" s="31"/>
      <c r="O11" s="31"/>
      <c r="P11" s="31"/>
      <c r="Q11" s="31"/>
      <c r="T11" s="86"/>
      <c r="V11" s="46" t="s">
        <v>85</v>
      </c>
      <c r="W11" s="46"/>
    </row>
    <row r="12" spans="1:23" ht="41.1" customHeight="1" x14ac:dyDescent="0.2">
      <c r="B12" s="87">
        <f>PMT(C2/12,60,99573468)</f>
        <v>-1879074.1793724461</v>
      </c>
      <c r="C12" s="38">
        <f>B12+C1*C2/12</f>
        <v>-1462407.5127057794</v>
      </c>
      <c r="D12" s="88">
        <f>D15-W16</f>
        <v>-244962.06579691172</v>
      </c>
      <c r="E12" s="38">
        <f>D14-F12-L15</f>
        <v>102694393.94056459</v>
      </c>
      <c r="F12" s="55">
        <f>H15-C1*C2/1</f>
        <v>-3120925.8183206487</v>
      </c>
      <c r="G12" s="38">
        <f>(G11-J15)*S15</f>
        <v>0</v>
      </c>
      <c r="H12" s="46"/>
      <c r="I12" s="38" t="s">
        <v>87</v>
      </c>
      <c r="J12" s="104" t="e">
        <f>J11/S15</f>
        <v>#DIV/0!</v>
      </c>
      <c r="K12" s="38" t="e">
        <f>D14-J12</f>
        <v>#DIV/0!</v>
      </c>
      <c r="L12" s="38">
        <f>D14*C2/12</f>
        <v>416666.66666666669</v>
      </c>
      <c r="N12" s="39">
        <v>1</v>
      </c>
      <c r="O12" s="11"/>
      <c r="P12" s="40"/>
      <c r="Q12" s="11"/>
      <c r="R12" s="40">
        <v>0</v>
      </c>
      <c r="S12" s="11"/>
      <c r="T12" s="41">
        <v>0.05</v>
      </c>
      <c r="U12" s="11"/>
      <c r="V12" s="49"/>
    </row>
    <row r="13" spans="1:23" ht="22.5" customHeight="1" x14ac:dyDescent="0.2">
      <c r="B13" s="42" t="s">
        <v>19</v>
      </c>
      <c r="C13" s="43" t="s">
        <v>20</v>
      </c>
      <c r="D13" s="43" t="s">
        <v>21</v>
      </c>
      <c r="E13" s="44" t="s">
        <v>22</v>
      </c>
      <c r="F13" s="44" t="s">
        <v>23</v>
      </c>
      <c r="G13" s="44" t="s">
        <v>24</v>
      </c>
      <c r="H13" s="43" t="s">
        <v>25</v>
      </c>
      <c r="I13" s="43" t="s">
        <v>26</v>
      </c>
      <c r="J13" s="43" t="s">
        <v>27</v>
      </c>
      <c r="K13" s="43" t="s">
        <v>28</v>
      </c>
      <c r="L13" s="43" t="s">
        <v>29</v>
      </c>
      <c r="M13" s="43" t="s">
        <v>30</v>
      </c>
      <c r="N13" s="43" t="s">
        <v>31</v>
      </c>
      <c r="O13" s="43" t="s">
        <v>32</v>
      </c>
      <c r="P13" s="43" t="s">
        <v>33</v>
      </c>
      <c r="Q13" s="43"/>
      <c r="R13" s="43" t="s">
        <v>34</v>
      </c>
      <c r="S13" s="43" t="s">
        <v>35</v>
      </c>
      <c r="T13" s="43" t="s">
        <v>36</v>
      </c>
      <c r="U13" s="43" t="s">
        <v>37</v>
      </c>
      <c r="V13" s="38"/>
      <c r="W13" s="38"/>
    </row>
    <row r="14" spans="1:23" x14ac:dyDescent="0.2">
      <c r="A14" s="62">
        <f>D14/C$1</f>
        <v>1</v>
      </c>
      <c r="B14" s="45">
        <v>0</v>
      </c>
      <c r="C14" s="46">
        <f>C1</f>
        <v>100000000</v>
      </c>
      <c r="D14" s="47">
        <f>C1</f>
        <v>100000000</v>
      </c>
      <c r="E14" s="38">
        <f>C5</f>
        <v>0</v>
      </c>
      <c r="F14" s="38">
        <f>C$5</f>
        <v>0</v>
      </c>
      <c r="O14" s="48">
        <f>K14+I14+J14+M14+N14+G14</f>
        <v>0</v>
      </c>
      <c r="P14" s="38">
        <f t="shared" ref="P14:P77" si="1">O14*(1/((1+P$12)^(B14/12)))</f>
        <v>0</v>
      </c>
    </row>
    <row r="15" spans="1:23" x14ac:dyDescent="0.2">
      <c r="A15" s="62">
        <f t="shared" ref="A15:A78" si="2">D15/C$1</f>
        <v>0.98109283391073943</v>
      </c>
      <c r="B15" s="45">
        <f>B14+1</f>
        <v>1</v>
      </c>
      <c r="C15" s="49">
        <f>IF(B15&lt;C$4,C$1,D14)</f>
        <v>100000000</v>
      </c>
      <c r="D15" s="47" cm="1">
        <f t="array" ref="D15">_xlfn.IFS(AND($C$7="Y",B15&lt;C$4),C15,AND($C$7="Y",B15=C$4),D14+F15-J15-K15-L15+N15,AND($C$7="Y",B15&gt;$C$4),D14-J15-K15-L15+N15, TRUE, D14-J15-K15-L15+N15)</f>
        <v>98109283.391073942</v>
      </c>
      <c r="E15" s="48">
        <f>IF(AND($C$7="Y",B15&lt;=$C$4),D14*C$2/12-G15,0)</f>
        <v>0</v>
      </c>
      <c r="F15" s="50">
        <f>IF(AND($C$7="Y",B15&lt;=C$4),E15+F14,0)</f>
        <v>0</v>
      </c>
      <c r="G15" s="50">
        <f>IF(AND(C$7="Y",$B15&lt;=$C$4),C$6,0)</f>
        <v>0</v>
      </c>
      <c r="H15" s="51">
        <f>IF(AND($B15&lt;=$C$4,C$7="Y"),0,IF(AND(C$7="N",C$4&gt;0,B15&lt;=C$4),0,(D14-L15+N15)*C$2/12/(1-(1/(1+C$2/12))^(C$3+C$4-B15+1))))</f>
        <v>1879074.1816793515</v>
      </c>
      <c r="I15" s="52">
        <f t="shared" ref="I15:I78" si="3">IF(AND(C$7="Y",$B15&lt;=C$4),0,IF(AND(C$7="Y",$B15&gt;C$4),(1-U15)*C$2*D14/12,IF(AND($C$7="N",C$4&gt;0),(1-U15)*D14*C$2/12, (1-U15)*D14*C$2/12)))</f>
        <v>414889.45050934976</v>
      </c>
      <c r="J15" s="57">
        <f t="shared" ref="J15:J78" si="4">IF(AND($B15&lt;=$C$4,C$7="Y"),0,IF(AND(C$7="N",C$4&gt;0,B15&lt;=C$4),0,H15-I15))</f>
        <v>1464184.7311700017</v>
      </c>
      <c r="K15" s="51">
        <f>IF(AND(C$7="Y",$B15&lt;=$C$4),0,IF(AND(C$7="N",C$4&gt;0,B15&lt;=C$4),0,S15*(C15-J15)))</f>
        <v>0</v>
      </c>
      <c r="L15" s="49">
        <f>IF(AND(C$7="Y",$B15&lt;=$C$4),0,IF(AND(C$7="N",C$4&gt;0,B15&lt;=C$4),0,U15*C14))</f>
        <v>426531.87775606447</v>
      </c>
      <c r="M15" s="49">
        <f>IFERROR(#REF!*-1,0)</f>
        <v>0</v>
      </c>
      <c r="N15" s="49">
        <f>IFERROR((1-$N$12)*#REF!,0)</f>
        <v>0</v>
      </c>
      <c r="O15" s="48">
        <f t="shared" ref="O15:O78" si="5">K15+I15+J15-L15+N15+G15</f>
        <v>1452542.303923287</v>
      </c>
      <c r="P15" s="38">
        <f t="shared" si="1"/>
        <v>1452542.303923287</v>
      </c>
      <c r="Q15" s="53"/>
      <c r="R15" s="53">
        <f>R$12</f>
        <v>0</v>
      </c>
      <c r="S15" s="53">
        <f>1-(1-R15)^(1/12)</f>
        <v>0</v>
      </c>
      <c r="T15" s="53">
        <f>T$12</f>
        <v>0.05</v>
      </c>
      <c r="U15" s="53">
        <f>1-(1-T15)^(1/12)</f>
        <v>4.2653187775606449E-3</v>
      </c>
      <c r="V15" s="38">
        <f>C$2*D14/12</f>
        <v>416666.66666666669</v>
      </c>
      <c r="W15" s="89">
        <f>S15*D14</f>
        <v>0</v>
      </c>
    </row>
    <row r="16" spans="1:23" s="59" customFormat="1" x14ac:dyDescent="0.2">
      <c r="A16" s="92">
        <f t="shared" si="2"/>
        <v>0.9622680175784506</v>
      </c>
      <c r="B16" s="54">
        <f t="shared" ref="B16:B79" si="6">B15+1</f>
        <v>2</v>
      </c>
      <c r="C16" s="51">
        <f t="shared" ref="C16:C79" si="7">IF(B16&lt;C$4,C$1,D15-L16+N16)</f>
        <v>97690816.022372976</v>
      </c>
      <c r="D16" s="60" cm="1">
        <f t="array" ref="D16">_xlfn.IFS(AND($C$7="Y",B16&lt;C$4),C16,AND($C$7="Y",B16=C$4),D15+F16-J16-K16-L16+N16,AND($C$7="Y",B16&gt;$C$4),D15-J16-K16-L16+N16, TRUE, D15-J16-K16-L16+N16)</f>
        <v>96226801.757845059</v>
      </c>
      <c r="E16" s="93">
        <f t="shared" ref="E16:E79" si="8">IF(AND($C$7="Y",B16&lt;=$C$4),D15*C$2/12-G16,0)</f>
        <v>0</v>
      </c>
      <c r="F16" s="56">
        <f t="shared" ref="F16:F79" si="9">IF(AND($C$7="Y",B16&lt;=C$4),E16+F15,0)</f>
        <v>0</v>
      </c>
      <c r="G16" s="56">
        <f>IF(AND(C$7="Y",$B16&lt;=$C$4),C$6,0)</f>
        <v>0</v>
      </c>
      <c r="H16" s="51">
        <f>IF(AND($B16&lt;=$C$4,C$7="Y"),0,IF(AND(C$7="N",C$4&gt;0,B16&lt;=C$4),0,(D15-L16+N16)*C$2/12/(1-(1/(1+C$2/12))^(C$3+C$4-B16+1))))</f>
        <v>1871059.3312878045</v>
      </c>
      <c r="I16" s="52">
        <f t="shared" si="3"/>
        <v>407045.06675988738</v>
      </c>
      <c r="J16" s="52">
        <f t="shared" si="4"/>
        <v>1464014.2645279171</v>
      </c>
      <c r="K16" s="51">
        <f>IF(AND(C$7="Y",$B16&lt;=$C$4),0,IF(AND(C$7="N",C$4&gt;0,B16&lt;=C$4),0,S16*(C16-J16-L16)))</f>
        <v>0</v>
      </c>
      <c r="L16" s="51">
        <f t="shared" ref="L16:L79" si="10">IF(AND(C$7="Y",$B16&lt;=$C$4),0,IF(AND(C$7="N",C$4&gt;0,B16&lt;=C$4),0,U16*D15))</f>
        <v>418467.36870096641</v>
      </c>
      <c r="M16" s="55">
        <f>IFERROR(L12*-1,0)</f>
        <v>-416666.66666666669</v>
      </c>
      <c r="N16" s="55">
        <f>IFERROR((1-$N$12)*K8,0)</f>
        <v>0</v>
      </c>
      <c r="O16" s="93">
        <f t="shared" si="5"/>
        <v>1452591.9625868381</v>
      </c>
      <c r="P16" s="58">
        <f t="shared" si="1"/>
        <v>1452591.9625868381</v>
      </c>
      <c r="Q16" s="94"/>
      <c r="R16" s="94">
        <f t="shared" ref="R16:R79" si="11">R$12</f>
        <v>0</v>
      </c>
      <c r="S16" s="95">
        <f t="shared" ref="S16:S79" si="12">1-(1-R16)^(1/12)</f>
        <v>0</v>
      </c>
      <c r="T16" s="94">
        <f t="shared" ref="T16:T79" si="13">T$12</f>
        <v>0.05</v>
      </c>
      <c r="U16" s="95">
        <f>1-(1-T16)^(1/12)</f>
        <v>4.2653187775606449E-3</v>
      </c>
      <c r="V16" s="96">
        <v>419512.21</v>
      </c>
      <c r="W16" s="55">
        <f>V16/U16</f>
        <v>98354245.456870854</v>
      </c>
    </row>
    <row r="17" spans="1:21" x14ac:dyDescent="0.2">
      <c r="A17" s="62">
        <f t="shared" si="2"/>
        <v>0.94352519955670433</v>
      </c>
      <c r="B17" s="45">
        <f t="shared" si="6"/>
        <v>3</v>
      </c>
      <c r="C17" s="51">
        <f t="shared" si="7"/>
        <v>95816363.773402721</v>
      </c>
      <c r="D17" s="47" cm="1">
        <f t="array" ref="D17">_xlfn.IFS(AND($C$7="Y",B17&lt;C$4),C17,AND($C$7="Y",B17=C$4),D16+F17-J17-K17-L17+N17,AND($C$7="Y",B17&gt;$C$4),D16-J17-K17-L17+N17, TRUE, D16-J17-K17-L17+N17)</f>
        <v>94352519.955670431</v>
      </c>
      <c r="E17" s="48">
        <f t="shared" si="8"/>
        <v>0</v>
      </c>
      <c r="F17" s="50">
        <f t="shared" si="9"/>
        <v>0</v>
      </c>
      <c r="G17" s="50">
        <f>IF(AND(C$7="Y",$B17&lt;=$C$4),C$6,0)</f>
        <v>0</v>
      </c>
      <c r="H17" s="51">
        <f>IF(AND($B17&lt;=$C$4,C$7="Y"),0,IF(AND(C$7="N",C$4&gt;0,B17&lt;=C$4),0,(D16-L17+N17)*C$2/12/(1-(1/(1+C$2/12))^(C$3+C$4-B17+1))))</f>
        <v>1863078.6667881322</v>
      </c>
      <c r="I17" s="52">
        <f t="shared" si="3"/>
        <v>399234.84905584465</v>
      </c>
      <c r="J17" s="52">
        <f t="shared" si="4"/>
        <v>1463843.8177322876</v>
      </c>
      <c r="K17" s="51">
        <f t="shared" ref="K17:K80" si="14">IF(AND(C$7="Y",$B17&lt;=$C$4),0,IF(AND(C$7="N",C$4&gt;0,B17&lt;=C$4),0,S17*(C17-J17)))</f>
        <v>0</v>
      </c>
      <c r="L17" s="49">
        <f t="shared" si="10"/>
        <v>410437.98444234219</v>
      </c>
      <c r="M17" s="55">
        <f t="shared" ref="M17" si="15">IFERROR(L13*-1,0)</f>
        <v>0</v>
      </c>
      <c r="N17" s="49">
        <f t="shared" ref="N17" si="16">IFERROR((1-$N$12)*L13,0)</f>
        <v>0</v>
      </c>
      <c r="O17" s="48">
        <f t="shared" si="5"/>
        <v>1452640.6823457899</v>
      </c>
      <c r="P17" s="38">
        <f t="shared" si="1"/>
        <v>1452640.6823457899</v>
      </c>
      <c r="Q17" s="53"/>
      <c r="R17" s="53">
        <f t="shared" si="11"/>
        <v>0</v>
      </c>
      <c r="S17" s="53">
        <f t="shared" si="12"/>
        <v>0</v>
      </c>
      <c r="T17" s="53">
        <f t="shared" si="13"/>
        <v>0.05</v>
      </c>
      <c r="U17" s="53">
        <f t="shared" ref="U17:U80" si="17">1-(1-T17)^(1/12)</f>
        <v>4.2653187775606449E-3</v>
      </c>
    </row>
    <row r="18" spans="1:21" s="114" customFormat="1" x14ac:dyDescent="0.2">
      <c r="A18" s="106">
        <f t="shared" si="2"/>
        <v>0.92494349614234062</v>
      </c>
      <c r="B18" s="107">
        <f t="shared" si="6"/>
        <v>4</v>
      </c>
      <c r="C18" s="108">
        <f t="shared" si="7"/>
        <v>93950076.380593345</v>
      </c>
      <c r="D18" s="109" cm="1">
        <f t="array" ref="D18">_xlfn.IFS(AND($C$7="Y",B18&lt;C$4),C18,AND($C$7="Y",B18=C$4),D17+F18-J18-K18-L18+N18,AND($C$7="Y",B18&gt;$C$4),D17-J18-K18-L18+N18, TRUE, D17-J18-K18-L18+N18)</f>
        <v>92494349.61423406</v>
      </c>
      <c r="E18" s="110">
        <f t="shared" si="8"/>
        <v>0</v>
      </c>
      <c r="F18" s="111">
        <f t="shared" si="9"/>
        <v>0</v>
      </c>
      <c r="G18" s="111">
        <f t="shared" ref="G18:G81" si="18">IF($B18&lt;=$C$4,C$6,0)</f>
        <v>0</v>
      </c>
      <c r="H18" s="108">
        <f>IF(AND($B18&lt;=$C$4,C$7="Y"),0,IF(AND(C$7="N",C$4&gt;0,B18&lt;=C$4),0,(C18-L18+N18)*C$2/12/(1-(1/(1+C$2/12))^(C$3+C$4-B18+1))))</f>
        <v>1847185.4179450842</v>
      </c>
      <c r="I18" s="112">
        <f t="shared" si="3"/>
        <v>391458.65158580564</v>
      </c>
      <c r="J18" s="112">
        <f t="shared" si="4"/>
        <v>1455726.7663592785</v>
      </c>
      <c r="K18" s="108">
        <f t="shared" si="14"/>
        <v>0</v>
      </c>
      <c r="L18" s="108">
        <f t="shared" si="10"/>
        <v>402443.57507708657</v>
      </c>
      <c r="M18" s="108">
        <f>IFERROR(L14*-1,0)</f>
        <v>0</v>
      </c>
      <c r="N18" s="108">
        <f>IFERROR((1-$N$12)*L14,0)</f>
        <v>0</v>
      </c>
      <c r="O18" s="110">
        <f t="shared" si="5"/>
        <v>1444741.8428679975</v>
      </c>
      <c r="P18" s="104">
        <f t="shared" si="1"/>
        <v>1444741.8428679975</v>
      </c>
      <c r="Q18" s="113"/>
      <c r="R18" s="113">
        <f t="shared" si="11"/>
        <v>0</v>
      </c>
      <c r="S18" s="113">
        <f t="shared" si="12"/>
        <v>0</v>
      </c>
      <c r="T18" s="113">
        <f t="shared" si="13"/>
        <v>0.05</v>
      </c>
      <c r="U18" s="113">
        <f t="shared" si="17"/>
        <v>4.2653187775606449E-3</v>
      </c>
    </row>
    <row r="19" spans="1:21" x14ac:dyDescent="0.2">
      <c r="A19" s="62">
        <f t="shared" si="2"/>
        <v>0.90636202997109805</v>
      </c>
      <c r="B19" s="45">
        <f t="shared" si="6"/>
        <v>5</v>
      </c>
      <c r="C19" s="51">
        <f t="shared" si="7"/>
        <v>92099831.728006214</v>
      </c>
      <c r="D19" s="47" cm="1">
        <f t="array" ref="D19">_xlfn.IFS(AND($C$7="Y",B19&lt;C$4),C19,AND($C$7="Y",B19=C$4),D18+F19-J19-K19-L19+N19,AND($C$7="Y",B19&gt;$C$4),D18-J19-K19-L19+N19, TRUE, D18-J19-K19-L19+N19)</f>
        <v>90636202.997109801</v>
      </c>
      <c r="E19" s="48">
        <f t="shared" si="8"/>
        <v>0</v>
      </c>
      <c r="F19" s="50">
        <f t="shared" si="9"/>
        <v>0</v>
      </c>
      <c r="G19" s="50">
        <f t="shared" si="18"/>
        <v>0</v>
      </c>
      <c r="H19" s="51">
        <f t="shared" ref="H19:H82" si="19">IF(AND($B19&lt;=$C$4,C$7="Y"),0,IF(AND(C$7="N",C$4&gt;0,B19&lt;=C$4),0,(D18-L19+N19)*C$2/12/(1-(1/(1+C$2/12))^(C$3+C$4-B19+1))))</f>
        <v>1847378.0297631114</v>
      </c>
      <c r="I19" s="52">
        <f t="shared" si="3"/>
        <v>383749.29886669252</v>
      </c>
      <c r="J19" s="52">
        <f t="shared" si="4"/>
        <v>1463628.7308964189</v>
      </c>
      <c r="K19" s="51">
        <f t="shared" si="14"/>
        <v>0</v>
      </c>
      <c r="L19" s="49">
        <f t="shared" si="10"/>
        <v>394517.88622785173</v>
      </c>
      <c r="M19" s="49">
        <f>IFERROR(L15*-1,0)</f>
        <v>-426531.87775606447</v>
      </c>
      <c r="N19" s="49">
        <f>IFERROR((1-$N$12)*L15,0)</f>
        <v>0</v>
      </c>
      <c r="O19" s="48">
        <f t="shared" si="5"/>
        <v>1452860.1435352596</v>
      </c>
      <c r="P19" s="38">
        <f t="shared" si="1"/>
        <v>1452860.1435352596</v>
      </c>
      <c r="Q19" s="53"/>
      <c r="R19" s="53">
        <f t="shared" si="11"/>
        <v>0</v>
      </c>
      <c r="S19" s="53">
        <f t="shared" si="12"/>
        <v>0</v>
      </c>
      <c r="T19" s="53">
        <f t="shared" si="13"/>
        <v>0.05</v>
      </c>
      <c r="U19" s="53">
        <f t="shared" si="17"/>
        <v>4.2653187775606449E-3</v>
      </c>
    </row>
    <row r="20" spans="1:21" x14ac:dyDescent="0.2">
      <c r="A20" s="62">
        <f t="shared" si="2"/>
        <v>0.88786152369553184</v>
      </c>
      <c r="B20" s="45">
        <f t="shared" si="6"/>
        <v>6</v>
      </c>
      <c r="C20" s="51">
        <f t="shared" si="7"/>
        <v>90249610.698539436</v>
      </c>
      <c r="D20" s="47" cm="1">
        <f t="array" ref="D20">_xlfn.IFS(AND($C$7="Y",B20&lt;C$4),C20,AND($C$7="Y",B20=C$4),D19+F20-J20-K20-L20+N20,AND($C$7="Y",B20&gt;$C$4),D19-J20-K20-L20+N20, TRUE, D19-J20-K20-L20+N20)</f>
        <v>88786152.369553179</v>
      </c>
      <c r="E20" s="48">
        <f t="shared" si="8"/>
        <v>0</v>
      </c>
      <c r="F20" s="50">
        <f t="shared" si="9"/>
        <v>0</v>
      </c>
      <c r="G20" s="50">
        <f t="shared" si="18"/>
        <v>0</v>
      </c>
      <c r="H20" s="51">
        <f t="shared" si="19"/>
        <v>1839498.3735635099</v>
      </c>
      <c r="I20" s="52">
        <f t="shared" si="3"/>
        <v>376040.0445772477</v>
      </c>
      <c r="J20" s="52">
        <f t="shared" si="4"/>
        <v>1463458.3289862622</v>
      </c>
      <c r="K20" s="51">
        <f t="shared" si="14"/>
        <v>0</v>
      </c>
      <c r="L20" s="49">
        <f t="shared" si="10"/>
        <v>386592.29857037083</v>
      </c>
      <c r="M20" s="49">
        <f t="shared" ref="M20" si="20">IFERROR(L16*-1,0)</f>
        <v>-418467.36870096641</v>
      </c>
      <c r="N20" s="49">
        <f>IFERROR((1-$N$12)*L16,0)</f>
        <v>0</v>
      </c>
      <c r="O20" s="48">
        <f t="shared" si="5"/>
        <v>1452906.0749931391</v>
      </c>
      <c r="P20" s="38">
        <f t="shared" si="1"/>
        <v>1452906.0749931391</v>
      </c>
      <c r="Q20" s="53"/>
      <c r="R20" s="53">
        <f t="shared" si="11"/>
        <v>0</v>
      </c>
      <c r="S20" s="53">
        <f t="shared" si="12"/>
        <v>0</v>
      </c>
      <c r="T20" s="53">
        <f t="shared" si="13"/>
        <v>0.05</v>
      </c>
      <c r="U20" s="53">
        <f t="shared" si="17"/>
        <v>4.2653187775606449E-3</v>
      </c>
    </row>
    <row r="21" spans="1:21" x14ac:dyDescent="0.2">
      <c r="A21" s="62">
        <f t="shared" si="2"/>
        <v>0.86944163179748934</v>
      </c>
      <c r="B21" s="45">
        <f t="shared" si="6"/>
        <v>7</v>
      </c>
      <c r="C21" s="51">
        <f t="shared" si="7"/>
        <v>88407451.126663968</v>
      </c>
      <c r="D21" s="47" cm="1">
        <f t="array" ref="D21">_xlfn.IFS(AND($C$7="Y",B21&lt;C$4),C21,AND($C$7="Y",B21=C$4),D20+F21-J21-K21-L21+N21,AND($C$7="Y",B21&gt;$C$4),D20-J21-K21-L21+N21, TRUE, D20-J21-K21-L21+N21)</f>
        <v>86944163.179748937</v>
      </c>
      <c r="E21" s="48">
        <f t="shared" si="8"/>
        <v>0</v>
      </c>
      <c r="F21" s="50">
        <f t="shared" si="9"/>
        <v>0</v>
      </c>
      <c r="G21" s="50">
        <f t="shared" si="18"/>
        <v>0</v>
      </c>
      <c r="H21" s="51">
        <f t="shared" si="19"/>
        <v>1831652.3266094578</v>
      </c>
      <c r="I21" s="52">
        <f t="shared" si="3"/>
        <v>368364.37969443318</v>
      </c>
      <c r="J21" s="52">
        <f t="shared" si="4"/>
        <v>1463287.9469150247</v>
      </c>
      <c r="K21" s="51">
        <f t="shared" si="14"/>
        <v>0</v>
      </c>
      <c r="L21" s="49">
        <f t="shared" si="10"/>
        <v>378701.2428892157</v>
      </c>
      <c r="M21" s="49">
        <f>IFERROR(L17*-1,0)</f>
        <v>-410437.98444234219</v>
      </c>
      <c r="N21" s="49">
        <f t="shared" ref="N21:N24" si="21">IFERROR((1-$N$12)*L17,0)</f>
        <v>0</v>
      </c>
      <c r="O21" s="48">
        <f t="shared" si="5"/>
        <v>1452951.0837202421</v>
      </c>
      <c r="P21" s="38">
        <f t="shared" si="1"/>
        <v>1452951.0837202421</v>
      </c>
      <c r="Q21" s="53"/>
      <c r="R21" s="53">
        <f t="shared" si="11"/>
        <v>0</v>
      </c>
      <c r="S21" s="53">
        <f t="shared" si="12"/>
        <v>0</v>
      </c>
      <c r="T21" s="53">
        <f t="shared" si="13"/>
        <v>0.05</v>
      </c>
      <c r="U21" s="53">
        <f t="shared" si="17"/>
        <v>4.2653187775606449E-3</v>
      </c>
    </row>
    <row r="22" spans="1:21" x14ac:dyDescent="0.2">
      <c r="A22" s="62">
        <f t="shared" si="2"/>
        <v>0.85110201023258669</v>
      </c>
      <c r="B22" s="45">
        <f t="shared" si="6"/>
        <v>8</v>
      </c>
      <c r="C22" s="51">
        <f t="shared" si="7"/>
        <v>86573318.607939065</v>
      </c>
      <c r="D22" s="47" cm="1">
        <f t="array" ref="D22">_xlfn.IFS(AND($C$7="Y",B22&lt;C$4),C22,AND($C$7="Y",B22=C$4),D21+F22-J22-K22-L22+N22,AND($C$7="Y",B22&gt;$C$4),D21-J22-K22-L22+N22, TRUE, D21-J22-K22-L22+N22)</f>
        <v>85110201.023258671</v>
      </c>
      <c r="E22" s="48">
        <f t="shared" si="8"/>
        <v>0</v>
      </c>
      <c r="F22" s="50">
        <f t="shared" si="9"/>
        <v>0</v>
      </c>
      <c r="G22" s="50">
        <f t="shared" si="18"/>
        <v>0</v>
      </c>
      <c r="H22" s="51">
        <f t="shared" si="19"/>
        <v>1823839.745546808</v>
      </c>
      <c r="I22" s="52">
        <f t="shared" si="3"/>
        <v>360722.1608664128</v>
      </c>
      <c r="J22" s="52">
        <f t="shared" si="4"/>
        <v>1463117.5846803952</v>
      </c>
      <c r="K22" s="51">
        <f t="shared" si="14"/>
        <v>0</v>
      </c>
      <c r="L22" s="49">
        <f t="shared" si="10"/>
        <v>370844.57180987997</v>
      </c>
      <c r="M22" s="49">
        <f t="shared" ref="M22:M23" si="22">IFERROR(L18*-1,0)</f>
        <v>-402443.57507708657</v>
      </c>
      <c r="N22" s="49">
        <f t="shared" si="21"/>
        <v>0</v>
      </c>
      <c r="O22" s="48">
        <f t="shared" si="5"/>
        <v>1452995.173736928</v>
      </c>
      <c r="P22" s="38">
        <f t="shared" si="1"/>
        <v>1452995.173736928</v>
      </c>
      <c r="Q22" s="53"/>
      <c r="R22" s="53">
        <f t="shared" si="11"/>
        <v>0</v>
      </c>
      <c r="S22" s="53">
        <f t="shared" si="12"/>
        <v>0</v>
      </c>
      <c r="T22" s="53">
        <f t="shared" si="13"/>
        <v>0.05</v>
      </c>
      <c r="U22" s="53">
        <f t="shared" si="17"/>
        <v>4.2653187775606449E-3</v>
      </c>
    </row>
    <row r="23" spans="1:21" x14ac:dyDescent="0.2">
      <c r="A23" s="62">
        <f t="shared" si="2"/>
        <v>0.83284231642392148</v>
      </c>
      <c r="B23" s="45">
        <f t="shared" si="6"/>
        <v>9</v>
      </c>
      <c r="C23" s="51">
        <f t="shared" si="7"/>
        <v>84747178.88467221</v>
      </c>
      <c r="D23" s="47" cm="1">
        <f t="array" ref="D23">_xlfn.IFS(AND($C$7="Y",B23&lt;C$4),C23,AND($C$7="Y",B23=C$4),D22+F23-J23-K23-L23+N23,AND($C$7="Y",B23&gt;$C$4),D22-J23-K23-L23+N23, TRUE, D22-J23-K23-L23+N23)</f>
        <v>83284231.642392144</v>
      </c>
      <c r="E23" s="48">
        <f t="shared" si="8"/>
        <v>0</v>
      </c>
      <c r="F23" s="50">
        <f t="shared" si="9"/>
        <v>0</v>
      </c>
      <c r="G23" s="50">
        <f t="shared" si="18"/>
        <v>0</v>
      </c>
      <c r="H23" s="51">
        <f t="shared" si="19"/>
        <v>1816060.4876328644</v>
      </c>
      <c r="I23" s="52">
        <f t="shared" si="3"/>
        <v>353113.24535280088</v>
      </c>
      <c r="J23" s="52">
        <f t="shared" si="4"/>
        <v>1462947.2422800635</v>
      </c>
      <c r="K23" s="51">
        <f t="shared" si="14"/>
        <v>0</v>
      </c>
      <c r="L23" s="49">
        <f t="shared" si="10"/>
        <v>363022.13858646643</v>
      </c>
      <c r="M23" s="49">
        <f t="shared" si="22"/>
        <v>-394517.88622785173</v>
      </c>
      <c r="N23" s="49">
        <f t="shared" si="21"/>
        <v>0</v>
      </c>
      <c r="O23" s="48">
        <f t="shared" si="5"/>
        <v>1453038.349046398</v>
      </c>
      <c r="P23" s="38">
        <f t="shared" si="1"/>
        <v>1453038.349046398</v>
      </c>
      <c r="Q23" s="53"/>
      <c r="R23" s="53">
        <f t="shared" si="11"/>
        <v>0</v>
      </c>
      <c r="S23" s="53">
        <f t="shared" si="12"/>
        <v>0</v>
      </c>
      <c r="T23" s="53">
        <f t="shared" si="13"/>
        <v>0.05</v>
      </c>
      <c r="U23" s="53">
        <f t="shared" si="17"/>
        <v>4.2653187775606449E-3</v>
      </c>
    </row>
    <row r="24" spans="1:21" x14ac:dyDescent="0.2">
      <c r="A24" s="62">
        <f t="shared" si="2"/>
        <v>0.81466220925581412</v>
      </c>
      <c r="B24" s="45">
        <f t="shared" si="6"/>
        <v>10</v>
      </c>
      <c r="C24" s="51">
        <f t="shared" si="7"/>
        <v>82928997.845293134</v>
      </c>
      <c r="D24" s="47" cm="1">
        <f t="array" ref="D24">_xlfn.IFS(AND($C$7="Y",B24&lt;C$4),C24,AND($C$7="Y",B24=C$4),D23+F24-J24-K24-L24+N24,AND($C$7="Y",B24&gt;$C$4),D23-J24-K24-L24+N24, TRUE, D23-J24-K24-L24+N24)</f>
        <v>81466220.925581411</v>
      </c>
      <c r="E24" s="48">
        <f t="shared" si="8"/>
        <v>0</v>
      </c>
      <c r="F24" s="50">
        <f t="shared" si="9"/>
        <v>0</v>
      </c>
      <c r="G24" s="50">
        <f t="shared" si="18"/>
        <v>0</v>
      </c>
      <c r="H24" s="51">
        <f t="shared" si="19"/>
        <v>1808314.4107337783</v>
      </c>
      <c r="I24" s="52">
        <f t="shared" si="3"/>
        <v>345537.49102205475</v>
      </c>
      <c r="J24" s="52">
        <f t="shared" si="4"/>
        <v>1462776.9197117235</v>
      </c>
      <c r="K24" s="51">
        <f t="shared" si="14"/>
        <v>0</v>
      </c>
      <c r="L24" s="49">
        <f t="shared" si="10"/>
        <v>355233.79709900566</v>
      </c>
      <c r="M24" s="49">
        <f>IFERROR(L20*-1,0)</f>
        <v>-386592.29857037083</v>
      </c>
      <c r="N24" s="49">
        <f t="shared" si="21"/>
        <v>0</v>
      </c>
      <c r="O24" s="48">
        <f t="shared" si="5"/>
        <v>1453080.6136347726</v>
      </c>
      <c r="P24" s="38">
        <f t="shared" si="1"/>
        <v>1453080.6136347726</v>
      </c>
      <c r="Q24" s="53"/>
      <c r="R24" s="53">
        <f t="shared" si="11"/>
        <v>0</v>
      </c>
      <c r="S24" s="53">
        <f t="shared" si="12"/>
        <v>0</v>
      </c>
      <c r="T24" s="53">
        <f t="shared" si="13"/>
        <v>0.05</v>
      </c>
      <c r="U24" s="53">
        <f t="shared" si="17"/>
        <v>4.2653187775606449E-3</v>
      </c>
    </row>
    <row r="25" spans="1:21" x14ac:dyDescent="0.2">
      <c r="A25" s="62">
        <f t="shared" si="2"/>
        <v>0.79656134906757559</v>
      </c>
      <c r="B25" s="45">
        <f t="shared" si="6"/>
        <v>11</v>
      </c>
      <c r="C25" s="51">
        <f t="shared" si="7"/>
        <v>81118741.523730621</v>
      </c>
      <c r="D25" s="47" cm="1">
        <f t="array" ref="D25">_xlfn.IFS(AND($C$7="Y",B25&lt;C$4),C25,AND($C$7="Y",B25=C$4),D24+F25-J25-K25-L25+N25,AND($C$7="Y",B25&gt;$C$4),D24-J25-K25-L25+N25, TRUE, D24-J25-K25-L25+N25)</f>
        <v>79656134.906757563</v>
      </c>
      <c r="E25" s="48">
        <f t="shared" si="8"/>
        <v>0</v>
      </c>
      <c r="F25" s="50">
        <f t="shared" si="9"/>
        <v>0</v>
      </c>
      <c r="G25" s="50">
        <f t="shared" si="18"/>
        <v>0</v>
      </c>
      <c r="H25" s="51">
        <f t="shared" si="19"/>
        <v>1800601.3733219418</v>
      </c>
      <c r="I25" s="52">
        <f t="shared" si="3"/>
        <v>337994.75634887762</v>
      </c>
      <c r="J25" s="52">
        <f t="shared" si="4"/>
        <v>1462606.6169730641</v>
      </c>
      <c r="K25" s="51">
        <f t="shared" si="14"/>
        <v>0</v>
      </c>
      <c r="L25" s="49">
        <f t="shared" si="10"/>
        <v>347479.40185078635</v>
      </c>
      <c r="M25" s="49">
        <f t="shared" ref="M25:M28" si="23">IFERROR(L21*-1,0)</f>
        <v>-378701.2428892157</v>
      </c>
      <c r="N25" s="49">
        <f>IFERROR((1-$N$12)*L21,0)</f>
        <v>0</v>
      </c>
      <c r="O25" s="48">
        <f t="shared" si="5"/>
        <v>1453121.9714711555</v>
      </c>
      <c r="P25" s="38">
        <f t="shared" si="1"/>
        <v>1453121.9714711555</v>
      </c>
      <c r="Q25" s="53"/>
      <c r="R25" s="53">
        <f t="shared" si="11"/>
        <v>0</v>
      </c>
      <c r="S25" s="53">
        <f t="shared" si="12"/>
        <v>0</v>
      </c>
      <c r="T25" s="53">
        <f t="shared" si="13"/>
        <v>0.05</v>
      </c>
      <c r="U25" s="53">
        <f t="shared" si="17"/>
        <v>4.2653187775606449E-3</v>
      </c>
    </row>
    <row r="26" spans="1:21" x14ac:dyDescent="0.2">
      <c r="A26" s="62">
        <f t="shared" si="2"/>
        <v>0.77853939764730096</v>
      </c>
      <c r="B26" s="45">
        <f t="shared" si="6"/>
        <v>12</v>
      </c>
      <c r="C26" s="51">
        <f t="shared" si="7"/>
        <v>79316376.098791867</v>
      </c>
      <c r="D26" s="47" cm="1">
        <f t="array" ref="D26">_xlfn.IFS(AND($C$7="Y",B26&lt;C$4),C26,AND($C$7="Y",B26=C$4),D25+F26-J26-K26-L26+N26,AND($C$7="Y",B26&gt;$C$4),D25-J26-K26-L26+N26, TRUE, D25-J26-K26-L26+N26)</f>
        <v>77853939.764730096</v>
      </c>
      <c r="E26" s="48">
        <f t="shared" si="8"/>
        <v>0</v>
      </c>
      <c r="F26" s="50">
        <f t="shared" si="9"/>
        <v>0</v>
      </c>
      <c r="G26" s="50">
        <f t="shared" si="18"/>
        <v>0</v>
      </c>
      <c r="H26" s="51">
        <f t="shared" si="19"/>
        <v>1792921.2344734103</v>
      </c>
      <c r="I26" s="52">
        <f t="shared" si="3"/>
        <v>330484.90041163279</v>
      </c>
      <c r="J26" s="52">
        <f t="shared" si="4"/>
        <v>1462436.3340617775</v>
      </c>
      <c r="K26" s="51">
        <f t="shared" si="14"/>
        <v>0</v>
      </c>
      <c r="L26" s="49">
        <f t="shared" si="10"/>
        <v>339758.80796569696</v>
      </c>
      <c r="M26" s="49">
        <f t="shared" si="23"/>
        <v>-370844.57180987997</v>
      </c>
      <c r="N26" s="49">
        <f t="shared" ref="N26:N33" si="24">IFERROR((1-$N$12)*L22,0)</f>
        <v>0</v>
      </c>
      <c r="O26" s="48">
        <f t="shared" si="5"/>
        <v>1453162.4265077133</v>
      </c>
      <c r="P26" s="38">
        <f t="shared" si="1"/>
        <v>1453162.4265077133</v>
      </c>
      <c r="Q26" s="53"/>
      <c r="R26" s="53">
        <f t="shared" si="11"/>
        <v>0</v>
      </c>
      <c r="S26" s="53">
        <f t="shared" si="12"/>
        <v>0</v>
      </c>
      <c r="T26" s="53">
        <f t="shared" si="13"/>
        <v>0.05</v>
      </c>
      <c r="U26" s="53">
        <f t="shared" si="17"/>
        <v>4.2653187775606449E-3</v>
      </c>
    </row>
    <row r="27" spans="1:21" x14ac:dyDescent="0.2">
      <c r="A27" s="62">
        <f t="shared" si="2"/>
        <v>0.76059601822568956</v>
      </c>
      <c r="B27" s="45">
        <f t="shared" si="6"/>
        <v>13</v>
      </c>
      <c r="C27" s="51">
        <f t="shared" si="7"/>
        <v>77521867.89354451</v>
      </c>
      <c r="D27" s="47" cm="1">
        <f t="array" ref="D27">_xlfn.IFS(AND($C$7="Y",B27&lt;C$4),C27,AND($C$7="Y",B27=C$4),D26+F27-J27-K27-L27+N27,AND($C$7="Y",B27&gt;$C$4),D26-J27-K27-L27+N27, TRUE, D26-J27-K27-L27+N27)</f>
        <v>76059601.822568953</v>
      </c>
      <c r="E27" s="48">
        <f t="shared" si="8"/>
        <v>0</v>
      </c>
      <c r="F27" s="50">
        <f t="shared" si="9"/>
        <v>0</v>
      </c>
      <c r="G27" s="50">
        <f t="shared" si="18"/>
        <v>0</v>
      </c>
      <c r="H27" s="51">
        <f t="shared" si="19"/>
        <v>1785273.8538653229</v>
      </c>
      <c r="I27" s="52">
        <f t="shared" si="3"/>
        <v>323007.78288976877</v>
      </c>
      <c r="J27" s="52">
        <f t="shared" si="4"/>
        <v>1462266.0709755542</v>
      </c>
      <c r="K27" s="51">
        <f t="shared" si="14"/>
        <v>0</v>
      </c>
      <c r="L27" s="49">
        <f t="shared" si="10"/>
        <v>332071.87118557864</v>
      </c>
      <c r="M27" s="49">
        <f t="shared" si="23"/>
        <v>-363022.13858646643</v>
      </c>
      <c r="N27" s="49">
        <f t="shared" si="24"/>
        <v>0</v>
      </c>
      <c r="O27" s="48">
        <f t="shared" si="5"/>
        <v>1453201.9826797443</v>
      </c>
      <c r="P27" s="38">
        <f t="shared" si="1"/>
        <v>1453201.9826797443</v>
      </c>
      <c r="Q27" s="53"/>
      <c r="R27" s="53">
        <f t="shared" si="11"/>
        <v>0</v>
      </c>
      <c r="S27" s="53">
        <f t="shared" si="12"/>
        <v>0</v>
      </c>
      <c r="T27" s="53">
        <f t="shared" si="13"/>
        <v>0.05</v>
      </c>
      <c r="U27" s="53">
        <f t="shared" si="17"/>
        <v>4.2653187775606449E-3</v>
      </c>
    </row>
    <row r="28" spans="1:21" x14ac:dyDescent="0.2">
      <c r="A28" s="62">
        <f t="shared" si="2"/>
        <v>0.7427308754698928</v>
      </c>
      <c r="B28" s="45">
        <f t="shared" si="6"/>
        <v>14</v>
      </c>
      <c r="C28" s="51">
        <f t="shared" si="7"/>
        <v>75735183.374701366</v>
      </c>
      <c r="D28" s="47" cm="1">
        <f t="array" ref="D28">_xlfn.IFS(AND($C$7="Y",B28&lt;C$4),C28,AND($C$7="Y",B28=C$4),D27+F28-J28-K28-L28+N28,AND($C$7="Y",B28&gt;$C$4),D27-J28-K28-L28+N28, TRUE, D27-J28-K28-L28+N28)</f>
        <v>74273087.546989277</v>
      </c>
      <c r="E28" s="48">
        <f t="shared" si="8"/>
        <v>0</v>
      </c>
      <c r="F28" s="50">
        <f t="shared" si="9"/>
        <v>0</v>
      </c>
      <c r="G28" s="50">
        <f t="shared" si="18"/>
        <v>0</v>
      </c>
      <c r="H28" s="51">
        <f t="shared" si="19"/>
        <v>1777659.0917733428</v>
      </c>
      <c r="I28" s="52">
        <f t="shared" si="3"/>
        <v>315563.26406125567</v>
      </c>
      <c r="J28" s="52">
        <f t="shared" si="4"/>
        <v>1462095.8277120872</v>
      </c>
      <c r="K28" s="51">
        <f t="shared" si="14"/>
        <v>0</v>
      </c>
      <c r="L28" s="49">
        <f t="shared" si="10"/>
        <v>324418.44786758919</v>
      </c>
      <c r="M28" s="49">
        <f t="shared" si="23"/>
        <v>-355233.79709900566</v>
      </c>
      <c r="N28" s="49">
        <f t="shared" si="24"/>
        <v>0</v>
      </c>
      <c r="O28" s="48">
        <f t="shared" si="5"/>
        <v>1453240.6439057537</v>
      </c>
      <c r="P28" s="38">
        <f t="shared" si="1"/>
        <v>1453240.6439057537</v>
      </c>
      <c r="Q28" s="53"/>
      <c r="R28" s="53">
        <f t="shared" si="11"/>
        <v>0</v>
      </c>
      <c r="S28" s="53">
        <f t="shared" si="12"/>
        <v>0</v>
      </c>
      <c r="T28" s="53">
        <f t="shared" si="13"/>
        <v>0.05</v>
      </c>
      <c r="U28" s="53">
        <f t="shared" si="17"/>
        <v>4.2653187775606449E-3</v>
      </c>
    </row>
    <row r="29" spans="1:21" x14ac:dyDescent="0.2">
      <c r="A29" s="62">
        <f t="shared" si="2"/>
        <v>0.72494363547738627</v>
      </c>
      <c r="B29" s="45">
        <f t="shared" si="6"/>
        <v>15</v>
      </c>
      <c r="C29" s="51">
        <f t="shared" si="7"/>
        <v>73956289.152007699</v>
      </c>
      <c r="D29" s="47" cm="1">
        <f t="array" ref="D29">_xlfn.IFS(AND($C$7="Y",B29&lt;C$4),C29,AND($C$7="Y",B29=C$4),D28+F29-J29-K29-L29+N29,AND($C$7="Y",B29&gt;$C$4),D28-J29-K29-L29+N29, TRUE, D28-J29-K29-L29+N29)</f>
        <v>72494363.547738627</v>
      </c>
      <c r="E29" s="48">
        <f t="shared" si="8"/>
        <v>0</v>
      </c>
      <c r="F29" s="50">
        <f t="shared" si="9"/>
        <v>0</v>
      </c>
      <c r="G29" s="50">
        <f t="shared" si="18"/>
        <v>0</v>
      </c>
      <c r="H29" s="51">
        <f t="shared" si="19"/>
        <v>1770076.8090691003</v>
      </c>
      <c r="I29" s="52">
        <f t="shared" si="3"/>
        <v>308151.20480003208</v>
      </c>
      <c r="J29" s="52">
        <f t="shared" si="4"/>
        <v>1461925.6042690682</v>
      </c>
      <c r="K29" s="51">
        <f t="shared" si="14"/>
        <v>0</v>
      </c>
      <c r="L29" s="51">
        <f t="shared" si="10"/>
        <v>316798.39498157904</v>
      </c>
      <c r="M29" s="51">
        <f>IFERROR(L25*-1,0)</f>
        <v>-347479.40185078635</v>
      </c>
      <c r="N29" s="51">
        <f t="shared" si="24"/>
        <v>0</v>
      </c>
      <c r="O29" s="48">
        <f t="shared" si="5"/>
        <v>1453278.4140875214</v>
      </c>
      <c r="P29" s="38">
        <f t="shared" si="1"/>
        <v>1453278.4140875214</v>
      </c>
      <c r="Q29" s="53"/>
      <c r="R29" s="53">
        <f t="shared" si="11"/>
        <v>0</v>
      </c>
      <c r="S29" s="53">
        <f t="shared" si="12"/>
        <v>0</v>
      </c>
      <c r="T29" s="53">
        <f t="shared" si="13"/>
        <v>0.05</v>
      </c>
      <c r="U29" s="53">
        <f t="shared" si="17"/>
        <v>4.2653187775606449E-3</v>
      </c>
    </row>
    <row r="30" spans="1:21" x14ac:dyDescent="0.2">
      <c r="A30" s="62">
        <f t="shared" si="2"/>
        <v>0.70723396576986963</v>
      </c>
      <c r="B30" s="45">
        <f t="shared" si="6"/>
        <v>16</v>
      </c>
      <c r="C30" s="51">
        <f t="shared" si="7"/>
        <v>72185151.977631152</v>
      </c>
      <c r="D30" s="47" cm="1">
        <f t="array" ref="D30">_xlfn.IFS(AND($C$7="Y",B30&lt;C$4),C30,AND($C$7="Y",B30=C$4),D29+F30-J30-K30-L30+N30,AND($C$7="Y",B30&gt;$C$4),D29-J30-K30-L30+N30, TRUE, D29-J30-K30-L30+N30)</f>
        <v>70723396.576986969</v>
      </c>
      <c r="E30" s="48">
        <f t="shared" si="8"/>
        <v>0</v>
      </c>
      <c r="F30" s="50">
        <f t="shared" si="9"/>
        <v>0</v>
      </c>
      <c r="G30" s="50">
        <f t="shared" si="18"/>
        <v>0</v>
      </c>
      <c r="H30" s="51">
        <f t="shared" si="19"/>
        <v>1762526.8672176532</v>
      </c>
      <c r="I30" s="52">
        <f t="shared" si="3"/>
        <v>300771.46657346311</v>
      </c>
      <c r="J30" s="52">
        <f t="shared" si="4"/>
        <v>1461755.4006441901</v>
      </c>
      <c r="K30" s="51">
        <f t="shared" si="14"/>
        <v>0</v>
      </c>
      <c r="L30" s="49">
        <f t="shared" si="10"/>
        <v>309211.57010747748</v>
      </c>
      <c r="M30" s="49">
        <f t="shared" ref="M30:M43" si="25">IFERROR(L26*-1,0)</f>
        <v>-339758.80796569696</v>
      </c>
      <c r="N30" s="49">
        <f t="shared" si="24"/>
        <v>0</v>
      </c>
      <c r="O30" s="48">
        <f t="shared" si="5"/>
        <v>1453315.2971101757</v>
      </c>
      <c r="P30" s="38">
        <f t="shared" si="1"/>
        <v>1453315.2971101757</v>
      </c>
      <c r="Q30" s="53"/>
      <c r="R30" s="53">
        <f t="shared" si="11"/>
        <v>0</v>
      </c>
      <c r="S30" s="53">
        <f t="shared" si="12"/>
        <v>0</v>
      </c>
      <c r="T30" s="53">
        <f t="shared" si="13"/>
        <v>0.05</v>
      </c>
      <c r="U30" s="53">
        <f t="shared" si="17"/>
        <v>4.2653187775606449E-3</v>
      </c>
    </row>
    <row r="31" spans="1:21" x14ac:dyDescent="0.2">
      <c r="A31" s="62">
        <f t="shared" si="2"/>
        <v>0.68960153528719137</v>
      </c>
      <c r="B31" s="45">
        <f t="shared" si="6"/>
        <v>17</v>
      </c>
      <c r="C31" s="51">
        <f t="shared" si="7"/>
        <v>70421738.745554283</v>
      </c>
      <c r="D31" s="47" cm="1">
        <f t="array" ref="D31">_xlfn.IFS(AND($C$7="Y",B31&lt;C$4),C31,AND($C$7="Y",B31=C$4),D30+F31-J31-K31-L31+N31,AND($C$7="Y",B31&gt;$C$4),D30-J31-K31-L31+N31, TRUE, D30-J31-K31-L31+N31)</f>
        <v>68960153.528719142</v>
      </c>
      <c r="E31" s="48">
        <f t="shared" si="8"/>
        <v>0</v>
      </c>
      <c r="F31" s="50">
        <f t="shared" si="9"/>
        <v>0</v>
      </c>
      <c r="G31" s="50">
        <f t="shared" si="18"/>
        <v>0</v>
      </c>
      <c r="H31" s="51">
        <f t="shared" si="19"/>
        <v>1755009.1282749551</v>
      </c>
      <c r="I31" s="52">
        <f t="shared" si="3"/>
        <v>293423.91143980954</v>
      </c>
      <c r="J31" s="52">
        <f t="shared" si="4"/>
        <v>1461585.2168351456</v>
      </c>
      <c r="K31" s="51">
        <f t="shared" si="14"/>
        <v>0</v>
      </c>
      <c r="L31" s="49">
        <f t="shared" si="10"/>
        <v>301657.83143269073</v>
      </c>
      <c r="M31" s="49">
        <f t="shared" si="25"/>
        <v>-332071.87118557864</v>
      </c>
      <c r="N31" s="49">
        <f t="shared" si="24"/>
        <v>0</v>
      </c>
      <c r="O31" s="48">
        <f t="shared" si="5"/>
        <v>1453351.2968422645</v>
      </c>
      <c r="P31" s="38">
        <f t="shared" si="1"/>
        <v>1453351.2968422645</v>
      </c>
      <c r="Q31" s="53"/>
      <c r="R31" s="53">
        <f t="shared" si="11"/>
        <v>0</v>
      </c>
      <c r="S31" s="53">
        <f t="shared" si="12"/>
        <v>0</v>
      </c>
      <c r="T31" s="53">
        <f t="shared" si="13"/>
        <v>0.05</v>
      </c>
      <c r="U31" s="53">
        <f t="shared" si="17"/>
        <v>4.2653187775606449E-3</v>
      </c>
    </row>
    <row r="32" spans="1:21" x14ac:dyDescent="0.2">
      <c r="A32" s="62">
        <f t="shared" si="2"/>
        <v>0.67204601438130007</v>
      </c>
      <c r="B32" s="45">
        <f t="shared" si="6"/>
        <v>18</v>
      </c>
      <c r="C32" s="51">
        <f t="shared" si="7"/>
        <v>68666016.490969628</v>
      </c>
      <c r="D32" s="47" cm="1">
        <f t="array" ref="D32">_xlfn.IFS(AND($C$7="Y",B32&lt;C$4),C32,AND($C$7="Y",B32=C$4),D31+F32-J32-K32-L32+N32,AND($C$7="Y",B32&gt;$C$4),D31-J32-K32-L32+N32, TRUE, D31-J32-K32-L32+N32)</f>
        <v>67204601.438130006</v>
      </c>
      <c r="E32" s="48">
        <f t="shared" si="8"/>
        <v>0</v>
      </c>
      <c r="F32" s="50">
        <f t="shared" si="9"/>
        <v>0</v>
      </c>
      <c r="G32" s="50">
        <f t="shared" si="18"/>
        <v>0</v>
      </c>
      <c r="H32" s="51">
        <f t="shared" si="19"/>
        <v>1747523.4548853331</v>
      </c>
      <c r="I32" s="52">
        <f t="shared" si="3"/>
        <v>286108.40204570681</v>
      </c>
      <c r="J32" s="52">
        <f t="shared" si="4"/>
        <v>1461415.0528396263</v>
      </c>
      <c r="K32" s="51">
        <f t="shared" si="14"/>
        <v>0</v>
      </c>
      <c r="L32" s="49">
        <f t="shared" si="10"/>
        <v>294137.03774951072</v>
      </c>
      <c r="M32" s="49">
        <f t="shared" si="25"/>
        <v>-324418.44786758919</v>
      </c>
      <c r="N32" s="49">
        <f t="shared" si="24"/>
        <v>0</v>
      </c>
      <c r="O32" s="48">
        <f t="shared" si="5"/>
        <v>1453386.4171358224</v>
      </c>
      <c r="P32" s="38">
        <f t="shared" si="1"/>
        <v>1453386.4171358224</v>
      </c>
      <c r="Q32" s="53"/>
      <c r="R32" s="53">
        <f t="shared" si="11"/>
        <v>0</v>
      </c>
      <c r="S32" s="53">
        <f t="shared" si="12"/>
        <v>0</v>
      </c>
      <c r="T32" s="53">
        <f t="shared" si="13"/>
        <v>0.05</v>
      </c>
      <c r="U32" s="53">
        <f t="shared" si="17"/>
        <v>4.2653187775606449E-3</v>
      </c>
    </row>
    <row r="33" spans="1:23" x14ac:dyDescent="0.2">
      <c r="A33" s="62">
        <f t="shared" si="2"/>
        <v>0.65456707481022147</v>
      </c>
      <c r="B33" s="45">
        <f t="shared" si="6"/>
        <v>19</v>
      </c>
      <c r="C33" s="51">
        <f t="shared" si="7"/>
        <v>66917952.389677472</v>
      </c>
      <c r="D33" s="47" cm="1">
        <f t="array" ref="D33">_xlfn.IFS(AND($C$7="Y",B33&lt;C$4),C33,AND($C$7="Y",B33=C$4),D32+F33-J33-K33-L33+N33,AND($C$7="Y",B33&gt;$C$4),D32-J33-K33-L33+N33, TRUE, D32-J33-K33-L33+N33)</f>
        <v>65456707.481022142</v>
      </c>
      <c r="E33" s="48">
        <f t="shared" si="8"/>
        <v>0</v>
      </c>
      <c r="F33" s="50">
        <f t="shared" si="9"/>
        <v>0</v>
      </c>
      <c r="G33" s="50">
        <f t="shared" si="18"/>
        <v>0</v>
      </c>
      <c r="H33" s="51">
        <f t="shared" si="19"/>
        <v>1740069.710278983</v>
      </c>
      <c r="I33" s="52">
        <f t="shared" si="3"/>
        <v>278824.80162365612</v>
      </c>
      <c r="J33" s="52">
        <f t="shared" si="4"/>
        <v>1461244.9086553268</v>
      </c>
      <c r="K33" s="51">
        <f t="shared" si="14"/>
        <v>0</v>
      </c>
      <c r="L33" s="49">
        <f t="shared" si="10"/>
        <v>286649.04845253506</v>
      </c>
      <c r="M33" s="49">
        <f t="shared" si="25"/>
        <v>-316798.39498157904</v>
      </c>
      <c r="N33" s="49">
        <f t="shared" si="24"/>
        <v>0</v>
      </c>
      <c r="O33" s="48">
        <f t="shared" si="5"/>
        <v>1453420.661826448</v>
      </c>
      <c r="P33" s="38">
        <f t="shared" si="1"/>
        <v>1453420.661826448</v>
      </c>
      <c r="Q33" s="53"/>
      <c r="R33" s="53">
        <f t="shared" si="11"/>
        <v>0</v>
      </c>
      <c r="S33" s="53">
        <f t="shared" si="12"/>
        <v>0</v>
      </c>
      <c r="T33" s="53">
        <f t="shared" si="13"/>
        <v>0.05</v>
      </c>
      <c r="U33" s="53">
        <f t="shared" si="17"/>
        <v>4.2653187775606449E-3</v>
      </c>
    </row>
    <row r="34" spans="1:23" x14ac:dyDescent="0.2">
      <c r="A34" s="62">
        <f t="shared" si="2"/>
        <v>0.63716438973206102</v>
      </c>
      <c r="B34" s="45">
        <f t="shared" si="6"/>
        <v>20</v>
      </c>
      <c r="C34" s="51">
        <f t="shared" si="7"/>
        <v>65177513.757486045</v>
      </c>
      <c r="D34" s="47" cm="1">
        <f t="array" ref="D34">_xlfn.IFS(AND($C$7="Y",B34&lt;C$4),C34,AND($C$7="Y",B34=C$4),D33+F34-J34-K34-L34+N34,AND($C$7="Y",B34&gt;$C$4),D33-J34-K34-L34+N34, TRUE, D33-J34-K34-L34+N34)</f>
        <v>63716438.973206103</v>
      </c>
      <c r="E34" s="48">
        <f t="shared" si="8"/>
        <v>0</v>
      </c>
      <c r="F34" s="50">
        <f t="shared" si="9"/>
        <v>0</v>
      </c>
      <c r="G34" s="50">
        <f t="shared" si="18"/>
        <v>0</v>
      </c>
      <c r="H34" s="51">
        <f t="shared" si="19"/>
        <v>1732647.7582694648</v>
      </c>
      <c r="I34" s="52">
        <f t="shared" si="3"/>
        <v>271572.97398952517</v>
      </c>
      <c r="J34" s="52">
        <f t="shared" si="4"/>
        <v>1461074.7842799397</v>
      </c>
      <c r="K34" s="51">
        <f t="shared" si="14"/>
        <v>0</v>
      </c>
      <c r="L34" s="49">
        <f t="shared" si="10"/>
        <v>279193.72353609808</v>
      </c>
      <c r="M34" s="49">
        <f t="shared" si="25"/>
        <v>-309211.57010747748</v>
      </c>
      <c r="N34" s="49">
        <f>IFERROR((1-$N$12)*L30,0)</f>
        <v>0</v>
      </c>
      <c r="O34" s="48">
        <f t="shared" si="5"/>
        <v>1453454.0347333667</v>
      </c>
      <c r="P34" s="38">
        <f t="shared" si="1"/>
        <v>1453454.0347333667</v>
      </c>
      <c r="Q34" s="53"/>
      <c r="R34" s="53">
        <f t="shared" si="11"/>
        <v>0</v>
      </c>
      <c r="S34" s="53">
        <f t="shared" si="12"/>
        <v>0</v>
      </c>
      <c r="T34" s="53">
        <f t="shared" si="13"/>
        <v>0.05</v>
      </c>
      <c r="U34" s="53">
        <f t="shared" si="17"/>
        <v>4.2653187775606449E-3</v>
      </c>
    </row>
    <row r="35" spans="1:23" x14ac:dyDescent="0.2">
      <c r="A35" s="62">
        <f t="shared" si="2"/>
        <v>0.61983763369903233</v>
      </c>
      <c r="B35" s="45">
        <f t="shared" si="6"/>
        <v>21</v>
      </c>
      <c r="C35" s="51">
        <f t="shared" si="7"/>
        <v>63444668.049614392</v>
      </c>
      <c r="D35" s="47" cm="1">
        <f t="array" ref="D35">_xlfn.IFS(AND($C$7="Y",B35&lt;C$4),C35,AND($C$7="Y",B35=C$4),D34+F35-J35-K35-L35+N35,AND($C$7="Y",B35&gt;$C$4),D34-J35-K35-L35+N35, TRUE, D34-J35-K35-L35+N35)</f>
        <v>61983763.369903229</v>
      </c>
      <c r="E35" s="48">
        <f t="shared" si="8"/>
        <v>0</v>
      </c>
      <c r="F35" s="50">
        <f t="shared" si="9"/>
        <v>0</v>
      </c>
      <c r="G35" s="50">
        <f t="shared" si="18"/>
        <v>0</v>
      </c>
      <c r="H35" s="51">
        <f t="shared" si="19"/>
        <v>1725257.4632512196</v>
      </c>
      <c r="I35" s="52">
        <f t="shared" si="3"/>
        <v>264352.78354005999</v>
      </c>
      <c r="J35" s="52">
        <f t="shared" si="4"/>
        <v>1460904.6797111596</v>
      </c>
      <c r="K35" s="51">
        <f t="shared" si="14"/>
        <v>0</v>
      </c>
      <c r="L35" s="49">
        <f t="shared" si="10"/>
        <v>271770.9235917129</v>
      </c>
      <c r="M35" s="49">
        <f t="shared" si="25"/>
        <v>-301657.83143269073</v>
      </c>
      <c r="N35" s="49">
        <f t="shared" ref="N35:N98" si="26">IFERROR((1-$N$12)*L31,0)</f>
        <v>0</v>
      </c>
      <c r="O35" s="48">
        <f t="shared" si="5"/>
        <v>1453486.5396595066</v>
      </c>
      <c r="P35" s="38">
        <f t="shared" si="1"/>
        <v>1453486.5396595066</v>
      </c>
      <c r="Q35" s="53"/>
      <c r="R35" s="53">
        <f t="shared" si="11"/>
        <v>0</v>
      </c>
      <c r="S35" s="53">
        <f t="shared" si="12"/>
        <v>0</v>
      </c>
      <c r="T35" s="53">
        <f t="shared" si="13"/>
        <v>0.05</v>
      </c>
      <c r="U35" s="53">
        <f t="shared" si="17"/>
        <v>4.2653187775606449E-3</v>
      </c>
    </row>
    <row r="36" spans="1:23" x14ac:dyDescent="0.2">
      <c r="A36" s="62">
        <f t="shared" si="2"/>
        <v>0.60258648265151027</v>
      </c>
      <c r="B36" s="45">
        <f t="shared" si="6"/>
        <v>22</v>
      </c>
      <c r="C36" s="51">
        <f t="shared" si="7"/>
        <v>61719382.860097706</v>
      </c>
      <c r="D36" s="47" cm="1">
        <f t="array" ref="D36">_xlfn.IFS(AND($C$7="Y",B36&lt;C$4),C36,AND($C$7="Y",B36=C$4),D35+F36-J36-K36-L36+N36,AND($C$7="Y",B36&gt;$C$4),D35-J36-K36-L36+N36, TRUE, D35-J36-K36-L36+N36)</f>
        <v>60258648.265151024</v>
      </c>
      <c r="E36" s="48">
        <f t="shared" si="8"/>
        <v>0</v>
      </c>
      <c r="F36" s="50">
        <f t="shared" si="9"/>
        <v>0</v>
      </c>
      <c r="G36" s="50">
        <f t="shared" si="18"/>
        <v>0</v>
      </c>
      <c r="H36" s="51">
        <f t="shared" si="19"/>
        <v>1717898.6901970876</v>
      </c>
      <c r="I36" s="52">
        <f t="shared" si="3"/>
        <v>257164.09525040712</v>
      </c>
      <c r="J36" s="52">
        <f t="shared" si="4"/>
        <v>1460734.5949466806</v>
      </c>
      <c r="K36" s="51">
        <f t="shared" si="14"/>
        <v>0</v>
      </c>
      <c r="L36" s="49">
        <f t="shared" si="10"/>
        <v>264380.50980552391</v>
      </c>
      <c r="M36" s="49">
        <f t="shared" si="25"/>
        <v>-294137.03774951072</v>
      </c>
      <c r="N36" s="49">
        <f t="shared" si="26"/>
        <v>0</v>
      </c>
      <c r="O36" s="48">
        <f t="shared" si="5"/>
        <v>1453518.180391564</v>
      </c>
      <c r="P36" s="38">
        <f t="shared" si="1"/>
        <v>1453518.180391564</v>
      </c>
      <c r="Q36" s="53"/>
      <c r="R36" s="53">
        <f t="shared" si="11"/>
        <v>0</v>
      </c>
      <c r="S36" s="53">
        <f t="shared" si="12"/>
        <v>0</v>
      </c>
      <c r="T36" s="53">
        <f t="shared" si="13"/>
        <v>0.05</v>
      </c>
      <c r="U36" s="53">
        <f t="shared" si="17"/>
        <v>4.2653187775606449E-3</v>
      </c>
      <c r="W36" s="49"/>
    </row>
    <row r="37" spans="1:23" x14ac:dyDescent="0.2">
      <c r="A37" s="62">
        <f t="shared" si="2"/>
        <v>0.58541061391211058</v>
      </c>
      <c r="B37" s="45">
        <f t="shared" si="6"/>
        <v>23</v>
      </c>
      <c r="C37" s="51">
        <f t="shared" si="7"/>
        <v>60001625.921195254</v>
      </c>
      <c r="D37" s="47" cm="1">
        <f t="array" ref="D37">_xlfn.IFS(AND($C$7="Y",B37&lt;C$4),C37,AND($C$7="Y",B37=C$4),D36+F37-J37-K37-L37+N37,AND($C$7="Y",B37&gt;$C$4),D36-J37-K37-L37+N37, TRUE, D36-J37-K37-L37+N37)</f>
        <v>58541061.391211055</v>
      </c>
      <c r="E37" s="48">
        <f t="shared" si="8"/>
        <v>0</v>
      </c>
      <c r="F37" s="50">
        <f t="shared" si="9"/>
        <v>0</v>
      </c>
      <c r="G37" s="50">
        <f t="shared" si="18"/>
        <v>0</v>
      </c>
      <c r="H37" s="51">
        <f t="shared" si="19"/>
        <v>1710571.3046558423</v>
      </c>
      <c r="I37" s="52">
        <f t="shared" si="3"/>
        <v>250006.77467164691</v>
      </c>
      <c r="J37" s="52">
        <f t="shared" si="4"/>
        <v>1460564.5299841953</v>
      </c>
      <c r="K37" s="51">
        <f t="shared" si="14"/>
        <v>0</v>
      </c>
      <c r="L37" s="49">
        <f t="shared" si="10"/>
        <v>257022.34395577083</v>
      </c>
      <c r="M37" s="49">
        <f t="shared" si="25"/>
        <v>-286649.04845253506</v>
      </c>
      <c r="N37" s="49">
        <f t="shared" si="26"/>
        <v>0</v>
      </c>
      <c r="O37" s="48">
        <f t="shared" si="5"/>
        <v>1453548.9607000714</v>
      </c>
      <c r="P37" s="38">
        <f t="shared" si="1"/>
        <v>1453548.9607000714</v>
      </c>
      <c r="Q37" s="53"/>
      <c r="R37" s="53">
        <f t="shared" si="11"/>
        <v>0</v>
      </c>
      <c r="S37" s="53">
        <f t="shared" si="12"/>
        <v>0</v>
      </c>
      <c r="T37" s="53">
        <f t="shared" si="13"/>
        <v>0.05</v>
      </c>
      <c r="U37" s="53">
        <f t="shared" si="17"/>
        <v>4.2653187775606449E-3</v>
      </c>
    </row>
    <row r="38" spans="1:23" x14ac:dyDescent="0.2">
      <c r="A38" s="62">
        <f t="shared" si="2"/>
        <v>0.56830970617979393</v>
      </c>
      <c r="B38" s="45">
        <f t="shared" si="6"/>
        <v>24</v>
      </c>
      <c r="C38" s="51">
        <f t="shared" si="7"/>
        <v>58291365.102800794</v>
      </c>
      <c r="D38" s="47" cm="1">
        <f t="array" ref="D38">_xlfn.IFS(AND($C$7="Y",B38&lt;C$4),C38,AND($C$7="Y",B38=C$4),D37+F38-J38-K38-L38+N38,AND($C$7="Y",B38&gt;$C$4),D37-J38-K38-L38+N38, TRUE, D37-J38-K38-L38+N38)</f>
        <v>56830970.617979392</v>
      </c>
      <c r="E38" s="48">
        <f t="shared" si="8"/>
        <v>0</v>
      </c>
      <c r="F38" s="50">
        <f t="shared" si="9"/>
        <v>0</v>
      </c>
      <c r="G38" s="50">
        <f t="shared" si="18"/>
        <v>0</v>
      </c>
      <c r="H38" s="51">
        <f t="shared" si="19"/>
        <v>1703275.1727497377</v>
      </c>
      <c r="I38" s="52">
        <f t="shared" si="3"/>
        <v>242880.68792833667</v>
      </c>
      <c r="J38" s="52">
        <f t="shared" si="4"/>
        <v>1460394.4848214011</v>
      </c>
      <c r="K38" s="51">
        <f t="shared" si="14"/>
        <v>0</v>
      </c>
      <c r="L38" s="49">
        <f t="shared" si="10"/>
        <v>249696.28841026302</v>
      </c>
      <c r="M38" s="49">
        <f t="shared" si="25"/>
        <v>-279193.72353609808</v>
      </c>
      <c r="N38" s="49">
        <f t="shared" si="26"/>
        <v>0</v>
      </c>
      <c r="O38" s="48">
        <f t="shared" si="5"/>
        <v>1453578.8843394746</v>
      </c>
      <c r="P38" s="38">
        <f t="shared" si="1"/>
        <v>1453578.8843394746</v>
      </c>
      <c r="Q38" s="53"/>
      <c r="R38" s="53">
        <f t="shared" si="11"/>
        <v>0</v>
      </c>
      <c r="S38" s="53">
        <f t="shared" si="12"/>
        <v>0</v>
      </c>
      <c r="T38" s="53">
        <f t="shared" si="13"/>
        <v>0.05</v>
      </c>
      <c r="U38" s="53">
        <f t="shared" si="17"/>
        <v>4.2653187775606449E-3</v>
      </c>
    </row>
    <row r="39" spans="1:23" s="59" customFormat="1" x14ac:dyDescent="0.2">
      <c r="A39" s="62">
        <f t="shared" si="2"/>
        <v>0.55128343952399539</v>
      </c>
      <c r="B39" s="54">
        <f t="shared" si="6"/>
        <v>25</v>
      </c>
      <c r="C39" s="51">
        <f t="shared" si="7"/>
        <v>56588568.411855526</v>
      </c>
      <c r="D39" s="47" cm="1">
        <f t="array" ref="D39">_xlfn.IFS(AND($C$7="Y",B39&lt;C$4),C39,AND($C$7="Y",B39=C$4),D38+F39-J39-K39-L39+N39,AND($C$7="Y",B39&gt;$C$4),D38-J39-K39-L39+N39, TRUE, D38-J39-K39-L39+N39)</f>
        <v>55128343.952399537</v>
      </c>
      <c r="E39" s="48">
        <f t="shared" si="8"/>
        <v>0</v>
      </c>
      <c r="F39" s="50">
        <f t="shared" si="9"/>
        <v>0</v>
      </c>
      <c r="G39" s="56">
        <f t="shared" si="18"/>
        <v>0</v>
      </c>
      <c r="H39" s="51">
        <f t="shared" si="19"/>
        <v>1696010.1611720545</v>
      </c>
      <c r="I39" s="52">
        <f t="shared" si="3"/>
        <v>235785.70171606471</v>
      </c>
      <c r="J39" s="57">
        <f t="shared" si="4"/>
        <v>1460224.4594559898</v>
      </c>
      <c r="K39" s="55">
        <f t="shared" si="14"/>
        <v>0</v>
      </c>
      <c r="L39" s="55">
        <f t="shared" si="10"/>
        <v>242402.2061238648</v>
      </c>
      <c r="M39" s="55">
        <f t="shared" si="25"/>
        <v>-271770.9235917129</v>
      </c>
      <c r="N39" s="55">
        <f t="shared" si="26"/>
        <v>0</v>
      </c>
      <c r="O39" s="48">
        <f t="shared" si="5"/>
        <v>1453607.9550481897</v>
      </c>
      <c r="P39" s="58">
        <f t="shared" si="1"/>
        <v>1453607.9550481897</v>
      </c>
      <c r="Q39" s="53"/>
      <c r="R39" s="53">
        <f t="shared" si="11"/>
        <v>0</v>
      </c>
      <c r="S39" s="53">
        <f t="shared" si="12"/>
        <v>0</v>
      </c>
      <c r="T39" s="53">
        <f t="shared" si="13"/>
        <v>0.05</v>
      </c>
      <c r="U39" s="53">
        <f t="shared" si="17"/>
        <v>4.2653187775606449E-3</v>
      </c>
    </row>
    <row r="40" spans="1:23" x14ac:dyDescent="0.2">
      <c r="A40" s="62">
        <f t="shared" si="2"/>
        <v>0.53433149537877889</v>
      </c>
      <c r="B40" s="45">
        <f t="shared" si="6"/>
        <v>26</v>
      </c>
      <c r="C40" s="51">
        <f t="shared" si="7"/>
        <v>54893203.991763547</v>
      </c>
      <c r="D40" s="60" cm="1">
        <f t="array" ref="D40">_xlfn.IFS(AND($C$7="Y",B40&lt;C$4),C40,AND($C$7="Y",B40=C$4),D39+F40-J40-K40-L40+N40,AND($C$7="Y",B40&gt;$C$4),D39-J40-K40-L40+N40, TRUE, D39-J40-K40-L40+N40)</f>
        <v>53433149.537877887</v>
      </c>
      <c r="E40" s="48">
        <f t="shared" si="8"/>
        <v>0</v>
      </c>
      <c r="F40" s="50">
        <f t="shared" si="9"/>
        <v>0</v>
      </c>
      <c r="G40" s="50">
        <f t="shared" si="18"/>
        <v>0</v>
      </c>
      <c r="H40" s="51">
        <f t="shared" si="19"/>
        <v>1688776.1371846735</v>
      </c>
      <c r="I40" s="52">
        <f t="shared" si="3"/>
        <v>228721.68329901481</v>
      </c>
      <c r="J40" s="52">
        <f t="shared" si="4"/>
        <v>1460054.4538856586</v>
      </c>
      <c r="K40" s="51">
        <f t="shared" si="14"/>
        <v>0</v>
      </c>
      <c r="L40" s="49">
        <f t="shared" si="10"/>
        <v>235139.96063599156</v>
      </c>
      <c r="M40" s="49">
        <f t="shared" si="25"/>
        <v>-264380.50980552391</v>
      </c>
      <c r="N40" s="49">
        <f t="shared" si="26"/>
        <v>0</v>
      </c>
      <c r="O40" s="48">
        <f t="shared" si="5"/>
        <v>1453636.1765486819</v>
      </c>
      <c r="P40" s="38">
        <f t="shared" si="1"/>
        <v>1453636.1765486819</v>
      </c>
      <c r="Q40" s="53"/>
      <c r="R40" s="53">
        <f t="shared" si="11"/>
        <v>0</v>
      </c>
      <c r="S40" s="53">
        <f t="shared" si="12"/>
        <v>0</v>
      </c>
      <c r="T40" s="53">
        <f t="shared" si="13"/>
        <v>0.05</v>
      </c>
      <c r="U40" s="53">
        <f t="shared" si="17"/>
        <v>4.2653187775606449E-3</v>
      </c>
    </row>
    <row r="41" spans="1:23" x14ac:dyDescent="0.2">
      <c r="A41" s="62">
        <f t="shared" si="2"/>
        <v>0.51745355653701675</v>
      </c>
      <c r="B41" s="45">
        <f t="shared" si="6"/>
        <v>27</v>
      </c>
      <c r="C41" s="51">
        <f t="shared" si="7"/>
        <v>53205240.121809773</v>
      </c>
      <c r="D41" s="47" cm="1">
        <f t="array" ref="D41">_xlfn.IFS(AND($C$7="Y",B41&lt;C$4),C41,AND($C$7="Y",B41=C$4),D40+F41-J41-K41-L41+N41,AND($C$7="Y",B41&gt;$C$4),D40-J41-K41-L41+N41, TRUE, D40-J41-K41-L41+N41)</f>
        <v>51745355.65370167</v>
      </c>
      <c r="E41" s="48">
        <f t="shared" si="8"/>
        <v>0</v>
      </c>
      <c r="F41" s="50">
        <f t="shared" si="9"/>
        <v>0</v>
      </c>
      <c r="G41" s="50">
        <f t="shared" si="18"/>
        <v>0</v>
      </c>
      <c r="H41" s="51">
        <f t="shared" si="19"/>
        <v>1681572.9686156425</v>
      </c>
      <c r="I41" s="52">
        <f t="shared" si="3"/>
        <v>221688.50050754074</v>
      </c>
      <c r="J41" s="52">
        <f t="shared" si="4"/>
        <v>1459884.4681081017</v>
      </c>
      <c r="K41" s="51">
        <f t="shared" si="14"/>
        <v>0</v>
      </c>
      <c r="L41" s="49">
        <f t="shared" si="10"/>
        <v>227909.41606811646</v>
      </c>
      <c r="M41" s="49">
        <f t="shared" si="25"/>
        <v>-257022.34395577083</v>
      </c>
      <c r="N41" s="49">
        <f t="shared" si="26"/>
        <v>0</v>
      </c>
      <c r="O41" s="48">
        <f t="shared" si="5"/>
        <v>1453663.5525475261</v>
      </c>
      <c r="P41" s="38">
        <f t="shared" si="1"/>
        <v>1453663.5525475261</v>
      </c>
      <c r="Q41" s="53"/>
      <c r="R41" s="53">
        <f t="shared" si="11"/>
        <v>0</v>
      </c>
      <c r="S41" s="53">
        <f t="shared" si="12"/>
        <v>0</v>
      </c>
      <c r="T41" s="53">
        <f t="shared" si="13"/>
        <v>0.05</v>
      </c>
      <c r="U41" s="53">
        <f t="shared" si="17"/>
        <v>4.2653187775606449E-3</v>
      </c>
    </row>
    <row r="42" spans="1:23" x14ac:dyDescent="0.2">
      <c r="A42" s="62">
        <f t="shared" si="2"/>
        <v>0.50064930714459366</v>
      </c>
      <c r="B42" s="45">
        <f t="shared" si="6"/>
        <v>28</v>
      </c>
      <c r="C42" s="51">
        <f t="shared" si="7"/>
        <v>51524645.216580383</v>
      </c>
      <c r="D42" s="47" cm="1">
        <f t="array" ref="D42">_xlfn.IFS(AND($C$7="Y",B42&lt;C$4),C42,AND($C$7="Y",B42=C$4),D41+F42-J42-K42-L42+N42,AND($C$7="Y",B42&gt;$C$4),D41-J42-K42-L42+N42, TRUE, D41-J42-K42-L42+N42)</f>
        <v>50064930.714459367</v>
      </c>
      <c r="E42" s="48">
        <f t="shared" si="8"/>
        <v>0</v>
      </c>
      <c r="F42" s="50">
        <f t="shared" si="9"/>
        <v>0</v>
      </c>
      <c r="G42" s="50">
        <f t="shared" si="18"/>
        <v>0</v>
      </c>
      <c r="H42" s="51">
        <f t="shared" si="19"/>
        <v>1674400.5238567689</v>
      </c>
      <c r="I42" s="52">
        <f t="shared" si="3"/>
        <v>214686.02173575162</v>
      </c>
      <c r="J42" s="52">
        <f t="shared" si="4"/>
        <v>1459714.5021210173</v>
      </c>
      <c r="K42" s="51">
        <f t="shared" si="14"/>
        <v>0</v>
      </c>
      <c r="L42" s="49">
        <f t="shared" si="10"/>
        <v>220710.43712128763</v>
      </c>
      <c r="M42" s="49">
        <f t="shared" si="25"/>
        <v>-249696.28841026302</v>
      </c>
      <c r="N42" s="49">
        <f t="shared" si="26"/>
        <v>0</v>
      </c>
      <c r="O42" s="48">
        <f t="shared" si="5"/>
        <v>1453690.0867354812</v>
      </c>
      <c r="P42" s="38">
        <f t="shared" si="1"/>
        <v>1453690.0867354812</v>
      </c>
      <c r="Q42" s="53"/>
      <c r="R42" s="53">
        <f t="shared" si="11"/>
        <v>0</v>
      </c>
      <c r="S42" s="53">
        <f t="shared" si="12"/>
        <v>0</v>
      </c>
      <c r="T42" s="53">
        <f t="shared" si="13"/>
        <v>0.05</v>
      </c>
      <c r="U42" s="53">
        <f t="shared" si="17"/>
        <v>4.2653187775606449E-3</v>
      </c>
    </row>
    <row r="43" spans="1:23" x14ac:dyDescent="0.2">
      <c r="A43" s="62">
        <f t="shared" si="2"/>
        <v>0.48391843269463614</v>
      </c>
      <c r="B43" s="45">
        <f t="shared" si="6"/>
        <v>29</v>
      </c>
      <c r="C43" s="51">
        <f t="shared" si="7"/>
        <v>49851387.825385712</v>
      </c>
      <c r="D43" s="47" cm="1">
        <f t="array" ref="D43">_xlfn.IFS(AND($C$7="Y",B43&lt;C$4),C43,AND($C$7="Y",B43=C$4),D42+F43-J43-K43-L43+N43,AND($C$7="Y",B43&gt;$C$4),D42-J43-K43-L43+N43, TRUE, D42-J43-K43-L43+N43)</f>
        <v>48391843.269463614</v>
      </c>
      <c r="E43" s="48">
        <f t="shared" si="8"/>
        <v>0</v>
      </c>
      <c r="F43" s="50">
        <f t="shared" si="9"/>
        <v>0</v>
      </c>
      <c r="G43" s="50">
        <f t="shared" si="18"/>
        <v>0</v>
      </c>
      <c r="H43" s="51">
        <f t="shared" si="19"/>
        <v>1667258.6718612043</v>
      </c>
      <c r="I43" s="52">
        <f t="shared" si="3"/>
        <v>207714.11593910714</v>
      </c>
      <c r="J43" s="52">
        <f t="shared" si="4"/>
        <v>1459544.5559220971</v>
      </c>
      <c r="K43" s="51">
        <f t="shared" si="14"/>
        <v>0</v>
      </c>
      <c r="L43" s="49">
        <f t="shared" si="10"/>
        <v>213542.8890736562</v>
      </c>
      <c r="M43" s="49">
        <f t="shared" si="25"/>
        <v>-242402.2061238648</v>
      </c>
      <c r="N43" s="49">
        <f t="shared" si="26"/>
        <v>0</v>
      </c>
      <c r="O43" s="48">
        <f t="shared" si="5"/>
        <v>1453715.7827875481</v>
      </c>
      <c r="P43" s="38">
        <f t="shared" si="1"/>
        <v>1453715.7827875481</v>
      </c>
      <c r="Q43" s="53"/>
      <c r="R43" s="53">
        <f t="shared" si="11"/>
        <v>0</v>
      </c>
      <c r="S43" s="53">
        <f t="shared" si="12"/>
        <v>0</v>
      </c>
      <c r="T43" s="53">
        <f t="shared" si="13"/>
        <v>0.05</v>
      </c>
      <c r="U43" s="53">
        <f t="shared" si="17"/>
        <v>4.2653187775606449E-3</v>
      </c>
    </row>
    <row r="44" spans="1:23" x14ac:dyDescent="0.2">
      <c r="A44" s="62">
        <f t="shared" si="2"/>
        <v>0.4672606200217656</v>
      </c>
      <c r="B44" s="54">
        <f t="shared" si="6"/>
        <v>30</v>
      </c>
      <c r="C44" s="51">
        <f t="shared" si="7"/>
        <v>48185436.6316856</v>
      </c>
      <c r="D44" s="60" cm="1">
        <f t="array" ref="D44">_xlfn.IFS(AND($C$7="Y",B44&lt;C$4),C44,AND($C$7="Y",B44=C$4),D43+F44-J44-K44-L44+N44,AND($C$7="Y",B44&gt;$C$4),D43-J44-K44-L44+N44, TRUE, D43-J44-K44-L44+N44)</f>
        <v>46726062.00217656</v>
      </c>
      <c r="E44" s="48">
        <f t="shared" si="8"/>
        <v>0</v>
      </c>
      <c r="F44" s="50">
        <f t="shared" si="9"/>
        <v>0</v>
      </c>
      <c r="G44" s="50">
        <f t="shared" si="18"/>
        <v>0</v>
      </c>
      <c r="H44" s="51">
        <f t="shared" si="19"/>
        <v>1660147.2821410643</v>
      </c>
      <c r="I44" s="52">
        <f t="shared" si="3"/>
        <v>200772.65263202332</v>
      </c>
      <c r="J44" s="52">
        <f t="shared" si="4"/>
        <v>1459374.6295090411</v>
      </c>
      <c r="K44" s="51">
        <f t="shared" si="14"/>
        <v>0</v>
      </c>
      <c r="L44" s="49">
        <f t="shared" si="10"/>
        <v>206406.63777801488</v>
      </c>
      <c r="M44" s="49">
        <f>IFERROR(L40*-1,0)</f>
        <v>-235139.96063599156</v>
      </c>
      <c r="N44" s="49">
        <f t="shared" si="26"/>
        <v>0</v>
      </c>
      <c r="O44" s="48">
        <f t="shared" si="5"/>
        <v>1453740.6443630494</v>
      </c>
      <c r="P44" s="38">
        <f t="shared" si="1"/>
        <v>1453740.6443630494</v>
      </c>
      <c r="Q44" s="53"/>
      <c r="R44" s="53">
        <f t="shared" si="11"/>
        <v>0</v>
      </c>
      <c r="S44" s="53">
        <f t="shared" si="12"/>
        <v>0</v>
      </c>
      <c r="T44" s="53">
        <f t="shared" si="13"/>
        <v>0.05</v>
      </c>
      <c r="U44" s="53">
        <f t="shared" si="17"/>
        <v>4.2653187775606449E-3</v>
      </c>
    </row>
    <row r="45" spans="1:23" x14ac:dyDescent="0.2">
      <c r="A45" s="62">
        <f t="shared" si="2"/>
        <v>0.45067555729637665</v>
      </c>
      <c r="B45" s="54">
        <f t="shared" si="6"/>
        <v>31</v>
      </c>
      <c r="C45" s="51">
        <f t="shared" si="7"/>
        <v>46526760.452517211</v>
      </c>
      <c r="D45" s="60" cm="1">
        <f t="array" ref="D45">_xlfn.IFS(AND($C$7="Y",B45&lt;C$4),C45,AND($C$7="Y",B45=C$4),D44+F45-J45-K45-L45+N45,AND($C$7="Y",B45&gt;$C$4),D44-J45-K45-L45+N45, TRUE, D44-J45-K45-L45+N45)</f>
        <v>45067555.729637668</v>
      </c>
      <c r="E45" s="48">
        <f t="shared" si="8"/>
        <v>0</v>
      </c>
      <c r="F45" s="50">
        <f t="shared" si="9"/>
        <v>0</v>
      </c>
      <c r="G45" s="50">
        <f t="shared" si="18"/>
        <v>0</v>
      </c>
      <c r="H45" s="51">
        <f t="shared" si="19"/>
        <v>1653066.2247650314</v>
      </c>
      <c r="I45" s="52">
        <f t="shared" si="3"/>
        <v>193861.5018854884</v>
      </c>
      <c r="J45" s="52">
        <f t="shared" si="4"/>
        <v>1459204.722879543</v>
      </c>
      <c r="K45" s="51">
        <f t="shared" si="14"/>
        <v>0</v>
      </c>
      <c r="L45" s="49">
        <f t="shared" si="10"/>
        <v>199301.54965934664</v>
      </c>
      <c r="M45" s="49">
        <f t="shared" ref="M45:M108" si="27">IFERROR(L41*-1,0)</f>
        <v>-227909.41606811646</v>
      </c>
      <c r="N45" s="49">
        <f t="shared" si="26"/>
        <v>0</v>
      </c>
      <c r="O45" s="48">
        <f t="shared" si="5"/>
        <v>1453764.6751056847</v>
      </c>
      <c r="P45" s="38">
        <f t="shared" si="1"/>
        <v>1453764.6751056847</v>
      </c>
      <c r="Q45" s="53"/>
      <c r="R45" s="53">
        <f t="shared" si="11"/>
        <v>0</v>
      </c>
      <c r="S45" s="53">
        <f t="shared" si="12"/>
        <v>0</v>
      </c>
      <c r="T45" s="53">
        <f t="shared" si="13"/>
        <v>0.05</v>
      </c>
      <c r="U45" s="53">
        <f t="shared" si="17"/>
        <v>4.2653187775606449E-3</v>
      </c>
    </row>
    <row r="46" spans="1:23" x14ac:dyDescent="0.2">
      <c r="A46" s="62">
        <f t="shared" si="2"/>
        <v>0.43416293401893979</v>
      </c>
      <c r="B46" s="45">
        <f t="shared" si="6"/>
        <v>32</v>
      </c>
      <c r="C46" s="51">
        <f t="shared" si="7"/>
        <v>44875328.237925284</v>
      </c>
      <c r="D46" s="47" cm="1">
        <f t="array" ref="D46">_xlfn.IFS(AND($C$7="Y",B46&lt;C$4),C46,AND($C$7="Y",B46=C$4),D45+F46-J46-K46-L46+N46,AND($C$7="Y",B46&gt;$C$4),D45-J46-K46-L46+N46, TRUE, D45-J46-K46-L46+N46)</f>
        <v>43416293.401893981</v>
      </c>
      <c r="E46" s="48">
        <f t="shared" si="8"/>
        <v>0</v>
      </c>
      <c r="F46" s="50">
        <f t="shared" si="9"/>
        <v>0</v>
      </c>
      <c r="G46" s="50">
        <f t="shared" si="18"/>
        <v>0</v>
      </c>
      <c r="H46" s="51">
        <f t="shared" si="19"/>
        <v>1646015.3703559896</v>
      </c>
      <c r="I46" s="52">
        <f t="shared" si="3"/>
        <v>186980.53432468869</v>
      </c>
      <c r="J46" s="52">
        <f t="shared" si="4"/>
        <v>1459034.8360313009</v>
      </c>
      <c r="K46" s="51">
        <f t="shared" si="14"/>
        <v>0</v>
      </c>
      <c r="L46" s="49">
        <f t="shared" si="10"/>
        <v>192227.49171238436</v>
      </c>
      <c r="M46" s="49">
        <f t="shared" si="27"/>
        <v>-220710.43712128763</v>
      </c>
      <c r="N46" s="49">
        <f t="shared" si="26"/>
        <v>0</v>
      </c>
      <c r="O46" s="48">
        <f t="shared" si="5"/>
        <v>1453787.8786436052</v>
      </c>
      <c r="P46" s="38">
        <f t="shared" si="1"/>
        <v>1453787.8786436052</v>
      </c>
      <c r="Q46" s="53"/>
      <c r="R46" s="53">
        <f t="shared" si="11"/>
        <v>0</v>
      </c>
      <c r="S46" s="53">
        <f t="shared" si="12"/>
        <v>0</v>
      </c>
      <c r="T46" s="53">
        <f t="shared" si="13"/>
        <v>0.05</v>
      </c>
      <c r="U46" s="53">
        <f t="shared" si="17"/>
        <v>4.2653187775606449E-3</v>
      </c>
    </row>
    <row r="47" spans="1:23" x14ac:dyDescent="0.2">
      <c r="A47" s="62">
        <f t="shared" si="2"/>
        <v>0.41772244101432787</v>
      </c>
      <c r="B47" s="45">
        <f t="shared" si="6"/>
        <v>33</v>
      </c>
      <c r="C47" s="51">
        <f t="shared" si="7"/>
        <v>43231109.070394799</v>
      </c>
      <c r="D47" s="47" cm="1">
        <f t="array" ref="D47">_xlfn.IFS(AND($C$7="Y",B47&lt;C$4),C47,AND($C$7="Y",B47=C$4),D46+F47-J47-K47-L47+N47,AND($C$7="Y",B47&gt;$C$4),D46-J47-K47-L47+N47, TRUE, D46-J47-K47-L47+N47)</f>
        <v>41772244.101432785</v>
      </c>
      <c r="E47" s="48">
        <f t="shared" si="8"/>
        <v>0</v>
      </c>
      <c r="F47" s="50">
        <f t="shared" si="9"/>
        <v>0</v>
      </c>
      <c r="G47" s="50">
        <f t="shared" si="18"/>
        <v>0</v>
      </c>
      <c r="H47" s="51">
        <f t="shared" si="19"/>
        <v>1638994.5900886573</v>
      </c>
      <c r="I47" s="52">
        <f t="shared" si="3"/>
        <v>180129.62112664501</v>
      </c>
      <c r="J47" s="52">
        <f t="shared" si="4"/>
        <v>1458864.9689620123</v>
      </c>
      <c r="K47" s="51">
        <f t="shared" si="14"/>
        <v>0</v>
      </c>
      <c r="L47" s="49">
        <f t="shared" si="10"/>
        <v>185184.33149918073</v>
      </c>
      <c r="M47" s="49">
        <f t="shared" si="27"/>
        <v>-213542.8890736562</v>
      </c>
      <c r="N47" s="49">
        <f t="shared" si="26"/>
        <v>0</v>
      </c>
      <c r="O47" s="48">
        <f t="shared" si="5"/>
        <v>1453810.2585894766</v>
      </c>
      <c r="P47" s="38">
        <f t="shared" si="1"/>
        <v>1453810.2585894766</v>
      </c>
      <c r="Q47" s="53"/>
      <c r="R47" s="53">
        <f t="shared" si="11"/>
        <v>0</v>
      </c>
      <c r="S47" s="53">
        <f t="shared" si="12"/>
        <v>0</v>
      </c>
      <c r="T47" s="53">
        <f t="shared" si="13"/>
        <v>0.05</v>
      </c>
      <c r="U47" s="53">
        <f t="shared" si="17"/>
        <v>4.2653187775606449E-3</v>
      </c>
    </row>
    <row r="48" spans="1:23" x14ac:dyDescent="0.2">
      <c r="A48" s="62">
        <f t="shared" si="2"/>
        <v>0.40135377042616727</v>
      </c>
      <c r="B48" s="45">
        <f t="shared" si="6"/>
        <v>34</v>
      </c>
      <c r="C48" s="51">
        <f t="shared" si="7"/>
        <v>41594072.164286099</v>
      </c>
      <c r="D48" s="47" cm="1">
        <f t="array" ref="D48">_xlfn.IFS(AND($C$7="Y",B48&lt;C$4),C48,AND($C$7="Y",B48=C$4),D47+F48-J48-K48-L48+N48,AND($C$7="Y",B48&gt;$C$4),D47-J48-K48-L48+N48, TRUE, D47-J48-K48-L48+N48)</f>
        <v>40135377.042616725</v>
      </c>
      <c r="E48" s="48">
        <f t="shared" si="8"/>
        <v>0</v>
      </c>
      <c r="F48" s="50">
        <f t="shared" si="9"/>
        <v>0</v>
      </c>
      <c r="G48" s="50">
        <f t="shared" si="18"/>
        <v>0</v>
      </c>
      <c r="H48" s="51">
        <f t="shared" si="19"/>
        <v>1632003.7556872305</v>
      </c>
      <c r="I48" s="52">
        <f t="shared" si="3"/>
        <v>173308.63401785874</v>
      </c>
      <c r="J48" s="52">
        <f t="shared" si="4"/>
        <v>1458695.1216693718</v>
      </c>
      <c r="K48" s="51">
        <f t="shared" si="14"/>
        <v>0</v>
      </c>
      <c r="L48" s="49">
        <f t="shared" si="10"/>
        <v>178171.93714668814</v>
      </c>
      <c r="M48" s="49">
        <f t="shared" si="27"/>
        <v>-206406.63777801488</v>
      </c>
      <c r="N48" s="49">
        <f t="shared" si="26"/>
        <v>0</v>
      </c>
      <c r="O48" s="48">
        <f t="shared" si="5"/>
        <v>1453831.8185405424</v>
      </c>
      <c r="P48" s="38">
        <f t="shared" si="1"/>
        <v>1453831.8185405424</v>
      </c>
      <c r="Q48" s="53"/>
      <c r="R48" s="53">
        <f t="shared" si="11"/>
        <v>0</v>
      </c>
      <c r="S48" s="53">
        <f t="shared" si="12"/>
        <v>0</v>
      </c>
      <c r="T48" s="53">
        <f t="shared" si="13"/>
        <v>0.05</v>
      </c>
      <c r="U48" s="53">
        <f t="shared" si="17"/>
        <v>4.2653187775606449E-3</v>
      </c>
    </row>
    <row r="49" spans="1:21" x14ac:dyDescent="0.2">
      <c r="A49" s="62">
        <f t="shared" si="2"/>
        <v>0.38505661571121291</v>
      </c>
      <c r="B49" s="45">
        <f t="shared" si="6"/>
        <v>35</v>
      </c>
      <c r="C49" s="51">
        <f t="shared" si="7"/>
        <v>39964186.865272373</v>
      </c>
      <c r="D49" s="47" cm="1">
        <f t="array" ref="D49">_xlfn.IFS(AND($C$7="Y",B49&lt;C$4),C49,AND($C$7="Y",B49=C$4),D48+F49-J49-K49-L49+N49,AND($C$7="Y",B49&gt;$C$4),D48-J49-K49-L49+N49, TRUE, D48-J49-K49-L49+N49)</f>
        <v>38505661.57112129</v>
      </c>
      <c r="E49" s="48">
        <f t="shared" si="8"/>
        <v>0</v>
      </c>
      <c r="F49" s="50">
        <f t="shared" si="9"/>
        <v>0</v>
      </c>
      <c r="G49" s="50">
        <f t="shared" si="18"/>
        <v>0</v>
      </c>
      <c r="H49" s="51">
        <f t="shared" si="19"/>
        <v>1625042.739423048</v>
      </c>
      <c r="I49" s="52">
        <f t="shared" si="3"/>
        <v>166517.44527196823</v>
      </c>
      <c r="J49" s="52">
        <f t="shared" si="4"/>
        <v>1458525.2941510798</v>
      </c>
      <c r="K49" s="51">
        <f t="shared" si="14"/>
        <v>0</v>
      </c>
      <c r="L49" s="49">
        <f t="shared" si="10"/>
        <v>171190.17734434953</v>
      </c>
      <c r="M49" s="49">
        <f t="shared" si="27"/>
        <v>-199301.54965934664</v>
      </c>
      <c r="N49" s="49">
        <f t="shared" si="26"/>
        <v>0</v>
      </c>
      <c r="O49" s="48">
        <f t="shared" si="5"/>
        <v>1453852.5620786985</v>
      </c>
      <c r="P49" s="38">
        <f t="shared" si="1"/>
        <v>1453852.5620786985</v>
      </c>
      <c r="Q49" s="53"/>
      <c r="R49" s="53">
        <f t="shared" si="11"/>
        <v>0</v>
      </c>
      <c r="S49" s="53">
        <f t="shared" si="12"/>
        <v>0</v>
      </c>
      <c r="T49" s="53">
        <f t="shared" si="13"/>
        <v>0.05</v>
      </c>
      <c r="U49" s="53">
        <f t="shared" si="17"/>
        <v>4.2653187775606449E-3</v>
      </c>
    </row>
    <row r="50" spans="1:21" x14ac:dyDescent="0.2">
      <c r="A50" s="62">
        <f t="shared" si="2"/>
        <v>0.36883067163374761</v>
      </c>
      <c r="B50" s="45">
        <f t="shared" si="6"/>
        <v>36</v>
      </c>
      <c r="C50" s="51">
        <f t="shared" si="7"/>
        <v>38341422.649779588</v>
      </c>
      <c r="D50" s="47" cm="1">
        <f t="array" ref="D50">_xlfn.IFS(AND($C$7="Y",B50&lt;C$4),C50,AND($C$7="Y",B50=C$4),D49+F50-J50-K50-L50+N50,AND($C$7="Y",B50&gt;$C$4),D49-J50-K50-L50+N50, TRUE, D49-J50-K50-L50+N50)</f>
        <v>36883067.163374759</v>
      </c>
      <c r="E50" s="48">
        <f t="shared" si="8"/>
        <v>0</v>
      </c>
      <c r="F50" s="50">
        <f t="shared" si="9"/>
        <v>0</v>
      </c>
      <c r="G50" s="50">
        <f t="shared" si="18"/>
        <v>0</v>
      </c>
      <c r="H50" s="51">
        <f t="shared" si="19"/>
        <v>1618111.4141122466</v>
      </c>
      <c r="I50" s="52">
        <f t="shared" si="3"/>
        <v>159755.92770741496</v>
      </c>
      <c r="J50" s="52">
        <f t="shared" si="4"/>
        <v>1458355.4864048315</v>
      </c>
      <c r="K50" s="51">
        <f t="shared" si="14"/>
        <v>0</v>
      </c>
      <c r="L50" s="49">
        <f t="shared" si="10"/>
        <v>164238.92134169897</v>
      </c>
      <c r="M50" s="49">
        <f t="shared" si="27"/>
        <v>-192227.49171238436</v>
      </c>
      <c r="N50" s="49">
        <f t="shared" si="26"/>
        <v>0</v>
      </c>
      <c r="O50" s="48">
        <f t="shared" si="5"/>
        <v>1453872.4927705475</v>
      </c>
      <c r="P50" s="38">
        <f t="shared" si="1"/>
        <v>1453872.4927705475</v>
      </c>
      <c r="Q50" s="53"/>
      <c r="R50" s="53">
        <f t="shared" si="11"/>
        <v>0</v>
      </c>
      <c r="S50" s="53">
        <f t="shared" si="12"/>
        <v>0</v>
      </c>
      <c r="T50" s="53">
        <f t="shared" si="13"/>
        <v>0.05</v>
      </c>
      <c r="U50" s="53">
        <f t="shared" si="17"/>
        <v>4.2653187775606449E-3</v>
      </c>
    </row>
    <row r="51" spans="1:21" x14ac:dyDescent="0.2">
      <c r="A51" s="62">
        <f t="shared" si="2"/>
        <v>0.35267563426000459</v>
      </c>
      <c r="B51" s="45">
        <f t="shared" si="6"/>
        <v>37</v>
      </c>
      <c r="C51" s="51">
        <f t="shared" si="7"/>
        <v>36725749.124428786</v>
      </c>
      <c r="D51" s="47" cm="1">
        <f t="array" ref="D51">_xlfn.IFS(AND($C$7="Y",B51&lt;C$4),C51,AND($C$7="Y",B51=C$4),D50+F51-J51-K51-L51+N51,AND($C$7="Y",B51&gt;$C$4),D50-J51-K51-L51+N51, TRUE, D50-J51-K51-L51+N51)</f>
        <v>35267563.426000461</v>
      </c>
      <c r="E51" s="48">
        <f t="shared" si="8"/>
        <v>0</v>
      </c>
      <c r="F51" s="50">
        <f t="shared" si="9"/>
        <v>0</v>
      </c>
      <c r="G51" s="50">
        <f t="shared" si="18"/>
        <v>0</v>
      </c>
      <c r="H51" s="51">
        <f t="shared" si="19"/>
        <v>1611209.6531134485</v>
      </c>
      <c r="I51" s="52">
        <f t="shared" si="3"/>
        <v>153023.95468511994</v>
      </c>
      <c r="J51" s="52">
        <f t="shared" si="4"/>
        <v>1458185.6984283286</v>
      </c>
      <c r="K51" s="51">
        <f t="shared" si="14"/>
        <v>0</v>
      </c>
      <c r="L51" s="49">
        <f t="shared" si="10"/>
        <v>157318.0389459728</v>
      </c>
      <c r="M51" s="49">
        <f t="shared" si="27"/>
        <v>-185184.33149918073</v>
      </c>
      <c r="N51" s="49">
        <f t="shared" si="26"/>
        <v>0</v>
      </c>
      <c r="O51" s="48">
        <f t="shared" si="5"/>
        <v>1453891.6141674756</v>
      </c>
      <c r="P51" s="38">
        <f t="shared" si="1"/>
        <v>1453891.6141674756</v>
      </c>
      <c r="Q51" s="53"/>
      <c r="R51" s="53">
        <f t="shared" si="11"/>
        <v>0</v>
      </c>
      <c r="S51" s="53">
        <f t="shared" si="12"/>
        <v>0</v>
      </c>
      <c r="T51" s="53">
        <f t="shared" si="13"/>
        <v>0.05</v>
      </c>
      <c r="U51" s="53">
        <f t="shared" si="17"/>
        <v>4.2653187775606449E-3</v>
      </c>
    </row>
    <row r="52" spans="1:21" x14ac:dyDescent="0.2">
      <c r="A52" s="62">
        <f t="shared" si="2"/>
        <v>0.33659120095261469</v>
      </c>
      <c r="B52" s="45">
        <f t="shared" si="6"/>
        <v>38</v>
      </c>
      <c r="C52" s="51">
        <f t="shared" si="7"/>
        <v>35117136.025480732</v>
      </c>
      <c r="D52" s="47" cm="1">
        <f t="array" ref="D52">_xlfn.IFS(AND($C$7="Y",B52&lt;C$4),C52,AND($C$7="Y",B52=C$4),D51+F52-J52-K52-L52+N52,AND($C$7="Y",B52&gt;$C$4),D51-J52-K52-L52+N52, TRUE, D51-J52-K52-L52+N52)</f>
        <v>33659120.095261469</v>
      </c>
      <c r="E52" s="48">
        <f t="shared" si="8"/>
        <v>0</v>
      </c>
      <c r="F52" s="50">
        <f t="shared" si="9"/>
        <v>0</v>
      </c>
      <c r="G52" s="50">
        <f t="shared" si="18"/>
        <v>0</v>
      </c>
      <c r="H52" s="51">
        <f t="shared" si="19"/>
        <v>1604337.3303254358</v>
      </c>
      <c r="I52" s="52">
        <f t="shared" si="3"/>
        <v>146321.40010616972</v>
      </c>
      <c r="J52" s="52">
        <f t="shared" si="4"/>
        <v>1458015.9302192661</v>
      </c>
      <c r="K52" s="51">
        <f t="shared" si="14"/>
        <v>0</v>
      </c>
      <c r="L52" s="49">
        <f t="shared" si="10"/>
        <v>150427.40051973079</v>
      </c>
      <c r="M52" s="49">
        <f t="shared" si="27"/>
        <v>-178171.93714668814</v>
      </c>
      <c r="N52" s="49">
        <f t="shared" si="26"/>
        <v>0</v>
      </c>
      <c r="O52" s="48">
        <f t="shared" si="5"/>
        <v>1453909.9298057051</v>
      </c>
      <c r="P52" s="38">
        <f t="shared" si="1"/>
        <v>1453909.9298057051</v>
      </c>
      <c r="Q52" s="53"/>
      <c r="R52" s="53">
        <f t="shared" si="11"/>
        <v>0</v>
      </c>
      <c r="S52" s="53">
        <f t="shared" si="12"/>
        <v>0</v>
      </c>
      <c r="T52" s="53">
        <f t="shared" si="13"/>
        <v>0.05</v>
      </c>
      <c r="U52" s="53">
        <f t="shared" si="17"/>
        <v>4.2653187775606449E-3</v>
      </c>
    </row>
    <row r="53" spans="1:21" x14ac:dyDescent="0.2">
      <c r="A53" s="62">
        <f t="shared" si="2"/>
        <v>0.32057707036507638</v>
      </c>
      <c r="B53" s="45">
        <f t="shared" si="6"/>
        <v>39</v>
      </c>
      <c r="C53" s="51">
        <f t="shared" si="7"/>
        <v>33515553.218282983</v>
      </c>
      <c r="D53" s="47" cm="1">
        <f t="array" ref="D53">_xlfn.IFS(AND($C$7="Y",B53&lt;C$4),C53,AND($C$7="Y",B53=C$4),D52+F53-J53-K53-L53+N53,AND($C$7="Y",B53&gt;$C$4),D52-J53-K53-L53+N53, TRUE, D52-J53-K53-L53+N53)</f>
        <v>32057707.036507636</v>
      </c>
      <c r="E53" s="48">
        <f t="shared" si="8"/>
        <v>0</v>
      </c>
      <c r="F53" s="50">
        <f t="shared" si="9"/>
        <v>0</v>
      </c>
      <c r="G53" s="50">
        <f t="shared" si="18"/>
        <v>0</v>
      </c>
      <c r="H53" s="51">
        <f t="shared" si="19"/>
        <v>1597494.3201848581</v>
      </c>
      <c r="I53" s="52">
        <f t="shared" si="3"/>
        <v>139648.13840951244</v>
      </c>
      <c r="J53" s="52">
        <f t="shared" si="4"/>
        <v>1457846.1817753457</v>
      </c>
      <c r="K53" s="51">
        <f t="shared" si="14"/>
        <v>0</v>
      </c>
      <c r="L53" s="49">
        <f t="shared" si="10"/>
        <v>143566.87697848759</v>
      </c>
      <c r="M53" s="49">
        <f t="shared" si="27"/>
        <v>-171190.17734434953</v>
      </c>
      <c r="N53" s="49">
        <f t="shared" si="26"/>
        <v>0</v>
      </c>
      <c r="O53" s="48">
        <f t="shared" si="5"/>
        <v>1453927.4432063703</v>
      </c>
      <c r="P53" s="38">
        <f t="shared" si="1"/>
        <v>1453927.4432063703</v>
      </c>
      <c r="Q53" s="53"/>
      <c r="R53" s="53">
        <f t="shared" si="11"/>
        <v>0</v>
      </c>
      <c r="S53" s="53">
        <f t="shared" si="12"/>
        <v>0</v>
      </c>
      <c r="T53" s="53">
        <f t="shared" si="13"/>
        <v>0.05</v>
      </c>
      <c r="U53" s="53">
        <f t="shared" si="17"/>
        <v>4.2653187775606449E-3</v>
      </c>
    </row>
    <row r="54" spans="1:21" x14ac:dyDescent="0.2">
      <c r="A54" s="62">
        <f t="shared" si="2"/>
        <v>0.30463294243625016</v>
      </c>
      <c r="B54" s="45">
        <f t="shared" si="6"/>
        <v>40</v>
      </c>
      <c r="C54" s="51">
        <f t="shared" si="7"/>
        <v>31920970.696719281</v>
      </c>
      <c r="D54" s="47" cm="1">
        <f t="array" ref="D54">_xlfn.IFS(AND($C$7="Y",B54&lt;C$4),C54,AND($C$7="Y",B54=C$4),D53+F54-J54-K54-L54+N54,AND($C$7="Y",B54&gt;$C$4),D53-J54-K54-L54+N54, TRUE, D53-J54-K54-L54+N54)</f>
        <v>30463294.243625019</v>
      </c>
      <c r="E54" s="48">
        <f t="shared" si="8"/>
        <v>0</v>
      </c>
      <c r="F54" s="50">
        <f t="shared" si="9"/>
        <v>0</v>
      </c>
      <c r="G54" s="50">
        <f t="shared" si="18"/>
        <v>0</v>
      </c>
      <c r="H54" s="51">
        <f t="shared" si="19"/>
        <v>1590680.4976639263</v>
      </c>
      <c r="I54" s="52">
        <f t="shared" si="3"/>
        <v>133004.04456966367</v>
      </c>
      <c r="J54" s="52">
        <f t="shared" si="4"/>
        <v>1457676.4530942626</v>
      </c>
      <c r="K54" s="51">
        <f t="shared" si="14"/>
        <v>0</v>
      </c>
      <c r="L54" s="49">
        <f t="shared" si="10"/>
        <v>136736.33978835403</v>
      </c>
      <c r="M54" s="49">
        <f t="shared" si="27"/>
        <v>-164238.92134169897</v>
      </c>
      <c r="N54" s="49">
        <f t="shared" si="26"/>
        <v>0</v>
      </c>
      <c r="O54" s="48">
        <f t="shared" si="5"/>
        <v>1453944.1578755723</v>
      </c>
      <c r="P54" s="38">
        <f t="shared" si="1"/>
        <v>1453944.1578755723</v>
      </c>
      <c r="Q54" s="53"/>
      <c r="R54" s="53">
        <f t="shared" si="11"/>
        <v>0</v>
      </c>
      <c r="S54" s="53">
        <f t="shared" si="12"/>
        <v>0</v>
      </c>
      <c r="T54" s="53">
        <f t="shared" si="13"/>
        <v>0.05</v>
      </c>
      <c r="U54" s="53">
        <f t="shared" si="17"/>
        <v>4.2653187775606449E-3</v>
      </c>
    </row>
    <row r="55" spans="1:21" x14ac:dyDescent="0.2">
      <c r="A55" s="62">
        <f t="shared" si="2"/>
        <v>0.28875851838487615</v>
      </c>
      <c r="B55" s="45">
        <f t="shared" si="6"/>
        <v>41</v>
      </c>
      <c r="C55" s="51">
        <f t="shared" si="7"/>
        <v>30333358.582661331</v>
      </c>
      <c r="D55" s="47" cm="1">
        <f t="array" ref="D55">_xlfn.IFS(AND($C$7="Y",B55&lt;C$4),C55,AND($C$7="Y",B55=C$4),D54+F55-J55-K55-L55+N55,AND($C$7="Y",B55&gt;$C$4),D54-J55-K55-L55+N55, TRUE, D54-J55-K55-L55+N55)</f>
        <v>28875851.838487614</v>
      </c>
      <c r="E55" s="48">
        <f t="shared" si="8"/>
        <v>0</v>
      </c>
      <c r="F55" s="50">
        <f t="shared" si="9"/>
        <v>0</v>
      </c>
      <c r="G55" s="50">
        <f t="shared" si="18"/>
        <v>0</v>
      </c>
      <c r="H55" s="51">
        <f t="shared" si="19"/>
        <v>1583895.7382681388</v>
      </c>
      <c r="I55" s="52">
        <f t="shared" si="3"/>
        <v>126388.99409442222</v>
      </c>
      <c r="J55" s="52">
        <f t="shared" si="4"/>
        <v>1457506.7441737165</v>
      </c>
      <c r="K55" s="51">
        <f t="shared" si="14"/>
        <v>0</v>
      </c>
      <c r="L55" s="49">
        <f t="shared" si="10"/>
        <v>129935.66096368889</v>
      </c>
      <c r="M55" s="49">
        <f t="shared" si="27"/>
        <v>-157318.0389459728</v>
      </c>
      <c r="N55" s="49">
        <f t="shared" si="26"/>
        <v>0</v>
      </c>
      <c r="O55" s="48">
        <f t="shared" si="5"/>
        <v>1453960.0773044499</v>
      </c>
      <c r="P55" s="38">
        <f t="shared" si="1"/>
        <v>1453960.0773044499</v>
      </c>
      <c r="Q55" s="53"/>
      <c r="R55" s="53">
        <f t="shared" si="11"/>
        <v>0</v>
      </c>
      <c r="S55" s="53">
        <f t="shared" si="12"/>
        <v>0</v>
      </c>
      <c r="T55" s="53">
        <f t="shared" si="13"/>
        <v>0.05</v>
      </c>
      <c r="U55" s="53">
        <f t="shared" si="17"/>
        <v>4.2653187775606449E-3</v>
      </c>
    </row>
    <row r="56" spans="1:21" x14ac:dyDescent="0.2">
      <c r="A56" s="62">
        <f t="shared" si="2"/>
        <v>0.27295350070411445</v>
      </c>
      <c r="B56" s="45">
        <f t="shared" si="6"/>
        <v>42</v>
      </c>
      <c r="C56" s="51">
        <f t="shared" si="7"/>
        <v>28752687.125422854</v>
      </c>
      <c r="D56" s="47" cm="1">
        <f t="array" ref="D56">_xlfn.IFS(AND($C$7="Y",B56&lt;C$4),C56,AND($C$7="Y",B56=C$4),D55+F56-J56-K56-L56+N56,AND($C$7="Y",B56&gt;$C$4),D55-J56-K56-L56+N56, TRUE, D55-J56-K56-L56+N56)</f>
        <v>27295350.070411444</v>
      </c>
      <c r="E56" s="48">
        <f t="shared" si="8"/>
        <v>0</v>
      </c>
      <c r="F56" s="50">
        <f t="shared" si="9"/>
        <v>0</v>
      </c>
      <c r="G56" s="50">
        <f t="shared" si="18"/>
        <v>0</v>
      </c>
      <c r="H56" s="51">
        <f t="shared" si="19"/>
        <v>1577139.9180340066</v>
      </c>
      <c r="I56" s="52">
        <f t="shared" si="3"/>
        <v>119802.86302259524</v>
      </c>
      <c r="J56" s="52">
        <f t="shared" si="4"/>
        <v>1457337.0550114114</v>
      </c>
      <c r="K56" s="51">
        <f t="shared" si="14"/>
        <v>0</v>
      </c>
      <c r="L56" s="49">
        <f t="shared" si="10"/>
        <v>123164.71306476029</v>
      </c>
      <c r="M56" s="49">
        <f t="shared" si="27"/>
        <v>-150427.40051973079</v>
      </c>
      <c r="N56" s="49">
        <f t="shared" si="26"/>
        <v>0</v>
      </c>
      <c r="O56" s="48">
        <f t="shared" si="5"/>
        <v>1453975.2049692464</v>
      </c>
      <c r="P56" s="38">
        <f t="shared" si="1"/>
        <v>1453975.2049692464</v>
      </c>
      <c r="Q56" s="53"/>
      <c r="R56" s="53">
        <f t="shared" si="11"/>
        <v>0</v>
      </c>
      <c r="S56" s="53">
        <f t="shared" si="12"/>
        <v>0</v>
      </c>
      <c r="T56" s="53">
        <f t="shared" si="13"/>
        <v>0.05</v>
      </c>
      <c r="U56" s="53">
        <f t="shared" si="17"/>
        <v>4.2653187775606449E-3</v>
      </c>
    </row>
    <row r="57" spans="1:21" x14ac:dyDescent="0.2">
      <c r="A57" s="62">
        <f t="shared" si="2"/>
        <v>0.25721759315610987</v>
      </c>
      <c r="B57" s="45">
        <f t="shared" si="6"/>
        <v>43</v>
      </c>
      <c r="C57" s="51">
        <f t="shared" si="7"/>
        <v>27178926.701216027</v>
      </c>
      <c r="D57" s="47" cm="1">
        <f t="array" ref="D57">_xlfn.IFS(AND($C$7="Y",B57&lt;C$4),C57,AND($C$7="Y",B57=C$4),D56+F57-J57-K57-L57+N57,AND($C$7="Y",B57&gt;$C$4),D56-J57-K57-L57+N57, TRUE, D56-J57-K57-L57+N57)</f>
        <v>25721759.315610986</v>
      </c>
      <c r="E57" s="48">
        <f t="shared" si="8"/>
        <v>0</v>
      </c>
      <c r="F57" s="50">
        <f t="shared" si="9"/>
        <v>0</v>
      </c>
      <c r="G57" s="50">
        <f t="shared" si="18"/>
        <v>0</v>
      </c>
      <c r="H57" s="51">
        <f t="shared" si="19"/>
        <v>1570412.9135267753</v>
      </c>
      <c r="I57" s="52">
        <f t="shared" si="3"/>
        <v>113245.52792173345</v>
      </c>
      <c r="J57" s="52">
        <f t="shared" si="4"/>
        <v>1457167.3856050419</v>
      </c>
      <c r="K57" s="51">
        <f t="shared" si="14"/>
        <v>0</v>
      </c>
      <c r="L57" s="49">
        <f t="shared" si="10"/>
        <v>116423.3691954172</v>
      </c>
      <c r="M57" s="49">
        <f t="shared" si="27"/>
        <v>-143566.87697848759</v>
      </c>
      <c r="N57" s="49">
        <f t="shared" si="26"/>
        <v>0</v>
      </c>
      <c r="O57" s="48">
        <f t="shared" si="5"/>
        <v>1453989.544331358</v>
      </c>
      <c r="P57" s="38">
        <f t="shared" si="1"/>
        <v>1453989.544331358</v>
      </c>
      <c r="Q57" s="53"/>
      <c r="R57" s="53">
        <f t="shared" si="11"/>
        <v>0</v>
      </c>
      <c r="S57" s="53">
        <f t="shared" si="12"/>
        <v>0</v>
      </c>
      <c r="T57" s="53">
        <f t="shared" si="13"/>
        <v>0.05</v>
      </c>
      <c r="U57" s="53">
        <f t="shared" si="17"/>
        <v>4.2653187775606449E-3</v>
      </c>
    </row>
    <row r="58" spans="1:21" x14ac:dyDescent="0.2">
      <c r="A58" s="62">
        <f t="shared" si="2"/>
        <v>0.24155050076657911</v>
      </c>
      <c r="B58" s="45">
        <f t="shared" si="6"/>
        <v>44</v>
      </c>
      <c r="C58" s="51">
        <f t="shared" si="7"/>
        <v>25612047.812610216</v>
      </c>
      <c r="D58" s="47" cm="1">
        <f t="array" ref="D58">_xlfn.IFS(AND($C$7="Y",B58&lt;C$4),C58,AND($C$7="Y",B58=C$4),D57+F58-J58-K58-L58+N58,AND($C$7="Y",B58&gt;$C$4),D57-J58-K58-L58+N58, TRUE, D57-J58-K58-L58+N58)</f>
        <v>24155050.07665791</v>
      </c>
      <c r="E58" s="48">
        <f t="shared" si="8"/>
        <v>0</v>
      </c>
      <c r="F58" s="50">
        <f t="shared" si="9"/>
        <v>0</v>
      </c>
      <c r="G58" s="50">
        <f t="shared" si="18"/>
        <v>0</v>
      </c>
      <c r="H58" s="51">
        <f t="shared" si="19"/>
        <v>1563714.6018381836</v>
      </c>
      <c r="I58" s="52">
        <f t="shared" si="3"/>
        <v>106716.8658858759</v>
      </c>
      <c r="J58" s="52">
        <f t="shared" si="4"/>
        <v>1456997.7359523077</v>
      </c>
      <c r="K58" s="51">
        <f t="shared" si="14"/>
        <v>0</v>
      </c>
      <c r="L58" s="49">
        <f t="shared" si="10"/>
        <v>109711.50300077099</v>
      </c>
      <c r="M58" s="49">
        <f t="shared" si="27"/>
        <v>-136736.33978835403</v>
      </c>
      <c r="N58" s="49">
        <f t="shared" si="26"/>
        <v>0</v>
      </c>
      <c r="O58" s="48">
        <f t="shared" si="5"/>
        <v>1454003.0988374127</v>
      </c>
      <c r="P58" s="38">
        <f t="shared" si="1"/>
        <v>1454003.0988374127</v>
      </c>
      <c r="Q58" s="53"/>
      <c r="R58" s="53">
        <f t="shared" si="11"/>
        <v>0</v>
      </c>
      <c r="S58" s="53">
        <f t="shared" si="12"/>
        <v>0</v>
      </c>
      <c r="T58" s="53">
        <f t="shared" si="13"/>
        <v>0.05</v>
      </c>
      <c r="U58" s="53">
        <f t="shared" si="17"/>
        <v>4.2653187775606449E-3</v>
      </c>
    </row>
    <row r="59" spans="1:21" x14ac:dyDescent="0.2">
      <c r="A59" s="62">
        <f t="shared" si="2"/>
        <v>0.22595192981942111</v>
      </c>
      <c r="B59" s="45">
        <f t="shared" si="6"/>
        <v>45</v>
      </c>
      <c r="C59" s="51">
        <f t="shared" si="7"/>
        <v>24052021.087993022</v>
      </c>
      <c r="D59" s="47" cm="1">
        <f t="array" ref="D59">_xlfn.IFS(AND($C$7="Y",B59&lt;C$4),C59,AND($C$7="Y",B59=C$4),D58+F59-J59-K59-L59+N59,AND($C$7="Y",B59&gt;$C$4),D58-J59-K59-L59+N59, TRUE, D58-J59-K59-L59+N59)</f>
        <v>22595192.98194211</v>
      </c>
      <c r="E59" s="48">
        <f t="shared" si="8"/>
        <v>0</v>
      </c>
      <c r="F59" s="50">
        <f t="shared" si="9"/>
        <v>0</v>
      </c>
      <c r="G59" s="50">
        <f t="shared" si="18"/>
        <v>0</v>
      </c>
      <c r="H59" s="51">
        <f t="shared" si="19"/>
        <v>1557044.8605842181</v>
      </c>
      <c r="I59" s="52">
        <f t="shared" si="3"/>
        <v>100216.75453330427</v>
      </c>
      <c r="J59" s="52">
        <f t="shared" si="4"/>
        <v>1456828.1060509137</v>
      </c>
      <c r="K59" s="51">
        <f t="shared" si="14"/>
        <v>0</v>
      </c>
      <c r="L59" s="49">
        <f t="shared" si="10"/>
        <v>103028.98866488668</v>
      </c>
      <c r="M59" s="49">
        <f t="shared" si="27"/>
        <v>-129935.66096368889</v>
      </c>
      <c r="N59" s="49">
        <f t="shared" si="26"/>
        <v>0</v>
      </c>
      <c r="O59" s="48">
        <f t="shared" si="5"/>
        <v>1454015.8719193314</v>
      </c>
      <c r="P59" s="38">
        <f t="shared" si="1"/>
        <v>1454015.8719193314</v>
      </c>
      <c r="Q59" s="53"/>
      <c r="R59" s="53">
        <f t="shared" si="11"/>
        <v>0</v>
      </c>
      <c r="S59" s="53">
        <f t="shared" si="12"/>
        <v>0</v>
      </c>
      <c r="T59" s="53">
        <f t="shared" si="13"/>
        <v>0.05</v>
      </c>
      <c r="U59" s="53">
        <f t="shared" si="17"/>
        <v>4.2653187775606449E-3</v>
      </c>
    </row>
    <row r="60" spans="1:21" x14ac:dyDescent="0.2">
      <c r="A60" s="62">
        <f t="shared" si="2"/>
        <v>0.21042158785135068</v>
      </c>
      <c r="B60" s="45">
        <f t="shared" si="6"/>
        <v>46</v>
      </c>
      <c r="C60" s="51">
        <f t="shared" si="7"/>
        <v>22498817.281033624</v>
      </c>
      <c r="D60" s="47" cm="1">
        <f t="array" ref="D60">_xlfn.IFS(AND($C$7="Y",B60&lt;C$4),C60,AND($C$7="Y",B60=C$4),D59+F60-J60-K60-L60+N60,AND($C$7="Y",B60&gt;$C$4),D59-J60-K60-L60+N60, TRUE, D59-J60-K60-L60+N60)</f>
        <v>21042158.785135068</v>
      </c>
      <c r="E60" s="48">
        <f t="shared" si="8"/>
        <v>0</v>
      </c>
      <c r="F60" s="50">
        <f t="shared" si="9"/>
        <v>0</v>
      </c>
      <c r="G60" s="50">
        <f t="shared" si="18"/>
        <v>0</v>
      </c>
      <c r="H60" s="51">
        <f t="shared" si="19"/>
        <v>1550403.5679028628</v>
      </c>
      <c r="I60" s="52">
        <f t="shared" si="3"/>
        <v>93745.07200430677</v>
      </c>
      <c r="J60" s="52">
        <f t="shared" si="4"/>
        <v>1456658.495898556</v>
      </c>
      <c r="K60" s="51">
        <f t="shared" si="14"/>
        <v>0</v>
      </c>
      <c r="L60" s="49">
        <f t="shared" si="10"/>
        <v>96375.700908484185</v>
      </c>
      <c r="M60" s="49">
        <f t="shared" si="27"/>
        <v>-123164.71306476029</v>
      </c>
      <c r="N60" s="49">
        <f t="shared" si="26"/>
        <v>0</v>
      </c>
      <c r="O60" s="48">
        <f t="shared" si="5"/>
        <v>1454027.8669943786</v>
      </c>
      <c r="P60" s="38">
        <f t="shared" si="1"/>
        <v>1454027.8669943786</v>
      </c>
      <c r="Q60" s="53"/>
      <c r="R60" s="53">
        <f t="shared" si="11"/>
        <v>0</v>
      </c>
      <c r="S60" s="53">
        <f t="shared" si="12"/>
        <v>0</v>
      </c>
      <c r="T60" s="53">
        <f t="shared" si="13"/>
        <v>0.05</v>
      </c>
      <c r="U60" s="53">
        <f t="shared" si="17"/>
        <v>4.2653187775606449E-3</v>
      </c>
    </row>
    <row r="61" spans="1:21" x14ac:dyDescent="0.2">
      <c r="A61" s="62">
        <f t="shared" si="2"/>
        <v>0.19495918364655479</v>
      </c>
      <c r="B61" s="45">
        <f t="shared" si="6"/>
        <v>47</v>
      </c>
      <c r="C61" s="51">
        <f t="shared" si="7"/>
        <v>20952407.270148419</v>
      </c>
      <c r="D61" s="47" cm="1">
        <f t="array" ref="D61">_xlfn.IFS(AND($C$7="Y",B61&lt;C$4),C61,AND($C$7="Y",B61=C$4),D60+F61-J61-K61-L61+N61,AND($C$7="Y",B61&gt;$C$4),D60-J61-K61-L61+N61, TRUE, D60-J61-K61-L61+N61)</f>
        <v>19495918.36465548</v>
      </c>
      <c r="E61" s="48">
        <f t="shared" si="8"/>
        <v>0</v>
      </c>
      <c r="F61" s="50">
        <f t="shared" si="9"/>
        <v>0</v>
      </c>
      <c r="G61" s="50">
        <f t="shared" si="18"/>
        <v>0</v>
      </c>
      <c r="H61" s="51">
        <f t="shared" si="19"/>
        <v>1543790.6024518888</v>
      </c>
      <c r="I61" s="52">
        <f t="shared" si="3"/>
        <v>87301.696958951754</v>
      </c>
      <c r="J61" s="52">
        <f t="shared" si="4"/>
        <v>1456488.9054929372</v>
      </c>
      <c r="K61" s="51">
        <f t="shared" si="14"/>
        <v>0</v>
      </c>
      <c r="L61" s="49">
        <f t="shared" si="10"/>
        <v>89751.514986649287</v>
      </c>
      <c r="M61" s="49">
        <f t="shared" si="27"/>
        <v>-116423.3691954172</v>
      </c>
      <c r="N61" s="49">
        <f t="shared" si="26"/>
        <v>0</v>
      </c>
      <c r="O61" s="48">
        <f t="shared" si="5"/>
        <v>1454039.0874652395</v>
      </c>
      <c r="P61" s="38">
        <f t="shared" si="1"/>
        <v>1454039.0874652395</v>
      </c>
      <c r="Q61" s="53"/>
      <c r="R61" s="53">
        <f t="shared" si="11"/>
        <v>0</v>
      </c>
      <c r="S61" s="53">
        <f t="shared" si="12"/>
        <v>0</v>
      </c>
      <c r="T61" s="53">
        <f t="shared" si="13"/>
        <v>0.05</v>
      </c>
      <c r="U61" s="53">
        <f t="shared" si="17"/>
        <v>4.2653187775606449E-3</v>
      </c>
    </row>
    <row r="62" spans="1:21" x14ac:dyDescent="0.2">
      <c r="A62" s="62">
        <f t="shared" si="2"/>
        <v>0.17956442723137167</v>
      </c>
      <c r="B62" s="45">
        <f t="shared" si="6"/>
        <v>48</v>
      </c>
      <c r="C62" s="51">
        <f t="shared" si="7"/>
        <v>19412762.057968926</v>
      </c>
      <c r="D62" s="47" cm="1">
        <f t="array" ref="D62">_xlfn.IFS(AND($C$7="Y",B62&lt;C$4),C62,AND($C$7="Y",B62=C$4),D61+F62-J62-K62-L62+N62,AND($C$7="Y",B62&gt;$C$4),D61-J62-K62-L62+N62, TRUE, D61-J62-K62-L62+N62)</f>
        <v>17956442.723137166</v>
      </c>
      <c r="E62" s="48">
        <f t="shared" si="8"/>
        <v>0</v>
      </c>
      <c r="F62" s="50">
        <f t="shared" si="9"/>
        <v>0</v>
      </c>
      <c r="G62" s="50">
        <f t="shared" si="18"/>
        <v>0</v>
      </c>
      <c r="H62" s="51">
        <f t="shared" si="19"/>
        <v>1537205.8434066304</v>
      </c>
      <c r="I62" s="52">
        <f t="shared" si="3"/>
        <v>80886.508574870531</v>
      </c>
      <c r="J62" s="52">
        <f t="shared" si="4"/>
        <v>1456319.3348317598</v>
      </c>
      <c r="K62" s="51">
        <f t="shared" si="14"/>
        <v>0</v>
      </c>
      <c r="L62" s="49">
        <f t="shared" si="10"/>
        <v>83156.306686554439</v>
      </c>
      <c r="M62" s="49">
        <f t="shared" si="27"/>
        <v>-109711.50300077099</v>
      </c>
      <c r="N62" s="49">
        <f t="shared" si="26"/>
        <v>0</v>
      </c>
      <c r="O62" s="48">
        <f t="shared" si="5"/>
        <v>1454049.5367200759</v>
      </c>
      <c r="P62" s="38">
        <f t="shared" si="1"/>
        <v>1454049.5367200759</v>
      </c>
      <c r="Q62" s="53"/>
      <c r="R62" s="53">
        <f t="shared" si="11"/>
        <v>0</v>
      </c>
      <c r="S62" s="53">
        <f t="shared" si="12"/>
        <v>0</v>
      </c>
      <c r="T62" s="53">
        <f t="shared" si="13"/>
        <v>0.05</v>
      </c>
      <c r="U62" s="53">
        <f t="shared" si="17"/>
        <v>4.2653187775606449E-3</v>
      </c>
    </row>
    <row r="63" spans="1:21" x14ac:dyDescent="0.2">
      <c r="A63" s="62">
        <f t="shared" si="2"/>
        <v>0.16423702986899255</v>
      </c>
      <c r="B63" s="45">
        <f t="shared" si="6"/>
        <v>49</v>
      </c>
      <c r="C63" s="51">
        <f t="shared" si="7"/>
        <v>17879852.770811979</v>
      </c>
      <c r="D63" s="47" cm="1">
        <f t="array" ref="D63">_xlfn.IFS(AND($C$7="Y",B63&lt;C$4),C63,AND($C$7="Y",B63=C$4),D62+F63-J63-K63-L63+N63,AND($C$7="Y",B63&gt;$C$4),D62-J63-K63-L63+N63, TRUE, D62-J63-K63-L63+N63)</f>
        <v>16423702.986899255</v>
      </c>
      <c r="E63" s="48">
        <f t="shared" si="8"/>
        <v>0</v>
      </c>
      <c r="F63" s="50">
        <f t="shared" si="9"/>
        <v>0</v>
      </c>
      <c r="G63" s="50">
        <f t="shared" si="18"/>
        <v>0</v>
      </c>
      <c r="H63" s="51">
        <f t="shared" si="19"/>
        <v>1530649.1704577715</v>
      </c>
      <c r="I63" s="52">
        <f t="shared" si="3"/>
        <v>74499.386545049914</v>
      </c>
      <c r="J63" s="52">
        <f t="shared" si="4"/>
        <v>1456149.7839127216</v>
      </c>
      <c r="K63" s="51">
        <f t="shared" si="14"/>
        <v>0</v>
      </c>
      <c r="L63" s="49">
        <f t="shared" si="10"/>
        <v>76589.952325189151</v>
      </c>
      <c r="M63" s="49">
        <f t="shared" si="27"/>
        <v>-103028.98866488668</v>
      </c>
      <c r="N63" s="49">
        <f t="shared" si="26"/>
        <v>0</v>
      </c>
      <c r="O63" s="48">
        <f t="shared" si="5"/>
        <v>1454059.2181325823</v>
      </c>
      <c r="P63" s="38">
        <f t="shared" si="1"/>
        <v>1454059.2181325823</v>
      </c>
      <c r="Q63" s="53"/>
      <c r="R63" s="53">
        <f t="shared" si="11"/>
        <v>0</v>
      </c>
      <c r="S63" s="53">
        <f t="shared" si="12"/>
        <v>0</v>
      </c>
      <c r="T63" s="53">
        <f t="shared" si="13"/>
        <v>0.05</v>
      </c>
      <c r="U63" s="53">
        <f t="shared" si="17"/>
        <v>4.2653187775606449E-3</v>
      </c>
    </row>
    <row r="64" spans="1:21" x14ac:dyDescent="0.2">
      <c r="A64" s="62">
        <f t="shared" si="2"/>
        <v>0.14897670405418631</v>
      </c>
      <c r="B64" s="45">
        <f t="shared" si="6"/>
        <v>50</v>
      </c>
      <c r="C64" s="51">
        <f t="shared" si="7"/>
        <v>16353650.658152154</v>
      </c>
      <c r="D64" s="47" cm="1">
        <f t="array" ref="D64">_xlfn.IFS(AND($C$7="Y",B64&lt;C$4),C64,AND($C$7="Y",B64=C$4),D63+F64-J64-K64-L64+N64,AND($C$7="Y",B64&gt;$C$4),D63-J64-K64-L64+N64, TRUE, D63-J64-K64-L64+N64)</f>
        <v>14897670.405418631</v>
      </c>
      <c r="E64" s="48">
        <f t="shared" si="8"/>
        <v>0</v>
      </c>
      <c r="F64" s="50">
        <f t="shared" si="9"/>
        <v>0</v>
      </c>
      <c r="G64" s="50">
        <f t="shared" si="18"/>
        <v>0</v>
      </c>
      <c r="H64" s="51">
        <f t="shared" si="19"/>
        <v>1524120.463809157</v>
      </c>
      <c r="I64" s="52">
        <f t="shared" si="3"/>
        <v>68140.211075633983</v>
      </c>
      <c r="J64" s="52">
        <f t="shared" si="4"/>
        <v>1455980.252733523</v>
      </c>
      <c r="K64" s="51">
        <f t="shared" si="14"/>
        <v>0</v>
      </c>
      <c r="L64" s="49">
        <f t="shared" si="10"/>
        <v>70052.32874710024</v>
      </c>
      <c r="M64" s="49">
        <f t="shared" si="27"/>
        <v>-96375.700908484185</v>
      </c>
      <c r="N64" s="49">
        <f t="shared" si="26"/>
        <v>0</v>
      </c>
      <c r="O64" s="48">
        <f t="shared" si="5"/>
        <v>1454068.1350620568</v>
      </c>
      <c r="P64" s="38">
        <f t="shared" si="1"/>
        <v>1454068.1350620568</v>
      </c>
      <c r="Q64" s="53"/>
      <c r="R64" s="53">
        <f t="shared" si="11"/>
        <v>0</v>
      </c>
      <c r="S64" s="53">
        <f t="shared" si="12"/>
        <v>0</v>
      </c>
      <c r="T64" s="53">
        <f t="shared" si="13"/>
        <v>0.05</v>
      </c>
      <c r="U64" s="53">
        <f t="shared" si="17"/>
        <v>4.2653187775606449E-3</v>
      </c>
    </row>
    <row r="65" spans="1:21" x14ac:dyDescent="0.2">
      <c r="A65" s="62">
        <f t="shared" si="2"/>
        <v>0.13378316350804617</v>
      </c>
      <c r="B65" s="45">
        <f t="shared" si="6"/>
        <v>51</v>
      </c>
      <c r="C65" s="51">
        <f t="shared" si="7"/>
        <v>14834127.092096489</v>
      </c>
      <c r="D65" s="47" cm="1">
        <f t="array" ref="D65">_xlfn.IFS(AND($C$7="Y",B65&lt;C$4),C65,AND($C$7="Y",B65=C$4),D64+F65-J65-K65-L65+N65,AND($C$7="Y",B65&gt;$C$4),D64-J65-K65-L65+N65, TRUE, D64-J65-K65-L65+N65)</f>
        <v>13378316.350804616</v>
      </c>
      <c r="E65" s="48">
        <f t="shared" si="8"/>
        <v>0</v>
      </c>
      <c r="F65" s="50">
        <f t="shared" si="9"/>
        <v>0</v>
      </c>
      <c r="G65" s="50">
        <f t="shared" si="18"/>
        <v>0</v>
      </c>
      <c r="H65" s="51">
        <f t="shared" si="19"/>
        <v>1517619.6041756079</v>
      </c>
      <c r="I65" s="52">
        <f t="shared" si="3"/>
        <v>61808.862883735368</v>
      </c>
      <c r="J65" s="52">
        <f t="shared" si="4"/>
        <v>1455810.7412918725</v>
      </c>
      <c r="K65" s="51">
        <f t="shared" si="14"/>
        <v>0</v>
      </c>
      <c r="L65" s="49">
        <f t="shared" si="10"/>
        <v>63543.313322141592</v>
      </c>
      <c r="M65" s="49">
        <f t="shared" si="27"/>
        <v>-89751.514986649287</v>
      </c>
      <c r="N65" s="49">
        <f t="shared" si="26"/>
        <v>0</v>
      </c>
      <c r="O65" s="48">
        <f t="shared" si="5"/>
        <v>1454076.2908534664</v>
      </c>
      <c r="P65" s="38">
        <f t="shared" si="1"/>
        <v>1454076.2908534664</v>
      </c>
      <c r="Q65" s="53"/>
      <c r="R65" s="53">
        <f t="shared" si="11"/>
        <v>0</v>
      </c>
      <c r="S65" s="53">
        <f t="shared" si="12"/>
        <v>0</v>
      </c>
      <c r="T65" s="53">
        <f t="shared" si="13"/>
        <v>0.05</v>
      </c>
      <c r="U65" s="53">
        <f t="shared" si="17"/>
        <v>4.2653187775606449E-3</v>
      </c>
    </row>
    <row r="66" spans="1:21" x14ac:dyDescent="0.2">
      <c r="A66" s="62">
        <f t="shared" si="2"/>
        <v>0.11865612317275918</v>
      </c>
      <c r="B66" s="45">
        <f t="shared" si="6"/>
        <v>52</v>
      </c>
      <c r="C66" s="51">
        <f t="shared" si="7"/>
        <v>13321253.566861382</v>
      </c>
      <c r="D66" s="47" cm="1">
        <f t="array" ref="D66">_xlfn.IFS(AND($C$7="Y",B66&lt;C$4),C66,AND($C$7="Y",B66=C$4),D65+F66-J66-K66-L66+N66,AND($C$7="Y",B66&gt;$C$4),D65-J66-K66-L66+N66, TRUE, D65-J66-K66-L66+N66)</f>
        <v>11865612.317275919</v>
      </c>
      <c r="E66" s="48">
        <f t="shared" si="8"/>
        <v>0</v>
      </c>
      <c r="F66" s="50">
        <f t="shared" si="9"/>
        <v>0</v>
      </c>
      <c r="G66" s="50">
        <f t="shared" si="18"/>
        <v>0</v>
      </c>
      <c r="H66" s="51">
        <f t="shared" si="19"/>
        <v>1511146.4727807189</v>
      </c>
      <c r="I66" s="52">
        <f t="shared" si="3"/>
        <v>55505.223195255763</v>
      </c>
      <c r="J66" s="52">
        <f t="shared" si="4"/>
        <v>1455641.2495854632</v>
      </c>
      <c r="K66" s="51">
        <f t="shared" si="14"/>
        <v>0</v>
      </c>
      <c r="L66" s="49">
        <f t="shared" si="10"/>
        <v>57062.783943233531</v>
      </c>
      <c r="M66" s="49">
        <f t="shared" si="27"/>
        <v>-83156.306686554439</v>
      </c>
      <c r="N66" s="49">
        <f t="shared" si="26"/>
        <v>0</v>
      </c>
      <c r="O66" s="48">
        <f t="shared" si="5"/>
        <v>1454083.6888374854</v>
      </c>
      <c r="P66" s="38">
        <f t="shared" si="1"/>
        <v>1454083.6888374854</v>
      </c>
      <c r="Q66" s="53"/>
      <c r="R66" s="53">
        <f t="shared" si="11"/>
        <v>0</v>
      </c>
      <c r="S66" s="53">
        <f t="shared" si="12"/>
        <v>0</v>
      </c>
      <c r="T66" s="53">
        <f t="shared" si="13"/>
        <v>0.05</v>
      </c>
      <c r="U66" s="53">
        <f t="shared" si="17"/>
        <v>4.2653187775606449E-3</v>
      </c>
    </row>
    <row r="67" spans="1:21" x14ac:dyDescent="0.2">
      <c r="A67" s="62">
        <f t="shared" si="2"/>
        <v>0.10359529920639779</v>
      </c>
      <c r="B67" s="45">
        <f t="shared" si="6"/>
        <v>53</v>
      </c>
      <c r="C67" s="51">
        <f t="shared" si="7"/>
        <v>11815001.698251788</v>
      </c>
      <c r="D67" s="47" cm="1">
        <f t="array" ref="D67">_xlfn.IFS(AND($C$7="Y",B67&lt;C$4),C67,AND($C$7="Y",B67=C$4),D66+F67-J67-K67-L67+N67,AND($C$7="Y",B67&gt;$C$4),D66-J67-K67-L67+N67, TRUE, D66-J67-K67-L67+N67)</f>
        <v>10359529.920639779</v>
      </c>
      <c r="E67" s="48">
        <f t="shared" si="8"/>
        <v>0</v>
      </c>
      <c r="F67" s="50">
        <f t="shared" si="9"/>
        <v>0</v>
      </c>
      <c r="G67" s="50">
        <f t="shared" si="18"/>
        <v>0</v>
      </c>
      <c r="H67" s="51">
        <f t="shared" si="19"/>
        <v>1504700.9513547244</v>
      </c>
      <c r="I67" s="52">
        <f t="shared" si="3"/>
        <v>49229.173742715786</v>
      </c>
      <c r="J67" s="52">
        <f t="shared" si="4"/>
        <v>1455471.7776120086</v>
      </c>
      <c r="K67" s="51">
        <f t="shared" si="14"/>
        <v>0</v>
      </c>
      <c r="L67" s="49">
        <f t="shared" si="10"/>
        <v>50610.619024131855</v>
      </c>
      <c r="M67" s="49">
        <f t="shared" si="27"/>
        <v>-76589.952325189151</v>
      </c>
      <c r="N67" s="49">
        <f t="shared" si="26"/>
        <v>0</v>
      </c>
      <c r="O67" s="48">
        <f t="shared" si="5"/>
        <v>1454090.3323305924</v>
      </c>
      <c r="P67" s="38">
        <f t="shared" si="1"/>
        <v>1454090.3323305924</v>
      </c>
      <c r="Q67" s="53"/>
      <c r="R67" s="53">
        <f t="shared" si="11"/>
        <v>0</v>
      </c>
      <c r="S67" s="53">
        <f t="shared" si="12"/>
        <v>0</v>
      </c>
      <c r="T67" s="53">
        <f t="shared" si="13"/>
        <v>0.05</v>
      </c>
      <c r="U67" s="53">
        <f t="shared" si="17"/>
        <v>4.2653187775606449E-3</v>
      </c>
    </row>
    <row r="68" spans="1:21" x14ac:dyDescent="0.2">
      <c r="A68" s="62">
        <f t="shared" si="2"/>
        <v>8.8600408977733719E-2</v>
      </c>
      <c r="B68" s="45">
        <f t="shared" si="6"/>
        <v>54</v>
      </c>
      <c r="C68" s="51">
        <f t="shared" si="7"/>
        <v>10315343.223142574</v>
      </c>
      <c r="D68" s="47" cm="1">
        <f t="array" ref="D68">_xlfn.IFS(AND($C$7="Y",B68&lt;C$4),C68,AND($C$7="Y",B68=C$4),D67+F68-J68-K68-L68+N68,AND($C$7="Y",B68&gt;$C$4),D67-J68-K68-L68+N68, TRUE, D67-J68-K68-L68+N68)</f>
        <v>8860040.897773372</v>
      </c>
      <c r="E68" s="48">
        <f t="shared" si="8"/>
        <v>0</v>
      </c>
      <c r="F68" s="50">
        <f t="shared" si="9"/>
        <v>0</v>
      </c>
      <c r="G68" s="50">
        <f t="shared" si="18"/>
        <v>0</v>
      </c>
      <c r="H68" s="51">
        <f t="shared" si="19"/>
        <v>1498282.9221322949</v>
      </c>
      <c r="I68" s="52">
        <f t="shared" si="3"/>
        <v>42980.596763094058</v>
      </c>
      <c r="J68" s="52">
        <f t="shared" si="4"/>
        <v>1455302.3253692009</v>
      </c>
      <c r="K68" s="51">
        <f t="shared" si="14"/>
        <v>0</v>
      </c>
      <c r="L68" s="49">
        <f t="shared" si="10"/>
        <v>44186.697497206187</v>
      </c>
      <c r="M68" s="49">
        <f t="shared" si="27"/>
        <v>-70052.32874710024</v>
      </c>
      <c r="N68" s="49">
        <f t="shared" si="26"/>
        <v>0</v>
      </c>
      <c r="O68" s="48">
        <f t="shared" si="5"/>
        <v>1454096.2246350886</v>
      </c>
      <c r="P68" s="38">
        <f t="shared" si="1"/>
        <v>1454096.2246350886</v>
      </c>
      <c r="Q68" s="53"/>
      <c r="R68" s="53">
        <f t="shared" si="11"/>
        <v>0</v>
      </c>
      <c r="S68" s="53">
        <f t="shared" si="12"/>
        <v>0</v>
      </c>
      <c r="T68" s="53">
        <f t="shared" si="13"/>
        <v>0.05</v>
      </c>
      <c r="U68" s="53">
        <f t="shared" si="17"/>
        <v>4.2653187775606449E-3</v>
      </c>
    </row>
    <row r="69" spans="1:21" x14ac:dyDescent="0.2">
      <c r="A69" s="62">
        <f t="shared" si="2"/>
        <v>7.3671171061073945E-2</v>
      </c>
      <c r="B69" s="45">
        <f t="shared" si="6"/>
        <v>55</v>
      </c>
      <c r="C69" s="51">
        <f t="shared" si="7"/>
        <v>8822249.9989621434</v>
      </c>
      <c r="D69" s="47" cm="1">
        <f t="array" ref="D69">_xlfn.IFS(AND($C$7="Y",B69&lt;C$4),C69,AND($C$7="Y",B69=C$4),D68+F69-J69-K69-L69+N69,AND($C$7="Y",B69&gt;$C$4),D68-J69-K69-L69+N69, TRUE, D68-J69-K69-L69+N69)</f>
        <v>7367117.1061073951</v>
      </c>
      <c r="E69" s="48">
        <f t="shared" si="8"/>
        <v>0</v>
      </c>
      <c r="F69" s="50">
        <f t="shared" si="9"/>
        <v>0</v>
      </c>
      <c r="G69" s="50">
        <f t="shared" si="18"/>
        <v>0</v>
      </c>
      <c r="H69" s="51">
        <f t="shared" si="19"/>
        <v>1491892.2678504251</v>
      </c>
      <c r="I69" s="52">
        <f t="shared" si="3"/>
        <v>36759.3749956756</v>
      </c>
      <c r="J69" s="52">
        <f t="shared" si="4"/>
        <v>1455132.8928547495</v>
      </c>
      <c r="K69" s="51">
        <f t="shared" si="14"/>
        <v>0</v>
      </c>
      <c r="L69" s="49">
        <f t="shared" si="10"/>
        <v>37790.898811228035</v>
      </c>
      <c r="M69" s="49">
        <f t="shared" si="27"/>
        <v>-63543.313322141592</v>
      </c>
      <c r="N69" s="49">
        <f t="shared" si="26"/>
        <v>0</v>
      </c>
      <c r="O69" s="48">
        <f t="shared" si="5"/>
        <v>1454101.369039197</v>
      </c>
      <c r="P69" s="38">
        <f t="shared" si="1"/>
        <v>1454101.369039197</v>
      </c>
      <c r="Q69" s="53"/>
      <c r="R69" s="53">
        <f t="shared" si="11"/>
        <v>0</v>
      </c>
      <c r="S69" s="53">
        <f t="shared" si="12"/>
        <v>0</v>
      </c>
      <c r="T69" s="53">
        <f t="shared" si="13"/>
        <v>0.05</v>
      </c>
      <c r="U69" s="53">
        <f t="shared" si="17"/>
        <v>4.2653187775606449E-3</v>
      </c>
    </row>
    <row r="70" spans="1:21" x14ac:dyDescent="0.2">
      <c r="A70" s="62">
        <f t="shared" si="2"/>
        <v>5.8807305231118726E-2</v>
      </c>
      <c r="B70" s="45">
        <f t="shared" si="6"/>
        <v>56</v>
      </c>
      <c r="C70" s="51">
        <f t="shared" si="7"/>
        <v>7335694.0031782268</v>
      </c>
      <c r="D70" s="47" cm="1">
        <f t="array" ref="D70">_xlfn.IFS(AND($C$7="Y",B70&lt;C$4),C70,AND($C$7="Y",B70=C$4),D69+F70-J70-K70-L70+N70,AND($C$7="Y",B70&gt;$C$4),D69-J70-K70-L70+N70, TRUE, D69-J70-K70-L70+N70)</f>
        <v>5880730.5231118724</v>
      </c>
      <c r="E70" s="48">
        <f t="shared" si="8"/>
        <v>0</v>
      </c>
      <c r="F70" s="50">
        <f t="shared" si="9"/>
        <v>0</v>
      </c>
      <c r="G70" s="50">
        <f t="shared" si="18"/>
        <v>0</v>
      </c>
      <c r="H70" s="51">
        <f t="shared" si="19"/>
        <v>1485528.8717462635</v>
      </c>
      <c r="I70" s="52">
        <f t="shared" si="3"/>
        <v>30565.39167990928</v>
      </c>
      <c r="J70" s="52">
        <f t="shared" si="4"/>
        <v>1454963.4800663542</v>
      </c>
      <c r="K70" s="51">
        <f t="shared" si="14"/>
        <v>0</v>
      </c>
      <c r="L70" s="49">
        <f t="shared" si="10"/>
        <v>31423.102929168112</v>
      </c>
      <c r="M70" s="49">
        <f t="shared" si="27"/>
        <v>-57062.783943233531</v>
      </c>
      <c r="N70" s="49">
        <f t="shared" si="26"/>
        <v>0</v>
      </c>
      <c r="O70" s="48">
        <f t="shared" si="5"/>
        <v>1454105.7688170953</v>
      </c>
      <c r="P70" s="38">
        <f t="shared" si="1"/>
        <v>1454105.7688170953</v>
      </c>
      <c r="Q70" s="53"/>
      <c r="R70" s="53">
        <f t="shared" si="11"/>
        <v>0</v>
      </c>
      <c r="S70" s="53">
        <f t="shared" si="12"/>
        <v>0</v>
      </c>
      <c r="T70" s="53">
        <f t="shared" si="13"/>
        <v>0.05</v>
      </c>
      <c r="U70" s="53">
        <f t="shared" si="17"/>
        <v>4.2653187775606449E-3</v>
      </c>
    </row>
    <row r="71" spans="1:21" x14ac:dyDescent="0.2">
      <c r="A71" s="62">
        <f t="shared" si="2"/>
        <v>4.4008532457841511E-2</v>
      </c>
      <c r="B71" s="45">
        <f t="shared" si="6"/>
        <v>57</v>
      </c>
      <c r="C71" s="51">
        <f t="shared" si="7"/>
        <v>5855647.332785869</v>
      </c>
      <c r="D71" s="47" cm="1">
        <f t="array" ref="D71">_xlfn.IFS(AND($C$7="Y",B71&lt;C$4),C71,AND($C$7="Y",B71=C$4),D70+F71-J71-K71-L71+N71,AND($C$7="Y",B71&gt;$C$4),D70-J71-K71-L71+N71, TRUE, D70-J71-K71-L71+N71)</f>
        <v>4400853.2457841514</v>
      </c>
      <c r="E71" s="48">
        <f t="shared" si="8"/>
        <v>0</v>
      </c>
      <c r="F71" s="50">
        <f t="shared" si="9"/>
        <v>0</v>
      </c>
      <c r="G71" s="50">
        <f t="shared" si="18"/>
        <v>0</v>
      </c>
      <c r="H71" s="51">
        <f t="shared" si="19"/>
        <v>1479192.617554992</v>
      </c>
      <c r="I71" s="52">
        <f t="shared" si="3"/>
        <v>24398.530553274453</v>
      </c>
      <c r="J71" s="52">
        <f t="shared" si="4"/>
        <v>1454794.0870017174</v>
      </c>
      <c r="K71" s="51">
        <f t="shared" si="14"/>
        <v>0</v>
      </c>
      <c r="L71" s="49">
        <f t="shared" si="10"/>
        <v>25083.190326003103</v>
      </c>
      <c r="M71" s="49">
        <f t="shared" si="27"/>
        <v>-50610.619024131855</v>
      </c>
      <c r="N71" s="49">
        <f t="shared" si="26"/>
        <v>0</v>
      </c>
      <c r="O71" s="48">
        <f t="shared" si="5"/>
        <v>1454109.4272289888</v>
      </c>
      <c r="P71" s="38">
        <f t="shared" si="1"/>
        <v>1454109.4272289888</v>
      </c>
      <c r="Q71" s="53"/>
      <c r="R71" s="53">
        <f t="shared" si="11"/>
        <v>0</v>
      </c>
      <c r="S71" s="53">
        <f t="shared" si="12"/>
        <v>0</v>
      </c>
      <c r="T71" s="53">
        <f t="shared" si="13"/>
        <v>0.05</v>
      </c>
      <c r="U71" s="53">
        <f t="shared" si="17"/>
        <v>4.2653187775606449E-3</v>
      </c>
    </row>
    <row r="72" spans="1:21" x14ac:dyDescent="0.2">
      <c r="A72" s="62">
        <f t="shared" si="2"/>
        <v>2.9274574901390737E-2</v>
      </c>
      <c r="B72" s="45">
        <f t="shared" si="6"/>
        <v>58</v>
      </c>
      <c r="C72" s="51">
        <f t="shared" si="7"/>
        <v>4382082.2037976198</v>
      </c>
      <c r="D72" s="47" cm="1">
        <f t="array" ref="D72">_xlfn.IFS(AND($C$7="Y",B72&lt;C$4),C72,AND($C$7="Y",B72=C$4),D71+F72-J72-K72-L72+N72,AND($C$7="Y",B72&gt;$C$4),D71-J72-K72-L72+N72, TRUE, D71-J72-K72-L72+N72)</f>
        <v>2927457.4901390737</v>
      </c>
      <c r="E72" s="48">
        <f t="shared" si="8"/>
        <v>0</v>
      </c>
      <c r="F72" s="50">
        <f t="shared" si="9"/>
        <v>0</v>
      </c>
      <c r="G72" s="50">
        <f t="shared" si="18"/>
        <v>0</v>
      </c>
      <c r="H72" s="51">
        <f t="shared" si="19"/>
        <v>1472883.3895077023</v>
      </c>
      <c r="I72" s="52">
        <f t="shared" si="3"/>
        <v>18258.675849156749</v>
      </c>
      <c r="J72" s="52">
        <f t="shared" si="4"/>
        <v>1454624.7136585456</v>
      </c>
      <c r="K72" s="51">
        <f t="shared" si="14"/>
        <v>0</v>
      </c>
      <c r="L72" s="49">
        <f t="shared" si="10"/>
        <v>18771.041986531854</v>
      </c>
      <c r="M72" s="49">
        <f t="shared" si="27"/>
        <v>-44186.697497206187</v>
      </c>
      <c r="N72" s="49">
        <f t="shared" si="26"/>
        <v>0</v>
      </c>
      <c r="O72" s="48">
        <f t="shared" si="5"/>
        <v>1454112.3475211705</v>
      </c>
      <c r="P72" s="38">
        <f t="shared" si="1"/>
        <v>1454112.3475211705</v>
      </c>
      <c r="Q72" s="53"/>
      <c r="R72" s="53">
        <f t="shared" si="11"/>
        <v>0</v>
      </c>
      <c r="S72" s="53">
        <f t="shared" si="12"/>
        <v>0</v>
      </c>
      <c r="T72" s="53">
        <f t="shared" si="13"/>
        <v>0.05</v>
      </c>
      <c r="U72" s="53">
        <f t="shared" si="17"/>
        <v>4.2653187775606449E-3</v>
      </c>
    </row>
    <row r="73" spans="1:21" x14ac:dyDescent="0.2">
      <c r="A73" s="62">
        <f t="shared" si="2"/>
        <v>1.460515590701336E-2</v>
      </c>
      <c r="B73" s="45">
        <f t="shared" si="6"/>
        <v>59</v>
      </c>
      <c r="C73" s="51">
        <f t="shared" si="7"/>
        <v>2914970.9507358731</v>
      </c>
      <c r="D73" s="47" cm="1">
        <f t="array" ref="D73">_xlfn.IFS(AND($C$7="Y",B73&lt;C$4),C73,AND($C$7="Y",B73=C$4),D72+F73-J73-K73-L73+N73,AND($C$7="Y",B73&gt;$C$4),D72-J73-K73-L73+N73, TRUE, D72-J73-K73-L73+N73)</f>
        <v>1460515.590701336</v>
      </c>
      <c r="E73" s="48">
        <f t="shared" si="8"/>
        <v>0</v>
      </c>
      <c r="F73" s="50">
        <f t="shared" si="9"/>
        <v>0</v>
      </c>
      <c r="G73" s="50">
        <f t="shared" si="18"/>
        <v>0</v>
      </c>
      <c r="H73" s="51">
        <f t="shared" si="19"/>
        <v>1466601.0723292697</v>
      </c>
      <c r="I73" s="52">
        <f t="shared" si="3"/>
        <v>12145.712294732804</v>
      </c>
      <c r="J73" s="52">
        <f t="shared" si="4"/>
        <v>1454455.3600345368</v>
      </c>
      <c r="K73" s="51">
        <f t="shared" si="14"/>
        <v>0</v>
      </c>
      <c r="L73" s="49">
        <f t="shared" si="10"/>
        <v>12486.539403200748</v>
      </c>
      <c r="M73" s="49">
        <f t="shared" si="27"/>
        <v>-37790.898811228035</v>
      </c>
      <c r="N73" s="49">
        <f t="shared" si="26"/>
        <v>0</v>
      </c>
      <c r="O73" s="48">
        <f t="shared" si="5"/>
        <v>1454114.5329260689</v>
      </c>
      <c r="P73" s="38">
        <f t="shared" si="1"/>
        <v>1454114.5329260689</v>
      </c>
      <c r="Q73" s="53"/>
      <c r="R73" s="53">
        <f t="shared" si="11"/>
        <v>0</v>
      </c>
      <c r="S73" s="53">
        <f t="shared" si="12"/>
        <v>0</v>
      </c>
      <c r="T73" s="53">
        <f t="shared" si="13"/>
        <v>0.05</v>
      </c>
      <c r="U73" s="53">
        <f t="shared" si="17"/>
        <v>4.2653187775606449E-3</v>
      </c>
    </row>
    <row r="74" spans="1:21" x14ac:dyDescent="0.2">
      <c r="A74" s="62">
        <f t="shared" si="2"/>
        <v>-5.1159076974727212E-17</v>
      </c>
      <c r="B74" s="45">
        <f t="shared" si="6"/>
        <v>60</v>
      </c>
      <c r="C74" s="51">
        <f t="shared" si="7"/>
        <v>1454286.0261273975</v>
      </c>
      <c r="D74" s="47" cm="1">
        <f t="array" ref="D74">_xlfn.IFS(AND($C$7="Y",B74&lt;C$4),C74,AND($C$7="Y",B74=C$4),D73+F74-J74-K74-L74+N74,AND($C$7="Y",B74&gt;$C$4),D73-J74-K74-L74+N74, TRUE, D73-J74-K74-L74+N74)</f>
        <v>-5.1159076974727213E-9</v>
      </c>
      <c r="E74" s="48">
        <f t="shared" si="8"/>
        <v>0</v>
      </c>
      <c r="F74" s="50">
        <f t="shared" si="9"/>
        <v>0</v>
      </c>
      <c r="G74" s="50">
        <f t="shared" si="18"/>
        <v>0</v>
      </c>
      <c r="H74" s="51">
        <f t="shared" si="19"/>
        <v>1460345.5512362667</v>
      </c>
      <c r="I74" s="52">
        <f t="shared" si="3"/>
        <v>6059.5251088641562</v>
      </c>
      <c r="J74" s="52">
        <f t="shared" si="4"/>
        <v>1454286.0261274027</v>
      </c>
      <c r="K74" s="51">
        <f t="shared" si="14"/>
        <v>0</v>
      </c>
      <c r="L74" s="49">
        <f t="shared" si="10"/>
        <v>6229.5645739384863</v>
      </c>
      <c r="M74" s="49">
        <f t="shared" si="27"/>
        <v>-31423.102929168112</v>
      </c>
      <c r="N74" s="49">
        <f t="shared" si="26"/>
        <v>0</v>
      </c>
      <c r="O74" s="48">
        <f t="shared" si="5"/>
        <v>1454115.9866623282</v>
      </c>
      <c r="P74" s="38">
        <f t="shared" si="1"/>
        <v>1454115.9866623282</v>
      </c>
      <c r="Q74" s="53"/>
      <c r="R74" s="53">
        <f t="shared" si="11"/>
        <v>0</v>
      </c>
      <c r="S74" s="53">
        <f t="shared" si="12"/>
        <v>0</v>
      </c>
      <c r="T74" s="53">
        <f t="shared" si="13"/>
        <v>0.05</v>
      </c>
      <c r="U74" s="53">
        <f t="shared" si="17"/>
        <v>4.2653187775606449E-3</v>
      </c>
    </row>
    <row r="75" spans="1:21" x14ac:dyDescent="0.2">
      <c r="A75" s="62" t="e">
        <f t="shared" si="2"/>
        <v>#DIV/0!</v>
      </c>
      <c r="B75" s="45">
        <f t="shared" si="6"/>
        <v>61</v>
      </c>
      <c r="C75" s="51">
        <f t="shared" si="7"/>
        <v>-5.0940867203064241E-9</v>
      </c>
      <c r="D75" s="47" t="e" cm="1">
        <f t="array" ref="D75">_xlfn.IFS(AND($C$7="Y",B75&lt;C$4),C75,AND($C$7="Y",B75=C$4),D74+F75-J75-K75-L75+N75,AND($C$7="Y",B75&gt;$C$4),D74-J75-K75-L75+N75, TRUE, D74-J75-K75-L75+N75)</f>
        <v>#DIV/0!</v>
      </c>
      <c r="E75" s="48">
        <f t="shared" si="8"/>
        <v>0</v>
      </c>
      <c r="F75" s="50">
        <f t="shared" si="9"/>
        <v>0</v>
      </c>
      <c r="G75" s="50">
        <f t="shared" si="18"/>
        <v>0</v>
      </c>
      <c r="H75" s="51" t="e">
        <f t="shared" si="19"/>
        <v>#DIV/0!</v>
      </c>
      <c r="I75" s="52">
        <f t="shared" si="3"/>
        <v>-2.1225361334610101E-11</v>
      </c>
      <c r="J75" s="52" t="e">
        <f t="shared" si="4"/>
        <v>#DIV/0!</v>
      </c>
      <c r="K75" s="51" t="e">
        <f t="shared" si="14"/>
        <v>#DIV/0!</v>
      </c>
      <c r="L75" s="49">
        <f t="shared" si="10"/>
        <v>-2.1820977166297441E-11</v>
      </c>
      <c r="M75" s="49">
        <f t="shared" si="27"/>
        <v>-25083.190326003103</v>
      </c>
      <c r="N75" s="49">
        <f t="shared" si="26"/>
        <v>0</v>
      </c>
      <c r="O75" s="48" t="e">
        <f t="shared" si="5"/>
        <v>#DIV/0!</v>
      </c>
      <c r="P75" s="38" t="e">
        <f t="shared" si="1"/>
        <v>#DIV/0!</v>
      </c>
      <c r="Q75" s="53"/>
      <c r="R75" s="53">
        <f t="shared" si="11"/>
        <v>0</v>
      </c>
      <c r="S75" s="53">
        <f t="shared" si="12"/>
        <v>0</v>
      </c>
      <c r="T75" s="53">
        <f t="shared" si="13"/>
        <v>0.05</v>
      </c>
      <c r="U75" s="53">
        <f t="shared" si="17"/>
        <v>4.2653187775606449E-3</v>
      </c>
    </row>
    <row r="76" spans="1:21" x14ac:dyDescent="0.2">
      <c r="A76" s="62" t="e">
        <f t="shared" si="2"/>
        <v>#DIV/0!</v>
      </c>
      <c r="B76" s="45">
        <f t="shared" si="6"/>
        <v>62</v>
      </c>
      <c r="C76" s="51" t="e">
        <f t="shared" si="7"/>
        <v>#DIV/0!</v>
      </c>
      <c r="D76" s="47" t="e" cm="1">
        <f t="array" ref="D76">_xlfn.IFS(AND($C$7="Y",B76&lt;C$4),C76,AND($C$7="Y",B76=C$4),D75+F76-J76-K76-L76+N76,AND($C$7="Y",B76&gt;$C$4),D75-J76-K76-L76+N76, TRUE, D75-J76-K76-L76+N76)</f>
        <v>#DIV/0!</v>
      </c>
      <c r="E76" s="48">
        <f t="shared" si="8"/>
        <v>0</v>
      </c>
      <c r="F76" s="50">
        <f t="shared" si="9"/>
        <v>0</v>
      </c>
      <c r="G76" s="50">
        <f t="shared" si="18"/>
        <v>0</v>
      </c>
      <c r="H76" s="51" t="e">
        <f t="shared" si="19"/>
        <v>#DIV/0!</v>
      </c>
      <c r="I76" s="52" t="e">
        <f t="shared" si="3"/>
        <v>#DIV/0!</v>
      </c>
      <c r="J76" s="52" t="e">
        <f t="shared" si="4"/>
        <v>#DIV/0!</v>
      </c>
      <c r="K76" s="51" t="e">
        <f t="shared" si="14"/>
        <v>#DIV/0!</v>
      </c>
      <c r="L76" s="49" t="e">
        <f t="shared" si="10"/>
        <v>#DIV/0!</v>
      </c>
      <c r="M76" s="49">
        <f t="shared" si="27"/>
        <v>-18771.041986531854</v>
      </c>
      <c r="N76" s="49">
        <f t="shared" si="26"/>
        <v>0</v>
      </c>
      <c r="O76" s="48" t="e">
        <f t="shared" si="5"/>
        <v>#DIV/0!</v>
      </c>
      <c r="P76" s="38" t="e">
        <f t="shared" si="1"/>
        <v>#DIV/0!</v>
      </c>
      <c r="Q76" s="53"/>
      <c r="R76" s="53">
        <f t="shared" si="11"/>
        <v>0</v>
      </c>
      <c r="S76" s="53">
        <f t="shared" si="12"/>
        <v>0</v>
      </c>
      <c r="T76" s="53">
        <f t="shared" si="13"/>
        <v>0.05</v>
      </c>
      <c r="U76" s="53">
        <f t="shared" si="17"/>
        <v>4.2653187775606449E-3</v>
      </c>
    </row>
    <row r="77" spans="1:21" x14ac:dyDescent="0.2">
      <c r="A77" s="62" t="e">
        <f t="shared" si="2"/>
        <v>#DIV/0!</v>
      </c>
      <c r="B77" s="45">
        <f t="shared" si="6"/>
        <v>63</v>
      </c>
      <c r="C77" s="51" t="e">
        <f t="shared" si="7"/>
        <v>#DIV/0!</v>
      </c>
      <c r="D77" s="47" t="e" cm="1">
        <f t="array" ref="D77">_xlfn.IFS(AND($C$7="Y",B77&lt;C$4),C77,AND($C$7="Y",B77=C$4),D76+F77-J77-K77-L77+N77,AND($C$7="Y",B77&gt;$C$4),D76-J77-K77-L77+N77, TRUE, D76-J77-K77-L77+N77)</f>
        <v>#DIV/0!</v>
      </c>
      <c r="E77" s="48">
        <f t="shared" si="8"/>
        <v>0</v>
      </c>
      <c r="F77" s="50">
        <f t="shared" si="9"/>
        <v>0</v>
      </c>
      <c r="G77" s="50">
        <f t="shared" si="18"/>
        <v>0</v>
      </c>
      <c r="H77" s="51" t="e">
        <f t="shared" si="19"/>
        <v>#DIV/0!</v>
      </c>
      <c r="I77" s="52" t="e">
        <f t="shared" si="3"/>
        <v>#DIV/0!</v>
      </c>
      <c r="J77" s="52" t="e">
        <f t="shared" si="4"/>
        <v>#DIV/0!</v>
      </c>
      <c r="K77" s="51" t="e">
        <f t="shared" si="14"/>
        <v>#DIV/0!</v>
      </c>
      <c r="L77" s="49" t="e">
        <f t="shared" si="10"/>
        <v>#DIV/0!</v>
      </c>
      <c r="M77" s="49">
        <f t="shared" si="27"/>
        <v>-12486.539403200748</v>
      </c>
      <c r="N77" s="49">
        <f t="shared" si="26"/>
        <v>0</v>
      </c>
      <c r="O77" s="48" t="e">
        <f t="shared" si="5"/>
        <v>#DIV/0!</v>
      </c>
      <c r="P77" s="38" t="e">
        <f t="shared" si="1"/>
        <v>#DIV/0!</v>
      </c>
      <c r="Q77" s="53"/>
      <c r="R77" s="53">
        <f t="shared" si="11"/>
        <v>0</v>
      </c>
      <c r="S77" s="53">
        <f t="shared" si="12"/>
        <v>0</v>
      </c>
      <c r="T77" s="53">
        <f t="shared" si="13"/>
        <v>0.05</v>
      </c>
      <c r="U77" s="53">
        <f t="shared" si="17"/>
        <v>4.2653187775606449E-3</v>
      </c>
    </row>
    <row r="78" spans="1:21" x14ac:dyDescent="0.2">
      <c r="A78" s="62" t="e">
        <f t="shared" si="2"/>
        <v>#DIV/0!</v>
      </c>
      <c r="B78" s="45">
        <f t="shared" si="6"/>
        <v>64</v>
      </c>
      <c r="C78" s="51" t="e">
        <f t="shared" si="7"/>
        <v>#DIV/0!</v>
      </c>
      <c r="D78" s="47" t="e" cm="1">
        <f t="array" ref="D78">_xlfn.IFS(AND($C$7="Y",B78&lt;C$4),C78,AND($C$7="Y",B78=C$4),D77+F78-J78-K78-L78+N78,AND($C$7="Y",B78&gt;$C$4),D77-J78-K78-L78+N78, TRUE, D77-J78-K78-L78+N78)</f>
        <v>#DIV/0!</v>
      </c>
      <c r="E78" s="48">
        <f t="shared" si="8"/>
        <v>0</v>
      </c>
      <c r="F78" s="50">
        <f t="shared" si="9"/>
        <v>0</v>
      </c>
      <c r="G78" s="50">
        <f t="shared" si="18"/>
        <v>0</v>
      </c>
      <c r="H78" s="51" t="e">
        <f t="shared" si="19"/>
        <v>#DIV/0!</v>
      </c>
      <c r="I78" s="52" t="e">
        <f t="shared" si="3"/>
        <v>#DIV/0!</v>
      </c>
      <c r="J78" s="52" t="e">
        <f t="shared" si="4"/>
        <v>#DIV/0!</v>
      </c>
      <c r="K78" s="51" t="e">
        <f t="shared" si="14"/>
        <v>#DIV/0!</v>
      </c>
      <c r="L78" s="49" t="e">
        <f t="shared" si="10"/>
        <v>#DIV/0!</v>
      </c>
      <c r="M78" s="49">
        <f t="shared" si="27"/>
        <v>-6229.5645739384863</v>
      </c>
      <c r="N78" s="49">
        <f t="shared" si="26"/>
        <v>0</v>
      </c>
      <c r="O78" s="48" t="e">
        <f t="shared" si="5"/>
        <v>#DIV/0!</v>
      </c>
      <c r="P78" s="38" t="e">
        <f t="shared" ref="P78:P141" si="28">O78*(1/((1+P$12)^(B78/12)))</f>
        <v>#DIV/0!</v>
      </c>
      <c r="Q78" s="53"/>
      <c r="R78" s="53">
        <f t="shared" si="11"/>
        <v>0</v>
      </c>
      <c r="S78" s="53">
        <f t="shared" si="12"/>
        <v>0</v>
      </c>
      <c r="T78" s="53">
        <f t="shared" si="13"/>
        <v>0.05</v>
      </c>
      <c r="U78" s="53">
        <f t="shared" si="17"/>
        <v>4.2653187775606449E-3</v>
      </c>
    </row>
    <row r="79" spans="1:21" x14ac:dyDescent="0.2">
      <c r="A79" s="62" t="e">
        <f t="shared" ref="A79:A142" si="29">D79/C$1</f>
        <v>#DIV/0!</v>
      </c>
      <c r="B79" s="45">
        <f t="shared" si="6"/>
        <v>65</v>
      </c>
      <c r="C79" s="51" t="e">
        <f t="shared" si="7"/>
        <v>#DIV/0!</v>
      </c>
      <c r="D79" s="47" t="e" cm="1">
        <f t="array" ref="D79">_xlfn.IFS(AND($C$7="Y",B79&lt;C$4),C79,AND($C$7="Y",B79=C$4),D78+F79-J79-K79-L79+N79,AND($C$7="Y",B79&gt;$C$4),D78-J79-K79-L79+N79, TRUE, D78-J79-K79-L79+N79)</f>
        <v>#DIV/0!</v>
      </c>
      <c r="E79" s="48">
        <f t="shared" si="8"/>
        <v>0</v>
      </c>
      <c r="F79" s="50">
        <f t="shared" si="9"/>
        <v>0</v>
      </c>
      <c r="G79" s="50">
        <f t="shared" si="18"/>
        <v>0</v>
      </c>
      <c r="H79" s="51" t="e">
        <f t="shared" si="19"/>
        <v>#DIV/0!</v>
      </c>
      <c r="I79" s="52" t="e">
        <f t="shared" ref="I79:I142" si="30">IF(AND(C$7="Y",$B79&lt;=C$4),0,IF(AND(C$7="Y",$B79&gt;C$4),(1-U79)*C$2*D78/12,IF(AND($C$7="N",C$4&gt;0),(1-U79)*D78*C$2/12, (1-U79)*D78*C$2/12)))</f>
        <v>#DIV/0!</v>
      </c>
      <c r="J79" s="52" t="e">
        <f t="shared" ref="J79:J142" si="31">IF(AND($B79&lt;=$C$4,C$7="Y"),0,IF(AND(C$7="N",C$4&gt;0,B79&lt;=C$4),0,H79-I79))</f>
        <v>#DIV/0!</v>
      </c>
      <c r="K79" s="51" t="e">
        <f t="shared" si="14"/>
        <v>#DIV/0!</v>
      </c>
      <c r="L79" s="49" t="e">
        <f t="shared" si="10"/>
        <v>#DIV/0!</v>
      </c>
      <c r="M79" s="49">
        <f t="shared" si="27"/>
        <v>2.1820977166297441E-11</v>
      </c>
      <c r="N79" s="49">
        <f t="shared" si="26"/>
        <v>0</v>
      </c>
      <c r="O79" s="48" t="e">
        <f t="shared" ref="O79:O142" si="32">K79+I79+J79-L79+N79+G79</f>
        <v>#DIV/0!</v>
      </c>
      <c r="P79" s="38" t="e">
        <f t="shared" si="28"/>
        <v>#DIV/0!</v>
      </c>
      <c r="Q79" s="53"/>
      <c r="R79" s="53">
        <f t="shared" si="11"/>
        <v>0</v>
      </c>
      <c r="S79" s="53">
        <f t="shared" si="12"/>
        <v>0</v>
      </c>
      <c r="T79" s="53">
        <f t="shared" si="13"/>
        <v>0.05</v>
      </c>
      <c r="U79" s="53">
        <f t="shared" si="17"/>
        <v>4.2653187775606449E-3</v>
      </c>
    </row>
    <row r="80" spans="1:21" x14ac:dyDescent="0.2">
      <c r="A80" s="62" t="e">
        <f t="shared" si="29"/>
        <v>#DIV/0!</v>
      </c>
      <c r="B80" s="45">
        <f t="shared" ref="B80:B143" si="33">B79+1</f>
        <v>66</v>
      </c>
      <c r="C80" s="51" t="e">
        <f t="shared" ref="C80:C143" si="34">IF(B80&lt;C$4,C$1,D79-L80+N80)</f>
        <v>#DIV/0!</v>
      </c>
      <c r="D80" s="47" t="e" cm="1">
        <f t="array" ref="D80">_xlfn.IFS(AND($C$7="Y",B80&lt;C$4),C80,AND($C$7="Y",B80=C$4),D79+F80-J80-K80-L80+N80,AND($C$7="Y",B80&gt;$C$4),D79-J80-K80-L80+N80, TRUE, D79-J80-K80-L80+N80)</f>
        <v>#DIV/0!</v>
      </c>
      <c r="E80" s="48">
        <f t="shared" ref="E80:E143" si="35">IF(AND($C$7="Y",B80&lt;=$C$4),D79*C$2/12-G80,0)</f>
        <v>0</v>
      </c>
      <c r="F80" s="50">
        <f t="shared" ref="F80:F143" si="36">IF(AND($C$7="Y",B80&lt;=C$4),E80+F79,0)</f>
        <v>0</v>
      </c>
      <c r="G80" s="50">
        <f t="shared" si="18"/>
        <v>0</v>
      </c>
      <c r="H80" s="51" t="e">
        <f t="shared" si="19"/>
        <v>#DIV/0!</v>
      </c>
      <c r="I80" s="52" t="e">
        <f t="shared" si="30"/>
        <v>#DIV/0!</v>
      </c>
      <c r="J80" s="52" t="e">
        <f t="shared" si="31"/>
        <v>#DIV/0!</v>
      </c>
      <c r="K80" s="51" t="e">
        <f t="shared" si="14"/>
        <v>#DIV/0!</v>
      </c>
      <c r="L80" s="49" t="e">
        <f t="shared" ref="L80:L143" si="37">IF(AND(C$7="Y",$B80&lt;=$C$4),0,IF(AND(C$7="N",C$4&gt;0,B80&lt;=C$4),0,U80*D79))</f>
        <v>#DIV/0!</v>
      </c>
      <c r="M80" s="49">
        <f t="shared" si="27"/>
        <v>0</v>
      </c>
      <c r="N80" s="49">
        <f t="shared" si="26"/>
        <v>0</v>
      </c>
      <c r="O80" s="48" t="e">
        <f t="shared" si="32"/>
        <v>#DIV/0!</v>
      </c>
      <c r="P80" s="38" t="e">
        <f t="shared" si="28"/>
        <v>#DIV/0!</v>
      </c>
      <c r="Q80" s="53"/>
      <c r="R80" s="53">
        <f t="shared" ref="R80:R143" si="38">R$12</f>
        <v>0</v>
      </c>
      <c r="S80" s="53">
        <f t="shared" ref="S80:S143" si="39">1-(1-R80)^(1/12)</f>
        <v>0</v>
      </c>
      <c r="T80" s="53">
        <f t="shared" ref="T80:T143" si="40">T$12</f>
        <v>0.05</v>
      </c>
      <c r="U80" s="53">
        <f t="shared" si="17"/>
        <v>4.2653187775606449E-3</v>
      </c>
    </row>
    <row r="81" spans="1:21" x14ac:dyDescent="0.2">
      <c r="A81" s="62" t="e">
        <f t="shared" si="29"/>
        <v>#DIV/0!</v>
      </c>
      <c r="B81" s="45">
        <f t="shared" si="33"/>
        <v>67</v>
      </c>
      <c r="C81" s="51" t="e">
        <f t="shared" si="34"/>
        <v>#DIV/0!</v>
      </c>
      <c r="D81" s="47" t="e" cm="1">
        <f t="array" ref="D81">_xlfn.IFS(AND($C$7="Y",B81&lt;C$4),C81,AND($C$7="Y",B81=C$4),D80+F81-J81-K81-L81+N81,AND($C$7="Y",B81&gt;$C$4),D80-J81-K81-L81+N81, TRUE, D80-J81-K81-L81+N81)</f>
        <v>#DIV/0!</v>
      </c>
      <c r="E81" s="48">
        <f t="shared" si="35"/>
        <v>0</v>
      </c>
      <c r="F81" s="50">
        <f t="shared" si="36"/>
        <v>0</v>
      </c>
      <c r="G81" s="50">
        <f t="shared" si="18"/>
        <v>0</v>
      </c>
      <c r="H81" s="51" t="e">
        <f t="shared" si="19"/>
        <v>#DIV/0!</v>
      </c>
      <c r="I81" s="52" t="e">
        <f t="shared" si="30"/>
        <v>#DIV/0!</v>
      </c>
      <c r="J81" s="52" t="e">
        <f t="shared" si="31"/>
        <v>#DIV/0!</v>
      </c>
      <c r="K81" s="51" t="e">
        <f t="shared" ref="K81:K144" si="41">IF(AND(C$7="Y",$B81&lt;=$C$4),0,IF(AND(C$7="N",C$4&gt;0,B81&lt;=C$4),0,S81*(C81-J81)))</f>
        <v>#DIV/0!</v>
      </c>
      <c r="L81" s="49" t="e">
        <f t="shared" si="37"/>
        <v>#DIV/0!</v>
      </c>
      <c r="M81" s="49">
        <f t="shared" si="27"/>
        <v>0</v>
      </c>
      <c r="N81" s="49">
        <f t="shared" si="26"/>
        <v>0</v>
      </c>
      <c r="O81" s="48" t="e">
        <f t="shared" si="32"/>
        <v>#DIV/0!</v>
      </c>
      <c r="P81" s="38" t="e">
        <f t="shared" si="28"/>
        <v>#DIV/0!</v>
      </c>
      <c r="Q81" s="53"/>
      <c r="R81" s="53">
        <f t="shared" si="38"/>
        <v>0</v>
      </c>
      <c r="S81" s="53">
        <f t="shared" si="39"/>
        <v>0</v>
      </c>
      <c r="T81" s="53">
        <f t="shared" si="40"/>
        <v>0.05</v>
      </c>
      <c r="U81" s="53">
        <f t="shared" ref="U81:U144" si="42">1-(1-T81)^(1/12)</f>
        <v>4.2653187775606449E-3</v>
      </c>
    </row>
    <row r="82" spans="1:21" x14ac:dyDescent="0.2">
      <c r="A82" s="62" t="e">
        <f t="shared" si="29"/>
        <v>#DIV/0!</v>
      </c>
      <c r="B82" s="45">
        <f t="shared" si="33"/>
        <v>68</v>
      </c>
      <c r="C82" s="51" t="e">
        <f t="shared" si="34"/>
        <v>#DIV/0!</v>
      </c>
      <c r="D82" s="47" t="e" cm="1">
        <f t="array" ref="D82">_xlfn.IFS(AND($C$7="Y",B82&lt;C$4),C82,AND($C$7="Y",B82=C$4),D81+F82-J82-K82-L82+N82,AND($C$7="Y",B82&gt;$C$4),D81-J82-K82-L82+N82, TRUE, D81-J82-K82-L82+N82)</f>
        <v>#DIV/0!</v>
      </c>
      <c r="E82" s="48">
        <f t="shared" si="35"/>
        <v>0</v>
      </c>
      <c r="F82" s="50">
        <f t="shared" si="36"/>
        <v>0</v>
      </c>
      <c r="G82" s="50">
        <f t="shared" ref="G82:G145" si="43">IF($B82&lt;=$C$4,C$6,0)</f>
        <v>0</v>
      </c>
      <c r="H82" s="51" t="e">
        <f t="shared" si="19"/>
        <v>#DIV/0!</v>
      </c>
      <c r="I82" s="52" t="e">
        <f t="shared" si="30"/>
        <v>#DIV/0!</v>
      </c>
      <c r="J82" s="52" t="e">
        <f t="shared" si="31"/>
        <v>#DIV/0!</v>
      </c>
      <c r="K82" s="51" t="e">
        <f t="shared" si="41"/>
        <v>#DIV/0!</v>
      </c>
      <c r="L82" s="49" t="e">
        <f t="shared" si="37"/>
        <v>#DIV/0!</v>
      </c>
      <c r="M82" s="49">
        <f t="shared" si="27"/>
        <v>0</v>
      </c>
      <c r="N82" s="49">
        <f t="shared" si="26"/>
        <v>0</v>
      </c>
      <c r="O82" s="48" t="e">
        <f t="shared" si="32"/>
        <v>#DIV/0!</v>
      </c>
      <c r="P82" s="38" t="e">
        <f t="shared" si="28"/>
        <v>#DIV/0!</v>
      </c>
      <c r="Q82" s="53"/>
      <c r="R82" s="53">
        <f t="shared" si="38"/>
        <v>0</v>
      </c>
      <c r="S82" s="53">
        <f t="shared" si="39"/>
        <v>0</v>
      </c>
      <c r="T82" s="53">
        <f t="shared" si="40"/>
        <v>0.05</v>
      </c>
      <c r="U82" s="53">
        <f t="shared" si="42"/>
        <v>4.2653187775606449E-3</v>
      </c>
    </row>
    <row r="83" spans="1:21" x14ac:dyDescent="0.2">
      <c r="A83" s="62" t="e">
        <f t="shared" si="29"/>
        <v>#DIV/0!</v>
      </c>
      <c r="B83" s="45">
        <f t="shared" si="33"/>
        <v>69</v>
      </c>
      <c r="C83" s="51" t="e">
        <f t="shared" si="34"/>
        <v>#DIV/0!</v>
      </c>
      <c r="D83" s="47" t="e" cm="1">
        <f t="array" ref="D83">_xlfn.IFS(AND($C$7="Y",B83&lt;C$4),C83,AND($C$7="Y",B83=C$4),D82+F83-J83-K83-L83+N83,AND($C$7="Y",B83&gt;$C$4),D82-J83-K83-L83+N83, TRUE, D82-J83-K83-L83+N83)</f>
        <v>#DIV/0!</v>
      </c>
      <c r="E83" s="48">
        <f t="shared" si="35"/>
        <v>0</v>
      </c>
      <c r="F83" s="50">
        <f t="shared" si="36"/>
        <v>0</v>
      </c>
      <c r="G83" s="50">
        <f t="shared" si="43"/>
        <v>0</v>
      </c>
      <c r="H83" s="51" t="e">
        <f t="shared" ref="H83:H146" si="44">IF(AND($B83&lt;=$C$4,C$7="Y"),0,IF(AND(C$7="N",C$4&gt;0,B83&lt;=C$4),0,(D82-L83+N83)*C$2/12/(1-(1/(1+C$2/12))^(C$3+C$4-B83+1))))</f>
        <v>#DIV/0!</v>
      </c>
      <c r="I83" s="52" t="e">
        <f t="shared" si="30"/>
        <v>#DIV/0!</v>
      </c>
      <c r="J83" s="52" t="e">
        <f t="shared" si="31"/>
        <v>#DIV/0!</v>
      </c>
      <c r="K83" s="51" t="e">
        <f t="shared" si="41"/>
        <v>#DIV/0!</v>
      </c>
      <c r="L83" s="49" t="e">
        <f t="shared" si="37"/>
        <v>#DIV/0!</v>
      </c>
      <c r="M83" s="49">
        <f t="shared" si="27"/>
        <v>0</v>
      </c>
      <c r="N83" s="49">
        <f t="shared" si="26"/>
        <v>0</v>
      </c>
      <c r="O83" s="48" t="e">
        <f t="shared" si="32"/>
        <v>#DIV/0!</v>
      </c>
      <c r="P83" s="38" t="e">
        <f t="shared" si="28"/>
        <v>#DIV/0!</v>
      </c>
      <c r="Q83" s="53"/>
      <c r="R83" s="53">
        <f t="shared" si="38"/>
        <v>0</v>
      </c>
      <c r="S83" s="53">
        <f t="shared" si="39"/>
        <v>0</v>
      </c>
      <c r="T83" s="53">
        <f t="shared" si="40"/>
        <v>0.05</v>
      </c>
      <c r="U83" s="53">
        <f t="shared" si="42"/>
        <v>4.2653187775606449E-3</v>
      </c>
    </row>
    <row r="84" spans="1:21" x14ac:dyDescent="0.2">
      <c r="A84" s="62" t="e">
        <f t="shared" si="29"/>
        <v>#DIV/0!</v>
      </c>
      <c r="B84" s="45">
        <f t="shared" si="33"/>
        <v>70</v>
      </c>
      <c r="C84" s="51" t="e">
        <f t="shared" si="34"/>
        <v>#DIV/0!</v>
      </c>
      <c r="D84" s="47" t="e" cm="1">
        <f t="array" ref="D84">_xlfn.IFS(AND($C$7="Y",B84&lt;C$4),C84,AND($C$7="Y",B84=C$4),D83+F84-J84-K84-L84+N84,AND($C$7="Y",B84&gt;$C$4),D83-J84-K84-L84+N84, TRUE, D83-J84-K84-L84+N84)</f>
        <v>#DIV/0!</v>
      </c>
      <c r="E84" s="48">
        <f t="shared" si="35"/>
        <v>0</v>
      </c>
      <c r="F84" s="50">
        <f t="shared" si="36"/>
        <v>0</v>
      </c>
      <c r="G84" s="50">
        <f t="shared" si="43"/>
        <v>0</v>
      </c>
      <c r="H84" s="51" t="e">
        <f t="shared" si="44"/>
        <v>#DIV/0!</v>
      </c>
      <c r="I84" s="52" t="e">
        <f t="shared" si="30"/>
        <v>#DIV/0!</v>
      </c>
      <c r="J84" s="52" t="e">
        <f t="shared" si="31"/>
        <v>#DIV/0!</v>
      </c>
      <c r="K84" s="51" t="e">
        <f t="shared" si="41"/>
        <v>#DIV/0!</v>
      </c>
      <c r="L84" s="49" t="e">
        <f t="shared" si="37"/>
        <v>#DIV/0!</v>
      </c>
      <c r="M84" s="49">
        <f t="shared" si="27"/>
        <v>0</v>
      </c>
      <c r="N84" s="49">
        <f t="shared" si="26"/>
        <v>0</v>
      </c>
      <c r="O84" s="48" t="e">
        <f t="shared" si="32"/>
        <v>#DIV/0!</v>
      </c>
      <c r="P84" s="38" t="e">
        <f t="shared" si="28"/>
        <v>#DIV/0!</v>
      </c>
      <c r="Q84" s="53"/>
      <c r="R84" s="53">
        <f t="shared" si="38"/>
        <v>0</v>
      </c>
      <c r="S84" s="53">
        <f t="shared" si="39"/>
        <v>0</v>
      </c>
      <c r="T84" s="53">
        <f t="shared" si="40"/>
        <v>0.05</v>
      </c>
      <c r="U84" s="53">
        <f t="shared" si="42"/>
        <v>4.2653187775606449E-3</v>
      </c>
    </row>
    <row r="85" spans="1:21" x14ac:dyDescent="0.2">
      <c r="A85" s="62" t="e">
        <f t="shared" si="29"/>
        <v>#DIV/0!</v>
      </c>
      <c r="B85" s="45">
        <f t="shared" si="33"/>
        <v>71</v>
      </c>
      <c r="C85" s="51" t="e">
        <f t="shared" si="34"/>
        <v>#DIV/0!</v>
      </c>
      <c r="D85" s="47" t="e" cm="1">
        <f t="array" ref="D85">_xlfn.IFS(AND($C$7="Y",B85&lt;C$4),C85,AND($C$7="Y",B85=C$4),D84+F85-J85-K85-L85+N85,AND($C$7="Y",B85&gt;$C$4),D84-J85-K85-L85+N85, TRUE, D84-J85-K85-L85+N85)</f>
        <v>#DIV/0!</v>
      </c>
      <c r="E85" s="48">
        <f t="shared" si="35"/>
        <v>0</v>
      </c>
      <c r="F85" s="50">
        <f t="shared" si="36"/>
        <v>0</v>
      </c>
      <c r="G85" s="50">
        <f t="shared" si="43"/>
        <v>0</v>
      </c>
      <c r="H85" s="51" t="e">
        <f t="shared" si="44"/>
        <v>#DIV/0!</v>
      </c>
      <c r="I85" s="52" t="e">
        <f t="shared" si="30"/>
        <v>#DIV/0!</v>
      </c>
      <c r="J85" s="52" t="e">
        <f t="shared" si="31"/>
        <v>#DIV/0!</v>
      </c>
      <c r="K85" s="51" t="e">
        <f t="shared" si="41"/>
        <v>#DIV/0!</v>
      </c>
      <c r="L85" s="49" t="e">
        <f t="shared" si="37"/>
        <v>#DIV/0!</v>
      </c>
      <c r="M85" s="49">
        <f t="shared" si="27"/>
        <v>0</v>
      </c>
      <c r="N85" s="49">
        <f t="shared" si="26"/>
        <v>0</v>
      </c>
      <c r="O85" s="48" t="e">
        <f t="shared" si="32"/>
        <v>#DIV/0!</v>
      </c>
      <c r="P85" s="38" t="e">
        <f t="shared" si="28"/>
        <v>#DIV/0!</v>
      </c>
      <c r="Q85" s="53"/>
      <c r="R85" s="53">
        <f t="shared" si="38"/>
        <v>0</v>
      </c>
      <c r="S85" s="53">
        <f t="shared" si="39"/>
        <v>0</v>
      </c>
      <c r="T85" s="53">
        <f t="shared" si="40"/>
        <v>0.05</v>
      </c>
      <c r="U85" s="53">
        <f t="shared" si="42"/>
        <v>4.2653187775606449E-3</v>
      </c>
    </row>
    <row r="86" spans="1:21" x14ac:dyDescent="0.2">
      <c r="A86" s="62" t="e">
        <f t="shared" si="29"/>
        <v>#DIV/0!</v>
      </c>
      <c r="B86" s="45">
        <f t="shared" si="33"/>
        <v>72</v>
      </c>
      <c r="C86" s="51" t="e">
        <f t="shared" si="34"/>
        <v>#DIV/0!</v>
      </c>
      <c r="D86" s="47" t="e" cm="1">
        <f t="array" ref="D86">_xlfn.IFS(AND($C$7="Y",B86&lt;C$4),C86,AND($C$7="Y",B86=C$4),D85+F86-J86-K86-L86+N86,AND($C$7="Y",B86&gt;$C$4),D85-J86-K86-L86+N86, TRUE, D85-J86-K86-L86+N86)</f>
        <v>#DIV/0!</v>
      </c>
      <c r="E86" s="48">
        <f t="shared" si="35"/>
        <v>0</v>
      </c>
      <c r="F86" s="50">
        <f t="shared" si="36"/>
        <v>0</v>
      </c>
      <c r="G86" s="50">
        <f t="shared" si="43"/>
        <v>0</v>
      </c>
      <c r="H86" s="51" t="e">
        <f t="shared" si="44"/>
        <v>#DIV/0!</v>
      </c>
      <c r="I86" s="52" t="e">
        <f t="shared" si="30"/>
        <v>#DIV/0!</v>
      </c>
      <c r="J86" s="52" t="e">
        <f t="shared" si="31"/>
        <v>#DIV/0!</v>
      </c>
      <c r="K86" s="51" t="e">
        <f t="shared" si="41"/>
        <v>#DIV/0!</v>
      </c>
      <c r="L86" s="49" t="e">
        <f t="shared" si="37"/>
        <v>#DIV/0!</v>
      </c>
      <c r="M86" s="49">
        <f t="shared" si="27"/>
        <v>0</v>
      </c>
      <c r="N86" s="49">
        <f t="shared" si="26"/>
        <v>0</v>
      </c>
      <c r="O86" s="48" t="e">
        <f t="shared" si="32"/>
        <v>#DIV/0!</v>
      </c>
      <c r="P86" s="38" t="e">
        <f t="shared" si="28"/>
        <v>#DIV/0!</v>
      </c>
      <c r="Q86" s="53"/>
      <c r="R86" s="53">
        <f t="shared" si="38"/>
        <v>0</v>
      </c>
      <c r="S86" s="53">
        <f t="shared" si="39"/>
        <v>0</v>
      </c>
      <c r="T86" s="53">
        <f t="shared" si="40"/>
        <v>0.05</v>
      </c>
      <c r="U86" s="53">
        <f t="shared" si="42"/>
        <v>4.2653187775606449E-3</v>
      </c>
    </row>
    <row r="87" spans="1:21" x14ac:dyDescent="0.2">
      <c r="A87" s="62" t="e">
        <f t="shared" si="29"/>
        <v>#DIV/0!</v>
      </c>
      <c r="B87" s="45">
        <f t="shared" si="33"/>
        <v>73</v>
      </c>
      <c r="C87" s="51" t="e">
        <f t="shared" si="34"/>
        <v>#DIV/0!</v>
      </c>
      <c r="D87" s="47" t="e" cm="1">
        <f t="array" ref="D87">_xlfn.IFS(AND($C$7="Y",B87&lt;C$4),C87,AND($C$7="Y",B87=C$4),D86+F87-J87-K87-L87+N87,AND($C$7="Y",B87&gt;$C$4),D86-J87-K87-L87+N87, TRUE, D86-J87-K87-L87+N87)</f>
        <v>#DIV/0!</v>
      </c>
      <c r="E87" s="48">
        <f t="shared" si="35"/>
        <v>0</v>
      </c>
      <c r="F87" s="50">
        <f t="shared" si="36"/>
        <v>0</v>
      </c>
      <c r="G87" s="50">
        <f t="shared" si="43"/>
        <v>0</v>
      </c>
      <c r="H87" s="51" t="e">
        <f t="shared" si="44"/>
        <v>#DIV/0!</v>
      </c>
      <c r="I87" s="52" t="e">
        <f t="shared" si="30"/>
        <v>#DIV/0!</v>
      </c>
      <c r="J87" s="52" t="e">
        <f t="shared" si="31"/>
        <v>#DIV/0!</v>
      </c>
      <c r="K87" s="51" t="e">
        <f t="shared" si="41"/>
        <v>#DIV/0!</v>
      </c>
      <c r="L87" s="49" t="e">
        <f t="shared" si="37"/>
        <v>#DIV/0!</v>
      </c>
      <c r="M87" s="49">
        <f t="shared" si="27"/>
        <v>0</v>
      </c>
      <c r="N87" s="49">
        <f t="shared" si="26"/>
        <v>0</v>
      </c>
      <c r="O87" s="48" t="e">
        <f t="shared" si="32"/>
        <v>#DIV/0!</v>
      </c>
      <c r="P87" s="38" t="e">
        <f t="shared" si="28"/>
        <v>#DIV/0!</v>
      </c>
      <c r="Q87" s="53"/>
      <c r="R87" s="53">
        <f t="shared" si="38"/>
        <v>0</v>
      </c>
      <c r="S87" s="53">
        <f t="shared" si="39"/>
        <v>0</v>
      </c>
      <c r="T87" s="53">
        <f t="shared" si="40"/>
        <v>0.05</v>
      </c>
      <c r="U87" s="53">
        <f t="shared" si="42"/>
        <v>4.2653187775606449E-3</v>
      </c>
    </row>
    <row r="88" spans="1:21" x14ac:dyDescent="0.2">
      <c r="A88" s="62" t="e">
        <f t="shared" si="29"/>
        <v>#DIV/0!</v>
      </c>
      <c r="B88" s="45">
        <f t="shared" si="33"/>
        <v>74</v>
      </c>
      <c r="C88" s="51" t="e">
        <f t="shared" si="34"/>
        <v>#DIV/0!</v>
      </c>
      <c r="D88" s="47" t="e" cm="1">
        <f t="array" ref="D88">_xlfn.IFS(AND($C$7="Y",B88&lt;C$4),C88,AND($C$7="Y",B88=C$4),D87+F88-J88-K88-L88+N88,AND($C$7="Y",B88&gt;$C$4),D87-J88-K88-L88+N88, TRUE, D87-J88-K88-L88+N88)</f>
        <v>#DIV/0!</v>
      </c>
      <c r="E88" s="48">
        <f t="shared" si="35"/>
        <v>0</v>
      </c>
      <c r="F88" s="50">
        <f t="shared" si="36"/>
        <v>0</v>
      </c>
      <c r="G88" s="50">
        <f t="shared" si="43"/>
        <v>0</v>
      </c>
      <c r="H88" s="51" t="e">
        <f t="shared" si="44"/>
        <v>#DIV/0!</v>
      </c>
      <c r="I88" s="52" t="e">
        <f t="shared" si="30"/>
        <v>#DIV/0!</v>
      </c>
      <c r="J88" s="52" t="e">
        <f t="shared" si="31"/>
        <v>#DIV/0!</v>
      </c>
      <c r="K88" s="51" t="e">
        <f t="shared" si="41"/>
        <v>#DIV/0!</v>
      </c>
      <c r="L88" s="49" t="e">
        <f t="shared" si="37"/>
        <v>#DIV/0!</v>
      </c>
      <c r="M88" s="49">
        <f t="shared" si="27"/>
        <v>0</v>
      </c>
      <c r="N88" s="49">
        <f t="shared" si="26"/>
        <v>0</v>
      </c>
      <c r="O88" s="48" t="e">
        <f t="shared" si="32"/>
        <v>#DIV/0!</v>
      </c>
      <c r="P88" s="38" t="e">
        <f t="shared" si="28"/>
        <v>#DIV/0!</v>
      </c>
      <c r="Q88" s="53"/>
      <c r="R88" s="53">
        <f t="shared" si="38"/>
        <v>0</v>
      </c>
      <c r="S88" s="53">
        <f t="shared" si="39"/>
        <v>0</v>
      </c>
      <c r="T88" s="53">
        <f t="shared" si="40"/>
        <v>0.05</v>
      </c>
      <c r="U88" s="53">
        <f t="shared" si="42"/>
        <v>4.2653187775606449E-3</v>
      </c>
    </row>
    <row r="89" spans="1:21" x14ac:dyDescent="0.2">
      <c r="A89" s="62" t="e">
        <f t="shared" si="29"/>
        <v>#DIV/0!</v>
      </c>
      <c r="B89" s="45">
        <f t="shared" si="33"/>
        <v>75</v>
      </c>
      <c r="C89" s="51" t="e">
        <f t="shared" si="34"/>
        <v>#DIV/0!</v>
      </c>
      <c r="D89" s="47" t="e" cm="1">
        <f t="array" ref="D89">_xlfn.IFS(AND($C$7="Y",B89&lt;C$4),C89,AND($C$7="Y",B89=C$4),D88+F89-J89-K89-L89+N89,AND($C$7="Y",B89&gt;$C$4),D88-J89-K89-L89+N89, TRUE, D88-J89-K89-L89+N89)</f>
        <v>#DIV/0!</v>
      </c>
      <c r="E89" s="48">
        <f t="shared" si="35"/>
        <v>0</v>
      </c>
      <c r="F89" s="50">
        <f t="shared" si="36"/>
        <v>0</v>
      </c>
      <c r="G89" s="50">
        <f t="shared" si="43"/>
        <v>0</v>
      </c>
      <c r="H89" s="51" t="e">
        <f t="shared" si="44"/>
        <v>#DIV/0!</v>
      </c>
      <c r="I89" s="52" t="e">
        <f t="shared" si="30"/>
        <v>#DIV/0!</v>
      </c>
      <c r="J89" s="52" t="e">
        <f t="shared" si="31"/>
        <v>#DIV/0!</v>
      </c>
      <c r="K89" s="51" t="e">
        <f t="shared" si="41"/>
        <v>#DIV/0!</v>
      </c>
      <c r="L89" s="49" t="e">
        <f t="shared" si="37"/>
        <v>#DIV/0!</v>
      </c>
      <c r="M89" s="49">
        <f t="shared" si="27"/>
        <v>0</v>
      </c>
      <c r="N89" s="49">
        <f t="shared" si="26"/>
        <v>0</v>
      </c>
      <c r="O89" s="48" t="e">
        <f t="shared" si="32"/>
        <v>#DIV/0!</v>
      </c>
      <c r="P89" s="38" t="e">
        <f t="shared" si="28"/>
        <v>#DIV/0!</v>
      </c>
      <c r="Q89" s="53"/>
      <c r="R89" s="53">
        <f t="shared" si="38"/>
        <v>0</v>
      </c>
      <c r="S89" s="53">
        <f t="shared" si="39"/>
        <v>0</v>
      </c>
      <c r="T89" s="53">
        <f t="shared" si="40"/>
        <v>0.05</v>
      </c>
      <c r="U89" s="53">
        <f t="shared" si="42"/>
        <v>4.2653187775606449E-3</v>
      </c>
    </row>
    <row r="90" spans="1:21" x14ac:dyDescent="0.2">
      <c r="A90" s="62" t="e">
        <f t="shared" si="29"/>
        <v>#DIV/0!</v>
      </c>
      <c r="B90" s="45">
        <f t="shared" si="33"/>
        <v>76</v>
      </c>
      <c r="C90" s="51" t="e">
        <f t="shared" si="34"/>
        <v>#DIV/0!</v>
      </c>
      <c r="D90" s="47" t="e" cm="1">
        <f t="array" ref="D90">_xlfn.IFS(AND($C$7="Y",B90&lt;C$4),C90,AND($C$7="Y",B90=C$4),D89+F90-J90-K90-L90+N90,AND($C$7="Y",B90&gt;$C$4),D89-J90-K90-L90+N90, TRUE, D89-J90-K90-L90+N90)</f>
        <v>#DIV/0!</v>
      </c>
      <c r="E90" s="48">
        <f t="shared" si="35"/>
        <v>0</v>
      </c>
      <c r="F90" s="50">
        <f t="shared" si="36"/>
        <v>0</v>
      </c>
      <c r="G90" s="50">
        <f t="shared" si="43"/>
        <v>0</v>
      </c>
      <c r="H90" s="51" t="e">
        <f t="shared" si="44"/>
        <v>#DIV/0!</v>
      </c>
      <c r="I90" s="52" t="e">
        <f t="shared" si="30"/>
        <v>#DIV/0!</v>
      </c>
      <c r="J90" s="52" t="e">
        <f t="shared" si="31"/>
        <v>#DIV/0!</v>
      </c>
      <c r="K90" s="51" t="e">
        <f t="shared" si="41"/>
        <v>#DIV/0!</v>
      </c>
      <c r="L90" s="49" t="e">
        <f t="shared" si="37"/>
        <v>#DIV/0!</v>
      </c>
      <c r="M90" s="49">
        <f t="shared" si="27"/>
        <v>0</v>
      </c>
      <c r="N90" s="49">
        <f t="shared" si="26"/>
        <v>0</v>
      </c>
      <c r="O90" s="48" t="e">
        <f t="shared" si="32"/>
        <v>#DIV/0!</v>
      </c>
      <c r="P90" s="38" t="e">
        <f t="shared" si="28"/>
        <v>#DIV/0!</v>
      </c>
      <c r="Q90" s="53"/>
      <c r="R90" s="53">
        <f t="shared" si="38"/>
        <v>0</v>
      </c>
      <c r="S90" s="53">
        <f t="shared" si="39"/>
        <v>0</v>
      </c>
      <c r="T90" s="53">
        <f t="shared" si="40"/>
        <v>0.05</v>
      </c>
      <c r="U90" s="53">
        <f t="shared" si="42"/>
        <v>4.2653187775606449E-3</v>
      </c>
    </row>
    <row r="91" spans="1:21" x14ac:dyDescent="0.2">
      <c r="A91" s="62" t="e">
        <f t="shared" si="29"/>
        <v>#DIV/0!</v>
      </c>
      <c r="B91" s="45">
        <f t="shared" si="33"/>
        <v>77</v>
      </c>
      <c r="C91" s="51" t="e">
        <f t="shared" si="34"/>
        <v>#DIV/0!</v>
      </c>
      <c r="D91" s="47" t="e" cm="1">
        <f t="array" ref="D91">_xlfn.IFS(AND($C$7="Y",B91&lt;C$4),C91,AND($C$7="Y",B91=C$4),D90+F91-J91-K91-L91+N91,AND($C$7="Y",B91&gt;$C$4),D90-J91-K91-L91+N91, TRUE, D90-J91-K91-L91+N91)</f>
        <v>#DIV/0!</v>
      </c>
      <c r="E91" s="48">
        <f t="shared" si="35"/>
        <v>0</v>
      </c>
      <c r="F91" s="50">
        <f t="shared" si="36"/>
        <v>0</v>
      </c>
      <c r="G91" s="50">
        <f t="shared" si="43"/>
        <v>0</v>
      </c>
      <c r="H91" s="51" t="e">
        <f t="shared" si="44"/>
        <v>#DIV/0!</v>
      </c>
      <c r="I91" s="52" t="e">
        <f t="shared" si="30"/>
        <v>#DIV/0!</v>
      </c>
      <c r="J91" s="52" t="e">
        <f t="shared" si="31"/>
        <v>#DIV/0!</v>
      </c>
      <c r="K91" s="51" t="e">
        <f t="shared" si="41"/>
        <v>#DIV/0!</v>
      </c>
      <c r="L91" s="49" t="e">
        <f t="shared" si="37"/>
        <v>#DIV/0!</v>
      </c>
      <c r="M91" s="49">
        <f t="shared" si="27"/>
        <v>0</v>
      </c>
      <c r="N91" s="49">
        <f t="shared" si="26"/>
        <v>0</v>
      </c>
      <c r="O91" s="48" t="e">
        <f t="shared" si="32"/>
        <v>#DIV/0!</v>
      </c>
      <c r="P91" s="38" t="e">
        <f t="shared" si="28"/>
        <v>#DIV/0!</v>
      </c>
      <c r="Q91" s="53"/>
      <c r="R91" s="53">
        <f t="shared" si="38"/>
        <v>0</v>
      </c>
      <c r="S91" s="53">
        <f t="shared" si="39"/>
        <v>0</v>
      </c>
      <c r="T91" s="53">
        <f t="shared" si="40"/>
        <v>0.05</v>
      </c>
      <c r="U91" s="53">
        <f t="shared" si="42"/>
        <v>4.2653187775606449E-3</v>
      </c>
    </row>
    <row r="92" spans="1:21" x14ac:dyDescent="0.2">
      <c r="A92" s="62" t="e">
        <f t="shared" si="29"/>
        <v>#DIV/0!</v>
      </c>
      <c r="B92" s="45">
        <f t="shared" si="33"/>
        <v>78</v>
      </c>
      <c r="C92" s="51" t="e">
        <f t="shared" si="34"/>
        <v>#DIV/0!</v>
      </c>
      <c r="D92" s="47" t="e" cm="1">
        <f t="array" ref="D92">_xlfn.IFS(AND($C$7="Y",B92&lt;C$4),C92,AND($C$7="Y",B92=C$4),D91+F92-J92-K92-L92+N92,AND($C$7="Y",B92&gt;$C$4),D91-J92-K92-L92+N92, TRUE, D91-J92-K92-L92+N92)</f>
        <v>#DIV/0!</v>
      </c>
      <c r="E92" s="48">
        <f t="shared" si="35"/>
        <v>0</v>
      </c>
      <c r="F92" s="50">
        <f t="shared" si="36"/>
        <v>0</v>
      </c>
      <c r="G92" s="50">
        <f t="shared" si="43"/>
        <v>0</v>
      </c>
      <c r="H92" s="51" t="e">
        <f t="shared" si="44"/>
        <v>#DIV/0!</v>
      </c>
      <c r="I92" s="52" t="e">
        <f t="shared" si="30"/>
        <v>#DIV/0!</v>
      </c>
      <c r="J92" s="52" t="e">
        <f t="shared" si="31"/>
        <v>#DIV/0!</v>
      </c>
      <c r="K92" s="51" t="e">
        <f t="shared" si="41"/>
        <v>#DIV/0!</v>
      </c>
      <c r="L92" s="49" t="e">
        <f t="shared" si="37"/>
        <v>#DIV/0!</v>
      </c>
      <c r="M92" s="49">
        <f t="shared" si="27"/>
        <v>0</v>
      </c>
      <c r="N92" s="49">
        <f t="shared" si="26"/>
        <v>0</v>
      </c>
      <c r="O92" s="48" t="e">
        <f t="shared" si="32"/>
        <v>#DIV/0!</v>
      </c>
      <c r="P92" s="38" t="e">
        <f t="shared" si="28"/>
        <v>#DIV/0!</v>
      </c>
      <c r="Q92" s="53"/>
      <c r="R92" s="53">
        <f t="shared" si="38"/>
        <v>0</v>
      </c>
      <c r="S92" s="53">
        <f t="shared" si="39"/>
        <v>0</v>
      </c>
      <c r="T92" s="53">
        <f t="shared" si="40"/>
        <v>0.05</v>
      </c>
      <c r="U92" s="53">
        <f t="shared" si="42"/>
        <v>4.2653187775606449E-3</v>
      </c>
    </row>
    <row r="93" spans="1:21" x14ac:dyDescent="0.2">
      <c r="A93" s="62" t="e">
        <f t="shared" si="29"/>
        <v>#DIV/0!</v>
      </c>
      <c r="B93" s="45">
        <f t="shared" si="33"/>
        <v>79</v>
      </c>
      <c r="C93" s="51" t="e">
        <f t="shared" si="34"/>
        <v>#DIV/0!</v>
      </c>
      <c r="D93" s="47" t="e" cm="1">
        <f t="array" ref="D93">_xlfn.IFS(AND($C$7="Y",B93&lt;C$4),C93,AND($C$7="Y",B93=C$4),D92+F93-J93-K93-L93+N93,AND($C$7="Y",B93&gt;$C$4),D92-J93-K93-L93+N93, TRUE, D92-J93-K93-L93+N93)</f>
        <v>#DIV/0!</v>
      </c>
      <c r="E93" s="48">
        <f t="shared" si="35"/>
        <v>0</v>
      </c>
      <c r="F93" s="50">
        <f t="shared" si="36"/>
        <v>0</v>
      </c>
      <c r="G93" s="50">
        <f t="shared" si="43"/>
        <v>0</v>
      </c>
      <c r="H93" s="51" t="e">
        <f t="shared" si="44"/>
        <v>#DIV/0!</v>
      </c>
      <c r="I93" s="52" t="e">
        <f t="shared" si="30"/>
        <v>#DIV/0!</v>
      </c>
      <c r="J93" s="52" t="e">
        <f t="shared" si="31"/>
        <v>#DIV/0!</v>
      </c>
      <c r="K93" s="51" t="e">
        <f t="shared" si="41"/>
        <v>#DIV/0!</v>
      </c>
      <c r="L93" s="49" t="e">
        <f t="shared" si="37"/>
        <v>#DIV/0!</v>
      </c>
      <c r="M93" s="49">
        <f t="shared" si="27"/>
        <v>0</v>
      </c>
      <c r="N93" s="49">
        <f t="shared" si="26"/>
        <v>0</v>
      </c>
      <c r="O93" s="48" t="e">
        <f t="shared" si="32"/>
        <v>#DIV/0!</v>
      </c>
      <c r="P93" s="38" t="e">
        <f t="shared" si="28"/>
        <v>#DIV/0!</v>
      </c>
      <c r="Q93" s="53"/>
      <c r="R93" s="53">
        <f t="shared" si="38"/>
        <v>0</v>
      </c>
      <c r="S93" s="53">
        <f t="shared" si="39"/>
        <v>0</v>
      </c>
      <c r="T93" s="53">
        <f t="shared" si="40"/>
        <v>0.05</v>
      </c>
      <c r="U93" s="53">
        <f t="shared" si="42"/>
        <v>4.2653187775606449E-3</v>
      </c>
    </row>
    <row r="94" spans="1:21" x14ac:dyDescent="0.2">
      <c r="A94" s="62" t="e">
        <f t="shared" si="29"/>
        <v>#DIV/0!</v>
      </c>
      <c r="B94" s="45">
        <f t="shared" si="33"/>
        <v>80</v>
      </c>
      <c r="C94" s="51" t="e">
        <f t="shared" si="34"/>
        <v>#DIV/0!</v>
      </c>
      <c r="D94" s="47" t="e" cm="1">
        <f t="array" ref="D94">_xlfn.IFS(AND($C$7="Y",B94&lt;C$4),C94,AND($C$7="Y",B94=C$4),D93+F94-J94-K94-L94+N94,AND($C$7="Y",B94&gt;$C$4),D93-J94-K94-L94+N94, TRUE, D93-J94-K94-L94+N94)</f>
        <v>#DIV/0!</v>
      </c>
      <c r="E94" s="48">
        <f t="shared" si="35"/>
        <v>0</v>
      </c>
      <c r="F94" s="50">
        <f t="shared" si="36"/>
        <v>0</v>
      </c>
      <c r="G94" s="50">
        <f t="shared" si="43"/>
        <v>0</v>
      </c>
      <c r="H94" s="51" t="e">
        <f t="shared" si="44"/>
        <v>#DIV/0!</v>
      </c>
      <c r="I94" s="52" t="e">
        <f t="shared" si="30"/>
        <v>#DIV/0!</v>
      </c>
      <c r="J94" s="52" t="e">
        <f t="shared" si="31"/>
        <v>#DIV/0!</v>
      </c>
      <c r="K94" s="51" t="e">
        <f t="shared" si="41"/>
        <v>#DIV/0!</v>
      </c>
      <c r="L94" s="49" t="e">
        <f t="shared" si="37"/>
        <v>#DIV/0!</v>
      </c>
      <c r="M94" s="49">
        <f t="shared" si="27"/>
        <v>0</v>
      </c>
      <c r="N94" s="49">
        <f t="shared" si="26"/>
        <v>0</v>
      </c>
      <c r="O94" s="48" t="e">
        <f t="shared" si="32"/>
        <v>#DIV/0!</v>
      </c>
      <c r="P94" s="38" t="e">
        <f t="shared" si="28"/>
        <v>#DIV/0!</v>
      </c>
      <c r="Q94" s="53"/>
      <c r="R94" s="53">
        <f t="shared" si="38"/>
        <v>0</v>
      </c>
      <c r="S94" s="53">
        <f t="shared" si="39"/>
        <v>0</v>
      </c>
      <c r="T94" s="53">
        <f t="shared" si="40"/>
        <v>0.05</v>
      </c>
      <c r="U94" s="53">
        <f t="shared" si="42"/>
        <v>4.2653187775606449E-3</v>
      </c>
    </row>
    <row r="95" spans="1:21" x14ac:dyDescent="0.2">
      <c r="A95" s="62" t="e">
        <f t="shared" si="29"/>
        <v>#DIV/0!</v>
      </c>
      <c r="B95" s="45">
        <f t="shared" si="33"/>
        <v>81</v>
      </c>
      <c r="C95" s="51" t="e">
        <f t="shared" si="34"/>
        <v>#DIV/0!</v>
      </c>
      <c r="D95" s="47" t="e" cm="1">
        <f t="array" ref="D95">_xlfn.IFS(AND($C$7="Y",B95&lt;C$4),C95,AND($C$7="Y",B95=C$4),D94+F95-J95-K95-L95+N95,AND($C$7="Y",B95&gt;$C$4),D94-J95-K95-L95+N95, TRUE, D94-J95-K95-L95+N95)</f>
        <v>#DIV/0!</v>
      </c>
      <c r="E95" s="48">
        <f t="shared" si="35"/>
        <v>0</v>
      </c>
      <c r="F95" s="50">
        <f t="shared" si="36"/>
        <v>0</v>
      </c>
      <c r="G95" s="50">
        <f t="shared" si="43"/>
        <v>0</v>
      </c>
      <c r="H95" s="51" t="e">
        <f t="shared" si="44"/>
        <v>#DIV/0!</v>
      </c>
      <c r="I95" s="52" t="e">
        <f t="shared" si="30"/>
        <v>#DIV/0!</v>
      </c>
      <c r="J95" s="52" t="e">
        <f t="shared" si="31"/>
        <v>#DIV/0!</v>
      </c>
      <c r="K95" s="51" t="e">
        <f t="shared" si="41"/>
        <v>#DIV/0!</v>
      </c>
      <c r="L95" s="49" t="e">
        <f t="shared" si="37"/>
        <v>#DIV/0!</v>
      </c>
      <c r="M95" s="49">
        <f t="shared" si="27"/>
        <v>0</v>
      </c>
      <c r="N95" s="49">
        <f t="shared" si="26"/>
        <v>0</v>
      </c>
      <c r="O95" s="48" t="e">
        <f t="shared" si="32"/>
        <v>#DIV/0!</v>
      </c>
      <c r="P95" s="38" t="e">
        <f t="shared" si="28"/>
        <v>#DIV/0!</v>
      </c>
      <c r="Q95" s="53"/>
      <c r="R95" s="53">
        <f t="shared" si="38"/>
        <v>0</v>
      </c>
      <c r="S95" s="53">
        <f t="shared" si="39"/>
        <v>0</v>
      </c>
      <c r="T95" s="53">
        <f t="shared" si="40"/>
        <v>0.05</v>
      </c>
      <c r="U95" s="53">
        <f t="shared" si="42"/>
        <v>4.2653187775606449E-3</v>
      </c>
    </row>
    <row r="96" spans="1:21" x14ac:dyDescent="0.2">
      <c r="A96" s="62" t="e">
        <f t="shared" si="29"/>
        <v>#DIV/0!</v>
      </c>
      <c r="B96" s="45">
        <f t="shared" si="33"/>
        <v>82</v>
      </c>
      <c r="C96" s="51" t="e">
        <f t="shared" si="34"/>
        <v>#DIV/0!</v>
      </c>
      <c r="D96" s="47" t="e" cm="1">
        <f t="array" ref="D96">_xlfn.IFS(AND($C$7="Y",B96&lt;C$4),C96,AND($C$7="Y",B96=C$4),D95+F96-J96-K96-L96+N96,AND($C$7="Y",B96&gt;$C$4),D95-J96-K96-L96+N96, TRUE, D95-J96-K96-L96+N96)</f>
        <v>#DIV/0!</v>
      </c>
      <c r="E96" s="48">
        <f t="shared" si="35"/>
        <v>0</v>
      </c>
      <c r="F96" s="50">
        <f t="shared" si="36"/>
        <v>0</v>
      </c>
      <c r="G96" s="50">
        <f t="shared" si="43"/>
        <v>0</v>
      </c>
      <c r="H96" s="51" t="e">
        <f t="shared" si="44"/>
        <v>#DIV/0!</v>
      </c>
      <c r="I96" s="52" t="e">
        <f t="shared" si="30"/>
        <v>#DIV/0!</v>
      </c>
      <c r="J96" s="52" t="e">
        <f t="shared" si="31"/>
        <v>#DIV/0!</v>
      </c>
      <c r="K96" s="51" t="e">
        <f t="shared" si="41"/>
        <v>#DIV/0!</v>
      </c>
      <c r="L96" s="49" t="e">
        <f t="shared" si="37"/>
        <v>#DIV/0!</v>
      </c>
      <c r="M96" s="49">
        <f t="shared" si="27"/>
        <v>0</v>
      </c>
      <c r="N96" s="49">
        <f t="shared" si="26"/>
        <v>0</v>
      </c>
      <c r="O96" s="48" t="e">
        <f t="shared" si="32"/>
        <v>#DIV/0!</v>
      </c>
      <c r="P96" s="38" t="e">
        <f t="shared" si="28"/>
        <v>#DIV/0!</v>
      </c>
      <c r="Q96" s="53"/>
      <c r="R96" s="53">
        <f t="shared" si="38"/>
        <v>0</v>
      </c>
      <c r="S96" s="53">
        <f t="shared" si="39"/>
        <v>0</v>
      </c>
      <c r="T96" s="53">
        <f t="shared" si="40"/>
        <v>0.05</v>
      </c>
      <c r="U96" s="53">
        <f t="shared" si="42"/>
        <v>4.2653187775606449E-3</v>
      </c>
    </row>
    <row r="97" spans="1:21" x14ac:dyDescent="0.2">
      <c r="A97" s="62" t="e">
        <f t="shared" si="29"/>
        <v>#DIV/0!</v>
      </c>
      <c r="B97" s="45">
        <f t="shared" si="33"/>
        <v>83</v>
      </c>
      <c r="C97" s="51" t="e">
        <f t="shared" si="34"/>
        <v>#DIV/0!</v>
      </c>
      <c r="D97" s="47" t="e" cm="1">
        <f t="array" ref="D97">_xlfn.IFS(AND($C$7="Y",B97&lt;C$4),C97,AND($C$7="Y",B97=C$4),D96+F97-J97-K97-L97+N97,AND($C$7="Y",B97&gt;$C$4),D96-J97-K97-L97+N97, TRUE, D96-J97-K97-L97+N97)</f>
        <v>#DIV/0!</v>
      </c>
      <c r="E97" s="48">
        <f t="shared" si="35"/>
        <v>0</v>
      </c>
      <c r="F97" s="50">
        <f t="shared" si="36"/>
        <v>0</v>
      </c>
      <c r="G97" s="50">
        <f t="shared" si="43"/>
        <v>0</v>
      </c>
      <c r="H97" s="51" t="e">
        <f t="shared" si="44"/>
        <v>#DIV/0!</v>
      </c>
      <c r="I97" s="52" t="e">
        <f t="shared" si="30"/>
        <v>#DIV/0!</v>
      </c>
      <c r="J97" s="52" t="e">
        <f t="shared" si="31"/>
        <v>#DIV/0!</v>
      </c>
      <c r="K97" s="51" t="e">
        <f t="shared" si="41"/>
        <v>#DIV/0!</v>
      </c>
      <c r="L97" s="49" t="e">
        <f t="shared" si="37"/>
        <v>#DIV/0!</v>
      </c>
      <c r="M97" s="49">
        <f t="shared" si="27"/>
        <v>0</v>
      </c>
      <c r="N97" s="49">
        <f t="shared" si="26"/>
        <v>0</v>
      </c>
      <c r="O97" s="48" t="e">
        <f t="shared" si="32"/>
        <v>#DIV/0!</v>
      </c>
      <c r="P97" s="38" t="e">
        <f t="shared" si="28"/>
        <v>#DIV/0!</v>
      </c>
      <c r="Q97" s="53"/>
      <c r="R97" s="53">
        <f t="shared" si="38"/>
        <v>0</v>
      </c>
      <c r="S97" s="53">
        <f t="shared" si="39"/>
        <v>0</v>
      </c>
      <c r="T97" s="53">
        <f t="shared" si="40"/>
        <v>0.05</v>
      </c>
      <c r="U97" s="53">
        <f t="shared" si="42"/>
        <v>4.2653187775606449E-3</v>
      </c>
    </row>
    <row r="98" spans="1:21" x14ac:dyDescent="0.2">
      <c r="A98" s="62" t="e">
        <f t="shared" si="29"/>
        <v>#DIV/0!</v>
      </c>
      <c r="B98" s="45">
        <f t="shared" si="33"/>
        <v>84</v>
      </c>
      <c r="C98" s="51" t="e">
        <f t="shared" si="34"/>
        <v>#DIV/0!</v>
      </c>
      <c r="D98" s="47" t="e" cm="1">
        <f t="array" ref="D98">_xlfn.IFS(AND($C$7="Y",B98&lt;C$4),C98,AND($C$7="Y",B98=C$4),D97+F98-J98-K98-L98+N98,AND($C$7="Y",B98&gt;$C$4),D97-J98-K98-L98+N98, TRUE, D97-J98-K98-L98+N98)</f>
        <v>#DIV/0!</v>
      </c>
      <c r="E98" s="48">
        <f t="shared" si="35"/>
        <v>0</v>
      </c>
      <c r="F98" s="50">
        <f t="shared" si="36"/>
        <v>0</v>
      </c>
      <c r="G98" s="50">
        <f t="shared" si="43"/>
        <v>0</v>
      </c>
      <c r="H98" s="51" t="e">
        <f t="shared" si="44"/>
        <v>#DIV/0!</v>
      </c>
      <c r="I98" s="52" t="e">
        <f t="shared" si="30"/>
        <v>#DIV/0!</v>
      </c>
      <c r="J98" s="52" t="e">
        <f t="shared" si="31"/>
        <v>#DIV/0!</v>
      </c>
      <c r="K98" s="51" t="e">
        <f t="shared" si="41"/>
        <v>#DIV/0!</v>
      </c>
      <c r="L98" s="49" t="e">
        <f t="shared" si="37"/>
        <v>#DIV/0!</v>
      </c>
      <c r="M98" s="49">
        <f t="shared" si="27"/>
        <v>0</v>
      </c>
      <c r="N98" s="49">
        <f t="shared" si="26"/>
        <v>0</v>
      </c>
      <c r="O98" s="48" t="e">
        <f t="shared" si="32"/>
        <v>#DIV/0!</v>
      </c>
      <c r="P98" s="38" t="e">
        <f t="shared" si="28"/>
        <v>#DIV/0!</v>
      </c>
      <c r="Q98" s="53"/>
      <c r="R98" s="53">
        <f t="shared" si="38"/>
        <v>0</v>
      </c>
      <c r="S98" s="53">
        <f t="shared" si="39"/>
        <v>0</v>
      </c>
      <c r="T98" s="53">
        <f t="shared" si="40"/>
        <v>0.05</v>
      </c>
      <c r="U98" s="53">
        <f t="shared" si="42"/>
        <v>4.2653187775606449E-3</v>
      </c>
    </row>
    <row r="99" spans="1:21" x14ac:dyDescent="0.2">
      <c r="A99" s="62" t="e">
        <f t="shared" si="29"/>
        <v>#DIV/0!</v>
      </c>
      <c r="B99" s="45">
        <f t="shared" si="33"/>
        <v>85</v>
      </c>
      <c r="C99" s="51" t="e">
        <f t="shared" si="34"/>
        <v>#DIV/0!</v>
      </c>
      <c r="D99" s="47" t="e" cm="1">
        <f t="array" ref="D99">_xlfn.IFS(AND($C$7="Y",B99&lt;C$4),C99,AND($C$7="Y",B99=C$4),D98+F99-J99-K99-L99+N99,AND($C$7="Y",B99&gt;$C$4),D98-J99-K99-L99+N99, TRUE, D98-J99-K99-L99+N99)</f>
        <v>#DIV/0!</v>
      </c>
      <c r="E99" s="48">
        <f t="shared" si="35"/>
        <v>0</v>
      </c>
      <c r="F99" s="50">
        <f t="shared" si="36"/>
        <v>0</v>
      </c>
      <c r="G99" s="50">
        <f t="shared" si="43"/>
        <v>0</v>
      </c>
      <c r="H99" s="51" t="e">
        <f t="shared" si="44"/>
        <v>#DIV/0!</v>
      </c>
      <c r="I99" s="52" t="e">
        <f t="shared" si="30"/>
        <v>#DIV/0!</v>
      </c>
      <c r="J99" s="52" t="e">
        <f t="shared" si="31"/>
        <v>#DIV/0!</v>
      </c>
      <c r="K99" s="51" t="e">
        <f t="shared" si="41"/>
        <v>#DIV/0!</v>
      </c>
      <c r="L99" s="49" t="e">
        <f t="shared" si="37"/>
        <v>#DIV/0!</v>
      </c>
      <c r="M99" s="49">
        <f t="shared" si="27"/>
        <v>0</v>
      </c>
      <c r="N99" s="49">
        <f t="shared" ref="N99:N162" si="45">IFERROR((1-$N$12)*L95,0)</f>
        <v>0</v>
      </c>
      <c r="O99" s="48" t="e">
        <f t="shared" si="32"/>
        <v>#DIV/0!</v>
      </c>
      <c r="P99" s="38" t="e">
        <f t="shared" si="28"/>
        <v>#DIV/0!</v>
      </c>
      <c r="Q99" s="53"/>
      <c r="R99" s="53">
        <f t="shared" si="38"/>
        <v>0</v>
      </c>
      <c r="S99" s="53">
        <f t="shared" si="39"/>
        <v>0</v>
      </c>
      <c r="T99" s="53">
        <f t="shared" si="40"/>
        <v>0.05</v>
      </c>
      <c r="U99" s="53">
        <f t="shared" si="42"/>
        <v>4.2653187775606449E-3</v>
      </c>
    </row>
    <row r="100" spans="1:21" x14ac:dyDescent="0.2">
      <c r="A100" s="62" t="e">
        <f t="shared" si="29"/>
        <v>#DIV/0!</v>
      </c>
      <c r="B100" s="45">
        <f t="shared" si="33"/>
        <v>86</v>
      </c>
      <c r="C100" s="51" t="e">
        <f t="shared" si="34"/>
        <v>#DIV/0!</v>
      </c>
      <c r="D100" s="47" t="e" cm="1">
        <f t="array" ref="D100">_xlfn.IFS(AND($C$7="Y",B100&lt;C$4),C100,AND($C$7="Y",B100=C$4),D99+F100-J100-K100-L100+N100,AND($C$7="Y",B100&gt;$C$4),D99-J100-K100-L100+N100, TRUE, D99-J100-K100-L100+N100)</f>
        <v>#DIV/0!</v>
      </c>
      <c r="E100" s="48">
        <f t="shared" si="35"/>
        <v>0</v>
      </c>
      <c r="F100" s="50">
        <f t="shared" si="36"/>
        <v>0</v>
      </c>
      <c r="G100" s="50">
        <f t="shared" si="43"/>
        <v>0</v>
      </c>
      <c r="H100" s="51" t="e">
        <f t="shared" si="44"/>
        <v>#DIV/0!</v>
      </c>
      <c r="I100" s="52" t="e">
        <f t="shared" si="30"/>
        <v>#DIV/0!</v>
      </c>
      <c r="J100" s="52" t="e">
        <f t="shared" si="31"/>
        <v>#DIV/0!</v>
      </c>
      <c r="K100" s="51" t="e">
        <f t="shared" si="41"/>
        <v>#DIV/0!</v>
      </c>
      <c r="L100" s="49" t="e">
        <f t="shared" si="37"/>
        <v>#DIV/0!</v>
      </c>
      <c r="M100" s="49">
        <f t="shared" si="27"/>
        <v>0</v>
      </c>
      <c r="N100" s="49">
        <f t="shared" si="45"/>
        <v>0</v>
      </c>
      <c r="O100" s="48" t="e">
        <f t="shared" si="32"/>
        <v>#DIV/0!</v>
      </c>
      <c r="P100" s="38" t="e">
        <f t="shared" si="28"/>
        <v>#DIV/0!</v>
      </c>
      <c r="Q100" s="53"/>
      <c r="R100" s="53">
        <f t="shared" si="38"/>
        <v>0</v>
      </c>
      <c r="S100" s="53">
        <f t="shared" si="39"/>
        <v>0</v>
      </c>
      <c r="T100" s="53">
        <f t="shared" si="40"/>
        <v>0.05</v>
      </c>
      <c r="U100" s="53">
        <f t="shared" si="42"/>
        <v>4.2653187775606449E-3</v>
      </c>
    </row>
    <row r="101" spans="1:21" x14ac:dyDescent="0.2">
      <c r="A101" s="62" t="e">
        <f t="shared" si="29"/>
        <v>#DIV/0!</v>
      </c>
      <c r="B101" s="45">
        <f t="shared" si="33"/>
        <v>87</v>
      </c>
      <c r="C101" s="51" t="e">
        <f t="shared" si="34"/>
        <v>#DIV/0!</v>
      </c>
      <c r="D101" s="47" t="e" cm="1">
        <f t="array" ref="D101">_xlfn.IFS(AND($C$7="Y",B101&lt;C$4),C101,AND($C$7="Y",B101=C$4),D100+F101-J101-K101-L101+N101,AND($C$7="Y",B101&gt;$C$4),D100-J101-K101-L101+N101, TRUE, D100-J101-K101-L101+N101)</f>
        <v>#DIV/0!</v>
      </c>
      <c r="E101" s="48">
        <f t="shared" si="35"/>
        <v>0</v>
      </c>
      <c r="F101" s="50">
        <f t="shared" si="36"/>
        <v>0</v>
      </c>
      <c r="G101" s="50">
        <f t="shared" si="43"/>
        <v>0</v>
      </c>
      <c r="H101" s="51" t="e">
        <f t="shared" si="44"/>
        <v>#DIV/0!</v>
      </c>
      <c r="I101" s="52" t="e">
        <f t="shared" si="30"/>
        <v>#DIV/0!</v>
      </c>
      <c r="J101" s="52" t="e">
        <f t="shared" si="31"/>
        <v>#DIV/0!</v>
      </c>
      <c r="K101" s="51" t="e">
        <f t="shared" si="41"/>
        <v>#DIV/0!</v>
      </c>
      <c r="L101" s="49" t="e">
        <f t="shared" si="37"/>
        <v>#DIV/0!</v>
      </c>
      <c r="M101" s="49">
        <f t="shared" si="27"/>
        <v>0</v>
      </c>
      <c r="N101" s="49">
        <f t="shared" si="45"/>
        <v>0</v>
      </c>
      <c r="O101" s="48" t="e">
        <f t="shared" si="32"/>
        <v>#DIV/0!</v>
      </c>
      <c r="P101" s="38" t="e">
        <f t="shared" si="28"/>
        <v>#DIV/0!</v>
      </c>
      <c r="Q101" s="53"/>
      <c r="R101" s="53">
        <f t="shared" si="38"/>
        <v>0</v>
      </c>
      <c r="S101" s="53">
        <f t="shared" si="39"/>
        <v>0</v>
      </c>
      <c r="T101" s="53">
        <f t="shared" si="40"/>
        <v>0.05</v>
      </c>
      <c r="U101" s="53">
        <f t="shared" si="42"/>
        <v>4.2653187775606449E-3</v>
      </c>
    </row>
    <row r="102" spans="1:21" x14ac:dyDescent="0.2">
      <c r="A102" s="62" t="e">
        <f t="shared" si="29"/>
        <v>#DIV/0!</v>
      </c>
      <c r="B102" s="45">
        <f t="shared" si="33"/>
        <v>88</v>
      </c>
      <c r="C102" s="51" t="e">
        <f t="shared" si="34"/>
        <v>#DIV/0!</v>
      </c>
      <c r="D102" s="47" t="e" cm="1">
        <f t="array" ref="D102">_xlfn.IFS(AND($C$7="Y",B102&lt;C$4),C102,AND($C$7="Y",B102=C$4),D101+F102-J102-K102-L102+N102,AND($C$7="Y",B102&gt;$C$4),D101-J102-K102-L102+N102, TRUE, D101-J102-K102-L102+N102)</f>
        <v>#DIV/0!</v>
      </c>
      <c r="E102" s="48">
        <f t="shared" si="35"/>
        <v>0</v>
      </c>
      <c r="F102" s="50">
        <f t="shared" si="36"/>
        <v>0</v>
      </c>
      <c r="G102" s="50">
        <f t="shared" si="43"/>
        <v>0</v>
      </c>
      <c r="H102" s="51" t="e">
        <f t="shared" si="44"/>
        <v>#DIV/0!</v>
      </c>
      <c r="I102" s="52" t="e">
        <f t="shared" si="30"/>
        <v>#DIV/0!</v>
      </c>
      <c r="J102" s="52" t="e">
        <f t="shared" si="31"/>
        <v>#DIV/0!</v>
      </c>
      <c r="K102" s="51" t="e">
        <f t="shared" si="41"/>
        <v>#DIV/0!</v>
      </c>
      <c r="L102" s="49" t="e">
        <f t="shared" si="37"/>
        <v>#DIV/0!</v>
      </c>
      <c r="M102" s="49">
        <f t="shared" si="27"/>
        <v>0</v>
      </c>
      <c r="N102" s="49">
        <f t="shared" si="45"/>
        <v>0</v>
      </c>
      <c r="O102" s="48" t="e">
        <f t="shared" si="32"/>
        <v>#DIV/0!</v>
      </c>
      <c r="P102" s="38" t="e">
        <f t="shared" si="28"/>
        <v>#DIV/0!</v>
      </c>
      <c r="Q102" s="53"/>
      <c r="R102" s="53">
        <f t="shared" si="38"/>
        <v>0</v>
      </c>
      <c r="S102" s="53">
        <f t="shared" si="39"/>
        <v>0</v>
      </c>
      <c r="T102" s="53">
        <f t="shared" si="40"/>
        <v>0.05</v>
      </c>
      <c r="U102" s="53">
        <f t="shared" si="42"/>
        <v>4.2653187775606449E-3</v>
      </c>
    </row>
    <row r="103" spans="1:21" x14ac:dyDescent="0.2">
      <c r="A103" s="62" t="e">
        <f t="shared" si="29"/>
        <v>#DIV/0!</v>
      </c>
      <c r="B103" s="45">
        <f t="shared" si="33"/>
        <v>89</v>
      </c>
      <c r="C103" s="51" t="e">
        <f t="shared" si="34"/>
        <v>#DIV/0!</v>
      </c>
      <c r="D103" s="47" t="e" cm="1">
        <f t="array" ref="D103">_xlfn.IFS(AND($C$7="Y",B103&lt;C$4),C103,AND($C$7="Y",B103=C$4),D102+F103-J103-K103-L103+N103,AND($C$7="Y",B103&gt;$C$4),D102-J103-K103-L103+N103, TRUE, D102-J103-K103-L103+N103)</f>
        <v>#DIV/0!</v>
      </c>
      <c r="E103" s="48">
        <f t="shared" si="35"/>
        <v>0</v>
      </c>
      <c r="F103" s="50">
        <f t="shared" si="36"/>
        <v>0</v>
      </c>
      <c r="G103" s="50">
        <f t="shared" si="43"/>
        <v>0</v>
      </c>
      <c r="H103" s="51" t="e">
        <f t="shared" si="44"/>
        <v>#DIV/0!</v>
      </c>
      <c r="I103" s="52" t="e">
        <f t="shared" si="30"/>
        <v>#DIV/0!</v>
      </c>
      <c r="J103" s="52" t="e">
        <f t="shared" si="31"/>
        <v>#DIV/0!</v>
      </c>
      <c r="K103" s="51" t="e">
        <f t="shared" si="41"/>
        <v>#DIV/0!</v>
      </c>
      <c r="L103" s="49" t="e">
        <f t="shared" si="37"/>
        <v>#DIV/0!</v>
      </c>
      <c r="M103" s="49">
        <f t="shared" si="27"/>
        <v>0</v>
      </c>
      <c r="N103" s="49">
        <f t="shared" si="45"/>
        <v>0</v>
      </c>
      <c r="O103" s="48" t="e">
        <f t="shared" si="32"/>
        <v>#DIV/0!</v>
      </c>
      <c r="P103" s="38" t="e">
        <f t="shared" si="28"/>
        <v>#DIV/0!</v>
      </c>
      <c r="Q103" s="53"/>
      <c r="R103" s="53">
        <f t="shared" si="38"/>
        <v>0</v>
      </c>
      <c r="S103" s="53">
        <f t="shared" si="39"/>
        <v>0</v>
      </c>
      <c r="T103" s="53">
        <f t="shared" si="40"/>
        <v>0.05</v>
      </c>
      <c r="U103" s="53">
        <f t="shared" si="42"/>
        <v>4.2653187775606449E-3</v>
      </c>
    </row>
    <row r="104" spans="1:21" x14ac:dyDescent="0.2">
      <c r="A104" s="62" t="e">
        <f t="shared" si="29"/>
        <v>#DIV/0!</v>
      </c>
      <c r="B104" s="45">
        <f t="shared" si="33"/>
        <v>90</v>
      </c>
      <c r="C104" s="51" t="e">
        <f t="shared" si="34"/>
        <v>#DIV/0!</v>
      </c>
      <c r="D104" s="47" t="e" cm="1">
        <f t="array" ref="D104">_xlfn.IFS(AND($C$7="Y",B104&lt;C$4),C104,AND($C$7="Y",B104=C$4),D103+F104-J104-K104-L104+N104,AND($C$7="Y",B104&gt;$C$4),D103-J104-K104-L104+N104, TRUE, D103-J104-K104-L104+N104)</f>
        <v>#DIV/0!</v>
      </c>
      <c r="E104" s="48">
        <f t="shared" si="35"/>
        <v>0</v>
      </c>
      <c r="F104" s="50">
        <f t="shared" si="36"/>
        <v>0</v>
      </c>
      <c r="G104" s="50">
        <f t="shared" si="43"/>
        <v>0</v>
      </c>
      <c r="H104" s="51" t="e">
        <f t="shared" si="44"/>
        <v>#DIV/0!</v>
      </c>
      <c r="I104" s="52" t="e">
        <f t="shared" si="30"/>
        <v>#DIV/0!</v>
      </c>
      <c r="J104" s="52" t="e">
        <f t="shared" si="31"/>
        <v>#DIV/0!</v>
      </c>
      <c r="K104" s="51" t="e">
        <f t="shared" si="41"/>
        <v>#DIV/0!</v>
      </c>
      <c r="L104" s="49" t="e">
        <f t="shared" si="37"/>
        <v>#DIV/0!</v>
      </c>
      <c r="M104" s="49">
        <f t="shared" si="27"/>
        <v>0</v>
      </c>
      <c r="N104" s="49">
        <f t="shared" si="45"/>
        <v>0</v>
      </c>
      <c r="O104" s="48" t="e">
        <f t="shared" si="32"/>
        <v>#DIV/0!</v>
      </c>
      <c r="P104" s="38" t="e">
        <f t="shared" si="28"/>
        <v>#DIV/0!</v>
      </c>
      <c r="Q104" s="53"/>
      <c r="R104" s="53">
        <f t="shared" si="38"/>
        <v>0</v>
      </c>
      <c r="S104" s="53">
        <f t="shared" si="39"/>
        <v>0</v>
      </c>
      <c r="T104" s="53">
        <f t="shared" si="40"/>
        <v>0.05</v>
      </c>
      <c r="U104" s="53">
        <f t="shared" si="42"/>
        <v>4.2653187775606449E-3</v>
      </c>
    </row>
    <row r="105" spans="1:21" x14ac:dyDescent="0.2">
      <c r="A105" s="62" t="e">
        <f t="shared" si="29"/>
        <v>#DIV/0!</v>
      </c>
      <c r="B105" s="45">
        <f t="shared" si="33"/>
        <v>91</v>
      </c>
      <c r="C105" s="51" t="e">
        <f t="shared" si="34"/>
        <v>#DIV/0!</v>
      </c>
      <c r="D105" s="47" t="e" cm="1">
        <f t="array" ref="D105">_xlfn.IFS(AND($C$7="Y",B105&lt;C$4),C105,AND($C$7="Y",B105=C$4),D104+F105-J105-K105-L105+N105,AND($C$7="Y",B105&gt;$C$4),D104-J105-K105-L105+N105, TRUE, D104-J105-K105-L105+N105)</f>
        <v>#DIV/0!</v>
      </c>
      <c r="E105" s="48">
        <f t="shared" si="35"/>
        <v>0</v>
      </c>
      <c r="F105" s="50">
        <f t="shared" si="36"/>
        <v>0</v>
      </c>
      <c r="G105" s="50">
        <f t="shared" si="43"/>
        <v>0</v>
      </c>
      <c r="H105" s="51" t="e">
        <f t="shared" si="44"/>
        <v>#DIV/0!</v>
      </c>
      <c r="I105" s="52" t="e">
        <f t="shared" si="30"/>
        <v>#DIV/0!</v>
      </c>
      <c r="J105" s="52" t="e">
        <f t="shared" si="31"/>
        <v>#DIV/0!</v>
      </c>
      <c r="K105" s="51" t="e">
        <f t="shared" si="41"/>
        <v>#DIV/0!</v>
      </c>
      <c r="L105" s="49" t="e">
        <f t="shared" si="37"/>
        <v>#DIV/0!</v>
      </c>
      <c r="M105" s="49">
        <f t="shared" si="27"/>
        <v>0</v>
      </c>
      <c r="N105" s="49">
        <f t="shared" si="45"/>
        <v>0</v>
      </c>
      <c r="O105" s="48" t="e">
        <f t="shared" si="32"/>
        <v>#DIV/0!</v>
      </c>
      <c r="P105" s="38" t="e">
        <f t="shared" si="28"/>
        <v>#DIV/0!</v>
      </c>
      <c r="Q105" s="53"/>
      <c r="R105" s="53">
        <f t="shared" si="38"/>
        <v>0</v>
      </c>
      <c r="S105" s="53">
        <f t="shared" si="39"/>
        <v>0</v>
      </c>
      <c r="T105" s="53">
        <f t="shared" si="40"/>
        <v>0.05</v>
      </c>
      <c r="U105" s="53">
        <f t="shared" si="42"/>
        <v>4.2653187775606449E-3</v>
      </c>
    </row>
    <row r="106" spans="1:21" x14ac:dyDescent="0.2">
      <c r="A106" s="62" t="e">
        <f t="shared" si="29"/>
        <v>#DIV/0!</v>
      </c>
      <c r="B106" s="45">
        <f t="shared" si="33"/>
        <v>92</v>
      </c>
      <c r="C106" s="51" t="e">
        <f t="shared" si="34"/>
        <v>#DIV/0!</v>
      </c>
      <c r="D106" s="47" t="e" cm="1">
        <f t="array" ref="D106">_xlfn.IFS(AND($C$7="Y",B106&lt;C$4),C106,AND($C$7="Y",B106=C$4),D105+F106-J106-K106-L106+N106,AND($C$7="Y",B106&gt;$C$4),D105-J106-K106-L106+N106, TRUE, D105-J106-K106-L106+N106)</f>
        <v>#DIV/0!</v>
      </c>
      <c r="E106" s="48">
        <f t="shared" si="35"/>
        <v>0</v>
      </c>
      <c r="F106" s="50">
        <f t="shared" si="36"/>
        <v>0</v>
      </c>
      <c r="G106" s="50">
        <f t="shared" si="43"/>
        <v>0</v>
      </c>
      <c r="H106" s="51" t="e">
        <f t="shared" si="44"/>
        <v>#DIV/0!</v>
      </c>
      <c r="I106" s="52" t="e">
        <f t="shared" si="30"/>
        <v>#DIV/0!</v>
      </c>
      <c r="J106" s="52" t="e">
        <f t="shared" si="31"/>
        <v>#DIV/0!</v>
      </c>
      <c r="K106" s="51" t="e">
        <f t="shared" si="41"/>
        <v>#DIV/0!</v>
      </c>
      <c r="L106" s="49" t="e">
        <f t="shared" si="37"/>
        <v>#DIV/0!</v>
      </c>
      <c r="M106" s="49">
        <f t="shared" si="27"/>
        <v>0</v>
      </c>
      <c r="N106" s="49">
        <f t="shared" si="45"/>
        <v>0</v>
      </c>
      <c r="O106" s="48" t="e">
        <f t="shared" si="32"/>
        <v>#DIV/0!</v>
      </c>
      <c r="P106" s="38" t="e">
        <f t="shared" si="28"/>
        <v>#DIV/0!</v>
      </c>
      <c r="Q106" s="53"/>
      <c r="R106" s="53">
        <f t="shared" si="38"/>
        <v>0</v>
      </c>
      <c r="S106" s="53">
        <f t="shared" si="39"/>
        <v>0</v>
      </c>
      <c r="T106" s="53">
        <f t="shared" si="40"/>
        <v>0.05</v>
      </c>
      <c r="U106" s="53">
        <f t="shared" si="42"/>
        <v>4.2653187775606449E-3</v>
      </c>
    </row>
    <row r="107" spans="1:21" x14ac:dyDescent="0.2">
      <c r="A107" s="62" t="e">
        <f t="shared" si="29"/>
        <v>#DIV/0!</v>
      </c>
      <c r="B107" s="45">
        <f t="shared" si="33"/>
        <v>93</v>
      </c>
      <c r="C107" s="51" t="e">
        <f t="shared" si="34"/>
        <v>#DIV/0!</v>
      </c>
      <c r="D107" s="47" t="e" cm="1">
        <f t="array" ref="D107">_xlfn.IFS(AND($C$7="Y",B107&lt;C$4),C107,AND($C$7="Y",B107=C$4),D106+F107-J107-K107-L107+N107,AND($C$7="Y",B107&gt;$C$4),D106-J107-K107-L107+N107, TRUE, D106-J107-K107-L107+N107)</f>
        <v>#DIV/0!</v>
      </c>
      <c r="E107" s="48">
        <f t="shared" si="35"/>
        <v>0</v>
      </c>
      <c r="F107" s="50">
        <f t="shared" si="36"/>
        <v>0</v>
      </c>
      <c r="G107" s="50">
        <f t="shared" si="43"/>
        <v>0</v>
      </c>
      <c r="H107" s="51" t="e">
        <f t="shared" si="44"/>
        <v>#DIV/0!</v>
      </c>
      <c r="I107" s="52" t="e">
        <f t="shared" si="30"/>
        <v>#DIV/0!</v>
      </c>
      <c r="J107" s="52" t="e">
        <f t="shared" si="31"/>
        <v>#DIV/0!</v>
      </c>
      <c r="K107" s="51" t="e">
        <f t="shared" si="41"/>
        <v>#DIV/0!</v>
      </c>
      <c r="L107" s="49" t="e">
        <f t="shared" si="37"/>
        <v>#DIV/0!</v>
      </c>
      <c r="M107" s="49">
        <f t="shared" si="27"/>
        <v>0</v>
      </c>
      <c r="N107" s="49">
        <f t="shared" si="45"/>
        <v>0</v>
      </c>
      <c r="O107" s="48" t="e">
        <f t="shared" si="32"/>
        <v>#DIV/0!</v>
      </c>
      <c r="P107" s="38" t="e">
        <f t="shared" si="28"/>
        <v>#DIV/0!</v>
      </c>
      <c r="Q107" s="53"/>
      <c r="R107" s="53">
        <f t="shared" si="38"/>
        <v>0</v>
      </c>
      <c r="S107" s="53">
        <f t="shared" si="39"/>
        <v>0</v>
      </c>
      <c r="T107" s="53">
        <f t="shared" si="40"/>
        <v>0.05</v>
      </c>
      <c r="U107" s="53">
        <f t="shared" si="42"/>
        <v>4.2653187775606449E-3</v>
      </c>
    </row>
    <row r="108" spans="1:21" x14ac:dyDescent="0.2">
      <c r="A108" s="62" t="e">
        <f t="shared" si="29"/>
        <v>#DIV/0!</v>
      </c>
      <c r="B108" s="45">
        <f t="shared" si="33"/>
        <v>94</v>
      </c>
      <c r="C108" s="51" t="e">
        <f t="shared" si="34"/>
        <v>#DIV/0!</v>
      </c>
      <c r="D108" s="47" t="e" cm="1">
        <f t="array" ref="D108">_xlfn.IFS(AND($C$7="Y",B108&lt;C$4),C108,AND($C$7="Y",B108=C$4),D107+F108-J108-K108-L108+N108,AND($C$7="Y",B108&gt;$C$4),D107-J108-K108-L108+N108, TRUE, D107-J108-K108-L108+N108)</f>
        <v>#DIV/0!</v>
      </c>
      <c r="E108" s="48">
        <f t="shared" si="35"/>
        <v>0</v>
      </c>
      <c r="F108" s="50">
        <f t="shared" si="36"/>
        <v>0</v>
      </c>
      <c r="G108" s="50">
        <f t="shared" si="43"/>
        <v>0</v>
      </c>
      <c r="H108" s="51" t="e">
        <f t="shared" si="44"/>
        <v>#DIV/0!</v>
      </c>
      <c r="I108" s="52" t="e">
        <f t="shared" si="30"/>
        <v>#DIV/0!</v>
      </c>
      <c r="J108" s="52" t="e">
        <f t="shared" si="31"/>
        <v>#DIV/0!</v>
      </c>
      <c r="K108" s="51" t="e">
        <f t="shared" si="41"/>
        <v>#DIV/0!</v>
      </c>
      <c r="L108" s="49" t="e">
        <f t="shared" si="37"/>
        <v>#DIV/0!</v>
      </c>
      <c r="M108" s="49">
        <f t="shared" si="27"/>
        <v>0</v>
      </c>
      <c r="N108" s="49">
        <f t="shared" si="45"/>
        <v>0</v>
      </c>
      <c r="O108" s="48" t="e">
        <f t="shared" si="32"/>
        <v>#DIV/0!</v>
      </c>
      <c r="P108" s="38" t="e">
        <f t="shared" si="28"/>
        <v>#DIV/0!</v>
      </c>
      <c r="Q108" s="53"/>
      <c r="R108" s="53">
        <f t="shared" si="38"/>
        <v>0</v>
      </c>
      <c r="S108" s="53">
        <f t="shared" si="39"/>
        <v>0</v>
      </c>
      <c r="T108" s="53">
        <f t="shared" si="40"/>
        <v>0.05</v>
      </c>
      <c r="U108" s="53">
        <f t="shared" si="42"/>
        <v>4.2653187775606449E-3</v>
      </c>
    </row>
    <row r="109" spans="1:21" x14ac:dyDescent="0.2">
      <c r="A109" s="62" t="e">
        <f t="shared" si="29"/>
        <v>#DIV/0!</v>
      </c>
      <c r="B109" s="45">
        <f t="shared" si="33"/>
        <v>95</v>
      </c>
      <c r="C109" s="51" t="e">
        <f t="shared" si="34"/>
        <v>#DIV/0!</v>
      </c>
      <c r="D109" s="47" t="e" cm="1">
        <f t="array" ref="D109">_xlfn.IFS(AND($C$7="Y",B109&lt;C$4),C109,AND($C$7="Y",B109=C$4),D108+F109-J109-K109-L109+N109,AND($C$7="Y",B109&gt;$C$4),D108-J109-K109-L109+N109, TRUE, D108-J109-K109-L109+N109)</f>
        <v>#DIV/0!</v>
      </c>
      <c r="E109" s="48">
        <f t="shared" si="35"/>
        <v>0</v>
      </c>
      <c r="F109" s="50">
        <f t="shared" si="36"/>
        <v>0</v>
      </c>
      <c r="G109" s="50">
        <f t="shared" si="43"/>
        <v>0</v>
      </c>
      <c r="H109" s="51" t="e">
        <f t="shared" si="44"/>
        <v>#DIV/0!</v>
      </c>
      <c r="I109" s="52" t="e">
        <f t="shared" si="30"/>
        <v>#DIV/0!</v>
      </c>
      <c r="J109" s="52" t="e">
        <f t="shared" si="31"/>
        <v>#DIV/0!</v>
      </c>
      <c r="K109" s="51" t="e">
        <f t="shared" si="41"/>
        <v>#DIV/0!</v>
      </c>
      <c r="L109" s="49" t="e">
        <f t="shared" si="37"/>
        <v>#DIV/0!</v>
      </c>
      <c r="M109" s="49">
        <f t="shared" ref="M109:M172" si="46">IFERROR(L105*-1,0)</f>
        <v>0</v>
      </c>
      <c r="N109" s="49">
        <f t="shared" si="45"/>
        <v>0</v>
      </c>
      <c r="O109" s="48" t="e">
        <f t="shared" si="32"/>
        <v>#DIV/0!</v>
      </c>
      <c r="P109" s="38" t="e">
        <f t="shared" si="28"/>
        <v>#DIV/0!</v>
      </c>
      <c r="Q109" s="53"/>
      <c r="R109" s="53">
        <f t="shared" si="38"/>
        <v>0</v>
      </c>
      <c r="S109" s="53">
        <f t="shared" si="39"/>
        <v>0</v>
      </c>
      <c r="T109" s="53">
        <f t="shared" si="40"/>
        <v>0.05</v>
      </c>
      <c r="U109" s="53">
        <f t="shared" si="42"/>
        <v>4.2653187775606449E-3</v>
      </c>
    </row>
    <row r="110" spans="1:21" x14ac:dyDescent="0.2">
      <c r="A110" s="62" t="e">
        <f t="shared" si="29"/>
        <v>#DIV/0!</v>
      </c>
      <c r="B110" s="45">
        <f t="shared" si="33"/>
        <v>96</v>
      </c>
      <c r="C110" s="51" t="e">
        <f t="shared" si="34"/>
        <v>#DIV/0!</v>
      </c>
      <c r="D110" s="47" t="e" cm="1">
        <f t="array" ref="D110">_xlfn.IFS(AND($C$7="Y",B110&lt;C$4),C110,AND($C$7="Y",B110=C$4),D109+F110-J110-K110-L110+N110,AND($C$7="Y",B110&gt;$C$4),D109-J110-K110-L110+N110, TRUE, D109-J110-K110-L110+N110)</f>
        <v>#DIV/0!</v>
      </c>
      <c r="E110" s="48">
        <f t="shared" si="35"/>
        <v>0</v>
      </c>
      <c r="F110" s="50">
        <f t="shared" si="36"/>
        <v>0</v>
      </c>
      <c r="G110" s="50">
        <f t="shared" si="43"/>
        <v>0</v>
      </c>
      <c r="H110" s="51" t="e">
        <f t="shared" si="44"/>
        <v>#DIV/0!</v>
      </c>
      <c r="I110" s="52" t="e">
        <f t="shared" si="30"/>
        <v>#DIV/0!</v>
      </c>
      <c r="J110" s="52" t="e">
        <f t="shared" si="31"/>
        <v>#DIV/0!</v>
      </c>
      <c r="K110" s="51" t="e">
        <f t="shared" si="41"/>
        <v>#DIV/0!</v>
      </c>
      <c r="L110" s="49" t="e">
        <f t="shared" si="37"/>
        <v>#DIV/0!</v>
      </c>
      <c r="M110" s="49">
        <f t="shared" si="46"/>
        <v>0</v>
      </c>
      <c r="N110" s="49">
        <f t="shared" si="45"/>
        <v>0</v>
      </c>
      <c r="O110" s="48" t="e">
        <f t="shared" si="32"/>
        <v>#DIV/0!</v>
      </c>
      <c r="P110" s="38" t="e">
        <f t="shared" si="28"/>
        <v>#DIV/0!</v>
      </c>
      <c r="Q110" s="53"/>
      <c r="R110" s="53">
        <f t="shared" si="38"/>
        <v>0</v>
      </c>
      <c r="S110" s="53">
        <f t="shared" si="39"/>
        <v>0</v>
      </c>
      <c r="T110" s="53">
        <f t="shared" si="40"/>
        <v>0.05</v>
      </c>
      <c r="U110" s="53">
        <f t="shared" si="42"/>
        <v>4.2653187775606449E-3</v>
      </c>
    </row>
    <row r="111" spans="1:21" x14ac:dyDescent="0.2">
      <c r="A111" s="62" t="e">
        <f t="shared" si="29"/>
        <v>#DIV/0!</v>
      </c>
      <c r="B111" s="45">
        <f t="shared" si="33"/>
        <v>97</v>
      </c>
      <c r="C111" s="51" t="e">
        <f t="shared" si="34"/>
        <v>#DIV/0!</v>
      </c>
      <c r="D111" s="47" t="e" cm="1">
        <f t="array" ref="D111">_xlfn.IFS(AND($C$7="Y",B111&lt;C$4),C111,AND($C$7="Y",B111=C$4),D110+F111-J111-K111-L111+N111,AND($C$7="Y",B111&gt;$C$4),D110-J111-K111-L111+N111, TRUE, D110-J111-K111-L111+N111)</f>
        <v>#DIV/0!</v>
      </c>
      <c r="E111" s="48">
        <f t="shared" si="35"/>
        <v>0</v>
      </c>
      <c r="F111" s="50">
        <f t="shared" si="36"/>
        <v>0</v>
      </c>
      <c r="G111" s="50">
        <f t="shared" si="43"/>
        <v>0</v>
      </c>
      <c r="H111" s="51" t="e">
        <f t="shared" si="44"/>
        <v>#DIV/0!</v>
      </c>
      <c r="I111" s="52" t="e">
        <f t="shared" si="30"/>
        <v>#DIV/0!</v>
      </c>
      <c r="J111" s="52" t="e">
        <f t="shared" si="31"/>
        <v>#DIV/0!</v>
      </c>
      <c r="K111" s="51" t="e">
        <f t="shared" si="41"/>
        <v>#DIV/0!</v>
      </c>
      <c r="L111" s="49" t="e">
        <f t="shared" si="37"/>
        <v>#DIV/0!</v>
      </c>
      <c r="M111" s="49">
        <f t="shared" si="46"/>
        <v>0</v>
      </c>
      <c r="N111" s="49">
        <f t="shared" si="45"/>
        <v>0</v>
      </c>
      <c r="O111" s="48" t="e">
        <f t="shared" si="32"/>
        <v>#DIV/0!</v>
      </c>
      <c r="P111" s="38" t="e">
        <f t="shared" si="28"/>
        <v>#DIV/0!</v>
      </c>
      <c r="Q111" s="53"/>
      <c r="R111" s="53">
        <f t="shared" si="38"/>
        <v>0</v>
      </c>
      <c r="S111" s="53">
        <f t="shared" si="39"/>
        <v>0</v>
      </c>
      <c r="T111" s="53">
        <f t="shared" si="40"/>
        <v>0.05</v>
      </c>
      <c r="U111" s="53">
        <f t="shared" si="42"/>
        <v>4.2653187775606449E-3</v>
      </c>
    </row>
    <row r="112" spans="1:21" x14ac:dyDescent="0.2">
      <c r="A112" s="62" t="e">
        <f t="shared" si="29"/>
        <v>#DIV/0!</v>
      </c>
      <c r="B112" s="45">
        <f t="shared" si="33"/>
        <v>98</v>
      </c>
      <c r="C112" s="51" t="e">
        <f t="shared" si="34"/>
        <v>#DIV/0!</v>
      </c>
      <c r="D112" s="47" t="e" cm="1">
        <f t="array" ref="D112">_xlfn.IFS(AND($C$7="Y",B112&lt;C$4),C112,AND($C$7="Y",B112=C$4),D111+F112-J112-K112-L112+N112,AND($C$7="Y",B112&gt;$C$4),D111-J112-K112-L112+N112, TRUE, D111-J112-K112-L112+N112)</f>
        <v>#DIV/0!</v>
      </c>
      <c r="E112" s="48">
        <f t="shared" si="35"/>
        <v>0</v>
      </c>
      <c r="F112" s="50">
        <f t="shared" si="36"/>
        <v>0</v>
      </c>
      <c r="G112" s="50">
        <f t="shared" si="43"/>
        <v>0</v>
      </c>
      <c r="H112" s="51" t="e">
        <f t="shared" si="44"/>
        <v>#DIV/0!</v>
      </c>
      <c r="I112" s="52" t="e">
        <f t="shared" si="30"/>
        <v>#DIV/0!</v>
      </c>
      <c r="J112" s="52" t="e">
        <f t="shared" si="31"/>
        <v>#DIV/0!</v>
      </c>
      <c r="K112" s="51" t="e">
        <f t="shared" si="41"/>
        <v>#DIV/0!</v>
      </c>
      <c r="L112" s="49" t="e">
        <f t="shared" si="37"/>
        <v>#DIV/0!</v>
      </c>
      <c r="M112" s="49">
        <f t="shared" si="46"/>
        <v>0</v>
      </c>
      <c r="N112" s="49">
        <f t="shared" si="45"/>
        <v>0</v>
      </c>
      <c r="O112" s="48" t="e">
        <f t="shared" si="32"/>
        <v>#DIV/0!</v>
      </c>
      <c r="P112" s="38" t="e">
        <f t="shared" si="28"/>
        <v>#DIV/0!</v>
      </c>
      <c r="Q112" s="53"/>
      <c r="R112" s="53">
        <f t="shared" si="38"/>
        <v>0</v>
      </c>
      <c r="S112" s="53">
        <f t="shared" si="39"/>
        <v>0</v>
      </c>
      <c r="T112" s="53">
        <f t="shared" si="40"/>
        <v>0.05</v>
      </c>
      <c r="U112" s="53">
        <f t="shared" si="42"/>
        <v>4.2653187775606449E-3</v>
      </c>
    </row>
    <row r="113" spans="1:21" x14ac:dyDescent="0.2">
      <c r="A113" s="62" t="e">
        <f t="shared" si="29"/>
        <v>#DIV/0!</v>
      </c>
      <c r="B113" s="45">
        <f t="shared" si="33"/>
        <v>99</v>
      </c>
      <c r="C113" s="51" t="e">
        <f t="shared" si="34"/>
        <v>#DIV/0!</v>
      </c>
      <c r="D113" s="47" t="e" cm="1">
        <f t="array" ref="D113">_xlfn.IFS(AND($C$7="Y",B113&lt;C$4),C113,AND($C$7="Y",B113=C$4),D112+F113-J113-K113-L113+N113,AND($C$7="Y",B113&gt;$C$4),D112-J113-K113-L113+N113, TRUE, D112-J113-K113-L113+N113)</f>
        <v>#DIV/0!</v>
      </c>
      <c r="E113" s="48">
        <f t="shared" si="35"/>
        <v>0</v>
      </c>
      <c r="F113" s="50">
        <f t="shared" si="36"/>
        <v>0</v>
      </c>
      <c r="G113" s="50">
        <f t="shared" si="43"/>
        <v>0</v>
      </c>
      <c r="H113" s="51" t="e">
        <f t="shared" si="44"/>
        <v>#DIV/0!</v>
      </c>
      <c r="I113" s="52" t="e">
        <f t="shared" si="30"/>
        <v>#DIV/0!</v>
      </c>
      <c r="J113" s="52" t="e">
        <f t="shared" si="31"/>
        <v>#DIV/0!</v>
      </c>
      <c r="K113" s="51" t="e">
        <f t="shared" si="41"/>
        <v>#DIV/0!</v>
      </c>
      <c r="L113" s="49" t="e">
        <f t="shared" si="37"/>
        <v>#DIV/0!</v>
      </c>
      <c r="M113" s="49">
        <f t="shared" si="46"/>
        <v>0</v>
      </c>
      <c r="N113" s="49">
        <f t="shared" si="45"/>
        <v>0</v>
      </c>
      <c r="O113" s="48" t="e">
        <f t="shared" si="32"/>
        <v>#DIV/0!</v>
      </c>
      <c r="P113" s="38" t="e">
        <f t="shared" si="28"/>
        <v>#DIV/0!</v>
      </c>
      <c r="Q113" s="53"/>
      <c r="R113" s="53">
        <f t="shared" si="38"/>
        <v>0</v>
      </c>
      <c r="S113" s="53">
        <f t="shared" si="39"/>
        <v>0</v>
      </c>
      <c r="T113" s="53">
        <f t="shared" si="40"/>
        <v>0.05</v>
      </c>
      <c r="U113" s="53">
        <f t="shared" si="42"/>
        <v>4.2653187775606449E-3</v>
      </c>
    </row>
    <row r="114" spans="1:21" x14ac:dyDescent="0.2">
      <c r="A114" s="62" t="e">
        <f t="shared" si="29"/>
        <v>#DIV/0!</v>
      </c>
      <c r="B114" s="45">
        <f t="shared" si="33"/>
        <v>100</v>
      </c>
      <c r="C114" s="51" t="e">
        <f t="shared" si="34"/>
        <v>#DIV/0!</v>
      </c>
      <c r="D114" s="47" t="e" cm="1">
        <f t="array" ref="D114">_xlfn.IFS(AND($C$7="Y",B114&lt;C$4),C114,AND($C$7="Y",B114=C$4),D113+F114-J114-K114-L114+N114,AND($C$7="Y",B114&gt;$C$4),D113-J114-K114-L114+N114, TRUE, D113-J114-K114-L114+N114)</f>
        <v>#DIV/0!</v>
      </c>
      <c r="E114" s="48">
        <f t="shared" si="35"/>
        <v>0</v>
      </c>
      <c r="F114" s="50">
        <f t="shared" si="36"/>
        <v>0</v>
      </c>
      <c r="G114" s="50">
        <f t="shared" si="43"/>
        <v>0</v>
      </c>
      <c r="H114" s="51" t="e">
        <f t="shared" si="44"/>
        <v>#DIV/0!</v>
      </c>
      <c r="I114" s="52" t="e">
        <f t="shared" si="30"/>
        <v>#DIV/0!</v>
      </c>
      <c r="J114" s="52" t="e">
        <f t="shared" si="31"/>
        <v>#DIV/0!</v>
      </c>
      <c r="K114" s="51" t="e">
        <f t="shared" si="41"/>
        <v>#DIV/0!</v>
      </c>
      <c r="L114" s="49" t="e">
        <f t="shared" si="37"/>
        <v>#DIV/0!</v>
      </c>
      <c r="M114" s="49">
        <f t="shared" si="46"/>
        <v>0</v>
      </c>
      <c r="N114" s="49">
        <f t="shared" si="45"/>
        <v>0</v>
      </c>
      <c r="O114" s="48" t="e">
        <f t="shared" si="32"/>
        <v>#DIV/0!</v>
      </c>
      <c r="P114" s="38" t="e">
        <f t="shared" si="28"/>
        <v>#DIV/0!</v>
      </c>
      <c r="Q114" s="53"/>
      <c r="R114" s="53">
        <f t="shared" si="38"/>
        <v>0</v>
      </c>
      <c r="S114" s="53">
        <f t="shared" si="39"/>
        <v>0</v>
      </c>
      <c r="T114" s="53">
        <f t="shared" si="40"/>
        <v>0.05</v>
      </c>
      <c r="U114" s="53">
        <f t="shared" si="42"/>
        <v>4.2653187775606449E-3</v>
      </c>
    </row>
    <row r="115" spans="1:21" x14ac:dyDescent="0.2">
      <c r="A115" s="62" t="e">
        <f t="shared" si="29"/>
        <v>#DIV/0!</v>
      </c>
      <c r="B115" s="45">
        <f t="shared" si="33"/>
        <v>101</v>
      </c>
      <c r="C115" s="51" t="e">
        <f t="shared" si="34"/>
        <v>#DIV/0!</v>
      </c>
      <c r="D115" s="47" t="e" cm="1">
        <f t="array" ref="D115">_xlfn.IFS(AND($C$7="Y",B115&lt;C$4),C115,AND($C$7="Y",B115=C$4),D114+F115-J115-K115-L115+N115,AND($C$7="Y",B115&gt;$C$4),D114-J115-K115-L115+N115, TRUE, D114-J115-K115-L115+N115)</f>
        <v>#DIV/0!</v>
      </c>
      <c r="E115" s="48">
        <f t="shared" si="35"/>
        <v>0</v>
      </c>
      <c r="F115" s="50">
        <f t="shared" si="36"/>
        <v>0</v>
      </c>
      <c r="G115" s="50">
        <f t="shared" si="43"/>
        <v>0</v>
      </c>
      <c r="H115" s="51" t="e">
        <f t="shared" si="44"/>
        <v>#DIV/0!</v>
      </c>
      <c r="I115" s="52" t="e">
        <f t="shared" si="30"/>
        <v>#DIV/0!</v>
      </c>
      <c r="J115" s="52" t="e">
        <f t="shared" si="31"/>
        <v>#DIV/0!</v>
      </c>
      <c r="K115" s="51" t="e">
        <f t="shared" si="41"/>
        <v>#DIV/0!</v>
      </c>
      <c r="L115" s="49" t="e">
        <f t="shared" si="37"/>
        <v>#DIV/0!</v>
      </c>
      <c r="M115" s="49">
        <f t="shared" si="46"/>
        <v>0</v>
      </c>
      <c r="N115" s="49">
        <f t="shared" si="45"/>
        <v>0</v>
      </c>
      <c r="O115" s="48" t="e">
        <f t="shared" si="32"/>
        <v>#DIV/0!</v>
      </c>
      <c r="P115" s="38" t="e">
        <f t="shared" si="28"/>
        <v>#DIV/0!</v>
      </c>
      <c r="Q115" s="53"/>
      <c r="R115" s="53">
        <f t="shared" si="38"/>
        <v>0</v>
      </c>
      <c r="S115" s="53">
        <f t="shared" si="39"/>
        <v>0</v>
      </c>
      <c r="T115" s="53">
        <f t="shared" si="40"/>
        <v>0.05</v>
      </c>
      <c r="U115" s="53">
        <f t="shared" si="42"/>
        <v>4.2653187775606449E-3</v>
      </c>
    </row>
    <row r="116" spans="1:21" x14ac:dyDescent="0.2">
      <c r="A116" s="62" t="e">
        <f t="shared" si="29"/>
        <v>#DIV/0!</v>
      </c>
      <c r="B116" s="45">
        <f t="shared" si="33"/>
        <v>102</v>
      </c>
      <c r="C116" s="51" t="e">
        <f t="shared" si="34"/>
        <v>#DIV/0!</v>
      </c>
      <c r="D116" s="47" t="e" cm="1">
        <f t="array" ref="D116">_xlfn.IFS(AND($C$7="Y",B116&lt;C$4),C116,AND($C$7="Y",B116=C$4),D115+F116-J116-K116-L116+N116,AND($C$7="Y",B116&gt;$C$4),D115-J116-K116-L116+N116, TRUE, D115-J116-K116-L116+N116)</f>
        <v>#DIV/0!</v>
      </c>
      <c r="E116" s="48">
        <f t="shared" si="35"/>
        <v>0</v>
      </c>
      <c r="F116" s="50">
        <f t="shared" si="36"/>
        <v>0</v>
      </c>
      <c r="G116" s="50">
        <f t="shared" si="43"/>
        <v>0</v>
      </c>
      <c r="H116" s="51" t="e">
        <f t="shared" si="44"/>
        <v>#DIV/0!</v>
      </c>
      <c r="I116" s="52" t="e">
        <f t="shared" si="30"/>
        <v>#DIV/0!</v>
      </c>
      <c r="J116" s="52" t="e">
        <f t="shared" si="31"/>
        <v>#DIV/0!</v>
      </c>
      <c r="K116" s="51" t="e">
        <f t="shared" si="41"/>
        <v>#DIV/0!</v>
      </c>
      <c r="L116" s="49" t="e">
        <f t="shared" si="37"/>
        <v>#DIV/0!</v>
      </c>
      <c r="M116" s="49">
        <f t="shared" si="46"/>
        <v>0</v>
      </c>
      <c r="N116" s="49">
        <f t="shared" si="45"/>
        <v>0</v>
      </c>
      <c r="O116" s="48" t="e">
        <f t="shared" si="32"/>
        <v>#DIV/0!</v>
      </c>
      <c r="P116" s="38" t="e">
        <f t="shared" si="28"/>
        <v>#DIV/0!</v>
      </c>
      <c r="Q116" s="53"/>
      <c r="R116" s="53">
        <f t="shared" si="38"/>
        <v>0</v>
      </c>
      <c r="S116" s="53">
        <f t="shared" si="39"/>
        <v>0</v>
      </c>
      <c r="T116" s="53">
        <f t="shared" si="40"/>
        <v>0.05</v>
      </c>
      <c r="U116" s="53">
        <f t="shared" si="42"/>
        <v>4.2653187775606449E-3</v>
      </c>
    </row>
    <row r="117" spans="1:21" x14ac:dyDescent="0.2">
      <c r="A117" s="62" t="e">
        <f t="shared" si="29"/>
        <v>#DIV/0!</v>
      </c>
      <c r="B117" s="45">
        <f t="shared" si="33"/>
        <v>103</v>
      </c>
      <c r="C117" s="51" t="e">
        <f t="shared" si="34"/>
        <v>#DIV/0!</v>
      </c>
      <c r="D117" s="47" t="e" cm="1">
        <f t="array" ref="D117">_xlfn.IFS(AND($C$7="Y",B117&lt;C$4),C117,AND($C$7="Y",B117=C$4),D116+F117-J117-K117-L117+N117,AND($C$7="Y",B117&gt;$C$4),D116-J117-K117-L117+N117, TRUE, D116-J117-K117-L117+N117)</f>
        <v>#DIV/0!</v>
      </c>
      <c r="E117" s="48">
        <f t="shared" si="35"/>
        <v>0</v>
      </c>
      <c r="F117" s="50">
        <f t="shared" si="36"/>
        <v>0</v>
      </c>
      <c r="G117" s="50">
        <f t="shared" si="43"/>
        <v>0</v>
      </c>
      <c r="H117" s="51" t="e">
        <f t="shared" si="44"/>
        <v>#DIV/0!</v>
      </c>
      <c r="I117" s="52" t="e">
        <f t="shared" si="30"/>
        <v>#DIV/0!</v>
      </c>
      <c r="J117" s="52" t="e">
        <f t="shared" si="31"/>
        <v>#DIV/0!</v>
      </c>
      <c r="K117" s="51" t="e">
        <f t="shared" si="41"/>
        <v>#DIV/0!</v>
      </c>
      <c r="L117" s="49" t="e">
        <f t="shared" si="37"/>
        <v>#DIV/0!</v>
      </c>
      <c r="M117" s="49">
        <f t="shared" si="46"/>
        <v>0</v>
      </c>
      <c r="N117" s="49">
        <f t="shared" si="45"/>
        <v>0</v>
      </c>
      <c r="O117" s="48" t="e">
        <f t="shared" si="32"/>
        <v>#DIV/0!</v>
      </c>
      <c r="P117" s="38" t="e">
        <f t="shared" si="28"/>
        <v>#DIV/0!</v>
      </c>
      <c r="Q117" s="53"/>
      <c r="R117" s="53">
        <f t="shared" si="38"/>
        <v>0</v>
      </c>
      <c r="S117" s="53">
        <f t="shared" si="39"/>
        <v>0</v>
      </c>
      <c r="T117" s="53">
        <f t="shared" si="40"/>
        <v>0.05</v>
      </c>
      <c r="U117" s="53">
        <f t="shared" si="42"/>
        <v>4.2653187775606449E-3</v>
      </c>
    </row>
    <row r="118" spans="1:21" x14ac:dyDescent="0.2">
      <c r="A118" s="62" t="e">
        <f t="shared" si="29"/>
        <v>#DIV/0!</v>
      </c>
      <c r="B118" s="45">
        <f t="shared" si="33"/>
        <v>104</v>
      </c>
      <c r="C118" s="51" t="e">
        <f t="shared" si="34"/>
        <v>#DIV/0!</v>
      </c>
      <c r="D118" s="47" t="e" cm="1">
        <f t="array" ref="D118">_xlfn.IFS(AND($C$7="Y",B118&lt;C$4),C118,AND($C$7="Y",B118=C$4),D117+F118-J118-K118-L118+N118,AND($C$7="Y",B118&gt;$C$4),D117-J118-K118-L118+N118, TRUE, D117-J118-K118-L118+N118)</f>
        <v>#DIV/0!</v>
      </c>
      <c r="E118" s="48">
        <f t="shared" si="35"/>
        <v>0</v>
      </c>
      <c r="F118" s="50">
        <f t="shared" si="36"/>
        <v>0</v>
      </c>
      <c r="G118" s="50">
        <f t="shared" si="43"/>
        <v>0</v>
      </c>
      <c r="H118" s="51" t="e">
        <f t="shared" si="44"/>
        <v>#DIV/0!</v>
      </c>
      <c r="I118" s="52" t="e">
        <f t="shared" si="30"/>
        <v>#DIV/0!</v>
      </c>
      <c r="J118" s="52" t="e">
        <f t="shared" si="31"/>
        <v>#DIV/0!</v>
      </c>
      <c r="K118" s="51" t="e">
        <f t="shared" si="41"/>
        <v>#DIV/0!</v>
      </c>
      <c r="L118" s="49" t="e">
        <f t="shared" si="37"/>
        <v>#DIV/0!</v>
      </c>
      <c r="M118" s="49">
        <f t="shared" si="46"/>
        <v>0</v>
      </c>
      <c r="N118" s="49">
        <f t="shared" si="45"/>
        <v>0</v>
      </c>
      <c r="O118" s="48" t="e">
        <f t="shared" si="32"/>
        <v>#DIV/0!</v>
      </c>
      <c r="P118" s="38" t="e">
        <f t="shared" si="28"/>
        <v>#DIV/0!</v>
      </c>
      <c r="Q118" s="53"/>
      <c r="R118" s="53">
        <f t="shared" si="38"/>
        <v>0</v>
      </c>
      <c r="S118" s="53">
        <f t="shared" si="39"/>
        <v>0</v>
      </c>
      <c r="T118" s="53">
        <f t="shared" si="40"/>
        <v>0.05</v>
      </c>
      <c r="U118" s="53">
        <f t="shared" si="42"/>
        <v>4.2653187775606449E-3</v>
      </c>
    </row>
    <row r="119" spans="1:21" x14ac:dyDescent="0.2">
      <c r="A119" s="62" t="e">
        <f t="shared" si="29"/>
        <v>#DIV/0!</v>
      </c>
      <c r="B119" s="45">
        <f t="shared" si="33"/>
        <v>105</v>
      </c>
      <c r="C119" s="51" t="e">
        <f t="shared" si="34"/>
        <v>#DIV/0!</v>
      </c>
      <c r="D119" s="47" t="e" cm="1">
        <f t="array" ref="D119">_xlfn.IFS(AND($C$7="Y",B119&lt;C$4),C119,AND($C$7="Y",B119=C$4),D118+F119-J119-K119-L119+N119,AND($C$7="Y",B119&gt;$C$4),D118-J119-K119-L119+N119, TRUE, D118-J119-K119-L119+N119)</f>
        <v>#DIV/0!</v>
      </c>
      <c r="E119" s="48">
        <f t="shared" si="35"/>
        <v>0</v>
      </c>
      <c r="F119" s="50">
        <f t="shared" si="36"/>
        <v>0</v>
      </c>
      <c r="G119" s="50">
        <f t="shared" si="43"/>
        <v>0</v>
      </c>
      <c r="H119" s="51" t="e">
        <f t="shared" si="44"/>
        <v>#DIV/0!</v>
      </c>
      <c r="I119" s="52" t="e">
        <f t="shared" si="30"/>
        <v>#DIV/0!</v>
      </c>
      <c r="J119" s="52" t="e">
        <f t="shared" si="31"/>
        <v>#DIV/0!</v>
      </c>
      <c r="K119" s="51" t="e">
        <f t="shared" si="41"/>
        <v>#DIV/0!</v>
      </c>
      <c r="L119" s="49" t="e">
        <f t="shared" si="37"/>
        <v>#DIV/0!</v>
      </c>
      <c r="M119" s="49">
        <f t="shared" si="46"/>
        <v>0</v>
      </c>
      <c r="N119" s="49">
        <f t="shared" si="45"/>
        <v>0</v>
      </c>
      <c r="O119" s="48" t="e">
        <f t="shared" si="32"/>
        <v>#DIV/0!</v>
      </c>
      <c r="P119" s="38" t="e">
        <f t="shared" si="28"/>
        <v>#DIV/0!</v>
      </c>
      <c r="Q119" s="53"/>
      <c r="R119" s="53">
        <f t="shared" si="38"/>
        <v>0</v>
      </c>
      <c r="S119" s="53">
        <f t="shared" si="39"/>
        <v>0</v>
      </c>
      <c r="T119" s="53">
        <f t="shared" si="40"/>
        <v>0.05</v>
      </c>
      <c r="U119" s="53">
        <f t="shared" si="42"/>
        <v>4.2653187775606449E-3</v>
      </c>
    </row>
    <row r="120" spans="1:21" x14ac:dyDescent="0.2">
      <c r="A120" s="62" t="e">
        <f t="shared" si="29"/>
        <v>#DIV/0!</v>
      </c>
      <c r="B120" s="45">
        <f t="shared" si="33"/>
        <v>106</v>
      </c>
      <c r="C120" s="51" t="e">
        <f t="shared" si="34"/>
        <v>#DIV/0!</v>
      </c>
      <c r="D120" s="47" t="e" cm="1">
        <f t="array" ref="D120">_xlfn.IFS(AND($C$7="Y",B120&lt;C$4),C120,AND($C$7="Y",B120=C$4),D119+F120-J120-K120-L120+N120,AND($C$7="Y",B120&gt;$C$4),D119-J120-K120-L120+N120, TRUE, D119-J120-K120-L120+N120)</f>
        <v>#DIV/0!</v>
      </c>
      <c r="E120" s="48">
        <f t="shared" si="35"/>
        <v>0</v>
      </c>
      <c r="F120" s="50">
        <f t="shared" si="36"/>
        <v>0</v>
      </c>
      <c r="G120" s="50">
        <f t="shared" si="43"/>
        <v>0</v>
      </c>
      <c r="H120" s="51" t="e">
        <f t="shared" si="44"/>
        <v>#DIV/0!</v>
      </c>
      <c r="I120" s="52" t="e">
        <f t="shared" si="30"/>
        <v>#DIV/0!</v>
      </c>
      <c r="J120" s="52" t="e">
        <f t="shared" si="31"/>
        <v>#DIV/0!</v>
      </c>
      <c r="K120" s="51" t="e">
        <f t="shared" si="41"/>
        <v>#DIV/0!</v>
      </c>
      <c r="L120" s="49" t="e">
        <f t="shared" si="37"/>
        <v>#DIV/0!</v>
      </c>
      <c r="M120" s="49">
        <f t="shared" si="46"/>
        <v>0</v>
      </c>
      <c r="N120" s="49">
        <f t="shared" si="45"/>
        <v>0</v>
      </c>
      <c r="O120" s="48" t="e">
        <f t="shared" si="32"/>
        <v>#DIV/0!</v>
      </c>
      <c r="P120" s="38" t="e">
        <f t="shared" si="28"/>
        <v>#DIV/0!</v>
      </c>
      <c r="Q120" s="53"/>
      <c r="R120" s="53">
        <f t="shared" si="38"/>
        <v>0</v>
      </c>
      <c r="S120" s="53">
        <f t="shared" si="39"/>
        <v>0</v>
      </c>
      <c r="T120" s="53">
        <f t="shared" si="40"/>
        <v>0.05</v>
      </c>
      <c r="U120" s="53">
        <f t="shared" si="42"/>
        <v>4.2653187775606449E-3</v>
      </c>
    </row>
    <row r="121" spans="1:21" x14ac:dyDescent="0.2">
      <c r="A121" s="62" t="e">
        <f t="shared" si="29"/>
        <v>#DIV/0!</v>
      </c>
      <c r="B121" s="45">
        <f t="shared" si="33"/>
        <v>107</v>
      </c>
      <c r="C121" s="51" t="e">
        <f t="shared" si="34"/>
        <v>#DIV/0!</v>
      </c>
      <c r="D121" s="47" t="e" cm="1">
        <f t="array" ref="D121">_xlfn.IFS(AND($C$7="Y",B121&lt;C$4),C121,AND($C$7="Y",B121=C$4),D120+F121-J121-K121-L121+N121,AND($C$7="Y",B121&gt;$C$4),D120-J121-K121-L121+N121, TRUE, D120-J121-K121-L121+N121)</f>
        <v>#DIV/0!</v>
      </c>
      <c r="E121" s="48">
        <f t="shared" si="35"/>
        <v>0</v>
      </c>
      <c r="F121" s="50">
        <f t="shared" si="36"/>
        <v>0</v>
      </c>
      <c r="G121" s="50">
        <f t="shared" si="43"/>
        <v>0</v>
      </c>
      <c r="H121" s="51" t="e">
        <f t="shared" si="44"/>
        <v>#DIV/0!</v>
      </c>
      <c r="I121" s="52" t="e">
        <f t="shared" si="30"/>
        <v>#DIV/0!</v>
      </c>
      <c r="J121" s="52" t="e">
        <f t="shared" si="31"/>
        <v>#DIV/0!</v>
      </c>
      <c r="K121" s="51" t="e">
        <f t="shared" si="41"/>
        <v>#DIV/0!</v>
      </c>
      <c r="L121" s="49" t="e">
        <f t="shared" si="37"/>
        <v>#DIV/0!</v>
      </c>
      <c r="M121" s="49">
        <f t="shared" si="46"/>
        <v>0</v>
      </c>
      <c r="N121" s="49">
        <f t="shared" si="45"/>
        <v>0</v>
      </c>
      <c r="O121" s="48" t="e">
        <f t="shared" si="32"/>
        <v>#DIV/0!</v>
      </c>
      <c r="P121" s="38" t="e">
        <f t="shared" si="28"/>
        <v>#DIV/0!</v>
      </c>
      <c r="Q121" s="53"/>
      <c r="R121" s="53">
        <f t="shared" si="38"/>
        <v>0</v>
      </c>
      <c r="S121" s="53">
        <f t="shared" si="39"/>
        <v>0</v>
      </c>
      <c r="T121" s="53">
        <f t="shared" si="40"/>
        <v>0.05</v>
      </c>
      <c r="U121" s="53">
        <f t="shared" si="42"/>
        <v>4.2653187775606449E-3</v>
      </c>
    </row>
    <row r="122" spans="1:21" x14ac:dyDescent="0.2">
      <c r="A122" s="62" t="e">
        <f t="shared" si="29"/>
        <v>#DIV/0!</v>
      </c>
      <c r="B122" s="45">
        <f t="shared" si="33"/>
        <v>108</v>
      </c>
      <c r="C122" s="51" t="e">
        <f t="shared" si="34"/>
        <v>#DIV/0!</v>
      </c>
      <c r="D122" s="47" t="e" cm="1">
        <f t="array" ref="D122">_xlfn.IFS(AND($C$7="Y",B122&lt;C$4),C122,AND($C$7="Y",B122=C$4),D121+F122-J122-K122-L122+N122,AND($C$7="Y",B122&gt;$C$4),D121-J122-K122-L122+N122, TRUE, D121-J122-K122-L122+N122)</f>
        <v>#DIV/0!</v>
      </c>
      <c r="E122" s="48">
        <f t="shared" si="35"/>
        <v>0</v>
      </c>
      <c r="F122" s="50">
        <f t="shared" si="36"/>
        <v>0</v>
      </c>
      <c r="G122" s="50">
        <f t="shared" si="43"/>
        <v>0</v>
      </c>
      <c r="H122" s="51" t="e">
        <f t="shared" si="44"/>
        <v>#DIV/0!</v>
      </c>
      <c r="I122" s="52" t="e">
        <f t="shared" si="30"/>
        <v>#DIV/0!</v>
      </c>
      <c r="J122" s="52" t="e">
        <f t="shared" si="31"/>
        <v>#DIV/0!</v>
      </c>
      <c r="K122" s="51" t="e">
        <f t="shared" si="41"/>
        <v>#DIV/0!</v>
      </c>
      <c r="L122" s="49" t="e">
        <f t="shared" si="37"/>
        <v>#DIV/0!</v>
      </c>
      <c r="M122" s="49">
        <f t="shared" si="46"/>
        <v>0</v>
      </c>
      <c r="N122" s="49">
        <f t="shared" si="45"/>
        <v>0</v>
      </c>
      <c r="O122" s="48" t="e">
        <f t="shared" si="32"/>
        <v>#DIV/0!</v>
      </c>
      <c r="P122" s="38" t="e">
        <f t="shared" si="28"/>
        <v>#DIV/0!</v>
      </c>
      <c r="Q122" s="53"/>
      <c r="R122" s="53">
        <f t="shared" si="38"/>
        <v>0</v>
      </c>
      <c r="S122" s="53">
        <f t="shared" si="39"/>
        <v>0</v>
      </c>
      <c r="T122" s="53">
        <f t="shared" si="40"/>
        <v>0.05</v>
      </c>
      <c r="U122" s="53">
        <f t="shared" si="42"/>
        <v>4.2653187775606449E-3</v>
      </c>
    </row>
    <row r="123" spans="1:21" x14ac:dyDescent="0.2">
      <c r="A123" s="62" t="e">
        <f t="shared" si="29"/>
        <v>#DIV/0!</v>
      </c>
      <c r="B123" s="45">
        <f t="shared" si="33"/>
        <v>109</v>
      </c>
      <c r="C123" s="51" t="e">
        <f t="shared" si="34"/>
        <v>#DIV/0!</v>
      </c>
      <c r="D123" s="47" t="e" cm="1">
        <f t="array" ref="D123">_xlfn.IFS(AND($C$7="Y",B123&lt;C$4),C123,AND($C$7="Y",B123=C$4),D122+F123-J123-K123-L123+N123,AND($C$7="Y",B123&gt;$C$4),D122-J123-K123-L123+N123, TRUE, D122-J123-K123-L123+N123)</f>
        <v>#DIV/0!</v>
      </c>
      <c r="E123" s="48">
        <f t="shared" si="35"/>
        <v>0</v>
      </c>
      <c r="F123" s="50">
        <f t="shared" si="36"/>
        <v>0</v>
      </c>
      <c r="G123" s="50">
        <f t="shared" si="43"/>
        <v>0</v>
      </c>
      <c r="H123" s="51" t="e">
        <f t="shared" si="44"/>
        <v>#DIV/0!</v>
      </c>
      <c r="I123" s="52" t="e">
        <f t="shared" si="30"/>
        <v>#DIV/0!</v>
      </c>
      <c r="J123" s="52" t="e">
        <f t="shared" si="31"/>
        <v>#DIV/0!</v>
      </c>
      <c r="K123" s="51" t="e">
        <f t="shared" si="41"/>
        <v>#DIV/0!</v>
      </c>
      <c r="L123" s="49" t="e">
        <f t="shared" si="37"/>
        <v>#DIV/0!</v>
      </c>
      <c r="M123" s="49">
        <f t="shared" si="46"/>
        <v>0</v>
      </c>
      <c r="N123" s="49">
        <f t="shared" si="45"/>
        <v>0</v>
      </c>
      <c r="O123" s="48" t="e">
        <f t="shared" si="32"/>
        <v>#DIV/0!</v>
      </c>
      <c r="P123" s="38" t="e">
        <f t="shared" si="28"/>
        <v>#DIV/0!</v>
      </c>
      <c r="Q123" s="53"/>
      <c r="R123" s="53">
        <f t="shared" si="38"/>
        <v>0</v>
      </c>
      <c r="S123" s="53">
        <f t="shared" si="39"/>
        <v>0</v>
      </c>
      <c r="T123" s="53">
        <f t="shared" si="40"/>
        <v>0.05</v>
      </c>
      <c r="U123" s="53">
        <f t="shared" si="42"/>
        <v>4.2653187775606449E-3</v>
      </c>
    </row>
    <row r="124" spans="1:21" x14ac:dyDescent="0.2">
      <c r="A124" s="62" t="e">
        <f t="shared" si="29"/>
        <v>#DIV/0!</v>
      </c>
      <c r="B124" s="45">
        <f t="shared" si="33"/>
        <v>110</v>
      </c>
      <c r="C124" s="51" t="e">
        <f t="shared" si="34"/>
        <v>#DIV/0!</v>
      </c>
      <c r="D124" s="47" t="e" cm="1">
        <f t="array" ref="D124">_xlfn.IFS(AND($C$7="Y",B124&lt;C$4),C124,AND($C$7="Y",B124=C$4),D123+F124-J124-K124-L124+N124,AND($C$7="Y",B124&gt;$C$4),D123-J124-K124-L124+N124, TRUE, D123-J124-K124-L124+N124)</f>
        <v>#DIV/0!</v>
      </c>
      <c r="E124" s="48">
        <f t="shared" si="35"/>
        <v>0</v>
      </c>
      <c r="F124" s="50">
        <f t="shared" si="36"/>
        <v>0</v>
      </c>
      <c r="G124" s="50">
        <f t="shared" si="43"/>
        <v>0</v>
      </c>
      <c r="H124" s="51" t="e">
        <f t="shared" si="44"/>
        <v>#DIV/0!</v>
      </c>
      <c r="I124" s="52" t="e">
        <f t="shared" si="30"/>
        <v>#DIV/0!</v>
      </c>
      <c r="J124" s="52" t="e">
        <f t="shared" si="31"/>
        <v>#DIV/0!</v>
      </c>
      <c r="K124" s="51" t="e">
        <f t="shared" si="41"/>
        <v>#DIV/0!</v>
      </c>
      <c r="L124" s="49" t="e">
        <f t="shared" si="37"/>
        <v>#DIV/0!</v>
      </c>
      <c r="M124" s="49">
        <f t="shared" si="46"/>
        <v>0</v>
      </c>
      <c r="N124" s="49">
        <f t="shared" si="45"/>
        <v>0</v>
      </c>
      <c r="O124" s="48" t="e">
        <f t="shared" si="32"/>
        <v>#DIV/0!</v>
      </c>
      <c r="P124" s="38" t="e">
        <f t="shared" si="28"/>
        <v>#DIV/0!</v>
      </c>
      <c r="Q124" s="53"/>
      <c r="R124" s="53">
        <f t="shared" si="38"/>
        <v>0</v>
      </c>
      <c r="S124" s="53">
        <f t="shared" si="39"/>
        <v>0</v>
      </c>
      <c r="T124" s="53">
        <f t="shared" si="40"/>
        <v>0.05</v>
      </c>
      <c r="U124" s="53">
        <f t="shared" si="42"/>
        <v>4.2653187775606449E-3</v>
      </c>
    </row>
    <row r="125" spans="1:21" x14ac:dyDescent="0.2">
      <c r="A125" s="62" t="e">
        <f t="shared" si="29"/>
        <v>#DIV/0!</v>
      </c>
      <c r="B125" s="45">
        <f t="shared" si="33"/>
        <v>111</v>
      </c>
      <c r="C125" s="51" t="e">
        <f t="shared" si="34"/>
        <v>#DIV/0!</v>
      </c>
      <c r="D125" s="47" t="e" cm="1">
        <f t="array" ref="D125">_xlfn.IFS(AND($C$7="Y",B125&lt;C$4),C125,AND($C$7="Y",B125=C$4),D124+F125-J125-K125-L125+N125,AND($C$7="Y",B125&gt;$C$4),D124-J125-K125-L125+N125, TRUE, D124-J125-K125-L125+N125)</f>
        <v>#DIV/0!</v>
      </c>
      <c r="E125" s="48">
        <f t="shared" si="35"/>
        <v>0</v>
      </c>
      <c r="F125" s="50">
        <f t="shared" si="36"/>
        <v>0</v>
      </c>
      <c r="G125" s="50">
        <f t="shared" si="43"/>
        <v>0</v>
      </c>
      <c r="H125" s="51" t="e">
        <f t="shared" si="44"/>
        <v>#DIV/0!</v>
      </c>
      <c r="I125" s="52" t="e">
        <f t="shared" si="30"/>
        <v>#DIV/0!</v>
      </c>
      <c r="J125" s="52" t="e">
        <f t="shared" si="31"/>
        <v>#DIV/0!</v>
      </c>
      <c r="K125" s="51" t="e">
        <f t="shared" si="41"/>
        <v>#DIV/0!</v>
      </c>
      <c r="L125" s="49" t="e">
        <f t="shared" si="37"/>
        <v>#DIV/0!</v>
      </c>
      <c r="M125" s="49">
        <f t="shared" si="46"/>
        <v>0</v>
      </c>
      <c r="N125" s="49">
        <f t="shared" si="45"/>
        <v>0</v>
      </c>
      <c r="O125" s="48" t="e">
        <f t="shared" si="32"/>
        <v>#DIV/0!</v>
      </c>
      <c r="P125" s="38" t="e">
        <f t="shared" si="28"/>
        <v>#DIV/0!</v>
      </c>
      <c r="Q125" s="53"/>
      <c r="R125" s="53">
        <f t="shared" si="38"/>
        <v>0</v>
      </c>
      <c r="S125" s="53">
        <f t="shared" si="39"/>
        <v>0</v>
      </c>
      <c r="T125" s="53">
        <f t="shared" si="40"/>
        <v>0.05</v>
      </c>
      <c r="U125" s="53">
        <f t="shared" si="42"/>
        <v>4.2653187775606449E-3</v>
      </c>
    </row>
    <row r="126" spans="1:21" x14ac:dyDescent="0.2">
      <c r="A126" s="62" t="e">
        <f t="shared" si="29"/>
        <v>#DIV/0!</v>
      </c>
      <c r="B126" s="45">
        <f t="shared" si="33"/>
        <v>112</v>
      </c>
      <c r="C126" s="51" t="e">
        <f t="shared" si="34"/>
        <v>#DIV/0!</v>
      </c>
      <c r="D126" s="47" t="e" cm="1">
        <f t="array" ref="D126">_xlfn.IFS(AND($C$7="Y",B126&lt;C$4),C126,AND($C$7="Y",B126=C$4),D125+F126-J126-K126-L126+N126,AND($C$7="Y",B126&gt;$C$4),D125-J126-K126-L126+N126, TRUE, D125-J126-K126-L126+N126)</f>
        <v>#DIV/0!</v>
      </c>
      <c r="E126" s="48">
        <f t="shared" si="35"/>
        <v>0</v>
      </c>
      <c r="F126" s="50">
        <f t="shared" si="36"/>
        <v>0</v>
      </c>
      <c r="G126" s="50">
        <f t="shared" si="43"/>
        <v>0</v>
      </c>
      <c r="H126" s="51" t="e">
        <f t="shared" si="44"/>
        <v>#DIV/0!</v>
      </c>
      <c r="I126" s="52" t="e">
        <f t="shared" si="30"/>
        <v>#DIV/0!</v>
      </c>
      <c r="J126" s="52" t="e">
        <f t="shared" si="31"/>
        <v>#DIV/0!</v>
      </c>
      <c r="K126" s="51" t="e">
        <f t="shared" si="41"/>
        <v>#DIV/0!</v>
      </c>
      <c r="L126" s="49" t="e">
        <f t="shared" si="37"/>
        <v>#DIV/0!</v>
      </c>
      <c r="M126" s="49">
        <f t="shared" si="46"/>
        <v>0</v>
      </c>
      <c r="N126" s="49">
        <f t="shared" si="45"/>
        <v>0</v>
      </c>
      <c r="O126" s="48" t="e">
        <f t="shared" si="32"/>
        <v>#DIV/0!</v>
      </c>
      <c r="P126" s="38" t="e">
        <f t="shared" si="28"/>
        <v>#DIV/0!</v>
      </c>
      <c r="Q126" s="53"/>
      <c r="R126" s="53">
        <f t="shared" si="38"/>
        <v>0</v>
      </c>
      <c r="S126" s="53">
        <f t="shared" si="39"/>
        <v>0</v>
      </c>
      <c r="T126" s="53">
        <f t="shared" si="40"/>
        <v>0.05</v>
      </c>
      <c r="U126" s="53">
        <f t="shared" si="42"/>
        <v>4.2653187775606449E-3</v>
      </c>
    </row>
    <row r="127" spans="1:21" x14ac:dyDescent="0.2">
      <c r="A127" s="62" t="e">
        <f t="shared" si="29"/>
        <v>#DIV/0!</v>
      </c>
      <c r="B127" s="45">
        <f t="shared" si="33"/>
        <v>113</v>
      </c>
      <c r="C127" s="51" t="e">
        <f t="shared" si="34"/>
        <v>#DIV/0!</v>
      </c>
      <c r="D127" s="47" t="e" cm="1">
        <f t="array" ref="D127">_xlfn.IFS(AND($C$7="Y",B127&lt;C$4),C127,AND($C$7="Y",B127=C$4),D126+F127-J127-K127-L127+N127,AND($C$7="Y",B127&gt;$C$4),D126-J127-K127-L127+N127, TRUE, D126-J127-K127-L127+N127)</f>
        <v>#DIV/0!</v>
      </c>
      <c r="E127" s="48">
        <f t="shared" si="35"/>
        <v>0</v>
      </c>
      <c r="F127" s="50">
        <f t="shared" si="36"/>
        <v>0</v>
      </c>
      <c r="G127" s="50">
        <f t="shared" si="43"/>
        <v>0</v>
      </c>
      <c r="H127" s="51" t="e">
        <f t="shared" si="44"/>
        <v>#DIV/0!</v>
      </c>
      <c r="I127" s="52" t="e">
        <f t="shared" si="30"/>
        <v>#DIV/0!</v>
      </c>
      <c r="J127" s="52" t="e">
        <f t="shared" si="31"/>
        <v>#DIV/0!</v>
      </c>
      <c r="K127" s="51" t="e">
        <f t="shared" si="41"/>
        <v>#DIV/0!</v>
      </c>
      <c r="L127" s="49" t="e">
        <f t="shared" si="37"/>
        <v>#DIV/0!</v>
      </c>
      <c r="M127" s="49">
        <f t="shared" si="46"/>
        <v>0</v>
      </c>
      <c r="N127" s="49">
        <f t="shared" si="45"/>
        <v>0</v>
      </c>
      <c r="O127" s="48" t="e">
        <f t="shared" si="32"/>
        <v>#DIV/0!</v>
      </c>
      <c r="P127" s="38" t="e">
        <f t="shared" si="28"/>
        <v>#DIV/0!</v>
      </c>
      <c r="Q127" s="53"/>
      <c r="R127" s="53">
        <f t="shared" si="38"/>
        <v>0</v>
      </c>
      <c r="S127" s="53">
        <f t="shared" si="39"/>
        <v>0</v>
      </c>
      <c r="T127" s="53">
        <f t="shared" si="40"/>
        <v>0.05</v>
      </c>
      <c r="U127" s="53">
        <f t="shared" si="42"/>
        <v>4.2653187775606449E-3</v>
      </c>
    </row>
    <row r="128" spans="1:21" x14ac:dyDescent="0.2">
      <c r="A128" s="62" t="e">
        <f t="shared" si="29"/>
        <v>#DIV/0!</v>
      </c>
      <c r="B128" s="45">
        <f t="shared" si="33"/>
        <v>114</v>
      </c>
      <c r="C128" s="51" t="e">
        <f t="shared" si="34"/>
        <v>#DIV/0!</v>
      </c>
      <c r="D128" s="47" t="e" cm="1">
        <f t="array" ref="D128">_xlfn.IFS(AND($C$7="Y",B128&lt;C$4),C128,AND($C$7="Y",B128=C$4),D127+F128-J128-K128-L128+N128,AND($C$7="Y",B128&gt;$C$4),D127-J128-K128-L128+N128, TRUE, D127-J128-K128-L128+N128)</f>
        <v>#DIV/0!</v>
      </c>
      <c r="E128" s="48">
        <f t="shared" si="35"/>
        <v>0</v>
      </c>
      <c r="F128" s="50">
        <f t="shared" si="36"/>
        <v>0</v>
      </c>
      <c r="G128" s="50">
        <f t="shared" si="43"/>
        <v>0</v>
      </c>
      <c r="H128" s="51" t="e">
        <f t="shared" si="44"/>
        <v>#DIV/0!</v>
      </c>
      <c r="I128" s="52" t="e">
        <f t="shared" si="30"/>
        <v>#DIV/0!</v>
      </c>
      <c r="J128" s="52" t="e">
        <f t="shared" si="31"/>
        <v>#DIV/0!</v>
      </c>
      <c r="K128" s="51" t="e">
        <f t="shared" si="41"/>
        <v>#DIV/0!</v>
      </c>
      <c r="L128" s="49" t="e">
        <f t="shared" si="37"/>
        <v>#DIV/0!</v>
      </c>
      <c r="M128" s="49">
        <f t="shared" si="46"/>
        <v>0</v>
      </c>
      <c r="N128" s="49">
        <f t="shared" si="45"/>
        <v>0</v>
      </c>
      <c r="O128" s="48" t="e">
        <f t="shared" si="32"/>
        <v>#DIV/0!</v>
      </c>
      <c r="P128" s="38" t="e">
        <f t="shared" si="28"/>
        <v>#DIV/0!</v>
      </c>
      <c r="Q128" s="53"/>
      <c r="R128" s="53">
        <f t="shared" si="38"/>
        <v>0</v>
      </c>
      <c r="S128" s="53">
        <f t="shared" si="39"/>
        <v>0</v>
      </c>
      <c r="T128" s="53">
        <f t="shared" si="40"/>
        <v>0.05</v>
      </c>
      <c r="U128" s="53">
        <f t="shared" si="42"/>
        <v>4.2653187775606449E-3</v>
      </c>
    </row>
    <row r="129" spans="1:21" x14ac:dyDescent="0.2">
      <c r="A129" s="62" t="e">
        <f t="shared" si="29"/>
        <v>#DIV/0!</v>
      </c>
      <c r="B129" s="45">
        <f t="shared" si="33"/>
        <v>115</v>
      </c>
      <c r="C129" s="51" t="e">
        <f t="shared" si="34"/>
        <v>#DIV/0!</v>
      </c>
      <c r="D129" s="47" t="e" cm="1">
        <f t="array" ref="D129">_xlfn.IFS(AND($C$7="Y",B129&lt;C$4),C129,AND($C$7="Y",B129=C$4),D128+F129-J129-K129-L129+N129,AND($C$7="Y",B129&gt;$C$4),D128-J129-K129-L129+N129, TRUE, D128-J129-K129-L129+N129)</f>
        <v>#DIV/0!</v>
      </c>
      <c r="E129" s="48">
        <f t="shared" si="35"/>
        <v>0</v>
      </c>
      <c r="F129" s="50">
        <f t="shared" si="36"/>
        <v>0</v>
      </c>
      <c r="G129" s="50">
        <f t="shared" si="43"/>
        <v>0</v>
      </c>
      <c r="H129" s="51" t="e">
        <f t="shared" si="44"/>
        <v>#DIV/0!</v>
      </c>
      <c r="I129" s="52" t="e">
        <f t="shared" si="30"/>
        <v>#DIV/0!</v>
      </c>
      <c r="J129" s="52" t="e">
        <f t="shared" si="31"/>
        <v>#DIV/0!</v>
      </c>
      <c r="K129" s="51" t="e">
        <f t="shared" si="41"/>
        <v>#DIV/0!</v>
      </c>
      <c r="L129" s="49" t="e">
        <f t="shared" si="37"/>
        <v>#DIV/0!</v>
      </c>
      <c r="M129" s="49">
        <f t="shared" si="46"/>
        <v>0</v>
      </c>
      <c r="N129" s="49">
        <f t="shared" si="45"/>
        <v>0</v>
      </c>
      <c r="O129" s="48" t="e">
        <f t="shared" si="32"/>
        <v>#DIV/0!</v>
      </c>
      <c r="P129" s="38" t="e">
        <f t="shared" si="28"/>
        <v>#DIV/0!</v>
      </c>
      <c r="Q129" s="53"/>
      <c r="R129" s="53">
        <f t="shared" si="38"/>
        <v>0</v>
      </c>
      <c r="S129" s="53">
        <f t="shared" si="39"/>
        <v>0</v>
      </c>
      <c r="T129" s="53">
        <f t="shared" si="40"/>
        <v>0.05</v>
      </c>
      <c r="U129" s="53">
        <f t="shared" si="42"/>
        <v>4.2653187775606449E-3</v>
      </c>
    </row>
    <row r="130" spans="1:21" x14ac:dyDescent="0.2">
      <c r="A130" s="62" t="e">
        <f t="shared" si="29"/>
        <v>#DIV/0!</v>
      </c>
      <c r="B130" s="45">
        <f t="shared" si="33"/>
        <v>116</v>
      </c>
      <c r="C130" s="51" t="e">
        <f t="shared" si="34"/>
        <v>#DIV/0!</v>
      </c>
      <c r="D130" s="47" t="e" cm="1">
        <f t="array" ref="D130">_xlfn.IFS(AND($C$7="Y",B130&lt;C$4),C130,AND($C$7="Y",B130=C$4),D129+F130-J130-K130-L130+N130,AND($C$7="Y",B130&gt;$C$4),D129-J130-K130-L130+N130, TRUE, D129-J130-K130-L130+N130)</f>
        <v>#DIV/0!</v>
      </c>
      <c r="E130" s="48">
        <f t="shared" si="35"/>
        <v>0</v>
      </c>
      <c r="F130" s="50">
        <f t="shared" si="36"/>
        <v>0</v>
      </c>
      <c r="G130" s="50">
        <f t="shared" si="43"/>
        <v>0</v>
      </c>
      <c r="H130" s="51" t="e">
        <f t="shared" si="44"/>
        <v>#DIV/0!</v>
      </c>
      <c r="I130" s="52" t="e">
        <f t="shared" si="30"/>
        <v>#DIV/0!</v>
      </c>
      <c r="J130" s="52" t="e">
        <f t="shared" si="31"/>
        <v>#DIV/0!</v>
      </c>
      <c r="K130" s="51" t="e">
        <f t="shared" si="41"/>
        <v>#DIV/0!</v>
      </c>
      <c r="L130" s="49" t="e">
        <f t="shared" si="37"/>
        <v>#DIV/0!</v>
      </c>
      <c r="M130" s="49">
        <f t="shared" si="46"/>
        <v>0</v>
      </c>
      <c r="N130" s="49">
        <f t="shared" si="45"/>
        <v>0</v>
      </c>
      <c r="O130" s="48" t="e">
        <f t="shared" si="32"/>
        <v>#DIV/0!</v>
      </c>
      <c r="P130" s="38" t="e">
        <f t="shared" si="28"/>
        <v>#DIV/0!</v>
      </c>
      <c r="Q130" s="53"/>
      <c r="R130" s="53">
        <f t="shared" si="38"/>
        <v>0</v>
      </c>
      <c r="S130" s="53">
        <f t="shared" si="39"/>
        <v>0</v>
      </c>
      <c r="T130" s="53">
        <f t="shared" si="40"/>
        <v>0.05</v>
      </c>
      <c r="U130" s="53">
        <f t="shared" si="42"/>
        <v>4.2653187775606449E-3</v>
      </c>
    </row>
    <row r="131" spans="1:21" x14ac:dyDescent="0.2">
      <c r="A131" s="62" t="e">
        <f t="shared" si="29"/>
        <v>#DIV/0!</v>
      </c>
      <c r="B131" s="45">
        <f t="shared" si="33"/>
        <v>117</v>
      </c>
      <c r="C131" s="51" t="e">
        <f t="shared" si="34"/>
        <v>#DIV/0!</v>
      </c>
      <c r="D131" s="47" t="e" cm="1">
        <f t="array" ref="D131">_xlfn.IFS(AND($C$7="Y",B131&lt;C$4),C131,AND($C$7="Y",B131=C$4),D130+F131-J131-K131-L131+N131,AND($C$7="Y",B131&gt;$C$4),D130-J131-K131-L131+N131, TRUE, D130-J131-K131-L131+N131)</f>
        <v>#DIV/0!</v>
      </c>
      <c r="E131" s="48">
        <f t="shared" si="35"/>
        <v>0</v>
      </c>
      <c r="F131" s="50">
        <f t="shared" si="36"/>
        <v>0</v>
      </c>
      <c r="G131" s="50">
        <f t="shared" si="43"/>
        <v>0</v>
      </c>
      <c r="H131" s="51" t="e">
        <f t="shared" si="44"/>
        <v>#DIV/0!</v>
      </c>
      <c r="I131" s="52" t="e">
        <f t="shared" si="30"/>
        <v>#DIV/0!</v>
      </c>
      <c r="J131" s="52" t="e">
        <f t="shared" si="31"/>
        <v>#DIV/0!</v>
      </c>
      <c r="K131" s="51" t="e">
        <f t="shared" si="41"/>
        <v>#DIV/0!</v>
      </c>
      <c r="L131" s="49" t="e">
        <f t="shared" si="37"/>
        <v>#DIV/0!</v>
      </c>
      <c r="M131" s="49">
        <f t="shared" si="46"/>
        <v>0</v>
      </c>
      <c r="N131" s="49">
        <f t="shared" si="45"/>
        <v>0</v>
      </c>
      <c r="O131" s="48" t="e">
        <f t="shared" si="32"/>
        <v>#DIV/0!</v>
      </c>
      <c r="P131" s="38" t="e">
        <f t="shared" si="28"/>
        <v>#DIV/0!</v>
      </c>
      <c r="Q131" s="53"/>
      <c r="R131" s="53">
        <f t="shared" si="38"/>
        <v>0</v>
      </c>
      <c r="S131" s="53">
        <f t="shared" si="39"/>
        <v>0</v>
      </c>
      <c r="T131" s="53">
        <f t="shared" si="40"/>
        <v>0.05</v>
      </c>
      <c r="U131" s="53">
        <f t="shared" si="42"/>
        <v>4.2653187775606449E-3</v>
      </c>
    </row>
    <row r="132" spans="1:21" x14ac:dyDescent="0.2">
      <c r="A132" s="62" t="e">
        <f t="shared" si="29"/>
        <v>#DIV/0!</v>
      </c>
      <c r="B132" s="45">
        <f t="shared" si="33"/>
        <v>118</v>
      </c>
      <c r="C132" s="51" t="e">
        <f t="shared" si="34"/>
        <v>#DIV/0!</v>
      </c>
      <c r="D132" s="47" t="e" cm="1">
        <f t="array" ref="D132">_xlfn.IFS(AND($C$7="Y",B132&lt;C$4),C132,AND($C$7="Y",B132=C$4),D131+F132-J132-K132-L132+N132,AND($C$7="Y",B132&gt;$C$4),D131-J132-K132-L132+N132, TRUE, D131-J132-K132-L132+N132)</f>
        <v>#DIV/0!</v>
      </c>
      <c r="E132" s="48">
        <f t="shared" si="35"/>
        <v>0</v>
      </c>
      <c r="F132" s="50">
        <f t="shared" si="36"/>
        <v>0</v>
      </c>
      <c r="G132" s="50">
        <f t="shared" si="43"/>
        <v>0</v>
      </c>
      <c r="H132" s="51" t="e">
        <f t="shared" si="44"/>
        <v>#DIV/0!</v>
      </c>
      <c r="I132" s="52" t="e">
        <f t="shared" si="30"/>
        <v>#DIV/0!</v>
      </c>
      <c r="J132" s="52" t="e">
        <f t="shared" si="31"/>
        <v>#DIV/0!</v>
      </c>
      <c r="K132" s="51" t="e">
        <f t="shared" si="41"/>
        <v>#DIV/0!</v>
      </c>
      <c r="L132" s="49" t="e">
        <f t="shared" si="37"/>
        <v>#DIV/0!</v>
      </c>
      <c r="M132" s="49">
        <f t="shared" si="46"/>
        <v>0</v>
      </c>
      <c r="N132" s="49">
        <f t="shared" si="45"/>
        <v>0</v>
      </c>
      <c r="O132" s="48" t="e">
        <f t="shared" si="32"/>
        <v>#DIV/0!</v>
      </c>
      <c r="P132" s="38" t="e">
        <f t="shared" si="28"/>
        <v>#DIV/0!</v>
      </c>
      <c r="Q132" s="53"/>
      <c r="R132" s="53">
        <f t="shared" si="38"/>
        <v>0</v>
      </c>
      <c r="S132" s="53">
        <f t="shared" si="39"/>
        <v>0</v>
      </c>
      <c r="T132" s="53">
        <f t="shared" si="40"/>
        <v>0.05</v>
      </c>
      <c r="U132" s="53">
        <f t="shared" si="42"/>
        <v>4.2653187775606449E-3</v>
      </c>
    </row>
    <row r="133" spans="1:21" x14ac:dyDescent="0.2">
      <c r="A133" s="62" t="e">
        <f t="shared" si="29"/>
        <v>#DIV/0!</v>
      </c>
      <c r="B133" s="45">
        <f t="shared" si="33"/>
        <v>119</v>
      </c>
      <c r="C133" s="51" t="e">
        <f t="shared" si="34"/>
        <v>#DIV/0!</v>
      </c>
      <c r="D133" s="47" t="e" cm="1">
        <f t="array" ref="D133">_xlfn.IFS(AND($C$7="Y",B133&lt;C$4),C133,AND($C$7="Y",B133=C$4),D132+F133-J133-K133-L133+N133,AND($C$7="Y",B133&gt;$C$4),D132-J133-K133-L133+N133, TRUE, D132-J133-K133-L133+N133)</f>
        <v>#DIV/0!</v>
      </c>
      <c r="E133" s="48">
        <f t="shared" si="35"/>
        <v>0</v>
      </c>
      <c r="F133" s="50">
        <f t="shared" si="36"/>
        <v>0</v>
      </c>
      <c r="G133" s="50">
        <f t="shared" si="43"/>
        <v>0</v>
      </c>
      <c r="H133" s="51" t="e">
        <f t="shared" si="44"/>
        <v>#DIV/0!</v>
      </c>
      <c r="I133" s="52" t="e">
        <f t="shared" si="30"/>
        <v>#DIV/0!</v>
      </c>
      <c r="J133" s="52" t="e">
        <f t="shared" si="31"/>
        <v>#DIV/0!</v>
      </c>
      <c r="K133" s="51" t="e">
        <f t="shared" si="41"/>
        <v>#DIV/0!</v>
      </c>
      <c r="L133" s="49" t="e">
        <f t="shared" si="37"/>
        <v>#DIV/0!</v>
      </c>
      <c r="M133" s="49">
        <f t="shared" si="46"/>
        <v>0</v>
      </c>
      <c r="N133" s="49">
        <f t="shared" si="45"/>
        <v>0</v>
      </c>
      <c r="O133" s="48" t="e">
        <f t="shared" si="32"/>
        <v>#DIV/0!</v>
      </c>
      <c r="P133" s="38" t="e">
        <f t="shared" si="28"/>
        <v>#DIV/0!</v>
      </c>
      <c r="Q133" s="53"/>
      <c r="R133" s="53">
        <f t="shared" si="38"/>
        <v>0</v>
      </c>
      <c r="S133" s="53">
        <f t="shared" si="39"/>
        <v>0</v>
      </c>
      <c r="T133" s="53">
        <f t="shared" si="40"/>
        <v>0.05</v>
      </c>
      <c r="U133" s="53">
        <f t="shared" si="42"/>
        <v>4.2653187775606449E-3</v>
      </c>
    </row>
    <row r="134" spans="1:21" x14ac:dyDescent="0.2">
      <c r="A134" s="62" t="e">
        <f t="shared" si="29"/>
        <v>#DIV/0!</v>
      </c>
      <c r="B134" s="45">
        <f t="shared" si="33"/>
        <v>120</v>
      </c>
      <c r="C134" s="51" t="e">
        <f t="shared" si="34"/>
        <v>#DIV/0!</v>
      </c>
      <c r="D134" s="47" t="e" cm="1">
        <f t="array" ref="D134">_xlfn.IFS(AND($C$7="Y",B134&lt;C$4),C134,AND($C$7="Y",B134=C$4),D133+F134-J134-K134-L134+N134,AND($C$7="Y",B134&gt;$C$4),D133-J134-K134-L134+N134, TRUE, D133-J134-K134-L134+N134)</f>
        <v>#DIV/0!</v>
      </c>
      <c r="E134" s="48">
        <f t="shared" si="35"/>
        <v>0</v>
      </c>
      <c r="F134" s="50">
        <f t="shared" si="36"/>
        <v>0</v>
      </c>
      <c r="G134" s="50">
        <f t="shared" si="43"/>
        <v>0</v>
      </c>
      <c r="H134" s="51" t="e">
        <f t="shared" si="44"/>
        <v>#DIV/0!</v>
      </c>
      <c r="I134" s="52" t="e">
        <f t="shared" si="30"/>
        <v>#DIV/0!</v>
      </c>
      <c r="J134" s="52" t="e">
        <f t="shared" si="31"/>
        <v>#DIV/0!</v>
      </c>
      <c r="K134" s="51" t="e">
        <f t="shared" si="41"/>
        <v>#DIV/0!</v>
      </c>
      <c r="L134" s="49" t="e">
        <f t="shared" si="37"/>
        <v>#DIV/0!</v>
      </c>
      <c r="M134" s="49">
        <f t="shared" si="46"/>
        <v>0</v>
      </c>
      <c r="N134" s="49">
        <f t="shared" si="45"/>
        <v>0</v>
      </c>
      <c r="O134" s="48" t="e">
        <f t="shared" si="32"/>
        <v>#DIV/0!</v>
      </c>
      <c r="P134" s="38" t="e">
        <f t="shared" si="28"/>
        <v>#DIV/0!</v>
      </c>
      <c r="Q134" s="53"/>
      <c r="R134" s="53">
        <f t="shared" si="38"/>
        <v>0</v>
      </c>
      <c r="S134" s="53">
        <f t="shared" si="39"/>
        <v>0</v>
      </c>
      <c r="T134" s="53">
        <f t="shared" si="40"/>
        <v>0.05</v>
      </c>
      <c r="U134" s="53">
        <f t="shared" si="42"/>
        <v>4.2653187775606449E-3</v>
      </c>
    </row>
    <row r="135" spans="1:21" x14ac:dyDescent="0.2">
      <c r="A135" s="62" t="e">
        <f t="shared" si="29"/>
        <v>#DIV/0!</v>
      </c>
      <c r="B135" s="45">
        <f t="shared" si="33"/>
        <v>121</v>
      </c>
      <c r="C135" s="51" t="e">
        <f t="shared" si="34"/>
        <v>#DIV/0!</v>
      </c>
      <c r="D135" s="47" t="e" cm="1">
        <f t="array" ref="D135">_xlfn.IFS(AND($C$7="Y",B135&lt;C$4),C135,AND($C$7="Y",B135=C$4),D134+F135-J135-K135-L135+N135,AND($C$7="Y",B135&gt;$C$4),D134-J135-K135-L135+N135, TRUE, D134-J135-K135-L135+N135)</f>
        <v>#DIV/0!</v>
      </c>
      <c r="E135" s="48">
        <f t="shared" si="35"/>
        <v>0</v>
      </c>
      <c r="F135" s="50">
        <f t="shared" si="36"/>
        <v>0</v>
      </c>
      <c r="G135" s="50">
        <f t="shared" si="43"/>
        <v>0</v>
      </c>
      <c r="H135" s="51" t="e">
        <f t="shared" si="44"/>
        <v>#DIV/0!</v>
      </c>
      <c r="I135" s="52" t="e">
        <f t="shared" si="30"/>
        <v>#DIV/0!</v>
      </c>
      <c r="J135" s="52" t="e">
        <f t="shared" si="31"/>
        <v>#DIV/0!</v>
      </c>
      <c r="K135" s="51" t="e">
        <f t="shared" si="41"/>
        <v>#DIV/0!</v>
      </c>
      <c r="L135" s="49" t="e">
        <f t="shared" si="37"/>
        <v>#DIV/0!</v>
      </c>
      <c r="M135" s="49">
        <f t="shared" si="46"/>
        <v>0</v>
      </c>
      <c r="N135" s="49">
        <f t="shared" si="45"/>
        <v>0</v>
      </c>
      <c r="O135" s="48" t="e">
        <f t="shared" si="32"/>
        <v>#DIV/0!</v>
      </c>
      <c r="P135" s="38" t="e">
        <f t="shared" si="28"/>
        <v>#DIV/0!</v>
      </c>
      <c r="Q135" s="53"/>
      <c r="R135" s="53">
        <f t="shared" si="38"/>
        <v>0</v>
      </c>
      <c r="S135" s="53">
        <f t="shared" si="39"/>
        <v>0</v>
      </c>
      <c r="T135" s="53">
        <f t="shared" si="40"/>
        <v>0.05</v>
      </c>
      <c r="U135" s="53">
        <f t="shared" si="42"/>
        <v>4.2653187775606449E-3</v>
      </c>
    </row>
    <row r="136" spans="1:21" x14ac:dyDescent="0.2">
      <c r="A136" s="62" t="e">
        <f t="shared" si="29"/>
        <v>#DIV/0!</v>
      </c>
      <c r="B136" s="45">
        <f t="shared" si="33"/>
        <v>122</v>
      </c>
      <c r="C136" s="51" t="e">
        <f t="shared" si="34"/>
        <v>#DIV/0!</v>
      </c>
      <c r="D136" s="47" t="e" cm="1">
        <f t="array" ref="D136">_xlfn.IFS(AND($C$7="Y",B136&lt;C$4),C136,AND($C$7="Y",B136=C$4),D135+F136-J136-K136-L136+N136,AND($C$7="Y",B136&gt;$C$4),D135-J136-K136-L136+N136, TRUE, D135-J136-K136-L136+N136)</f>
        <v>#DIV/0!</v>
      </c>
      <c r="E136" s="48">
        <f t="shared" si="35"/>
        <v>0</v>
      </c>
      <c r="F136" s="50">
        <f t="shared" si="36"/>
        <v>0</v>
      </c>
      <c r="G136" s="50">
        <f t="shared" si="43"/>
        <v>0</v>
      </c>
      <c r="H136" s="51" t="e">
        <f t="shared" si="44"/>
        <v>#DIV/0!</v>
      </c>
      <c r="I136" s="52" t="e">
        <f t="shared" si="30"/>
        <v>#DIV/0!</v>
      </c>
      <c r="J136" s="52" t="e">
        <f t="shared" si="31"/>
        <v>#DIV/0!</v>
      </c>
      <c r="K136" s="51" t="e">
        <f t="shared" si="41"/>
        <v>#DIV/0!</v>
      </c>
      <c r="L136" s="49" t="e">
        <f t="shared" si="37"/>
        <v>#DIV/0!</v>
      </c>
      <c r="M136" s="49">
        <f t="shared" si="46"/>
        <v>0</v>
      </c>
      <c r="N136" s="49">
        <f t="shared" si="45"/>
        <v>0</v>
      </c>
      <c r="O136" s="48" t="e">
        <f t="shared" si="32"/>
        <v>#DIV/0!</v>
      </c>
      <c r="P136" s="38" t="e">
        <f t="shared" si="28"/>
        <v>#DIV/0!</v>
      </c>
      <c r="Q136" s="53"/>
      <c r="R136" s="53">
        <f t="shared" si="38"/>
        <v>0</v>
      </c>
      <c r="S136" s="53">
        <f t="shared" si="39"/>
        <v>0</v>
      </c>
      <c r="T136" s="53">
        <f t="shared" si="40"/>
        <v>0.05</v>
      </c>
      <c r="U136" s="53">
        <f t="shared" si="42"/>
        <v>4.2653187775606449E-3</v>
      </c>
    </row>
    <row r="137" spans="1:21" x14ac:dyDescent="0.2">
      <c r="A137" s="62" t="e">
        <f t="shared" si="29"/>
        <v>#DIV/0!</v>
      </c>
      <c r="B137" s="45">
        <f t="shared" si="33"/>
        <v>123</v>
      </c>
      <c r="C137" s="51" t="e">
        <f t="shared" si="34"/>
        <v>#DIV/0!</v>
      </c>
      <c r="D137" s="47" t="e" cm="1">
        <f t="array" ref="D137">_xlfn.IFS(AND($C$7="Y",B137&lt;C$4),C137,AND($C$7="Y",B137=C$4),D136+F137-J137-K137-L137+N137,AND($C$7="Y",B137&gt;$C$4),D136-J137-K137-L137+N137, TRUE, D136-J137-K137-L137+N137)</f>
        <v>#DIV/0!</v>
      </c>
      <c r="E137" s="48">
        <f t="shared" si="35"/>
        <v>0</v>
      </c>
      <c r="F137" s="50">
        <f t="shared" si="36"/>
        <v>0</v>
      </c>
      <c r="G137" s="50">
        <f t="shared" si="43"/>
        <v>0</v>
      </c>
      <c r="H137" s="51" t="e">
        <f t="shared" si="44"/>
        <v>#DIV/0!</v>
      </c>
      <c r="I137" s="52" t="e">
        <f t="shared" si="30"/>
        <v>#DIV/0!</v>
      </c>
      <c r="J137" s="52" t="e">
        <f t="shared" si="31"/>
        <v>#DIV/0!</v>
      </c>
      <c r="K137" s="51" t="e">
        <f t="shared" si="41"/>
        <v>#DIV/0!</v>
      </c>
      <c r="L137" s="49" t="e">
        <f t="shared" si="37"/>
        <v>#DIV/0!</v>
      </c>
      <c r="M137" s="49">
        <f t="shared" si="46"/>
        <v>0</v>
      </c>
      <c r="N137" s="49">
        <f t="shared" si="45"/>
        <v>0</v>
      </c>
      <c r="O137" s="48" t="e">
        <f t="shared" si="32"/>
        <v>#DIV/0!</v>
      </c>
      <c r="P137" s="38" t="e">
        <f t="shared" si="28"/>
        <v>#DIV/0!</v>
      </c>
      <c r="Q137" s="53"/>
      <c r="R137" s="53">
        <f t="shared" si="38"/>
        <v>0</v>
      </c>
      <c r="S137" s="53">
        <f t="shared" si="39"/>
        <v>0</v>
      </c>
      <c r="T137" s="53">
        <f t="shared" si="40"/>
        <v>0.05</v>
      </c>
      <c r="U137" s="53">
        <f t="shared" si="42"/>
        <v>4.2653187775606449E-3</v>
      </c>
    </row>
    <row r="138" spans="1:21" x14ac:dyDescent="0.2">
      <c r="A138" s="62" t="e">
        <f t="shared" si="29"/>
        <v>#DIV/0!</v>
      </c>
      <c r="B138" s="45">
        <f t="shared" si="33"/>
        <v>124</v>
      </c>
      <c r="C138" s="51" t="e">
        <f t="shared" si="34"/>
        <v>#DIV/0!</v>
      </c>
      <c r="D138" s="47" t="e" cm="1">
        <f t="array" ref="D138">_xlfn.IFS(AND($C$7="Y",B138&lt;C$4),C138,AND($C$7="Y",B138=C$4),D137+F138-J138-K138-L138+N138,AND($C$7="Y",B138&gt;$C$4),D137-J138-K138-L138+N138, TRUE, D137-J138-K138-L138+N138)</f>
        <v>#DIV/0!</v>
      </c>
      <c r="E138" s="48">
        <f t="shared" si="35"/>
        <v>0</v>
      </c>
      <c r="F138" s="50">
        <f t="shared" si="36"/>
        <v>0</v>
      </c>
      <c r="G138" s="50">
        <f t="shared" si="43"/>
        <v>0</v>
      </c>
      <c r="H138" s="51" t="e">
        <f t="shared" si="44"/>
        <v>#DIV/0!</v>
      </c>
      <c r="I138" s="52" t="e">
        <f t="shared" si="30"/>
        <v>#DIV/0!</v>
      </c>
      <c r="J138" s="52" t="e">
        <f t="shared" si="31"/>
        <v>#DIV/0!</v>
      </c>
      <c r="K138" s="51" t="e">
        <f t="shared" si="41"/>
        <v>#DIV/0!</v>
      </c>
      <c r="L138" s="49" t="e">
        <f t="shared" si="37"/>
        <v>#DIV/0!</v>
      </c>
      <c r="M138" s="49">
        <f t="shared" si="46"/>
        <v>0</v>
      </c>
      <c r="N138" s="49">
        <f t="shared" si="45"/>
        <v>0</v>
      </c>
      <c r="O138" s="48" t="e">
        <f t="shared" si="32"/>
        <v>#DIV/0!</v>
      </c>
      <c r="P138" s="38" t="e">
        <f t="shared" si="28"/>
        <v>#DIV/0!</v>
      </c>
      <c r="Q138" s="53"/>
      <c r="R138" s="53">
        <f t="shared" si="38"/>
        <v>0</v>
      </c>
      <c r="S138" s="53">
        <f t="shared" si="39"/>
        <v>0</v>
      </c>
      <c r="T138" s="53">
        <f t="shared" si="40"/>
        <v>0.05</v>
      </c>
      <c r="U138" s="53">
        <f t="shared" si="42"/>
        <v>4.2653187775606449E-3</v>
      </c>
    </row>
    <row r="139" spans="1:21" x14ac:dyDescent="0.2">
      <c r="A139" s="62" t="e">
        <f t="shared" si="29"/>
        <v>#DIV/0!</v>
      </c>
      <c r="B139" s="45">
        <f t="shared" si="33"/>
        <v>125</v>
      </c>
      <c r="C139" s="51" t="e">
        <f t="shared" si="34"/>
        <v>#DIV/0!</v>
      </c>
      <c r="D139" s="47" t="e" cm="1">
        <f t="array" ref="D139">_xlfn.IFS(AND($C$7="Y",B139&lt;C$4),C139,AND($C$7="Y",B139=C$4),D138+F139-J139-K139-L139+N139,AND($C$7="Y",B139&gt;$C$4),D138-J139-K139-L139+N139, TRUE, D138-J139-K139-L139+N139)</f>
        <v>#DIV/0!</v>
      </c>
      <c r="E139" s="48">
        <f t="shared" si="35"/>
        <v>0</v>
      </c>
      <c r="F139" s="50">
        <f t="shared" si="36"/>
        <v>0</v>
      </c>
      <c r="G139" s="50">
        <f t="shared" si="43"/>
        <v>0</v>
      </c>
      <c r="H139" s="51" t="e">
        <f t="shared" si="44"/>
        <v>#DIV/0!</v>
      </c>
      <c r="I139" s="52" t="e">
        <f t="shared" si="30"/>
        <v>#DIV/0!</v>
      </c>
      <c r="J139" s="52" t="e">
        <f t="shared" si="31"/>
        <v>#DIV/0!</v>
      </c>
      <c r="K139" s="51" t="e">
        <f t="shared" si="41"/>
        <v>#DIV/0!</v>
      </c>
      <c r="L139" s="49" t="e">
        <f t="shared" si="37"/>
        <v>#DIV/0!</v>
      </c>
      <c r="M139" s="49">
        <f t="shared" si="46"/>
        <v>0</v>
      </c>
      <c r="N139" s="49">
        <f t="shared" si="45"/>
        <v>0</v>
      </c>
      <c r="O139" s="48" t="e">
        <f t="shared" si="32"/>
        <v>#DIV/0!</v>
      </c>
      <c r="P139" s="38" t="e">
        <f t="shared" si="28"/>
        <v>#DIV/0!</v>
      </c>
      <c r="Q139" s="53"/>
      <c r="R139" s="53">
        <f t="shared" si="38"/>
        <v>0</v>
      </c>
      <c r="S139" s="53">
        <f t="shared" si="39"/>
        <v>0</v>
      </c>
      <c r="T139" s="53">
        <f t="shared" si="40"/>
        <v>0.05</v>
      </c>
      <c r="U139" s="53">
        <f t="shared" si="42"/>
        <v>4.2653187775606449E-3</v>
      </c>
    </row>
    <row r="140" spans="1:21" x14ac:dyDescent="0.2">
      <c r="A140" s="62" t="e">
        <f t="shared" si="29"/>
        <v>#DIV/0!</v>
      </c>
      <c r="B140" s="45">
        <f t="shared" si="33"/>
        <v>126</v>
      </c>
      <c r="C140" s="51" t="e">
        <f t="shared" si="34"/>
        <v>#DIV/0!</v>
      </c>
      <c r="D140" s="47" t="e" cm="1">
        <f t="array" ref="D140">_xlfn.IFS(AND($C$7="Y",B140&lt;C$4),C140,AND($C$7="Y",B140=C$4),D139+F140-J140-K140-L140+N140,AND($C$7="Y",B140&gt;$C$4),D139-J140-K140-L140+N140, TRUE, D139-J140-K140-L140+N140)</f>
        <v>#DIV/0!</v>
      </c>
      <c r="E140" s="48">
        <f t="shared" si="35"/>
        <v>0</v>
      </c>
      <c r="F140" s="50">
        <f t="shared" si="36"/>
        <v>0</v>
      </c>
      <c r="G140" s="50">
        <f t="shared" si="43"/>
        <v>0</v>
      </c>
      <c r="H140" s="51" t="e">
        <f t="shared" si="44"/>
        <v>#DIV/0!</v>
      </c>
      <c r="I140" s="52" t="e">
        <f t="shared" si="30"/>
        <v>#DIV/0!</v>
      </c>
      <c r="J140" s="52" t="e">
        <f t="shared" si="31"/>
        <v>#DIV/0!</v>
      </c>
      <c r="K140" s="51" t="e">
        <f t="shared" si="41"/>
        <v>#DIV/0!</v>
      </c>
      <c r="L140" s="49" t="e">
        <f t="shared" si="37"/>
        <v>#DIV/0!</v>
      </c>
      <c r="M140" s="49">
        <f t="shared" si="46"/>
        <v>0</v>
      </c>
      <c r="N140" s="49">
        <f t="shared" si="45"/>
        <v>0</v>
      </c>
      <c r="O140" s="48" t="e">
        <f t="shared" si="32"/>
        <v>#DIV/0!</v>
      </c>
      <c r="P140" s="38" t="e">
        <f t="shared" si="28"/>
        <v>#DIV/0!</v>
      </c>
      <c r="Q140" s="53"/>
      <c r="R140" s="53">
        <f t="shared" si="38"/>
        <v>0</v>
      </c>
      <c r="S140" s="53">
        <f t="shared" si="39"/>
        <v>0</v>
      </c>
      <c r="T140" s="53">
        <f t="shared" si="40"/>
        <v>0.05</v>
      </c>
      <c r="U140" s="53">
        <f t="shared" si="42"/>
        <v>4.2653187775606449E-3</v>
      </c>
    </row>
    <row r="141" spans="1:21" x14ac:dyDescent="0.2">
      <c r="A141" s="62" t="e">
        <f t="shared" si="29"/>
        <v>#DIV/0!</v>
      </c>
      <c r="B141" s="45">
        <f t="shared" si="33"/>
        <v>127</v>
      </c>
      <c r="C141" s="51" t="e">
        <f t="shared" si="34"/>
        <v>#DIV/0!</v>
      </c>
      <c r="D141" s="47" t="e" cm="1">
        <f t="array" ref="D141">_xlfn.IFS(AND($C$7="Y",B141&lt;C$4),C141,AND($C$7="Y",B141=C$4),D140+F141-J141-K141-L141+N141,AND($C$7="Y",B141&gt;$C$4),D140-J141-K141-L141+N141, TRUE, D140-J141-K141-L141+N141)</f>
        <v>#DIV/0!</v>
      </c>
      <c r="E141" s="48">
        <f t="shared" si="35"/>
        <v>0</v>
      </c>
      <c r="F141" s="50">
        <f t="shared" si="36"/>
        <v>0</v>
      </c>
      <c r="G141" s="50">
        <f t="shared" si="43"/>
        <v>0</v>
      </c>
      <c r="H141" s="51" t="e">
        <f t="shared" si="44"/>
        <v>#DIV/0!</v>
      </c>
      <c r="I141" s="52" t="e">
        <f t="shared" si="30"/>
        <v>#DIV/0!</v>
      </c>
      <c r="J141" s="52" t="e">
        <f t="shared" si="31"/>
        <v>#DIV/0!</v>
      </c>
      <c r="K141" s="51" t="e">
        <f t="shared" si="41"/>
        <v>#DIV/0!</v>
      </c>
      <c r="L141" s="49" t="e">
        <f t="shared" si="37"/>
        <v>#DIV/0!</v>
      </c>
      <c r="M141" s="49">
        <f t="shared" si="46"/>
        <v>0</v>
      </c>
      <c r="N141" s="49">
        <f t="shared" si="45"/>
        <v>0</v>
      </c>
      <c r="O141" s="48" t="e">
        <f t="shared" si="32"/>
        <v>#DIV/0!</v>
      </c>
      <c r="P141" s="38" t="e">
        <f t="shared" si="28"/>
        <v>#DIV/0!</v>
      </c>
      <c r="Q141" s="53"/>
      <c r="R141" s="53">
        <f t="shared" si="38"/>
        <v>0</v>
      </c>
      <c r="S141" s="53">
        <f t="shared" si="39"/>
        <v>0</v>
      </c>
      <c r="T141" s="53">
        <f t="shared" si="40"/>
        <v>0.05</v>
      </c>
      <c r="U141" s="53">
        <f t="shared" si="42"/>
        <v>4.2653187775606449E-3</v>
      </c>
    </row>
    <row r="142" spans="1:21" x14ac:dyDescent="0.2">
      <c r="A142" s="62" t="e">
        <f t="shared" si="29"/>
        <v>#DIV/0!</v>
      </c>
      <c r="B142" s="45">
        <f t="shared" si="33"/>
        <v>128</v>
      </c>
      <c r="C142" s="51" t="e">
        <f t="shared" si="34"/>
        <v>#DIV/0!</v>
      </c>
      <c r="D142" s="47" t="e" cm="1">
        <f t="array" ref="D142">_xlfn.IFS(AND($C$7="Y",B142&lt;C$4),C142,AND($C$7="Y",B142=C$4),D141+F142-J142-K142-L142+N142,AND($C$7="Y",B142&gt;$C$4),D141-J142-K142-L142+N142, TRUE, D141-J142-K142-L142+N142)</f>
        <v>#DIV/0!</v>
      </c>
      <c r="E142" s="48">
        <f t="shared" si="35"/>
        <v>0</v>
      </c>
      <c r="F142" s="50">
        <f t="shared" si="36"/>
        <v>0</v>
      </c>
      <c r="G142" s="50">
        <f t="shared" si="43"/>
        <v>0</v>
      </c>
      <c r="H142" s="51" t="e">
        <f t="shared" si="44"/>
        <v>#DIV/0!</v>
      </c>
      <c r="I142" s="52" t="e">
        <f t="shared" si="30"/>
        <v>#DIV/0!</v>
      </c>
      <c r="J142" s="52" t="e">
        <f t="shared" si="31"/>
        <v>#DIV/0!</v>
      </c>
      <c r="K142" s="51" t="e">
        <f t="shared" si="41"/>
        <v>#DIV/0!</v>
      </c>
      <c r="L142" s="49" t="e">
        <f t="shared" si="37"/>
        <v>#DIV/0!</v>
      </c>
      <c r="M142" s="49">
        <f t="shared" si="46"/>
        <v>0</v>
      </c>
      <c r="N142" s="49">
        <f t="shared" si="45"/>
        <v>0</v>
      </c>
      <c r="O142" s="48" t="e">
        <f t="shared" si="32"/>
        <v>#DIV/0!</v>
      </c>
      <c r="P142" s="38" t="e">
        <f t="shared" ref="P142:P205" si="47">O142*(1/((1+P$12)^(B142/12)))</f>
        <v>#DIV/0!</v>
      </c>
      <c r="Q142" s="53"/>
      <c r="R142" s="53">
        <f t="shared" si="38"/>
        <v>0</v>
      </c>
      <c r="S142" s="53">
        <f t="shared" si="39"/>
        <v>0</v>
      </c>
      <c r="T142" s="53">
        <f t="shared" si="40"/>
        <v>0.05</v>
      </c>
      <c r="U142" s="53">
        <f t="shared" si="42"/>
        <v>4.2653187775606449E-3</v>
      </c>
    </row>
    <row r="143" spans="1:21" x14ac:dyDescent="0.2">
      <c r="A143" s="62" t="e">
        <f t="shared" ref="A143:A206" si="48">D143/C$1</f>
        <v>#DIV/0!</v>
      </c>
      <c r="B143" s="45">
        <f t="shared" si="33"/>
        <v>129</v>
      </c>
      <c r="C143" s="51" t="e">
        <f t="shared" si="34"/>
        <v>#DIV/0!</v>
      </c>
      <c r="D143" s="47" t="e" cm="1">
        <f t="array" ref="D143">_xlfn.IFS(AND($C$7="Y",B143&lt;C$4),C143,AND($C$7="Y",B143=C$4),D142+F143-J143-K143-L143+N143,AND($C$7="Y",B143&gt;$C$4),D142-J143-K143-L143+N143, TRUE, D142-J143-K143-L143+N143)</f>
        <v>#DIV/0!</v>
      </c>
      <c r="E143" s="48">
        <f t="shared" si="35"/>
        <v>0</v>
      </c>
      <c r="F143" s="50">
        <f t="shared" si="36"/>
        <v>0</v>
      </c>
      <c r="G143" s="50">
        <f t="shared" si="43"/>
        <v>0</v>
      </c>
      <c r="H143" s="51" t="e">
        <f t="shared" si="44"/>
        <v>#DIV/0!</v>
      </c>
      <c r="I143" s="52" t="e">
        <f t="shared" ref="I143:I206" si="49">IF(AND(C$7="Y",$B143&lt;=C$4),0,IF(AND(C$7="Y",$B143&gt;C$4),(1-U143)*C$2*D142/12,IF(AND($C$7="N",C$4&gt;0),(1-U143)*D142*C$2/12, (1-U143)*D142*C$2/12)))</f>
        <v>#DIV/0!</v>
      </c>
      <c r="J143" s="52" t="e">
        <f t="shared" ref="J143:J206" si="50">IF(AND($B143&lt;=$C$4,C$7="Y"),0,IF(AND(C$7="N",C$4&gt;0,B143&lt;=C$4),0,H143-I143))</f>
        <v>#DIV/0!</v>
      </c>
      <c r="K143" s="51" t="e">
        <f t="shared" si="41"/>
        <v>#DIV/0!</v>
      </c>
      <c r="L143" s="49" t="e">
        <f t="shared" si="37"/>
        <v>#DIV/0!</v>
      </c>
      <c r="M143" s="49">
        <f t="shared" si="46"/>
        <v>0</v>
      </c>
      <c r="N143" s="49">
        <f t="shared" si="45"/>
        <v>0</v>
      </c>
      <c r="O143" s="48" t="e">
        <f t="shared" ref="O143:O206" si="51">K143+I143+J143-L143+N143+G143</f>
        <v>#DIV/0!</v>
      </c>
      <c r="P143" s="38" t="e">
        <f t="shared" si="47"/>
        <v>#DIV/0!</v>
      </c>
      <c r="Q143" s="53"/>
      <c r="R143" s="53">
        <f t="shared" si="38"/>
        <v>0</v>
      </c>
      <c r="S143" s="53">
        <f t="shared" si="39"/>
        <v>0</v>
      </c>
      <c r="T143" s="53">
        <f t="shared" si="40"/>
        <v>0.05</v>
      </c>
      <c r="U143" s="53">
        <f t="shared" si="42"/>
        <v>4.2653187775606449E-3</v>
      </c>
    </row>
    <row r="144" spans="1:21" x14ac:dyDescent="0.2">
      <c r="A144" s="62" t="e">
        <f t="shared" si="48"/>
        <v>#DIV/0!</v>
      </c>
      <c r="B144" s="45">
        <f t="shared" ref="B144:B207" si="52">B143+1</f>
        <v>130</v>
      </c>
      <c r="C144" s="51" t="e">
        <f t="shared" ref="C144:C207" si="53">IF(B144&lt;C$4,C$1,D143-L144+N144)</f>
        <v>#DIV/0!</v>
      </c>
      <c r="D144" s="47" t="e" cm="1">
        <f t="array" ref="D144">_xlfn.IFS(AND($C$7="Y",B144&lt;C$4),C144,AND($C$7="Y",B144=C$4),D143+F144-J144-K144-L144+N144,AND($C$7="Y",B144&gt;$C$4),D143-J144-K144-L144+N144, TRUE, D143-J144-K144-L144+N144)</f>
        <v>#DIV/0!</v>
      </c>
      <c r="E144" s="48">
        <f t="shared" ref="E144:E207" si="54">IF(AND($C$7="Y",B144&lt;=$C$4),D143*C$2/12-G144,0)</f>
        <v>0</v>
      </c>
      <c r="F144" s="50">
        <f t="shared" ref="F144:F207" si="55">IF(AND($C$7="Y",B144&lt;=C$4),E144+F143,0)</f>
        <v>0</v>
      </c>
      <c r="G144" s="50">
        <f t="shared" si="43"/>
        <v>0</v>
      </c>
      <c r="H144" s="51" t="e">
        <f t="shared" si="44"/>
        <v>#DIV/0!</v>
      </c>
      <c r="I144" s="52" t="e">
        <f t="shared" si="49"/>
        <v>#DIV/0!</v>
      </c>
      <c r="J144" s="52" t="e">
        <f t="shared" si="50"/>
        <v>#DIV/0!</v>
      </c>
      <c r="K144" s="51" t="e">
        <f t="shared" si="41"/>
        <v>#DIV/0!</v>
      </c>
      <c r="L144" s="49" t="e">
        <f t="shared" ref="L144:L207" si="56">IF(AND(C$7="Y",$B144&lt;=$C$4),0,IF(AND(C$7="N",C$4&gt;0,B144&lt;=C$4),0,U144*D143))</f>
        <v>#DIV/0!</v>
      </c>
      <c r="M144" s="49">
        <f t="shared" si="46"/>
        <v>0</v>
      </c>
      <c r="N144" s="49">
        <f t="shared" si="45"/>
        <v>0</v>
      </c>
      <c r="O144" s="48" t="e">
        <f t="shared" si="51"/>
        <v>#DIV/0!</v>
      </c>
      <c r="P144" s="38" t="e">
        <f t="shared" si="47"/>
        <v>#DIV/0!</v>
      </c>
      <c r="Q144" s="53"/>
      <c r="R144" s="53">
        <f t="shared" ref="R144:R207" si="57">R$12</f>
        <v>0</v>
      </c>
      <c r="S144" s="53">
        <f t="shared" ref="S144:S207" si="58">1-(1-R144)^(1/12)</f>
        <v>0</v>
      </c>
      <c r="T144" s="53">
        <f t="shared" ref="T144:T207" si="59">T$12</f>
        <v>0.05</v>
      </c>
      <c r="U144" s="53">
        <f t="shared" si="42"/>
        <v>4.2653187775606449E-3</v>
      </c>
    </row>
    <row r="145" spans="1:21" x14ac:dyDescent="0.2">
      <c r="A145" s="62" t="e">
        <f t="shared" si="48"/>
        <v>#DIV/0!</v>
      </c>
      <c r="B145" s="45">
        <f t="shared" si="52"/>
        <v>131</v>
      </c>
      <c r="C145" s="51" t="e">
        <f t="shared" si="53"/>
        <v>#DIV/0!</v>
      </c>
      <c r="D145" s="47" t="e" cm="1">
        <f t="array" ref="D145">_xlfn.IFS(AND($C$7="Y",B145&lt;C$4),C145,AND($C$7="Y",B145=C$4),D144+F145-J145-K145-L145+N145,AND($C$7="Y",B145&gt;$C$4),D144-J145-K145-L145+N145, TRUE, D144-J145-K145-L145+N145)</f>
        <v>#DIV/0!</v>
      </c>
      <c r="E145" s="48">
        <f t="shared" si="54"/>
        <v>0</v>
      </c>
      <c r="F145" s="50">
        <f t="shared" si="55"/>
        <v>0</v>
      </c>
      <c r="G145" s="50">
        <f t="shared" si="43"/>
        <v>0</v>
      </c>
      <c r="H145" s="51" t="e">
        <f t="shared" si="44"/>
        <v>#DIV/0!</v>
      </c>
      <c r="I145" s="52" t="e">
        <f t="shared" si="49"/>
        <v>#DIV/0!</v>
      </c>
      <c r="J145" s="52" t="e">
        <f t="shared" si="50"/>
        <v>#DIV/0!</v>
      </c>
      <c r="K145" s="51" t="e">
        <f t="shared" ref="K145:K208" si="60">IF(AND(C$7="Y",$B145&lt;=$C$4),0,IF(AND(C$7="N",C$4&gt;0,B145&lt;=C$4),0,S145*(C145-J145)))</f>
        <v>#DIV/0!</v>
      </c>
      <c r="L145" s="49" t="e">
        <f t="shared" si="56"/>
        <v>#DIV/0!</v>
      </c>
      <c r="M145" s="49">
        <f t="shared" si="46"/>
        <v>0</v>
      </c>
      <c r="N145" s="49">
        <f t="shared" si="45"/>
        <v>0</v>
      </c>
      <c r="O145" s="48" t="e">
        <f t="shared" si="51"/>
        <v>#DIV/0!</v>
      </c>
      <c r="P145" s="38" t="e">
        <f t="shared" si="47"/>
        <v>#DIV/0!</v>
      </c>
      <c r="Q145" s="53"/>
      <c r="R145" s="53">
        <f t="shared" si="57"/>
        <v>0</v>
      </c>
      <c r="S145" s="53">
        <f t="shared" si="58"/>
        <v>0</v>
      </c>
      <c r="T145" s="53">
        <f t="shared" si="59"/>
        <v>0.05</v>
      </c>
      <c r="U145" s="53">
        <f t="shared" ref="U145:U208" si="61">1-(1-T145)^(1/12)</f>
        <v>4.2653187775606449E-3</v>
      </c>
    </row>
    <row r="146" spans="1:21" x14ac:dyDescent="0.2">
      <c r="A146" s="62" t="e">
        <f t="shared" si="48"/>
        <v>#DIV/0!</v>
      </c>
      <c r="B146" s="45">
        <f t="shared" si="52"/>
        <v>132</v>
      </c>
      <c r="C146" s="51" t="e">
        <f t="shared" si="53"/>
        <v>#DIV/0!</v>
      </c>
      <c r="D146" s="47" t="e" cm="1">
        <f t="array" ref="D146">_xlfn.IFS(AND($C$7="Y",B146&lt;C$4),C146,AND($C$7="Y",B146=C$4),D145+F146-J146-K146-L146+N146,AND($C$7="Y",B146&gt;$C$4),D145-J146-K146-L146+N146, TRUE, D145-J146-K146-L146+N146)</f>
        <v>#DIV/0!</v>
      </c>
      <c r="E146" s="48">
        <f t="shared" si="54"/>
        <v>0</v>
      </c>
      <c r="F146" s="50">
        <f t="shared" si="55"/>
        <v>0</v>
      </c>
      <c r="G146" s="50">
        <f t="shared" ref="G146:G209" si="62">IF($B146&lt;=$C$4,C$6,0)</f>
        <v>0</v>
      </c>
      <c r="H146" s="51" t="e">
        <f t="shared" si="44"/>
        <v>#DIV/0!</v>
      </c>
      <c r="I146" s="52" t="e">
        <f t="shared" si="49"/>
        <v>#DIV/0!</v>
      </c>
      <c r="J146" s="52" t="e">
        <f t="shared" si="50"/>
        <v>#DIV/0!</v>
      </c>
      <c r="K146" s="51" t="e">
        <f t="shared" si="60"/>
        <v>#DIV/0!</v>
      </c>
      <c r="L146" s="49" t="e">
        <f t="shared" si="56"/>
        <v>#DIV/0!</v>
      </c>
      <c r="M146" s="49">
        <f t="shared" si="46"/>
        <v>0</v>
      </c>
      <c r="N146" s="49">
        <f t="shared" si="45"/>
        <v>0</v>
      </c>
      <c r="O146" s="48" t="e">
        <f t="shared" si="51"/>
        <v>#DIV/0!</v>
      </c>
      <c r="P146" s="38" t="e">
        <f t="shared" si="47"/>
        <v>#DIV/0!</v>
      </c>
      <c r="Q146" s="53"/>
      <c r="R146" s="53">
        <f t="shared" si="57"/>
        <v>0</v>
      </c>
      <c r="S146" s="53">
        <f t="shared" si="58"/>
        <v>0</v>
      </c>
      <c r="T146" s="53">
        <f t="shared" si="59"/>
        <v>0.05</v>
      </c>
      <c r="U146" s="53">
        <f t="shared" si="61"/>
        <v>4.2653187775606449E-3</v>
      </c>
    </row>
    <row r="147" spans="1:21" x14ac:dyDescent="0.2">
      <c r="A147" s="62" t="e">
        <f t="shared" si="48"/>
        <v>#DIV/0!</v>
      </c>
      <c r="B147" s="45">
        <f t="shared" si="52"/>
        <v>133</v>
      </c>
      <c r="C147" s="51" t="e">
        <f t="shared" si="53"/>
        <v>#DIV/0!</v>
      </c>
      <c r="D147" s="47" t="e" cm="1">
        <f t="array" ref="D147">_xlfn.IFS(AND($C$7="Y",B147&lt;C$4),C147,AND($C$7="Y",B147=C$4),D146+F147-J147-K147-L147+N147,AND($C$7="Y",B147&gt;$C$4),D146-J147-K147-L147+N147, TRUE, D146-J147-K147-L147+N147)</f>
        <v>#DIV/0!</v>
      </c>
      <c r="E147" s="48">
        <f t="shared" si="54"/>
        <v>0</v>
      </c>
      <c r="F147" s="50">
        <f t="shared" si="55"/>
        <v>0</v>
      </c>
      <c r="G147" s="50">
        <f t="shared" si="62"/>
        <v>0</v>
      </c>
      <c r="H147" s="51" t="e">
        <f t="shared" ref="H147:H210" si="63">IF(AND($B147&lt;=$C$4,C$7="Y"),0,IF(AND(C$7="N",C$4&gt;0,B147&lt;=C$4),0,(D146-L147+N147)*C$2/12/(1-(1/(1+C$2/12))^(C$3+C$4-B147+1))))</f>
        <v>#DIV/0!</v>
      </c>
      <c r="I147" s="52" t="e">
        <f t="shared" si="49"/>
        <v>#DIV/0!</v>
      </c>
      <c r="J147" s="52" t="e">
        <f t="shared" si="50"/>
        <v>#DIV/0!</v>
      </c>
      <c r="K147" s="51" t="e">
        <f t="shared" si="60"/>
        <v>#DIV/0!</v>
      </c>
      <c r="L147" s="49" t="e">
        <f t="shared" si="56"/>
        <v>#DIV/0!</v>
      </c>
      <c r="M147" s="49">
        <f t="shared" si="46"/>
        <v>0</v>
      </c>
      <c r="N147" s="49">
        <f t="shared" si="45"/>
        <v>0</v>
      </c>
      <c r="O147" s="48" t="e">
        <f t="shared" si="51"/>
        <v>#DIV/0!</v>
      </c>
      <c r="P147" s="38" t="e">
        <f t="shared" si="47"/>
        <v>#DIV/0!</v>
      </c>
      <c r="Q147" s="53"/>
      <c r="R147" s="53">
        <f t="shared" si="57"/>
        <v>0</v>
      </c>
      <c r="S147" s="53">
        <f t="shared" si="58"/>
        <v>0</v>
      </c>
      <c r="T147" s="53">
        <f t="shared" si="59"/>
        <v>0.05</v>
      </c>
      <c r="U147" s="53">
        <f t="shared" si="61"/>
        <v>4.2653187775606449E-3</v>
      </c>
    </row>
    <row r="148" spans="1:21" x14ac:dyDescent="0.2">
      <c r="A148" s="62" t="e">
        <f t="shared" si="48"/>
        <v>#DIV/0!</v>
      </c>
      <c r="B148" s="45">
        <f t="shared" si="52"/>
        <v>134</v>
      </c>
      <c r="C148" s="51" t="e">
        <f t="shared" si="53"/>
        <v>#DIV/0!</v>
      </c>
      <c r="D148" s="47" t="e" cm="1">
        <f t="array" ref="D148">_xlfn.IFS(AND($C$7="Y",B148&lt;C$4),C148,AND($C$7="Y",B148=C$4),D147+F148-J148-K148-L148+N148,AND($C$7="Y",B148&gt;$C$4),D147-J148-K148-L148+N148, TRUE, D147-J148-K148-L148+N148)</f>
        <v>#DIV/0!</v>
      </c>
      <c r="E148" s="48">
        <f t="shared" si="54"/>
        <v>0</v>
      </c>
      <c r="F148" s="50">
        <f t="shared" si="55"/>
        <v>0</v>
      </c>
      <c r="G148" s="50">
        <f t="shared" si="62"/>
        <v>0</v>
      </c>
      <c r="H148" s="51" t="e">
        <f t="shared" si="63"/>
        <v>#DIV/0!</v>
      </c>
      <c r="I148" s="52" t="e">
        <f t="shared" si="49"/>
        <v>#DIV/0!</v>
      </c>
      <c r="J148" s="52" t="e">
        <f t="shared" si="50"/>
        <v>#DIV/0!</v>
      </c>
      <c r="K148" s="51" t="e">
        <f t="shared" si="60"/>
        <v>#DIV/0!</v>
      </c>
      <c r="L148" s="49" t="e">
        <f t="shared" si="56"/>
        <v>#DIV/0!</v>
      </c>
      <c r="M148" s="49">
        <f t="shared" si="46"/>
        <v>0</v>
      </c>
      <c r="N148" s="49">
        <f t="shared" si="45"/>
        <v>0</v>
      </c>
      <c r="O148" s="48" t="e">
        <f t="shared" si="51"/>
        <v>#DIV/0!</v>
      </c>
      <c r="P148" s="38" t="e">
        <f t="shared" si="47"/>
        <v>#DIV/0!</v>
      </c>
      <c r="Q148" s="53"/>
      <c r="R148" s="53">
        <f t="shared" si="57"/>
        <v>0</v>
      </c>
      <c r="S148" s="53">
        <f t="shared" si="58"/>
        <v>0</v>
      </c>
      <c r="T148" s="53">
        <f t="shared" si="59"/>
        <v>0.05</v>
      </c>
      <c r="U148" s="53">
        <f t="shared" si="61"/>
        <v>4.2653187775606449E-3</v>
      </c>
    </row>
    <row r="149" spans="1:21" x14ac:dyDescent="0.2">
      <c r="A149" s="62" t="e">
        <f t="shared" si="48"/>
        <v>#DIV/0!</v>
      </c>
      <c r="B149" s="45">
        <f t="shared" si="52"/>
        <v>135</v>
      </c>
      <c r="C149" s="51" t="e">
        <f t="shared" si="53"/>
        <v>#DIV/0!</v>
      </c>
      <c r="D149" s="47" t="e" cm="1">
        <f t="array" ref="D149">_xlfn.IFS(AND($C$7="Y",B149&lt;C$4),C149,AND($C$7="Y",B149=C$4),D148+F149-J149-K149-L149+N149,AND($C$7="Y",B149&gt;$C$4),D148-J149-K149-L149+N149, TRUE, D148-J149-K149-L149+N149)</f>
        <v>#DIV/0!</v>
      </c>
      <c r="E149" s="48">
        <f t="shared" si="54"/>
        <v>0</v>
      </c>
      <c r="F149" s="50">
        <f t="shared" si="55"/>
        <v>0</v>
      </c>
      <c r="G149" s="50">
        <f t="shared" si="62"/>
        <v>0</v>
      </c>
      <c r="H149" s="51" t="e">
        <f t="shared" si="63"/>
        <v>#DIV/0!</v>
      </c>
      <c r="I149" s="52" t="e">
        <f t="shared" si="49"/>
        <v>#DIV/0!</v>
      </c>
      <c r="J149" s="52" t="e">
        <f t="shared" si="50"/>
        <v>#DIV/0!</v>
      </c>
      <c r="K149" s="51" t="e">
        <f t="shared" si="60"/>
        <v>#DIV/0!</v>
      </c>
      <c r="L149" s="49" t="e">
        <f t="shared" si="56"/>
        <v>#DIV/0!</v>
      </c>
      <c r="M149" s="49">
        <f t="shared" si="46"/>
        <v>0</v>
      </c>
      <c r="N149" s="49">
        <f t="shared" si="45"/>
        <v>0</v>
      </c>
      <c r="O149" s="48" t="e">
        <f t="shared" si="51"/>
        <v>#DIV/0!</v>
      </c>
      <c r="P149" s="38" t="e">
        <f t="shared" si="47"/>
        <v>#DIV/0!</v>
      </c>
      <c r="Q149" s="53"/>
      <c r="R149" s="53">
        <f t="shared" si="57"/>
        <v>0</v>
      </c>
      <c r="S149" s="53">
        <f t="shared" si="58"/>
        <v>0</v>
      </c>
      <c r="T149" s="53">
        <f t="shared" si="59"/>
        <v>0.05</v>
      </c>
      <c r="U149" s="53">
        <f t="shared" si="61"/>
        <v>4.2653187775606449E-3</v>
      </c>
    </row>
    <row r="150" spans="1:21" x14ac:dyDescent="0.2">
      <c r="A150" s="62" t="e">
        <f t="shared" si="48"/>
        <v>#DIV/0!</v>
      </c>
      <c r="B150" s="45">
        <f t="shared" si="52"/>
        <v>136</v>
      </c>
      <c r="C150" s="51" t="e">
        <f t="shared" si="53"/>
        <v>#DIV/0!</v>
      </c>
      <c r="D150" s="47" t="e" cm="1">
        <f t="array" ref="D150">_xlfn.IFS(AND($C$7="Y",B150&lt;C$4),C150,AND($C$7="Y",B150=C$4),D149+F150-J150-K150-L150+N150,AND($C$7="Y",B150&gt;$C$4),D149-J150-K150-L150+N150, TRUE, D149-J150-K150-L150+N150)</f>
        <v>#DIV/0!</v>
      </c>
      <c r="E150" s="48">
        <f t="shared" si="54"/>
        <v>0</v>
      </c>
      <c r="F150" s="50">
        <f t="shared" si="55"/>
        <v>0</v>
      </c>
      <c r="G150" s="50">
        <f t="shared" si="62"/>
        <v>0</v>
      </c>
      <c r="H150" s="51" t="e">
        <f t="shared" si="63"/>
        <v>#DIV/0!</v>
      </c>
      <c r="I150" s="52" t="e">
        <f t="shared" si="49"/>
        <v>#DIV/0!</v>
      </c>
      <c r="J150" s="52" t="e">
        <f t="shared" si="50"/>
        <v>#DIV/0!</v>
      </c>
      <c r="K150" s="51" t="e">
        <f t="shared" si="60"/>
        <v>#DIV/0!</v>
      </c>
      <c r="L150" s="49" t="e">
        <f t="shared" si="56"/>
        <v>#DIV/0!</v>
      </c>
      <c r="M150" s="49">
        <f t="shared" si="46"/>
        <v>0</v>
      </c>
      <c r="N150" s="49">
        <f t="shared" si="45"/>
        <v>0</v>
      </c>
      <c r="O150" s="48" t="e">
        <f t="shared" si="51"/>
        <v>#DIV/0!</v>
      </c>
      <c r="P150" s="38" t="e">
        <f t="shared" si="47"/>
        <v>#DIV/0!</v>
      </c>
      <c r="Q150" s="53"/>
      <c r="R150" s="53">
        <f t="shared" si="57"/>
        <v>0</v>
      </c>
      <c r="S150" s="53">
        <f t="shared" si="58"/>
        <v>0</v>
      </c>
      <c r="T150" s="53">
        <f t="shared" si="59"/>
        <v>0.05</v>
      </c>
      <c r="U150" s="53">
        <f t="shared" si="61"/>
        <v>4.2653187775606449E-3</v>
      </c>
    </row>
    <row r="151" spans="1:21" x14ac:dyDescent="0.2">
      <c r="A151" s="62" t="e">
        <f t="shared" si="48"/>
        <v>#DIV/0!</v>
      </c>
      <c r="B151" s="45">
        <f t="shared" si="52"/>
        <v>137</v>
      </c>
      <c r="C151" s="51" t="e">
        <f t="shared" si="53"/>
        <v>#DIV/0!</v>
      </c>
      <c r="D151" s="47" t="e" cm="1">
        <f t="array" ref="D151">_xlfn.IFS(AND($C$7="Y",B151&lt;C$4),C151,AND($C$7="Y",B151=C$4),D150+F151-J151-K151-L151+N151,AND($C$7="Y",B151&gt;$C$4),D150-J151-K151-L151+N151, TRUE, D150-J151-K151-L151+N151)</f>
        <v>#DIV/0!</v>
      </c>
      <c r="E151" s="48">
        <f t="shared" si="54"/>
        <v>0</v>
      </c>
      <c r="F151" s="50">
        <f t="shared" si="55"/>
        <v>0</v>
      </c>
      <c r="G151" s="50">
        <f t="shared" si="62"/>
        <v>0</v>
      </c>
      <c r="H151" s="51" t="e">
        <f t="shared" si="63"/>
        <v>#DIV/0!</v>
      </c>
      <c r="I151" s="52" t="e">
        <f t="shared" si="49"/>
        <v>#DIV/0!</v>
      </c>
      <c r="J151" s="52" t="e">
        <f t="shared" si="50"/>
        <v>#DIV/0!</v>
      </c>
      <c r="K151" s="51" t="e">
        <f t="shared" si="60"/>
        <v>#DIV/0!</v>
      </c>
      <c r="L151" s="49" t="e">
        <f t="shared" si="56"/>
        <v>#DIV/0!</v>
      </c>
      <c r="M151" s="49">
        <f t="shared" si="46"/>
        <v>0</v>
      </c>
      <c r="N151" s="49">
        <f t="shared" si="45"/>
        <v>0</v>
      </c>
      <c r="O151" s="48" t="e">
        <f t="shared" si="51"/>
        <v>#DIV/0!</v>
      </c>
      <c r="P151" s="38" t="e">
        <f t="shared" si="47"/>
        <v>#DIV/0!</v>
      </c>
      <c r="Q151" s="53"/>
      <c r="R151" s="53">
        <f t="shared" si="57"/>
        <v>0</v>
      </c>
      <c r="S151" s="53">
        <f t="shared" si="58"/>
        <v>0</v>
      </c>
      <c r="T151" s="53">
        <f t="shared" si="59"/>
        <v>0.05</v>
      </c>
      <c r="U151" s="53">
        <f t="shared" si="61"/>
        <v>4.2653187775606449E-3</v>
      </c>
    </row>
    <row r="152" spans="1:21" x14ac:dyDescent="0.2">
      <c r="A152" s="62" t="e">
        <f t="shared" si="48"/>
        <v>#DIV/0!</v>
      </c>
      <c r="B152" s="45">
        <f t="shared" si="52"/>
        <v>138</v>
      </c>
      <c r="C152" s="51" t="e">
        <f t="shared" si="53"/>
        <v>#DIV/0!</v>
      </c>
      <c r="D152" s="47" t="e" cm="1">
        <f t="array" ref="D152">_xlfn.IFS(AND($C$7="Y",B152&lt;C$4),C152,AND($C$7="Y",B152=C$4),D151+F152-J152-K152-L152+N152,AND($C$7="Y",B152&gt;$C$4),D151-J152-K152-L152+N152, TRUE, D151-J152-K152-L152+N152)</f>
        <v>#DIV/0!</v>
      </c>
      <c r="E152" s="48">
        <f t="shared" si="54"/>
        <v>0</v>
      </c>
      <c r="F152" s="50">
        <f t="shared" si="55"/>
        <v>0</v>
      </c>
      <c r="G152" s="50">
        <f t="shared" si="62"/>
        <v>0</v>
      </c>
      <c r="H152" s="51" t="e">
        <f t="shared" si="63"/>
        <v>#DIV/0!</v>
      </c>
      <c r="I152" s="52" t="e">
        <f t="shared" si="49"/>
        <v>#DIV/0!</v>
      </c>
      <c r="J152" s="52" t="e">
        <f t="shared" si="50"/>
        <v>#DIV/0!</v>
      </c>
      <c r="K152" s="51" t="e">
        <f t="shared" si="60"/>
        <v>#DIV/0!</v>
      </c>
      <c r="L152" s="49" t="e">
        <f t="shared" si="56"/>
        <v>#DIV/0!</v>
      </c>
      <c r="M152" s="49">
        <f t="shared" si="46"/>
        <v>0</v>
      </c>
      <c r="N152" s="49">
        <f t="shared" si="45"/>
        <v>0</v>
      </c>
      <c r="O152" s="48" t="e">
        <f t="shared" si="51"/>
        <v>#DIV/0!</v>
      </c>
      <c r="P152" s="38" t="e">
        <f t="shared" si="47"/>
        <v>#DIV/0!</v>
      </c>
      <c r="Q152" s="53"/>
      <c r="R152" s="53">
        <f t="shared" si="57"/>
        <v>0</v>
      </c>
      <c r="S152" s="53">
        <f t="shared" si="58"/>
        <v>0</v>
      </c>
      <c r="T152" s="53">
        <f t="shared" si="59"/>
        <v>0.05</v>
      </c>
      <c r="U152" s="53">
        <f t="shared" si="61"/>
        <v>4.2653187775606449E-3</v>
      </c>
    </row>
    <row r="153" spans="1:21" x14ac:dyDescent="0.2">
      <c r="A153" s="62" t="e">
        <f t="shared" si="48"/>
        <v>#DIV/0!</v>
      </c>
      <c r="B153" s="45">
        <f t="shared" si="52"/>
        <v>139</v>
      </c>
      <c r="C153" s="51" t="e">
        <f t="shared" si="53"/>
        <v>#DIV/0!</v>
      </c>
      <c r="D153" s="47" t="e" cm="1">
        <f t="array" ref="D153">_xlfn.IFS(AND($C$7="Y",B153&lt;C$4),C153,AND($C$7="Y",B153=C$4),D152+F153-J153-K153-L153+N153,AND($C$7="Y",B153&gt;$C$4),D152-J153-K153-L153+N153, TRUE, D152-J153-K153-L153+N153)</f>
        <v>#DIV/0!</v>
      </c>
      <c r="E153" s="48">
        <f t="shared" si="54"/>
        <v>0</v>
      </c>
      <c r="F153" s="50">
        <f t="shared" si="55"/>
        <v>0</v>
      </c>
      <c r="G153" s="50">
        <f t="shared" si="62"/>
        <v>0</v>
      </c>
      <c r="H153" s="51" t="e">
        <f t="shared" si="63"/>
        <v>#DIV/0!</v>
      </c>
      <c r="I153" s="52" t="e">
        <f t="shared" si="49"/>
        <v>#DIV/0!</v>
      </c>
      <c r="J153" s="52" t="e">
        <f t="shared" si="50"/>
        <v>#DIV/0!</v>
      </c>
      <c r="K153" s="51" t="e">
        <f t="shared" si="60"/>
        <v>#DIV/0!</v>
      </c>
      <c r="L153" s="49" t="e">
        <f t="shared" si="56"/>
        <v>#DIV/0!</v>
      </c>
      <c r="M153" s="49">
        <f t="shared" si="46"/>
        <v>0</v>
      </c>
      <c r="N153" s="49">
        <f t="shared" si="45"/>
        <v>0</v>
      </c>
      <c r="O153" s="48" t="e">
        <f t="shared" si="51"/>
        <v>#DIV/0!</v>
      </c>
      <c r="P153" s="38" t="e">
        <f t="shared" si="47"/>
        <v>#DIV/0!</v>
      </c>
      <c r="Q153" s="53"/>
      <c r="R153" s="53">
        <f t="shared" si="57"/>
        <v>0</v>
      </c>
      <c r="S153" s="53">
        <f t="shared" si="58"/>
        <v>0</v>
      </c>
      <c r="T153" s="53">
        <f t="shared" si="59"/>
        <v>0.05</v>
      </c>
      <c r="U153" s="53">
        <f t="shared" si="61"/>
        <v>4.2653187775606449E-3</v>
      </c>
    </row>
    <row r="154" spans="1:21" x14ac:dyDescent="0.2">
      <c r="A154" s="62" t="e">
        <f t="shared" si="48"/>
        <v>#DIV/0!</v>
      </c>
      <c r="B154" s="45">
        <f t="shared" si="52"/>
        <v>140</v>
      </c>
      <c r="C154" s="51" t="e">
        <f t="shared" si="53"/>
        <v>#DIV/0!</v>
      </c>
      <c r="D154" s="47" t="e" cm="1">
        <f t="array" ref="D154">_xlfn.IFS(AND($C$7="Y",B154&lt;C$4),C154,AND($C$7="Y",B154=C$4),D153+F154-J154-K154-L154+N154,AND($C$7="Y",B154&gt;$C$4),D153-J154-K154-L154+N154, TRUE, D153-J154-K154-L154+N154)</f>
        <v>#DIV/0!</v>
      </c>
      <c r="E154" s="48">
        <f t="shared" si="54"/>
        <v>0</v>
      </c>
      <c r="F154" s="50">
        <f t="shared" si="55"/>
        <v>0</v>
      </c>
      <c r="G154" s="50">
        <f t="shared" si="62"/>
        <v>0</v>
      </c>
      <c r="H154" s="51" t="e">
        <f t="shared" si="63"/>
        <v>#DIV/0!</v>
      </c>
      <c r="I154" s="52" t="e">
        <f t="shared" si="49"/>
        <v>#DIV/0!</v>
      </c>
      <c r="J154" s="52" t="e">
        <f t="shared" si="50"/>
        <v>#DIV/0!</v>
      </c>
      <c r="K154" s="51" t="e">
        <f t="shared" si="60"/>
        <v>#DIV/0!</v>
      </c>
      <c r="L154" s="49" t="e">
        <f t="shared" si="56"/>
        <v>#DIV/0!</v>
      </c>
      <c r="M154" s="49">
        <f t="shared" si="46"/>
        <v>0</v>
      </c>
      <c r="N154" s="49">
        <f t="shared" si="45"/>
        <v>0</v>
      </c>
      <c r="O154" s="48" t="e">
        <f t="shared" si="51"/>
        <v>#DIV/0!</v>
      </c>
      <c r="P154" s="38" t="e">
        <f t="shared" si="47"/>
        <v>#DIV/0!</v>
      </c>
      <c r="Q154" s="53"/>
      <c r="R154" s="53">
        <f t="shared" si="57"/>
        <v>0</v>
      </c>
      <c r="S154" s="53">
        <f t="shared" si="58"/>
        <v>0</v>
      </c>
      <c r="T154" s="53">
        <f t="shared" si="59"/>
        <v>0.05</v>
      </c>
      <c r="U154" s="53">
        <f t="shared" si="61"/>
        <v>4.2653187775606449E-3</v>
      </c>
    </row>
    <row r="155" spans="1:21" x14ac:dyDescent="0.2">
      <c r="A155" s="62" t="e">
        <f t="shared" si="48"/>
        <v>#DIV/0!</v>
      </c>
      <c r="B155" s="45">
        <f t="shared" si="52"/>
        <v>141</v>
      </c>
      <c r="C155" s="51" t="e">
        <f t="shared" si="53"/>
        <v>#DIV/0!</v>
      </c>
      <c r="D155" s="47" t="e" cm="1">
        <f t="array" ref="D155">_xlfn.IFS(AND($C$7="Y",B155&lt;C$4),C155,AND($C$7="Y",B155=C$4),D154+F155-J155-K155-L155+N155,AND($C$7="Y",B155&gt;$C$4),D154-J155-K155-L155+N155, TRUE, D154-J155-K155-L155+N155)</f>
        <v>#DIV/0!</v>
      </c>
      <c r="E155" s="48">
        <f t="shared" si="54"/>
        <v>0</v>
      </c>
      <c r="F155" s="50">
        <f t="shared" si="55"/>
        <v>0</v>
      </c>
      <c r="G155" s="50">
        <f t="shared" si="62"/>
        <v>0</v>
      </c>
      <c r="H155" s="51" t="e">
        <f t="shared" si="63"/>
        <v>#DIV/0!</v>
      </c>
      <c r="I155" s="52" t="e">
        <f t="shared" si="49"/>
        <v>#DIV/0!</v>
      </c>
      <c r="J155" s="52" t="e">
        <f t="shared" si="50"/>
        <v>#DIV/0!</v>
      </c>
      <c r="K155" s="51" t="e">
        <f t="shared" si="60"/>
        <v>#DIV/0!</v>
      </c>
      <c r="L155" s="49" t="e">
        <f t="shared" si="56"/>
        <v>#DIV/0!</v>
      </c>
      <c r="M155" s="49">
        <f t="shared" si="46"/>
        <v>0</v>
      </c>
      <c r="N155" s="49">
        <f t="shared" si="45"/>
        <v>0</v>
      </c>
      <c r="O155" s="48" t="e">
        <f t="shared" si="51"/>
        <v>#DIV/0!</v>
      </c>
      <c r="P155" s="38" t="e">
        <f t="shared" si="47"/>
        <v>#DIV/0!</v>
      </c>
      <c r="Q155" s="53"/>
      <c r="R155" s="53">
        <f t="shared" si="57"/>
        <v>0</v>
      </c>
      <c r="S155" s="53">
        <f t="shared" si="58"/>
        <v>0</v>
      </c>
      <c r="T155" s="53">
        <f t="shared" si="59"/>
        <v>0.05</v>
      </c>
      <c r="U155" s="53">
        <f t="shared" si="61"/>
        <v>4.2653187775606449E-3</v>
      </c>
    </row>
    <row r="156" spans="1:21" x14ac:dyDescent="0.2">
      <c r="A156" s="62" t="e">
        <f t="shared" si="48"/>
        <v>#DIV/0!</v>
      </c>
      <c r="B156" s="45">
        <f t="shared" si="52"/>
        <v>142</v>
      </c>
      <c r="C156" s="51" t="e">
        <f t="shared" si="53"/>
        <v>#DIV/0!</v>
      </c>
      <c r="D156" s="47" t="e" cm="1">
        <f t="array" ref="D156">_xlfn.IFS(AND($C$7="Y",B156&lt;C$4),C156,AND($C$7="Y",B156=C$4),D155+F156-J156-K156-L156+N156,AND($C$7="Y",B156&gt;$C$4),D155-J156-K156-L156+N156, TRUE, D155-J156-K156-L156+N156)</f>
        <v>#DIV/0!</v>
      </c>
      <c r="E156" s="48">
        <f t="shared" si="54"/>
        <v>0</v>
      </c>
      <c r="F156" s="50">
        <f t="shared" si="55"/>
        <v>0</v>
      </c>
      <c r="G156" s="50">
        <f t="shared" si="62"/>
        <v>0</v>
      </c>
      <c r="H156" s="51" t="e">
        <f t="shared" si="63"/>
        <v>#DIV/0!</v>
      </c>
      <c r="I156" s="52" t="e">
        <f t="shared" si="49"/>
        <v>#DIV/0!</v>
      </c>
      <c r="J156" s="52" t="e">
        <f t="shared" si="50"/>
        <v>#DIV/0!</v>
      </c>
      <c r="K156" s="51" t="e">
        <f t="shared" si="60"/>
        <v>#DIV/0!</v>
      </c>
      <c r="L156" s="49" t="e">
        <f t="shared" si="56"/>
        <v>#DIV/0!</v>
      </c>
      <c r="M156" s="49">
        <f t="shared" si="46"/>
        <v>0</v>
      </c>
      <c r="N156" s="49">
        <f t="shared" si="45"/>
        <v>0</v>
      </c>
      <c r="O156" s="48" t="e">
        <f t="shared" si="51"/>
        <v>#DIV/0!</v>
      </c>
      <c r="P156" s="38" t="e">
        <f t="shared" si="47"/>
        <v>#DIV/0!</v>
      </c>
      <c r="Q156" s="53"/>
      <c r="R156" s="53">
        <f t="shared" si="57"/>
        <v>0</v>
      </c>
      <c r="S156" s="53">
        <f t="shared" si="58"/>
        <v>0</v>
      </c>
      <c r="T156" s="53">
        <f t="shared" si="59"/>
        <v>0.05</v>
      </c>
      <c r="U156" s="53">
        <f t="shared" si="61"/>
        <v>4.2653187775606449E-3</v>
      </c>
    </row>
    <row r="157" spans="1:21" x14ac:dyDescent="0.2">
      <c r="A157" s="62" t="e">
        <f t="shared" si="48"/>
        <v>#DIV/0!</v>
      </c>
      <c r="B157" s="45">
        <f t="shared" si="52"/>
        <v>143</v>
      </c>
      <c r="C157" s="51" t="e">
        <f t="shared" si="53"/>
        <v>#DIV/0!</v>
      </c>
      <c r="D157" s="47" t="e" cm="1">
        <f t="array" ref="D157">_xlfn.IFS(AND($C$7="Y",B157&lt;C$4),C157,AND($C$7="Y",B157=C$4),D156+F157-J157-K157-L157+N157,AND($C$7="Y",B157&gt;$C$4),D156-J157-K157-L157+N157, TRUE, D156-J157-K157-L157+N157)</f>
        <v>#DIV/0!</v>
      </c>
      <c r="E157" s="48">
        <f t="shared" si="54"/>
        <v>0</v>
      </c>
      <c r="F157" s="50">
        <f t="shared" si="55"/>
        <v>0</v>
      </c>
      <c r="G157" s="50">
        <f t="shared" si="62"/>
        <v>0</v>
      </c>
      <c r="H157" s="51" t="e">
        <f t="shared" si="63"/>
        <v>#DIV/0!</v>
      </c>
      <c r="I157" s="52" t="e">
        <f t="shared" si="49"/>
        <v>#DIV/0!</v>
      </c>
      <c r="J157" s="52" t="e">
        <f t="shared" si="50"/>
        <v>#DIV/0!</v>
      </c>
      <c r="K157" s="51" t="e">
        <f t="shared" si="60"/>
        <v>#DIV/0!</v>
      </c>
      <c r="L157" s="49" t="e">
        <f t="shared" si="56"/>
        <v>#DIV/0!</v>
      </c>
      <c r="M157" s="49">
        <f t="shared" si="46"/>
        <v>0</v>
      </c>
      <c r="N157" s="49">
        <f t="shared" si="45"/>
        <v>0</v>
      </c>
      <c r="O157" s="48" t="e">
        <f t="shared" si="51"/>
        <v>#DIV/0!</v>
      </c>
      <c r="P157" s="38" t="e">
        <f t="shared" si="47"/>
        <v>#DIV/0!</v>
      </c>
      <c r="Q157" s="53"/>
      <c r="R157" s="53">
        <f t="shared" si="57"/>
        <v>0</v>
      </c>
      <c r="S157" s="53">
        <f t="shared" si="58"/>
        <v>0</v>
      </c>
      <c r="T157" s="53">
        <f t="shared" si="59"/>
        <v>0.05</v>
      </c>
      <c r="U157" s="53">
        <f t="shared" si="61"/>
        <v>4.2653187775606449E-3</v>
      </c>
    </row>
    <row r="158" spans="1:21" x14ac:dyDescent="0.2">
      <c r="A158" s="62" t="e">
        <f t="shared" si="48"/>
        <v>#DIV/0!</v>
      </c>
      <c r="B158" s="45">
        <f t="shared" si="52"/>
        <v>144</v>
      </c>
      <c r="C158" s="51" t="e">
        <f t="shared" si="53"/>
        <v>#DIV/0!</v>
      </c>
      <c r="D158" s="47" t="e" cm="1">
        <f t="array" ref="D158">_xlfn.IFS(AND($C$7="Y",B158&lt;C$4),C158,AND($C$7="Y",B158=C$4),D157+F158-J158-K158-L158+N158,AND($C$7="Y",B158&gt;$C$4),D157-J158-K158-L158+N158, TRUE, D157-J158-K158-L158+N158)</f>
        <v>#DIV/0!</v>
      </c>
      <c r="E158" s="48">
        <f t="shared" si="54"/>
        <v>0</v>
      </c>
      <c r="F158" s="50">
        <f t="shared" si="55"/>
        <v>0</v>
      </c>
      <c r="G158" s="50">
        <f t="shared" si="62"/>
        <v>0</v>
      </c>
      <c r="H158" s="51" t="e">
        <f t="shared" si="63"/>
        <v>#DIV/0!</v>
      </c>
      <c r="I158" s="52" t="e">
        <f t="shared" si="49"/>
        <v>#DIV/0!</v>
      </c>
      <c r="J158" s="52" t="e">
        <f t="shared" si="50"/>
        <v>#DIV/0!</v>
      </c>
      <c r="K158" s="51" t="e">
        <f t="shared" si="60"/>
        <v>#DIV/0!</v>
      </c>
      <c r="L158" s="49" t="e">
        <f t="shared" si="56"/>
        <v>#DIV/0!</v>
      </c>
      <c r="M158" s="49">
        <f t="shared" si="46"/>
        <v>0</v>
      </c>
      <c r="N158" s="49">
        <f t="shared" si="45"/>
        <v>0</v>
      </c>
      <c r="O158" s="48" t="e">
        <f t="shared" si="51"/>
        <v>#DIV/0!</v>
      </c>
      <c r="P158" s="38" t="e">
        <f t="shared" si="47"/>
        <v>#DIV/0!</v>
      </c>
      <c r="Q158" s="53"/>
      <c r="R158" s="53">
        <f t="shared" si="57"/>
        <v>0</v>
      </c>
      <c r="S158" s="53">
        <f t="shared" si="58"/>
        <v>0</v>
      </c>
      <c r="T158" s="53">
        <f t="shared" si="59"/>
        <v>0.05</v>
      </c>
      <c r="U158" s="53">
        <f t="shared" si="61"/>
        <v>4.2653187775606449E-3</v>
      </c>
    </row>
    <row r="159" spans="1:21" x14ac:dyDescent="0.2">
      <c r="A159" s="62" t="e">
        <f t="shared" si="48"/>
        <v>#DIV/0!</v>
      </c>
      <c r="B159" s="45">
        <f t="shared" si="52"/>
        <v>145</v>
      </c>
      <c r="C159" s="51" t="e">
        <f t="shared" si="53"/>
        <v>#DIV/0!</v>
      </c>
      <c r="D159" s="47" t="e" cm="1">
        <f t="array" ref="D159">_xlfn.IFS(AND($C$7="Y",B159&lt;C$4),C159,AND($C$7="Y",B159=C$4),D158+F159-J159-K159-L159+N159,AND($C$7="Y",B159&gt;$C$4),D158-J159-K159-L159+N159, TRUE, D158-J159-K159-L159+N159)</f>
        <v>#DIV/0!</v>
      </c>
      <c r="E159" s="48">
        <f t="shared" si="54"/>
        <v>0</v>
      </c>
      <c r="F159" s="50">
        <f t="shared" si="55"/>
        <v>0</v>
      </c>
      <c r="G159" s="50">
        <f t="shared" si="62"/>
        <v>0</v>
      </c>
      <c r="H159" s="51" t="e">
        <f t="shared" si="63"/>
        <v>#DIV/0!</v>
      </c>
      <c r="I159" s="52" t="e">
        <f t="shared" si="49"/>
        <v>#DIV/0!</v>
      </c>
      <c r="J159" s="52" t="e">
        <f t="shared" si="50"/>
        <v>#DIV/0!</v>
      </c>
      <c r="K159" s="51" t="e">
        <f t="shared" si="60"/>
        <v>#DIV/0!</v>
      </c>
      <c r="L159" s="49" t="e">
        <f t="shared" si="56"/>
        <v>#DIV/0!</v>
      </c>
      <c r="M159" s="49">
        <f t="shared" si="46"/>
        <v>0</v>
      </c>
      <c r="N159" s="49">
        <f t="shared" si="45"/>
        <v>0</v>
      </c>
      <c r="O159" s="48" t="e">
        <f t="shared" si="51"/>
        <v>#DIV/0!</v>
      </c>
      <c r="P159" s="38" t="e">
        <f t="shared" si="47"/>
        <v>#DIV/0!</v>
      </c>
      <c r="Q159" s="53"/>
      <c r="R159" s="53">
        <f t="shared" si="57"/>
        <v>0</v>
      </c>
      <c r="S159" s="53">
        <f t="shared" si="58"/>
        <v>0</v>
      </c>
      <c r="T159" s="53">
        <f t="shared" si="59"/>
        <v>0.05</v>
      </c>
      <c r="U159" s="53">
        <f t="shared" si="61"/>
        <v>4.2653187775606449E-3</v>
      </c>
    </row>
    <row r="160" spans="1:21" x14ac:dyDescent="0.2">
      <c r="A160" s="62" t="e">
        <f t="shared" si="48"/>
        <v>#DIV/0!</v>
      </c>
      <c r="B160" s="45">
        <f t="shared" si="52"/>
        <v>146</v>
      </c>
      <c r="C160" s="51" t="e">
        <f t="shared" si="53"/>
        <v>#DIV/0!</v>
      </c>
      <c r="D160" s="47" t="e" cm="1">
        <f t="array" ref="D160">_xlfn.IFS(AND($C$7="Y",B160&lt;C$4),C160,AND($C$7="Y",B160=C$4),D159+F160-J160-K160-L160+N160,AND($C$7="Y",B160&gt;$C$4),D159-J160-K160-L160+N160, TRUE, D159-J160-K160-L160+N160)</f>
        <v>#DIV/0!</v>
      </c>
      <c r="E160" s="48">
        <f t="shared" si="54"/>
        <v>0</v>
      </c>
      <c r="F160" s="50">
        <f t="shared" si="55"/>
        <v>0</v>
      </c>
      <c r="G160" s="50">
        <f t="shared" si="62"/>
        <v>0</v>
      </c>
      <c r="H160" s="51" t="e">
        <f t="shared" si="63"/>
        <v>#DIV/0!</v>
      </c>
      <c r="I160" s="52" t="e">
        <f t="shared" si="49"/>
        <v>#DIV/0!</v>
      </c>
      <c r="J160" s="52" t="e">
        <f t="shared" si="50"/>
        <v>#DIV/0!</v>
      </c>
      <c r="K160" s="51" t="e">
        <f t="shared" si="60"/>
        <v>#DIV/0!</v>
      </c>
      <c r="L160" s="49" t="e">
        <f t="shared" si="56"/>
        <v>#DIV/0!</v>
      </c>
      <c r="M160" s="49">
        <f t="shared" si="46"/>
        <v>0</v>
      </c>
      <c r="N160" s="49">
        <f t="shared" si="45"/>
        <v>0</v>
      </c>
      <c r="O160" s="48" t="e">
        <f t="shared" si="51"/>
        <v>#DIV/0!</v>
      </c>
      <c r="P160" s="38" t="e">
        <f t="shared" si="47"/>
        <v>#DIV/0!</v>
      </c>
      <c r="Q160" s="53"/>
      <c r="R160" s="53">
        <f t="shared" si="57"/>
        <v>0</v>
      </c>
      <c r="S160" s="53">
        <f t="shared" si="58"/>
        <v>0</v>
      </c>
      <c r="T160" s="53">
        <f t="shared" si="59"/>
        <v>0.05</v>
      </c>
      <c r="U160" s="53">
        <f t="shared" si="61"/>
        <v>4.2653187775606449E-3</v>
      </c>
    </row>
    <row r="161" spans="1:21" x14ac:dyDescent="0.2">
      <c r="A161" s="62" t="e">
        <f t="shared" si="48"/>
        <v>#DIV/0!</v>
      </c>
      <c r="B161" s="45">
        <f t="shared" si="52"/>
        <v>147</v>
      </c>
      <c r="C161" s="51" t="e">
        <f t="shared" si="53"/>
        <v>#DIV/0!</v>
      </c>
      <c r="D161" s="47" t="e" cm="1">
        <f t="array" ref="D161">_xlfn.IFS(AND($C$7="Y",B161&lt;C$4),C161,AND($C$7="Y",B161=C$4),D160+F161-J161-K161-L161+N161,AND($C$7="Y",B161&gt;$C$4),D160-J161-K161-L161+N161, TRUE, D160-J161-K161-L161+N161)</f>
        <v>#DIV/0!</v>
      </c>
      <c r="E161" s="48">
        <f t="shared" si="54"/>
        <v>0</v>
      </c>
      <c r="F161" s="50">
        <f t="shared" si="55"/>
        <v>0</v>
      </c>
      <c r="G161" s="50">
        <f t="shared" si="62"/>
        <v>0</v>
      </c>
      <c r="H161" s="51" t="e">
        <f t="shared" si="63"/>
        <v>#DIV/0!</v>
      </c>
      <c r="I161" s="52" t="e">
        <f t="shared" si="49"/>
        <v>#DIV/0!</v>
      </c>
      <c r="J161" s="52" t="e">
        <f t="shared" si="50"/>
        <v>#DIV/0!</v>
      </c>
      <c r="K161" s="51" t="e">
        <f t="shared" si="60"/>
        <v>#DIV/0!</v>
      </c>
      <c r="L161" s="49" t="e">
        <f t="shared" si="56"/>
        <v>#DIV/0!</v>
      </c>
      <c r="M161" s="49">
        <f t="shared" si="46"/>
        <v>0</v>
      </c>
      <c r="N161" s="49">
        <f t="shared" si="45"/>
        <v>0</v>
      </c>
      <c r="O161" s="48" t="e">
        <f t="shared" si="51"/>
        <v>#DIV/0!</v>
      </c>
      <c r="P161" s="38" t="e">
        <f t="shared" si="47"/>
        <v>#DIV/0!</v>
      </c>
      <c r="Q161" s="53"/>
      <c r="R161" s="53">
        <f t="shared" si="57"/>
        <v>0</v>
      </c>
      <c r="S161" s="53">
        <f t="shared" si="58"/>
        <v>0</v>
      </c>
      <c r="T161" s="53">
        <f t="shared" si="59"/>
        <v>0.05</v>
      </c>
      <c r="U161" s="53">
        <f t="shared" si="61"/>
        <v>4.2653187775606449E-3</v>
      </c>
    </row>
    <row r="162" spans="1:21" x14ac:dyDescent="0.2">
      <c r="A162" s="62" t="e">
        <f t="shared" si="48"/>
        <v>#DIV/0!</v>
      </c>
      <c r="B162" s="45">
        <f t="shared" si="52"/>
        <v>148</v>
      </c>
      <c r="C162" s="51" t="e">
        <f t="shared" si="53"/>
        <v>#DIV/0!</v>
      </c>
      <c r="D162" s="47" t="e" cm="1">
        <f t="array" ref="D162">_xlfn.IFS(AND($C$7="Y",B162&lt;C$4),C162,AND($C$7="Y",B162=C$4),D161+F162-J162-K162-L162+N162,AND($C$7="Y",B162&gt;$C$4),D161-J162-K162-L162+N162, TRUE, D161-J162-K162-L162+N162)</f>
        <v>#DIV/0!</v>
      </c>
      <c r="E162" s="48">
        <f t="shared" si="54"/>
        <v>0</v>
      </c>
      <c r="F162" s="50">
        <f t="shared" si="55"/>
        <v>0</v>
      </c>
      <c r="G162" s="50">
        <f t="shared" si="62"/>
        <v>0</v>
      </c>
      <c r="H162" s="51" t="e">
        <f t="shared" si="63"/>
        <v>#DIV/0!</v>
      </c>
      <c r="I162" s="52" t="e">
        <f t="shared" si="49"/>
        <v>#DIV/0!</v>
      </c>
      <c r="J162" s="52" t="e">
        <f t="shared" si="50"/>
        <v>#DIV/0!</v>
      </c>
      <c r="K162" s="51" t="e">
        <f t="shared" si="60"/>
        <v>#DIV/0!</v>
      </c>
      <c r="L162" s="49" t="e">
        <f t="shared" si="56"/>
        <v>#DIV/0!</v>
      </c>
      <c r="M162" s="49">
        <f t="shared" si="46"/>
        <v>0</v>
      </c>
      <c r="N162" s="49">
        <f t="shared" si="45"/>
        <v>0</v>
      </c>
      <c r="O162" s="48" t="e">
        <f t="shared" si="51"/>
        <v>#DIV/0!</v>
      </c>
      <c r="P162" s="38" t="e">
        <f t="shared" si="47"/>
        <v>#DIV/0!</v>
      </c>
      <c r="Q162" s="53"/>
      <c r="R162" s="53">
        <f t="shared" si="57"/>
        <v>0</v>
      </c>
      <c r="S162" s="53">
        <f t="shared" si="58"/>
        <v>0</v>
      </c>
      <c r="T162" s="53">
        <f t="shared" si="59"/>
        <v>0.05</v>
      </c>
      <c r="U162" s="53">
        <f t="shared" si="61"/>
        <v>4.2653187775606449E-3</v>
      </c>
    </row>
    <row r="163" spans="1:21" x14ac:dyDescent="0.2">
      <c r="A163" s="62" t="e">
        <f t="shared" si="48"/>
        <v>#DIV/0!</v>
      </c>
      <c r="B163" s="45">
        <f t="shared" si="52"/>
        <v>149</v>
      </c>
      <c r="C163" s="51" t="e">
        <f t="shared" si="53"/>
        <v>#DIV/0!</v>
      </c>
      <c r="D163" s="47" t="e" cm="1">
        <f t="array" ref="D163">_xlfn.IFS(AND($C$7="Y",B163&lt;C$4),C163,AND($C$7="Y",B163=C$4),D162+F163-J163-K163-L163+N163,AND($C$7="Y",B163&gt;$C$4),D162-J163-K163-L163+N163, TRUE, D162-J163-K163-L163+N163)</f>
        <v>#DIV/0!</v>
      </c>
      <c r="E163" s="48">
        <f t="shared" si="54"/>
        <v>0</v>
      </c>
      <c r="F163" s="50">
        <f t="shared" si="55"/>
        <v>0</v>
      </c>
      <c r="G163" s="50">
        <f t="shared" si="62"/>
        <v>0</v>
      </c>
      <c r="H163" s="51" t="e">
        <f t="shared" si="63"/>
        <v>#DIV/0!</v>
      </c>
      <c r="I163" s="52" t="e">
        <f t="shared" si="49"/>
        <v>#DIV/0!</v>
      </c>
      <c r="J163" s="52" t="e">
        <f t="shared" si="50"/>
        <v>#DIV/0!</v>
      </c>
      <c r="K163" s="51" t="e">
        <f t="shared" si="60"/>
        <v>#DIV/0!</v>
      </c>
      <c r="L163" s="49" t="e">
        <f t="shared" si="56"/>
        <v>#DIV/0!</v>
      </c>
      <c r="M163" s="49">
        <f t="shared" si="46"/>
        <v>0</v>
      </c>
      <c r="N163" s="49">
        <f t="shared" ref="N163:N226" si="64">IFERROR((1-$N$12)*L159,0)</f>
        <v>0</v>
      </c>
      <c r="O163" s="48" t="e">
        <f t="shared" si="51"/>
        <v>#DIV/0!</v>
      </c>
      <c r="P163" s="38" t="e">
        <f t="shared" si="47"/>
        <v>#DIV/0!</v>
      </c>
      <c r="Q163" s="53"/>
      <c r="R163" s="53">
        <f t="shared" si="57"/>
        <v>0</v>
      </c>
      <c r="S163" s="53">
        <f t="shared" si="58"/>
        <v>0</v>
      </c>
      <c r="T163" s="53">
        <f t="shared" si="59"/>
        <v>0.05</v>
      </c>
      <c r="U163" s="53">
        <f t="shared" si="61"/>
        <v>4.2653187775606449E-3</v>
      </c>
    </row>
    <row r="164" spans="1:21" x14ac:dyDescent="0.2">
      <c r="A164" s="62" t="e">
        <f t="shared" si="48"/>
        <v>#DIV/0!</v>
      </c>
      <c r="B164" s="45">
        <f t="shared" si="52"/>
        <v>150</v>
      </c>
      <c r="C164" s="51" t="e">
        <f t="shared" si="53"/>
        <v>#DIV/0!</v>
      </c>
      <c r="D164" s="47" t="e" cm="1">
        <f t="array" ref="D164">_xlfn.IFS(AND($C$7="Y",B164&lt;C$4),C164,AND($C$7="Y",B164=C$4),D163+F164-J164-K164-L164+N164,AND($C$7="Y",B164&gt;$C$4),D163-J164-K164-L164+N164, TRUE, D163-J164-K164-L164+N164)</f>
        <v>#DIV/0!</v>
      </c>
      <c r="E164" s="48">
        <f t="shared" si="54"/>
        <v>0</v>
      </c>
      <c r="F164" s="50">
        <f t="shared" si="55"/>
        <v>0</v>
      </c>
      <c r="G164" s="50">
        <f t="shared" si="62"/>
        <v>0</v>
      </c>
      <c r="H164" s="51" t="e">
        <f t="shared" si="63"/>
        <v>#DIV/0!</v>
      </c>
      <c r="I164" s="52" t="e">
        <f t="shared" si="49"/>
        <v>#DIV/0!</v>
      </c>
      <c r="J164" s="52" t="e">
        <f t="shared" si="50"/>
        <v>#DIV/0!</v>
      </c>
      <c r="K164" s="51" t="e">
        <f t="shared" si="60"/>
        <v>#DIV/0!</v>
      </c>
      <c r="L164" s="49" t="e">
        <f t="shared" si="56"/>
        <v>#DIV/0!</v>
      </c>
      <c r="M164" s="49">
        <f t="shared" si="46"/>
        <v>0</v>
      </c>
      <c r="N164" s="49">
        <f t="shared" si="64"/>
        <v>0</v>
      </c>
      <c r="O164" s="48" t="e">
        <f t="shared" si="51"/>
        <v>#DIV/0!</v>
      </c>
      <c r="P164" s="38" t="e">
        <f t="shared" si="47"/>
        <v>#DIV/0!</v>
      </c>
      <c r="Q164" s="53"/>
      <c r="R164" s="53">
        <f t="shared" si="57"/>
        <v>0</v>
      </c>
      <c r="S164" s="53">
        <f t="shared" si="58"/>
        <v>0</v>
      </c>
      <c r="T164" s="53">
        <f t="shared" si="59"/>
        <v>0.05</v>
      </c>
      <c r="U164" s="53">
        <f t="shared" si="61"/>
        <v>4.2653187775606449E-3</v>
      </c>
    </row>
    <row r="165" spans="1:21" x14ac:dyDescent="0.2">
      <c r="A165" s="62" t="e">
        <f t="shared" si="48"/>
        <v>#DIV/0!</v>
      </c>
      <c r="B165" s="45">
        <f t="shared" si="52"/>
        <v>151</v>
      </c>
      <c r="C165" s="51" t="e">
        <f t="shared" si="53"/>
        <v>#DIV/0!</v>
      </c>
      <c r="D165" s="47" t="e" cm="1">
        <f t="array" ref="D165">_xlfn.IFS(AND($C$7="Y",B165&lt;C$4),C165,AND($C$7="Y",B165=C$4),D164+F165-J165-K165-L165+N165,AND($C$7="Y",B165&gt;$C$4),D164-J165-K165-L165+N165, TRUE, D164-J165-K165-L165+N165)</f>
        <v>#DIV/0!</v>
      </c>
      <c r="E165" s="48">
        <f t="shared" si="54"/>
        <v>0</v>
      </c>
      <c r="F165" s="50">
        <f t="shared" si="55"/>
        <v>0</v>
      </c>
      <c r="G165" s="50">
        <f t="shared" si="62"/>
        <v>0</v>
      </c>
      <c r="H165" s="51" t="e">
        <f t="shared" si="63"/>
        <v>#DIV/0!</v>
      </c>
      <c r="I165" s="52" t="e">
        <f t="shared" si="49"/>
        <v>#DIV/0!</v>
      </c>
      <c r="J165" s="52" t="e">
        <f t="shared" si="50"/>
        <v>#DIV/0!</v>
      </c>
      <c r="K165" s="51" t="e">
        <f t="shared" si="60"/>
        <v>#DIV/0!</v>
      </c>
      <c r="L165" s="49" t="e">
        <f t="shared" si="56"/>
        <v>#DIV/0!</v>
      </c>
      <c r="M165" s="49">
        <f t="shared" si="46"/>
        <v>0</v>
      </c>
      <c r="N165" s="49">
        <f t="shared" si="64"/>
        <v>0</v>
      </c>
      <c r="O165" s="48" t="e">
        <f t="shared" si="51"/>
        <v>#DIV/0!</v>
      </c>
      <c r="P165" s="38" t="e">
        <f t="shared" si="47"/>
        <v>#DIV/0!</v>
      </c>
      <c r="Q165" s="53"/>
      <c r="R165" s="53">
        <f t="shared" si="57"/>
        <v>0</v>
      </c>
      <c r="S165" s="53">
        <f t="shared" si="58"/>
        <v>0</v>
      </c>
      <c r="T165" s="53">
        <f t="shared" si="59"/>
        <v>0.05</v>
      </c>
      <c r="U165" s="53">
        <f t="shared" si="61"/>
        <v>4.2653187775606449E-3</v>
      </c>
    </row>
    <row r="166" spans="1:21" x14ac:dyDescent="0.2">
      <c r="A166" s="62" t="e">
        <f t="shared" si="48"/>
        <v>#DIV/0!</v>
      </c>
      <c r="B166" s="45">
        <f t="shared" si="52"/>
        <v>152</v>
      </c>
      <c r="C166" s="51" t="e">
        <f t="shared" si="53"/>
        <v>#DIV/0!</v>
      </c>
      <c r="D166" s="47" t="e" cm="1">
        <f t="array" ref="D166">_xlfn.IFS(AND($C$7="Y",B166&lt;C$4),C166,AND($C$7="Y",B166=C$4),D165+F166-J166-K166-L166+N166,AND($C$7="Y",B166&gt;$C$4),D165-J166-K166-L166+N166, TRUE, D165-J166-K166-L166+N166)</f>
        <v>#DIV/0!</v>
      </c>
      <c r="E166" s="48">
        <f t="shared" si="54"/>
        <v>0</v>
      </c>
      <c r="F166" s="50">
        <f t="shared" si="55"/>
        <v>0</v>
      </c>
      <c r="G166" s="50">
        <f t="shared" si="62"/>
        <v>0</v>
      </c>
      <c r="H166" s="51" t="e">
        <f t="shared" si="63"/>
        <v>#DIV/0!</v>
      </c>
      <c r="I166" s="52" t="e">
        <f t="shared" si="49"/>
        <v>#DIV/0!</v>
      </c>
      <c r="J166" s="52" t="e">
        <f t="shared" si="50"/>
        <v>#DIV/0!</v>
      </c>
      <c r="K166" s="51" t="e">
        <f t="shared" si="60"/>
        <v>#DIV/0!</v>
      </c>
      <c r="L166" s="49" t="e">
        <f t="shared" si="56"/>
        <v>#DIV/0!</v>
      </c>
      <c r="M166" s="49">
        <f t="shared" si="46"/>
        <v>0</v>
      </c>
      <c r="N166" s="49">
        <f t="shared" si="64"/>
        <v>0</v>
      </c>
      <c r="O166" s="48" t="e">
        <f t="shared" si="51"/>
        <v>#DIV/0!</v>
      </c>
      <c r="P166" s="38" t="e">
        <f t="shared" si="47"/>
        <v>#DIV/0!</v>
      </c>
      <c r="Q166" s="53"/>
      <c r="R166" s="53">
        <f t="shared" si="57"/>
        <v>0</v>
      </c>
      <c r="S166" s="53">
        <f t="shared" si="58"/>
        <v>0</v>
      </c>
      <c r="T166" s="53">
        <f t="shared" si="59"/>
        <v>0.05</v>
      </c>
      <c r="U166" s="53">
        <f t="shared" si="61"/>
        <v>4.2653187775606449E-3</v>
      </c>
    </row>
    <row r="167" spans="1:21" x14ac:dyDescent="0.2">
      <c r="A167" s="62" t="e">
        <f t="shared" si="48"/>
        <v>#DIV/0!</v>
      </c>
      <c r="B167" s="45">
        <f t="shared" si="52"/>
        <v>153</v>
      </c>
      <c r="C167" s="51" t="e">
        <f t="shared" si="53"/>
        <v>#DIV/0!</v>
      </c>
      <c r="D167" s="47" t="e" cm="1">
        <f t="array" ref="D167">_xlfn.IFS(AND($C$7="Y",B167&lt;C$4),C167,AND($C$7="Y",B167=C$4),D166+F167-J167-K167-L167+N167,AND($C$7="Y",B167&gt;$C$4),D166-J167-K167-L167+N167, TRUE, D166-J167-K167-L167+N167)</f>
        <v>#DIV/0!</v>
      </c>
      <c r="E167" s="48">
        <f t="shared" si="54"/>
        <v>0</v>
      </c>
      <c r="F167" s="50">
        <f t="shared" si="55"/>
        <v>0</v>
      </c>
      <c r="G167" s="50">
        <f t="shared" si="62"/>
        <v>0</v>
      </c>
      <c r="H167" s="51" t="e">
        <f t="shared" si="63"/>
        <v>#DIV/0!</v>
      </c>
      <c r="I167" s="52" t="e">
        <f t="shared" si="49"/>
        <v>#DIV/0!</v>
      </c>
      <c r="J167" s="52" t="e">
        <f t="shared" si="50"/>
        <v>#DIV/0!</v>
      </c>
      <c r="K167" s="51" t="e">
        <f t="shared" si="60"/>
        <v>#DIV/0!</v>
      </c>
      <c r="L167" s="49" t="e">
        <f t="shared" si="56"/>
        <v>#DIV/0!</v>
      </c>
      <c r="M167" s="49">
        <f t="shared" si="46"/>
        <v>0</v>
      </c>
      <c r="N167" s="49">
        <f t="shared" si="64"/>
        <v>0</v>
      </c>
      <c r="O167" s="48" t="e">
        <f t="shared" si="51"/>
        <v>#DIV/0!</v>
      </c>
      <c r="P167" s="38" t="e">
        <f t="shared" si="47"/>
        <v>#DIV/0!</v>
      </c>
      <c r="Q167" s="53"/>
      <c r="R167" s="53">
        <f t="shared" si="57"/>
        <v>0</v>
      </c>
      <c r="S167" s="53">
        <f t="shared" si="58"/>
        <v>0</v>
      </c>
      <c r="T167" s="53">
        <f t="shared" si="59"/>
        <v>0.05</v>
      </c>
      <c r="U167" s="53">
        <f t="shared" si="61"/>
        <v>4.2653187775606449E-3</v>
      </c>
    </row>
    <row r="168" spans="1:21" x14ac:dyDescent="0.2">
      <c r="A168" s="62" t="e">
        <f t="shared" si="48"/>
        <v>#DIV/0!</v>
      </c>
      <c r="B168" s="45">
        <f t="shared" si="52"/>
        <v>154</v>
      </c>
      <c r="C168" s="51" t="e">
        <f t="shared" si="53"/>
        <v>#DIV/0!</v>
      </c>
      <c r="D168" s="47" t="e" cm="1">
        <f t="array" ref="D168">_xlfn.IFS(AND($C$7="Y",B168&lt;C$4),C168,AND($C$7="Y",B168=C$4),D167+F168-J168-K168-L168+N168,AND($C$7="Y",B168&gt;$C$4),D167-J168-K168-L168+N168, TRUE, D167-J168-K168-L168+N168)</f>
        <v>#DIV/0!</v>
      </c>
      <c r="E168" s="48">
        <f t="shared" si="54"/>
        <v>0</v>
      </c>
      <c r="F168" s="50">
        <f t="shared" si="55"/>
        <v>0</v>
      </c>
      <c r="G168" s="50">
        <f t="shared" si="62"/>
        <v>0</v>
      </c>
      <c r="H168" s="51" t="e">
        <f t="shared" si="63"/>
        <v>#DIV/0!</v>
      </c>
      <c r="I168" s="52" t="e">
        <f t="shared" si="49"/>
        <v>#DIV/0!</v>
      </c>
      <c r="J168" s="52" t="e">
        <f t="shared" si="50"/>
        <v>#DIV/0!</v>
      </c>
      <c r="K168" s="51" t="e">
        <f t="shared" si="60"/>
        <v>#DIV/0!</v>
      </c>
      <c r="L168" s="49" t="e">
        <f t="shared" si="56"/>
        <v>#DIV/0!</v>
      </c>
      <c r="M168" s="49">
        <f t="shared" si="46"/>
        <v>0</v>
      </c>
      <c r="N168" s="49">
        <f t="shared" si="64"/>
        <v>0</v>
      </c>
      <c r="O168" s="48" t="e">
        <f t="shared" si="51"/>
        <v>#DIV/0!</v>
      </c>
      <c r="P168" s="38" t="e">
        <f t="shared" si="47"/>
        <v>#DIV/0!</v>
      </c>
      <c r="Q168" s="53"/>
      <c r="R168" s="53">
        <f t="shared" si="57"/>
        <v>0</v>
      </c>
      <c r="S168" s="53">
        <f t="shared" si="58"/>
        <v>0</v>
      </c>
      <c r="T168" s="53">
        <f t="shared" si="59"/>
        <v>0.05</v>
      </c>
      <c r="U168" s="53">
        <f t="shared" si="61"/>
        <v>4.2653187775606449E-3</v>
      </c>
    </row>
    <row r="169" spans="1:21" x14ac:dyDescent="0.2">
      <c r="A169" s="62" t="e">
        <f t="shared" si="48"/>
        <v>#DIV/0!</v>
      </c>
      <c r="B169" s="45">
        <f t="shared" si="52"/>
        <v>155</v>
      </c>
      <c r="C169" s="51" t="e">
        <f t="shared" si="53"/>
        <v>#DIV/0!</v>
      </c>
      <c r="D169" s="47" t="e" cm="1">
        <f t="array" ref="D169">_xlfn.IFS(AND($C$7="Y",B169&lt;C$4),C169,AND($C$7="Y",B169=C$4),D168+F169-J169-K169-L169+N169,AND($C$7="Y",B169&gt;$C$4),D168-J169-K169-L169+N169, TRUE, D168-J169-K169-L169+N169)</f>
        <v>#DIV/0!</v>
      </c>
      <c r="E169" s="48">
        <f t="shared" si="54"/>
        <v>0</v>
      </c>
      <c r="F169" s="50">
        <f t="shared" si="55"/>
        <v>0</v>
      </c>
      <c r="G169" s="50">
        <f t="shared" si="62"/>
        <v>0</v>
      </c>
      <c r="H169" s="51" t="e">
        <f t="shared" si="63"/>
        <v>#DIV/0!</v>
      </c>
      <c r="I169" s="52" t="e">
        <f t="shared" si="49"/>
        <v>#DIV/0!</v>
      </c>
      <c r="J169" s="52" t="e">
        <f t="shared" si="50"/>
        <v>#DIV/0!</v>
      </c>
      <c r="K169" s="51" t="e">
        <f t="shared" si="60"/>
        <v>#DIV/0!</v>
      </c>
      <c r="L169" s="49" t="e">
        <f t="shared" si="56"/>
        <v>#DIV/0!</v>
      </c>
      <c r="M169" s="49">
        <f t="shared" si="46"/>
        <v>0</v>
      </c>
      <c r="N169" s="49">
        <f t="shared" si="64"/>
        <v>0</v>
      </c>
      <c r="O169" s="48" t="e">
        <f t="shared" si="51"/>
        <v>#DIV/0!</v>
      </c>
      <c r="P169" s="38" t="e">
        <f t="shared" si="47"/>
        <v>#DIV/0!</v>
      </c>
      <c r="Q169" s="53"/>
      <c r="R169" s="53">
        <f t="shared" si="57"/>
        <v>0</v>
      </c>
      <c r="S169" s="53">
        <f t="shared" si="58"/>
        <v>0</v>
      </c>
      <c r="T169" s="53">
        <f t="shared" si="59"/>
        <v>0.05</v>
      </c>
      <c r="U169" s="53">
        <f t="shared" si="61"/>
        <v>4.2653187775606449E-3</v>
      </c>
    </row>
    <row r="170" spans="1:21" x14ac:dyDescent="0.2">
      <c r="A170" s="62" t="e">
        <f t="shared" si="48"/>
        <v>#DIV/0!</v>
      </c>
      <c r="B170" s="45">
        <f t="shared" si="52"/>
        <v>156</v>
      </c>
      <c r="C170" s="51" t="e">
        <f t="shared" si="53"/>
        <v>#DIV/0!</v>
      </c>
      <c r="D170" s="47" t="e" cm="1">
        <f t="array" ref="D170">_xlfn.IFS(AND($C$7="Y",B170&lt;C$4),C170,AND($C$7="Y",B170=C$4),D169+F170-J170-K170-L170+N170,AND($C$7="Y",B170&gt;$C$4),D169-J170-K170-L170+N170, TRUE, D169-J170-K170-L170+N170)</f>
        <v>#DIV/0!</v>
      </c>
      <c r="E170" s="48">
        <f t="shared" si="54"/>
        <v>0</v>
      </c>
      <c r="F170" s="50">
        <f t="shared" si="55"/>
        <v>0</v>
      </c>
      <c r="G170" s="50">
        <f t="shared" si="62"/>
        <v>0</v>
      </c>
      <c r="H170" s="51" t="e">
        <f t="shared" si="63"/>
        <v>#DIV/0!</v>
      </c>
      <c r="I170" s="52" t="e">
        <f t="shared" si="49"/>
        <v>#DIV/0!</v>
      </c>
      <c r="J170" s="52" t="e">
        <f t="shared" si="50"/>
        <v>#DIV/0!</v>
      </c>
      <c r="K170" s="51" t="e">
        <f t="shared" si="60"/>
        <v>#DIV/0!</v>
      </c>
      <c r="L170" s="49" t="e">
        <f t="shared" si="56"/>
        <v>#DIV/0!</v>
      </c>
      <c r="M170" s="49">
        <f t="shared" si="46"/>
        <v>0</v>
      </c>
      <c r="N170" s="49">
        <f t="shared" si="64"/>
        <v>0</v>
      </c>
      <c r="O170" s="48" t="e">
        <f t="shared" si="51"/>
        <v>#DIV/0!</v>
      </c>
      <c r="P170" s="38" t="e">
        <f t="shared" si="47"/>
        <v>#DIV/0!</v>
      </c>
      <c r="Q170" s="53"/>
      <c r="R170" s="53">
        <f t="shared" si="57"/>
        <v>0</v>
      </c>
      <c r="S170" s="53">
        <f t="shared" si="58"/>
        <v>0</v>
      </c>
      <c r="T170" s="53">
        <f t="shared" si="59"/>
        <v>0.05</v>
      </c>
      <c r="U170" s="53">
        <f t="shared" si="61"/>
        <v>4.2653187775606449E-3</v>
      </c>
    </row>
    <row r="171" spans="1:21" x14ac:dyDescent="0.2">
      <c r="A171" s="62" t="e">
        <f t="shared" si="48"/>
        <v>#DIV/0!</v>
      </c>
      <c r="B171" s="45">
        <f t="shared" si="52"/>
        <v>157</v>
      </c>
      <c r="C171" s="51" t="e">
        <f t="shared" si="53"/>
        <v>#DIV/0!</v>
      </c>
      <c r="D171" s="47" t="e" cm="1">
        <f t="array" ref="D171">_xlfn.IFS(AND($C$7="Y",B171&lt;C$4),C171,AND($C$7="Y",B171=C$4),D170+F171-J171-K171-L171+N171,AND($C$7="Y",B171&gt;$C$4),D170-J171-K171-L171+N171, TRUE, D170-J171-K171-L171+N171)</f>
        <v>#DIV/0!</v>
      </c>
      <c r="E171" s="48">
        <f t="shared" si="54"/>
        <v>0</v>
      </c>
      <c r="F171" s="50">
        <f t="shared" si="55"/>
        <v>0</v>
      </c>
      <c r="G171" s="50">
        <f t="shared" si="62"/>
        <v>0</v>
      </c>
      <c r="H171" s="51" t="e">
        <f t="shared" si="63"/>
        <v>#DIV/0!</v>
      </c>
      <c r="I171" s="52" t="e">
        <f t="shared" si="49"/>
        <v>#DIV/0!</v>
      </c>
      <c r="J171" s="52" t="e">
        <f t="shared" si="50"/>
        <v>#DIV/0!</v>
      </c>
      <c r="K171" s="51" t="e">
        <f t="shared" si="60"/>
        <v>#DIV/0!</v>
      </c>
      <c r="L171" s="49" t="e">
        <f t="shared" si="56"/>
        <v>#DIV/0!</v>
      </c>
      <c r="M171" s="49">
        <f t="shared" si="46"/>
        <v>0</v>
      </c>
      <c r="N171" s="49">
        <f t="shared" si="64"/>
        <v>0</v>
      </c>
      <c r="O171" s="48" t="e">
        <f t="shared" si="51"/>
        <v>#DIV/0!</v>
      </c>
      <c r="P171" s="38" t="e">
        <f t="shared" si="47"/>
        <v>#DIV/0!</v>
      </c>
      <c r="Q171" s="53"/>
      <c r="R171" s="53">
        <f t="shared" si="57"/>
        <v>0</v>
      </c>
      <c r="S171" s="53">
        <f t="shared" si="58"/>
        <v>0</v>
      </c>
      <c r="T171" s="53">
        <f t="shared" si="59"/>
        <v>0.05</v>
      </c>
      <c r="U171" s="53">
        <f t="shared" si="61"/>
        <v>4.2653187775606449E-3</v>
      </c>
    </row>
    <row r="172" spans="1:21" x14ac:dyDescent="0.2">
      <c r="A172" s="62" t="e">
        <f t="shared" si="48"/>
        <v>#DIV/0!</v>
      </c>
      <c r="B172" s="45">
        <f t="shared" si="52"/>
        <v>158</v>
      </c>
      <c r="C172" s="51" t="e">
        <f t="shared" si="53"/>
        <v>#DIV/0!</v>
      </c>
      <c r="D172" s="47" t="e" cm="1">
        <f t="array" ref="D172">_xlfn.IFS(AND($C$7="Y",B172&lt;C$4),C172,AND($C$7="Y",B172=C$4),D171+F172-J172-K172-L172+N172,AND($C$7="Y",B172&gt;$C$4),D171-J172-K172-L172+N172, TRUE, D171-J172-K172-L172+N172)</f>
        <v>#DIV/0!</v>
      </c>
      <c r="E172" s="48">
        <f t="shared" si="54"/>
        <v>0</v>
      </c>
      <c r="F172" s="50">
        <f t="shared" si="55"/>
        <v>0</v>
      </c>
      <c r="G172" s="50">
        <f t="shared" si="62"/>
        <v>0</v>
      </c>
      <c r="H172" s="51" t="e">
        <f t="shared" si="63"/>
        <v>#DIV/0!</v>
      </c>
      <c r="I172" s="52" t="e">
        <f t="shared" si="49"/>
        <v>#DIV/0!</v>
      </c>
      <c r="J172" s="52" t="e">
        <f t="shared" si="50"/>
        <v>#DIV/0!</v>
      </c>
      <c r="K172" s="51" t="e">
        <f t="shared" si="60"/>
        <v>#DIV/0!</v>
      </c>
      <c r="L172" s="49" t="e">
        <f t="shared" si="56"/>
        <v>#DIV/0!</v>
      </c>
      <c r="M172" s="49">
        <f t="shared" si="46"/>
        <v>0</v>
      </c>
      <c r="N172" s="49">
        <f t="shared" si="64"/>
        <v>0</v>
      </c>
      <c r="O172" s="48" t="e">
        <f t="shared" si="51"/>
        <v>#DIV/0!</v>
      </c>
      <c r="P172" s="38" t="e">
        <f t="shared" si="47"/>
        <v>#DIV/0!</v>
      </c>
      <c r="Q172" s="53"/>
      <c r="R172" s="53">
        <f t="shared" si="57"/>
        <v>0</v>
      </c>
      <c r="S172" s="53">
        <f t="shared" si="58"/>
        <v>0</v>
      </c>
      <c r="T172" s="53">
        <f t="shared" si="59"/>
        <v>0.05</v>
      </c>
      <c r="U172" s="53">
        <f t="shared" si="61"/>
        <v>4.2653187775606449E-3</v>
      </c>
    </row>
    <row r="173" spans="1:21" x14ac:dyDescent="0.2">
      <c r="A173" s="62" t="e">
        <f t="shared" si="48"/>
        <v>#DIV/0!</v>
      </c>
      <c r="B173" s="45">
        <f t="shared" si="52"/>
        <v>159</v>
      </c>
      <c r="C173" s="51" t="e">
        <f t="shared" si="53"/>
        <v>#DIV/0!</v>
      </c>
      <c r="D173" s="47" t="e" cm="1">
        <f t="array" ref="D173">_xlfn.IFS(AND($C$7="Y",B173&lt;C$4),C173,AND($C$7="Y",B173=C$4),D172+F173-J173-K173-L173+N173,AND($C$7="Y",B173&gt;$C$4),D172-J173-K173-L173+N173, TRUE, D172-J173-K173-L173+N173)</f>
        <v>#DIV/0!</v>
      </c>
      <c r="E173" s="48">
        <f t="shared" si="54"/>
        <v>0</v>
      </c>
      <c r="F173" s="50">
        <f t="shared" si="55"/>
        <v>0</v>
      </c>
      <c r="G173" s="50">
        <f t="shared" si="62"/>
        <v>0</v>
      </c>
      <c r="H173" s="51" t="e">
        <f t="shared" si="63"/>
        <v>#DIV/0!</v>
      </c>
      <c r="I173" s="52" t="e">
        <f t="shared" si="49"/>
        <v>#DIV/0!</v>
      </c>
      <c r="J173" s="52" t="e">
        <f t="shared" si="50"/>
        <v>#DIV/0!</v>
      </c>
      <c r="K173" s="51" t="e">
        <f t="shared" si="60"/>
        <v>#DIV/0!</v>
      </c>
      <c r="L173" s="49" t="e">
        <f t="shared" si="56"/>
        <v>#DIV/0!</v>
      </c>
      <c r="M173" s="49">
        <f t="shared" ref="M173:M235" si="65">IFERROR(L169*-1,0)</f>
        <v>0</v>
      </c>
      <c r="N173" s="49">
        <f t="shared" si="64"/>
        <v>0</v>
      </c>
      <c r="O173" s="48" t="e">
        <f t="shared" si="51"/>
        <v>#DIV/0!</v>
      </c>
      <c r="P173" s="38" t="e">
        <f t="shared" si="47"/>
        <v>#DIV/0!</v>
      </c>
      <c r="Q173" s="53"/>
      <c r="R173" s="53">
        <f t="shared" si="57"/>
        <v>0</v>
      </c>
      <c r="S173" s="53">
        <f t="shared" si="58"/>
        <v>0</v>
      </c>
      <c r="T173" s="53">
        <f t="shared" si="59"/>
        <v>0.05</v>
      </c>
      <c r="U173" s="53">
        <f t="shared" si="61"/>
        <v>4.2653187775606449E-3</v>
      </c>
    </row>
    <row r="174" spans="1:21" x14ac:dyDescent="0.2">
      <c r="A174" s="62" t="e">
        <f t="shared" si="48"/>
        <v>#DIV/0!</v>
      </c>
      <c r="B174" s="45">
        <f t="shared" si="52"/>
        <v>160</v>
      </c>
      <c r="C174" s="51" t="e">
        <f t="shared" si="53"/>
        <v>#DIV/0!</v>
      </c>
      <c r="D174" s="47" t="e" cm="1">
        <f t="array" ref="D174">_xlfn.IFS(AND($C$7="Y",B174&lt;C$4),C174,AND($C$7="Y",B174=C$4),D173+F174-J174-K174-L174+N174,AND($C$7="Y",B174&gt;$C$4),D173-J174-K174-L174+N174, TRUE, D173-J174-K174-L174+N174)</f>
        <v>#DIV/0!</v>
      </c>
      <c r="E174" s="48">
        <f t="shared" si="54"/>
        <v>0</v>
      </c>
      <c r="F174" s="50">
        <f t="shared" si="55"/>
        <v>0</v>
      </c>
      <c r="G174" s="50">
        <f t="shared" si="62"/>
        <v>0</v>
      </c>
      <c r="H174" s="51" t="e">
        <f t="shared" si="63"/>
        <v>#DIV/0!</v>
      </c>
      <c r="I174" s="52" t="e">
        <f t="shared" si="49"/>
        <v>#DIV/0!</v>
      </c>
      <c r="J174" s="52" t="e">
        <f t="shared" si="50"/>
        <v>#DIV/0!</v>
      </c>
      <c r="K174" s="51" t="e">
        <f t="shared" si="60"/>
        <v>#DIV/0!</v>
      </c>
      <c r="L174" s="49" t="e">
        <f t="shared" si="56"/>
        <v>#DIV/0!</v>
      </c>
      <c r="M174" s="49">
        <f t="shared" si="65"/>
        <v>0</v>
      </c>
      <c r="N174" s="49">
        <f t="shared" si="64"/>
        <v>0</v>
      </c>
      <c r="O174" s="48" t="e">
        <f t="shared" si="51"/>
        <v>#DIV/0!</v>
      </c>
      <c r="P174" s="38" t="e">
        <f t="shared" si="47"/>
        <v>#DIV/0!</v>
      </c>
      <c r="Q174" s="53"/>
      <c r="R174" s="53">
        <f t="shared" si="57"/>
        <v>0</v>
      </c>
      <c r="S174" s="53">
        <f t="shared" si="58"/>
        <v>0</v>
      </c>
      <c r="T174" s="53">
        <f t="shared" si="59"/>
        <v>0.05</v>
      </c>
      <c r="U174" s="53">
        <f t="shared" si="61"/>
        <v>4.2653187775606449E-3</v>
      </c>
    </row>
    <row r="175" spans="1:21" x14ac:dyDescent="0.2">
      <c r="A175" s="62" t="e">
        <f t="shared" si="48"/>
        <v>#DIV/0!</v>
      </c>
      <c r="B175" s="45">
        <f t="shared" si="52"/>
        <v>161</v>
      </c>
      <c r="C175" s="51" t="e">
        <f t="shared" si="53"/>
        <v>#DIV/0!</v>
      </c>
      <c r="D175" s="47" t="e" cm="1">
        <f t="array" ref="D175">_xlfn.IFS(AND($C$7="Y",B175&lt;C$4),C175,AND($C$7="Y",B175=C$4),D174+F175-J175-K175-L175+N175,AND($C$7="Y",B175&gt;$C$4),D174-J175-K175-L175+N175, TRUE, D174-J175-K175-L175+N175)</f>
        <v>#DIV/0!</v>
      </c>
      <c r="E175" s="48">
        <f t="shared" si="54"/>
        <v>0</v>
      </c>
      <c r="F175" s="50">
        <f t="shared" si="55"/>
        <v>0</v>
      </c>
      <c r="G175" s="50">
        <f t="shared" si="62"/>
        <v>0</v>
      </c>
      <c r="H175" s="51" t="e">
        <f t="shared" si="63"/>
        <v>#DIV/0!</v>
      </c>
      <c r="I175" s="52" t="e">
        <f t="shared" si="49"/>
        <v>#DIV/0!</v>
      </c>
      <c r="J175" s="52" t="e">
        <f t="shared" si="50"/>
        <v>#DIV/0!</v>
      </c>
      <c r="K175" s="51" t="e">
        <f t="shared" si="60"/>
        <v>#DIV/0!</v>
      </c>
      <c r="L175" s="49" t="e">
        <f t="shared" si="56"/>
        <v>#DIV/0!</v>
      </c>
      <c r="M175" s="49">
        <f t="shared" si="65"/>
        <v>0</v>
      </c>
      <c r="N175" s="49">
        <f t="shared" si="64"/>
        <v>0</v>
      </c>
      <c r="O175" s="48" t="e">
        <f t="shared" si="51"/>
        <v>#DIV/0!</v>
      </c>
      <c r="P175" s="38" t="e">
        <f t="shared" si="47"/>
        <v>#DIV/0!</v>
      </c>
      <c r="Q175" s="53"/>
      <c r="R175" s="53">
        <f t="shared" si="57"/>
        <v>0</v>
      </c>
      <c r="S175" s="53">
        <f t="shared" si="58"/>
        <v>0</v>
      </c>
      <c r="T175" s="53">
        <f t="shared" si="59"/>
        <v>0.05</v>
      </c>
      <c r="U175" s="53">
        <f t="shared" si="61"/>
        <v>4.2653187775606449E-3</v>
      </c>
    </row>
    <row r="176" spans="1:21" x14ac:dyDescent="0.2">
      <c r="A176" s="62" t="e">
        <f t="shared" si="48"/>
        <v>#DIV/0!</v>
      </c>
      <c r="B176" s="45">
        <f t="shared" si="52"/>
        <v>162</v>
      </c>
      <c r="C176" s="51" t="e">
        <f t="shared" si="53"/>
        <v>#DIV/0!</v>
      </c>
      <c r="D176" s="47" t="e" cm="1">
        <f t="array" ref="D176">_xlfn.IFS(AND($C$7="Y",B176&lt;C$4),C176,AND($C$7="Y",B176=C$4),D175+F176-J176-K176-L176+N176,AND($C$7="Y",B176&gt;$C$4),D175-J176-K176-L176+N176, TRUE, D175-J176-K176-L176+N176)</f>
        <v>#DIV/0!</v>
      </c>
      <c r="E176" s="48">
        <f t="shared" si="54"/>
        <v>0</v>
      </c>
      <c r="F176" s="50">
        <f t="shared" si="55"/>
        <v>0</v>
      </c>
      <c r="G176" s="50">
        <f t="shared" si="62"/>
        <v>0</v>
      </c>
      <c r="H176" s="51" t="e">
        <f t="shared" si="63"/>
        <v>#DIV/0!</v>
      </c>
      <c r="I176" s="52" t="e">
        <f t="shared" si="49"/>
        <v>#DIV/0!</v>
      </c>
      <c r="J176" s="52" t="e">
        <f t="shared" si="50"/>
        <v>#DIV/0!</v>
      </c>
      <c r="K176" s="51" t="e">
        <f t="shared" si="60"/>
        <v>#DIV/0!</v>
      </c>
      <c r="L176" s="49" t="e">
        <f t="shared" si="56"/>
        <v>#DIV/0!</v>
      </c>
      <c r="M176" s="49">
        <f t="shared" si="65"/>
        <v>0</v>
      </c>
      <c r="N176" s="49">
        <f t="shared" si="64"/>
        <v>0</v>
      </c>
      <c r="O176" s="48" t="e">
        <f t="shared" si="51"/>
        <v>#DIV/0!</v>
      </c>
      <c r="P176" s="38" t="e">
        <f t="shared" si="47"/>
        <v>#DIV/0!</v>
      </c>
      <c r="Q176" s="53"/>
      <c r="R176" s="53">
        <f t="shared" si="57"/>
        <v>0</v>
      </c>
      <c r="S176" s="53">
        <f t="shared" si="58"/>
        <v>0</v>
      </c>
      <c r="T176" s="53">
        <f t="shared" si="59"/>
        <v>0.05</v>
      </c>
      <c r="U176" s="53">
        <f t="shared" si="61"/>
        <v>4.2653187775606449E-3</v>
      </c>
    </row>
    <row r="177" spans="1:21" x14ac:dyDescent="0.2">
      <c r="A177" s="62" t="e">
        <f t="shared" si="48"/>
        <v>#DIV/0!</v>
      </c>
      <c r="B177" s="45">
        <f t="shared" si="52"/>
        <v>163</v>
      </c>
      <c r="C177" s="51" t="e">
        <f t="shared" si="53"/>
        <v>#DIV/0!</v>
      </c>
      <c r="D177" s="47" t="e" cm="1">
        <f t="array" ref="D177">_xlfn.IFS(AND($C$7="Y",B177&lt;C$4),C177,AND($C$7="Y",B177=C$4),D176+F177-J177-K177-L177+N177,AND($C$7="Y",B177&gt;$C$4),D176-J177-K177-L177+N177, TRUE, D176-J177-K177-L177+N177)</f>
        <v>#DIV/0!</v>
      </c>
      <c r="E177" s="48">
        <f t="shared" si="54"/>
        <v>0</v>
      </c>
      <c r="F177" s="50">
        <f t="shared" si="55"/>
        <v>0</v>
      </c>
      <c r="G177" s="50">
        <f t="shared" si="62"/>
        <v>0</v>
      </c>
      <c r="H177" s="51" t="e">
        <f t="shared" si="63"/>
        <v>#DIV/0!</v>
      </c>
      <c r="I177" s="52" t="e">
        <f t="shared" si="49"/>
        <v>#DIV/0!</v>
      </c>
      <c r="J177" s="52" t="e">
        <f t="shared" si="50"/>
        <v>#DIV/0!</v>
      </c>
      <c r="K177" s="51" t="e">
        <f t="shared" si="60"/>
        <v>#DIV/0!</v>
      </c>
      <c r="L177" s="49" t="e">
        <f t="shared" si="56"/>
        <v>#DIV/0!</v>
      </c>
      <c r="M177" s="49">
        <f t="shared" si="65"/>
        <v>0</v>
      </c>
      <c r="N177" s="49">
        <f t="shared" si="64"/>
        <v>0</v>
      </c>
      <c r="O177" s="48" t="e">
        <f t="shared" si="51"/>
        <v>#DIV/0!</v>
      </c>
      <c r="P177" s="38" t="e">
        <f t="shared" si="47"/>
        <v>#DIV/0!</v>
      </c>
      <c r="Q177" s="53"/>
      <c r="R177" s="53">
        <f t="shared" si="57"/>
        <v>0</v>
      </c>
      <c r="S177" s="53">
        <f t="shared" si="58"/>
        <v>0</v>
      </c>
      <c r="T177" s="53">
        <f t="shared" si="59"/>
        <v>0.05</v>
      </c>
      <c r="U177" s="53">
        <f t="shared" si="61"/>
        <v>4.2653187775606449E-3</v>
      </c>
    </row>
    <row r="178" spans="1:21" x14ac:dyDescent="0.2">
      <c r="A178" s="62" t="e">
        <f t="shared" si="48"/>
        <v>#DIV/0!</v>
      </c>
      <c r="B178" s="45">
        <f t="shared" si="52"/>
        <v>164</v>
      </c>
      <c r="C178" s="51" t="e">
        <f t="shared" si="53"/>
        <v>#DIV/0!</v>
      </c>
      <c r="D178" s="47" t="e" cm="1">
        <f t="array" ref="D178">_xlfn.IFS(AND($C$7="Y",B178&lt;C$4),C178,AND($C$7="Y",B178=C$4),D177+F178-J178-K178-L178+N178,AND($C$7="Y",B178&gt;$C$4),D177-J178-K178-L178+N178, TRUE, D177-J178-K178-L178+N178)</f>
        <v>#DIV/0!</v>
      </c>
      <c r="E178" s="48">
        <f t="shared" si="54"/>
        <v>0</v>
      </c>
      <c r="F178" s="50">
        <f t="shared" si="55"/>
        <v>0</v>
      </c>
      <c r="G178" s="50">
        <f t="shared" si="62"/>
        <v>0</v>
      </c>
      <c r="H178" s="51" t="e">
        <f t="shared" si="63"/>
        <v>#DIV/0!</v>
      </c>
      <c r="I178" s="52" t="e">
        <f t="shared" si="49"/>
        <v>#DIV/0!</v>
      </c>
      <c r="J178" s="52" t="e">
        <f t="shared" si="50"/>
        <v>#DIV/0!</v>
      </c>
      <c r="K178" s="51" t="e">
        <f t="shared" si="60"/>
        <v>#DIV/0!</v>
      </c>
      <c r="L178" s="49" t="e">
        <f t="shared" si="56"/>
        <v>#DIV/0!</v>
      </c>
      <c r="M178" s="49">
        <f t="shared" si="65"/>
        <v>0</v>
      </c>
      <c r="N178" s="49">
        <f t="shared" si="64"/>
        <v>0</v>
      </c>
      <c r="O178" s="48" t="e">
        <f t="shared" si="51"/>
        <v>#DIV/0!</v>
      </c>
      <c r="P178" s="38" t="e">
        <f t="shared" si="47"/>
        <v>#DIV/0!</v>
      </c>
      <c r="Q178" s="53"/>
      <c r="R178" s="53">
        <f t="shared" si="57"/>
        <v>0</v>
      </c>
      <c r="S178" s="53">
        <f t="shared" si="58"/>
        <v>0</v>
      </c>
      <c r="T178" s="53">
        <f t="shared" si="59"/>
        <v>0.05</v>
      </c>
      <c r="U178" s="53">
        <f t="shared" si="61"/>
        <v>4.2653187775606449E-3</v>
      </c>
    </row>
    <row r="179" spans="1:21" x14ac:dyDescent="0.2">
      <c r="A179" s="62" t="e">
        <f t="shared" si="48"/>
        <v>#DIV/0!</v>
      </c>
      <c r="B179" s="45">
        <f t="shared" si="52"/>
        <v>165</v>
      </c>
      <c r="C179" s="51" t="e">
        <f t="shared" si="53"/>
        <v>#DIV/0!</v>
      </c>
      <c r="D179" s="47" t="e" cm="1">
        <f t="array" ref="D179">_xlfn.IFS(AND($C$7="Y",B179&lt;C$4),C179,AND($C$7="Y",B179=C$4),D178+F179-J179-K179-L179+N179,AND($C$7="Y",B179&gt;$C$4),D178-J179-K179-L179+N179, TRUE, D178-J179-K179-L179+N179)</f>
        <v>#DIV/0!</v>
      </c>
      <c r="E179" s="48">
        <f t="shared" si="54"/>
        <v>0</v>
      </c>
      <c r="F179" s="50">
        <f t="shared" si="55"/>
        <v>0</v>
      </c>
      <c r="G179" s="50">
        <f t="shared" si="62"/>
        <v>0</v>
      </c>
      <c r="H179" s="51" t="e">
        <f t="shared" si="63"/>
        <v>#DIV/0!</v>
      </c>
      <c r="I179" s="52" t="e">
        <f t="shared" si="49"/>
        <v>#DIV/0!</v>
      </c>
      <c r="J179" s="52" t="e">
        <f t="shared" si="50"/>
        <v>#DIV/0!</v>
      </c>
      <c r="K179" s="51" t="e">
        <f t="shared" si="60"/>
        <v>#DIV/0!</v>
      </c>
      <c r="L179" s="49" t="e">
        <f t="shared" si="56"/>
        <v>#DIV/0!</v>
      </c>
      <c r="M179" s="49">
        <f t="shared" si="65"/>
        <v>0</v>
      </c>
      <c r="N179" s="49">
        <f t="shared" si="64"/>
        <v>0</v>
      </c>
      <c r="O179" s="48" t="e">
        <f t="shared" si="51"/>
        <v>#DIV/0!</v>
      </c>
      <c r="P179" s="38" t="e">
        <f t="shared" si="47"/>
        <v>#DIV/0!</v>
      </c>
      <c r="Q179" s="53"/>
      <c r="R179" s="53">
        <f t="shared" si="57"/>
        <v>0</v>
      </c>
      <c r="S179" s="53">
        <f t="shared" si="58"/>
        <v>0</v>
      </c>
      <c r="T179" s="53">
        <f t="shared" si="59"/>
        <v>0.05</v>
      </c>
      <c r="U179" s="53">
        <f t="shared" si="61"/>
        <v>4.2653187775606449E-3</v>
      </c>
    </row>
    <row r="180" spans="1:21" x14ac:dyDescent="0.2">
      <c r="A180" s="62" t="e">
        <f t="shared" si="48"/>
        <v>#DIV/0!</v>
      </c>
      <c r="B180" s="45">
        <f t="shared" si="52"/>
        <v>166</v>
      </c>
      <c r="C180" s="51" t="e">
        <f t="shared" si="53"/>
        <v>#DIV/0!</v>
      </c>
      <c r="D180" s="47" t="e" cm="1">
        <f t="array" ref="D180">_xlfn.IFS(AND($C$7="Y",B180&lt;C$4),C180,AND($C$7="Y",B180=C$4),D179+F180-J180-K180-L180+N180,AND($C$7="Y",B180&gt;$C$4),D179-J180-K180-L180+N180, TRUE, D179-J180-K180-L180+N180)</f>
        <v>#DIV/0!</v>
      </c>
      <c r="E180" s="48">
        <f t="shared" si="54"/>
        <v>0</v>
      </c>
      <c r="F180" s="50">
        <f t="shared" si="55"/>
        <v>0</v>
      </c>
      <c r="G180" s="50">
        <f t="shared" si="62"/>
        <v>0</v>
      </c>
      <c r="H180" s="51" t="e">
        <f t="shared" si="63"/>
        <v>#DIV/0!</v>
      </c>
      <c r="I180" s="52" t="e">
        <f t="shared" si="49"/>
        <v>#DIV/0!</v>
      </c>
      <c r="J180" s="52" t="e">
        <f t="shared" si="50"/>
        <v>#DIV/0!</v>
      </c>
      <c r="K180" s="51" t="e">
        <f t="shared" si="60"/>
        <v>#DIV/0!</v>
      </c>
      <c r="L180" s="49" t="e">
        <f t="shared" si="56"/>
        <v>#DIV/0!</v>
      </c>
      <c r="M180" s="49">
        <f t="shared" si="65"/>
        <v>0</v>
      </c>
      <c r="N180" s="49">
        <f t="shared" si="64"/>
        <v>0</v>
      </c>
      <c r="O180" s="48" t="e">
        <f t="shared" si="51"/>
        <v>#DIV/0!</v>
      </c>
      <c r="P180" s="38" t="e">
        <f t="shared" si="47"/>
        <v>#DIV/0!</v>
      </c>
      <c r="Q180" s="53"/>
      <c r="R180" s="53">
        <f t="shared" si="57"/>
        <v>0</v>
      </c>
      <c r="S180" s="53">
        <f t="shared" si="58"/>
        <v>0</v>
      </c>
      <c r="T180" s="53">
        <f t="shared" si="59"/>
        <v>0.05</v>
      </c>
      <c r="U180" s="53">
        <f t="shared" si="61"/>
        <v>4.2653187775606449E-3</v>
      </c>
    </row>
    <row r="181" spans="1:21" x14ac:dyDescent="0.2">
      <c r="A181" s="62" t="e">
        <f t="shared" si="48"/>
        <v>#DIV/0!</v>
      </c>
      <c r="B181" s="45">
        <f t="shared" si="52"/>
        <v>167</v>
      </c>
      <c r="C181" s="51" t="e">
        <f t="shared" si="53"/>
        <v>#DIV/0!</v>
      </c>
      <c r="D181" s="47" t="e" cm="1">
        <f t="array" ref="D181">_xlfn.IFS(AND($C$7="Y",B181&lt;C$4),C181,AND($C$7="Y",B181=C$4),D180+F181-J181-K181-L181+N181,AND($C$7="Y",B181&gt;$C$4),D180-J181-K181-L181+N181, TRUE, D180-J181-K181-L181+N181)</f>
        <v>#DIV/0!</v>
      </c>
      <c r="E181" s="48">
        <f t="shared" si="54"/>
        <v>0</v>
      </c>
      <c r="F181" s="50">
        <f t="shared" si="55"/>
        <v>0</v>
      </c>
      <c r="G181" s="50">
        <f t="shared" si="62"/>
        <v>0</v>
      </c>
      <c r="H181" s="51" t="e">
        <f t="shared" si="63"/>
        <v>#DIV/0!</v>
      </c>
      <c r="I181" s="52" t="e">
        <f t="shared" si="49"/>
        <v>#DIV/0!</v>
      </c>
      <c r="J181" s="52" t="e">
        <f t="shared" si="50"/>
        <v>#DIV/0!</v>
      </c>
      <c r="K181" s="51" t="e">
        <f t="shared" si="60"/>
        <v>#DIV/0!</v>
      </c>
      <c r="L181" s="49" t="e">
        <f t="shared" si="56"/>
        <v>#DIV/0!</v>
      </c>
      <c r="M181" s="49">
        <f t="shared" si="65"/>
        <v>0</v>
      </c>
      <c r="N181" s="49">
        <f t="shared" si="64"/>
        <v>0</v>
      </c>
      <c r="O181" s="48" t="e">
        <f t="shared" si="51"/>
        <v>#DIV/0!</v>
      </c>
      <c r="P181" s="38" t="e">
        <f t="shared" si="47"/>
        <v>#DIV/0!</v>
      </c>
      <c r="Q181" s="53"/>
      <c r="R181" s="53">
        <f t="shared" si="57"/>
        <v>0</v>
      </c>
      <c r="S181" s="53">
        <f t="shared" si="58"/>
        <v>0</v>
      </c>
      <c r="T181" s="53">
        <f t="shared" si="59"/>
        <v>0.05</v>
      </c>
      <c r="U181" s="53">
        <f t="shared" si="61"/>
        <v>4.2653187775606449E-3</v>
      </c>
    </row>
    <row r="182" spans="1:21" x14ac:dyDescent="0.2">
      <c r="A182" s="62" t="e">
        <f t="shared" si="48"/>
        <v>#DIV/0!</v>
      </c>
      <c r="B182" s="45">
        <f t="shared" si="52"/>
        <v>168</v>
      </c>
      <c r="C182" s="51" t="e">
        <f t="shared" si="53"/>
        <v>#DIV/0!</v>
      </c>
      <c r="D182" s="47" t="e" cm="1">
        <f t="array" ref="D182">_xlfn.IFS(AND($C$7="Y",B182&lt;C$4),C182,AND($C$7="Y",B182=C$4),D181+F182-J182-K182-L182+N182,AND($C$7="Y",B182&gt;$C$4),D181-J182-K182-L182+N182, TRUE, D181-J182-K182-L182+N182)</f>
        <v>#DIV/0!</v>
      </c>
      <c r="E182" s="48">
        <f t="shared" si="54"/>
        <v>0</v>
      </c>
      <c r="F182" s="50">
        <f t="shared" si="55"/>
        <v>0</v>
      </c>
      <c r="G182" s="50">
        <f t="shared" si="62"/>
        <v>0</v>
      </c>
      <c r="H182" s="51" t="e">
        <f t="shared" si="63"/>
        <v>#DIV/0!</v>
      </c>
      <c r="I182" s="52" t="e">
        <f t="shared" si="49"/>
        <v>#DIV/0!</v>
      </c>
      <c r="J182" s="52" t="e">
        <f t="shared" si="50"/>
        <v>#DIV/0!</v>
      </c>
      <c r="K182" s="51" t="e">
        <f t="shared" si="60"/>
        <v>#DIV/0!</v>
      </c>
      <c r="L182" s="49" t="e">
        <f t="shared" si="56"/>
        <v>#DIV/0!</v>
      </c>
      <c r="M182" s="49">
        <f t="shared" si="65"/>
        <v>0</v>
      </c>
      <c r="N182" s="49">
        <f t="shared" si="64"/>
        <v>0</v>
      </c>
      <c r="O182" s="48" t="e">
        <f t="shared" si="51"/>
        <v>#DIV/0!</v>
      </c>
      <c r="P182" s="38" t="e">
        <f t="shared" si="47"/>
        <v>#DIV/0!</v>
      </c>
      <c r="Q182" s="53"/>
      <c r="R182" s="53">
        <f t="shared" si="57"/>
        <v>0</v>
      </c>
      <c r="S182" s="53">
        <f t="shared" si="58"/>
        <v>0</v>
      </c>
      <c r="T182" s="53">
        <f t="shared" si="59"/>
        <v>0.05</v>
      </c>
      <c r="U182" s="53">
        <f t="shared" si="61"/>
        <v>4.2653187775606449E-3</v>
      </c>
    </row>
    <row r="183" spans="1:21" x14ac:dyDescent="0.2">
      <c r="A183" s="62" t="e">
        <f t="shared" si="48"/>
        <v>#DIV/0!</v>
      </c>
      <c r="B183" s="45">
        <f t="shared" si="52"/>
        <v>169</v>
      </c>
      <c r="C183" s="51" t="e">
        <f t="shared" si="53"/>
        <v>#DIV/0!</v>
      </c>
      <c r="D183" s="47" t="e" cm="1">
        <f t="array" ref="D183">_xlfn.IFS(AND($C$7="Y",B183&lt;C$4),C183,AND($C$7="Y",B183=C$4),D182+F183-J183-K183-L183+N183,AND($C$7="Y",B183&gt;$C$4),D182-J183-K183-L183+N183, TRUE, D182-J183-K183-L183+N183)</f>
        <v>#DIV/0!</v>
      </c>
      <c r="E183" s="48">
        <f t="shared" si="54"/>
        <v>0</v>
      </c>
      <c r="F183" s="50">
        <f t="shared" si="55"/>
        <v>0</v>
      </c>
      <c r="G183" s="50">
        <f t="shared" si="62"/>
        <v>0</v>
      </c>
      <c r="H183" s="51" t="e">
        <f t="shared" si="63"/>
        <v>#DIV/0!</v>
      </c>
      <c r="I183" s="52" t="e">
        <f t="shared" si="49"/>
        <v>#DIV/0!</v>
      </c>
      <c r="J183" s="52" t="e">
        <f t="shared" si="50"/>
        <v>#DIV/0!</v>
      </c>
      <c r="K183" s="51" t="e">
        <f t="shared" si="60"/>
        <v>#DIV/0!</v>
      </c>
      <c r="L183" s="49" t="e">
        <f t="shared" si="56"/>
        <v>#DIV/0!</v>
      </c>
      <c r="M183" s="49">
        <f t="shared" si="65"/>
        <v>0</v>
      </c>
      <c r="N183" s="49">
        <f t="shared" si="64"/>
        <v>0</v>
      </c>
      <c r="O183" s="48" t="e">
        <f t="shared" si="51"/>
        <v>#DIV/0!</v>
      </c>
      <c r="P183" s="38" t="e">
        <f t="shared" si="47"/>
        <v>#DIV/0!</v>
      </c>
      <c r="Q183" s="53"/>
      <c r="R183" s="53">
        <f t="shared" si="57"/>
        <v>0</v>
      </c>
      <c r="S183" s="53">
        <f t="shared" si="58"/>
        <v>0</v>
      </c>
      <c r="T183" s="53">
        <f t="shared" si="59"/>
        <v>0.05</v>
      </c>
      <c r="U183" s="53">
        <f t="shared" si="61"/>
        <v>4.2653187775606449E-3</v>
      </c>
    </row>
    <row r="184" spans="1:21" x14ac:dyDescent="0.2">
      <c r="A184" s="62" t="e">
        <f t="shared" si="48"/>
        <v>#DIV/0!</v>
      </c>
      <c r="B184" s="45">
        <f t="shared" si="52"/>
        <v>170</v>
      </c>
      <c r="C184" s="51" t="e">
        <f t="shared" si="53"/>
        <v>#DIV/0!</v>
      </c>
      <c r="D184" s="47" t="e" cm="1">
        <f t="array" ref="D184">_xlfn.IFS(AND($C$7="Y",B184&lt;C$4),C184,AND($C$7="Y",B184=C$4),D183+F184-J184-K184-L184+N184,AND($C$7="Y",B184&gt;$C$4),D183-J184-K184-L184+N184, TRUE, D183-J184-K184-L184+N184)</f>
        <v>#DIV/0!</v>
      </c>
      <c r="E184" s="48">
        <f t="shared" si="54"/>
        <v>0</v>
      </c>
      <c r="F184" s="50">
        <f t="shared" si="55"/>
        <v>0</v>
      </c>
      <c r="G184" s="50">
        <f t="shared" si="62"/>
        <v>0</v>
      </c>
      <c r="H184" s="51" t="e">
        <f t="shared" si="63"/>
        <v>#DIV/0!</v>
      </c>
      <c r="I184" s="52" t="e">
        <f t="shared" si="49"/>
        <v>#DIV/0!</v>
      </c>
      <c r="J184" s="52" t="e">
        <f t="shared" si="50"/>
        <v>#DIV/0!</v>
      </c>
      <c r="K184" s="51" t="e">
        <f t="shared" si="60"/>
        <v>#DIV/0!</v>
      </c>
      <c r="L184" s="49" t="e">
        <f t="shared" si="56"/>
        <v>#DIV/0!</v>
      </c>
      <c r="M184" s="49">
        <f t="shared" si="65"/>
        <v>0</v>
      </c>
      <c r="N184" s="49">
        <f t="shared" si="64"/>
        <v>0</v>
      </c>
      <c r="O184" s="48" t="e">
        <f t="shared" si="51"/>
        <v>#DIV/0!</v>
      </c>
      <c r="P184" s="38" t="e">
        <f t="shared" si="47"/>
        <v>#DIV/0!</v>
      </c>
      <c r="Q184" s="53"/>
      <c r="R184" s="53">
        <f t="shared" si="57"/>
        <v>0</v>
      </c>
      <c r="S184" s="53">
        <f t="shared" si="58"/>
        <v>0</v>
      </c>
      <c r="T184" s="53">
        <f t="shared" si="59"/>
        <v>0.05</v>
      </c>
      <c r="U184" s="53">
        <f t="shared" si="61"/>
        <v>4.2653187775606449E-3</v>
      </c>
    </row>
    <row r="185" spans="1:21" x14ac:dyDescent="0.2">
      <c r="A185" s="62" t="e">
        <f t="shared" si="48"/>
        <v>#DIV/0!</v>
      </c>
      <c r="B185" s="45">
        <f t="shared" si="52"/>
        <v>171</v>
      </c>
      <c r="C185" s="51" t="e">
        <f t="shared" si="53"/>
        <v>#DIV/0!</v>
      </c>
      <c r="D185" s="47" t="e" cm="1">
        <f t="array" ref="D185">_xlfn.IFS(AND($C$7="Y",B185&lt;C$4),C185,AND($C$7="Y",B185=C$4),D184+F185-J185-K185-L185+N185,AND($C$7="Y",B185&gt;$C$4),D184-J185-K185-L185+N185, TRUE, D184-J185-K185-L185+N185)</f>
        <v>#DIV/0!</v>
      </c>
      <c r="E185" s="48">
        <f t="shared" si="54"/>
        <v>0</v>
      </c>
      <c r="F185" s="50">
        <f t="shared" si="55"/>
        <v>0</v>
      </c>
      <c r="G185" s="50">
        <f t="shared" si="62"/>
        <v>0</v>
      </c>
      <c r="H185" s="51" t="e">
        <f t="shared" si="63"/>
        <v>#DIV/0!</v>
      </c>
      <c r="I185" s="52" t="e">
        <f t="shared" si="49"/>
        <v>#DIV/0!</v>
      </c>
      <c r="J185" s="52" t="e">
        <f t="shared" si="50"/>
        <v>#DIV/0!</v>
      </c>
      <c r="K185" s="51" t="e">
        <f t="shared" si="60"/>
        <v>#DIV/0!</v>
      </c>
      <c r="L185" s="49" t="e">
        <f t="shared" si="56"/>
        <v>#DIV/0!</v>
      </c>
      <c r="M185" s="49">
        <f t="shared" si="65"/>
        <v>0</v>
      </c>
      <c r="N185" s="49">
        <f t="shared" si="64"/>
        <v>0</v>
      </c>
      <c r="O185" s="48" t="e">
        <f t="shared" si="51"/>
        <v>#DIV/0!</v>
      </c>
      <c r="P185" s="38" t="e">
        <f t="shared" si="47"/>
        <v>#DIV/0!</v>
      </c>
      <c r="Q185" s="53"/>
      <c r="R185" s="53">
        <f t="shared" si="57"/>
        <v>0</v>
      </c>
      <c r="S185" s="53">
        <f t="shared" si="58"/>
        <v>0</v>
      </c>
      <c r="T185" s="53">
        <f t="shared" si="59"/>
        <v>0.05</v>
      </c>
      <c r="U185" s="53">
        <f t="shared" si="61"/>
        <v>4.2653187775606449E-3</v>
      </c>
    </row>
    <row r="186" spans="1:21" x14ac:dyDescent="0.2">
      <c r="A186" s="62" t="e">
        <f t="shared" si="48"/>
        <v>#DIV/0!</v>
      </c>
      <c r="B186" s="45">
        <f t="shared" si="52"/>
        <v>172</v>
      </c>
      <c r="C186" s="51" t="e">
        <f t="shared" si="53"/>
        <v>#DIV/0!</v>
      </c>
      <c r="D186" s="47" t="e" cm="1">
        <f t="array" ref="D186">_xlfn.IFS(AND($C$7="Y",B186&lt;C$4),C186,AND($C$7="Y",B186=C$4),D185+F186-J186-K186-L186+N186,AND($C$7="Y",B186&gt;$C$4),D185-J186-K186-L186+N186, TRUE, D185-J186-K186-L186+N186)</f>
        <v>#DIV/0!</v>
      </c>
      <c r="E186" s="48">
        <f t="shared" si="54"/>
        <v>0</v>
      </c>
      <c r="F186" s="50">
        <f t="shared" si="55"/>
        <v>0</v>
      </c>
      <c r="G186" s="50">
        <f t="shared" si="62"/>
        <v>0</v>
      </c>
      <c r="H186" s="51" t="e">
        <f t="shared" si="63"/>
        <v>#DIV/0!</v>
      </c>
      <c r="I186" s="52" t="e">
        <f t="shared" si="49"/>
        <v>#DIV/0!</v>
      </c>
      <c r="J186" s="52" t="e">
        <f t="shared" si="50"/>
        <v>#DIV/0!</v>
      </c>
      <c r="K186" s="51" t="e">
        <f t="shared" si="60"/>
        <v>#DIV/0!</v>
      </c>
      <c r="L186" s="49" t="e">
        <f t="shared" si="56"/>
        <v>#DIV/0!</v>
      </c>
      <c r="M186" s="49">
        <f t="shared" si="65"/>
        <v>0</v>
      </c>
      <c r="N186" s="49">
        <f t="shared" si="64"/>
        <v>0</v>
      </c>
      <c r="O186" s="48" t="e">
        <f t="shared" si="51"/>
        <v>#DIV/0!</v>
      </c>
      <c r="P186" s="38" t="e">
        <f t="shared" si="47"/>
        <v>#DIV/0!</v>
      </c>
      <c r="Q186" s="53"/>
      <c r="R186" s="53">
        <f t="shared" si="57"/>
        <v>0</v>
      </c>
      <c r="S186" s="53">
        <f t="shared" si="58"/>
        <v>0</v>
      </c>
      <c r="T186" s="53">
        <f t="shared" si="59"/>
        <v>0.05</v>
      </c>
      <c r="U186" s="53">
        <f t="shared" si="61"/>
        <v>4.2653187775606449E-3</v>
      </c>
    </row>
    <row r="187" spans="1:21" x14ac:dyDescent="0.2">
      <c r="A187" s="62" t="e">
        <f t="shared" si="48"/>
        <v>#DIV/0!</v>
      </c>
      <c r="B187" s="45">
        <f t="shared" si="52"/>
        <v>173</v>
      </c>
      <c r="C187" s="51" t="e">
        <f t="shared" si="53"/>
        <v>#DIV/0!</v>
      </c>
      <c r="D187" s="47" t="e" cm="1">
        <f t="array" ref="D187">_xlfn.IFS(AND($C$7="Y",B187&lt;C$4),C187,AND($C$7="Y",B187=C$4),D186+F187-J187-K187-L187+N187,AND($C$7="Y",B187&gt;$C$4),D186-J187-K187-L187+N187, TRUE, D186-J187-K187-L187+N187)</f>
        <v>#DIV/0!</v>
      </c>
      <c r="E187" s="48">
        <f t="shared" si="54"/>
        <v>0</v>
      </c>
      <c r="F187" s="50">
        <f t="shared" si="55"/>
        <v>0</v>
      </c>
      <c r="G187" s="50">
        <f t="shared" si="62"/>
        <v>0</v>
      </c>
      <c r="H187" s="51" t="e">
        <f t="shared" si="63"/>
        <v>#DIV/0!</v>
      </c>
      <c r="I187" s="52" t="e">
        <f t="shared" si="49"/>
        <v>#DIV/0!</v>
      </c>
      <c r="J187" s="52" t="e">
        <f t="shared" si="50"/>
        <v>#DIV/0!</v>
      </c>
      <c r="K187" s="51" t="e">
        <f t="shared" si="60"/>
        <v>#DIV/0!</v>
      </c>
      <c r="L187" s="49" t="e">
        <f t="shared" si="56"/>
        <v>#DIV/0!</v>
      </c>
      <c r="M187" s="49">
        <f t="shared" si="65"/>
        <v>0</v>
      </c>
      <c r="N187" s="49">
        <f t="shared" si="64"/>
        <v>0</v>
      </c>
      <c r="O187" s="48" t="e">
        <f t="shared" si="51"/>
        <v>#DIV/0!</v>
      </c>
      <c r="P187" s="38" t="e">
        <f t="shared" si="47"/>
        <v>#DIV/0!</v>
      </c>
      <c r="Q187" s="53"/>
      <c r="R187" s="53">
        <f t="shared" si="57"/>
        <v>0</v>
      </c>
      <c r="S187" s="53">
        <f t="shared" si="58"/>
        <v>0</v>
      </c>
      <c r="T187" s="53">
        <f t="shared" si="59"/>
        <v>0.05</v>
      </c>
      <c r="U187" s="53">
        <f t="shared" si="61"/>
        <v>4.2653187775606449E-3</v>
      </c>
    </row>
    <row r="188" spans="1:21" x14ac:dyDescent="0.2">
      <c r="A188" s="62" t="e">
        <f t="shared" si="48"/>
        <v>#DIV/0!</v>
      </c>
      <c r="B188" s="45">
        <f t="shared" si="52"/>
        <v>174</v>
      </c>
      <c r="C188" s="51" t="e">
        <f t="shared" si="53"/>
        <v>#DIV/0!</v>
      </c>
      <c r="D188" s="47" t="e" cm="1">
        <f t="array" ref="D188">_xlfn.IFS(AND($C$7="Y",B188&lt;C$4),C188,AND($C$7="Y",B188=C$4),D187+F188-J188-K188-L188+N188,AND($C$7="Y",B188&gt;$C$4),D187-J188-K188-L188+N188, TRUE, D187-J188-K188-L188+N188)</f>
        <v>#DIV/0!</v>
      </c>
      <c r="E188" s="48">
        <f t="shared" si="54"/>
        <v>0</v>
      </c>
      <c r="F188" s="50">
        <f t="shared" si="55"/>
        <v>0</v>
      </c>
      <c r="G188" s="50">
        <f t="shared" si="62"/>
        <v>0</v>
      </c>
      <c r="H188" s="51" t="e">
        <f t="shared" si="63"/>
        <v>#DIV/0!</v>
      </c>
      <c r="I188" s="52" t="e">
        <f t="shared" si="49"/>
        <v>#DIV/0!</v>
      </c>
      <c r="J188" s="52" t="e">
        <f t="shared" si="50"/>
        <v>#DIV/0!</v>
      </c>
      <c r="K188" s="51" t="e">
        <f t="shared" si="60"/>
        <v>#DIV/0!</v>
      </c>
      <c r="L188" s="49" t="e">
        <f t="shared" si="56"/>
        <v>#DIV/0!</v>
      </c>
      <c r="M188" s="49">
        <f t="shared" si="65"/>
        <v>0</v>
      </c>
      <c r="N188" s="49">
        <f t="shared" si="64"/>
        <v>0</v>
      </c>
      <c r="O188" s="48" t="e">
        <f t="shared" si="51"/>
        <v>#DIV/0!</v>
      </c>
      <c r="P188" s="38" t="e">
        <f t="shared" si="47"/>
        <v>#DIV/0!</v>
      </c>
      <c r="Q188" s="53"/>
      <c r="R188" s="53">
        <f t="shared" si="57"/>
        <v>0</v>
      </c>
      <c r="S188" s="53">
        <f t="shared" si="58"/>
        <v>0</v>
      </c>
      <c r="T188" s="53">
        <f t="shared" si="59"/>
        <v>0.05</v>
      </c>
      <c r="U188" s="53">
        <f t="shared" si="61"/>
        <v>4.2653187775606449E-3</v>
      </c>
    </row>
    <row r="189" spans="1:21" x14ac:dyDescent="0.2">
      <c r="A189" s="62" t="e">
        <f t="shared" si="48"/>
        <v>#DIV/0!</v>
      </c>
      <c r="B189" s="45">
        <f t="shared" si="52"/>
        <v>175</v>
      </c>
      <c r="C189" s="51" t="e">
        <f t="shared" si="53"/>
        <v>#DIV/0!</v>
      </c>
      <c r="D189" s="47" t="e" cm="1">
        <f t="array" ref="D189">_xlfn.IFS(AND($C$7="Y",B189&lt;C$4),C189,AND($C$7="Y",B189=C$4),D188+F189-J189-K189-L189+N189,AND($C$7="Y",B189&gt;$C$4),D188-J189-K189-L189+N189, TRUE, D188-J189-K189-L189+N189)</f>
        <v>#DIV/0!</v>
      </c>
      <c r="E189" s="48">
        <f t="shared" si="54"/>
        <v>0</v>
      </c>
      <c r="F189" s="50">
        <f t="shared" si="55"/>
        <v>0</v>
      </c>
      <c r="G189" s="50">
        <f t="shared" si="62"/>
        <v>0</v>
      </c>
      <c r="H189" s="51" t="e">
        <f t="shared" si="63"/>
        <v>#DIV/0!</v>
      </c>
      <c r="I189" s="52" t="e">
        <f t="shared" si="49"/>
        <v>#DIV/0!</v>
      </c>
      <c r="J189" s="52" t="e">
        <f t="shared" si="50"/>
        <v>#DIV/0!</v>
      </c>
      <c r="K189" s="51" t="e">
        <f t="shared" si="60"/>
        <v>#DIV/0!</v>
      </c>
      <c r="L189" s="49" t="e">
        <f t="shared" si="56"/>
        <v>#DIV/0!</v>
      </c>
      <c r="M189" s="49">
        <f t="shared" si="65"/>
        <v>0</v>
      </c>
      <c r="N189" s="49">
        <f t="shared" si="64"/>
        <v>0</v>
      </c>
      <c r="O189" s="48" t="e">
        <f t="shared" si="51"/>
        <v>#DIV/0!</v>
      </c>
      <c r="P189" s="38" t="e">
        <f t="shared" si="47"/>
        <v>#DIV/0!</v>
      </c>
      <c r="Q189" s="53"/>
      <c r="R189" s="53">
        <f t="shared" si="57"/>
        <v>0</v>
      </c>
      <c r="S189" s="53">
        <f t="shared" si="58"/>
        <v>0</v>
      </c>
      <c r="T189" s="53">
        <f t="shared" si="59"/>
        <v>0.05</v>
      </c>
      <c r="U189" s="53">
        <f t="shared" si="61"/>
        <v>4.2653187775606449E-3</v>
      </c>
    </row>
    <row r="190" spans="1:21" x14ac:dyDescent="0.2">
      <c r="A190" s="62" t="e">
        <f t="shared" si="48"/>
        <v>#DIV/0!</v>
      </c>
      <c r="B190" s="45">
        <f t="shared" si="52"/>
        <v>176</v>
      </c>
      <c r="C190" s="51" t="e">
        <f t="shared" si="53"/>
        <v>#DIV/0!</v>
      </c>
      <c r="D190" s="47" t="e" cm="1">
        <f t="array" ref="D190">_xlfn.IFS(AND($C$7="Y",B190&lt;C$4),C190,AND($C$7="Y",B190=C$4),D189+F190-J190-K190-L190+N190,AND($C$7="Y",B190&gt;$C$4),D189-J190-K190-L190+N190, TRUE, D189-J190-K190-L190+N190)</f>
        <v>#DIV/0!</v>
      </c>
      <c r="E190" s="48">
        <f t="shared" si="54"/>
        <v>0</v>
      </c>
      <c r="F190" s="50">
        <f t="shared" si="55"/>
        <v>0</v>
      </c>
      <c r="G190" s="50">
        <f t="shared" si="62"/>
        <v>0</v>
      </c>
      <c r="H190" s="51" t="e">
        <f t="shared" si="63"/>
        <v>#DIV/0!</v>
      </c>
      <c r="I190" s="52" t="e">
        <f t="shared" si="49"/>
        <v>#DIV/0!</v>
      </c>
      <c r="J190" s="52" t="e">
        <f t="shared" si="50"/>
        <v>#DIV/0!</v>
      </c>
      <c r="K190" s="51" t="e">
        <f t="shared" si="60"/>
        <v>#DIV/0!</v>
      </c>
      <c r="L190" s="49" t="e">
        <f t="shared" si="56"/>
        <v>#DIV/0!</v>
      </c>
      <c r="M190" s="49">
        <f t="shared" si="65"/>
        <v>0</v>
      </c>
      <c r="N190" s="49">
        <f t="shared" si="64"/>
        <v>0</v>
      </c>
      <c r="O190" s="48" t="e">
        <f t="shared" si="51"/>
        <v>#DIV/0!</v>
      </c>
      <c r="P190" s="38" t="e">
        <f t="shared" si="47"/>
        <v>#DIV/0!</v>
      </c>
      <c r="Q190" s="53"/>
      <c r="R190" s="53">
        <f t="shared" si="57"/>
        <v>0</v>
      </c>
      <c r="S190" s="53">
        <f t="shared" si="58"/>
        <v>0</v>
      </c>
      <c r="T190" s="53">
        <f t="shared" si="59"/>
        <v>0.05</v>
      </c>
      <c r="U190" s="53">
        <f t="shared" si="61"/>
        <v>4.2653187775606449E-3</v>
      </c>
    </row>
    <row r="191" spans="1:21" x14ac:dyDescent="0.2">
      <c r="A191" s="62" t="e">
        <f t="shared" si="48"/>
        <v>#DIV/0!</v>
      </c>
      <c r="B191" s="45">
        <f t="shared" si="52"/>
        <v>177</v>
      </c>
      <c r="C191" s="51" t="e">
        <f t="shared" si="53"/>
        <v>#DIV/0!</v>
      </c>
      <c r="D191" s="47" t="e" cm="1">
        <f t="array" ref="D191">_xlfn.IFS(AND($C$7="Y",B191&lt;C$4),C191,AND($C$7="Y",B191=C$4),D190+F191-J191-K191-L191+N191,AND($C$7="Y",B191&gt;$C$4),D190-J191-K191-L191+N191, TRUE, D190-J191-K191-L191+N191)</f>
        <v>#DIV/0!</v>
      </c>
      <c r="E191" s="48">
        <f t="shared" si="54"/>
        <v>0</v>
      </c>
      <c r="F191" s="50">
        <f t="shared" si="55"/>
        <v>0</v>
      </c>
      <c r="G191" s="50">
        <f t="shared" si="62"/>
        <v>0</v>
      </c>
      <c r="H191" s="51" t="e">
        <f t="shared" si="63"/>
        <v>#DIV/0!</v>
      </c>
      <c r="I191" s="52" t="e">
        <f t="shared" si="49"/>
        <v>#DIV/0!</v>
      </c>
      <c r="J191" s="52" t="e">
        <f t="shared" si="50"/>
        <v>#DIV/0!</v>
      </c>
      <c r="K191" s="51" t="e">
        <f t="shared" si="60"/>
        <v>#DIV/0!</v>
      </c>
      <c r="L191" s="49" t="e">
        <f t="shared" si="56"/>
        <v>#DIV/0!</v>
      </c>
      <c r="M191" s="49">
        <f t="shared" si="65"/>
        <v>0</v>
      </c>
      <c r="N191" s="49">
        <f t="shared" si="64"/>
        <v>0</v>
      </c>
      <c r="O191" s="48" t="e">
        <f t="shared" si="51"/>
        <v>#DIV/0!</v>
      </c>
      <c r="P191" s="38" t="e">
        <f t="shared" si="47"/>
        <v>#DIV/0!</v>
      </c>
      <c r="Q191" s="53"/>
      <c r="R191" s="53">
        <f t="shared" si="57"/>
        <v>0</v>
      </c>
      <c r="S191" s="53">
        <f t="shared" si="58"/>
        <v>0</v>
      </c>
      <c r="T191" s="53">
        <f t="shared" si="59"/>
        <v>0.05</v>
      </c>
      <c r="U191" s="53">
        <f t="shared" si="61"/>
        <v>4.2653187775606449E-3</v>
      </c>
    </row>
    <row r="192" spans="1:21" x14ac:dyDescent="0.2">
      <c r="A192" s="62" t="e">
        <f t="shared" si="48"/>
        <v>#DIV/0!</v>
      </c>
      <c r="B192" s="45">
        <f t="shared" si="52"/>
        <v>178</v>
      </c>
      <c r="C192" s="51" t="e">
        <f t="shared" si="53"/>
        <v>#DIV/0!</v>
      </c>
      <c r="D192" s="47" t="e" cm="1">
        <f t="array" ref="D192">_xlfn.IFS(AND($C$7="Y",B192&lt;C$4),C192,AND($C$7="Y",B192=C$4),D191+F192-J192-K192-L192+N192,AND($C$7="Y",B192&gt;$C$4),D191-J192-K192-L192+N192, TRUE, D191-J192-K192-L192+N192)</f>
        <v>#DIV/0!</v>
      </c>
      <c r="E192" s="48">
        <f t="shared" si="54"/>
        <v>0</v>
      </c>
      <c r="F192" s="50">
        <f t="shared" si="55"/>
        <v>0</v>
      </c>
      <c r="G192" s="50">
        <f t="shared" si="62"/>
        <v>0</v>
      </c>
      <c r="H192" s="51" t="e">
        <f t="shared" si="63"/>
        <v>#DIV/0!</v>
      </c>
      <c r="I192" s="52" t="e">
        <f t="shared" si="49"/>
        <v>#DIV/0!</v>
      </c>
      <c r="J192" s="52" t="e">
        <f t="shared" si="50"/>
        <v>#DIV/0!</v>
      </c>
      <c r="K192" s="51" t="e">
        <f t="shared" si="60"/>
        <v>#DIV/0!</v>
      </c>
      <c r="L192" s="49" t="e">
        <f t="shared" si="56"/>
        <v>#DIV/0!</v>
      </c>
      <c r="M192" s="49">
        <f t="shared" si="65"/>
        <v>0</v>
      </c>
      <c r="N192" s="49">
        <f t="shared" si="64"/>
        <v>0</v>
      </c>
      <c r="O192" s="48" t="e">
        <f t="shared" si="51"/>
        <v>#DIV/0!</v>
      </c>
      <c r="P192" s="38" t="e">
        <f t="shared" si="47"/>
        <v>#DIV/0!</v>
      </c>
      <c r="Q192" s="53"/>
      <c r="R192" s="53">
        <f t="shared" si="57"/>
        <v>0</v>
      </c>
      <c r="S192" s="53">
        <f t="shared" si="58"/>
        <v>0</v>
      </c>
      <c r="T192" s="53">
        <f t="shared" si="59"/>
        <v>0.05</v>
      </c>
      <c r="U192" s="53">
        <f t="shared" si="61"/>
        <v>4.2653187775606449E-3</v>
      </c>
    </row>
    <row r="193" spans="1:21" x14ac:dyDescent="0.2">
      <c r="A193" s="62" t="e">
        <f t="shared" si="48"/>
        <v>#DIV/0!</v>
      </c>
      <c r="B193" s="45">
        <f t="shared" si="52"/>
        <v>179</v>
      </c>
      <c r="C193" s="51" t="e">
        <f t="shared" si="53"/>
        <v>#DIV/0!</v>
      </c>
      <c r="D193" s="47" t="e" cm="1">
        <f t="array" ref="D193">_xlfn.IFS(AND($C$7="Y",B193&lt;C$4),C193,AND($C$7="Y",B193=C$4),D192+F193-J193-K193-L193+N193,AND($C$7="Y",B193&gt;$C$4),D192-J193-K193-L193+N193, TRUE, D192-J193-K193-L193+N193)</f>
        <v>#DIV/0!</v>
      </c>
      <c r="E193" s="48">
        <f t="shared" si="54"/>
        <v>0</v>
      </c>
      <c r="F193" s="50">
        <f t="shared" si="55"/>
        <v>0</v>
      </c>
      <c r="G193" s="50">
        <f t="shared" si="62"/>
        <v>0</v>
      </c>
      <c r="H193" s="51" t="e">
        <f t="shared" si="63"/>
        <v>#DIV/0!</v>
      </c>
      <c r="I193" s="52" t="e">
        <f t="shared" si="49"/>
        <v>#DIV/0!</v>
      </c>
      <c r="J193" s="52" t="e">
        <f t="shared" si="50"/>
        <v>#DIV/0!</v>
      </c>
      <c r="K193" s="51" t="e">
        <f t="shared" si="60"/>
        <v>#DIV/0!</v>
      </c>
      <c r="L193" s="49" t="e">
        <f t="shared" si="56"/>
        <v>#DIV/0!</v>
      </c>
      <c r="M193" s="49">
        <f t="shared" si="65"/>
        <v>0</v>
      </c>
      <c r="N193" s="49">
        <f t="shared" si="64"/>
        <v>0</v>
      </c>
      <c r="O193" s="48" t="e">
        <f t="shared" si="51"/>
        <v>#DIV/0!</v>
      </c>
      <c r="P193" s="38" t="e">
        <f t="shared" si="47"/>
        <v>#DIV/0!</v>
      </c>
      <c r="Q193" s="53"/>
      <c r="R193" s="53">
        <f t="shared" si="57"/>
        <v>0</v>
      </c>
      <c r="S193" s="53">
        <f t="shared" si="58"/>
        <v>0</v>
      </c>
      <c r="T193" s="53">
        <f t="shared" si="59"/>
        <v>0.05</v>
      </c>
      <c r="U193" s="53">
        <f t="shared" si="61"/>
        <v>4.2653187775606449E-3</v>
      </c>
    </row>
    <row r="194" spans="1:21" x14ac:dyDescent="0.2">
      <c r="A194" s="62" t="e">
        <f t="shared" si="48"/>
        <v>#DIV/0!</v>
      </c>
      <c r="B194" s="45">
        <f t="shared" si="52"/>
        <v>180</v>
      </c>
      <c r="C194" s="51" t="e">
        <f t="shared" si="53"/>
        <v>#DIV/0!</v>
      </c>
      <c r="D194" s="47" t="e" cm="1">
        <f t="array" ref="D194">_xlfn.IFS(AND($C$7="Y",B194&lt;C$4),C194,AND($C$7="Y",B194=C$4),D193+F194-J194-K194-L194+N194,AND($C$7="Y",B194&gt;$C$4),D193-J194-K194-L194+N194, TRUE, D193-J194-K194-L194+N194)</f>
        <v>#DIV/0!</v>
      </c>
      <c r="E194" s="48">
        <f t="shared" si="54"/>
        <v>0</v>
      </c>
      <c r="F194" s="50">
        <f t="shared" si="55"/>
        <v>0</v>
      </c>
      <c r="G194" s="50">
        <f t="shared" si="62"/>
        <v>0</v>
      </c>
      <c r="H194" s="51" t="e">
        <f t="shared" si="63"/>
        <v>#DIV/0!</v>
      </c>
      <c r="I194" s="52" t="e">
        <f t="shared" si="49"/>
        <v>#DIV/0!</v>
      </c>
      <c r="J194" s="52" t="e">
        <f t="shared" si="50"/>
        <v>#DIV/0!</v>
      </c>
      <c r="K194" s="51" t="e">
        <f t="shared" si="60"/>
        <v>#DIV/0!</v>
      </c>
      <c r="L194" s="49" t="e">
        <f t="shared" si="56"/>
        <v>#DIV/0!</v>
      </c>
      <c r="M194" s="49">
        <f t="shared" si="65"/>
        <v>0</v>
      </c>
      <c r="N194" s="49">
        <f t="shared" si="64"/>
        <v>0</v>
      </c>
      <c r="O194" s="48" t="e">
        <f t="shared" si="51"/>
        <v>#DIV/0!</v>
      </c>
      <c r="P194" s="38" t="e">
        <f t="shared" si="47"/>
        <v>#DIV/0!</v>
      </c>
      <c r="Q194" s="53"/>
      <c r="R194" s="53">
        <f t="shared" si="57"/>
        <v>0</v>
      </c>
      <c r="S194" s="53">
        <f t="shared" si="58"/>
        <v>0</v>
      </c>
      <c r="T194" s="53">
        <f t="shared" si="59"/>
        <v>0.05</v>
      </c>
      <c r="U194" s="53">
        <f t="shared" si="61"/>
        <v>4.2653187775606449E-3</v>
      </c>
    </row>
    <row r="195" spans="1:21" x14ac:dyDescent="0.2">
      <c r="A195" s="62" t="e">
        <f t="shared" si="48"/>
        <v>#DIV/0!</v>
      </c>
      <c r="B195" s="45">
        <f t="shared" si="52"/>
        <v>181</v>
      </c>
      <c r="C195" s="51" t="e">
        <f t="shared" si="53"/>
        <v>#DIV/0!</v>
      </c>
      <c r="D195" s="47" t="e" cm="1">
        <f t="array" ref="D195">_xlfn.IFS(AND($C$7="Y",B195&lt;C$4),C195,AND($C$7="Y",B195=C$4),D194+F195-J195-K195-L195+N195,AND($C$7="Y",B195&gt;$C$4),D194-J195-K195-L195+N195, TRUE, D194-J195-K195-L195+N195)</f>
        <v>#DIV/0!</v>
      </c>
      <c r="E195" s="48">
        <f t="shared" si="54"/>
        <v>0</v>
      </c>
      <c r="F195" s="50">
        <f t="shared" si="55"/>
        <v>0</v>
      </c>
      <c r="G195" s="50">
        <f t="shared" si="62"/>
        <v>0</v>
      </c>
      <c r="H195" s="51" t="e">
        <f t="shared" si="63"/>
        <v>#DIV/0!</v>
      </c>
      <c r="I195" s="52" t="e">
        <f t="shared" si="49"/>
        <v>#DIV/0!</v>
      </c>
      <c r="J195" s="52" t="e">
        <f t="shared" si="50"/>
        <v>#DIV/0!</v>
      </c>
      <c r="K195" s="51" t="e">
        <f t="shared" si="60"/>
        <v>#DIV/0!</v>
      </c>
      <c r="L195" s="49" t="e">
        <f t="shared" si="56"/>
        <v>#DIV/0!</v>
      </c>
      <c r="M195" s="49">
        <f t="shared" si="65"/>
        <v>0</v>
      </c>
      <c r="N195" s="49">
        <f t="shared" si="64"/>
        <v>0</v>
      </c>
      <c r="O195" s="48" t="e">
        <f t="shared" si="51"/>
        <v>#DIV/0!</v>
      </c>
      <c r="P195" s="38" t="e">
        <f t="shared" si="47"/>
        <v>#DIV/0!</v>
      </c>
      <c r="Q195" s="53"/>
      <c r="R195" s="53">
        <f t="shared" si="57"/>
        <v>0</v>
      </c>
      <c r="S195" s="53">
        <f t="shared" si="58"/>
        <v>0</v>
      </c>
      <c r="T195" s="53">
        <f t="shared" si="59"/>
        <v>0.05</v>
      </c>
      <c r="U195" s="53">
        <f t="shared" si="61"/>
        <v>4.2653187775606449E-3</v>
      </c>
    </row>
    <row r="196" spans="1:21" x14ac:dyDescent="0.2">
      <c r="A196" s="62" t="e">
        <f t="shared" si="48"/>
        <v>#DIV/0!</v>
      </c>
      <c r="B196" s="45">
        <f t="shared" si="52"/>
        <v>182</v>
      </c>
      <c r="C196" s="51" t="e">
        <f t="shared" si="53"/>
        <v>#DIV/0!</v>
      </c>
      <c r="D196" s="47" t="e" cm="1">
        <f t="array" ref="D196">_xlfn.IFS(AND($C$7="Y",B196&lt;C$4),C196,AND($C$7="Y",B196=C$4),D195+F196-J196-K196-L196+N196,AND($C$7="Y",B196&gt;$C$4),D195-J196-K196-L196+N196, TRUE, D195-J196-K196-L196+N196)</f>
        <v>#DIV/0!</v>
      </c>
      <c r="E196" s="48">
        <f t="shared" si="54"/>
        <v>0</v>
      </c>
      <c r="F196" s="50">
        <f t="shared" si="55"/>
        <v>0</v>
      </c>
      <c r="G196" s="50">
        <f t="shared" si="62"/>
        <v>0</v>
      </c>
      <c r="H196" s="51" t="e">
        <f t="shared" si="63"/>
        <v>#DIV/0!</v>
      </c>
      <c r="I196" s="52" t="e">
        <f t="shared" si="49"/>
        <v>#DIV/0!</v>
      </c>
      <c r="J196" s="52" t="e">
        <f t="shared" si="50"/>
        <v>#DIV/0!</v>
      </c>
      <c r="K196" s="51" t="e">
        <f t="shared" si="60"/>
        <v>#DIV/0!</v>
      </c>
      <c r="L196" s="49" t="e">
        <f t="shared" si="56"/>
        <v>#DIV/0!</v>
      </c>
      <c r="M196" s="49">
        <f t="shared" si="65"/>
        <v>0</v>
      </c>
      <c r="N196" s="49">
        <f t="shared" si="64"/>
        <v>0</v>
      </c>
      <c r="O196" s="48" t="e">
        <f t="shared" si="51"/>
        <v>#DIV/0!</v>
      </c>
      <c r="P196" s="38" t="e">
        <f t="shared" si="47"/>
        <v>#DIV/0!</v>
      </c>
      <c r="Q196" s="53"/>
      <c r="R196" s="53">
        <f t="shared" si="57"/>
        <v>0</v>
      </c>
      <c r="S196" s="53">
        <f t="shared" si="58"/>
        <v>0</v>
      </c>
      <c r="T196" s="53">
        <f t="shared" si="59"/>
        <v>0.05</v>
      </c>
      <c r="U196" s="53">
        <f t="shared" si="61"/>
        <v>4.2653187775606449E-3</v>
      </c>
    </row>
    <row r="197" spans="1:21" x14ac:dyDescent="0.2">
      <c r="A197" s="62" t="e">
        <f t="shared" si="48"/>
        <v>#DIV/0!</v>
      </c>
      <c r="B197" s="45">
        <f t="shared" si="52"/>
        <v>183</v>
      </c>
      <c r="C197" s="51" t="e">
        <f t="shared" si="53"/>
        <v>#DIV/0!</v>
      </c>
      <c r="D197" s="47" t="e" cm="1">
        <f t="array" ref="D197">_xlfn.IFS(AND($C$7="Y",B197&lt;C$4),C197,AND($C$7="Y",B197=C$4),D196+F197-J197-K197-L197+N197,AND($C$7="Y",B197&gt;$C$4),D196-J197-K197-L197+N197, TRUE, D196-J197-K197-L197+N197)</f>
        <v>#DIV/0!</v>
      </c>
      <c r="E197" s="48">
        <f t="shared" si="54"/>
        <v>0</v>
      </c>
      <c r="F197" s="50">
        <f t="shared" si="55"/>
        <v>0</v>
      </c>
      <c r="G197" s="50">
        <f t="shared" si="62"/>
        <v>0</v>
      </c>
      <c r="H197" s="51" t="e">
        <f t="shared" si="63"/>
        <v>#DIV/0!</v>
      </c>
      <c r="I197" s="52" t="e">
        <f t="shared" si="49"/>
        <v>#DIV/0!</v>
      </c>
      <c r="J197" s="52" t="e">
        <f t="shared" si="50"/>
        <v>#DIV/0!</v>
      </c>
      <c r="K197" s="51" t="e">
        <f t="shared" si="60"/>
        <v>#DIV/0!</v>
      </c>
      <c r="L197" s="49" t="e">
        <f t="shared" si="56"/>
        <v>#DIV/0!</v>
      </c>
      <c r="M197" s="49">
        <f t="shared" si="65"/>
        <v>0</v>
      </c>
      <c r="N197" s="49">
        <f t="shared" si="64"/>
        <v>0</v>
      </c>
      <c r="O197" s="48" t="e">
        <f t="shared" si="51"/>
        <v>#DIV/0!</v>
      </c>
      <c r="P197" s="38" t="e">
        <f t="shared" si="47"/>
        <v>#DIV/0!</v>
      </c>
      <c r="Q197" s="53"/>
      <c r="R197" s="53">
        <f t="shared" si="57"/>
        <v>0</v>
      </c>
      <c r="S197" s="53">
        <f t="shared" si="58"/>
        <v>0</v>
      </c>
      <c r="T197" s="53">
        <f t="shared" si="59"/>
        <v>0.05</v>
      </c>
      <c r="U197" s="53">
        <f t="shared" si="61"/>
        <v>4.2653187775606449E-3</v>
      </c>
    </row>
    <row r="198" spans="1:21" x14ac:dyDescent="0.2">
      <c r="A198" s="62" t="e">
        <f t="shared" si="48"/>
        <v>#DIV/0!</v>
      </c>
      <c r="B198" s="45">
        <f t="shared" si="52"/>
        <v>184</v>
      </c>
      <c r="C198" s="51" t="e">
        <f t="shared" si="53"/>
        <v>#DIV/0!</v>
      </c>
      <c r="D198" s="47" t="e" cm="1">
        <f t="array" ref="D198">_xlfn.IFS(AND($C$7="Y",B198&lt;C$4),C198,AND($C$7="Y",B198=C$4),D197+F198-J198-K198-L198+N198,AND($C$7="Y",B198&gt;$C$4),D197-J198-K198-L198+N198, TRUE, D197-J198-K198-L198+N198)</f>
        <v>#DIV/0!</v>
      </c>
      <c r="E198" s="48">
        <f t="shared" si="54"/>
        <v>0</v>
      </c>
      <c r="F198" s="50">
        <f t="shared" si="55"/>
        <v>0</v>
      </c>
      <c r="G198" s="50">
        <f t="shared" si="62"/>
        <v>0</v>
      </c>
      <c r="H198" s="51" t="e">
        <f t="shared" si="63"/>
        <v>#DIV/0!</v>
      </c>
      <c r="I198" s="52" t="e">
        <f t="shared" si="49"/>
        <v>#DIV/0!</v>
      </c>
      <c r="J198" s="52" t="e">
        <f t="shared" si="50"/>
        <v>#DIV/0!</v>
      </c>
      <c r="K198" s="51" t="e">
        <f t="shared" si="60"/>
        <v>#DIV/0!</v>
      </c>
      <c r="L198" s="49" t="e">
        <f t="shared" si="56"/>
        <v>#DIV/0!</v>
      </c>
      <c r="M198" s="49">
        <f t="shared" si="65"/>
        <v>0</v>
      </c>
      <c r="N198" s="49">
        <f t="shared" si="64"/>
        <v>0</v>
      </c>
      <c r="O198" s="48" t="e">
        <f t="shared" si="51"/>
        <v>#DIV/0!</v>
      </c>
      <c r="P198" s="38" t="e">
        <f t="shared" si="47"/>
        <v>#DIV/0!</v>
      </c>
      <c r="Q198" s="53"/>
      <c r="R198" s="53">
        <f t="shared" si="57"/>
        <v>0</v>
      </c>
      <c r="S198" s="53">
        <f t="shared" si="58"/>
        <v>0</v>
      </c>
      <c r="T198" s="53">
        <f t="shared" si="59"/>
        <v>0.05</v>
      </c>
      <c r="U198" s="53">
        <f t="shared" si="61"/>
        <v>4.2653187775606449E-3</v>
      </c>
    </row>
    <row r="199" spans="1:21" x14ac:dyDescent="0.2">
      <c r="A199" s="62" t="e">
        <f t="shared" si="48"/>
        <v>#DIV/0!</v>
      </c>
      <c r="B199" s="45">
        <f t="shared" si="52"/>
        <v>185</v>
      </c>
      <c r="C199" s="51" t="e">
        <f t="shared" si="53"/>
        <v>#DIV/0!</v>
      </c>
      <c r="D199" s="47" t="e" cm="1">
        <f t="array" ref="D199">_xlfn.IFS(AND($C$7="Y",B199&lt;C$4),C199,AND($C$7="Y",B199=C$4),D198+F199-J199-K199-L199+N199,AND($C$7="Y",B199&gt;$C$4),D198-J199-K199-L199+N199, TRUE, D198-J199-K199-L199+N199)</f>
        <v>#DIV/0!</v>
      </c>
      <c r="E199" s="48">
        <f t="shared" si="54"/>
        <v>0</v>
      </c>
      <c r="F199" s="50">
        <f t="shared" si="55"/>
        <v>0</v>
      </c>
      <c r="G199" s="50">
        <f t="shared" si="62"/>
        <v>0</v>
      </c>
      <c r="H199" s="51" t="e">
        <f t="shared" si="63"/>
        <v>#DIV/0!</v>
      </c>
      <c r="I199" s="52" t="e">
        <f t="shared" si="49"/>
        <v>#DIV/0!</v>
      </c>
      <c r="J199" s="52" t="e">
        <f t="shared" si="50"/>
        <v>#DIV/0!</v>
      </c>
      <c r="K199" s="51" t="e">
        <f t="shared" si="60"/>
        <v>#DIV/0!</v>
      </c>
      <c r="L199" s="49" t="e">
        <f t="shared" si="56"/>
        <v>#DIV/0!</v>
      </c>
      <c r="M199" s="49">
        <f t="shared" si="65"/>
        <v>0</v>
      </c>
      <c r="N199" s="49">
        <f t="shared" si="64"/>
        <v>0</v>
      </c>
      <c r="O199" s="48" t="e">
        <f t="shared" si="51"/>
        <v>#DIV/0!</v>
      </c>
      <c r="P199" s="38" t="e">
        <f t="shared" si="47"/>
        <v>#DIV/0!</v>
      </c>
      <c r="Q199" s="53"/>
      <c r="R199" s="53">
        <f t="shared" si="57"/>
        <v>0</v>
      </c>
      <c r="S199" s="53">
        <f t="shared" si="58"/>
        <v>0</v>
      </c>
      <c r="T199" s="53">
        <f t="shared" si="59"/>
        <v>0.05</v>
      </c>
      <c r="U199" s="53">
        <f t="shared" si="61"/>
        <v>4.2653187775606449E-3</v>
      </c>
    </row>
    <row r="200" spans="1:21" x14ac:dyDescent="0.2">
      <c r="A200" s="62" t="e">
        <f t="shared" si="48"/>
        <v>#DIV/0!</v>
      </c>
      <c r="B200" s="45">
        <f t="shared" si="52"/>
        <v>186</v>
      </c>
      <c r="C200" s="51" t="e">
        <f t="shared" si="53"/>
        <v>#DIV/0!</v>
      </c>
      <c r="D200" s="47" t="e" cm="1">
        <f t="array" ref="D200">_xlfn.IFS(AND($C$7="Y",B200&lt;C$4),C200,AND($C$7="Y",B200=C$4),D199+F200-J200-K200-L200+N200,AND($C$7="Y",B200&gt;$C$4),D199-J200-K200-L200+N200, TRUE, D199-J200-K200-L200+N200)</f>
        <v>#DIV/0!</v>
      </c>
      <c r="E200" s="48">
        <f t="shared" si="54"/>
        <v>0</v>
      </c>
      <c r="F200" s="50">
        <f t="shared" si="55"/>
        <v>0</v>
      </c>
      <c r="G200" s="50">
        <f t="shared" si="62"/>
        <v>0</v>
      </c>
      <c r="H200" s="51" t="e">
        <f t="shared" si="63"/>
        <v>#DIV/0!</v>
      </c>
      <c r="I200" s="52" t="e">
        <f t="shared" si="49"/>
        <v>#DIV/0!</v>
      </c>
      <c r="J200" s="52" t="e">
        <f t="shared" si="50"/>
        <v>#DIV/0!</v>
      </c>
      <c r="K200" s="51" t="e">
        <f t="shared" si="60"/>
        <v>#DIV/0!</v>
      </c>
      <c r="L200" s="49" t="e">
        <f t="shared" si="56"/>
        <v>#DIV/0!</v>
      </c>
      <c r="M200" s="49">
        <f t="shared" si="65"/>
        <v>0</v>
      </c>
      <c r="N200" s="49">
        <f t="shared" si="64"/>
        <v>0</v>
      </c>
      <c r="O200" s="48" t="e">
        <f t="shared" si="51"/>
        <v>#DIV/0!</v>
      </c>
      <c r="P200" s="38" t="e">
        <f t="shared" si="47"/>
        <v>#DIV/0!</v>
      </c>
      <c r="Q200" s="53"/>
      <c r="R200" s="53">
        <f t="shared" si="57"/>
        <v>0</v>
      </c>
      <c r="S200" s="53">
        <f t="shared" si="58"/>
        <v>0</v>
      </c>
      <c r="T200" s="53">
        <f t="shared" si="59"/>
        <v>0.05</v>
      </c>
      <c r="U200" s="53">
        <f t="shared" si="61"/>
        <v>4.2653187775606449E-3</v>
      </c>
    </row>
    <row r="201" spans="1:21" x14ac:dyDescent="0.2">
      <c r="A201" s="62" t="e">
        <f t="shared" si="48"/>
        <v>#DIV/0!</v>
      </c>
      <c r="B201" s="45">
        <f t="shared" si="52"/>
        <v>187</v>
      </c>
      <c r="C201" s="51" t="e">
        <f t="shared" si="53"/>
        <v>#DIV/0!</v>
      </c>
      <c r="D201" s="47" t="e" cm="1">
        <f t="array" ref="D201">_xlfn.IFS(AND($C$7="Y",B201&lt;C$4),C201,AND($C$7="Y",B201=C$4),D200+F201-J201-K201-L201+N201,AND($C$7="Y",B201&gt;$C$4),D200-J201-K201-L201+N201, TRUE, D200-J201-K201-L201+N201)</f>
        <v>#DIV/0!</v>
      </c>
      <c r="E201" s="48">
        <f t="shared" si="54"/>
        <v>0</v>
      </c>
      <c r="F201" s="50">
        <f t="shared" si="55"/>
        <v>0</v>
      </c>
      <c r="G201" s="50">
        <f t="shared" si="62"/>
        <v>0</v>
      </c>
      <c r="H201" s="51" t="e">
        <f t="shared" si="63"/>
        <v>#DIV/0!</v>
      </c>
      <c r="I201" s="52" t="e">
        <f t="shared" si="49"/>
        <v>#DIV/0!</v>
      </c>
      <c r="J201" s="52" t="e">
        <f t="shared" si="50"/>
        <v>#DIV/0!</v>
      </c>
      <c r="K201" s="51" t="e">
        <f t="shared" si="60"/>
        <v>#DIV/0!</v>
      </c>
      <c r="L201" s="49" t="e">
        <f t="shared" si="56"/>
        <v>#DIV/0!</v>
      </c>
      <c r="M201" s="49">
        <f t="shared" si="65"/>
        <v>0</v>
      </c>
      <c r="N201" s="49">
        <f t="shared" si="64"/>
        <v>0</v>
      </c>
      <c r="O201" s="48" t="e">
        <f t="shared" si="51"/>
        <v>#DIV/0!</v>
      </c>
      <c r="P201" s="38" t="e">
        <f t="shared" si="47"/>
        <v>#DIV/0!</v>
      </c>
      <c r="Q201" s="53"/>
      <c r="R201" s="53">
        <f t="shared" si="57"/>
        <v>0</v>
      </c>
      <c r="S201" s="53">
        <f t="shared" si="58"/>
        <v>0</v>
      </c>
      <c r="T201" s="53">
        <f t="shared" si="59"/>
        <v>0.05</v>
      </c>
      <c r="U201" s="53">
        <f t="shared" si="61"/>
        <v>4.2653187775606449E-3</v>
      </c>
    </row>
    <row r="202" spans="1:21" x14ac:dyDescent="0.2">
      <c r="A202" s="62" t="e">
        <f t="shared" si="48"/>
        <v>#DIV/0!</v>
      </c>
      <c r="B202" s="45">
        <f t="shared" si="52"/>
        <v>188</v>
      </c>
      <c r="C202" s="51" t="e">
        <f t="shared" si="53"/>
        <v>#DIV/0!</v>
      </c>
      <c r="D202" s="47" t="e" cm="1">
        <f t="array" ref="D202">_xlfn.IFS(AND($C$7="Y",B202&lt;C$4),C202,AND($C$7="Y",B202=C$4),D201+F202-J202-K202-L202+N202,AND($C$7="Y",B202&gt;$C$4),D201-J202-K202-L202+N202, TRUE, D201-J202-K202-L202+N202)</f>
        <v>#DIV/0!</v>
      </c>
      <c r="E202" s="48">
        <f t="shared" si="54"/>
        <v>0</v>
      </c>
      <c r="F202" s="50">
        <f t="shared" si="55"/>
        <v>0</v>
      </c>
      <c r="G202" s="50">
        <f t="shared" si="62"/>
        <v>0</v>
      </c>
      <c r="H202" s="51" t="e">
        <f t="shared" si="63"/>
        <v>#DIV/0!</v>
      </c>
      <c r="I202" s="52" t="e">
        <f t="shared" si="49"/>
        <v>#DIV/0!</v>
      </c>
      <c r="J202" s="52" t="e">
        <f t="shared" si="50"/>
        <v>#DIV/0!</v>
      </c>
      <c r="K202" s="51" t="e">
        <f t="shared" si="60"/>
        <v>#DIV/0!</v>
      </c>
      <c r="L202" s="49" t="e">
        <f t="shared" si="56"/>
        <v>#DIV/0!</v>
      </c>
      <c r="M202" s="49">
        <f t="shared" si="65"/>
        <v>0</v>
      </c>
      <c r="N202" s="49">
        <f t="shared" si="64"/>
        <v>0</v>
      </c>
      <c r="O202" s="48" t="e">
        <f t="shared" si="51"/>
        <v>#DIV/0!</v>
      </c>
      <c r="P202" s="38" t="e">
        <f t="shared" si="47"/>
        <v>#DIV/0!</v>
      </c>
      <c r="Q202" s="53"/>
      <c r="R202" s="53">
        <f t="shared" si="57"/>
        <v>0</v>
      </c>
      <c r="S202" s="53">
        <f t="shared" si="58"/>
        <v>0</v>
      </c>
      <c r="T202" s="53">
        <f t="shared" si="59"/>
        <v>0.05</v>
      </c>
      <c r="U202" s="53">
        <f t="shared" si="61"/>
        <v>4.2653187775606449E-3</v>
      </c>
    </row>
    <row r="203" spans="1:21" x14ac:dyDescent="0.2">
      <c r="A203" s="62" t="e">
        <f t="shared" si="48"/>
        <v>#DIV/0!</v>
      </c>
      <c r="B203" s="45">
        <f t="shared" si="52"/>
        <v>189</v>
      </c>
      <c r="C203" s="51" t="e">
        <f t="shared" si="53"/>
        <v>#DIV/0!</v>
      </c>
      <c r="D203" s="47" t="e" cm="1">
        <f t="array" ref="D203">_xlfn.IFS(AND($C$7="Y",B203&lt;C$4),C203,AND($C$7="Y",B203=C$4),D202+F203-J203-K203-L203+N203,AND($C$7="Y",B203&gt;$C$4),D202-J203-K203-L203+N203, TRUE, D202-J203-K203-L203+N203)</f>
        <v>#DIV/0!</v>
      </c>
      <c r="E203" s="48">
        <f t="shared" si="54"/>
        <v>0</v>
      </c>
      <c r="F203" s="50">
        <f t="shared" si="55"/>
        <v>0</v>
      </c>
      <c r="G203" s="50">
        <f t="shared" si="62"/>
        <v>0</v>
      </c>
      <c r="H203" s="51" t="e">
        <f t="shared" si="63"/>
        <v>#DIV/0!</v>
      </c>
      <c r="I203" s="52" t="e">
        <f t="shared" si="49"/>
        <v>#DIV/0!</v>
      </c>
      <c r="J203" s="52" t="e">
        <f t="shared" si="50"/>
        <v>#DIV/0!</v>
      </c>
      <c r="K203" s="51" t="e">
        <f t="shared" si="60"/>
        <v>#DIV/0!</v>
      </c>
      <c r="L203" s="49" t="e">
        <f t="shared" si="56"/>
        <v>#DIV/0!</v>
      </c>
      <c r="M203" s="49">
        <f t="shared" si="65"/>
        <v>0</v>
      </c>
      <c r="N203" s="49">
        <f t="shared" si="64"/>
        <v>0</v>
      </c>
      <c r="O203" s="48" t="e">
        <f t="shared" si="51"/>
        <v>#DIV/0!</v>
      </c>
      <c r="P203" s="38" t="e">
        <f t="shared" si="47"/>
        <v>#DIV/0!</v>
      </c>
      <c r="Q203" s="53"/>
      <c r="R203" s="53">
        <f t="shared" si="57"/>
        <v>0</v>
      </c>
      <c r="S203" s="53">
        <f t="shared" si="58"/>
        <v>0</v>
      </c>
      <c r="T203" s="53">
        <f t="shared" si="59"/>
        <v>0.05</v>
      </c>
      <c r="U203" s="53">
        <f t="shared" si="61"/>
        <v>4.2653187775606449E-3</v>
      </c>
    </row>
    <row r="204" spans="1:21" x14ac:dyDescent="0.2">
      <c r="A204" s="62" t="e">
        <f t="shared" si="48"/>
        <v>#DIV/0!</v>
      </c>
      <c r="B204" s="45">
        <f t="shared" si="52"/>
        <v>190</v>
      </c>
      <c r="C204" s="51" t="e">
        <f t="shared" si="53"/>
        <v>#DIV/0!</v>
      </c>
      <c r="D204" s="47" t="e" cm="1">
        <f t="array" ref="D204">_xlfn.IFS(AND($C$7="Y",B204&lt;C$4),C204,AND($C$7="Y",B204=C$4),D203+F204-J204-K204-L204+N204,AND($C$7="Y",B204&gt;$C$4),D203-J204-K204-L204+N204, TRUE, D203-J204-K204-L204+N204)</f>
        <v>#DIV/0!</v>
      </c>
      <c r="E204" s="48">
        <f t="shared" si="54"/>
        <v>0</v>
      </c>
      <c r="F204" s="50">
        <f t="shared" si="55"/>
        <v>0</v>
      </c>
      <c r="G204" s="50">
        <f t="shared" si="62"/>
        <v>0</v>
      </c>
      <c r="H204" s="51" t="e">
        <f t="shared" si="63"/>
        <v>#DIV/0!</v>
      </c>
      <c r="I204" s="52" t="e">
        <f t="shared" si="49"/>
        <v>#DIV/0!</v>
      </c>
      <c r="J204" s="52" t="e">
        <f t="shared" si="50"/>
        <v>#DIV/0!</v>
      </c>
      <c r="K204" s="51" t="e">
        <f t="shared" si="60"/>
        <v>#DIV/0!</v>
      </c>
      <c r="L204" s="49" t="e">
        <f t="shared" si="56"/>
        <v>#DIV/0!</v>
      </c>
      <c r="M204" s="49">
        <f t="shared" si="65"/>
        <v>0</v>
      </c>
      <c r="N204" s="49">
        <f t="shared" si="64"/>
        <v>0</v>
      </c>
      <c r="O204" s="48" t="e">
        <f t="shared" si="51"/>
        <v>#DIV/0!</v>
      </c>
      <c r="P204" s="38" t="e">
        <f t="shared" si="47"/>
        <v>#DIV/0!</v>
      </c>
      <c r="Q204" s="53"/>
      <c r="R204" s="53">
        <f t="shared" si="57"/>
        <v>0</v>
      </c>
      <c r="S204" s="53">
        <f t="shared" si="58"/>
        <v>0</v>
      </c>
      <c r="T204" s="53">
        <f t="shared" si="59"/>
        <v>0.05</v>
      </c>
      <c r="U204" s="53">
        <f t="shared" si="61"/>
        <v>4.2653187775606449E-3</v>
      </c>
    </row>
    <row r="205" spans="1:21" x14ac:dyDescent="0.2">
      <c r="A205" s="62" t="e">
        <f t="shared" si="48"/>
        <v>#DIV/0!</v>
      </c>
      <c r="B205" s="45">
        <f t="shared" si="52"/>
        <v>191</v>
      </c>
      <c r="C205" s="51" t="e">
        <f t="shared" si="53"/>
        <v>#DIV/0!</v>
      </c>
      <c r="D205" s="47" t="e" cm="1">
        <f t="array" ref="D205">_xlfn.IFS(AND($C$7="Y",B205&lt;C$4),C205,AND($C$7="Y",B205=C$4),D204+F205-J205-K205-L205+N205,AND($C$7="Y",B205&gt;$C$4),D204-J205-K205-L205+N205, TRUE, D204-J205-K205-L205+N205)</f>
        <v>#DIV/0!</v>
      </c>
      <c r="E205" s="48">
        <f t="shared" si="54"/>
        <v>0</v>
      </c>
      <c r="F205" s="50">
        <f t="shared" si="55"/>
        <v>0</v>
      </c>
      <c r="G205" s="50">
        <f t="shared" si="62"/>
        <v>0</v>
      </c>
      <c r="H205" s="51" t="e">
        <f t="shared" si="63"/>
        <v>#DIV/0!</v>
      </c>
      <c r="I205" s="52" t="e">
        <f t="shared" si="49"/>
        <v>#DIV/0!</v>
      </c>
      <c r="J205" s="52" t="e">
        <f t="shared" si="50"/>
        <v>#DIV/0!</v>
      </c>
      <c r="K205" s="51" t="e">
        <f t="shared" si="60"/>
        <v>#DIV/0!</v>
      </c>
      <c r="L205" s="49" t="e">
        <f t="shared" si="56"/>
        <v>#DIV/0!</v>
      </c>
      <c r="M205" s="49">
        <f t="shared" si="65"/>
        <v>0</v>
      </c>
      <c r="N205" s="49">
        <f t="shared" si="64"/>
        <v>0</v>
      </c>
      <c r="O205" s="48" t="e">
        <f t="shared" si="51"/>
        <v>#DIV/0!</v>
      </c>
      <c r="P205" s="38" t="e">
        <f t="shared" si="47"/>
        <v>#DIV/0!</v>
      </c>
      <c r="Q205" s="53"/>
      <c r="R205" s="53">
        <f t="shared" si="57"/>
        <v>0</v>
      </c>
      <c r="S205" s="53">
        <f t="shared" si="58"/>
        <v>0</v>
      </c>
      <c r="T205" s="53">
        <f t="shared" si="59"/>
        <v>0.05</v>
      </c>
      <c r="U205" s="53">
        <f t="shared" si="61"/>
        <v>4.2653187775606449E-3</v>
      </c>
    </row>
    <row r="206" spans="1:21" x14ac:dyDescent="0.2">
      <c r="A206" s="62" t="e">
        <f t="shared" si="48"/>
        <v>#DIV/0!</v>
      </c>
      <c r="B206" s="45">
        <f t="shared" si="52"/>
        <v>192</v>
      </c>
      <c r="C206" s="51" t="e">
        <f t="shared" si="53"/>
        <v>#DIV/0!</v>
      </c>
      <c r="D206" s="47" t="e" cm="1">
        <f t="array" ref="D206">_xlfn.IFS(AND($C$7="Y",B206&lt;C$4),C206,AND($C$7="Y",B206=C$4),D205+F206-J206-K206-L206+N206,AND($C$7="Y",B206&gt;$C$4),D205-J206-K206-L206+N206, TRUE, D205-J206-K206-L206+N206)</f>
        <v>#DIV/0!</v>
      </c>
      <c r="E206" s="48">
        <f t="shared" si="54"/>
        <v>0</v>
      </c>
      <c r="F206" s="50">
        <f t="shared" si="55"/>
        <v>0</v>
      </c>
      <c r="G206" s="50">
        <f t="shared" si="62"/>
        <v>0</v>
      </c>
      <c r="H206" s="51" t="e">
        <f t="shared" si="63"/>
        <v>#DIV/0!</v>
      </c>
      <c r="I206" s="52" t="e">
        <f t="shared" si="49"/>
        <v>#DIV/0!</v>
      </c>
      <c r="J206" s="52" t="e">
        <f t="shared" si="50"/>
        <v>#DIV/0!</v>
      </c>
      <c r="K206" s="51" t="e">
        <f t="shared" si="60"/>
        <v>#DIV/0!</v>
      </c>
      <c r="L206" s="49" t="e">
        <f t="shared" si="56"/>
        <v>#DIV/0!</v>
      </c>
      <c r="M206" s="49">
        <f t="shared" si="65"/>
        <v>0</v>
      </c>
      <c r="N206" s="49">
        <f t="shared" si="64"/>
        <v>0</v>
      </c>
      <c r="O206" s="48" t="e">
        <f t="shared" si="51"/>
        <v>#DIV/0!</v>
      </c>
      <c r="P206" s="38" t="e">
        <f t="shared" ref="P206:P269" si="66">O206*(1/((1+P$12)^(B206/12)))</f>
        <v>#DIV/0!</v>
      </c>
      <c r="Q206" s="53"/>
      <c r="R206" s="53">
        <f t="shared" si="57"/>
        <v>0</v>
      </c>
      <c r="S206" s="53">
        <f t="shared" si="58"/>
        <v>0</v>
      </c>
      <c r="T206" s="53">
        <f t="shared" si="59"/>
        <v>0.05</v>
      </c>
      <c r="U206" s="53">
        <f t="shared" si="61"/>
        <v>4.2653187775606449E-3</v>
      </c>
    </row>
    <row r="207" spans="1:21" x14ac:dyDescent="0.2">
      <c r="A207" s="62" t="e">
        <f t="shared" ref="A207:A235" si="67">D207/C$1</f>
        <v>#DIV/0!</v>
      </c>
      <c r="B207" s="45">
        <f t="shared" si="52"/>
        <v>193</v>
      </c>
      <c r="C207" s="51" t="e">
        <f t="shared" si="53"/>
        <v>#DIV/0!</v>
      </c>
      <c r="D207" s="47" t="e" cm="1">
        <f t="array" ref="D207">_xlfn.IFS(AND($C$7="Y",B207&lt;C$4),C207,AND($C$7="Y",B207=C$4),D206+F207-J207-K207-L207+N207,AND($C$7="Y",B207&gt;$C$4),D206-J207-K207-L207+N207, TRUE, D206-J207-K207-L207+N207)</f>
        <v>#DIV/0!</v>
      </c>
      <c r="E207" s="48">
        <f t="shared" si="54"/>
        <v>0</v>
      </c>
      <c r="F207" s="50">
        <f t="shared" si="55"/>
        <v>0</v>
      </c>
      <c r="G207" s="50">
        <f t="shared" si="62"/>
        <v>0</v>
      </c>
      <c r="H207" s="51" t="e">
        <f t="shared" si="63"/>
        <v>#DIV/0!</v>
      </c>
      <c r="I207" s="52" t="e">
        <f t="shared" ref="I207:I219" si="68">IF(AND(C$7="Y",$B207&lt;=C$4),0,IF(AND(C$7="Y",$B207&gt;C$4),(1-U207)*C$2*D206/12,IF(AND($C$7="N",C$4&gt;0),(1-U207)*D206*C$2/12, (1-U207)*D206*C$2/12)))</f>
        <v>#DIV/0!</v>
      </c>
      <c r="J207" s="52" t="e">
        <f t="shared" ref="J207:J270" si="69">IF(AND($B207&lt;=$C$4,C$7="Y"),0,IF(AND(C$7="N",C$4&gt;0,B207&lt;=C$4),0,H207-I207))</f>
        <v>#DIV/0!</v>
      </c>
      <c r="K207" s="51" t="e">
        <f t="shared" si="60"/>
        <v>#DIV/0!</v>
      </c>
      <c r="L207" s="49" t="e">
        <f t="shared" si="56"/>
        <v>#DIV/0!</v>
      </c>
      <c r="M207" s="49">
        <f t="shared" si="65"/>
        <v>0</v>
      </c>
      <c r="N207" s="49">
        <f t="shared" si="64"/>
        <v>0</v>
      </c>
      <c r="O207" s="48" t="e">
        <f t="shared" ref="O207:O270" si="70">K207+I207+J207-L207+N207+G207</f>
        <v>#DIV/0!</v>
      </c>
      <c r="P207" s="38" t="e">
        <f t="shared" si="66"/>
        <v>#DIV/0!</v>
      </c>
      <c r="Q207" s="53"/>
      <c r="R207" s="53">
        <f t="shared" si="57"/>
        <v>0</v>
      </c>
      <c r="S207" s="53">
        <f t="shared" si="58"/>
        <v>0</v>
      </c>
      <c r="T207" s="53">
        <f t="shared" si="59"/>
        <v>0.05</v>
      </c>
      <c r="U207" s="53">
        <f t="shared" si="61"/>
        <v>4.2653187775606449E-3</v>
      </c>
    </row>
    <row r="208" spans="1:21" x14ac:dyDescent="0.2">
      <c r="A208" s="62" t="e">
        <f t="shared" si="67"/>
        <v>#DIV/0!</v>
      </c>
      <c r="B208" s="45">
        <f t="shared" ref="B208:B223" si="71">B207+1</f>
        <v>194</v>
      </c>
      <c r="C208" s="51" t="e">
        <f t="shared" ref="C208:C271" si="72">IF(B208&lt;C$4,C$1,D207-L208+N208)</f>
        <v>#DIV/0!</v>
      </c>
      <c r="D208" s="47" t="e" cm="1">
        <f t="array" ref="D208">_xlfn.IFS(AND($C$7="Y",B208&lt;C$4),C208,AND($C$7="Y",B208=C$4),D207+F208-J208-K208-L208+N208,AND($C$7="Y",B208&gt;$C$4),D207-J208-K208-L208+N208, TRUE, D207-J208-K208-L208+N208)</f>
        <v>#DIV/0!</v>
      </c>
      <c r="E208" s="48">
        <f t="shared" ref="E208:E219" si="73">IF(AND($C$7="Y",B208&lt;=$C$4),D207*C$2/12-G208,0)</f>
        <v>0</v>
      </c>
      <c r="F208" s="50">
        <f t="shared" ref="F208:F219" si="74">IF(AND($C$7="Y",B208&lt;=C$4),E208+F207,0)</f>
        <v>0</v>
      </c>
      <c r="G208" s="50">
        <f t="shared" si="62"/>
        <v>0</v>
      </c>
      <c r="H208" s="51" t="e">
        <f t="shared" si="63"/>
        <v>#DIV/0!</v>
      </c>
      <c r="I208" s="52" t="e">
        <f t="shared" si="68"/>
        <v>#DIV/0!</v>
      </c>
      <c r="J208" s="52" t="e">
        <f t="shared" si="69"/>
        <v>#DIV/0!</v>
      </c>
      <c r="K208" s="51" t="e">
        <f t="shared" si="60"/>
        <v>#DIV/0!</v>
      </c>
      <c r="L208" s="49" t="e">
        <f t="shared" ref="L208:L235" si="75">IF(AND(C$7="Y",$B208&lt;=$C$4),0,IF(AND(C$7="N",C$4&gt;0,B208&lt;=C$4),0,U208*D207))</f>
        <v>#DIV/0!</v>
      </c>
      <c r="M208" s="49">
        <f t="shared" si="65"/>
        <v>0</v>
      </c>
      <c r="N208" s="49">
        <f t="shared" si="64"/>
        <v>0</v>
      </c>
      <c r="O208" s="48" t="e">
        <f t="shared" si="70"/>
        <v>#DIV/0!</v>
      </c>
      <c r="P208" s="38" t="e">
        <f t="shared" si="66"/>
        <v>#DIV/0!</v>
      </c>
      <c r="Q208" s="53"/>
      <c r="R208" s="53">
        <f t="shared" ref="R208:R219" si="76">R$12</f>
        <v>0</v>
      </c>
      <c r="S208" s="53">
        <f t="shared" ref="S208:S219" si="77">1-(1-R208)^(1/12)</f>
        <v>0</v>
      </c>
      <c r="T208" s="53">
        <f t="shared" ref="T208:T219" si="78">T$12</f>
        <v>0.05</v>
      </c>
      <c r="U208" s="53">
        <f t="shared" si="61"/>
        <v>4.2653187775606449E-3</v>
      </c>
    </row>
    <row r="209" spans="1:21" x14ac:dyDescent="0.2">
      <c r="A209" s="62" t="e">
        <f t="shared" si="67"/>
        <v>#DIV/0!</v>
      </c>
      <c r="B209" s="45">
        <f t="shared" si="71"/>
        <v>195</v>
      </c>
      <c r="C209" s="51" t="e">
        <f t="shared" si="72"/>
        <v>#DIV/0!</v>
      </c>
      <c r="D209" s="47" t="e" cm="1">
        <f t="array" ref="D209">_xlfn.IFS(AND($C$7="Y",B209&lt;C$4),C209,AND($C$7="Y",B209=C$4),D208+F209-J209-K209-L209+N209,AND($C$7="Y",B209&gt;$C$4),D208-J209-K209-L209+N209, TRUE, D208-J209-K209-L209+N209)</f>
        <v>#DIV/0!</v>
      </c>
      <c r="E209" s="48">
        <f t="shared" si="73"/>
        <v>0</v>
      </c>
      <c r="F209" s="50">
        <f t="shared" si="74"/>
        <v>0</v>
      </c>
      <c r="G209" s="50">
        <f t="shared" si="62"/>
        <v>0</v>
      </c>
      <c r="H209" s="51" t="e">
        <f t="shared" si="63"/>
        <v>#DIV/0!</v>
      </c>
      <c r="I209" s="52" t="e">
        <f t="shared" si="68"/>
        <v>#DIV/0!</v>
      </c>
      <c r="J209" s="52" t="e">
        <f t="shared" si="69"/>
        <v>#DIV/0!</v>
      </c>
      <c r="K209" s="51" t="e">
        <f t="shared" ref="K209:K272" si="79">IF(AND(C$7="Y",$B209&lt;=$C$4),0,IF(AND(C$7="N",C$4&gt;0,B209&lt;=C$4),0,S209*(C209-J209)))</f>
        <v>#DIV/0!</v>
      </c>
      <c r="L209" s="49" t="e">
        <f t="shared" si="75"/>
        <v>#DIV/0!</v>
      </c>
      <c r="M209" s="49">
        <f t="shared" si="65"/>
        <v>0</v>
      </c>
      <c r="N209" s="49">
        <f t="shared" si="64"/>
        <v>0</v>
      </c>
      <c r="O209" s="48" t="e">
        <f t="shared" si="70"/>
        <v>#DIV/0!</v>
      </c>
      <c r="P209" s="38" t="e">
        <f t="shared" si="66"/>
        <v>#DIV/0!</v>
      </c>
      <c r="Q209" s="53"/>
      <c r="R209" s="53">
        <f t="shared" si="76"/>
        <v>0</v>
      </c>
      <c r="S209" s="53">
        <f t="shared" si="77"/>
        <v>0</v>
      </c>
      <c r="T209" s="53">
        <f t="shared" si="78"/>
        <v>0.05</v>
      </c>
      <c r="U209" s="53">
        <f t="shared" ref="U209:U219" si="80">1-(1-T209)^(1/12)</f>
        <v>4.2653187775606449E-3</v>
      </c>
    </row>
    <row r="210" spans="1:21" x14ac:dyDescent="0.2">
      <c r="A210" s="62" t="e">
        <f t="shared" si="67"/>
        <v>#DIV/0!</v>
      </c>
      <c r="B210" s="45">
        <f t="shared" si="71"/>
        <v>196</v>
      </c>
      <c r="C210" s="51" t="e">
        <f t="shared" si="72"/>
        <v>#DIV/0!</v>
      </c>
      <c r="D210" s="47" t="e" cm="1">
        <f t="array" ref="D210">_xlfn.IFS(AND($C$7="Y",B210&lt;C$4),C210,AND($C$7="Y",B210=C$4),D209+F210-J210-K210-L210+N210,AND($C$7="Y",B210&gt;$C$4),D209-J210-K210-L210+N210, TRUE, D209-J210-K210-L210+N210)</f>
        <v>#DIV/0!</v>
      </c>
      <c r="E210" s="48">
        <f t="shared" si="73"/>
        <v>0</v>
      </c>
      <c r="F210" s="50">
        <f t="shared" si="74"/>
        <v>0</v>
      </c>
      <c r="G210" s="50">
        <f t="shared" ref="G210:G219" si="81">IF($B210&lt;=$C$4,C$6,0)</f>
        <v>0</v>
      </c>
      <c r="H210" s="51" t="e">
        <f t="shared" si="63"/>
        <v>#DIV/0!</v>
      </c>
      <c r="I210" s="52" t="e">
        <f t="shared" si="68"/>
        <v>#DIV/0!</v>
      </c>
      <c r="J210" s="52" t="e">
        <f t="shared" si="69"/>
        <v>#DIV/0!</v>
      </c>
      <c r="K210" s="51" t="e">
        <f t="shared" si="79"/>
        <v>#DIV/0!</v>
      </c>
      <c r="L210" s="49" t="e">
        <f t="shared" si="75"/>
        <v>#DIV/0!</v>
      </c>
      <c r="M210" s="49">
        <f t="shared" si="65"/>
        <v>0</v>
      </c>
      <c r="N210" s="49">
        <f t="shared" si="64"/>
        <v>0</v>
      </c>
      <c r="O210" s="48" t="e">
        <f t="shared" si="70"/>
        <v>#DIV/0!</v>
      </c>
      <c r="P210" s="38" t="e">
        <f t="shared" si="66"/>
        <v>#DIV/0!</v>
      </c>
      <c r="Q210" s="53"/>
      <c r="R210" s="53">
        <f t="shared" si="76"/>
        <v>0</v>
      </c>
      <c r="S210" s="53">
        <f t="shared" si="77"/>
        <v>0</v>
      </c>
      <c r="T210" s="53">
        <f t="shared" si="78"/>
        <v>0.05</v>
      </c>
      <c r="U210" s="53">
        <f t="shared" si="80"/>
        <v>4.2653187775606449E-3</v>
      </c>
    </row>
    <row r="211" spans="1:21" x14ac:dyDescent="0.2">
      <c r="A211" s="62" t="e">
        <f t="shared" si="67"/>
        <v>#DIV/0!</v>
      </c>
      <c r="B211" s="45">
        <f t="shared" si="71"/>
        <v>197</v>
      </c>
      <c r="C211" s="51" t="e">
        <f t="shared" si="72"/>
        <v>#DIV/0!</v>
      </c>
      <c r="D211" s="47" t="e" cm="1">
        <f t="array" ref="D211">_xlfn.IFS(AND($C$7="Y",B211&lt;C$4),C211,AND($C$7="Y",B211=C$4),D210+F211-J211-K211-L211+N211,AND($C$7="Y",B211&gt;$C$4),D210-J211-K211-L211+N211, TRUE, D210-J211-K211-L211+N211)</f>
        <v>#DIV/0!</v>
      </c>
      <c r="E211" s="48">
        <f t="shared" si="73"/>
        <v>0</v>
      </c>
      <c r="F211" s="50">
        <f t="shared" si="74"/>
        <v>0</v>
      </c>
      <c r="G211" s="50">
        <f t="shared" si="81"/>
        <v>0</v>
      </c>
      <c r="H211" s="51" t="e">
        <f t="shared" ref="H211:H219" si="82">IF(AND($B211&lt;=$C$4,C$7="Y"),0,IF(AND(C$7="N",C$4&gt;0,B211&lt;=C$4),0,(D210-L211+N211)*C$2/12/(1-(1/(1+C$2/12))^(C$3+C$4-B211+1))))</f>
        <v>#DIV/0!</v>
      </c>
      <c r="I211" s="52" t="e">
        <f t="shared" si="68"/>
        <v>#DIV/0!</v>
      </c>
      <c r="J211" s="52" t="e">
        <f t="shared" si="69"/>
        <v>#DIV/0!</v>
      </c>
      <c r="K211" s="51" t="e">
        <f t="shared" si="79"/>
        <v>#DIV/0!</v>
      </c>
      <c r="L211" s="49" t="e">
        <f t="shared" si="75"/>
        <v>#DIV/0!</v>
      </c>
      <c r="M211" s="49">
        <f t="shared" si="65"/>
        <v>0</v>
      </c>
      <c r="N211" s="49">
        <f t="shared" si="64"/>
        <v>0</v>
      </c>
      <c r="O211" s="48" t="e">
        <f t="shared" si="70"/>
        <v>#DIV/0!</v>
      </c>
      <c r="P211" s="38" t="e">
        <f t="shared" si="66"/>
        <v>#DIV/0!</v>
      </c>
      <c r="Q211" s="53"/>
      <c r="R211" s="53">
        <f t="shared" si="76"/>
        <v>0</v>
      </c>
      <c r="S211" s="53">
        <f t="shared" si="77"/>
        <v>0</v>
      </c>
      <c r="T211" s="53">
        <f t="shared" si="78"/>
        <v>0.05</v>
      </c>
      <c r="U211" s="53">
        <f t="shared" si="80"/>
        <v>4.2653187775606449E-3</v>
      </c>
    </row>
    <row r="212" spans="1:21" x14ac:dyDescent="0.2">
      <c r="A212" s="62" t="e">
        <f t="shared" si="67"/>
        <v>#DIV/0!</v>
      </c>
      <c r="B212" s="45">
        <f t="shared" si="71"/>
        <v>198</v>
      </c>
      <c r="C212" s="51" t="e">
        <f t="shared" si="72"/>
        <v>#DIV/0!</v>
      </c>
      <c r="D212" s="47" t="e" cm="1">
        <f t="array" ref="D212">_xlfn.IFS(AND($C$7="Y",B212&lt;C$4),C212,AND($C$7="Y",B212=C$4),D211+F212-J212-K212-L212+N212,AND($C$7="Y",B212&gt;$C$4),D211-J212-K212-L212+N212, TRUE, D211-J212-K212-L212+N212)</f>
        <v>#DIV/0!</v>
      </c>
      <c r="E212" s="48">
        <f t="shared" si="73"/>
        <v>0</v>
      </c>
      <c r="F212" s="50">
        <f t="shared" si="74"/>
        <v>0</v>
      </c>
      <c r="G212" s="50">
        <f t="shared" si="81"/>
        <v>0</v>
      </c>
      <c r="H212" s="51" t="e">
        <f t="shared" si="82"/>
        <v>#DIV/0!</v>
      </c>
      <c r="I212" s="52" t="e">
        <f t="shared" si="68"/>
        <v>#DIV/0!</v>
      </c>
      <c r="J212" s="52" t="e">
        <f t="shared" si="69"/>
        <v>#DIV/0!</v>
      </c>
      <c r="K212" s="51" t="e">
        <f t="shared" si="79"/>
        <v>#DIV/0!</v>
      </c>
      <c r="L212" s="49" t="e">
        <f t="shared" si="75"/>
        <v>#DIV/0!</v>
      </c>
      <c r="M212" s="49">
        <f t="shared" si="65"/>
        <v>0</v>
      </c>
      <c r="N212" s="49">
        <f t="shared" si="64"/>
        <v>0</v>
      </c>
      <c r="O212" s="48" t="e">
        <f t="shared" si="70"/>
        <v>#DIV/0!</v>
      </c>
      <c r="P212" s="38" t="e">
        <f t="shared" si="66"/>
        <v>#DIV/0!</v>
      </c>
      <c r="Q212" s="53"/>
      <c r="R212" s="53">
        <f t="shared" si="76"/>
        <v>0</v>
      </c>
      <c r="S212" s="53">
        <f t="shared" si="77"/>
        <v>0</v>
      </c>
      <c r="T212" s="53">
        <f t="shared" si="78"/>
        <v>0.05</v>
      </c>
      <c r="U212" s="53">
        <f t="shared" si="80"/>
        <v>4.2653187775606449E-3</v>
      </c>
    </row>
    <row r="213" spans="1:21" x14ac:dyDescent="0.2">
      <c r="A213" s="62" t="e">
        <f t="shared" si="67"/>
        <v>#DIV/0!</v>
      </c>
      <c r="B213" s="45">
        <f t="shared" si="71"/>
        <v>199</v>
      </c>
      <c r="C213" s="51" t="e">
        <f t="shared" si="72"/>
        <v>#DIV/0!</v>
      </c>
      <c r="D213" s="47" t="e" cm="1">
        <f t="array" ref="D213">_xlfn.IFS(AND($C$7="Y",B213&lt;C$4),C213,AND($C$7="Y",B213=C$4),D212+F213-J213-K213-L213+N213,AND($C$7="Y",B213&gt;$C$4),D212-J213-K213-L213+N213, TRUE, D212-J213-K213-L213+N213)</f>
        <v>#DIV/0!</v>
      </c>
      <c r="E213" s="48">
        <f t="shared" si="73"/>
        <v>0</v>
      </c>
      <c r="F213" s="50">
        <f t="shared" si="74"/>
        <v>0</v>
      </c>
      <c r="G213" s="50">
        <f t="shared" si="81"/>
        <v>0</v>
      </c>
      <c r="H213" s="51" t="e">
        <f t="shared" si="82"/>
        <v>#DIV/0!</v>
      </c>
      <c r="I213" s="52" t="e">
        <f t="shared" si="68"/>
        <v>#DIV/0!</v>
      </c>
      <c r="J213" s="52" t="e">
        <f t="shared" si="69"/>
        <v>#DIV/0!</v>
      </c>
      <c r="K213" s="51" t="e">
        <f t="shared" si="79"/>
        <v>#DIV/0!</v>
      </c>
      <c r="L213" s="49" t="e">
        <f t="shared" si="75"/>
        <v>#DIV/0!</v>
      </c>
      <c r="M213" s="49">
        <f t="shared" si="65"/>
        <v>0</v>
      </c>
      <c r="N213" s="49">
        <f t="shared" si="64"/>
        <v>0</v>
      </c>
      <c r="O213" s="48" t="e">
        <f t="shared" si="70"/>
        <v>#DIV/0!</v>
      </c>
      <c r="P213" s="38" t="e">
        <f t="shared" si="66"/>
        <v>#DIV/0!</v>
      </c>
      <c r="Q213" s="53"/>
      <c r="R213" s="53">
        <f t="shared" si="76"/>
        <v>0</v>
      </c>
      <c r="S213" s="53">
        <f t="shared" si="77"/>
        <v>0</v>
      </c>
      <c r="T213" s="53">
        <f t="shared" si="78"/>
        <v>0.05</v>
      </c>
      <c r="U213" s="53">
        <f t="shared" si="80"/>
        <v>4.2653187775606449E-3</v>
      </c>
    </row>
    <row r="214" spans="1:21" x14ac:dyDescent="0.2">
      <c r="A214" s="62" t="e">
        <f t="shared" si="67"/>
        <v>#DIV/0!</v>
      </c>
      <c r="B214" s="45">
        <f t="shared" si="71"/>
        <v>200</v>
      </c>
      <c r="C214" s="51" t="e">
        <f t="shared" si="72"/>
        <v>#DIV/0!</v>
      </c>
      <c r="D214" s="47" t="e" cm="1">
        <f t="array" ref="D214">_xlfn.IFS(AND($C$7="Y",B214&lt;C$4),C214,AND($C$7="Y",B214=C$4),D213+F214-J214-K214-L214+N214,AND($C$7="Y",B214&gt;$C$4),D213-J214-K214-L214+N214, TRUE, D213-J214-K214-L214+N214)</f>
        <v>#DIV/0!</v>
      </c>
      <c r="E214" s="48">
        <f t="shared" si="73"/>
        <v>0</v>
      </c>
      <c r="F214" s="50">
        <f t="shared" si="74"/>
        <v>0</v>
      </c>
      <c r="G214" s="50">
        <f t="shared" si="81"/>
        <v>0</v>
      </c>
      <c r="H214" s="51" t="e">
        <f t="shared" si="82"/>
        <v>#DIV/0!</v>
      </c>
      <c r="I214" s="52" t="e">
        <f t="shared" si="68"/>
        <v>#DIV/0!</v>
      </c>
      <c r="J214" s="52" t="e">
        <f t="shared" si="69"/>
        <v>#DIV/0!</v>
      </c>
      <c r="K214" s="51" t="e">
        <f t="shared" si="79"/>
        <v>#DIV/0!</v>
      </c>
      <c r="L214" s="49" t="e">
        <f t="shared" si="75"/>
        <v>#DIV/0!</v>
      </c>
      <c r="M214" s="49">
        <f t="shared" si="65"/>
        <v>0</v>
      </c>
      <c r="N214" s="49">
        <f t="shared" si="64"/>
        <v>0</v>
      </c>
      <c r="O214" s="48" t="e">
        <f t="shared" si="70"/>
        <v>#DIV/0!</v>
      </c>
      <c r="P214" s="38" t="e">
        <f t="shared" si="66"/>
        <v>#DIV/0!</v>
      </c>
      <c r="Q214" s="53"/>
      <c r="R214" s="53">
        <f t="shared" si="76"/>
        <v>0</v>
      </c>
      <c r="S214" s="53">
        <f t="shared" si="77"/>
        <v>0</v>
      </c>
      <c r="T214" s="53">
        <f t="shared" si="78"/>
        <v>0.05</v>
      </c>
      <c r="U214" s="53">
        <f t="shared" si="80"/>
        <v>4.2653187775606449E-3</v>
      </c>
    </row>
    <row r="215" spans="1:21" x14ac:dyDescent="0.2">
      <c r="A215" s="62" t="e">
        <f t="shared" si="67"/>
        <v>#DIV/0!</v>
      </c>
      <c r="B215" s="45">
        <f t="shared" si="71"/>
        <v>201</v>
      </c>
      <c r="C215" s="51" t="e">
        <f t="shared" si="72"/>
        <v>#DIV/0!</v>
      </c>
      <c r="D215" s="47" t="e" cm="1">
        <f t="array" ref="D215">_xlfn.IFS(AND($C$7="Y",B215&lt;C$4),C215,AND($C$7="Y",B215=C$4),D214+F215-J215-K215-L215+N215,AND($C$7="Y",B215&gt;$C$4),D214-J215-K215-L215+N215, TRUE, D214-J215-K215-L215+N215)</f>
        <v>#DIV/0!</v>
      </c>
      <c r="E215" s="48">
        <f t="shared" si="73"/>
        <v>0</v>
      </c>
      <c r="F215" s="50">
        <f t="shared" si="74"/>
        <v>0</v>
      </c>
      <c r="G215" s="50">
        <f t="shared" si="81"/>
        <v>0</v>
      </c>
      <c r="H215" s="51" t="e">
        <f t="shared" si="82"/>
        <v>#DIV/0!</v>
      </c>
      <c r="I215" s="52" t="e">
        <f t="shared" si="68"/>
        <v>#DIV/0!</v>
      </c>
      <c r="J215" s="52" t="e">
        <f t="shared" si="69"/>
        <v>#DIV/0!</v>
      </c>
      <c r="K215" s="51" t="e">
        <f t="shared" si="79"/>
        <v>#DIV/0!</v>
      </c>
      <c r="L215" s="49" t="e">
        <f t="shared" si="75"/>
        <v>#DIV/0!</v>
      </c>
      <c r="M215" s="49">
        <f t="shared" si="65"/>
        <v>0</v>
      </c>
      <c r="N215" s="49">
        <f t="shared" si="64"/>
        <v>0</v>
      </c>
      <c r="O215" s="48" t="e">
        <f t="shared" si="70"/>
        <v>#DIV/0!</v>
      </c>
      <c r="P215" s="38" t="e">
        <f t="shared" si="66"/>
        <v>#DIV/0!</v>
      </c>
      <c r="Q215" s="53"/>
      <c r="R215" s="53">
        <f t="shared" si="76"/>
        <v>0</v>
      </c>
      <c r="S215" s="53">
        <f t="shared" si="77"/>
        <v>0</v>
      </c>
      <c r="T215" s="53">
        <f t="shared" si="78"/>
        <v>0.05</v>
      </c>
      <c r="U215" s="53">
        <f t="shared" si="80"/>
        <v>4.2653187775606449E-3</v>
      </c>
    </row>
    <row r="216" spans="1:21" x14ac:dyDescent="0.2">
      <c r="A216" s="62" t="e">
        <f t="shared" si="67"/>
        <v>#DIV/0!</v>
      </c>
      <c r="B216" s="45">
        <f t="shared" si="71"/>
        <v>202</v>
      </c>
      <c r="C216" s="51" t="e">
        <f t="shared" si="72"/>
        <v>#DIV/0!</v>
      </c>
      <c r="D216" s="47" t="e" cm="1">
        <f t="array" ref="D216">_xlfn.IFS(AND($C$7="Y",B216&lt;C$4),C216,AND($C$7="Y",B216=C$4),D215+F216-J216-K216-L216+N216,AND($C$7="Y",B216&gt;$C$4),D215-J216-K216-L216+N216, TRUE, D215-J216-K216-L216+N216)</f>
        <v>#DIV/0!</v>
      </c>
      <c r="E216" s="48">
        <f t="shared" si="73"/>
        <v>0</v>
      </c>
      <c r="F216" s="50">
        <f t="shared" si="74"/>
        <v>0</v>
      </c>
      <c r="G216" s="50">
        <f t="shared" si="81"/>
        <v>0</v>
      </c>
      <c r="H216" s="51" t="e">
        <f t="shared" si="82"/>
        <v>#DIV/0!</v>
      </c>
      <c r="I216" s="52" t="e">
        <f t="shared" si="68"/>
        <v>#DIV/0!</v>
      </c>
      <c r="J216" s="52" t="e">
        <f t="shared" si="69"/>
        <v>#DIV/0!</v>
      </c>
      <c r="K216" s="51" t="e">
        <f t="shared" si="79"/>
        <v>#DIV/0!</v>
      </c>
      <c r="L216" s="49" t="e">
        <f t="shared" si="75"/>
        <v>#DIV/0!</v>
      </c>
      <c r="M216" s="49">
        <f t="shared" si="65"/>
        <v>0</v>
      </c>
      <c r="N216" s="49">
        <f t="shared" si="64"/>
        <v>0</v>
      </c>
      <c r="O216" s="48" t="e">
        <f t="shared" si="70"/>
        <v>#DIV/0!</v>
      </c>
      <c r="P216" s="38" t="e">
        <f t="shared" si="66"/>
        <v>#DIV/0!</v>
      </c>
      <c r="Q216" s="53"/>
      <c r="R216" s="53">
        <f t="shared" si="76"/>
        <v>0</v>
      </c>
      <c r="S216" s="53">
        <f t="shared" si="77"/>
        <v>0</v>
      </c>
      <c r="T216" s="53">
        <f t="shared" si="78"/>
        <v>0.05</v>
      </c>
      <c r="U216" s="53">
        <f t="shared" si="80"/>
        <v>4.2653187775606449E-3</v>
      </c>
    </row>
    <row r="217" spans="1:21" x14ac:dyDescent="0.2">
      <c r="A217" s="62" t="e">
        <f t="shared" si="67"/>
        <v>#DIV/0!</v>
      </c>
      <c r="B217" s="45">
        <f t="shared" si="71"/>
        <v>203</v>
      </c>
      <c r="C217" s="51" t="e">
        <f t="shared" si="72"/>
        <v>#DIV/0!</v>
      </c>
      <c r="D217" s="47" t="e" cm="1">
        <f t="array" ref="D217">_xlfn.IFS(AND($C$7="Y",B217&lt;C$4),C217,AND($C$7="Y",B217=C$4),D216+F217-J217-K217-L217+N217,AND($C$7="Y",B217&gt;$C$4),D216-J217-K217-L217+N217, TRUE, D216-J217-K217-L217+N217)</f>
        <v>#DIV/0!</v>
      </c>
      <c r="E217" s="48">
        <f t="shared" si="73"/>
        <v>0</v>
      </c>
      <c r="F217" s="50">
        <f t="shared" si="74"/>
        <v>0</v>
      </c>
      <c r="G217" s="50">
        <f t="shared" si="81"/>
        <v>0</v>
      </c>
      <c r="H217" s="51" t="e">
        <f t="shared" si="82"/>
        <v>#DIV/0!</v>
      </c>
      <c r="I217" s="52" t="e">
        <f t="shared" si="68"/>
        <v>#DIV/0!</v>
      </c>
      <c r="J217" s="52" t="e">
        <f t="shared" si="69"/>
        <v>#DIV/0!</v>
      </c>
      <c r="K217" s="51" t="e">
        <f t="shared" si="79"/>
        <v>#DIV/0!</v>
      </c>
      <c r="L217" s="49" t="e">
        <f t="shared" si="75"/>
        <v>#DIV/0!</v>
      </c>
      <c r="M217" s="49">
        <f t="shared" si="65"/>
        <v>0</v>
      </c>
      <c r="N217" s="49">
        <f t="shared" si="64"/>
        <v>0</v>
      </c>
      <c r="O217" s="48" t="e">
        <f t="shared" si="70"/>
        <v>#DIV/0!</v>
      </c>
      <c r="P217" s="38" t="e">
        <f t="shared" si="66"/>
        <v>#DIV/0!</v>
      </c>
      <c r="Q217" s="53"/>
      <c r="R217" s="53">
        <f t="shared" si="76"/>
        <v>0</v>
      </c>
      <c r="S217" s="53">
        <f t="shared" si="77"/>
        <v>0</v>
      </c>
      <c r="T217" s="53">
        <f t="shared" si="78"/>
        <v>0.05</v>
      </c>
      <c r="U217" s="53">
        <f t="shared" si="80"/>
        <v>4.2653187775606449E-3</v>
      </c>
    </row>
    <row r="218" spans="1:21" x14ac:dyDescent="0.2">
      <c r="A218" s="62" t="e">
        <f t="shared" si="67"/>
        <v>#DIV/0!</v>
      </c>
      <c r="B218" s="45">
        <f t="shared" si="71"/>
        <v>204</v>
      </c>
      <c r="C218" s="51" t="e">
        <f t="shared" si="72"/>
        <v>#DIV/0!</v>
      </c>
      <c r="D218" s="47" t="e" cm="1">
        <f t="array" ref="D218">_xlfn.IFS(AND($C$7="Y",B218&lt;C$4),C218,AND($C$7="Y",B218=C$4),D217+F218-J218-K218-L218+N218,AND($C$7="Y",B218&gt;$C$4),D217-J218-K218-L218+N218, TRUE, D217-J218-K218-L218+N218)</f>
        <v>#DIV/0!</v>
      </c>
      <c r="E218" s="48">
        <f t="shared" si="73"/>
        <v>0</v>
      </c>
      <c r="F218" s="50">
        <f t="shared" si="74"/>
        <v>0</v>
      </c>
      <c r="G218" s="50">
        <f t="shared" si="81"/>
        <v>0</v>
      </c>
      <c r="H218" s="51" t="e">
        <f t="shared" si="82"/>
        <v>#DIV/0!</v>
      </c>
      <c r="I218" s="52" t="e">
        <f t="shared" si="68"/>
        <v>#DIV/0!</v>
      </c>
      <c r="J218" s="52" t="e">
        <f t="shared" si="69"/>
        <v>#DIV/0!</v>
      </c>
      <c r="K218" s="51" t="e">
        <f t="shared" si="79"/>
        <v>#DIV/0!</v>
      </c>
      <c r="L218" s="49" t="e">
        <f t="shared" si="75"/>
        <v>#DIV/0!</v>
      </c>
      <c r="M218" s="49">
        <f t="shared" si="65"/>
        <v>0</v>
      </c>
      <c r="N218" s="49">
        <f t="shared" si="64"/>
        <v>0</v>
      </c>
      <c r="O218" s="48" t="e">
        <f t="shared" si="70"/>
        <v>#DIV/0!</v>
      </c>
      <c r="P218" s="38" t="e">
        <f t="shared" si="66"/>
        <v>#DIV/0!</v>
      </c>
      <c r="Q218" s="53"/>
      <c r="R218" s="53">
        <f t="shared" si="76"/>
        <v>0</v>
      </c>
      <c r="S218" s="53">
        <f t="shared" si="77"/>
        <v>0</v>
      </c>
      <c r="T218" s="53">
        <f t="shared" si="78"/>
        <v>0.05</v>
      </c>
      <c r="U218" s="53">
        <f t="shared" si="80"/>
        <v>4.2653187775606449E-3</v>
      </c>
    </row>
    <row r="219" spans="1:21" x14ac:dyDescent="0.2">
      <c r="A219" s="62" t="e">
        <f t="shared" si="67"/>
        <v>#DIV/0!</v>
      </c>
      <c r="B219" s="45">
        <f t="shared" si="71"/>
        <v>205</v>
      </c>
      <c r="C219" s="51" t="e">
        <f t="shared" si="72"/>
        <v>#DIV/0!</v>
      </c>
      <c r="D219" s="47" t="e" cm="1">
        <f t="array" ref="D219">_xlfn.IFS(AND($C$7="Y",B219&lt;C$4),C219,AND($C$7="Y",B219=C$4),D218+F219-J219-K219-L219+N219,AND($C$7="Y",B219&gt;$C$4),D218-J219-K219-L219+N219, TRUE, D218-J219-K219-L219+N219)</f>
        <v>#DIV/0!</v>
      </c>
      <c r="E219" s="48">
        <f t="shared" si="73"/>
        <v>0</v>
      </c>
      <c r="F219" s="50">
        <f t="shared" si="74"/>
        <v>0</v>
      </c>
      <c r="G219" s="50">
        <f t="shared" si="81"/>
        <v>0</v>
      </c>
      <c r="H219" s="51" t="e">
        <f t="shared" si="82"/>
        <v>#DIV/0!</v>
      </c>
      <c r="I219" s="52" t="e">
        <f t="shared" si="68"/>
        <v>#DIV/0!</v>
      </c>
      <c r="J219" s="52" t="e">
        <f t="shared" si="69"/>
        <v>#DIV/0!</v>
      </c>
      <c r="K219" s="51" t="e">
        <f t="shared" si="79"/>
        <v>#DIV/0!</v>
      </c>
      <c r="L219" s="49" t="e">
        <f t="shared" si="75"/>
        <v>#DIV/0!</v>
      </c>
      <c r="M219" s="49">
        <f t="shared" si="65"/>
        <v>0</v>
      </c>
      <c r="N219" s="49">
        <f t="shared" si="64"/>
        <v>0</v>
      </c>
      <c r="O219" s="48" t="e">
        <f t="shared" si="70"/>
        <v>#DIV/0!</v>
      </c>
      <c r="P219" s="38" t="e">
        <f t="shared" si="66"/>
        <v>#DIV/0!</v>
      </c>
      <c r="Q219" s="53"/>
      <c r="R219" s="53">
        <f t="shared" si="76"/>
        <v>0</v>
      </c>
      <c r="S219" s="53">
        <f t="shared" si="77"/>
        <v>0</v>
      </c>
      <c r="T219" s="53">
        <f t="shared" si="78"/>
        <v>0.05</v>
      </c>
      <c r="U219" s="53">
        <f t="shared" si="80"/>
        <v>4.2653187775606449E-3</v>
      </c>
    </row>
    <row r="220" spans="1:21" x14ac:dyDescent="0.2">
      <c r="A220" s="62">
        <f t="shared" si="67"/>
        <v>0</v>
      </c>
      <c r="B220" s="45">
        <f t="shared" si="71"/>
        <v>206</v>
      </c>
      <c r="C220" s="49"/>
      <c r="D220" s="46"/>
      <c r="E220" s="61"/>
      <c r="F220" s="50"/>
      <c r="G220" s="50"/>
      <c r="H220" s="51"/>
      <c r="I220" s="51"/>
      <c r="J220" s="51"/>
      <c r="K220" s="51">
        <f t="shared" si="79"/>
        <v>0</v>
      </c>
      <c r="L220" s="49" t="e">
        <f t="shared" si="75"/>
        <v>#DIV/0!</v>
      </c>
      <c r="M220" s="49">
        <f t="shared" si="65"/>
        <v>0</v>
      </c>
      <c r="N220" s="49">
        <f t="shared" si="64"/>
        <v>0</v>
      </c>
      <c r="O220" s="48" t="e">
        <f t="shared" si="70"/>
        <v>#DIV/0!</v>
      </c>
      <c r="P220" s="38" t="e">
        <f t="shared" si="66"/>
        <v>#DIV/0!</v>
      </c>
      <c r="Q220" s="53"/>
      <c r="R220" s="53"/>
      <c r="S220" s="53"/>
    </row>
    <row r="221" spans="1:21" x14ac:dyDescent="0.2">
      <c r="A221" s="62">
        <f t="shared" si="67"/>
        <v>0</v>
      </c>
      <c r="B221" s="45">
        <f t="shared" si="71"/>
        <v>207</v>
      </c>
      <c r="C221" s="49"/>
      <c r="D221" s="46"/>
      <c r="E221" s="61"/>
      <c r="F221" s="50"/>
      <c r="G221" s="56"/>
      <c r="H221" s="51"/>
      <c r="I221" s="51">
        <f t="shared" ref="I221:I235" si="83">IF($B220&lt;=25,0,C$2*D220/12)</f>
        <v>0</v>
      </c>
      <c r="J221" s="51">
        <f t="shared" ref="J221:J235" si="84">H221-I221</f>
        <v>0</v>
      </c>
      <c r="K221" s="51" t="e">
        <f t="shared" si="79"/>
        <v>#REF!</v>
      </c>
      <c r="L221" s="49">
        <f t="shared" si="75"/>
        <v>0</v>
      </c>
      <c r="M221" s="49">
        <f t="shared" si="65"/>
        <v>0</v>
      </c>
      <c r="N221" s="49">
        <f t="shared" si="64"/>
        <v>0</v>
      </c>
      <c r="O221" s="48" t="e">
        <f t="shared" si="70"/>
        <v>#REF!</v>
      </c>
      <c r="P221" s="38" t="e">
        <f t="shared" si="66"/>
        <v>#REF!</v>
      </c>
      <c r="Q221" s="53"/>
      <c r="R221" s="53" t="e">
        <f>INDEX(#REF!,MATCH(#REF!,#REF!,0),MATCH(ActiveCDR,#REF!,0))%</f>
        <v>#REF!</v>
      </c>
      <c r="S221" s="53" t="e">
        <f>1-(1-R221)^(1/12)</f>
        <v>#REF!</v>
      </c>
    </row>
    <row r="222" spans="1:21" x14ac:dyDescent="0.2">
      <c r="A222" s="62">
        <f t="shared" si="67"/>
        <v>0</v>
      </c>
      <c r="B222" s="45">
        <f t="shared" si="71"/>
        <v>208</v>
      </c>
      <c r="C222" s="49"/>
      <c r="D222" s="46"/>
      <c r="E222" s="61"/>
      <c r="F222" s="50"/>
      <c r="G222" s="56"/>
      <c r="H222" s="51"/>
      <c r="I222" s="51">
        <f t="shared" si="83"/>
        <v>0</v>
      </c>
      <c r="J222" s="51">
        <f t="shared" si="84"/>
        <v>0</v>
      </c>
      <c r="K222" s="51" t="e">
        <f t="shared" si="79"/>
        <v>#REF!</v>
      </c>
      <c r="L222" s="49">
        <f t="shared" si="75"/>
        <v>0</v>
      </c>
      <c r="M222" s="49">
        <f t="shared" si="65"/>
        <v>0</v>
      </c>
      <c r="N222" s="49">
        <f t="shared" si="64"/>
        <v>0</v>
      </c>
      <c r="O222" s="48" t="e">
        <f t="shared" si="70"/>
        <v>#REF!</v>
      </c>
      <c r="P222" s="38" t="e">
        <f t="shared" si="66"/>
        <v>#REF!</v>
      </c>
      <c r="Q222" s="53"/>
      <c r="R222" s="53" t="e">
        <f>INDEX(#REF!,MATCH(#REF!,#REF!,0),MATCH(ActiveCDR,#REF!,0))%</f>
        <v>#REF!</v>
      </c>
      <c r="S222" s="53" t="e">
        <f t="shared" ref="S222:S224" si="85">1-(1-R222)^(1/12)</f>
        <v>#REF!</v>
      </c>
    </row>
    <row r="223" spans="1:21" x14ac:dyDescent="0.2">
      <c r="A223" s="62">
        <f t="shared" si="67"/>
        <v>0</v>
      </c>
      <c r="B223" s="45">
        <f t="shared" si="71"/>
        <v>209</v>
      </c>
      <c r="C223" s="49"/>
      <c r="D223" s="46"/>
      <c r="E223" s="61"/>
      <c r="F223" s="50"/>
      <c r="G223" s="56"/>
      <c r="H223" s="51"/>
      <c r="I223" s="51">
        <f t="shared" si="83"/>
        <v>0</v>
      </c>
      <c r="J223" s="51">
        <f t="shared" si="84"/>
        <v>0</v>
      </c>
      <c r="K223" s="51" t="e">
        <f t="shared" si="79"/>
        <v>#REF!</v>
      </c>
      <c r="L223" s="49">
        <f t="shared" si="75"/>
        <v>0</v>
      </c>
      <c r="M223" s="49">
        <f t="shared" si="65"/>
        <v>0</v>
      </c>
      <c r="N223" s="49">
        <f t="shared" si="64"/>
        <v>0</v>
      </c>
      <c r="O223" s="48" t="e">
        <f t="shared" si="70"/>
        <v>#REF!</v>
      </c>
      <c r="P223" s="38" t="e">
        <f t="shared" si="66"/>
        <v>#REF!</v>
      </c>
      <c r="Q223" s="53"/>
      <c r="R223" s="53" t="e">
        <f>INDEX(#REF!,MATCH(#REF!,#REF!,0),MATCH(ActiveCDR,#REF!,0))%</f>
        <v>#REF!</v>
      </c>
      <c r="S223" s="53" t="e">
        <f t="shared" si="85"/>
        <v>#REF!</v>
      </c>
    </row>
    <row r="224" spans="1:21" x14ac:dyDescent="0.2">
      <c r="A224" s="62">
        <f t="shared" si="67"/>
        <v>0</v>
      </c>
      <c r="B224" s="45"/>
      <c r="C224" s="49"/>
      <c r="D224" s="46"/>
      <c r="E224" s="61"/>
      <c r="F224" s="50"/>
      <c r="G224" s="56"/>
      <c r="H224" s="51"/>
      <c r="I224" s="51">
        <f t="shared" si="83"/>
        <v>0</v>
      </c>
      <c r="J224" s="51">
        <f t="shared" si="84"/>
        <v>0</v>
      </c>
      <c r="K224" s="51" t="e">
        <f t="shared" si="79"/>
        <v>#REF!</v>
      </c>
      <c r="L224" s="49">
        <f t="shared" si="75"/>
        <v>0</v>
      </c>
      <c r="M224" s="49">
        <f t="shared" si="65"/>
        <v>0</v>
      </c>
      <c r="N224" s="49">
        <f t="shared" si="64"/>
        <v>0</v>
      </c>
      <c r="O224" s="48" t="e">
        <f t="shared" si="70"/>
        <v>#REF!</v>
      </c>
      <c r="P224" s="38" t="e">
        <f t="shared" si="66"/>
        <v>#REF!</v>
      </c>
      <c r="Q224" s="53"/>
      <c r="R224" s="53" t="e">
        <f>INDEX(#REF!,MATCH(#REF!,#REF!,0),MATCH(ActiveCDR,#REF!,0))%</f>
        <v>#REF!</v>
      </c>
      <c r="S224" s="53" t="e">
        <f t="shared" si="85"/>
        <v>#REF!</v>
      </c>
    </row>
    <row r="225" spans="1:19" x14ac:dyDescent="0.2">
      <c r="A225" s="62">
        <f t="shared" si="67"/>
        <v>0</v>
      </c>
      <c r="B225" s="45"/>
      <c r="C225" s="49"/>
      <c r="D225" s="46"/>
      <c r="E225" s="61"/>
      <c r="F225" s="50"/>
      <c r="G225" s="56"/>
      <c r="H225" s="51"/>
      <c r="I225" s="51">
        <f t="shared" si="83"/>
        <v>0</v>
      </c>
      <c r="J225" s="51">
        <f t="shared" si="84"/>
        <v>0</v>
      </c>
      <c r="K225" s="51">
        <f t="shared" si="79"/>
        <v>0</v>
      </c>
      <c r="L225" s="49">
        <f t="shared" si="75"/>
        <v>0</v>
      </c>
      <c r="M225" s="49">
        <f t="shared" si="65"/>
        <v>0</v>
      </c>
      <c r="N225" s="49">
        <f t="shared" si="64"/>
        <v>0</v>
      </c>
      <c r="O225" s="48">
        <f t="shared" si="70"/>
        <v>0</v>
      </c>
      <c r="P225" s="38">
        <f t="shared" si="66"/>
        <v>0</v>
      </c>
      <c r="Q225" s="53"/>
      <c r="R225" s="53"/>
      <c r="S225" s="53"/>
    </row>
    <row r="226" spans="1:19" x14ac:dyDescent="0.2">
      <c r="A226" s="62">
        <f t="shared" si="67"/>
        <v>0</v>
      </c>
      <c r="B226" s="45"/>
      <c r="C226" s="49"/>
      <c r="D226" s="46"/>
      <c r="E226" s="61"/>
      <c r="F226" s="50"/>
      <c r="G226" s="56"/>
      <c r="H226" s="51"/>
      <c r="I226" s="51">
        <f t="shared" si="83"/>
        <v>0</v>
      </c>
      <c r="J226" s="51">
        <f t="shared" si="84"/>
        <v>0</v>
      </c>
      <c r="K226" s="51">
        <f t="shared" si="79"/>
        <v>0</v>
      </c>
      <c r="L226" s="49">
        <f t="shared" si="75"/>
        <v>0</v>
      </c>
      <c r="M226" s="49">
        <f t="shared" si="65"/>
        <v>0</v>
      </c>
      <c r="N226" s="49">
        <f t="shared" si="64"/>
        <v>0</v>
      </c>
      <c r="O226" s="48">
        <f t="shared" si="70"/>
        <v>0</v>
      </c>
      <c r="P226" s="38">
        <f t="shared" si="66"/>
        <v>0</v>
      </c>
      <c r="Q226" s="53"/>
      <c r="R226" s="53"/>
      <c r="S226" s="53"/>
    </row>
    <row r="227" spans="1:19" x14ac:dyDescent="0.2">
      <c r="A227" s="62">
        <f t="shared" si="67"/>
        <v>0</v>
      </c>
      <c r="B227" s="45"/>
      <c r="C227" s="49"/>
      <c r="D227" s="46"/>
      <c r="E227" s="61"/>
      <c r="F227" s="50"/>
      <c r="G227" s="56"/>
      <c r="H227" s="51"/>
      <c r="I227" s="51">
        <f t="shared" si="83"/>
        <v>0</v>
      </c>
      <c r="J227" s="51">
        <f t="shared" si="84"/>
        <v>0</v>
      </c>
      <c r="K227" s="51">
        <f t="shared" si="79"/>
        <v>0</v>
      </c>
      <c r="L227" s="49">
        <f t="shared" si="75"/>
        <v>0</v>
      </c>
      <c r="M227" s="49">
        <f t="shared" si="65"/>
        <v>0</v>
      </c>
      <c r="N227" s="49">
        <f t="shared" ref="N227:N235" si="86">IFERROR((1-$N$12)*L223,0)</f>
        <v>0</v>
      </c>
      <c r="O227" s="48">
        <f t="shared" si="70"/>
        <v>0</v>
      </c>
      <c r="P227" s="38">
        <f t="shared" si="66"/>
        <v>0</v>
      </c>
      <c r="Q227" s="53"/>
      <c r="R227" s="53"/>
      <c r="S227" s="53"/>
    </row>
    <row r="228" spans="1:19" x14ac:dyDescent="0.2">
      <c r="A228" s="62">
        <f t="shared" si="67"/>
        <v>0</v>
      </c>
      <c r="B228" s="45"/>
      <c r="C228" s="49"/>
      <c r="D228" s="46"/>
      <c r="E228" s="61"/>
      <c r="F228" s="50"/>
      <c r="G228" s="56"/>
      <c r="H228" s="51"/>
      <c r="I228" s="51">
        <f t="shared" si="83"/>
        <v>0</v>
      </c>
      <c r="J228" s="51">
        <f t="shared" si="84"/>
        <v>0</v>
      </c>
      <c r="K228" s="51">
        <f t="shared" si="79"/>
        <v>0</v>
      </c>
      <c r="L228" s="49">
        <f t="shared" si="75"/>
        <v>0</v>
      </c>
      <c r="M228" s="49">
        <f t="shared" si="65"/>
        <v>0</v>
      </c>
      <c r="N228" s="49">
        <f t="shared" si="86"/>
        <v>0</v>
      </c>
      <c r="O228" s="48">
        <f t="shared" si="70"/>
        <v>0</v>
      </c>
      <c r="P228" s="38">
        <f t="shared" si="66"/>
        <v>0</v>
      </c>
      <c r="Q228" s="53"/>
      <c r="R228" s="53"/>
      <c r="S228" s="53"/>
    </row>
    <row r="229" spans="1:19" x14ac:dyDescent="0.2">
      <c r="A229" s="62">
        <f t="shared" si="67"/>
        <v>0</v>
      </c>
      <c r="B229" s="45"/>
      <c r="C229" s="49"/>
      <c r="D229" s="46"/>
      <c r="E229" s="61"/>
      <c r="F229" s="50"/>
      <c r="G229" s="56"/>
      <c r="H229" s="51"/>
      <c r="I229" s="51">
        <f t="shared" si="83"/>
        <v>0</v>
      </c>
      <c r="J229" s="51">
        <f t="shared" si="84"/>
        <v>0</v>
      </c>
      <c r="K229" s="51">
        <f t="shared" si="79"/>
        <v>0</v>
      </c>
      <c r="L229" s="49">
        <f t="shared" si="75"/>
        <v>0</v>
      </c>
      <c r="M229" s="49">
        <f t="shared" si="65"/>
        <v>0</v>
      </c>
      <c r="N229" s="49">
        <f t="shared" si="86"/>
        <v>0</v>
      </c>
      <c r="O229" s="48">
        <f t="shared" si="70"/>
        <v>0</v>
      </c>
      <c r="P229" s="38">
        <f t="shared" si="66"/>
        <v>0</v>
      </c>
      <c r="Q229" s="53"/>
      <c r="R229" s="53"/>
      <c r="S229" s="53"/>
    </row>
    <row r="230" spans="1:19" x14ac:dyDescent="0.2">
      <c r="A230" s="62">
        <f t="shared" si="67"/>
        <v>0</v>
      </c>
      <c r="B230" s="45"/>
      <c r="C230" s="49"/>
      <c r="D230" s="46"/>
      <c r="E230" s="61"/>
      <c r="F230" s="50"/>
      <c r="G230" s="56"/>
      <c r="H230" s="51"/>
      <c r="I230" s="51">
        <f t="shared" si="83"/>
        <v>0</v>
      </c>
      <c r="J230" s="51">
        <f t="shared" si="84"/>
        <v>0</v>
      </c>
      <c r="K230" s="51">
        <f t="shared" si="79"/>
        <v>0</v>
      </c>
      <c r="L230" s="49">
        <f t="shared" si="75"/>
        <v>0</v>
      </c>
      <c r="M230" s="49">
        <f t="shared" si="65"/>
        <v>0</v>
      </c>
      <c r="N230" s="49">
        <f t="shared" si="86"/>
        <v>0</v>
      </c>
      <c r="O230" s="48">
        <f t="shared" si="70"/>
        <v>0</v>
      </c>
      <c r="P230" s="38">
        <f t="shared" si="66"/>
        <v>0</v>
      </c>
      <c r="Q230" s="53"/>
      <c r="R230" s="53"/>
      <c r="S230" s="53"/>
    </row>
    <row r="231" spans="1:19" x14ac:dyDescent="0.2">
      <c r="A231" s="62">
        <f t="shared" si="67"/>
        <v>0</v>
      </c>
      <c r="B231" s="45"/>
      <c r="C231" s="49"/>
      <c r="D231" s="46"/>
      <c r="E231" s="61"/>
      <c r="F231" s="50"/>
      <c r="G231" s="56"/>
      <c r="H231" s="51"/>
      <c r="I231" s="51">
        <f t="shared" si="83"/>
        <v>0</v>
      </c>
      <c r="J231" s="51">
        <f t="shared" si="84"/>
        <v>0</v>
      </c>
      <c r="K231" s="51">
        <f t="shared" si="79"/>
        <v>0</v>
      </c>
      <c r="L231" s="49">
        <f t="shared" si="75"/>
        <v>0</v>
      </c>
      <c r="M231" s="49">
        <f t="shared" si="65"/>
        <v>0</v>
      </c>
      <c r="N231" s="49">
        <f t="shared" si="86"/>
        <v>0</v>
      </c>
      <c r="O231" s="48">
        <f t="shared" si="70"/>
        <v>0</v>
      </c>
      <c r="P231" s="38">
        <f t="shared" si="66"/>
        <v>0</v>
      </c>
      <c r="Q231" s="53"/>
      <c r="R231" s="53"/>
      <c r="S231" s="53"/>
    </row>
    <row r="232" spans="1:19" x14ac:dyDescent="0.2">
      <c r="A232" s="62">
        <f t="shared" si="67"/>
        <v>0</v>
      </c>
      <c r="B232" s="45"/>
      <c r="C232" s="49"/>
      <c r="D232" s="46"/>
      <c r="E232" s="61"/>
      <c r="F232" s="50"/>
      <c r="G232" s="56"/>
      <c r="H232" s="51"/>
      <c r="I232" s="51">
        <f t="shared" si="83"/>
        <v>0</v>
      </c>
      <c r="J232" s="51">
        <f t="shared" si="84"/>
        <v>0</v>
      </c>
      <c r="K232" s="51">
        <f t="shared" si="79"/>
        <v>0</v>
      </c>
      <c r="L232" s="49">
        <f t="shared" si="75"/>
        <v>0</v>
      </c>
      <c r="M232" s="49">
        <f t="shared" si="65"/>
        <v>0</v>
      </c>
      <c r="N232" s="49">
        <f t="shared" si="86"/>
        <v>0</v>
      </c>
      <c r="O232" s="48">
        <f t="shared" si="70"/>
        <v>0</v>
      </c>
      <c r="P232" s="38">
        <f t="shared" si="66"/>
        <v>0</v>
      </c>
      <c r="Q232" s="53"/>
      <c r="R232" s="53"/>
      <c r="S232" s="53"/>
    </row>
    <row r="233" spans="1:19" x14ac:dyDescent="0.2">
      <c r="A233" s="62">
        <f t="shared" si="67"/>
        <v>0</v>
      </c>
      <c r="B233" s="45"/>
      <c r="C233" s="49"/>
      <c r="D233" s="46"/>
      <c r="E233" s="61"/>
      <c r="F233" s="50"/>
      <c r="G233" s="56"/>
      <c r="H233" s="51"/>
      <c r="I233" s="51">
        <f t="shared" si="83"/>
        <v>0</v>
      </c>
      <c r="J233" s="51">
        <f t="shared" si="84"/>
        <v>0</v>
      </c>
      <c r="K233" s="51">
        <f t="shared" si="79"/>
        <v>0</v>
      </c>
      <c r="L233" s="49">
        <f t="shared" si="75"/>
        <v>0</v>
      </c>
      <c r="M233" s="49">
        <f t="shared" si="65"/>
        <v>0</v>
      </c>
      <c r="N233" s="49">
        <f t="shared" si="86"/>
        <v>0</v>
      </c>
      <c r="O233" s="48">
        <f t="shared" si="70"/>
        <v>0</v>
      </c>
      <c r="P233" s="38">
        <f t="shared" si="66"/>
        <v>0</v>
      </c>
      <c r="Q233" s="53"/>
      <c r="R233" s="53"/>
      <c r="S233" s="53"/>
    </row>
    <row r="234" spans="1:19" x14ac:dyDescent="0.2">
      <c r="A234" s="62">
        <f t="shared" si="67"/>
        <v>0</v>
      </c>
      <c r="B234" s="45"/>
      <c r="C234" s="49"/>
      <c r="D234" s="46"/>
      <c r="E234" s="61"/>
      <c r="F234" s="50"/>
      <c r="G234" s="56"/>
      <c r="H234" s="51"/>
      <c r="I234" s="51">
        <f t="shared" si="83"/>
        <v>0</v>
      </c>
      <c r="J234" s="51">
        <f t="shared" si="84"/>
        <v>0</v>
      </c>
      <c r="K234" s="51">
        <f t="shared" si="79"/>
        <v>0</v>
      </c>
      <c r="L234" s="49">
        <f t="shared" si="75"/>
        <v>0</v>
      </c>
      <c r="M234" s="49">
        <f t="shared" si="65"/>
        <v>0</v>
      </c>
      <c r="N234" s="49">
        <f t="shared" si="86"/>
        <v>0</v>
      </c>
      <c r="O234" s="48">
        <f t="shared" si="70"/>
        <v>0</v>
      </c>
      <c r="P234" s="38">
        <f t="shared" si="66"/>
        <v>0</v>
      </c>
      <c r="Q234" s="53"/>
      <c r="R234" s="53"/>
      <c r="S234" s="53"/>
    </row>
    <row r="235" spans="1:19" x14ac:dyDescent="0.2">
      <c r="A235" s="62">
        <f t="shared" si="67"/>
        <v>0</v>
      </c>
      <c r="B235" s="45"/>
      <c r="C235" s="49"/>
      <c r="D235" s="46"/>
      <c r="E235" s="61"/>
      <c r="F235" s="50"/>
      <c r="G235" s="56"/>
      <c r="H235" s="51"/>
      <c r="I235" s="51">
        <f t="shared" si="83"/>
        <v>0</v>
      </c>
      <c r="J235" s="51">
        <f t="shared" si="84"/>
        <v>0</v>
      </c>
      <c r="K235" s="51">
        <f t="shared" si="79"/>
        <v>0</v>
      </c>
      <c r="L235" s="49">
        <f t="shared" si="75"/>
        <v>0</v>
      </c>
      <c r="M235" s="49">
        <f t="shared" si="65"/>
        <v>0</v>
      </c>
      <c r="N235" s="49">
        <f t="shared" si="86"/>
        <v>0</v>
      </c>
      <c r="O235" s="48">
        <f t="shared" si="70"/>
        <v>0</v>
      </c>
      <c r="P235" s="38">
        <f t="shared" si="66"/>
        <v>0</v>
      </c>
      <c r="Q235" s="53"/>
      <c r="R235" s="53"/>
      <c r="S235" s="53"/>
    </row>
  </sheetData>
  <pageMargins left="0.7" right="0.7" top="0.75" bottom="0.75" header="0.3" footer="0.3"/>
  <pageSetup orientation="portrait" horizontalDpi="300" verticalDpi="30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878FB2-8789-4C69-A933-A16C69D56F9A}">
  <sheetPr codeName="Sheet13"/>
  <dimension ref="A1:W232"/>
  <sheetViews>
    <sheetView showGridLines="0" tabSelected="1" zoomScaleNormal="100" workbookViewId="0">
      <selection activeCell="H18" sqref="H18"/>
    </sheetView>
  </sheetViews>
  <sheetFormatPr defaultColWidth="9.140625" defaultRowHeight="11.25" x14ac:dyDescent="0.2"/>
  <cols>
    <col min="1" max="1" width="12.5703125" style="7" customWidth="1"/>
    <col min="2" max="2" width="15.42578125" style="7" customWidth="1"/>
    <col min="3" max="3" width="15.7109375" style="7" customWidth="1"/>
    <col min="4" max="4" width="15.85546875" style="7" customWidth="1"/>
    <col min="5" max="5" width="13.140625" style="7" customWidth="1"/>
    <col min="6" max="6" width="15.28515625" style="7" customWidth="1"/>
    <col min="7" max="7" width="17" style="7" customWidth="1"/>
    <col min="8" max="8" width="18" style="7" customWidth="1"/>
    <col min="9" max="15" width="17" style="7" customWidth="1"/>
    <col min="16" max="16" width="15.85546875" style="7" customWidth="1"/>
    <col min="17" max="19" width="9.140625" style="7"/>
    <col min="20" max="20" width="14.28515625" style="7" bestFit="1" customWidth="1"/>
    <col min="21" max="21" width="12.85546875" style="7" customWidth="1"/>
    <col min="22" max="22" width="11.42578125" style="7" bestFit="1" customWidth="1"/>
    <col min="23" max="23" width="12.5703125" style="7" bestFit="1" customWidth="1"/>
    <col min="24" max="16384" width="9.140625" style="7"/>
  </cols>
  <sheetData>
    <row r="1" spans="1:23" ht="12" x14ac:dyDescent="0.2">
      <c r="A1" s="1"/>
      <c r="B1" s="2" t="s">
        <v>0</v>
      </c>
      <c r="C1" s="3">
        <v>100000000</v>
      </c>
      <c r="D1" s="4" t="s">
        <v>1</v>
      </c>
      <c r="E1" s="5" t="s">
        <v>2</v>
      </c>
      <c r="F1" s="6"/>
      <c r="H1" s="8" t="s">
        <v>3</v>
      </c>
      <c r="I1" s="9">
        <f>T8/C1</f>
        <v>7.4571678926573695E-2</v>
      </c>
      <c r="J1" s="84">
        <v>0.05</v>
      </c>
      <c r="K1" s="115" t="s">
        <v>89</v>
      </c>
      <c r="N1" s="122">
        <f>M8*0.9/C1</f>
        <v>0</v>
      </c>
      <c r="O1" s="123"/>
      <c r="P1" s="124"/>
    </row>
    <row r="2" spans="1:23" ht="12" x14ac:dyDescent="0.2">
      <c r="A2" s="11"/>
      <c r="B2" s="12" t="s">
        <v>4</v>
      </c>
      <c r="C2" s="13">
        <v>0.05</v>
      </c>
      <c r="D2" s="14"/>
      <c r="E2" s="15" t="s">
        <v>5</v>
      </c>
      <c r="F2" s="16"/>
      <c r="H2" s="17" t="s">
        <v>6</v>
      </c>
      <c r="I2" s="18">
        <v>0.05</v>
      </c>
      <c r="M2" s="19">
        <f>(M8+N8)/C1</f>
        <v>8.285742102952626E-3</v>
      </c>
      <c r="N2" s="125">
        <f>P8/C1</f>
        <v>0.89134410768040429</v>
      </c>
      <c r="O2" s="7" t="s">
        <v>90</v>
      </c>
      <c r="P2" s="30"/>
    </row>
    <row r="3" spans="1:23" ht="12" x14ac:dyDescent="0.2">
      <c r="A3" s="11"/>
      <c r="B3" s="12" t="s">
        <v>7</v>
      </c>
      <c r="C3" s="20">
        <v>60</v>
      </c>
      <c r="E3" s="17" t="s">
        <v>8</v>
      </c>
      <c r="F3" s="21"/>
      <c r="H3" s="17" t="s">
        <v>9</v>
      </c>
      <c r="I3" s="136">
        <f>T9</f>
        <v>0.04</v>
      </c>
      <c r="K3" s="46">
        <v>419512.21</v>
      </c>
      <c r="L3" s="49">
        <f>K3/U13</f>
        <v>123529339.92132786</v>
      </c>
      <c r="N3" s="29"/>
      <c r="P3" s="30"/>
      <c r="T3" s="46">
        <v>2339837.2599999998</v>
      </c>
      <c r="U3" s="46">
        <v>3564282.02</v>
      </c>
      <c r="V3" s="46"/>
    </row>
    <row r="4" spans="1:23" ht="12" x14ac:dyDescent="0.2">
      <c r="B4" s="100" t="s">
        <v>10</v>
      </c>
      <c r="C4" s="20">
        <v>0</v>
      </c>
      <c r="E4" s="17" t="s">
        <v>11</v>
      </c>
      <c r="F4" s="23"/>
      <c r="H4" s="17"/>
      <c r="I4" s="24"/>
      <c r="L4" s="38">
        <f>L3-D12</f>
        <v>26378450.979712561</v>
      </c>
      <c r="N4" s="29"/>
      <c r="P4" s="30"/>
    </row>
    <row r="5" spans="1:23" ht="12" x14ac:dyDescent="0.2">
      <c r="B5" s="101" t="s">
        <v>12</v>
      </c>
      <c r="C5" s="25">
        <v>0</v>
      </c>
      <c r="E5" s="17" t="s">
        <v>13</v>
      </c>
      <c r="F5" s="26"/>
      <c r="H5" s="17"/>
      <c r="I5" s="24"/>
      <c r="J5" s="38">
        <f>H12-I12</f>
        <v>1471871.7199006539</v>
      </c>
      <c r="N5" s="29"/>
      <c r="P5" s="30"/>
      <c r="T5" s="46"/>
      <c r="U5" s="46"/>
    </row>
    <row r="6" spans="1:23" ht="12.75" thickBot="1" x14ac:dyDescent="0.25">
      <c r="B6" s="101" t="s">
        <v>14</v>
      </c>
      <c r="C6" s="25">
        <v>0</v>
      </c>
      <c r="E6" s="17" t="s">
        <v>15</v>
      </c>
      <c r="F6" s="27"/>
      <c r="H6" s="17"/>
      <c r="I6" s="24"/>
      <c r="N6" s="36"/>
      <c r="O6" s="102"/>
      <c r="P6" s="37"/>
      <c r="V6" s="46"/>
    </row>
    <row r="7" spans="1:23" x14ac:dyDescent="0.2">
      <c r="B7" s="101" t="s">
        <v>16</v>
      </c>
      <c r="C7" s="28" t="s">
        <v>38</v>
      </c>
      <c r="E7" s="17" t="s">
        <v>17</v>
      </c>
      <c r="F7" s="26"/>
      <c r="H7" s="29"/>
      <c r="I7" s="30"/>
      <c r="J7" s="31"/>
      <c r="N7" s="31"/>
      <c r="T7" s="86"/>
    </row>
    <row r="8" spans="1:23" ht="12" thickBot="1" x14ac:dyDescent="0.25">
      <c r="B8" s="32" t="s">
        <v>18</v>
      </c>
      <c r="C8" s="33">
        <v>0.12</v>
      </c>
      <c r="E8" s="34"/>
      <c r="F8" s="35"/>
      <c r="H8" s="36"/>
      <c r="I8" s="37"/>
      <c r="J8" s="31">
        <f t="shared" ref="J8:O8" si="0">_xlfn.AGGREGATE(9, 6, J11:J300)</f>
        <v>66796017.840265118</v>
      </c>
      <c r="K8" s="38"/>
      <c r="L8" s="31">
        <f t="shared" si="0"/>
        <v>8285742.1029526321</v>
      </c>
      <c r="M8" s="31"/>
      <c r="N8" s="31">
        <f t="shared" si="0"/>
        <v>828574.21029526263</v>
      </c>
      <c r="O8" s="31">
        <f t="shared" si="0"/>
        <v>102671357.79394625</v>
      </c>
      <c r="P8" s="31">
        <f>_xlfn.AGGREGATE(9, 6, P11:P300)</f>
        <v>89134410.768040434</v>
      </c>
      <c r="Q8" s="31"/>
      <c r="T8" s="116">
        <f>L8-N8</f>
        <v>7457167.8926573694</v>
      </c>
      <c r="U8" s="7" t="s">
        <v>3</v>
      </c>
      <c r="V8" s="46"/>
      <c r="W8" s="46"/>
    </row>
    <row r="9" spans="1:23" s="59" customFormat="1" ht="41.1" customHeight="1" x14ac:dyDescent="0.2">
      <c r="B9" s="105"/>
      <c r="C9" s="58"/>
      <c r="D9" s="119"/>
      <c r="E9" s="58"/>
      <c r="F9" s="55"/>
      <c r="G9" s="58"/>
      <c r="H9" s="96"/>
      <c r="I9" s="58"/>
      <c r="J9" s="58"/>
      <c r="K9" s="58"/>
      <c r="L9" s="58"/>
      <c r="N9" s="120">
        <v>0.9</v>
      </c>
      <c r="O9" s="121"/>
      <c r="P9" s="117">
        <v>7.4999999999999997E-2</v>
      </c>
      <c r="Q9" s="121"/>
      <c r="R9" s="117">
        <v>0.12</v>
      </c>
      <c r="S9" s="121"/>
      <c r="T9" s="118">
        <v>0.04</v>
      </c>
      <c r="U9" s="121"/>
      <c r="V9" s="55"/>
    </row>
    <row r="10" spans="1:23" ht="22.5" customHeight="1" x14ac:dyDescent="0.2">
      <c r="B10" s="42" t="s">
        <v>19</v>
      </c>
      <c r="C10" s="43" t="s">
        <v>20</v>
      </c>
      <c r="D10" s="43" t="s">
        <v>21</v>
      </c>
      <c r="E10" s="44" t="s">
        <v>22</v>
      </c>
      <c r="F10" s="44" t="s">
        <v>23</v>
      </c>
      <c r="G10" s="44" t="s">
        <v>24</v>
      </c>
      <c r="H10" s="43" t="s">
        <v>25</v>
      </c>
      <c r="I10" s="43" t="s">
        <v>26</v>
      </c>
      <c r="J10" s="43" t="s">
        <v>27</v>
      </c>
      <c r="K10" s="43" t="s">
        <v>88</v>
      </c>
      <c r="L10" s="43" t="s">
        <v>29</v>
      </c>
      <c r="M10" s="43" t="s">
        <v>30</v>
      </c>
      <c r="N10" s="43" t="s">
        <v>31</v>
      </c>
      <c r="O10" s="43" t="s">
        <v>32</v>
      </c>
      <c r="P10" s="43" t="s">
        <v>33</v>
      </c>
      <c r="Q10" s="43"/>
      <c r="R10" s="43" t="s">
        <v>34</v>
      </c>
      <c r="S10" s="43" t="s">
        <v>35</v>
      </c>
      <c r="T10" s="43" t="s">
        <v>36</v>
      </c>
      <c r="U10" s="43" t="s">
        <v>37</v>
      </c>
      <c r="V10" s="38"/>
      <c r="W10" s="38"/>
    </row>
    <row r="11" spans="1:23" x14ac:dyDescent="0.2">
      <c r="A11" s="62"/>
      <c r="B11" s="45">
        <v>0</v>
      </c>
      <c r="C11" s="46">
        <f>C1</f>
        <v>100000000</v>
      </c>
      <c r="D11" s="47">
        <f>C1</f>
        <v>100000000</v>
      </c>
      <c r="E11" s="38">
        <f>C5</f>
        <v>0</v>
      </c>
      <c r="F11" s="38">
        <f>C$5</f>
        <v>0</v>
      </c>
      <c r="O11" s="48">
        <f>K11+I11+J11+M11+N11+G11</f>
        <v>0</v>
      </c>
      <c r="P11" s="38">
        <f t="shared" ref="P11:P74" si="1">O11*(1/((1+P$9)^(B11/12)))</f>
        <v>0</v>
      </c>
    </row>
    <row r="12" spans="1:23" x14ac:dyDescent="0.2">
      <c r="A12" s="62"/>
      <c r="B12" s="45">
        <f>B11+1</f>
        <v>1</v>
      </c>
      <c r="C12" s="49">
        <f>IF(B12&lt;C$4,C$1,D11)</f>
        <v>100000000</v>
      </c>
      <c r="D12" s="47">
        <f>(D11-J12)*(1-S12-U12)</f>
        <v>97150888.941615298</v>
      </c>
      <c r="E12" s="48">
        <f>IF(AND($C$7="Y",B12&lt;=$C$4),D11*C$2/12-G12,0)</f>
        <v>0</v>
      </c>
      <c r="F12" s="50">
        <f>IF(AND($C$7="Y",B12&lt;=C$4),E12+F11,0)</f>
        <v>0</v>
      </c>
      <c r="G12" s="50">
        <f>IF(AND(C$7="Y",$B12&lt;=$C$4),C$6,0)</f>
        <v>0</v>
      </c>
      <c r="H12" s="51">
        <f>IF(AND($B12&lt;=$C$4,C$7="Y"),0,IF(AND(C$7="N",C$4&gt;0,B12&lt;=C$4),0,(D11)*C$2/12/(1-(1/(1+C$2/12))^(C$3+C$4-B12+1))))</f>
        <v>1887123.3644011051</v>
      </c>
      <c r="I12" s="52">
        <f t="shared" ref="I12:I75" si="2">IF(AND(C$7="Y",$B12&lt;=C$4),0,IF(AND(C$7="Y",$B12&gt;C$4),(1-U12)*C$2*D11/12,IF(AND($C$7="N",C$4&gt;0),(1-U12)*D11*C$2/12, (1-U12)*D11*C$2/12)))</f>
        <v>415251.6445004511</v>
      </c>
      <c r="J12" s="57">
        <f>IF(AND($B12&lt;=$C$4,C$7="Y"),0,IF(AND(C$7="N",C$4&gt;0,B12&lt;=C$4),0,H12-I12-D11*U12*C$2/12))</f>
        <v>1470456.6977344383</v>
      </c>
      <c r="K12" s="51">
        <f>(D11-D12)-L12+N12</f>
        <v>2509505.7384929457</v>
      </c>
      <c r="L12" s="49">
        <f>IF(AND(C$7="Y",$B12&lt;=$C$4),0,IF(AND(C$7="N",C$4&gt;0,B12&lt;=C$4),0,U12*C11))</f>
        <v>339605.31989175593</v>
      </c>
      <c r="M12" s="49">
        <f>IFERROR(#REF!*-1,0)</f>
        <v>0</v>
      </c>
      <c r="N12" s="49">
        <f>IFERROR((1-$N$9)*#REF!,0)</f>
        <v>0</v>
      </c>
      <c r="O12" s="48">
        <f>I12+K12+G12</f>
        <v>2924757.3829933968</v>
      </c>
      <c r="P12" s="38">
        <f t="shared" si="1"/>
        <v>2907183.6929805879</v>
      </c>
      <c r="Q12" s="53"/>
      <c r="R12" s="53">
        <f>R$9</f>
        <v>0.12</v>
      </c>
      <c r="S12" s="53">
        <f>1-(1-R12)^(1/12)</f>
        <v>1.0596241035318976E-2</v>
      </c>
      <c r="T12" s="53">
        <f>T$9</f>
        <v>0.04</v>
      </c>
      <c r="U12" s="53">
        <f>1-(1-T12)^(1/12)</f>
        <v>3.3960531989175591E-3</v>
      </c>
      <c r="V12" s="38"/>
      <c r="W12" s="89"/>
    </row>
    <row r="13" spans="1:23" s="59" customFormat="1" x14ac:dyDescent="0.2">
      <c r="A13" s="92"/>
      <c r="B13" s="54">
        <f t="shared" ref="B13:B76" si="3">B12+1</f>
        <v>2</v>
      </c>
      <c r="C13" s="51">
        <f>IF(B13&lt;C$4,C$1,D12-L13+N13)</f>
        <v>96820959.354447439</v>
      </c>
      <c r="D13" s="47">
        <f t="shared" ref="D13:D76" si="4">(D12-J13)*(1-S13-U13)</f>
        <v>94355974.01030457</v>
      </c>
      <c r="E13" s="93">
        <f t="shared" ref="E13:E76" si="5">IF(AND($C$7="Y",B13&lt;=$C$4),D12*C$2/12-G13,0)</f>
        <v>0</v>
      </c>
      <c r="F13" s="56">
        <f t="shared" ref="F13:F76" si="6">IF(AND($C$7="Y",B13&lt;=C$4),E13+F12,0)</f>
        <v>0</v>
      </c>
      <c r="G13" s="56">
        <f>IF(AND(C$7="Y",$B13&lt;=$C$4),C$6,0)</f>
        <v>0</v>
      </c>
      <c r="H13" s="51">
        <f t="shared" ref="H13:H76" si="7">IF(AND($B13&lt;=$C$4,C$7="Y"),0,IF(AND(C$7="N",C$4&gt;0,B13&lt;=C$4),0,(D12)*C$2/12/(1-(1/(1+C$2/12))^(C$3+C$4-B13+1))))</f>
        <v>1860718.1790301015</v>
      </c>
      <c r="I13" s="52">
        <f t="shared" si="2"/>
        <v>403420.66397686437</v>
      </c>
      <c r="J13" s="57">
        <f t="shared" ref="J13:J76" si="8">IF(AND($B13&lt;=$C$4,C$7="Y"),0,IF(AND(C$7="N",C$4&gt;0,B13&lt;=C$4),0,H13-I13-D12*U13*C$2/12))</f>
        <v>1455922.8084400378</v>
      </c>
      <c r="K13" s="51">
        <f>(D12-D13)-L13+N13</f>
        <v>2464985.344142871</v>
      </c>
      <c r="L13" s="51">
        <f t="shared" ref="L13:L76" si="9">IF(AND(C$7="Y",$B13&lt;=$C$4),0,IF(AND(C$7="N",C$4&gt;0,B13&lt;=C$4),0,U13*D12))</f>
        <v>329929.58716785716</v>
      </c>
      <c r="M13" s="55">
        <f>IFERROR(L9*-1,0)</f>
        <v>0</v>
      </c>
      <c r="N13" s="55">
        <f>IFERROR((1-$N$9)*K8,0)</f>
        <v>0</v>
      </c>
      <c r="O13" s="48">
        <f t="shared" ref="O13:O76" si="10">I13+K13+G13</f>
        <v>2868406.0081197354</v>
      </c>
      <c r="P13" s="58">
        <f t="shared" si="1"/>
        <v>2834039.3723219554</v>
      </c>
      <c r="Q13" s="94"/>
      <c r="R13" s="94">
        <f t="shared" ref="R13:R76" si="11">R$9</f>
        <v>0.12</v>
      </c>
      <c r="S13" s="95">
        <f t="shared" ref="S13:S76" si="12">1-(1-R13)^(1/12)</f>
        <v>1.0596241035318976E-2</v>
      </c>
      <c r="T13" s="94">
        <f t="shared" ref="T13:T76" si="13">T$9</f>
        <v>0.04</v>
      </c>
      <c r="U13" s="95">
        <f>1-(1-T13)^(1/12)</f>
        <v>3.3960531989175591E-3</v>
      </c>
      <c r="V13" s="38"/>
      <c r="W13" s="55"/>
    </row>
    <row r="14" spans="1:23" x14ac:dyDescent="0.2">
      <c r="A14" s="62"/>
      <c r="B14" s="45">
        <f t="shared" si="3"/>
        <v>3</v>
      </c>
      <c r="C14" s="51">
        <f t="shared" ref="C13:C76" si="14">IF(B14&lt;C$4,C$1,D13-L14+N14)</f>
        <v>94035536.10292989</v>
      </c>
      <c r="D14" s="47">
        <f t="shared" si="4"/>
        <v>91614355.236004576</v>
      </c>
      <c r="E14" s="48">
        <f t="shared" si="5"/>
        <v>0</v>
      </c>
      <c r="F14" s="50">
        <f t="shared" si="6"/>
        <v>0</v>
      </c>
      <c r="G14" s="50">
        <f>IF(AND(C$7="Y",$B14&lt;=$C$4),C$6,0)</f>
        <v>0</v>
      </c>
      <c r="H14" s="51">
        <f t="shared" si="7"/>
        <v>1834682.4627821187</v>
      </c>
      <c r="I14" s="52">
        <f t="shared" si="2"/>
        <v>391814.73376220791</v>
      </c>
      <c r="J14" s="57">
        <f t="shared" si="8"/>
        <v>1441532.5710725163</v>
      </c>
      <c r="K14" s="51">
        <f t="shared" ref="K13:K76" si="15">(D13-D14)-L14+N14</f>
        <v>2421180.8669253173</v>
      </c>
      <c r="L14" s="49">
        <f t="shared" si="9"/>
        <v>320437.9073746769</v>
      </c>
      <c r="M14" s="55">
        <f t="shared" ref="M14" si="16">IFERROR(L10*-1,0)</f>
        <v>0</v>
      </c>
      <c r="N14" s="49">
        <f>IFERROR((1-$N$9)*L10,0)</f>
        <v>0</v>
      </c>
      <c r="O14" s="48">
        <f t="shared" si="10"/>
        <v>2812995.6006875252</v>
      </c>
      <c r="P14" s="38">
        <f t="shared" si="1"/>
        <v>2762593.1899394537</v>
      </c>
      <c r="Q14" s="53"/>
      <c r="R14" s="53">
        <f t="shared" si="11"/>
        <v>0.12</v>
      </c>
      <c r="S14" s="53">
        <f t="shared" si="12"/>
        <v>1.0596241035318976E-2</v>
      </c>
      <c r="T14" s="53">
        <f t="shared" si="13"/>
        <v>0.04</v>
      </c>
      <c r="U14" s="53">
        <f t="shared" ref="U14:U77" si="17">1-(1-T14)^(1/12)</f>
        <v>3.3960531989175591E-3</v>
      </c>
      <c r="V14" s="38"/>
    </row>
    <row r="15" spans="1:23" s="114" customFormat="1" x14ac:dyDescent="0.2">
      <c r="A15" s="106"/>
      <c r="B15" s="107">
        <f t="shared" si="3"/>
        <v>4</v>
      </c>
      <c r="C15" s="108">
        <f t="shared" si="14"/>
        <v>91303228.01183857</v>
      </c>
      <c r="D15" s="47">
        <f t="shared" si="4"/>
        <v>88925146.641276538</v>
      </c>
      <c r="E15" s="110">
        <f t="shared" si="5"/>
        <v>0</v>
      </c>
      <c r="F15" s="111">
        <f t="shared" si="6"/>
        <v>0</v>
      </c>
      <c r="G15" s="111">
        <f t="shared" ref="G15:G78" si="18">IF($B15&lt;=$C$4,C$6,0)</f>
        <v>0</v>
      </c>
      <c r="H15" s="51">
        <f t="shared" si="7"/>
        <v>1809011.0459364778</v>
      </c>
      <c r="I15" s="112">
        <f t="shared" si="2"/>
        <v>380430.11671599402</v>
      </c>
      <c r="J15" s="57">
        <f t="shared" si="8"/>
        <v>1427284.5657864588</v>
      </c>
      <c r="K15" s="51">
        <f t="shared" si="15"/>
        <v>2378081.3705620347</v>
      </c>
      <c r="L15" s="108">
        <f t="shared" si="9"/>
        <v>311127.224166003</v>
      </c>
      <c r="M15" s="108">
        <f>IFERROR(L11*-1,0)</f>
        <v>0</v>
      </c>
      <c r="N15" s="108">
        <f>IFERROR((1-$N$9)*L11,0)</f>
        <v>0</v>
      </c>
      <c r="O15" s="48">
        <f t="shared" si="10"/>
        <v>2758511.4872780289</v>
      </c>
      <c r="P15" s="104">
        <f t="shared" si="1"/>
        <v>2692807.5032136678</v>
      </c>
      <c r="Q15" s="113"/>
      <c r="R15" s="113">
        <f t="shared" si="11"/>
        <v>0.12</v>
      </c>
      <c r="S15" s="113">
        <f t="shared" si="12"/>
        <v>1.0596241035318976E-2</v>
      </c>
      <c r="T15" s="113">
        <f t="shared" si="13"/>
        <v>0.04</v>
      </c>
      <c r="U15" s="113">
        <f t="shared" si="17"/>
        <v>3.3960531989175591E-3</v>
      </c>
      <c r="V15" s="38"/>
    </row>
    <row r="16" spans="1:23" s="135" customFormat="1" x14ac:dyDescent="0.2">
      <c r="A16" s="127"/>
      <c r="B16" s="128">
        <f t="shared" si="3"/>
        <v>5</v>
      </c>
      <c r="C16" s="129">
        <f t="shared" si="14"/>
        <v>88657112.644550383</v>
      </c>
      <c r="D16" s="60">
        <f>(D15-J16)*(1-S16-U16)</f>
        <v>86287476.031679928</v>
      </c>
      <c r="E16" s="130">
        <f t="shared" si="5"/>
        <v>0</v>
      </c>
      <c r="F16" s="131">
        <f t="shared" si="6"/>
        <v>0</v>
      </c>
      <c r="G16" s="131">
        <f t="shared" si="18"/>
        <v>0</v>
      </c>
      <c r="H16" s="129">
        <f t="shared" si="7"/>
        <v>1783698.8311087498</v>
      </c>
      <c r="I16" s="132">
        <f>IF(AND(C$7="Y",$B16&lt;=C$4),0,IF(AND(C$7="Y",$B16&gt;C$4),(1-U16)*C$2*D15/12,IF(AND($C$7="N",C$4&gt;0),(1-U16)*D15*C$2/12, (1-U16)*D15*C$2/12)))</f>
        <v>369263.13380233845</v>
      </c>
      <c r="J16" s="132">
        <f>IF(AND($B16&lt;=$C$4,C$7="Y"),0,IF(AND(C$7="N",C$4&gt;0,B16&lt;=C$4),0,H16-I16-D15*U16*C$2/12))</f>
        <v>1413177.3867700975</v>
      </c>
      <c r="K16" s="55">
        <f>(D15-D16)-L16+N16</f>
        <v>2369636.612870465</v>
      </c>
      <c r="L16" s="55">
        <f>IF(AND(C$7="Y",$B16&lt;=$C$4),0,IF(AND(C$7="N",C$4&gt;0,B16&lt;=C$4),0,U16*D15))</f>
        <v>301994.52871532022</v>
      </c>
      <c r="M16" s="129">
        <f>IFERROR(L12*-1,0)</f>
        <v>-339605.31989175593</v>
      </c>
      <c r="N16" s="129">
        <f>IFERROR((1-$N$9)*L12,0)</f>
        <v>33960.531989175586</v>
      </c>
      <c r="O16" s="130">
        <f>I16+K16+G16</f>
        <v>2738899.7466728035</v>
      </c>
      <c r="P16" s="133">
        <f t="shared" si="1"/>
        <v>2657597.9232954606</v>
      </c>
      <c r="Q16" s="134"/>
      <c r="R16" s="134">
        <f t="shared" si="11"/>
        <v>0.12</v>
      </c>
      <c r="S16" s="134">
        <f t="shared" si="12"/>
        <v>1.0596241035318976E-2</v>
      </c>
      <c r="T16" s="134">
        <f>T$9</f>
        <v>0.04</v>
      </c>
      <c r="U16" s="134">
        <f t="shared" si="17"/>
        <v>3.3960531989175591E-3</v>
      </c>
      <c r="V16" s="133"/>
      <c r="W16" s="137">
        <v>339605.32</v>
      </c>
    </row>
    <row r="17" spans="1:23" x14ac:dyDescent="0.2">
      <c r="A17" s="62"/>
      <c r="B17" s="45">
        <f t="shared" si="3"/>
        <v>6</v>
      </c>
      <c r="C17" s="51">
        <f t="shared" si="14"/>
        <v>86027432.131392807</v>
      </c>
      <c r="D17" s="47">
        <f t="shared" si="4"/>
        <v>83700484.789216161</v>
      </c>
      <c r="E17" s="48">
        <f t="shared" si="5"/>
        <v>0</v>
      </c>
      <c r="F17" s="50">
        <f t="shared" si="6"/>
        <v>0</v>
      </c>
      <c r="G17" s="50">
        <f t="shared" si="18"/>
        <v>0</v>
      </c>
      <c r="H17" s="51">
        <f t="shared" si="7"/>
        <v>1758740.7922386122</v>
      </c>
      <c r="I17" s="52">
        <f t="shared" si="2"/>
        <v>358310.16321948351</v>
      </c>
      <c r="J17" s="57">
        <f t="shared" si="8"/>
        <v>1399209.6421066124</v>
      </c>
      <c r="K17" s="51">
        <f t="shared" si="15"/>
        <v>2326947.3421766441</v>
      </c>
      <c r="L17" s="49">
        <f t="shared" si="9"/>
        <v>293036.85900390882</v>
      </c>
      <c r="M17" s="49">
        <f t="shared" ref="M17" si="19">IFERROR(L13*-1,0)</f>
        <v>-329929.58716785716</v>
      </c>
      <c r="N17" s="49">
        <f>IFERROR((1-$N$9)*L13,0)</f>
        <v>32992.95871678571</v>
      </c>
      <c r="O17" s="48">
        <f t="shared" si="10"/>
        <v>2685257.5053961277</v>
      </c>
      <c r="P17" s="38">
        <f t="shared" si="1"/>
        <v>2589892.3153130189</v>
      </c>
      <c r="Q17" s="53"/>
      <c r="R17" s="53">
        <f t="shared" si="11"/>
        <v>0.12</v>
      </c>
      <c r="S17" s="53">
        <f t="shared" si="12"/>
        <v>1.0596241035318976E-2</v>
      </c>
      <c r="T17" s="53">
        <f t="shared" si="13"/>
        <v>0.04</v>
      </c>
      <c r="U17" s="53">
        <f t="shared" si="17"/>
        <v>3.3960531989175591E-3</v>
      </c>
      <c r="V17" s="38"/>
    </row>
    <row r="18" spans="1:23" x14ac:dyDescent="0.2">
      <c r="A18" s="62"/>
      <c r="B18" s="45">
        <f t="shared" si="3"/>
        <v>7</v>
      </c>
      <c r="C18" s="51">
        <f t="shared" si="14"/>
        <v>83448277.280834258</v>
      </c>
      <c r="D18" s="47">
        <f t="shared" si="4"/>
        <v>81163327.66879791</v>
      </c>
      <c r="E18" s="48">
        <f t="shared" si="5"/>
        <v>0</v>
      </c>
      <c r="F18" s="50">
        <f t="shared" si="6"/>
        <v>0</v>
      </c>
      <c r="G18" s="50">
        <f t="shared" si="18"/>
        <v>0</v>
      </c>
      <c r="H18" s="51">
        <f t="shared" si="7"/>
        <v>1734131.9735918562</v>
      </c>
      <c r="I18" s="52">
        <f t="shared" si="2"/>
        <v>347567.63954206998</v>
      </c>
      <c r="J18" s="57">
        <f t="shared" si="8"/>
        <v>1385379.9536367888</v>
      </c>
      <c r="K18" s="51">
        <f t="shared" si="15"/>
        <v>2284949.6120363502</v>
      </c>
      <c r="L18" s="49">
        <f t="shared" si="9"/>
        <v>284251.29911936802</v>
      </c>
      <c r="M18" s="49">
        <f>IFERROR(L14*-1,0)</f>
        <v>-320437.9073746769</v>
      </c>
      <c r="N18" s="49">
        <f t="shared" ref="N18:N21" si="20">IFERROR((1-$N$9)*L14,0)</f>
        <v>32043.790737467683</v>
      </c>
      <c r="O18" s="48">
        <f t="shared" si="10"/>
        <v>2632517.2515784204</v>
      </c>
      <c r="P18" s="38">
        <f t="shared" si="1"/>
        <v>2523769.1176745971</v>
      </c>
      <c r="Q18" s="53"/>
      <c r="R18" s="53">
        <f t="shared" si="11"/>
        <v>0.12</v>
      </c>
      <c r="S18" s="53">
        <f t="shared" si="12"/>
        <v>1.0596241035318976E-2</v>
      </c>
      <c r="T18" s="53">
        <f t="shared" si="13"/>
        <v>0.04</v>
      </c>
      <c r="U18" s="53">
        <f t="shared" si="17"/>
        <v>3.3960531989175591E-3</v>
      </c>
      <c r="V18" s="38"/>
      <c r="W18" s="7">
        <f>W16/U16</f>
        <v>100000000.03187349</v>
      </c>
    </row>
    <row r="19" spans="1:23" x14ac:dyDescent="0.2">
      <c r="A19" s="62"/>
      <c r="B19" s="45">
        <f t="shared" si="3"/>
        <v>8</v>
      </c>
      <c r="C19" s="51">
        <f t="shared" si="14"/>
        <v>80918805.412650093</v>
      </c>
      <c r="D19" s="47">
        <f t="shared" si="4"/>
        <v>78675172.597700432</v>
      </c>
      <c r="E19" s="48">
        <f t="shared" si="5"/>
        <v>0</v>
      </c>
      <c r="F19" s="50">
        <f t="shared" si="6"/>
        <v>0</v>
      </c>
      <c r="G19" s="50">
        <f t="shared" si="18"/>
        <v>0</v>
      </c>
      <c r="H19" s="51">
        <f t="shared" si="7"/>
        <v>1709867.4887763609</v>
      </c>
      <c r="I19" s="52">
        <f t="shared" si="2"/>
        <v>337032.05287597293</v>
      </c>
      <c r="J19" s="57">
        <f t="shared" si="8"/>
        <v>1371686.9568230361</v>
      </c>
      <c r="K19" s="51">
        <f t="shared" si="15"/>
        <v>2243632.8149496634</v>
      </c>
      <c r="L19" s="49">
        <f t="shared" si="9"/>
        <v>275634.97856441519</v>
      </c>
      <c r="M19" s="49">
        <f t="shared" ref="M19:M20" si="21">IFERROR(L15*-1,0)</f>
        <v>-311127.224166003</v>
      </c>
      <c r="N19" s="49">
        <f t="shared" si="20"/>
        <v>31112.722416600292</v>
      </c>
      <c r="O19" s="48">
        <f t="shared" si="10"/>
        <v>2580664.8678256362</v>
      </c>
      <c r="P19" s="38">
        <f t="shared" si="1"/>
        <v>2459193.1099544163</v>
      </c>
      <c r="Q19" s="53"/>
      <c r="R19" s="53">
        <f t="shared" si="11"/>
        <v>0.12</v>
      </c>
      <c r="S19" s="53">
        <f t="shared" si="12"/>
        <v>1.0596241035318976E-2</v>
      </c>
      <c r="T19" s="53">
        <f t="shared" si="13"/>
        <v>0.04</v>
      </c>
      <c r="U19" s="53">
        <f t="shared" si="17"/>
        <v>3.3960531989175591E-3</v>
      </c>
      <c r="V19" s="38"/>
      <c r="W19" s="38">
        <f>K16-W16</f>
        <v>2030031.292870465</v>
      </c>
    </row>
    <row r="20" spans="1:23" x14ac:dyDescent="0.2">
      <c r="A20" s="62"/>
      <c r="B20" s="45">
        <f t="shared" si="3"/>
        <v>9</v>
      </c>
      <c r="C20" s="51">
        <f t="shared" si="14"/>
        <v>78438186.978996158</v>
      </c>
      <c r="D20" s="47">
        <f t="shared" si="4"/>
        <v>76235200.477951646</v>
      </c>
      <c r="E20" s="48">
        <f t="shared" si="5"/>
        <v>0</v>
      </c>
      <c r="F20" s="50">
        <f t="shared" si="6"/>
        <v>0</v>
      </c>
      <c r="G20" s="50">
        <f t="shared" si="18"/>
        <v>0</v>
      </c>
      <c r="H20" s="51">
        <f t="shared" si="7"/>
        <v>1685942.5197718455</v>
      </c>
      <c r="I20" s="52">
        <f t="shared" si="2"/>
        <v>326699.94802551932</v>
      </c>
      <c r="J20" s="57">
        <f t="shared" si="8"/>
        <v>1358129.3006147605</v>
      </c>
      <c r="K20" s="51">
        <f t="shared" si="15"/>
        <v>2202986.5010445067</v>
      </c>
      <c r="L20" s="49">
        <f t="shared" si="9"/>
        <v>267185.07157581166</v>
      </c>
      <c r="M20" s="49">
        <f t="shared" si="21"/>
        <v>-301994.52871532022</v>
      </c>
      <c r="N20" s="49">
        <f t="shared" si="20"/>
        <v>30199.452871532016</v>
      </c>
      <c r="O20" s="48">
        <f t="shared" si="10"/>
        <v>2529686.4490700262</v>
      </c>
      <c r="P20" s="38">
        <f t="shared" si="1"/>
        <v>2396129.8318490856</v>
      </c>
      <c r="Q20" s="53"/>
      <c r="R20" s="53">
        <f t="shared" si="11"/>
        <v>0.12</v>
      </c>
      <c r="S20" s="53">
        <f t="shared" si="12"/>
        <v>1.0596241035318976E-2</v>
      </c>
      <c r="T20" s="53">
        <f t="shared" si="13"/>
        <v>0.04</v>
      </c>
      <c r="U20" s="53">
        <f t="shared" si="17"/>
        <v>3.3960531989175591E-3</v>
      </c>
      <c r="V20" s="38"/>
    </row>
    <row r="21" spans="1:23" x14ac:dyDescent="0.2">
      <c r="A21" s="62"/>
      <c r="B21" s="45">
        <f t="shared" si="3"/>
        <v>10</v>
      </c>
      <c r="C21" s="51">
        <f t="shared" si="14"/>
        <v>76005605.367398769</v>
      </c>
      <c r="D21" s="47">
        <f t="shared" si="4"/>
        <v>73842604.991618752</v>
      </c>
      <c r="E21" s="48">
        <f t="shared" si="5"/>
        <v>0</v>
      </c>
      <c r="F21" s="50">
        <f t="shared" si="6"/>
        <v>0</v>
      </c>
      <c r="G21" s="50">
        <f t="shared" si="18"/>
        <v>0</v>
      </c>
      <c r="H21" s="51">
        <f t="shared" si="7"/>
        <v>1662352.3159731883</v>
      </c>
      <c r="I21" s="52">
        <f t="shared" si="2"/>
        <v>316567.92367290991</v>
      </c>
      <c r="J21" s="57">
        <f t="shared" si="8"/>
        <v>1344705.6473150565</v>
      </c>
      <c r="K21" s="51">
        <f t="shared" si="15"/>
        <v>2163000.3757800153</v>
      </c>
      <c r="L21" s="49">
        <f t="shared" si="9"/>
        <v>258898.79645326911</v>
      </c>
      <c r="M21" s="49">
        <f>IFERROR(L17*-1,0)</f>
        <v>-293036.85900390882</v>
      </c>
      <c r="N21" s="49">
        <f t="shared" si="20"/>
        <v>29303.685900390876</v>
      </c>
      <c r="O21" s="48">
        <f t="shared" si="10"/>
        <v>2479568.2994529251</v>
      </c>
      <c r="P21" s="38">
        <f t="shared" si="1"/>
        <v>2334545.5671097939</v>
      </c>
      <c r="Q21" s="53"/>
      <c r="R21" s="53">
        <f t="shared" si="11"/>
        <v>0.12</v>
      </c>
      <c r="S21" s="53">
        <f t="shared" si="12"/>
        <v>1.0596241035318976E-2</v>
      </c>
      <c r="T21" s="53">
        <f t="shared" si="13"/>
        <v>0.04</v>
      </c>
      <c r="U21" s="53">
        <f t="shared" si="17"/>
        <v>3.3960531989175591E-3</v>
      </c>
      <c r="V21" s="38"/>
    </row>
    <row r="22" spans="1:23" x14ac:dyDescent="0.2">
      <c r="A22" s="62"/>
      <c r="B22" s="45">
        <f t="shared" si="3"/>
        <v>11</v>
      </c>
      <c r="C22" s="51">
        <f t="shared" si="14"/>
        <v>73620256.706632495</v>
      </c>
      <c r="D22" s="47">
        <f t="shared" si="4"/>
        <v>71496592.408949494</v>
      </c>
      <c r="E22" s="48">
        <f t="shared" si="5"/>
        <v>0</v>
      </c>
      <c r="F22" s="50">
        <f t="shared" si="6"/>
        <v>0</v>
      </c>
      <c r="G22" s="50">
        <f t="shared" si="18"/>
        <v>0</v>
      </c>
      <c r="H22" s="51">
        <f t="shared" si="7"/>
        <v>1639092.1932471269</v>
      </c>
      <c r="I22" s="52">
        <f t="shared" si="2"/>
        <v>306632.63156966906</v>
      </c>
      <c r="J22" s="57">
        <f t="shared" si="8"/>
        <v>1331414.6724487152</v>
      </c>
      <c r="K22" s="51">
        <f t="shared" si="15"/>
        <v>2123664.2976830024</v>
      </c>
      <c r="L22" s="49">
        <f t="shared" si="9"/>
        <v>250773.41489819257</v>
      </c>
      <c r="M22" s="49">
        <f t="shared" ref="M22:M25" si="22">IFERROR(L18*-1,0)</f>
        <v>-284251.29911936802</v>
      </c>
      <c r="N22" s="49">
        <f>IFERROR((1-$N$9)*L18,0)</f>
        <v>28425.129911936794</v>
      </c>
      <c r="O22" s="48">
        <f t="shared" si="10"/>
        <v>2430296.9292526715</v>
      </c>
      <c r="P22" s="38">
        <f t="shared" si="1"/>
        <v>2274407.3278092919</v>
      </c>
      <c r="Q22" s="53"/>
      <c r="R22" s="53">
        <f t="shared" si="11"/>
        <v>0.12</v>
      </c>
      <c r="S22" s="53">
        <f t="shared" si="12"/>
        <v>1.0596241035318976E-2</v>
      </c>
      <c r="T22" s="53">
        <f t="shared" si="13"/>
        <v>0.04</v>
      </c>
      <c r="U22" s="53">
        <f t="shared" si="17"/>
        <v>3.3960531989175591E-3</v>
      </c>
      <c r="V22" s="38"/>
    </row>
    <row r="23" spans="1:23" x14ac:dyDescent="0.2">
      <c r="A23" s="62"/>
      <c r="B23" s="45">
        <f t="shared" si="3"/>
        <v>12</v>
      </c>
      <c r="C23" s="51">
        <f t="shared" si="14"/>
        <v>71281349.675443813</v>
      </c>
      <c r="D23" s="47">
        <f t="shared" si="4"/>
        <v>69196381.399326742</v>
      </c>
      <c r="E23" s="48">
        <f t="shared" si="5"/>
        <v>0</v>
      </c>
      <c r="F23" s="50">
        <f t="shared" si="6"/>
        <v>0</v>
      </c>
      <c r="G23" s="50">
        <f t="shared" si="18"/>
        <v>0</v>
      </c>
      <c r="H23" s="51">
        <f t="shared" si="7"/>
        <v>1616157.5330021731</v>
      </c>
      <c r="I23" s="52">
        <f t="shared" si="2"/>
        <v>296890.77573994739</v>
      </c>
      <c r="J23" s="57">
        <f t="shared" si="8"/>
        <v>1318255.0646315503</v>
      </c>
      <c r="K23" s="51">
        <f t="shared" si="15"/>
        <v>2084968.2761170762</v>
      </c>
      <c r="L23" s="49">
        <f t="shared" si="9"/>
        <v>242806.2313621178</v>
      </c>
      <c r="M23" s="49">
        <f t="shared" si="22"/>
        <v>-275634.97856441519</v>
      </c>
      <c r="N23" s="49">
        <f t="shared" ref="N23:N30" si="23">IFERROR((1-$N$9)*L19,0)</f>
        <v>27563.497856441514</v>
      </c>
      <c r="O23" s="48">
        <f t="shared" si="10"/>
        <v>2381859.0518570235</v>
      </c>
      <c r="P23" s="38">
        <f t="shared" si="1"/>
        <v>2215682.8389367661</v>
      </c>
      <c r="Q23" s="53"/>
      <c r="R23" s="53">
        <f t="shared" si="11"/>
        <v>0.12</v>
      </c>
      <c r="S23" s="53">
        <f t="shared" si="12"/>
        <v>1.0596241035318976E-2</v>
      </c>
      <c r="T23" s="53">
        <f t="shared" si="13"/>
        <v>0.04</v>
      </c>
      <c r="U23" s="53">
        <f t="shared" si="17"/>
        <v>3.3960531989175591E-3</v>
      </c>
      <c r="V23" s="38"/>
    </row>
    <row r="24" spans="1:23" x14ac:dyDescent="0.2">
      <c r="A24" s="62"/>
      <c r="B24" s="45">
        <f t="shared" si="3"/>
        <v>13</v>
      </c>
      <c r="C24" s="51">
        <f t="shared" si="14"/>
        <v>68988105.314079612</v>
      </c>
      <c r="D24" s="47">
        <f t="shared" si="4"/>
        <v>66941202.844995908</v>
      </c>
      <c r="E24" s="48">
        <f t="shared" si="5"/>
        <v>0</v>
      </c>
      <c r="F24" s="50">
        <f t="shared" si="6"/>
        <v>0</v>
      </c>
      <c r="G24" s="50">
        <f t="shared" si="18"/>
        <v>0</v>
      </c>
      <c r="H24" s="51">
        <f t="shared" si="7"/>
        <v>1593543.7812715282</v>
      </c>
      <c r="I24" s="52">
        <f t="shared" si="2"/>
        <v>287339.11169550847</v>
      </c>
      <c r="J24" s="57">
        <f t="shared" si="8"/>
        <v>1305225.5254410002</v>
      </c>
      <c r="K24" s="51">
        <f t="shared" si="15"/>
        <v>2046902.4690837113</v>
      </c>
      <c r="L24" s="49">
        <f t="shared" si="9"/>
        <v>234994.59240470306</v>
      </c>
      <c r="M24" s="49">
        <f t="shared" si="22"/>
        <v>-267185.07157581166</v>
      </c>
      <c r="N24" s="49">
        <f t="shared" si="23"/>
        <v>26718.50715758116</v>
      </c>
      <c r="O24" s="48">
        <f t="shared" si="10"/>
        <v>2334241.58077922</v>
      </c>
      <c r="P24" s="38">
        <f t="shared" si="1"/>
        <v>2158340.5233136476</v>
      </c>
      <c r="Q24" s="53"/>
      <c r="R24" s="53">
        <f t="shared" si="11"/>
        <v>0.12</v>
      </c>
      <c r="S24" s="53">
        <f t="shared" si="12"/>
        <v>1.0596241035318976E-2</v>
      </c>
      <c r="T24" s="53">
        <f t="shared" si="13"/>
        <v>0.04</v>
      </c>
      <c r="U24" s="53">
        <f t="shared" si="17"/>
        <v>3.3960531989175591E-3</v>
      </c>
      <c r="V24" s="38"/>
    </row>
    <row r="25" spans="1:23" x14ac:dyDescent="0.2">
      <c r="A25" s="62"/>
      <c r="B25" s="45">
        <f t="shared" si="3"/>
        <v>14</v>
      </c>
      <c r="C25" s="51">
        <f t="shared" si="14"/>
        <v>66739756.838580094</v>
      </c>
      <c r="D25" s="47">
        <f t="shared" si="4"/>
        <v>64730299.657525055</v>
      </c>
      <c r="E25" s="48">
        <f t="shared" si="5"/>
        <v>0</v>
      </c>
      <c r="F25" s="50">
        <f t="shared" si="6"/>
        <v>0</v>
      </c>
      <c r="G25" s="50">
        <f t="shared" si="18"/>
        <v>0</v>
      </c>
      <c r="H25" s="51">
        <f t="shared" si="7"/>
        <v>1571246.4478088389</v>
      </c>
      <c r="I25" s="52">
        <f t="shared" si="2"/>
        <v>277974.44566222822</v>
      </c>
      <c r="J25" s="57">
        <f t="shared" si="8"/>
        <v>1292324.7692880228</v>
      </c>
      <c r="K25" s="51">
        <f t="shared" si="15"/>
        <v>2009457.1810550427</v>
      </c>
      <c r="L25" s="49">
        <f t="shared" si="9"/>
        <v>227335.88606113757</v>
      </c>
      <c r="M25" s="49">
        <f t="shared" si="22"/>
        <v>-258898.79645326911</v>
      </c>
      <c r="N25" s="49">
        <f t="shared" si="23"/>
        <v>25889.879645326906</v>
      </c>
      <c r="O25" s="48">
        <f t="shared" si="10"/>
        <v>2287431.6267172708</v>
      </c>
      <c r="P25" s="38">
        <f t="shared" si="1"/>
        <v>2102349.4868239332</v>
      </c>
      <c r="Q25" s="53"/>
      <c r="R25" s="53">
        <f t="shared" si="11"/>
        <v>0.12</v>
      </c>
      <c r="S25" s="53">
        <f t="shared" si="12"/>
        <v>1.0596241035318976E-2</v>
      </c>
      <c r="T25" s="53">
        <f t="shared" si="13"/>
        <v>0.04</v>
      </c>
      <c r="U25" s="53">
        <f t="shared" si="17"/>
        <v>3.3960531989175591E-3</v>
      </c>
      <c r="V25" s="38"/>
    </row>
    <row r="26" spans="1:23" x14ac:dyDescent="0.2">
      <c r="A26" s="62"/>
      <c r="B26" s="45">
        <f t="shared" si="3"/>
        <v>15</v>
      </c>
      <c r="C26" s="51">
        <f t="shared" si="14"/>
        <v>64535549.457796045</v>
      </c>
      <c r="D26" s="47">
        <f t="shared" si="4"/>
        <v>62562926.59695816</v>
      </c>
      <c r="E26" s="48">
        <f t="shared" si="5"/>
        <v>0</v>
      </c>
      <c r="F26" s="50">
        <f t="shared" si="6"/>
        <v>0</v>
      </c>
      <c r="G26" s="50">
        <f t="shared" si="18"/>
        <v>0</v>
      </c>
      <c r="H26" s="51">
        <f t="shared" si="7"/>
        <v>1549261.105196598</v>
      </c>
      <c r="I26" s="52">
        <f t="shared" si="2"/>
        <v>268793.63381794264</v>
      </c>
      <c r="J26" s="57">
        <f t="shared" si="8"/>
        <v>1279551.5232902437</v>
      </c>
      <c r="K26" s="51">
        <f t="shared" si="15"/>
        <v>1972622.8608378838</v>
      </c>
      <c r="L26" s="51">
        <f t="shared" si="9"/>
        <v>219827.54121883016</v>
      </c>
      <c r="M26" s="51">
        <f>IFERROR(L22*-1,0)</f>
        <v>-250773.41489819257</v>
      </c>
      <c r="N26" s="51">
        <f t="shared" si="23"/>
        <v>25077.34148981925</v>
      </c>
      <c r="O26" s="48">
        <f t="shared" si="10"/>
        <v>2241416.4946558266</v>
      </c>
      <c r="P26" s="38">
        <f t="shared" si="1"/>
        <v>2047679.5039525074</v>
      </c>
      <c r="Q26" s="53"/>
      <c r="R26" s="53">
        <f t="shared" si="11"/>
        <v>0.12</v>
      </c>
      <c r="S26" s="53">
        <f t="shared" si="12"/>
        <v>1.0596241035318976E-2</v>
      </c>
      <c r="T26" s="53">
        <f t="shared" si="13"/>
        <v>0.04</v>
      </c>
      <c r="U26" s="53">
        <f t="shared" si="17"/>
        <v>3.3960531989175591E-3</v>
      </c>
      <c r="V26" s="38"/>
    </row>
    <row r="27" spans="1:23" x14ac:dyDescent="0.2">
      <c r="A27" s="62"/>
      <c r="B27" s="45">
        <f t="shared" si="3"/>
        <v>16</v>
      </c>
      <c r="C27" s="51">
        <f t="shared" si="14"/>
        <v>62374740.193091132</v>
      </c>
      <c r="D27" s="47">
        <f t="shared" si="4"/>
        <v>60438350.093622729</v>
      </c>
      <c r="E27" s="48">
        <f t="shared" si="5"/>
        <v>0</v>
      </c>
      <c r="F27" s="50">
        <f t="shared" si="6"/>
        <v>0</v>
      </c>
      <c r="G27" s="50">
        <f t="shared" si="18"/>
        <v>0</v>
      </c>
      <c r="H27" s="51">
        <f t="shared" si="7"/>
        <v>1527583.3879670289</v>
      </c>
      <c r="I27" s="52">
        <f t="shared" si="2"/>
        <v>259793.58154147884</v>
      </c>
      <c r="J27" s="57">
        <f t="shared" si="8"/>
        <v>1266904.5271463699</v>
      </c>
      <c r="K27" s="51">
        <f t="shared" si="15"/>
        <v>1936390.0994683988</v>
      </c>
      <c r="L27" s="49">
        <f t="shared" si="9"/>
        <v>212467.02700324421</v>
      </c>
      <c r="M27" s="49">
        <f t="shared" ref="M27:M40" si="24">IFERROR(L23*-1,0)</f>
        <v>-242806.2313621178</v>
      </c>
      <c r="N27" s="49">
        <f t="shared" si="23"/>
        <v>24280.623136211776</v>
      </c>
      <c r="O27" s="48">
        <f t="shared" si="10"/>
        <v>2196183.6810098775</v>
      </c>
      <c r="P27" s="38">
        <f t="shared" si="1"/>
        <v>1994301.0036249736</v>
      </c>
      <c r="Q27" s="53"/>
      <c r="R27" s="53">
        <f t="shared" si="11"/>
        <v>0.12</v>
      </c>
      <c r="S27" s="53">
        <f t="shared" si="12"/>
        <v>1.0596241035318976E-2</v>
      </c>
      <c r="T27" s="53">
        <f t="shared" si="13"/>
        <v>0.04</v>
      </c>
      <c r="U27" s="53">
        <f t="shared" si="17"/>
        <v>3.3960531989175591E-3</v>
      </c>
      <c r="V27" s="38"/>
    </row>
    <row r="28" spans="1:23" x14ac:dyDescent="0.2">
      <c r="A28" s="62"/>
      <c r="B28" s="45">
        <f t="shared" si="3"/>
        <v>17</v>
      </c>
      <c r="C28" s="51">
        <f t="shared" si="14"/>
        <v>60256597.700690456</v>
      </c>
      <c r="D28" s="47">
        <f t="shared" si="4"/>
        <v>58355848.072553322</v>
      </c>
      <c r="E28" s="48">
        <f t="shared" si="5"/>
        <v>0</v>
      </c>
      <c r="F28" s="50">
        <f t="shared" si="6"/>
        <v>0</v>
      </c>
      <c r="G28" s="50">
        <f t="shared" si="18"/>
        <v>0</v>
      </c>
      <c r="H28" s="51">
        <f t="shared" si="7"/>
        <v>1506208.9917352623</v>
      </c>
      <c r="I28" s="52">
        <f t="shared" si="2"/>
        <v>250971.24267270826</v>
      </c>
      <c r="J28" s="57">
        <f t="shared" si="8"/>
        <v>1254382.5330118341</v>
      </c>
      <c r="K28" s="51">
        <f t="shared" si="15"/>
        <v>1900749.628137131</v>
      </c>
      <c r="L28" s="49">
        <f t="shared" si="9"/>
        <v>205251.85217274682</v>
      </c>
      <c r="M28" s="49">
        <f t="shared" si="24"/>
        <v>-234994.59240470306</v>
      </c>
      <c r="N28" s="49">
        <f t="shared" si="23"/>
        <v>23499.4592404703</v>
      </c>
      <c r="O28" s="48">
        <f t="shared" si="10"/>
        <v>2151720.8708098391</v>
      </c>
      <c r="P28" s="38">
        <f t="shared" si="1"/>
        <v>1942185.0553429269</v>
      </c>
      <c r="Q28" s="53"/>
      <c r="R28" s="53">
        <f t="shared" si="11"/>
        <v>0.12</v>
      </c>
      <c r="S28" s="53">
        <f t="shared" si="12"/>
        <v>1.0596241035318976E-2</v>
      </c>
      <c r="T28" s="53">
        <f t="shared" si="13"/>
        <v>0.04</v>
      </c>
      <c r="U28" s="53">
        <f t="shared" si="17"/>
        <v>3.3960531989175591E-3</v>
      </c>
      <c r="V28" s="38"/>
    </row>
    <row r="29" spans="1:23" x14ac:dyDescent="0.2">
      <c r="A29" s="62"/>
      <c r="B29" s="45">
        <f t="shared" si="3"/>
        <v>18</v>
      </c>
      <c r="C29" s="51">
        <f t="shared" si="14"/>
        <v>58180402.096637093</v>
      </c>
      <c r="D29" s="47">
        <f t="shared" si="4"/>
        <v>56314709.780493192</v>
      </c>
      <c r="E29" s="48">
        <f t="shared" si="5"/>
        <v>0</v>
      </c>
      <c r="F29" s="50">
        <f t="shared" si="6"/>
        <v>0</v>
      </c>
      <c r="G29" s="50">
        <f t="shared" si="18"/>
        <v>0</v>
      </c>
      <c r="H29" s="51">
        <f t="shared" si="7"/>
        <v>1485133.6723446494</v>
      </c>
      <c r="I29" s="52">
        <f t="shared" si="2"/>
        <v>242323.61878346244</v>
      </c>
      <c r="J29" s="57">
        <f t="shared" si="8"/>
        <v>1241984.3053756771</v>
      </c>
      <c r="K29" s="51">
        <f t="shared" si="15"/>
        <v>1865692.3161439013</v>
      </c>
      <c r="L29" s="49">
        <f t="shared" si="9"/>
        <v>198179.5645223418</v>
      </c>
      <c r="M29" s="49">
        <f t="shared" si="24"/>
        <v>-227335.88606113757</v>
      </c>
      <c r="N29" s="49">
        <f t="shared" si="23"/>
        <v>22733.588606113753</v>
      </c>
      <c r="O29" s="48">
        <f t="shared" si="10"/>
        <v>2108015.9349273639</v>
      </c>
      <c r="P29" s="38">
        <f t="shared" si="1"/>
        <v>1891303.3556085057</v>
      </c>
      <c r="Q29" s="53"/>
      <c r="R29" s="53">
        <f t="shared" si="11"/>
        <v>0.12</v>
      </c>
      <c r="S29" s="53">
        <f t="shared" si="12"/>
        <v>1.0596241035318976E-2</v>
      </c>
      <c r="T29" s="53">
        <f t="shared" si="13"/>
        <v>0.04</v>
      </c>
      <c r="U29" s="53">
        <f t="shared" si="17"/>
        <v>3.3960531989175591E-3</v>
      </c>
      <c r="V29" s="38"/>
    </row>
    <row r="30" spans="1:23" x14ac:dyDescent="0.2">
      <c r="A30" s="62"/>
      <c r="B30" s="45">
        <f t="shared" si="3"/>
        <v>19</v>
      </c>
      <c r="C30" s="51">
        <f t="shared" si="14"/>
        <v>56145444.784318916</v>
      </c>
      <c r="D30" s="47">
        <f t="shared" si="4"/>
        <v>54314235.6154368</v>
      </c>
      <c r="E30" s="48">
        <f t="shared" si="5"/>
        <v>0</v>
      </c>
      <c r="F30" s="50">
        <f t="shared" si="6"/>
        <v>0</v>
      </c>
      <c r="G30" s="50">
        <f t="shared" si="18"/>
        <v>0</v>
      </c>
      <c r="H30" s="51">
        <f t="shared" si="7"/>
        <v>1464353.2450240308</v>
      </c>
      <c r="I30" s="52">
        <f t="shared" si="2"/>
        <v>233847.75845915431</v>
      </c>
      <c r="J30" s="57">
        <f t="shared" si="8"/>
        <v>1229708.6209386424</v>
      </c>
      <c r="K30" s="51">
        <f t="shared" si="15"/>
        <v>1831209.1688821178</v>
      </c>
      <c r="L30" s="49">
        <f t="shared" si="9"/>
        <v>191247.75029615784</v>
      </c>
      <c r="M30" s="49">
        <f t="shared" si="24"/>
        <v>-219827.54121883016</v>
      </c>
      <c r="N30" s="49">
        <f t="shared" si="23"/>
        <v>21982.754121883012</v>
      </c>
      <c r="O30" s="48">
        <f t="shared" si="10"/>
        <v>2065056.9273412721</v>
      </c>
      <c r="P30" s="38">
        <f t="shared" si="1"/>
        <v>1841628.2146322364</v>
      </c>
      <c r="Q30" s="53"/>
      <c r="R30" s="53">
        <f t="shared" si="11"/>
        <v>0.12</v>
      </c>
      <c r="S30" s="53">
        <f t="shared" si="12"/>
        <v>1.0596241035318976E-2</v>
      </c>
      <c r="T30" s="53">
        <f t="shared" si="13"/>
        <v>0.04</v>
      </c>
      <c r="U30" s="53">
        <f t="shared" si="17"/>
        <v>3.3960531989175591E-3</v>
      </c>
      <c r="V30" s="38"/>
    </row>
    <row r="31" spans="1:23" x14ac:dyDescent="0.2">
      <c r="A31" s="62"/>
      <c r="B31" s="45">
        <f t="shared" si="3"/>
        <v>20</v>
      </c>
      <c r="C31" s="51">
        <f t="shared" si="14"/>
        <v>54151028.284528561</v>
      </c>
      <c r="D31" s="47">
        <f t="shared" si="4"/>
        <v>52353736.958676383</v>
      </c>
      <c r="E31" s="48">
        <f t="shared" si="5"/>
        <v>0</v>
      </c>
      <c r="F31" s="50">
        <f t="shared" si="6"/>
        <v>0</v>
      </c>
      <c r="G31" s="50">
        <f t="shared" si="18"/>
        <v>0</v>
      </c>
      <c r="H31" s="51">
        <f t="shared" si="7"/>
        <v>1443863.583556795</v>
      </c>
      <c r="I31" s="52">
        <f t="shared" si="2"/>
        <v>225540.756590951</v>
      </c>
      <c r="J31" s="57">
        <f t="shared" si="8"/>
        <v>1217554.2684924749</v>
      </c>
      <c r="K31" s="51">
        <f t="shared" si="15"/>
        <v>1797291.3258521752</v>
      </c>
      <c r="L31" s="49">
        <f t="shared" si="9"/>
        <v>184454.03360856615</v>
      </c>
      <c r="M31" s="49">
        <f t="shared" si="24"/>
        <v>-212467.02700324421</v>
      </c>
      <c r="N31" s="49">
        <f>IFERROR((1-$N$9)*L27,0)</f>
        <v>21246.702700324415</v>
      </c>
      <c r="O31" s="48">
        <f t="shared" si="10"/>
        <v>2022832.0824431262</v>
      </c>
      <c r="P31" s="38">
        <f t="shared" si="1"/>
        <v>1793132.543318403</v>
      </c>
      <c r="Q31" s="53"/>
      <c r="R31" s="53">
        <f t="shared" si="11"/>
        <v>0.12</v>
      </c>
      <c r="S31" s="53">
        <f t="shared" si="12"/>
        <v>1.0596241035318976E-2</v>
      </c>
      <c r="T31" s="53">
        <f t="shared" si="13"/>
        <v>0.04</v>
      </c>
      <c r="U31" s="53">
        <f t="shared" si="17"/>
        <v>3.3960531989175591E-3</v>
      </c>
      <c r="V31" s="38"/>
    </row>
    <row r="32" spans="1:23" x14ac:dyDescent="0.2">
      <c r="A32" s="62"/>
      <c r="B32" s="45">
        <f t="shared" si="3"/>
        <v>21</v>
      </c>
      <c r="C32" s="51">
        <f t="shared" si="14"/>
        <v>52196466.068019859</v>
      </c>
      <c r="D32" s="47">
        <f t="shared" si="4"/>
        <v>50432536.009316429</v>
      </c>
      <c r="E32" s="48">
        <f t="shared" si="5"/>
        <v>0</v>
      </c>
      <c r="F32" s="50">
        <f t="shared" si="6"/>
        <v>0</v>
      </c>
      <c r="G32" s="50">
        <f t="shared" si="18"/>
        <v>0</v>
      </c>
      <c r="H32" s="51">
        <f t="shared" si="7"/>
        <v>1423660.6194615692</v>
      </c>
      <c r="I32" s="52">
        <f t="shared" si="2"/>
        <v>217399.7536783441</v>
      </c>
      <c r="J32" s="57">
        <f t="shared" si="8"/>
        <v>1205520.0488004175</v>
      </c>
      <c r="K32" s="51">
        <f t="shared" si="15"/>
        <v>1763930.0587034265</v>
      </c>
      <c r="L32" s="49">
        <f t="shared" si="9"/>
        <v>177796.07587380137</v>
      </c>
      <c r="M32" s="49">
        <f t="shared" si="24"/>
        <v>-205251.85217274682</v>
      </c>
      <c r="N32" s="49">
        <f t="shared" ref="N32:N95" si="25">IFERROR((1-$N$9)*L28,0)</f>
        <v>20525.185217274677</v>
      </c>
      <c r="O32" s="48">
        <f t="shared" si="10"/>
        <v>1981329.8123817707</v>
      </c>
      <c r="P32" s="38">
        <f t="shared" si="1"/>
        <v>1745789.8405221249</v>
      </c>
      <c r="Q32" s="53"/>
      <c r="R32" s="53">
        <f t="shared" si="11"/>
        <v>0.12</v>
      </c>
      <c r="S32" s="53">
        <f t="shared" si="12"/>
        <v>1.0596241035318976E-2</v>
      </c>
      <c r="T32" s="53">
        <f t="shared" si="13"/>
        <v>0.04</v>
      </c>
      <c r="U32" s="53">
        <f t="shared" si="17"/>
        <v>3.3960531989175591E-3</v>
      </c>
      <c r="V32" s="38"/>
    </row>
    <row r="33" spans="1:23" x14ac:dyDescent="0.2">
      <c r="A33" s="62"/>
      <c r="B33" s="45">
        <f t="shared" si="3"/>
        <v>22</v>
      </c>
      <c r="C33" s="51">
        <f t="shared" si="14"/>
        <v>50281082.3905247</v>
      </c>
      <c r="D33" s="47">
        <f t="shared" si="4"/>
        <v>48549965.621220358</v>
      </c>
      <c r="E33" s="48">
        <f t="shared" si="5"/>
        <v>0</v>
      </c>
      <c r="F33" s="50">
        <f t="shared" si="6"/>
        <v>0</v>
      </c>
      <c r="G33" s="50">
        <f t="shared" si="18"/>
        <v>0</v>
      </c>
      <c r="H33" s="51">
        <f t="shared" si="7"/>
        <v>1403740.3411843674</v>
      </c>
      <c r="I33" s="52">
        <f t="shared" si="2"/>
        <v>209421.93514196863</v>
      </c>
      <c r="J33" s="57">
        <f t="shared" si="8"/>
        <v>1193604.7744788823</v>
      </c>
      <c r="K33" s="51">
        <f t="shared" si="15"/>
        <v>1731116.7693043419</v>
      </c>
      <c r="L33" s="49">
        <f t="shared" si="9"/>
        <v>171271.57524396406</v>
      </c>
      <c r="M33" s="49">
        <f t="shared" si="24"/>
        <v>-198179.5645223418</v>
      </c>
      <c r="N33" s="49">
        <f t="shared" si="25"/>
        <v>19817.956452234175</v>
      </c>
      <c r="O33" s="48">
        <f t="shared" si="10"/>
        <v>1940538.7044463104</v>
      </c>
      <c r="P33" s="38">
        <f t="shared" si="1"/>
        <v>1699574.1805725545</v>
      </c>
      <c r="Q33" s="53"/>
      <c r="R33" s="53">
        <f t="shared" si="11"/>
        <v>0.12</v>
      </c>
      <c r="S33" s="53">
        <f t="shared" si="12"/>
        <v>1.0596241035318976E-2</v>
      </c>
      <c r="T33" s="53">
        <f t="shared" si="13"/>
        <v>0.04</v>
      </c>
      <c r="U33" s="53">
        <f t="shared" si="17"/>
        <v>3.3960531989175591E-3</v>
      </c>
      <c r="V33" s="38"/>
      <c r="W33" s="49"/>
    </row>
    <row r="34" spans="1:23" x14ac:dyDescent="0.2">
      <c r="A34" s="62"/>
      <c r="B34" s="45">
        <f t="shared" si="3"/>
        <v>23</v>
      </c>
      <c r="C34" s="51">
        <f t="shared" si="14"/>
        <v>48404212.130194686</v>
      </c>
      <c r="D34" s="47">
        <f t="shared" si="4"/>
        <v>46705369.142354205</v>
      </c>
      <c r="E34" s="48">
        <f t="shared" si="5"/>
        <v>0</v>
      </c>
      <c r="F34" s="50">
        <f t="shared" si="6"/>
        <v>0</v>
      </c>
      <c r="G34" s="50">
        <f t="shared" si="18"/>
        <v>0</v>
      </c>
      <c r="H34" s="51">
        <f t="shared" si="7"/>
        <v>1384098.7933020473</v>
      </c>
      <c r="I34" s="52">
        <f t="shared" si="2"/>
        <v>201604.53064652113</v>
      </c>
      <c r="J34" s="57">
        <f t="shared" si="8"/>
        <v>1181807.2698802957</v>
      </c>
      <c r="K34" s="51">
        <f t="shared" si="15"/>
        <v>1698842.9878404853</v>
      </c>
      <c r="L34" s="49">
        <f t="shared" si="9"/>
        <v>164878.2660552829</v>
      </c>
      <c r="M34" s="49">
        <f t="shared" si="24"/>
        <v>-191247.75029615784</v>
      </c>
      <c r="N34" s="49">
        <f t="shared" si="25"/>
        <v>19124.775029615779</v>
      </c>
      <c r="O34" s="48">
        <f t="shared" si="10"/>
        <v>1900447.5184870064</v>
      </c>
      <c r="P34" s="38">
        <f t="shared" si="1"/>
        <v>1654460.2010567239</v>
      </c>
      <c r="Q34" s="53"/>
      <c r="R34" s="53">
        <f t="shared" si="11"/>
        <v>0.12</v>
      </c>
      <c r="S34" s="53">
        <f t="shared" si="12"/>
        <v>1.0596241035318976E-2</v>
      </c>
      <c r="T34" s="53">
        <f t="shared" si="13"/>
        <v>0.04</v>
      </c>
      <c r="U34" s="53">
        <f t="shared" si="17"/>
        <v>3.3960531989175591E-3</v>
      </c>
      <c r="V34" s="38"/>
    </row>
    <row r="35" spans="1:23" x14ac:dyDescent="0.2">
      <c r="A35" s="62"/>
      <c r="B35" s="45">
        <f t="shared" si="3"/>
        <v>24</v>
      </c>
      <c r="C35" s="51">
        <f t="shared" si="14"/>
        <v>46565200.627432548</v>
      </c>
      <c r="D35" s="47">
        <f t="shared" si="4"/>
        <v>44898100.2564926</v>
      </c>
      <c r="E35" s="48">
        <f t="shared" si="5"/>
        <v>0</v>
      </c>
      <c r="F35" s="50">
        <f t="shared" si="6"/>
        <v>0</v>
      </c>
      <c r="G35" s="50">
        <f t="shared" si="18"/>
        <v>0</v>
      </c>
      <c r="H35" s="51">
        <f t="shared" si="7"/>
        <v>1364732.0757369136</v>
      </c>
      <c r="I35" s="52">
        <f t="shared" si="2"/>
        <v>193944.81343363205</v>
      </c>
      <c r="J35" s="57">
        <f t="shared" si="8"/>
        <v>1170126.3709771044</v>
      </c>
      <c r="K35" s="51">
        <f t="shared" si="15"/>
        <v>1667100.3709399446</v>
      </c>
      <c r="L35" s="49">
        <f t="shared" si="9"/>
        <v>158613.91828251746</v>
      </c>
      <c r="M35" s="49">
        <f t="shared" si="24"/>
        <v>-184454.03360856615</v>
      </c>
      <c r="N35" s="49">
        <f t="shared" si="25"/>
        <v>18445.40336085661</v>
      </c>
      <c r="O35" s="48">
        <f t="shared" si="10"/>
        <v>1861045.1843735767</v>
      </c>
      <c r="P35" s="38">
        <f t="shared" si="1"/>
        <v>1610423.0908586928</v>
      </c>
      <c r="Q35" s="53"/>
      <c r="R35" s="53">
        <f t="shared" si="11"/>
        <v>0.12</v>
      </c>
      <c r="S35" s="53">
        <f t="shared" si="12"/>
        <v>1.0596241035318976E-2</v>
      </c>
      <c r="T35" s="53">
        <f t="shared" si="13"/>
        <v>0.04</v>
      </c>
      <c r="U35" s="53">
        <f t="shared" si="17"/>
        <v>3.3960531989175591E-3</v>
      </c>
      <c r="V35" s="38"/>
    </row>
    <row r="36" spans="1:23" s="59" customFormat="1" x14ac:dyDescent="0.2">
      <c r="A36" s="62"/>
      <c r="B36" s="54">
        <f t="shared" si="3"/>
        <v>25</v>
      </c>
      <c r="C36" s="51">
        <f t="shared" si="14"/>
        <v>44763403.527078599</v>
      </c>
      <c r="D36" s="47">
        <f t="shared" si="4"/>
        <v>43127522.827252932</v>
      </c>
      <c r="E36" s="48">
        <f t="shared" si="5"/>
        <v>0</v>
      </c>
      <c r="F36" s="50">
        <f t="shared" si="6"/>
        <v>0</v>
      </c>
      <c r="G36" s="56">
        <f t="shared" si="18"/>
        <v>0</v>
      </c>
      <c r="H36" s="51">
        <f t="shared" si="7"/>
        <v>1345636.3429823017</v>
      </c>
      <c r="I36" s="52">
        <f t="shared" si="2"/>
        <v>186440.09966454675</v>
      </c>
      <c r="J36" s="57">
        <f t="shared" si="8"/>
        <v>1158560.9252469158</v>
      </c>
      <c r="K36" s="51">
        <f t="shared" si="15"/>
        <v>1635880.699825665</v>
      </c>
      <c r="L36" s="55">
        <f t="shared" si="9"/>
        <v>152476.33700138298</v>
      </c>
      <c r="M36" s="55">
        <f t="shared" si="24"/>
        <v>-177796.07587380137</v>
      </c>
      <c r="N36" s="55">
        <f t="shared" si="25"/>
        <v>17779.607587380135</v>
      </c>
      <c r="O36" s="48">
        <f t="shared" si="10"/>
        <v>1822320.7994902118</v>
      </c>
      <c r="P36" s="58">
        <f t="shared" si="1"/>
        <v>1567438.5784485759</v>
      </c>
      <c r="Q36" s="53"/>
      <c r="R36" s="53">
        <f t="shared" si="11"/>
        <v>0.12</v>
      </c>
      <c r="S36" s="53">
        <f t="shared" si="12"/>
        <v>1.0596241035318976E-2</v>
      </c>
      <c r="T36" s="53">
        <f t="shared" si="13"/>
        <v>0.04</v>
      </c>
      <c r="U36" s="53">
        <f t="shared" si="17"/>
        <v>3.3960531989175591E-3</v>
      </c>
      <c r="V36" s="38"/>
    </row>
    <row r="37" spans="1:23" x14ac:dyDescent="0.2">
      <c r="A37" s="62"/>
      <c r="B37" s="45">
        <f t="shared" si="3"/>
        <v>26</v>
      </c>
      <c r="C37" s="51">
        <f t="shared" si="14"/>
        <v>42998186.622918449</v>
      </c>
      <c r="D37" s="47">
        <f t="shared" si="4"/>
        <v>41393010.744423933</v>
      </c>
      <c r="E37" s="48">
        <f t="shared" si="5"/>
        <v>0</v>
      </c>
      <c r="F37" s="50">
        <f t="shared" si="6"/>
        <v>0</v>
      </c>
      <c r="G37" s="50">
        <f t="shared" si="18"/>
        <v>0</v>
      </c>
      <c r="H37" s="51">
        <f t="shared" si="7"/>
        <v>1326807.803339011</v>
      </c>
      <c r="I37" s="52">
        <f t="shared" si="2"/>
        <v>179087.74777247521</v>
      </c>
      <c r="J37" s="57">
        <f t="shared" si="8"/>
        <v>1147109.7915587905</v>
      </c>
      <c r="K37" s="51">
        <f t="shared" si="15"/>
        <v>1605175.8784945125</v>
      </c>
      <c r="L37" s="49">
        <f t="shared" si="9"/>
        <v>146463.36185888236</v>
      </c>
      <c r="M37" s="49">
        <f t="shared" si="24"/>
        <v>-171271.57524396406</v>
      </c>
      <c r="N37" s="49">
        <f t="shared" si="25"/>
        <v>17127.157524396403</v>
      </c>
      <c r="O37" s="48">
        <f t="shared" si="10"/>
        <v>1784263.6262669878</v>
      </c>
      <c r="P37" s="38">
        <f t="shared" si="1"/>
        <v>1525482.9204164818</v>
      </c>
      <c r="Q37" s="53"/>
      <c r="R37" s="53">
        <f t="shared" si="11"/>
        <v>0.12</v>
      </c>
      <c r="S37" s="53">
        <f t="shared" si="12"/>
        <v>1.0596241035318976E-2</v>
      </c>
      <c r="T37" s="53">
        <f t="shared" si="13"/>
        <v>0.04</v>
      </c>
      <c r="U37" s="53">
        <f t="shared" si="17"/>
        <v>3.3960531989175591E-3</v>
      </c>
      <c r="V37" s="38"/>
    </row>
    <row r="38" spans="1:23" x14ac:dyDescent="0.2">
      <c r="A38" s="62"/>
      <c r="B38" s="45">
        <f t="shared" si="3"/>
        <v>27</v>
      </c>
      <c r="C38" s="51">
        <f t="shared" si="14"/>
        <v>41268925.704478033</v>
      </c>
      <c r="D38" s="47">
        <f t="shared" si="4"/>
        <v>39693947.772555485</v>
      </c>
      <c r="E38" s="48">
        <f t="shared" si="5"/>
        <v>0</v>
      </c>
      <c r="F38" s="50">
        <f t="shared" si="6"/>
        <v>0</v>
      </c>
      <c r="G38" s="50">
        <f t="shared" si="18"/>
        <v>0</v>
      </c>
      <c r="H38" s="51">
        <f t="shared" si="7"/>
        <v>1308242.71816241</v>
      </c>
      <c r="I38" s="52">
        <f t="shared" si="2"/>
        <v>171885.15782446877</v>
      </c>
      <c r="J38" s="57">
        <f t="shared" si="8"/>
        <v>1135771.8400606436</v>
      </c>
      <c r="K38" s="51">
        <f t="shared" si="15"/>
        <v>1574977.9319225466</v>
      </c>
      <c r="L38" s="49">
        <f t="shared" si="9"/>
        <v>140572.86655142979</v>
      </c>
      <c r="M38" s="49">
        <f t="shared" si="24"/>
        <v>-164878.2660552829</v>
      </c>
      <c r="N38" s="49">
        <f t="shared" si="25"/>
        <v>16487.826605528287</v>
      </c>
      <c r="O38" s="48">
        <f t="shared" si="10"/>
        <v>1746863.0897470154</v>
      </c>
      <c r="P38" s="38">
        <f t="shared" si="1"/>
        <v>1484532.8902461685</v>
      </c>
      <c r="Q38" s="53"/>
      <c r="R38" s="53">
        <f t="shared" si="11"/>
        <v>0.12</v>
      </c>
      <c r="S38" s="53">
        <f t="shared" si="12"/>
        <v>1.0596241035318976E-2</v>
      </c>
      <c r="T38" s="53">
        <f t="shared" si="13"/>
        <v>0.04</v>
      </c>
      <c r="U38" s="53">
        <f t="shared" si="17"/>
        <v>3.3960531989175591E-3</v>
      </c>
      <c r="V38" s="38"/>
    </row>
    <row r="39" spans="1:23" x14ac:dyDescent="0.2">
      <c r="A39" s="62"/>
      <c r="B39" s="45">
        <f t="shared" si="3"/>
        <v>28</v>
      </c>
      <c r="C39" s="51">
        <f t="shared" si="14"/>
        <v>39575006.406073086</v>
      </c>
      <c r="D39" s="47">
        <f t="shared" si="4"/>
        <v>38029727.401776955</v>
      </c>
      <c r="E39" s="48">
        <f t="shared" si="5"/>
        <v>0</v>
      </c>
      <c r="F39" s="50">
        <f t="shared" si="6"/>
        <v>0</v>
      </c>
      <c r="G39" s="50">
        <f t="shared" si="18"/>
        <v>0</v>
      </c>
      <c r="H39" s="51">
        <f t="shared" si="7"/>
        <v>1289937.401120085</v>
      </c>
      <c r="I39" s="52">
        <f t="shared" si="2"/>
        <v>164829.77089268682</v>
      </c>
      <c r="J39" s="57">
        <f t="shared" si="8"/>
        <v>1124545.9520677703</v>
      </c>
      <c r="K39" s="51">
        <f t="shared" si="15"/>
        <v>1545279.0042961291</v>
      </c>
      <c r="L39" s="49">
        <f t="shared" si="9"/>
        <v>134802.75831065359</v>
      </c>
      <c r="M39" s="49">
        <f t="shared" si="24"/>
        <v>-158613.91828251746</v>
      </c>
      <c r="N39" s="49">
        <f t="shared" si="25"/>
        <v>15861.391828251742</v>
      </c>
      <c r="O39" s="48">
        <f t="shared" si="10"/>
        <v>1710108.775188816</v>
      </c>
      <c r="P39" s="38">
        <f t="shared" si="1"/>
        <v>1444565.7673234763</v>
      </c>
      <c r="Q39" s="53"/>
      <c r="R39" s="53">
        <f t="shared" si="11"/>
        <v>0.12</v>
      </c>
      <c r="S39" s="53">
        <f t="shared" si="12"/>
        <v>1.0596241035318976E-2</v>
      </c>
      <c r="T39" s="53">
        <f t="shared" si="13"/>
        <v>0.04</v>
      </c>
      <c r="U39" s="53">
        <f t="shared" si="17"/>
        <v>3.3960531989175591E-3</v>
      </c>
      <c r="V39" s="38"/>
    </row>
    <row r="40" spans="1:23" x14ac:dyDescent="0.2">
      <c r="A40" s="62"/>
      <c r="B40" s="45">
        <f t="shared" si="3"/>
        <v>29</v>
      </c>
      <c r="C40" s="51">
        <f t="shared" si="14"/>
        <v>37915824.05808033</v>
      </c>
      <c r="D40" s="47">
        <f t="shared" si="4"/>
        <v>36399752.700811721</v>
      </c>
      <c r="E40" s="48">
        <f t="shared" si="5"/>
        <v>0</v>
      </c>
      <c r="F40" s="50">
        <f t="shared" si="6"/>
        <v>0</v>
      </c>
      <c r="G40" s="50">
        <f t="shared" si="18"/>
        <v>0</v>
      </c>
      <c r="H40" s="51">
        <f t="shared" si="7"/>
        <v>1271888.2174598661</v>
      </c>
      <c r="I40" s="52">
        <f t="shared" si="2"/>
        <v>157919.06843491746</v>
      </c>
      <c r="J40" s="57">
        <f t="shared" si="8"/>
        <v>1113431.0199524623</v>
      </c>
      <c r="K40" s="51">
        <f t="shared" si="15"/>
        <v>1516071.357268604</v>
      </c>
      <c r="L40" s="49">
        <f t="shared" si="9"/>
        <v>129150.97739676738</v>
      </c>
      <c r="M40" s="49">
        <f t="shared" si="24"/>
        <v>-152476.33700138298</v>
      </c>
      <c r="N40" s="49">
        <f t="shared" si="25"/>
        <v>15247.633700138294</v>
      </c>
      <c r="O40" s="48">
        <f t="shared" si="10"/>
        <v>1673990.4257035214</v>
      </c>
      <c r="P40" s="38">
        <f t="shared" si="1"/>
        <v>1405559.3261747619</v>
      </c>
      <c r="Q40" s="53"/>
      <c r="R40" s="53">
        <f t="shared" si="11"/>
        <v>0.12</v>
      </c>
      <c r="S40" s="53">
        <f t="shared" si="12"/>
        <v>1.0596241035318976E-2</v>
      </c>
      <c r="T40" s="53">
        <f t="shared" si="13"/>
        <v>0.04</v>
      </c>
      <c r="U40" s="53">
        <f t="shared" si="17"/>
        <v>3.3960531989175591E-3</v>
      </c>
      <c r="V40" s="38"/>
    </row>
    <row r="41" spans="1:23" x14ac:dyDescent="0.2">
      <c r="A41" s="62"/>
      <c r="B41" s="54">
        <f t="shared" si="3"/>
        <v>30</v>
      </c>
      <c r="C41" s="51">
        <f t="shared" si="14"/>
        <v>36290783.54039821</v>
      </c>
      <c r="D41" s="47">
        <f t="shared" si="4"/>
        <v>34803436.172156163</v>
      </c>
      <c r="E41" s="48">
        <f t="shared" si="5"/>
        <v>0</v>
      </c>
      <c r="F41" s="50">
        <f t="shared" si="6"/>
        <v>0</v>
      </c>
      <c r="G41" s="50">
        <f t="shared" si="18"/>
        <v>0</v>
      </c>
      <c r="H41" s="51">
        <f t="shared" si="7"/>
        <v>1254091.5832881092</v>
      </c>
      <c r="I41" s="52">
        <f t="shared" si="2"/>
        <v>151150.57168421801</v>
      </c>
      <c r="J41" s="57">
        <f t="shared" si="8"/>
        <v>1102425.9470347271</v>
      </c>
      <c r="K41" s="51">
        <f t="shared" si="15"/>
        <v>1487347.3682420473</v>
      </c>
      <c r="L41" s="49">
        <f t="shared" si="9"/>
        <v>123615.4965993997</v>
      </c>
      <c r="M41" s="49">
        <f>IFERROR(L37*-1,0)</f>
        <v>-146463.36185888236</v>
      </c>
      <c r="N41" s="49">
        <f t="shared" si="25"/>
        <v>14646.336185888233</v>
      </c>
      <c r="O41" s="48">
        <f t="shared" si="10"/>
        <v>1638497.9399262653</v>
      </c>
      <c r="P41" s="38">
        <f t="shared" si="1"/>
        <v>1367491.8259304683</v>
      </c>
      <c r="Q41" s="53"/>
      <c r="R41" s="53">
        <f t="shared" si="11"/>
        <v>0.12</v>
      </c>
      <c r="S41" s="53">
        <f t="shared" si="12"/>
        <v>1.0596241035318976E-2</v>
      </c>
      <c r="T41" s="53">
        <f t="shared" si="13"/>
        <v>0.04</v>
      </c>
      <c r="U41" s="53">
        <f t="shared" si="17"/>
        <v>3.3960531989175591E-3</v>
      </c>
      <c r="V41" s="38"/>
    </row>
    <row r="42" spans="1:23" x14ac:dyDescent="0.2">
      <c r="A42" s="62"/>
      <c r="B42" s="54">
        <f t="shared" si="3"/>
        <v>31</v>
      </c>
      <c r="C42" s="51">
        <f t="shared" si="14"/>
        <v>34699299.138065532</v>
      </c>
      <c r="D42" s="47">
        <f t="shared" si="4"/>
        <v>33240199.609391652</v>
      </c>
      <c r="E42" s="48">
        <f t="shared" si="5"/>
        <v>0</v>
      </c>
      <c r="F42" s="50">
        <f t="shared" si="6"/>
        <v>0</v>
      </c>
      <c r="G42" s="50">
        <f t="shared" si="18"/>
        <v>0</v>
      </c>
      <c r="H42" s="51">
        <f t="shared" si="7"/>
        <v>1236543.9648580621</v>
      </c>
      <c r="I42" s="52">
        <f t="shared" si="2"/>
        <v>144521.8410475433</v>
      </c>
      <c r="J42" s="57">
        <f t="shared" si="8"/>
        <v>1091529.647474078</v>
      </c>
      <c r="K42" s="51">
        <f t="shared" si="15"/>
        <v>1459099.5286738793</v>
      </c>
      <c r="L42" s="49">
        <f t="shared" si="9"/>
        <v>118194.32074577402</v>
      </c>
      <c r="M42" s="49">
        <f t="shared" ref="M42:M105" si="26">IFERROR(L38*-1,0)</f>
        <v>-140572.86655142979</v>
      </c>
      <c r="N42" s="49">
        <f t="shared" si="25"/>
        <v>14057.286655142976</v>
      </c>
      <c r="O42" s="48">
        <f t="shared" si="10"/>
        <v>1603621.3697214227</v>
      </c>
      <c r="P42" s="38">
        <f t="shared" si="1"/>
        <v>1330342.0000092995</v>
      </c>
      <c r="Q42" s="53"/>
      <c r="R42" s="53">
        <f t="shared" si="11"/>
        <v>0.12</v>
      </c>
      <c r="S42" s="53">
        <f t="shared" si="12"/>
        <v>1.0596241035318976E-2</v>
      </c>
      <c r="T42" s="53">
        <f t="shared" si="13"/>
        <v>0.04</v>
      </c>
      <c r="U42" s="53">
        <f t="shared" si="17"/>
        <v>3.3960531989175591E-3</v>
      </c>
      <c r="V42" s="38"/>
    </row>
    <row r="43" spans="1:23" x14ac:dyDescent="0.2">
      <c r="A43" s="62"/>
      <c r="B43" s="45">
        <f t="shared" si="3"/>
        <v>32</v>
      </c>
      <c r="C43" s="51">
        <f t="shared" si="14"/>
        <v>33140794.399006587</v>
      </c>
      <c r="D43" s="47">
        <f t="shared" si="4"/>
        <v>31709473.956598811</v>
      </c>
      <c r="E43" s="48">
        <f t="shared" si="5"/>
        <v>0</v>
      </c>
      <c r="F43" s="50">
        <f t="shared" si="6"/>
        <v>0</v>
      </c>
      <c r="G43" s="50">
        <f t="shared" si="18"/>
        <v>0</v>
      </c>
      <c r="H43" s="51">
        <f t="shared" si="7"/>
        <v>1219241.8778681983</v>
      </c>
      <c r="I43" s="52">
        <f t="shared" si="2"/>
        <v>138030.47551323133</v>
      </c>
      <c r="J43" s="57">
        <f t="shared" si="8"/>
        <v>1080741.0461623999</v>
      </c>
      <c r="K43" s="51">
        <f t="shared" si="15"/>
        <v>1431320.4424077738</v>
      </c>
      <c r="L43" s="49">
        <f t="shared" si="9"/>
        <v>112885.48621613272</v>
      </c>
      <c r="M43" s="49">
        <f t="shared" si="26"/>
        <v>-134802.75831065359</v>
      </c>
      <c r="N43" s="49">
        <f t="shared" si="25"/>
        <v>13480.275831065355</v>
      </c>
      <c r="O43" s="48">
        <f t="shared" si="10"/>
        <v>1569350.917921005</v>
      </c>
      <c r="P43" s="38">
        <f t="shared" si="1"/>
        <v>1294089.0460182647</v>
      </c>
      <c r="Q43" s="53"/>
      <c r="R43" s="53">
        <f t="shared" si="11"/>
        <v>0.12</v>
      </c>
      <c r="S43" s="53">
        <f t="shared" si="12"/>
        <v>1.0596241035318976E-2</v>
      </c>
      <c r="T43" s="53">
        <f t="shared" si="13"/>
        <v>0.04</v>
      </c>
      <c r="U43" s="53">
        <f t="shared" si="17"/>
        <v>3.3960531989175591E-3</v>
      </c>
      <c r="V43" s="38"/>
    </row>
    <row r="44" spans="1:23" x14ac:dyDescent="0.2">
      <c r="A44" s="62"/>
      <c r="B44" s="45">
        <f t="shared" si="3"/>
        <v>33</v>
      </c>
      <c r="C44" s="51">
        <f t="shared" si="14"/>
        <v>31614701.993872188</v>
      </c>
      <c r="D44" s="47">
        <f t="shared" si="4"/>
        <v>30210699.169843391</v>
      </c>
      <c r="E44" s="48">
        <f t="shared" si="5"/>
        <v>0</v>
      </c>
      <c r="F44" s="50">
        <f t="shared" si="6"/>
        <v>0</v>
      </c>
      <c r="G44" s="50">
        <f t="shared" si="18"/>
        <v>0</v>
      </c>
      <c r="H44" s="51">
        <f t="shared" si="7"/>
        <v>1202181.8867703639</v>
      </c>
      <c r="I44" s="52">
        <f t="shared" si="2"/>
        <v>131674.11206721878</v>
      </c>
      <c r="J44" s="57">
        <f t="shared" si="8"/>
        <v>1070059.0786178687</v>
      </c>
      <c r="K44" s="51">
        <f t="shared" si="15"/>
        <v>1404002.8240287965</v>
      </c>
      <c r="L44" s="49">
        <f t="shared" si="9"/>
        <v>107687.06046630042</v>
      </c>
      <c r="M44" s="49">
        <f t="shared" si="26"/>
        <v>-129150.97739676738</v>
      </c>
      <c r="N44" s="49">
        <f t="shared" si="25"/>
        <v>12915.097739676736</v>
      </c>
      <c r="O44" s="48">
        <f t="shared" si="10"/>
        <v>1535676.9360960154</v>
      </c>
      <c r="P44" s="38">
        <f t="shared" si="1"/>
        <v>1258712.6158643535</v>
      </c>
      <c r="Q44" s="53"/>
      <c r="R44" s="53">
        <f t="shared" si="11"/>
        <v>0.12</v>
      </c>
      <c r="S44" s="53">
        <f t="shared" si="12"/>
        <v>1.0596241035318976E-2</v>
      </c>
      <c r="T44" s="53">
        <f t="shared" si="13"/>
        <v>0.04</v>
      </c>
      <c r="U44" s="53">
        <f t="shared" si="17"/>
        <v>3.3960531989175591E-3</v>
      </c>
      <c r="V44" s="38"/>
    </row>
    <row r="45" spans="1:23" x14ac:dyDescent="0.2">
      <c r="A45" s="62"/>
      <c r="B45" s="45">
        <f t="shared" si="3"/>
        <v>34</v>
      </c>
      <c r="C45" s="51">
        <f t="shared" si="14"/>
        <v>30120463.577946048</v>
      </c>
      <c r="D45" s="47">
        <f t="shared" si="4"/>
        <v>28743324.080703888</v>
      </c>
      <c r="E45" s="48">
        <f t="shared" si="5"/>
        <v>0</v>
      </c>
      <c r="F45" s="50">
        <f t="shared" si="6"/>
        <v>0</v>
      </c>
      <c r="G45" s="50">
        <f t="shared" si="18"/>
        <v>0</v>
      </c>
      <c r="H45" s="51">
        <f t="shared" si="7"/>
        <v>1185360.6040876028</v>
      </c>
      <c r="I45" s="52">
        <f t="shared" si="2"/>
        <v>125450.42511785879</v>
      </c>
      <c r="J45" s="57">
        <f t="shared" si="8"/>
        <v>1059482.6908799221</v>
      </c>
      <c r="K45" s="51">
        <f t="shared" si="15"/>
        <v>1377139.4972421597</v>
      </c>
      <c r="L45" s="49">
        <f t="shared" si="9"/>
        <v>102597.1415572827</v>
      </c>
      <c r="M45" s="49">
        <f t="shared" si="26"/>
        <v>-123615.4965993997</v>
      </c>
      <c r="N45" s="49">
        <f t="shared" si="25"/>
        <v>12361.549659939967</v>
      </c>
      <c r="O45" s="48">
        <f t="shared" si="10"/>
        <v>1502589.9223600184</v>
      </c>
      <c r="P45" s="38">
        <f t="shared" si="1"/>
        <v>1224192.8060732442</v>
      </c>
      <c r="Q45" s="53"/>
      <c r="R45" s="53">
        <f t="shared" si="11"/>
        <v>0.12</v>
      </c>
      <c r="S45" s="53">
        <f t="shared" si="12"/>
        <v>1.0596241035318976E-2</v>
      </c>
      <c r="T45" s="53">
        <f t="shared" si="13"/>
        <v>0.04</v>
      </c>
      <c r="U45" s="53">
        <f t="shared" si="17"/>
        <v>3.3960531989175591E-3</v>
      </c>
      <c r="V45" s="38"/>
    </row>
    <row r="46" spans="1:23" x14ac:dyDescent="0.2">
      <c r="A46" s="62"/>
      <c r="B46" s="45">
        <f t="shared" si="3"/>
        <v>35</v>
      </c>
      <c r="C46" s="51">
        <f t="shared" si="14"/>
        <v>28657529.655086666</v>
      </c>
      <c r="D46" s="47">
        <f t="shared" si="4"/>
        <v>27306806.261811253</v>
      </c>
      <c r="E46" s="48">
        <f t="shared" si="5"/>
        <v>0</v>
      </c>
      <c r="F46" s="50">
        <f t="shared" si="6"/>
        <v>0</v>
      </c>
      <c r="G46" s="50">
        <f t="shared" si="18"/>
        <v>0</v>
      </c>
      <c r="H46" s="51">
        <f t="shared" si="7"/>
        <v>1168774.6897415367</v>
      </c>
      <c r="I46" s="52">
        <f t="shared" si="2"/>
        <v>119357.12592921704</v>
      </c>
      <c r="J46" s="57">
        <f t="shared" si="8"/>
        <v>1049010.8394052705</v>
      </c>
      <c r="K46" s="51">
        <f t="shared" si="15"/>
        <v>1350723.3932754141</v>
      </c>
      <c r="L46" s="49">
        <f t="shared" si="9"/>
        <v>97613.857691798548</v>
      </c>
      <c r="M46" s="49">
        <f t="shared" si="26"/>
        <v>-118194.32074577402</v>
      </c>
      <c r="N46" s="49">
        <f t="shared" si="25"/>
        <v>11819.4320745774</v>
      </c>
      <c r="O46" s="48">
        <f t="shared" si="10"/>
        <v>1470080.5192046312</v>
      </c>
      <c r="P46" s="38">
        <f t="shared" si="1"/>
        <v>1190510.1483108955</v>
      </c>
      <c r="Q46" s="53"/>
      <c r="R46" s="53">
        <f t="shared" si="11"/>
        <v>0.12</v>
      </c>
      <c r="S46" s="53">
        <f t="shared" si="12"/>
        <v>1.0596241035318976E-2</v>
      </c>
      <c r="T46" s="53">
        <f t="shared" si="13"/>
        <v>0.04</v>
      </c>
      <c r="U46" s="53">
        <f t="shared" si="17"/>
        <v>3.3960531989175591E-3</v>
      </c>
      <c r="V46" s="38"/>
    </row>
    <row r="47" spans="1:23" x14ac:dyDescent="0.2">
      <c r="A47" s="62"/>
      <c r="B47" s="45">
        <f t="shared" si="3"/>
        <v>36</v>
      </c>
      <c r="C47" s="51">
        <f t="shared" si="14"/>
        <v>27225359.44367522</v>
      </c>
      <c r="D47" s="47">
        <f t="shared" si="4"/>
        <v>25900611.894371528</v>
      </c>
      <c r="E47" s="48">
        <f t="shared" si="5"/>
        <v>0</v>
      </c>
      <c r="F47" s="50">
        <f t="shared" si="6"/>
        <v>0</v>
      </c>
      <c r="G47" s="50">
        <f t="shared" si="18"/>
        <v>0</v>
      </c>
      <c r="H47" s="51">
        <f t="shared" si="7"/>
        <v>1152420.8503891435</v>
      </c>
      <c r="I47" s="52">
        <f t="shared" si="2"/>
        <v>113391.96206272337</v>
      </c>
      <c r="J47" s="57">
        <f t="shared" si="8"/>
        <v>1038642.4909649299</v>
      </c>
      <c r="K47" s="51">
        <f t="shared" si="15"/>
        <v>1324747.5493036916</v>
      </c>
      <c r="L47" s="49">
        <f t="shared" si="9"/>
        <v>92735.366757646145</v>
      </c>
      <c r="M47" s="49">
        <f t="shared" si="26"/>
        <v>-112885.48621613272</v>
      </c>
      <c r="N47" s="49">
        <f t="shared" si="25"/>
        <v>11288.548621613269</v>
      </c>
      <c r="O47" s="48">
        <f t="shared" si="10"/>
        <v>1438139.5113664151</v>
      </c>
      <c r="P47" s="38">
        <f t="shared" si="1"/>
        <v>1157645.6001037718</v>
      </c>
      <c r="Q47" s="53"/>
      <c r="R47" s="53">
        <f t="shared" si="11"/>
        <v>0.12</v>
      </c>
      <c r="S47" s="53">
        <f t="shared" si="12"/>
        <v>1.0596241035318976E-2</v>
      </c>
      <c r="T47" s="53">
        <f t="shared" si="13"/>
        <v>0.04</v>
      </c>
      <c r="U47" s="53">
        <f t="shared" si="17"/>
        <v>3.3960531989175591E-3</v>
      </c>
      <c r="V47" s="38"/>
    </row>
    <row r="48" spans="1:23" x14ac:dyDescent="0.2">
      <c r="A48" s="62"/>
      <c r="B48" s="45">
        <f t="shared" si="3"/>
        <v>37</v>
      </c>
      <c r="C48" s="51">
        <f t="shared" si="14"/>
        <v>25823420.744540356</v>
      </c>
      <c r="D48" s="47">
        <f t="shared" si="4"/>
        <v>24524215.637642656</v>
      </c>
      <c r="E48" s="48">
        <f t="shared" si="5"/>
        <v>0</v>
      </c>
      <c r="F48" s="50">
        <f t="shared" si="6"/>
        <v>0</v>
      </c>
      <c r="G48" s="50">
        <f t="shared" si="18"/>
        <v>0</v>
      </c>
      <c r="H48" s="51">
        <f t="shared" si="7"/>
        <v>1136295.8387688294</v>
      </c>
      <c r="I48" s="52">
        <f t="shared" si="2"/>
        <v>107552.7168270572</v>
      </c>
      <c r="J48" s="57">
        <f t="shared" si="8"/>
        <v>1028376.6225422813</v>
      </c>
      <c r="K48" s="51">
        <f t="shared" si="15"/>
        <v>1299205.1068976999</v>
      </c>
      <c r="L48" s="49">
        <f t="shared" si="9"/>
        <v>87959.855877802605</v>
      </c>
      <c r="M48" s="49">
        <f t="shared" si="26"/>
        <v>-107687.06046630042</v>
      </c>
      <c r="N48" s="49">
        <f t="shared" si="25"/>
        <v>10768.706046630039</v>
      </c>
      <c r="O48" s="48">
        <f t="shared" si="10"/>
        <v>1406757.8237247572</v>
      </c>
      <c r="P48" s="38">
        <f t="shared" si="1"/>
        <v>1125580.5357536208</v>
      </c>
      <c r="Q48" s="53"/>
      <c r="R48" s="53">
        <f t="shared" si="11"/>
        <v>0.12</v>
      </c>
      <c r="S48" s="53">
        <f t="shared" si="12"/>
        <v>1.0596241035318976E-2</v>
      </c>
      <c r="T48" s="53">
        <f t="shared" si="13"/>
        <v>0.04</v>
      </c>
      <c r="U48" s="53">
        <f t="shared" si="17"/>
        <v>3.3960531989175591E-3</v>
      </c>
      <c r="V48" s="38"/>
    </row>
    <row r="49" spans="1:22" x14ac:dyDescent="0.2">
      <c r="A49" s="62"/>
      <c r="B49" s="45">
        <f t="shared" si="3"/>
        <v>38</v>
      </c>
      <c r="C49" s="51">
        <f t="shared" si="14"/>
        <v>24451189.810831226</v>
      </c>
      <c r="D49" s="47">
        <f t="shared" si="4"/>
        <v>23177100.500337146</v>
      </c>
      <c r="E49" s="48">
        <f t="shared" si="5"/>
        <v>0</v>
      </c>
      <c r="F49" s="50">
        <f t="shared" si="6"/>
        <v>0</v>
      </c>
      <c r="G49" s="50">
        <f t="shared" si="18"/>
        <v>0</v>
      </c>
      <c r="H49" s="51">
        <f t="shared" si="7"/>
        <v>1120396.4530556365</v>
      </c>
      <c r="I49" s="52">
        <f t="shared" si="2"/>
        <v>101837.20873614791</v>
      </c>
      <c r="J49" s="57">
        <f t="shared" si="8"/>
        <v>1018212.2212321253</v>
      </c>
      <c r="K49" s="51">
        <f t="shared" si="15"/>
        <v>1274089.3104940772</v>
      </c>
      <c r="L49" s="49">
        <f t="shared" si="9"/>
        <v>83285.54096716037</v>
      </c>
      <c r="M49" s="49">
        <f t="shared" si="26"/>
        <v>-102597.1415572827</v>
      </c>
      <c r="N49" s="49">
        <f t="shared" si="25"/>
        <v>10259.714155728267</v>
      </c>
      <c r="O49" s="48">
        <f t="shared" si="10"/>
        <v>1375926.5192302251</v>
      </c>
      <c r="P49" s="38">
        <f t="shared" si="1"/>
        <v>1094296.7374427204</v>
      </c>
      <c r="Q49" s="53"/>
      <c r="R49" s="53">
        <f t="shared" si="11"/>
        <v>0.12</v>
      </c>
      <c r="S49" s="53">
        <f t="shared" si="12"/>
        <v>1.0596241035318976E-2</v>
      </c>
      <c r="T49" s="53">
        <f t="shared" si="13"/>
        <v>0.04</v>
      </c>
      <c r="U49" s="53">
        <f t="shared" si="17"/>
        <v>3.3960531989175591E-3</v>
      </c>
      <c r="V49" s="38"/>
    </row>
    <row r="50" spans="1:22" x14ac:dyDescent="0.2">
      <c r="A50" s="62"/>
      <c r="B50" s="45">
        <f t="shared" si="3"/>
        <v>39</v>
      </c>
      <c r="C50" s="51">
        <f t="shared" si="14"/>
        <v>23108151.219810523</v>
      </c>
      <c r="D50" s="47">
        <f t="shared" si="4"/>
        <v>21858757.713922646</v>
      </c>
      <c r="E50" s="48">
        <f t="shared" si="5"/>
        <v>0</v>
      </c>
      <c r="F50" s="50">
        <f t="shared" si="6"/>
        <v>0</v>
      </c>
      <c r="G50" s="50">
        <f t="shared" si="18"/>
        <v>0</v>
      </c>
      <c r="H50" s="51">
        <f t="shared" si="7"/>
        <v>1104719.5362254875</v>
      </c>
      <c r="I50" s="52">
        <f t="shared" si="2"/>
        <v>96243.290975172262</v>
      </c>
      <c r="J50" s="57">
        <f t="shared" si="8"/>
        <v>1008148.2841407494</v>
      </c>
      <c r="K50" s="51">
        <f t="shared" si="15"/>
        <v>1249393.5058878765</v>
      </c>
      <c r="L50" s="49">
        <f t="shared" si="9"/>
        <v>78710.66629580372</v>
      </c>
      <c r="M50" s="49">
        <f t="shared" si="26"/>
        <v>-97613.857691798548</v>
      </c>
      <c r="N50" s="49">
        <f t="shared" si="25"/>
        <v>9761.385769179853</v>
      </c>
      <c r="O50" s="48">
        <f t="shared" si="10"/>
        <v>1345636.7968630488</v>
      </c>
      <c r="P50" s="38">
        <f t="shared" si="1"/>
        <v>1063776.3865257178</v>
      </c>
      <c r="Q50" s="53"/>
      <c r="R50" s="53">
        <f t="shared" si="11"/>
        <v>0.12</v>
      </c>
      <c r="S50" s="53">
        <f t="shared" si="12"/>
        <v>1.0596241035318976E-2</v>
      </c>
      <c r="T50" s="53">
        <f t="shared" si="13"/>
        <v>0.04</v>
      </c>
      <c r="U50" s="53">
        <f t="shared" si="17"/>
        <v>3.3960531989175591E-3</v>
      </c>
      <c r="V50" s="38"/>
    </row>
    <row r="51" spans="1:22" x14ac:dyDescent="0.2">
      <c r="A51" s="62"/>
      <c r="B51" s="45">
        <f t="shared" si="3"/>
        <v>40</v>
      </c>
      <c r="C51" s="51">
        <f t="shared" si="14"/>
        <v>21793797.746539682</v>
      </c>
      <c r="D51" s="47">
        <f t="shared" si="4"/>
        <v>20568686.60779291</v>
      </c>
      <c r="E51" s="48">
        <f t="shared" si="5"/>
        <v>0</v>
      </c>
      <c r="F51" s="50">
        <f t="shared" si="6"/>
        <v>0</v>
      </c>
      <c r="G51" s="50">
        <f t="shared" si="18"/>
        <v>0</v>
      </c>
      <c r="H51" s="51">
        <f t="shared" si="7"/>
        <v>1089261.9754283109</v>
      </c>
      <c r="I51" s="52">
        <f t="shared" si="2"/>
        <v>90768.850874432988</v>
      </c>
      <c r="J51" s="57">
        <f t="shared" si="8"/>
        <v>998183.81828696665</v>
      </c>
      <c r="K51" s="51">
        <f t="shared" si="15"/>
        <v>1225111.1387467696</v>
      </c>
      <c r="L51" s="49">
        <f t="shared" si="9"/>
        <v>74233.504058730876</v>
      </c>
      <c r="M51" s="49">
        <f t="shared" si="26"/>
        <v>-92735.366757646145</v>
      </c>
      <c r="N51" s="49">
        <f t="shared" si="25"/>
        <v>9273.5366757646116</v>
      </c>
      <c r="O51" s="48">
        <f t="shared" si="10"/>
        <v>1315879.9896212027</v>
      </c>
      <c r="P51" s="38">
        <f t="shared" si="1"/>
        <v>1034002.0550041256</v>
      </c>
      <c r="Q51" s="53"/>
      <c r="R51" s="53">
        <f t="shared" si="11"/>
        <v>0.12</v>
      </c>
      <c r="S51" s="53">
        <f t="shared" si="12"/>
        <v>1.0596241035318976E-2</v>
      </c>
      <c r="T51" s="53">
        <f t="shared" si="13"/>
        <v>0.04</v>
      </c>
      <c r="U51" s="53">
        <f t="shared" si="17"/>
        <v>3.3960531989175591E-3</v>
      </c>
      <c r="V51" s="38"/>
    </row>
    <row r="52" spans="1:22" x14ac:dyDescent="0.2">
      <c r="A52" s="62"/>
      <c r="B52" s="45">
        <f t="shared" si="3"/>
        <v>41</v>
      </c>
      <c r="C52" s="51">
        <f t="shared" si="14"/>
        <v>20507630.239428762</v>
      </c>
      <c r="D52" s="47">
        <f t="shared" si="4"/>
        <v>19306394.486282002</v>
      </c>
      <c r="E52" s="48">
        <f t="shared" si="5"/>
        <v>0</v>
      </c>
      <c r="F52" s="50">
        <f t="shared" si="6"/>
        <v>0</v>
      </c>
      <c r="G52" s="50">
        <f t="shared" si="18"/>
        <v>0</v>
      </c>
      <c r="H52" s="51">
        <f t="shared" si="7"/>
        <v>1074020.7013699505</v>
      </c>
      <c r="I52" s="52">
        <f t="shared" si="2"/>
        <v>85411.809391004106</v>
      </c>
      <c r="J52" s="57">
        <f t="shared" si="8"/>
        <v>988317.84050414665</v>
      </c>
      <c r="K52" s="51">
        <f t="shared" si="15"/>
        <v>1201235.7531467604</v>
      </c>
      <c r="L52" s="49">
        <f t="shared" si="9"/>
        <v>69852.353951927871</v>
      </c>
      <c r="M52" s="49">
        <f t="shared" si="26"/>
        <v>-87959.855877802605</v>
      </c>
      <c r="N52" s="49">
        <f t="shared" si="25"/>
        <v>8795.9855877802584</v>
      </c>
      <c r="O52" s="48">
        <f t="shared" si="10"/>
        <v>1286647.5625377644</v>
      </c>
      <c r="P52" s="38">
        <f t="shared" si="1"/>
        <v>1004956.697179767</v>
      </c>
      <c r="Q52" s="53"/>
      <c r="R52" s="53">
        <f t="shared" si="11"/>
        <v>0.12</v>
      </c>
      <c r="S52" s="53">
        <f t="shared" si="12"/>
        <v>1.0596241035318976E-2</v>
      </c>
      <c r="T52" s="53">
        <f t="shared" si="13"/>
        <v>0.04</v>
      </c>
      <c r="U52" s="53">
        <f t="shared" si="17"/>
        <v>3.3960531989175591E-3</v>
      </c>
      <c r="V52" s="38"/>
    </row>
    <row r="53" spans="1:22" x14ac:dyDescent="0.2">
      <c r="A53" s="62"/>
      <c r="B53" s="45">
        <f t="shared" si="3"/>
        <v>42</v>
      </c>
      <c r="C53" s="51">
        <f t="shared" si="14"/>
        <v>19249157.497624017</v>
      </c>
      <c r="D53" s="47">
        <f t="shared" si="4"/>
        <v>18071396.507495001</v>
      </c>
      <c r="E53" s="48">
        <f t="shared" si="5"/>
        <v>0</v>
      </c>
      <c r="F53" s="50">
        <f t="shared" si="6"/>
        <v>0</v>
      </c>
      <c r="G53" s="50">
        <f t="shared" si="18"/>
        <v>0</v>
      </c>
      <c r="H53" s="51">
        <f t="shared" si="7"/>
        <v>1058992.6877027217</v>
      </c>
      <c r="I53" s="52">
        <f t="shared" si="2"/>
        <v>80170.120598030422</v>
      </c>
      <c r="J53" s="57">
        <f t="shared" si="8"/>
        <v>978549.37734321342</v>
      </c>
      <c r="K53" s="51">
        <f t="shared" si="15"/>
        <v>1177760.9901290149</v>
      </c>
      <c r="L53" s="49">
        <f t="shared" si="9"/>
        <v>65565.542754702314</v>
      </c>
      <c r="M53" s="49">
        <f t="shared" si="26"/>
        <v>-83285.54096716037</v>
      </c>
      <c r="N53" s="49">
        <f t="shared" si="25"/>
        <v>8328.5540967160359</v>
      </c>
      <c r="O53" s="48">
        <f t="shared" si="10"/>
        <v>1257931.1107270455</v>
      </c>
      <c r="P53" s="38">
        <f t="shared" si="1"/>
        <v>976623.64148339606</v>
      </c>
      <c r="Q53" s="53"/>
      <c r="R53" s="53">
        <f t="shared" si="11"/>
        <v>0.12</v>
      </c>
      <c r="S53" s="53">
        <f t="shared" si="12"/>
        <v>1.0596241035318976E-2</v>
      </c>
      <c r="T53" s="53">
        <f t="shared" si="13"/>
        <v>0.04</v>
      </c>
      <c r="U53" s="53">
        <f t="shared" si="17"/>
        <v>3.3960531989175591E-3</v>
      </c>
      <c r="V53" s="38"/>
    </row>
    <row r="54" spans="1:22" x14ac:dyDescent="0.2">
      <c r="A54" s="62"/>
      <c r="B54" s="45">
        <f t="shared" si="3"/>
        <v>43</v>
      </c>
      <c r="C54" s="51">
        <f t="shared" si="14"/>
        <v>18017896.150206394</v>
      </c>
      <c r="D54" s="47">
        <f t="shared" si="4"/>
        <v>16863215.563928869</v>
      </c>
      <c r="E54" s="48">
        <f t="shared" si="5"/>
        <v>0</v>
      </c>
      <c r="F54" s="50">
        <f t="shared" si="6"/>
        <v>0</v>
      </c>
      <c r="G54" s="50">
        <f t="shared" si="18"/>
        <v>0</v>
      </c>
      <c r="H54" s="51">
        <f t="shared" si="7"/>
        <v>1044174.9504244799</v>
      </c>
      <c r="I54" s="52">
        <f t="shared" si="2"/>
        <v>75041.77118157006</v>
      </c>
      <c r="J54" s="57">
        <f t="shared" si="8"/>
        <v>968877.46497658407</v>
      </c>
      <c r="K54" s="51">
        <f t="shared" si="15"/>
        <v>1154680.5862775268</v>
      </c>
      <c r="L54" s="49">
        <f t="shared" si="9"/>
        <v>61371.423918186003</v>
      </c>
      <c r="M54" s="49">
        <f t="shared" si="26"/>
        <v>-78710.66629580372</v>
      </c>
      <c r="N54" s="49">
        <f t="shared" si="25"/>
        <v>7871.0666295803703</v>
      </c>
      <c r="O54" s="48">
        <f t="shared" si="10"/>
        <v>1229722.3574590969</v>
      </c>
      <c r="P54" s="38">
        <f t="shared" si="1"/>
        <v>948986.58247487736</v>
      </c>
      <c r="Q54" s="53"/>
      <c r="R54" s="53">
        <f t="shared" si="11"/>
        <v>0.12</v>
      </c>
      <c r="S54" s="53">
        <f t="shared" si="12"/>
        <v>1.0596241035318976E-2</v>
      </c>
      <c r="T54" s="53">
        <f t="shared" si="13"/>
        <v>0.04</v>
      </c>
      <c r="U54" s="53">
        <f t="shared" si="17"/>
        <v>3.3960531989175591E-3</v>
      </c>
      <c r="V54" s="38"/>
    </row>
    <row r="55" spans="1:22" x14ac:dyDescent="0.2">
      <c r="A55" s="62"/>
      <c r="B55" s="45">
        <f t="shared" si="3"/>
        <v>44</v>
      </c>
      <c r="C55" s="51">
        <f t="shared" si="14"/>
        <v>16813370.537174825</v>
      </c>
      <c r="D55" s="47">
        <f t="shared" si="4"/>
        <v>15681382.164857429</v>
      </c>
      <c r="E55" s="48">
        <f t="shared" si="5"/>
        <v>0</v>
      </c>
      <c r="F55" s="50">
        <f t="shared" si="6"/>
        <v>0</v>
      </c>
      <c r="G55" s="50">
        <f t="shared" si="18"/>
        <v>0</v>
      </c>
      <c r="H55" s="51">
        <f t="shared" si="7"/>
        <v>1029564.5472861199</v>
      </c>
      <c r="I55" s="52">
        <f t="shared" si="2"/>
        <v>70024.779944870636</v>
      </c>
      <c r="J55" s="57">
        <f t="shared" si="8"/>
        <v>959301.14910308295</v>
      </c>
      <c r="K55" s="51">
        <f t="shared" si="15"/>
        <v>1131988.3723173961</v>
      </c>
      <c r="L55" s="49">
        <f t="shared" si="9"/>
        <v>57268.377159917007</v>
      </c>
      <c r="M55" s="49">
        <f t="shared" si="26"/>
        <v>-74233.504058730876</v>
      </c>
      <c r="N55" s="49">
        <f t="shared" si="25"/>
        <v>7423.3504058730859</v>
      </c>
      <c r="O55" s="48">
        <f t="shared" si="10"/>
        <v>1202013.1522622667</v>
      </c>
      <c r="P55" s="38">
        <f t="shared" si="1"/>
        <v>922029.57301142928</v>
      </c>
      <c r="Q55" s="53"/>
      <c r="R55" s="53">
        <f t="shared" si="11"/>
        <v>0.12</v>
      </c>
      <c r="S55" s="53">
        <f t="shared" si="12"/>
        <v>1.0596241035318976E-2</v>
      </c>
      <c r="T55" s="53">
        <f t="shared" si="13"/>
        <v>0.04</v>
      </c>
      <c r="U55" s="53">
        <f t="shared" si="17"/>
        <v>3.3960531989175591E-3</v>
      </c>
    </row>
    <row r="56" spans="1:22" x14ac:dyDescent="0.2">
      <c r="A56" s="62"/>
      <c r="B56" s="45">
        <f t="shared" si="3"/>
        <v>45</v>
      </c>
      <c r="C56" s="51">
        <f t="shared" si="14"/>
        <v>15635112.592188209</v>
      </c>
      <c r="D56" s="47">
        <f t="shared" si="4"/>
        <v>14525434.320454938</v>
      </c>
      <c r="E56" s="48">
        <f t="shared" si="5"/>
        <v>0</v>
      </c>
      <c r="F56" s="50">
        <f t="shared" si="6"/>
        <v>0</v>
      </c>
      <c r="G56" s="50">
        <f t="shared" si="18"/>
        <v>0</v>
      </c>
      <c r="H56" s="51">
        <f t="shared" si="7"/>
        <v>1015158.5772073542</v>
      </c>
      <c r="I56" s="52">
        <f t="shared" si="2"/>
        <v>65117.197319970903</v>
      </c>
      <c r="J56" s="57">
        <f t="shared" si="8"/>
        <v>949819.48485378164</v>
      </c>
      <c r="K56" s="51">
        <f t="shared" si="15"/>
        <v>1109678.2717332703</v>
      </c>
      <c r="L56" s="49">
        <f t="shared" si="9"/>
        <v>53254.808064412828</v>
      </c>
      <c r="M56" s="49">
        <f t="shared" si="26"/>
        <v>-69852.353951927871</v>
      </c>
      <c r="N56" s="49">
        <f t="shared" si="25"/>
        <v>6985.2353951927853</v>
      </c>
      <c r="O56" s="48">
        <f t="shared" si="10"/>
        <v>1174795.4690532412</v>
      </c>
      <c r="P56" s="38">
        <f t="shared" si="1"/>
        <v>895737.01658032287</v>
      </c>
      <c r="Q56" s="53"/>
      <c r="R56" s="53">
        <f t="shared" si="11"/>
        <v>0.12</v>
      </c>
      <c r="S56" s="53">
        <f t="shared" si="12"/>
        <v>1.0596241035318976E-2</v>
      </c>
      <c r="T56" s="53">
        <f t="shared" si="13"/>
        <v>0.04</v>
      </c>
      <c r="U56" s="53">
        <f t="shared" si="17"/>
        <v>3.3960531989175591E-3</v>
      </c>
    </row>
    <row r="57" spans="1:22" x14ac:dyDescent="0.2">
      <c r="A57" s="62"/>
      <c r="B57" s="45">
        <f t="shared" si="3"/>
        <v>46</v>
      </c>
      <c r="C57" s="51">
        <f t="shared" si="14"/>
        <v>14482661.72704076</v>
      </c>
      <c r="D57" s="47">
        <f t="shared" si="4"/>
        <v>13394917.427632935</v>
      </c>
      <c r="E57" s="48">
        <f t="shared" si="5"/>
        <v>0</v>
      </c>
      <c r="F57" s="50">
        <f t="shared" si="6"/>
        <v>0</v>
      </c>
      <c r="G57" s="50">
        <f t="shared" si="18"/>
        <v>0</v>
      </c>
      <c r="H57" s="51">
        <f t="shared" si="7"/>
        <v>1000954.1797006594</v>
      </c>
      <c r="I57" s="52">
        <f t="shared" si="2"/>
        <v>60317.104886522051</v>
      </c>
      <c r="J57" s="57">
        <f t="shared" si="8"/>
        <v>940431.53669876372</v>
      </c>
      <c r="K57" s="51">
        <f t="shared" si="15"/>
        <v>1087744.2994078253</v>
      </c>
      <c r="L57" s="49">
        <f t="shared" si="9"/>
        <v>49329.147689647893</v>
      </c>
      <c r="M57" s="49">
        <f t="shared" si="26"/>
        <v>-65565.542754702314</v>
      </c>
      <c r="N57" s="49">
        <f t="shared" si="25"/>
        <v>6556.5542754702301</v>
      </c>
      <c r="O57" s="48">
        <f t="shared" si="10"/>
        <v>1148061.4042943474</v>
      </c>
      <c r="P57" s="38">
        <f t="shared" si="1"/>
        <v>870093.6597927555</v>
      </c>
      <c r="Q57" s="53"/>
      <c r="R57" s="53">
        <f t="shared" si="11"/>
        <v>0.12</v>
      </c>
      <c r="S57" s="53">
        <f t="shared" si="12"/>
        <v>1.0596241035318976E-2</v>
      </c>
      <c r="T57" s="53">
        <f t="shared" si="13"/>
        <v>0.04</v>
      </c>
      <c r="U57" s="53">
        <f t="shared" si="17"/>
        <v>3.3960531989175591E-3</v>
      </c>
    </row>
    <row r="58" spans="1:22" x14ac:dyDescent="0.2">
      <c r="A58" s="62"/>
      <c r="B58" s="45">
        <f t="shared" si="3"/>
        <v>47</v>
      </c>
      <c r="C58" s="51">
        <f t="shared" si="14"/>
        <v>13355564.717845406</v>
      </c>
      <c r="D58" s="47">
        <f t="shared" si="4"/>
        <v>12289384.157565506</v>
      </c>
      <c r="E58" s="48">
        <f t="shared" si="5"/>
        <v>0</v>
      </c>
      <c r="F58" s="50">
        <f t="shared" si="6"/>
        <v>0</v>
      </c>
      <c r="G58" s="50">
        <f t="shared" si="18"/>
        <v>0</v>
      </c>
      <c r="H58" s="51">
        <f t="shared" si="7"/>
        <v>986948.53430329845</v>
      </c>
      <c r="I58" s="52">
        <f t="shared" si="2"/>
        <v>55622.614897723281</v>
      </c>
      <c r="J58" s="57">
        <f t="shared" si="8"/>
        <v>931136.37835482787</v>
      </c>
      <c r="K58" s="51">
        <f t="shared" si="15"/>
        <v>1066180.5602798983</v>
      </c>
      <c r="L58" s="49">
        <f t="shared" si="9"/>
        <v>45489.852179349393</v>
      </c>
      <c r="M58" s="49">
        <f t="shared" si="26"/>
        <v>-61371.423918186003</v>
      </c>
      <c r="N58" s="49">
        <f t="shared" si="25"/>
        <v>6137.1423918185992</v>
      </c>
      <c r="O58" s="48">
        <f t="shared" si="10"/>
        <v>1121803.1751776217</v>
      </c>
      <c r="P58" s="38">
        <f t="shared" si="1"/>
        <v>845084.58503547753</v>
      </c>
      <c r="Q58" s="53"/>
      <c r="R58" s="53">
        <f t="shared" si="11"/>
        <v>0.12</v>
      </c>
      <c r="S58" s="53">
        <f t="shared" si="12"/>
        <v>1.0596241035318976E-2</v>
      </c>
      <c r="T58" s="53">
        <f t="shared" si="13"/>
        <v>0.04</v>
      </c>
      <c r="U58" s="53">
        <f t="shared" si="17"/>
        <v>3.3960531989175591E-3</v>
      </c>
    </row>
    <row r="59" spans="1:22" x14ac:dyDescent="0.2">
      <c r="A59" s="62"/>
      <c r="B59" s="45">
        <f t="shared" si="3"/>
        <v>48</v>
      </c>
      <c r="C59" s="51">
        <f t="shared" si="14"/>
        <v>12253375.59290047</v>
      </c>
      <c r="D59" s="47">
        <f t="shared" si="4"/>
        <v>11208394.344878452</v>
      </c>
      <c r="E59" s="48">
        <f t="shared" si="5"/>
        <v>0</v>
      </c>
      <c r="F59" s="50">
        <f t="shared" si="6"/>
        <v>0</v>
      </c>
      <c r="G59" s="50">
        <f t="shared" si="18"/>
        <v>0</v>
      </c>
      <c r="H59" s="51">
        <f t="shared" si="7"/>
        <v>973138.86001727881</v>
      </c>
      <c r="I59" s="52">
        <f t="shared" si="2"/>
        <v>51031.869813268662</v>
      </c>
      <c r="J59" s="57">
        <f t="shared" si="8"/>
        <v>921933.09269408917</v>
      </c>
      <c r="K59" s="51">
        <f t="shared" si="15"/>
        <v>1044981.2480220188</v>
      </c>
      <c r="L59" s="49">
        <f t="shared" si="9"/>
        <v>41735.40238102711</v>
      </c>
      <c r="M59" s="49">
        <f t="shared" si="26"/>
        <v>-57268.377159917007</v>
      </c>
      <c r="N59" s="49">
        <f t="shared" si="25"/>
        <v>5726.837715991699</v>
      </c>
      <c r="O59" s="48">
        <f t="shared" si="10"/>
        <v>1096013.1178352875</v>
      </c>
      <c r="P59" s="38">
        <f t="shared" si="1"/>
        <v>820695.20327691967</v>
      </c>
      <c r="Q59" s="53"/>
      <c r="R59" s="53">
        <f t="shared" si="11"/>
        <v>0.12</v>
      </c>
      <c r="S59" s="53">
        <f t="shared" si="12"/>
        <v>1.0596241035318976E-2</v>
      </c>
      <c r="T59" s="53">
        <f t="shared" si="13"/>
        <v>0.04</v>
      </c>
      <c r="U59" s="53">
        <f t="shared" si="17"/>
        <v>3.3960531989175591E-3</v>
      </c>
    </row>
    <row r="60" spans="1:22" x14ac:dyDescent="0.2">
      <c r="A60" s="62"/>
      <c r="B60" s="45">
        <f t="shared" si="3"/>
        <v>49</v>
      </c>
      <c r="C60" s="51">
        <f t="shared" si="14"/>
        <v>11175655.52221524</v>
      </c>
      <c r="D60" s="47">
        <f t="shared" si="4"/>
        <v>10151514.878478171</v>
      </c>
      <c r="E60" s="48">
        <f t="shared" si="5"/>
        <v>0</v>
      </c>
      <c r="F60" s="50">
        <f t="shared" si="6"/>
        <v>0</v>
      </c>
      <c r="G60" s="50">
        <f t="shared" si="18"/>
        <v>0</v>
      </c>
      <c r="H60" s="51">
        <f t="shared" si="7"/>
        <v>959522.41475714731</v>
      </c>
      <c r="I60" s="52">
        <f t="shared" si="2"/>
        <v>46543.041839203324</v>
      </c>
      <c r="J60" s="57">
        <f t="shared" si="8"/>
        <v>912820.77165348711</v>
      </c>
      <c r="K60" s="51">
        <f t="shared" si="15"/>
        <v>1024140.6437370679</v>
      </c>
      <c r="L60" s="49">
        <f t="shared" si="9"/>
        <v>38064.303469653947</v>
      </c>
      <c r="M60" s="49">
        <f t="shared" si="26"/>
        <v>-53254.808064412828</v>
      </c>
      <c r="N60" s="49">
        <f t="shared" si="25"/>
        <v>5325.4808064412819</v>
      </c>
      <c r="O60" s="48">
        <f t="shared" si="10"/>
        <v>1070683.6855762713</v>
      </c>
      <c r="P60" s="38">
        <f t="shared" si="1"/>
        <v>796911.2470246224</v>
      </c>
      <c r="Q60" s="53"/>
      <c r="R60" s="53">
        <f t="shared" si="11"/>
        <v>0.12</v>
      </c>
      <c r="S60" s="53">
        <f t="shared" si="12"/>
        <v>1.0596241035318976E-2</v>
      </c>
      <c r="T60" s="53">
        <f t="shared" si="13"/>
        <v>0.04</v>
      </c>
      <c r="U60" s="53">
        <f t="shared" si="17"/>
        <v>3.3960531989175591E-3</v>
      </c>
    </row>
    <row r="61" spans="1:22" x14ac:dyDescent="0.2">
      <c r="A61" s="62"/>
      <c r="B61" s="45">
        <f t="shared" si="3"/>
        <v>50</v>
      </c>
      <c r="C61" s="51">
        <f t="shared" si="14"/>
        <v>10121972.708670221</v>
      </c>
      <c r="D61" s="47">
        <f t="shared" si="4"/>
        <v>9118319.5939964522</v>
      </c>
      <c r="E61" s="48">
        <f t="shared" si="5"/>
        <v>0</v>
      </c>
      <c r="F61" s="50">
        <f t="shared" si="6"/>
        <v>0</v>
      </c>
      <c r="G61" s="50">
        <f t="shared" si="18"/>
        <v>0</v>
      </c>
      <c r="H61" s="51">
        <f t="shared" si="7"/>
        <v>946096.49480551819</v>
      </c>
      <c r="I61" s="52">
        <f t="shared" si="2"/>
        <v>42154.332474588569</v>
      </c>
      <c r="J61" s="57">
        <f t="shared" si="8"/>
        <v>903798.51614519255</v>
      </c>
      <c r="K61" s="51">
        <f t="shared" si="15"/>
        <v>1003653.1146737689</v>
      </c>
      <c r="L61" s="49">
        <f t="shared" si="9"/>
        <v>34475.084576914989</v>
      </c>
      <c r="M61" s="49">
        <f t="shared" si="26"/>
        <v>-49329.147689647893</v>
      </c>
      <c r="N61" s="49">
        <f t="shared" si="25"/>
        <v>4932.914768964788</v>
      </c>
      <c r="O61" s="48">
        <f t="shared" si="10"/>
        <v>1045807.4471483574</v>
      </c>
      <c r="P61" s="38">
        <f t="shared" si="1"/>
        <v>773718.76343080611</v>
      </c>
      <c r="Q61" s="53"/>
      <c r="R61" s="53">
        <f t="shared" si="11"/>
        <v>0.12</v>
      </c>
      <c r="S61" s="53">
        <f t="shared" si="12"/>
        <v>1.0596241035318976E-2</v>
      </c>
      <c r="T61" s="53">
        <f t="shared" si="13"/>
        <v>0.04</v>
      </c>
      <c r="U61" s="53">
        <f t="shared" si="17"/>
        <v>3.3960531989175591E-3</v>
      </c>
    </row>
    <row r="62" spans="1:22" x14ac:dyDescent="0.2">
      <c r="A62" s="62"/>
      <c r="B62" s="45">
        <f t="shared" si="3"/>
        <v>51</v>
      </c>
      <c r="C62" s="51">
        <f t="shared" si="14"/>
        <v>9091902.2807884421</v>
      </c>
      <c r="D62" s="47">
        <f t="shared" si="4"/>
        <v>8108389.1678276593</v>
      </c>
      <c r="E62" s="48">
        <f t="shared" si="5"/>
        <v>0</v>
      </c>
      <c r="F62" s="50">
        <f t="shared" si="6"/>
        <v>0</v>
      </c>
      <c r="G62" s="50">
        <f t="shared" si="18"/>
        <v>0</v>
      </c>
      <c r="H62" s="51">
        <f t="shared" si="7"/>
        <v>932858.43427621992</v>
      </c>
      <c r="I62" s="52">
        <f t="shared" si="2"/>
        <v>37863.972064877118</v>
      </c>
      <c r="J62" s="57">
        <f t="shared" si="8"/>
        <v>894865.43596790137</v>
      </c>
      <c r="K62" s="51">
        <f t="shared" si="15"/>
        <v>983513.11296078353</v>
      </c>
      <c r="L62" s="49">
        <f t="shared" si="9"/>
        <v>30966.298425944311</v>
      </c>
      <c r="M62" s="49">
        <f t="shared" si="26"/>
        <v>-45489.852179349393</v>
      </c>
      <c r="N62" s="49">
        <f t="shared" si="25"/>
        <v>4548.9852179349382</v>
      </c>
      <c r="O62" s="48">
        <f t="shared" si="10"/>
        <v>1021377.0850256607</v>
      </c>
      <c r="P62" s="38">
        <f t="shared" si="1"/>
        <v>751104.10754304391</v>
      </c>
      <c r="Q62" s="53"/>
      <c r="R62" s="53">
        <f t="shared" si="11"/>
        <v>0.12</v>
      </c>
      <c r="S62" s="53">
        <f t="shared" si="12"/>
        <v>1.0596241035318976E-2</v>
      </c>
      <c r="T62" s="53">
        <f t="shared" si="13"/>
        <v>0.04</v>
      </c>
      <c r="U62" s="53">
        <f t="shared" si="17"/>
        <v>3.3960531989175591E-3</v>
      </c>
    </row>
    <row r="63" spans="1:22" x14ac:dyDescent="0.2">
      <c r="A63" s="62"/>
      <c r="B63" s="45">
        <f t="shared" si="3"/>
        <v>52</v>
      </c>
      <c r="C63" s="51">
        <f t="shared" si="14"/>
        <v>8085026.1870942926</v>
      </c>
      <c r="D63" s="47">
        <f t="shared" si="4"/>
        <v>7121311.0127352104</v>
      </c>
      <c r="E63" s="48">
        <f t="shared" si="5"/>
        <v>0</v>
      </c>
      <c r="F63" s="50">
        <f t="shared" si="6"/>
        <v>0</v>
      </c>
      <c r="G63" s="50">
        <f t="shared" si="18"/>
        <v>0</v>
      </c>
      <c r="H63" s="51">
        <f t="shared" si="7"/>
        <v>919805.604584935</v>
      </c>
      <c r="I63" s="52">
        <f t="shared" si="2"/>
        <v>33670.219361900796</v>
      </c>
      <c r="J63" s="57">
        <f t="shared" si="8"/>
        <v>886020.64971898636</v>
      </c>
      <c r="K63" s="51">
        <f t="shared" si="15"/>
        <v>963715.17435908201</v>
      </c>
      <c r="L63" s="49">
        <f t="shared" si="9"/>
        <v>27536.520971469607</v>
      </c>
      <c r="M63" s="49">
        <f t="shared" si="26"/>
        <v>-41735.40238102711</v>
      </c>
      <c r="N63" s="49">
        <f t="shared" si="25"/>
        <v>4173.5402381027097</v>
      </c>
      <c r="O63" s="48">
        <f t="shared" si="10"/>
        <v>997385.39372098283</v>
      </c>
      <c r="P63" s="38">
        <f t="shared" si="1"/>
        <v>729053.93569697172</v>
      </c>
      <c r="Q63" s="53"/>
      <c r="R63" s="53">
        <f t="shared" si="11"/>
        <v>0.12</v>
      </c>
      <c r="S63" s="53">
        <f t="shared" si="12"/>
        <v>1.0596241035318976E-2</v>
      </c>
      <c r="T63" s="53">
        <f t="shared" si="13"/>
        <v>0.04</v>
      </c>
      <c r="U63" s="53">
        <f t="shared" si="17"/>
        <v>3.3960531989175591E-3</v>
      </c>
    </row>
    <row r="64" spans="1:22" x14ac:dyDescent="0.2">
      <c r="A64" s="62"/>
      <c r="B64" s="45">
        <f t="shared" si="3"/>
        <v>53</v>
      </c>
      <c r="C64" s="51">
        <f t="shared" si="14"/>
        <v>7100933.0920368899</v>
      </c>
      <c r="D64" s="47">
        <f t="shared" si="4"/>
        <v>6156679.1750044776</v>
      </c>
      <c r="E64" s="48">
        <f t="shared" si="5"/>
        <v>0</v>
      </c>
      <c r="F64" s="50">
        <f t="shared" si="6"/>
        <v>0</v>
      </c>
      <c r="G64" s="50">
        <f t="shared" si="18"/>
        <v>0</v>
      </c>
      <c r="H64" s="51">
        <f t="shared" si="7"/>
        <v>906935.41392728384</v>
      </c>
      <c r="I64" s="52">
        <f t="shared" si="2"/>
        <v>29571.361090374685</v>
      </c>
      <c r="J64" s="57">
        <f t="shared" si="8"/>
        <v>877263.2847075538</v>
      </c>
      <c r="K64" s="51">
        <f t="shared" si="15"/>
        <v>944253.9170324119</v>
      </c>
      <c r="L64" s="49">
        <f t="shared" si="9"/>
        <v>24184.351045286254</v>
      </c>
      <c r="M64" s="49">
        <f t="shared" si="26"/>
        <v>-38064.303469653947</v>
      </c>
      <c r="N64" s="49">
        <f t="shared" si="25"/>
        <v>3806.4303469653937</v>
      </c>
      <c r="O64" s="48">
        <f t="shared" si="10"/>
        <v>973825.27812278655</v>
      </c>
      <c r="P64" s="38">
        <f t="shared" si="1"/>
        <v>707555.19904815115</v>
      </c>
      <c r="Q64" s="53"/>
      <c r="R64" s="53">
        <f t="shared" si="11"/>
        <v>0.12</v>
      </c>
      <c r="S64" s="53">
        <f t="shared" si="12"/>
        <v>1.0596241035318976E-2</v>
      </c>
      <c r="T64" s="53">
        <f t="shared" si="13"/>
        <v>0.04</v>
      </c>
      <c r="U64" s="53">
        <f t="shared" si="17"/>
        <v>3.3960531989175591E-3</v>
      </c>
    </row>
    <row r="65" spans="1:21" x14ac:dyDescent="0.2">
      <c r="A65" s="62"/>
      <c r="B65" s="45">
        <f t="shared" si="3"/>
        <v>54</v>
      </c>
      <c r="C65" s="51">
        <f t="shared" si="14"/>
        <v>6139218.2734551858</v>
      </c>
      <c r="D65" s="47">
        <f t="shared" si="4"/>
        <v>5214094.2331196927</v>
      </c>
      <c r="E65" s="48">
        <f t="shared" si="5"/>
        <v>0</v>
      </c>
      <c r="F65" s="50">
        <f t="shared" si="6"/>
        <v>0</v>
      </c>
      <c r="G65" s="50">
        <f t="shared" si="18"/>
        <v>0</v>
      </c>
      <c r="H65" s="51">
        <f t="shared" si="7"/>
        <v>894245.30676416249</v>
      </c>
      <c r="I65" s="52">
        <f t="shared" si="2"/>
        <v>25565.711520822893</v>
      </c>
      <c r="J65" s="57">
        <f t="shared" si="8"/>
        <v>868592.47686831059</v>
      </c>
      <c r="K65" s="51">
        <f t="shared" si="15"/>
        <v>925124.0403354934</v>
      </c>
      <c r="L65" s="49">
        <f t="shared" si="9"/>
        <v>20908.410006983075</v>
      </c>
      <c r="M65" s="49">
        <f t="shared" si="26"/>
        <v>-34475.084576914989</v>
      </c>
      <c r="N65" s="49">
        <f t="shared" si="25"/>
        <v>3447.5084576914983</v>
      </c>
      <c r="O65" s="48">
        <f t="shared" si="10"/>
        <v>950689.75185631635</v>
      </c>
      <c r="P65" s="38">
        <f t="shared" si="1"/>
        <v>686595.13724011311</v>
      </c>
      <c r="Q65" s="53"/>
      <c r="R65" s="53">
        <f t="shared" si="11"/>
        <v>0.12</v>
      </c>
      <c r="S65" s="53">
        <f t="shared" si="12"/>
        <v>1.0596241035318976E-2</v>
      </c>
      <c r="T65" s="53">
        <f t="shared" si="13"/>
        <v>0.04</v>
      </c>
      <c r="U65" s="53">
        <f t="shared" si="17"/>
        <v>3.3960531989175591E-3</v>
      </c>
    </row>
    <row r="66" spans="1:21" x14ac:dyDescent="0.2">
      <c r="A66" s="62"/>
      <c r="B66" s="45">
        <f t="shared" si="3"/>
        <v>55</v>
      </c>
      <c r="C66" s="51">
        <f t="shared" si="14"/>
        <v>5199483.5215624431</v>
      </c>
      <c r="D66" s="47">
        <f t="shared" si="4"/>
        <v>4293163.1979426276</v>
      </c>
      <c r="E66" s="48">
        <f t="shared" si="5"/>
        <v>0</v>
      </c>
      <c r="F66" s="50">
        <f t="shared" si="6"/>
        <v>0</v>
      </c>
      <c r="G66" s="50">
        <f t="shared" si="18"/>
        <v>0</v>
      </c>
      <c r="H66" s="51">
        <f t="shared" si="7"/>
        <v>881732.76331433293</v>
      </c>
      <c r="I66" s="52">
        <f t="shared" si="2"/>
        <v>21651.612048832703</v>
      </c>
      <c r="J66" s="57">
        <f t="shared" si="8"/>
        <v>860007.37067633425</v>
      </c>
      <c r="K66" s="51">
        <f t="shared" si="15"/>
        <v>906320.32361981575</v>
      </c>
      <c r="L66" s="49">
        <f t="shared" si="9"/>
        <v>17707.341399843728</v>
      </c>
      <c r="M66" s="49">
        <f t="shared" si="26"/>
        <v>-30966.298425944311</v>
      </c>
      <c r="N66" s="49">
        <f t="shared" si="25"/>
        <v>3096.6298425944306</v>
      </c>
      <c r="O66" s="48">
        <f t="shared" si="10"/>
        <v>927971.93566864845</v>
      </c>
      <c r="P66" s="38">
        <f t="shared" si="1"/>
        <v>666161.27220584149</v>
      </c>
      <c r="Q66" s="53"/>
      <c r="R66" s="53">
        <f t="shared" si="11"/>
        <v>0.12</v>
      </c>
      <c r="S66" s="53">
        <f t="shared" si="12"/>
        <v>1.0596241035318976E-2</v>
      </c>
      <c r="T66" s="53">
        <f t="shared" si="13"/>
        <v>0.04</v>
      </c>
      <c r="U66" s="53">
        <f t="shared" si="17"/>
        <v>3.3960531989175591E-3</v>
      </c>
    </row>
    <row r="67" spans="1:21" x14ac:dyDescent="0.2">
      <c r="A67" s="62"/>
      <c r="B67" s="45">
        <f t="shared" si="3"/>
        <v>56</v>
      </c>
      <c r="C67" s="51">
        <f t="shared" si="14"/>
        <v>4281337.0394279268</v>
      </c>
      <c r="D67" s="47">
        <f t="shared" si="4"/>
        <v>3393499.4143712465</v>
      </c>
      <c r="E67" s="48">
        <f t="shared" si="5"/>
        <v>0</v>
      </c>
      <c r="F67" s="50">
        <f t="shared" si="6"/>
        <v>0</v>
      </c>
      <c r="G67" s="50">
        <f t="shared" si="18"/>
        <v>0</v>
      </c>
      <c r="H67" s="51">
        <f t="shared" si="7"/>
        <v>869395.29905407131</v>
      </c>
      <c r="I67" s="52">
        <f t="shared" si="2"/>
        <v>17827.430780544917</v>
      </c>
      <c r="J67" s="57">
        <f t="shared" si="8"/>
        <v>851507.11906264373</v>
      </c>
      <c r="K67" s="51">
        <f t="shared" si="15"/>
        <v>887837.62505667983</v>
      </c>
      <c r="L67" s="49">
        <f t="shared" si="9"/>
        <v>14579.810611848199</v>
      </c>
      <c r="M67" s="49">
        <f t="shared" si="26"/>
        <v>-27536.520971469607</v>
      </c>
      <c r="N67" s="49">
        <f t="shared" si="25"/>
        <v>2753.6520971469599</v>
      </c>
      <c r="O67" s="48">
        <f t="shared" si="10"/>
        <v>905665.0558372247</v>
      </c>
      <c r="P67" s="38">
        <f t="shared" si="1"/>
        <v>646241.40209985687</v>
      </c>
      <c r="Q67" s="53"/>
      <c r="R67" s="53">
        <f t="shared" si="11"/>
        <v>0.12</v>
      </c>
      <c r="S67" s="53">
        <f t="shared" si="12"/>
        <v>1.0596241035318976E-2</v>
      </c>
      <c r="T67" s="53">
        <f t="shared" si="13"/>
        <v>0.04</v>
      </c>
      <c r="U67" s="53">
        <f t="shared" si="17"/>
        <v>3.3960531989175591E-3</v>
      </c>
    </row>
    <row r="68" spans="1:21" x14ac:dyDescent="0.2">
      <c r="A68" s="62"/>
      <c r="B68" s="45">
        <f t="shared" si="3"/>
        <v>57</v>
      </c>
      <c r="C68" s="51">
        <f t="shared" si="14"/>
        <v>3384393.3449340747</v>
      </c>
      <c r="D68" s="47">
        <f t="shared" si="4"/>
        <v>2514722.4644567901</v>
      </c>
      <c r="E68" s="48">
        <f t="shared" si="5"/>
        <v>0</v>
      </c>
      <c r="F68" s="50">
        <f t="shared" si="6"/>
        <v>0</v>
      </c>
      <c r="G68" s="50">
        <f t="shared" si="18"/>
        <v>0</v>
      </c>
      <c r="H68" s="51">
        <f t="shared" si="7"/>
        <v>857230.46422384272</v>
      </c>
      <c r="I68" s="52">
        <f t="shared" si="2"/>
        <v>14091.562124289776</v>
      </c>
      <c r="J68" s="57">
        <f t="shared" si="8"/>
        <v>843090.88333062921</v>
      </c>
      <c r="K68" s="51">
        <f t="shared" si="15"/>
        <v>869670.88047728466</v>
      </c>
      <c r="L68" s="49">
        <f t="shared" si="9"/>
        <v>11524.504541700335</v>
      </c>
      <c r="M68" s="49">
        <f t="shared" si="26"/>
        <v>-24184.351045286254</v>
      </c>
      <c r="N68" s="49">
        <f t="shared" si="25"/>
        <v>2418.4351045286248</v>
      </c>
      <c r="O68" s="48">
        <f t="shared" si="10"/>
        <v>883762.44260157447</v>
      </c>
      <c r="P68" s="38">
        <f t="shared" si="1"/>
        <v>626823.59535820945</v>
      </c>
      <c r="Q68" s="53"/>
      <c r="R68" s="53">
        <f t="shared" si="11"/>
        <v>0.12</v>
      </c>
      <c r="S68" s="53">
        <f t="shared" si="12"/>
        <v>1.0596241035318976E-2</v>
      </c>
      <c r="T68" s="53">
        <f t="shared" si="13"/>
        <v>0.04</v>
      </c>
      <c r="U68" s="53">
        <f t="shared" si="17"/>
        <v>3.3960531989175591E-3</v>
      </c>
    </row>
    <row r="69" spans="1:21" x14ac:dyDescent="0.2">
      <c r="A69" s="62"/>
      <c r="B69" s="45">
        <f t="shared" si="3"/>
        <v>58</v>
      </c>
      <c r="C69" s="51">
        <f t="shared" si="14"/>
        <v>2508273.1741876802</v>
      </c>
      <c r="D69" s="47">
        <f t="shared" si="4"/>
        <v>1656458.071958062</v>
      </c>
      <c r="E69" s="48">
        <f t="shared" si="5"/>
        <v>0</v>
      </c>
      <c r="F69" s="50">
        <f t="shared" si="6"/>
        <v>0</v>
      </c>
      <c r="G69" s="50">
        <f t="shared" si="18"/>
        <v>0</v>
      </c>
      <c r="H69" s="51">
        <f t="shared" si="7"/>
        <v>845235.84334186953</v>
      </c>
      <c r="I69" s="52">
        <f t="shared" si="2"/>
        <v>10442.426388279091</v>
      </c>
      <c r="J69" s="57">
        <f t="shared" si="8"/>
        <v>834757.83307329961</v>
      </c>
      <c r="K69" s="51">
        <f t="shared" si="15"/>
        <v>851815.10222961812</v>
      </c>
      <c r="L69" s="49">
        <f t="shared" si="9"/>
        <v>8540.1312698083293</v>
      </c>
      <c r="M69" s="49">
        <f t="shared" si="26"/>
        <v>-20908.410006983075</v>
      </c>
      <c r="N69" s="49">
        <f t="shared" si="25"/>
        <v>2090.8410006983072</v>
      </c>
      <c r="O69" s="48">
        <f t="shared" si="10"/>
        <v>862257.52861789719</v>
      </c>
      <c r="P69" s="38">
        <f t="shared" si="1"/>
        <v>607896.18488373177</v>
      </c>
      <c r="Q69" s="53"/>
      <c r="R69" s="53">
        <f t="shared" si="11"/>
        <v>0.12</v>
      </c>
      <c r="S69" s="53">
        <f t="shared" si="12"/>
        <v>1.0596241035318976E-2</v>
      </c>
      <c r="T69" s="53">
        <f t="shared" si="13"/>
        <v>0.04</v>
      </c>
      <c r="U69" s="53">
        <f t="shared" si="17"/>
        <v>3.3960531989175591E-3</v>
      </c>
    </row>
    <row r="70" spans="1:21" x14ac:dyDescent="0.2">
      <c r="A70" s="62"/>
      <c r="B70" s="45">
        <f t="shared" si="3"/>
        <v>59</v>
      </c>
      <c r="C70" s="51">
        <f t="shared" si="14"/>
        <v>1652603.3863639005</v>
      </c>
      <c r="D70" s="47">
        <f t="shared" si="4"/>
        <v>818338.00831201382</v>
      </c>
      <c r="E70" s="48">
        <f t="shared" si="5"/>
        <v>0</v>
      </c>
      <c r="F70" s="50">
        <f t="shared" si="6"/>
        <v>0</v>
      </c>
      <c r="G70" s="50">
        <f t="shared" si="18"/>
        <v>0</v>
      </c>
      <c r="H70" s="51">
        <f t="shared" si="7"/>
        <v>833409.05472450261</v>
      </c>
      <c r="I70" s="52">
        <f t="shared" si="2"/>
        <v>6878.4693842663173</v>
      </c>
      <c r="J70" s="57">
        <f t="shared" si="8"/>
        <v>826507.14609134407</v>
      </c>
      <c r="K70" s="51">
        <f t="shared" si="15"/>
        <v>834265.37805188657</v>
      </c>
      <c r="L70" s="49">
        <f t="shared" si="9"/>
        <v>5625.4197341459885</v>
      </c>
      <c r="M70" s="49">
        <f t="shared" si="26"/>
        <v>-17707.341399843728</v>
      </c>
      <c r="N70" s="49">
        <f t="shared" si="25"/>
        <v>1770.7341399843724</v>
      </c>
      <c r="O70" s="48">
        <f t="shared" si="10"/>
        <v>841143.84743615286</v>
      </c>
      <c r="P70" s="38">
        <f t="shared" si="1"/>
        <v>589447.76235392562</v>
      </c>
      <c r="Q70" s="53"/>
      <c r="R70" s="53">
        <f t="shared" si="11"/>
        <v>0.12</v>
      </c>
      <c r="S70" s="53">
        <f t="shared" si="12"/>
        <v>1.0596241035318976E-2</v>
      </c>
      <c r="T70" s="53">
        <f t="shared" si="13"/>
        <v>0.04</v>
      </c>
      <c r="U70" s="53">
        <f t="shared" si="17"/>
        <v>3.3960531989175591E-3</v>
      </c>
    </row>
    <row r="71" spans="1:21" x14ac:dyDescent="0.2">
      <c r="A71" s="62"/>
      <c r="B71" s="45">
        <f t="shared" si="3"/>
        <v>60</v>
      </c>
      <c r="C71" s="51">
        <f t="shared" si="14"/>
        <v>817016.8699622748</v>
      </c>
      <c r="D71" s="47">
        <f t="shared" si="4"/>
        <v>-2.984446514154534E-9</v>
      </c>
      <c r="E71" s="48">
        <f t="shared" si="5"/>
        <v>0</v>
      </c>
      <c r="F71" s="50">
        <f t="shared" si="6"/>
        <v>0</v>
      </c>
      <c r="G71" s="50">
        <f t="shared" si="18"/>
        <v>0</v>
      </c>
      <c r="H71" s="51">
        <f t="shared" si="7"/>
        <v>821747.75001331687</v>
      </c>
      <c r="I71" s="52">
        <f t="shared" si="2"/>
        <v>3398.1620370878754</v>
      </c>
      <c r="J71" s="57">
        <f t="shared" si="8"/>
        <v>818338.00831201684</v>
      </c>
      <c r="K71" s="51">
        <f t="shared" si="15"/>
        <v>817016.86996227782</v>
      </c>
      <c r="L71" s="49">
        <f t="shared" si="9"/>
        <v>2779.1194109238386</v>
      </c>
      <c r="M71" s="49">
        <f t="shared" si="26"/>
        <v>-14579.810611848199</v>
      </c>
      <c r="N71" s="49">
        <f t="shared" si="25"/>
        <v>1457.9810611848195</v>
      </c>
      <c r="O71" s="48">
        <f t="shared" si="10"/>
        <v>820415.03199936566</v>
      </c>
      <c r="P71" s="38">
        <f t="shared" si="1"/>
        <v>571467.1726489549</v>
      </c>
      <c r="Q71" s="53"/>
      <c r="R71" s="53">
        <f t="shared" si="11"/>
        <v>0.12</v>
      </c>
      <c r="S71" s="53">
        <f t="shared" si="12"/>
        <v>1.0596241035318976E-2</v>
      </c>
      <c r="T71" s="53">
        <f t="shared" si="13"/>
        <v>0.04</v>
      </c>
      <c r="U71" s="53">
        <f t="shared" si="17"/>
        <v>3.3960531989175591E-3</v>
      </c>
    </row>
    <row r="72" spans="1:21" x14ac:dyDescent="0.2">
      <c r="A72" s="62"/>
      <c r="B72" s="45">
        <f t="shared" si="3"/>
        <v>61</v>
      </c>
      <c r="C72" s="51">
        <f t="shared" si="14"/>
        <v>1152.450454167059</v>
      </c>
      <c r="D72" s="47" t="e">
        <f t="shared" si="4"/>
        <v>#DIV/0!</v>
      </c>
      <c r="E72" s="48">
        <f t="shared" si="5"/>
        <v>0</v>
      </c>
      <c r="F72" s="50">
        <f t="shared" si="6"/>
        <v>0</v>
      </c>
      <c r="G72" s="50">
        <f t="shared" si="18"/>
        <v>0</v>
      </c>
      <c r="H72" s="51" t="e">
        <f t="shared" si="7"/>
        <v>#DIV/0!</v>
      </c>
      <c r="I72" s="52">
        <f t="shared" si="2"/>
        <v>-1.2392963229263089E-11</v>
      </c>
      <c r="J72" s="57" t="e">
        <f t="shared" si="8"/>
        <v>#DIV/0!</v>
      </c>
      <c r="K72" s="51" t="e">
        <f t="shared" si="15"/>
        <v>#DIV/0!</v>
      </c>
      <c r="L72" s="49">
        <f t="shared" si="9"/>
        <v>-1.0135339131392864E-11</v>
      </c>
      <c r="M72" s="49">
        <f t="shared" si="26"/>
        <v>-11524.504541700335</v>
      </c>
      <c r="N72" s="49">
        <f t="shared" si="25"/>
        <v>1152.4504541700333</v>
      </c>
      <c r="O72" s="48" t="e">
        <f t="shared" si="10"/>
        <v>#DIV/0!</v>
      </c>
      <c r="P72" s="38" t="e">
        <f t="shared" si="1"/>
        <v>#DIV/0!</v>
      </c>
      <c r="Q72" s="53"/>
      <c r="R72" s="53">
        <f t="shared" si="11"/>
        <v>0.12</v>
      </c>
      <c r="S72" s="53">
        <f t="shared" si="12"/>
        <v>1.0596241035318976E-2</v>
      </c>
      <c r="T72" s="53">
        <f t="shared" si="13"/>
        <v>0.04</v>
      </c>
      <c r="U72" s="53">
        <f t="shared" si="17"/>
        <v>3.3960531989175591E-3</v>
      </c>
    </row>
    <row r="73" spans="1:21" x14ac:dyDescent="0.2">
      <c r="A73" s="62"/>
      <c r="B73" s="45">
        <f t="shared" si="3"/>
        <v>62</v>
      </c>
      <c r="C73" s="51" t="e">
        <f t="shared" si="14"/>
        <v>#DIV/0!</v>
      </c>
      <c r="D73" s="47" t="e">
        <f t="shared" si="4"/>
        <v>#DIV/0!</v>
      </c>
      <c r="E73" s="48">
        <f t="shared" si="5"/>
        <v>0</v>
      </c>
      <c r="F73" s="50">
        <f t="shared" si="6"/>
        <v>0</v>
      </c>
      <c r="G73" s="50">
        <f t="shared" si="18"/>
        <v>0</v>
      </c>
      <c r="H73" s="51" t="e">
        <f t="shared" si="7"/>
        <v>#DIV/0!</v>
      </c>
      <c r="I73" s="52" t="e">
        <f t="shared" si="2"/>
        <v>#DIV/0!</v>
      </c>
      <c r="J73" s="57" t="e">
        <f t="shared" si="8"/>
        <v>#DIV/0!</v>
      </c>
      <c r="K73" s="51" t="e">
        <f t="shared" si="15"/>
        <v>#DIV/0!</v>
      </c>
      <c r="L73" s="49" t="e">
        <f t="shared" si="9"/>
        <v>#DIV/0!</v>
      </c>
      <c r="M73" s="49">
        <f t="shared" si="26"/>
        <v>-8540.1312698083293</v>
      </c>
      <c r="N73" s="49">
        <f t="shared" si="25"/>
        <v>854.01312698083279</v>
      </c>
      <c r="O73" s="48" t="e">
        <f t="shared" si="10"/>
        <v>#DIV/0!</v>
      </c>
      <c r="P73" s="38" t="e">
        <f t="shared" si="1"/>
        <v>#DIV/0!</v>
      </c>
      <c r="Q73" s="53"/>
      <c r="R73" s="53">
        <f t="shared" si="11"/>
        <v>0.12</v>
      </c>
      <c r="S73" s="53">
        <f t="shared" si="12"/>
        <v>1.0596241035318976E-2</v>
      </c>
      <c r="T73" s="53">
        <f t="shared" si="13"/>
        <v>0.04</v>
      </c>
      <c r="U73" s="53">
        <f t="shared" si="17"/>
        <v>3.3960531989175591E-3</v>
      </c>
    </row>
    <row r="74" spans="1:21" x14ac:dyDescent="0.2">
      <c r="A74" s="62"/>
      <c r="B74" s="45">
        <f t="shared" si="3"/>
        <v>63</v>
      </c>
      <c r="C74" s="51" t="e">
        <f t="shared" si="14"/>
        <v>#DIV/0!</v>
      </c>
      <c r="D74" s="47" t="e">
        <f t="shared" si="4"/>
        <v>#DIV/0!</v>
      </c>
      <c r="E74" s="48">
        <f t="shared" si="5"/>
        <v>0</v>
      </c>
      <c r="F74" s="50">
        <f t="shared" si="6"/>
        <v>0</v>
      </c>
      <c r="G74" s="50">
        <f t="shared" si="18"/>
        <v>0</v>
      </c>
      <c r="H74" s="51" t="e">
        <f t="shared" si="7"/>
        <v>#DIV/0!</v>
      </c>
      <c r="I74" s="52" t="e">
        <f t="shared" si="2"/>
        <v>#DIV/0!</v>
      </c>
      <c r="J74" s="57" t="e">
        <f t="shared" si="8"/>
        <v>#DIV/0!</v>
      </c>
      <c r="K74" s="51" t="e">
        <f t="shared" si="15"/>
        <v>#DIV/0!</v>
      </c>
      <c r="L74" s="49" t="e">
        <f t="shared" si="9"/>
        <v>#DIV/0!</v>
      </c>
      <c r="M74" s="49">
        <f t="shared" si="26"/>
        <v>-5625.4197341459885</v>
      </c>
      <c r="N74" s="49">
        <f t="shared" si="25"/>
        <v>562.54197341459871</v>
      </c>
      <c r="O74" s="48" t="e">
        <f t="shared" si="10"/>
        <v>#DIV/0!</v>
      </c>
      <c r="P74" s="38" t="e">
        <f t="shared" si="1"/>
        <v>#DIV/0!</v>
      </c>
      <c r="Q74" s="53"/>
      <c r="R74" s="53">
        <f t="shared" si="11"/>
        <v>0.12</v>
      </c>
      <c r="S74" s="53">
        <f t="shared" si="12"/>
        <v>1.0596241035318976E-2</v>
      </c>
      <c r="T74" s="53">
        <f t="shared" si="13"/>
        <v>0.04</v>
      </c>
      <c r="U74" s="53">
        <f t="shared" si="17"/>
        <v>3.3960531989175591E-3</v>
      </c>
    </row>
    <row r="75" spans="1:21" x14ac:dyDescent="0.2">
      <c r="A75" s="62"/>
      <c r="B75" s="45">
        <f t="shared" si="3"/>
        <v>64</v>
      </c>
      <c r="C75" s="51" t="e">
        <f t="shared" si="14"/>
        <v>#DIV/0!</v>
      </c>
      <c r="D75" s="47" t="e">
        <f t="shared" si="4"/>
        <v>#DIV/0!</v>
      </c>
      <c r="E75" s="48">
        <f t="shared" si="5"/>
        <v>0</v>
      </c>
      <c r="F75" s="50">
        <f t="shared" si="6"/>
        <v>0</v>
      </c>
      <c r="G75" s="50">
        <f t="shared" si="18"/>
        <v>0</v>
      </c>
      <c r="H75" s="51" t="e">
        <f t="shared" si="7"/>
        <v>#DIV/0!</v>
      </c>
      <c r="I75" s="52" t="e">
        <f t="shared" si="2"/>
        <v>#DIV/0!</v>
      </c>
      <c r="J75" s="57" t="e">
        <f t="shared" si="8"/>
        <v>#DIV/0!</v>
      </c>
      <c r="K75" s="51" t="e">
        <f t="shared" si="15"/>
        <v>#DIV/0!</v>
      </c>
      <c r="L75" s="49" t="e">
        <f t="shared" si="9"/>
        <v>#DIV/0!</v>
      </c>
      <c r="M75" s="49">
        <f t="shared" si="26"/>
        <v>-2779.1194109238386</v>
      </c>
      <c r="N75" s="49">
        <f t="shared" si="25"/>
        <v>277.91194109238381</v>
      </c>
      <c r="O75" s="48" t="e">
        <f t="shared" si="10"/>
        <v>#DIV/0!</v>
      </c>
      <c r="P75" s="38" t="e">
        <f t="shared" ref="P75:P138" si="27">O75*(1/((1+P$9)^(B75/12)))</f>
        <v>#DIV/0!</v>
      </c>
      <c r="Q75" s="53"/>
      <c r="R75" s="53">
        <f t="shared" si="11"/>
        <v>0.12</v>
      </c>
      <c r="S75" s="53">
        <f t="shared" si="12"/>
        <v>1.0596241035318976E-2</v>
      </c>
      <c r="T75" s="53">
        <f t="shared" si="13"/>
        <v>0.04</v>
      </c>
      <c r="U75" s="53">
        <f t="shared" si="17"/>
        <v>3.3960531989175591E-3</v>
      </c>
    </row>
    <row r="76" spans="1:21" x14ac:dyDescent="0.2">
      <c r="A76" s="62"/>
      <c r="B76" s="45">
        <f t="shared" si="3"/>
        <v>65</v>
      </c>
      <c r="C76" s="51" t="e">
        <f t="shared" si="14"/>
        <v>#DIV/0!</v>
      </c>
      <c r="D76" s="47" t="e">
        <f t="shared" si="4"/>
        <v>#DIV/0!</v>
      </c>
      <c r="E76" s="48">
        <f t="shared" si="5"/>
        <v>0</v>
      </c>
      <c r="F76" s="50">
        <f t="shared" si="6"/>
        <v>0</v>
      </c>
      <c r="G76" s="50">
        <f t="shared" si="18"/>
        <v>0</v>
      </c>
      <c r="H76" s="51" t="e">
        <f t="shared" si="7"/>
        <v>#DIV/0!</v>
      </c>
      <c r="I76" s="52" t="e">
        <f t="shared" ref="I76:I139" si="28">IF(AND(C$7="Y",$B76&lt;=C$4),0,IF(AND(C$7="Y",$B76&gt;C$4),(1-U76)*C$2*D75/12,IF(AND($C$7="N",C$4&gt;0),(1-U76)*D75*C$2/12, (1-U76)*D75*C$2/12)))</f>
        <v>#DIV/0!</v>
      </c>
      <c r="J76" s="57" t="e">
        <f t="shared" si="8"/>
        <v>#DIV/0!</v>
      </c>
      <c r="K76" s="51" t="e">
        <f t="shared" si="15"/>
        <v>#DIV/0!</v>
      </c>
      <c r="L76" s="49" t="e">
        <f t="shared" si="9"/>
        <v>#DIV/0!</v>
      </c>
      <c r="M76" s="49">
        <f t="shared" si="26"/>
        <v>1.0135339131392864E-11</v>
      </c>
      <c r="N76" s="49">
        <f t="shared" si="25"/>
        <v>-1.0135339131392861E-12</v>
      </c>
      <c r="O76" s="48" t="e">
        <f t="shared" si="10"/>
        <v>#DIV/0!</v>
      </c>
      <c r="P76" s="38" t="e">
        <f t="shared" si="27"/>
        <v>#DIV/0!</v>
      </c>
      <c r="Q76" s="53"/>
      <c r="R76" s="53">
        <f t="shared" si="11"/>
        <v>0.12</v>
      </c>
      <c r="S76" s="53">
        <f t="shared" si="12"/>
        <v>1.0596241035318976E-2</v>
      </c>
      <c r="T76" s="53">
        <f t="shared" si="13"/>
        <v>0.04</v>
      </c>
      <c r="U76" s="53">
        <f t="shared" si="17"/>
        <v>3.3960531989175591E-3</v>
      </c>
    </row>
    <row r="77" spans="1:21" x14ac:dyDescent="0.2">
      <c r="A77" s="62"/>
      <c r="B77" s="45">
        <f t="shared" ref="B77:B140" si="29">B76+1</f>
        <v>66</v>
      </c>
      <c r="C77" s="51" t="e">
        <f t="shared" ref="C77:C140" si="30">IF(B77&lt;C$4,C$1,D76-L77+N77)</f>
        <v>#DIV/0!</v>
      </c>
      <c r="D77" s="47" t="e">
        <f t="shared" ref="D77:D140" si="31">(D76-J77)*(1-S77-U77)</f>
        <v>#DIV/0!</v>
      </c>
      <c r="E77" s="48">
        <f t="shared" ref="E77:E140" si="32">IF(AND($C$7="Y",B77&lt;=$C$4),D76*C$2/12-G77,0)</f>
        <v>0</v>
      </c>
      <c r="F77" s="50">
        <f t="shared" ref="F77:F140" si="33">IF(AND($C$7="Y",B77&lt;=C$4),E77+F76,0)</f>
        <v>0</v>
      </c>
      <c r="G77" s="50">
        <f t="shared" si="18"/>
        <v>0</v>
      </c>
      <c r="H77" s="51" t="e">
        <f t="shared" ref="H77:H140" si="34">IF(AND($B77&lt;=$C$4,C$7="Y"),0,IF(AND(C$7="N",C$4&gt;0,B77&lt;=C$4),0,(D76)*C$2/12/(1-(1/(1+C$2/12))^(C$3+C$4-B77+1))))</f>
        <v>#DIV/0!</v>
      </c>
      <c r="I77" s="52" t="e">
        <f t="shared" si="28"/>
        <v>#DIV/0!</v>
      </c>
      <c r="J77" s="57" t="e">
        <f t="shared" ref="J77:J140" si="35">IF(AND($B77&lt;=$C$4,C$7="Y"),0,IF(AND(C$7="N",C$4&gt;0,B77&lt;=C$4),0,H77-I77-D76*U77*C$2/12))</f>
        <v>#DIV/0!</v>
      </c>
      <c r="K77" s="51" t="e">
        <f t="shared" ref="K77:K140" si="36">(D76-D77)-L77+N77</f>
        <v>#DIV/0!</v>
      </c>
      <c r="L77" s="49" t="e">
        <f t="shared" ref="L77:L140" si="37">IF(AND(C$7="Y",$B77&lt;=$C$4),0,IF(AND(C$7="N",C$4&gt;0,B77&lt;=C$4),0,U77*D76))</f>
        <v>#DIV/0!</v>
      </c>
      <c r="M77" s="49">
        <f t="shared" si="26"/>
        <v>0</v>
      </c>
      <c r="N77" s="49">
        <f t="shared" si="25"/>
        <v>0</v>
      </c>
      <c r="O77" s="48" t="e">
        <f t="shared" ref="O77:O140" si="38">I77+K77+G77</f>
        <v>#DIV/0!</v>
      </c>
      <c r="P77" s="38" t="e">
        <f t="shared" si="27"/>
        <v>#DIV/0!</v>
      </c>
      <c r="Q77" s="53"/>
      <c r="R77" s="53">
        <f t="shared" ref="R77:R140" si="39">R$9</f>
        <v>0.12</v>
      </c>
      <c r="S77" s="53">
        <f t="shared" ref="S77:S140" si="40">1-(1-R77)^(1/12)</f>
        <v>1.0596241035318976E-2</v>
      </c>
      <c r="T77" s="53">
        <f t="shared" ref="T77:T140" si="41">T$9</f>
        <v>0.04</v>
      </c>
      <c r="U77" s="53">
        <f t="shared" si="17"/>
        <v>3.3960531989175591E-3</v>
      </c>
    </row>
    <row r="78" spans="1:21" x14ac:dyDescent="0.2">
      <c r="A78" s="62"/>
      <c r="B78" s="45">
        <f t="shared" si="29"/>
        <v>67</v>
      </c>
      <c r="C78" s="51" t="e">
        <f t="shared" si="30"/>
        <v>#DIV/0!</v>
      </c>
      <c r="D78" s="47" t="e">
        <f t="shared" si="31"/>
        <v>#DIV/0!</v>
      </c>
      <c r="E78" s="48">
        <f t="shared" si="32"/>
        <v>0</v>
      </c>
      <c r="F78" s="50">
        <f t="shared" si="33"/>
        <v>0</v>
      </c>
      <c r="G78" s="50">
        <f t="shared" si="18"/>
        <v>0</v>
      </c>
      <c r="H78" s="51" t="e">
        <f t="shared" si="34"/>
        <v>#DIV/0!</v>
      </c>
      <c r="I78" s="52" t="e">
        <f t="shared" si="28"/>
        <v>#DIV/0!</v>
      </c>
      <c r="J78" s="57" t="e">
        <f t="shared" si="35"/>
        <v>#DIV/0!</v>
      </c>
      <c r="K78" s="51" t="e">
        <f t="shared" si="36"/>
        <v>#DIV/0!</v>
      </c>
      <c r="L78" s="49" t="e">
        <f t="shared" si="37"/>
        <v>#DIV/0!</v>
      </c>
      <c r="M78" s="49">
        <f t="shared" si="26"/>
        <v>0</v>
      </c>
      <c r="N78" s="49">
        <f t="shared" si="25"/>
        <v>0</v>
      </c>
      <c r="O78" s="48" t="e">
        <f t="shared" si="38"/>
        <v>#DIV/0!</v>
      </c>
      <c r="P78" s="38" t="e">
        <f t="shared" si="27"/>
        <v>#DIV/0!</v>
      </c>
      <c r="Q78" s="53"/>
      <c r="R78" s="53">
        <f t="shared" si="39"/>
        <v>0.12</v>
      </c>
      <c r="S78" s="53">
        <f t="shared" si="40"/>
        <v>1.0596241035318976E-2</v>
      </c>
      <c r="T78" s="53">
        <f t="shared" si="41"/>
        <v>0.04</v>
      </c>
      <c r="U78" s="53">
        <f t="shared" ref="U78:U141" si="42">1-(1-T78)^(1/12)</f>
        <v>3.3960531989175591E-3</v>
      </c>
    </row>
    <row r="79" spans="1:21" x14ac:dyDescent="0.2">
      <c r="A79" s="62"/>
      <c r="B79" s="45">
        <f t="shared" si="29"/>
        <v>68</v>
      </c>
      <c r="C79" s="51" t="e">
        <f t="shared" si="30"/>
        <v>#DIV/0!</v>
      </c>
      <c r="D79" s="47" t="e">
        <f t="shared" si="31"/>
        <v>#DIV/0!</v>
      </c>
      <c r="E79" s="48">
        <f t="shared" si="32"/>
        <v>0</v>
      </c>
      <c r="F79" s="50">
        <f t="shared" si="33"/>
        <v>0</v>
      </c>
      <c r="G79" s="50">
        <f t="shared" ref="G79:G142" si="43">IF($B79&lt;=$C$4,C$6,0)</f>
        <v>0</v>
      </c>
      <c r="H79" s="51" t="e">
        <f t="shared" si="34"/>
        <v>#DIV/0!</v>
      </c>
      <c r="I79" s="52" t="e">
        <f t="shared" si="28"/>
        <v>#DIV/0!</v>
      </c>
      <c r="J79" s="57" t="e">
        <f t="shared" si="35"/>
        <v>#DIV/0!</v>
      </c>
      <c r="K79" s="51" t="e">
        <f t="shared" si="36"/>
        <v>#DIV/0!</v>
      </c>
      <c r="L79" s="49" t="e">
        <f t="shared" si="37"/>
        <v>#DIV/0!</v>
      </c>
      <c r="M79" s="49">
        <f t="shared" si="26"/>
        <v>0</v>
      </c>
      <c r="N79" s="49">
        <f t="shared" si="25"/>
        <v>0</v>
      </c>
      <c r="O79" s="48" t="e">
        <f t="shared" si="38"/>
        <v>#DIV/0!</v>
      </c>
      <c r="P79" s="38" t="e">
        <f t="shared" si="27"/>
        <v>#DIV/0!</v>
      </c>
      <c r="Q79" s="53"/>
      <c r="R79" s="53">
        <f t="shared" si="39"/>
        <v>0.12</v>
      </c>
      <c r="S79" s="53">
        <f t="shared" si="40"/>
        <v>1.0596241035318976E-2</v>
      </c>
      <c r="T79" s="53">
        <f t="shared" si="41"/>
        <v>0.04</v>
      </c>
      <c r="U79" s="53">
        <f t="shared" si="42"/>
        <v>3.3960531989175591E-3</v>
      </c>
    </row>
    <row r="80" spans="1:21" x14ac:dyDescent="0.2">
      <c r="A80" s="62"/>
      <c r="B80" s="45">
        <f t="shared" si="29"/>
        <v>69</v>
      </c>
      <c r="C80" s="51" t="e">
        <f t="shared" si="30"/>
        <v>#DIV/0!</v>
      </c>
      <c r="D80" s="47" t="e">
        <f t="shared" si="31"/>
        <v>#DIV/0!</v>
      </c>
      <c r="E80" s="48">
        <f t="shared" si="32"/>
        <v>0</v>
      </c>
      <c r="F80" s="50">
        <f t="shared" si="33"/>
        <v>0</v>
      </c>
      <c r="G80" s="50">
        <f t="shared" si="43"/>
        <v>0</v>
      </c>
      <c r="H80" s="51" t="e">
        <f t="shared" si="34"/>
        <v>#DIV/0!</v>
      </c>
      <c r="I80" s="52" t="e">
        <f t="shared" si="28"/>
        <v>#DIV/0!</v>
      </c>
      <c r="J80" s="57" t="e">
        <f t="shared" si="35"/>
        <v>#DIV/0!</v>
      </c>
      <c r="K80" s="51" t="e">
        <f t="shared" si="36"/>
        <v>#DIV/0!</v>
      </c>
      <c r="L80" s="49" t="e">
        <f t="shared" si="37"/>
        <v>#DIV/0!</v>
      </c>
      <c r="M80" s="49">
        <f t="shared" si="26"/>
        <v>0</v>
      </c>
      <c r="N80" s="49">
        <f t="shared" si="25"/>
        <v>0</v>
      </c>
      <c r="O80" s="48" t="e">
        <f t="shared" si="38"/>
        <v>#DIV/0!</v>
      </c>
      <c r="P80" s="38" t="e">
        <f t="shared" si="27"/>
        <v>#DIV/0!</v>
      </c>
      <c r="Q80" s="53"/>
      <c r="R80" s="53">
        <f t="shared" si="39"/>
        <v>0.12</v>
      </c>
      <c r="S80" s="53">
        <f t="shared" si="40"/>
        <v>1.0596241035318976E-2</v>
      </c>
      <c r="T80" s="53">
        <f t="shared" si="41"/>
        <v>0.04</v>
      </c>
      <c r="U80" s="53">
        <f t="shared" si="42"/>
        <v>3.3960531989175591E-3</v>
      </c>
    </row>
    <row r="81" spans="1:21" x14ac:dyDescent="0.2">
      <c r="A81" s="62"/>
      <c r="B81" s="45">
        <f t="shared" si="29"/>
        <v>70</v>
      </c>
      <c r="C81" s="51" t="e">
        <f t="shared" si="30"/>
        <v>#DIV/0!</v>
      </c>
      <c r="D81" s="47" t="e">
        <f t="shared" si="31"/>
        <v>#DIV/0!</v>
      </c>
      <c r="E81" s="48">
        <f t="shared" si="32"/>
        <v>0</v>
      </c>
      <c r="F81" s="50">
        <f t="shared" si="33"/>
        <v>0</v>
      </c>
      <c r="G81" s="50">
        <f t="shared" si="43"/>
        <v>0</v>
      </c>
      <c r="H81" s="51" t="e">
        <f t="shared" si="34"/>
        <v>#DIV/0!</v>
      </c>
      <c r="I81" s="52" t="e">
        <f t="shared" si="28"/>
        <v>#DIV/0!</v>
      </c>
      <c r="J81" s="57" t="e">
        <f t="shared" si="35"/>
        <v>#DIV/0!</v>
      </c>
      <c r="K81" s="51" t="e">
        <f t="shared" si="36"/>
        <v>#DIV/0!</v>
      </c>
      <c r="L81" s="49" t="e">
        <f t="shared" si="37"/>
        <v>#DIV/0!</v>
      </c>
      <c r="M81" s="49">
        <f t="shared" si="26"/>
        <v>0</v>
      </c>
      <c r="N81" s="49">
        <f t="shared" si="25"/>
        <v>0</v>
      </c>
      <c r="O81" s="48" t="e">
        <f t="shared" si="38"/>
        <v>#DIV/0!</v>
      </c>
      <c r="P81" s="38" t="e">
        <f t="shared" si="27"/>
        <v>#DIV/0!</v>
      </c>
      <c r="Q81" s="53"/>
      <c r="R81" s="53">
        <f t="shared" si="39"/>
        <v>0.12</v>
      </c>
      <c r="S81" s="53">
        <f t="shared" si="40"/>
        <v>1.0596241035318976E-2</v>
      </c>
      <c r="T81" s="53">
        <f t="shared" si="41"/>
        <v>0.04</v>
      </c>
      <c r="U81" s="53">
        <f t="shared" si="42"/>
        <v>3.3960531989175591E-3</v>
      </c>
    </row>
    <row r="82" spans="1:21" x14ac:dyDescent="0.2">
      <c r="A82" s="62"/>
      <c r="B82" s="45">
        <f t="shared" si="29"/>
        <v>71</v>
      </c>
      <c r="C82" s="51" t="e">
        <f t="shared" si="30"/>
        <v>#DIV/0!</v>
      </c>
      <c r="D82" s="47" t="e">
        <f t="shared" si="31"/>
        <v>#DIV/0!</v>
      </c>
      <c r="E82" s="48">
        <f t="shared" si="32"/>
        <v>0</v>
      </c>
      <c r="F82" s="50">
        <f t="shared" si="33"/>
        <v>0</v>
      </c>
      <c r="G82" s="50">
        <f t="shared" si="43"/>
        <v>0</v>
      </c>
      <c r="H82" s="51" t="e">
        <f t="shared" si="34"/>
        <v>#DIV/0!</v>
      </c>
      <c r="I82" s="52" t="e">
        <f t="shared" si="28"/>
        <v>#DIV/0!</v>
      </c>
      <c r="J82" s="57" t="e">
        <f t="shared" si="35"/>
        <v>#DIV/0!</v>
      </c>
      <c r="K82" s="51" t="e">
        <f t="shared" si="36"/>
        <v>#DIV/0!</v>
      </c>
      <c r="L82" s="49" t="e">
        <f t="shared" si="37"/>
        <v>#DIV/0!</v>
      </c>
      <c r="M82" s="49">
        <f t="shared" si="26"/>
        <v>0</v>
      </c>
      <c r="N82" s="49">
        <f t="shared" si="25"/>
        <v>0</v>
      </c>
      <c r="O82" s="48" t="e">
        <f t="shared" si="38"/>
        <v>#DIV/0!</v>
      </c>
      <c r="P82" s="38" t="e">
        <f t="shared" si="27"/>
        <v>#DIV/0!</v>
      </c>
      <c r="Q82" s="53"/>
      <c r="R82" s="53">
        <f t="shared" si="39"/>
        <v>0.12</v>
      </c>
      <c r="S82" s="53">
        <f t="shared" si="40"/>
        <v>1.0596241035318976E-2</v>
      </c>
      <c r="T82" s="53">
        <f t="shared" si="41"/>
        <v>0.04</v>
      </c>
      <c r="U82" s="53">
        <f t="shared" si="42"/>
        <v>3.3960531989175591E-3</v>
      </c>
    </row>
    <row r="83" spans="1:21" x14ac:dyDescent="0.2">
      <c r="A83" s="62"/>
      <c r="B83" s="45">
        <f t="shared" si="29"/>
        <v>72</v>
      </c>
      <c r="C83" s="51" t="e">
        <f t="shared" si="30"/>
        <v>#DIV/0!</v>
      </c>
      <c r="D83" s="47" t="e">
        <f t="shared" si="31"/>
        <v>#DIV/0!</v>
      </c>
      <c r="E83" s="48">
        <f t="shared" si="32"/>
        <v>0</v>
      </c>
      <c r="F83" s="50">
        <f t="shared" si="33"/>
        <v>0</v>
      </c>
      <c r="G83" s="50">
        <f t="shared" si="43"/>
        <v>0</v>
      </c>
      <c r="H83" s="51" t="e">
        <f t="shared" si="34"/>
        <v>#DIV/0!</v>
      </c>
      <c r="I83" s="52" t="e">
        <f t="shared" si="28"/>
        <v>#DIV/0!</v>
      </c>
      <c r="J83" s="57" t="e">
        <f t="shared" si="35"/>
        <v>#DIV/0!</v>
      </c>
      <c r="K83" s="51" t="e">
        <f t="shared" si="36"/>
        <v>#DIV/0!</v>
      </c>
      <c r="L83" s="49" t="e">
        <f t="shared" si="37"/>
        <v>#DIV/0!</v>
      </c>
      <c r="M83" s="49">
        <f t="shared" si="26"/>
        <v>0</v>
      </c>
      <c r="N83" s="49">
        <f t="shared" si="25"/>
        <v>0</v>
      </c>
      <c r="O83" s="48" t="e">
        <f t="shared" si="38"/>
        <v>#DIV/0!</v>
      </c>
      <c r="P83" s="38" t="e">
        <f t="shared" si="27"/>
        <v>#DIV/0!</v>
      </c>
      <c r="Q83" s="53"/>
      <c r="R83" s="53">
        <f t="shared" si="39"/>
        <v>0.12</v>
      </c>
      <c r="S83" s="53">
        <f t="shared" si="40"/>
        <v>1.0596241035318976E-2</v>
      </c>
      <c r="T83" s="53">
        <f t="shared" si="41"/>
        <v>0.04</v>
      </c>
      <c r="U83" s="53">
        <f t="shared" si="42"/>
        <v>3.3960531989175591E-3</v>
      </c>
    </row>
    <row r="84" spans="1:21" x14ac:dyDescent="0.2">
      <c r="A84" s="62"/>
      <c r="B84" s="45">
        <f t="shared" si="29"/>
        <v>73</v>
      </c>
      <c r="C84" s="51" t="e">
        <f t="shared" si="30"/>
        <v>#DIV/0!</v>
      </c>
      <c r="D84" s="47" t="e">
        <f t="shared" si="31"/>
        <v>#DIV/0!</v>
      </c>
      <c r="E84" s="48">
        <f t="shared" si="32"/>
        <v>0</v>
      </c>
      <c r="F84" s="50">
        <f t="shared" si="33"/>
        <v>0</v>
      </c>
      <c r="G84" s="50">
        <f t="shared" si="43"/>
        <v>0</v>
      </c>
      <c r="H84" s="51" t="e">
        <f t="shared" si="34"/>
        <v>#DIV/0!</v>
      </c>
      <c r="I84" s="52" t="e">
        <f t="shared" si="28"/>
        <v>#DIV/0!</v>
      </c>
      <c r="J84" s="57" t="e">
        <f t="shared" si="35"/>
        <v>#DIV/0!</v>
      </c>
      <c r="K84" s="51" t="e">
        <f t="shared" si="36"/>
        <v>#DIV/0!</v>
      </c>
      <c r="L84" s="49" t="e">
        <f t="shared" si="37"/>
        <v>#DIV/0!</v>
      </c>
      <c r="M84" s="49">
        <f t="shared" si="26"/>
        <v>0</v>
      </c>
      <c r="N84" s="49">
        <f t="shared" si="25"/>
        <v>0</v>
      </c>
      <c r="O84" s="48" t="e">
        <f t="shared" si="38"/>
        <v>#DIV/0!</v>
      </c>
      <c r="P84" s="38" t="e">
        <f t="shared" si="27"/>
        <v>#DIV/0!</v>
      </c>
      <c r="Q84" s="53"/>
      <c r="R84" s="53">
        <f t="shared" si="39"/>
        <v>0.12</v>
      </c>
      <c r="S84" s="53">
        <f t="shared" si="40"/>
        <v>1.0596241035318976E-2</v>
      </c>
      <c r="T84" s="53">
        <f t="shared" si="41"/>
        <v>0.04</v>
      </c>
      <c r="U84" s="53">
        <f t="shared" si="42"/>
        <v>3.3960531989175591E-3</v>
      </c>
    </row>
    <row r="85" spans="1:21" x14ac:dyDescent="0.2">
      <c r="A85" s="62"/>
      <c r="B85" s="45">
        <f t="shared" si="29"/>
        <v>74</v>
      </c>
      <c r="C85" s="51" t="e">
        <f t="shared" si="30"/>
        <v>#DIV/0!</v>
      </c>
      <c r="D85" s="47" t="e">
        <f t="shared" si="31"/>
        <v>#DIV/0!</v>
      </c>
      <c r="E85" s="48">
        <f t="shared" si="32"/>
        <v>0</v>
      </c>
      <c r="F85" s="50">
        <f t="shared" si="33"/>
        <v>0</v>
      </c>
      <c r="G85" s="50">
        <f t="shared" si="43"/>
        <v>0</v>
      </c>
      <c r="H85" s="51" t="e">
        <f t="shared" si="34"/>
        <v>#DIV/0!</v>
      </c>
      <c r="I85" s="52" t="e">
        <f t="shared" si="28"/>
        <v>#DIV/0!</v>
      </c>
      <c r="J85" s="57" t="e">
        <f t="shared" si="35"/>
        <v>#DIV/0!</v>
      </c>
      <c r="K85" s="51" t="e">
        <f t="shared" si="36"/>
        <v>#DIV/0!</v>
      </c>
      <c r="L85" s="49" t="e">
        <f t="shared" si="37"/>
        <v>#DIV/0!</v>
      </c>
      <c r="M85" s="49">
        <f t="shared" si="26"/>
        <v>0</v>
      </c>
      <c r="N85" s="49">
        <f t="shared" si="25"/>
        <v>0</v>
      </c>
      <c r="O85" s="48" t="e">
        <f t="shared" si="38"/>
        <v>#DIV/0!</v>
      </c>
      <c r="P85" s="38" t="e">
        <f t="shared" si="27"/>
        <v>#DIV/0!</v>
      </c>
      <c r="Q85" s="53"/>
      <c r="R85" s="53">
        <f t="shared" si="39"/>
        <v>0.12</v>
      </c>
      <c r="S85" s="53">
        <f t="shared" si="40"/>
        <v>1.0596241035318976E-2</v>
      </c>
      <c r="T85" s="53">
        <f t="shared" si="41"/>
        <v>0.04</v>
      </c>
      <c r="U85" s="53">
        <f t="shared" si="42"/>
        <v>3.3960531989175591E-3</v>
      </c>
    </row>
    <row r="86" spans="1:21" x14ac:dyDescent="0.2">
      <c r="A86" s="62"/>
      <c r="B86" s="45">
        <f t="shared" si="29"/>
        <v>75</v>
      </c>
      <c r="C86" s="51" t="e">
        <f t="shared" si="30"/>
        <v>#DIV/0!</v>
      </c>
      <c r="D86" s="47" t="e">
        <f t="shared" si="31"/>
        <v>#DIV/0!</v>
      </c>
      <c r="E86" s="48">
        <f t="shared" si="32"/>
        <v>0</v>
      </c>
      <c r="F86" s="50">
        <f t="shared" si="33"/>
        <v>0</v>
      </c>
      <c r="G86" s="50">
        <f t="shared" si="43"/>
        <v>0</v>
      </c>
      <c r="H86" s="51" t="e">
        <f t="shared" si="34"/>
        <v>#DIV/0!</v>
      </c>
      <c r="I86" s="52" t="e">
        <f t="shared" si="28"/>
        <v>#DIV/0!</v>
      </c>
      <c r="J86" s="57" t="e">
        <f t="shared" si="35"/>
        <v>#DIV/0!</v>
      </c>
      <c r="K86" s="51" t="e">
        <f t="shared" si="36"/>
        <v>#DIV/0!</v>
      </c>
      <c r="L86" s="49" t="e">
        <f t="shared" si="37"/>
        <v>#DIV/0!</v>
      </c>
      <c r="M86" s="49">
        <f t="shared" si="26"/>
        <v>0</v>
      </c>
      <c r="N86" s="49">
        <f t="shared" si="25"/>
        <v>0</v>
      </c>
      <c r="O86" s="48" t="e">
        <f t="shared" si="38"/>
        <v>#DIV/0!</v>
      </c>
      <c r="P86" s="38" t="e">
        <f t="shared" si="27"/>
        <v>#DIV/0!</v>
      </c>
      <c r="Q86" s="53"/>
      <c r="R86" s="53">
        <f t="shared" si="39"/>
        <v>0.12</v>
      </c>
      <c r="S86" s="53">
        <f t="shared" si="40"/>
        <v>1.0596241035318976E-2</v>
      </c>
      <c r="T86" s="53">
        <f t="shared" si="41"/>
        <v>0.04</v>
      </c>
      <c r="U86" s="53">
        <f t="shared" si="42"/>
        <v>3.3960531989175591E-3</v>
      </c>
    </row>
    <row r="87" spans="1:21" x14ac:dyDescent="0.2">
      <c r="A87" s="62"/>
      <c r="B87" s="45">
        <f t="shared" si="29"/>
        <v>76</v>
      </c>
      <c r="C87" s="51" t="e">
        <f t="shared" si="30"/>
        <v>#DIV/0!</v>
      </c>
      <c r="D87" s="47" t="e">
        <f t="shared" si="31"/>
        <v>#DIV/0!</v>
      </c>
      <c r="E87" s="48">
        <f t="shared" si="32"/>
        <v>0</v>
      </c>
      <c r="F87" s="50">
        <f t="shared" si="33"/>
        <v>0</v>
      </c>
      <c r="G87" s="50">
        <f t="shared" si="43"/>
        <v>0</v>
      </c>
      <c r="H87" s="51" t="e">
        <f t="shared" si="34"/>
        <v>#DIV/0!</v>
      </c>
      <c r="I87" s="52" t="e">
        <f t="shared" si="28"/>
        <v>#DIV/0!</v>
      </c>
      <c r="J87" s="57" t="e">
        <f t="shared" si="35"/>
        <v>#DIV/0!</v>
      </c>
      <c r="K87" s="51" t="e">
        <f t="shared" si="36"/>
        <v>#DIV/0!</v>
      </c>
      <c r="L87" s="49" t="e">
        <f t="shared" si="37"/>
        <v>#DIV/0!</v>
      </c>
      <c r="M87" s="49">
        <f t="shared" si="26"/>
        <v>0</v>
      </c>
      <c r="N87" s="49">
        <f t="shared" si="25"/>
        <v>0</v>
      </c>
      <c r="O87" s="48" t="e">
        <f t="shared" si="38"/>
        <v>#DIV/0!</v>
      </c>
      <c r="P87" s="38" t="e">
        <f t="shared" si="27"/>
        <v>#DIV/0!</v>
      </c>
      <c r="Q87" s="53"/>
      <c r="R87" s="53">
        <f t="shared" si="39"/>
        <v>0.12</v>
      </c>
      <c r="S87" s="53">
        <f t="shared" si="40"/>
        <v>1.0596241035318976E-2</v>
      </c>
      <c r="T87" s="53">
        <f t="shared" si="41"/>
        <v>0.04</v>
      </c>
      <c r="U87" s="53">
        <f t="shared" si="42"/>
        <v>3.3960531989175591E-3</v>
      </c>
    </row>
    <row r="88" spans="1:21" x14ac:dyDescent="0.2">
      <c r="A88" s="62"/>
      <c r="B88" s="45">
        <f t="shared" si="29"/>
        <v>77</v>
      </c>
      <c r="C88" s="51" t="e">
        <f t="shared" si="30"/>
        <v>#DIV/0!</v>
      </c>
      <c r="D88" s="47" t="e">
        <f t="shared" si="31"/>
        <v>#DIV/0!</v>
      </c>
      <c r="E88" s="48">
        <f t="shared" si="32"/>
        <v>0</v>
      </c>
      <c r="F88" s="50">
        <f t="shared" si="33"/>
        <v>0</v>
      </c>
      <c r="G88" s="50">
        <f t="shared" si="43"/>
        <v>0</v>
      </c>
      <c r="H88" s="51" t="e">
        <f t="shared" si="34"/>
        <v>#DIV/0!</v>
      </c>
      <c r="I88" s="52" t="e">
        <f t="shared" si="28"/>
        <v>#DIV/0!</v>
      </c>
      <c r="J88" s="57" t="e">
        <f t="shared" si="35"/>
        <v>#DIV/0!</v>
      </c>
      <c r="K88" s="51" t="e">
        <f t="shared" si="36"/>
        <v>#DIV/0!</v>
      </c>
      <c r="L88" s="49" t="e">
        <f t="shared" si="37"/>
        <v>#DIV/0!</v>
      </c>
      <c r="M88" s="49">
        <f t="shared" si="26"/>
        <v>0</v>
      </c>
      <c r="N88" s="49">
        <f t="shared" si="25"/>
        <v>0</v>
      </c>
      <c r="O88" s="48" t="e">
        <f t="shared" si="38"/>
        <v>#DIV/0!</v>
      </c>
      <c r="P88" s="38" t="e">
        <f t="shared" si="27"/>
        <v>#DIV/0!</v>
      </c>
      <c r="Q88" s="53"/>
      <c r="R88" s="53">
        <f t="shared" si="39"/>
        <v>0.12</v>
      </c>
      <c r="S88" s="53">
        <f t="shared" si="40"/>
        <v>1.0596241035318976E-2</v>
      </c>
      <c r="T88" s="53">
        <f t="shared" si="41"/>
        <v>0.04</v>
      </c>
      <c r="U88" s="53">
        <f t="shared" si="42"/>
        <v>3.3960531989175591E-3</v>
      </c>
    </row>
    <row r="89" spans="1:21" x14ac:dyDescent="0.2">
      <c r="A89" s="62"/>
      <c r="B89" s="45">
        <f t="shared" si="29"/>
        <v>78</v>
      </c>
      <c r="C89" s="51" t="e">
        <f t="shared" si="30"/>
        <v>#DIV/0!</v>
      </c>
      <c r="D89" s="47" t="e">
        <f t="shared" si="31"/>
        <v>#DIV/0!</v>
      </c>
      <c r="E89" s="48">
        <f t="shared" si="32"/>
        <v>0</v>
      </c>
      <c r="F89" s="50">
        <f t="shared" si="33"/>
        <v>0</v>
      </c>
      <c r="G89" s="50">
        <f t="shared" si="43"/>
        <v>0</v>
      </c>
      <c r="H89" s="51" t="e">
        <f t="shared" si="34"/>
        <v>#DIV/0!</v>
      </c>
      <c r="I89" s="52" t="e">
        <f t="shared" si="28"/>
        <v>#DIV/0!</v>
      </c>
      <c r="J89" s="57" t="e">
        <f t="shared" si="35"/>
        <v>#DIV/0!</v>
      </c>
      <c r="K89" s="51" t="e">
        <f t="shared" si="36"/>
        <v>#DIV/0!</v>
      </c>
      <c r="L89" s="49" t="e">
        <f t="shared" si="37"/>
        <v>#DIV/0!</v>
      </c>
      <c r="M89" s="49">
        <f t="shared" si="26"/>
        <v>0</v>
      </c>
      <c r="N89" s="49">
        <f t="shared" si="25"/>
        <v>0</v>
      </c>
      <c r="O89" s="48" t="e">
        <f t="shared" si="38"/>
        <v>#DIV/0!</v>
      </c>
      <c r="P89" s="38" t="e">
        <f t="shared" si="27"/>
        <v>#DIV/0!</v>
      </c>
      <c r="Q89" s="53"/>
      <c r="R89" s="53">
        <f t="shared" si="39"/>
        <v>0.12</v>
      </c>
      <c r="S89" s="53">
        <f t="shared" si="40"/>
        <v>1.0596241035318976E-2</v>
      </c>
      <c r="T89" s="53">
        <f t="shared" si="41"/>
        <v>0.04</v>
      </c>
      <c r="U89" s="53">
        <f t="shared" si="42"/>
        <v>3.3960531989175591E-3</v>
      </c>
    </row>
    <row r="90" spans="1:21" x14ac:dyDescent="0.2">
      <c r="A90" s="62"/>
      <c r="B90" s="45">
        <f t="shared" si="29"/>
        <v>79</v>
      </c>
      <c r="C90" s="51" t="e">
        <f t="shared" si="30"/>
        <v>#DIV/0!</v>
      </c>
      <c r="D90" s="47" t="e">
        <f t="shared" si="31"/>
        <v>#DIV/0!</v>
      </c>
      <c r="E90" s="48">
        <f t="shared" si="32"/>
        <v>0</v>
      </c>
      <c r="F90" s="50">
        <f t="shared" si="33"/>
        <v>0</v>
      </c>
      <c r="G90" s="50">
        <f t="shared" si="43"/>
        <v>0</v>
      </c>
      <c r="H90" s="51" t="e">
        <f t="shared" si="34"/>
        <v>#DIV/0!</v>
      </c>
      <c r="I90" s="52" t="e">
        <f t="shared" si="28"/>
        <v>#DIV/0!</v>
      </c>
      <c r="J90" s="57" t="e">
        <f t="shared" si="35"/>
        <v>#DIV/0!</v>
      </c>
      <c r="K90" s="51" t="e">
        <f t="shared" si="36"/>
        <v>#DIV/0!</v>
      </c>
      <c r="L90" s="49" t="e">
        <f t="shared" si="37"/>
        <v>#DIV/0!</v>
      </c>
      <c r="M90" s="49">
        <f t="shared" si="26"/>
        <v>0</v>
      </c>
      <c r="N90" s="49">
        <f t="shared" si="25"/>
        <v>0</v>
      </c>
      <c r="O90" s="48" t="e">
        <f t="shared" si="38"/>
        <v>#DIV/0!</v>
      </c>
      <c r="P90" s="38" t="e">
        <f t="shared" si="27"/>
        <v>#DIV/0!</v>
      </c>
      <c r="Q90" s="53"/>
      <c r="R90" s="53">
        <f t="shared" si="39"/>
        <v>0.12</v>
      </c>
      <c r="S90" s="53">
        <f t="shared" si="40"/>
        <v>1.0596241035318976E-2</v>
      </c>
      <c r="T90" s="53">
        <f t="shared" si="41"/>
        <v>0.04</v>
      </c>
      <c r="U90" s="53">
        <f t="shared" si="42"/>
        <v>3.3960531989175591E-3</v>
      </c>
    </row>
    <row r="91" spans="1:21" x14ac:dyDescent="0.2">
      <c r="A91" s="62"/>
      <c r="B91" s="45">
        <f t="shared" si="29"/>
        <v>80</v>
      </c>
      <c r="C91" s="51" t="e">
        <f t="shared" si="30"/>
        <v>#DIV/0!</v>
      </c>
      <c r="D91" s="47" t="e">
        <f t="shared" si="31"/>
        <v>#DIV/0!</v>
      </c>
      <c r="E91" s="48">
        <f t="shared" si="32"/>
        <v>0</v>
      </c>
      <c r="F91" s="50">
        <f t="shared" si="33"/>
        <v>0</v>
      </c>
      <c r="G91" s="50">
        <f t="shared" si="43"/>
        <v>0</v>
      </c>
      <c r="H91" s="51" t="e">
        <f t="shared" si="34"/>
        <v>#DIV/0!</v>
      </c>
      <c r="I91" s="52" t="e">
        <f t="shared" si="28"/>
        <v>#DIV/0!</v>
      </c>
      <c r="J91" s="57" t="e">
        <f t="shared" si="35"/>
        <v>#DIV/0!</v>
      </c>
      <c r="K91" s="51" t="e">
        <f t="shared" si="36"/>
        <v>#DIV/0!</v>
      </c>
      <c r="L91" s="49" t="e">
        <f t="shared" si="37"/>
        <v>#DIV/0!</v>
      </c>
      <c r="M91" s="49">
        <f t="shared" si="26"/>
        <v>0</v>
      </c>
      <c r="N91" s="49">
        <f t="shared" si="25"/>
        <v>0</v>
      </c>
      <c r="O91" s="48" t="e">
        <f t="shared" si="38"/>
        <v>#DIV/0!</v>
      </c>
      <c r="P91" s="38" t="e">
        <f t="shared" si="27"/>
        <v>#DIV/0!</v>
      </c>
      <c r="Q91" s="53"/>
      <c r="R91" s="53">
        <f t="shared" si="39"/>
        <v>0.12</v>
      </c>
      <c r="S91" s="53">
        <f t="shared" si="40"/>
        <v>1.0596241035318976E-2</v>
      </c>
      <c r="T91" s="53">
        <f t="shared" si="41"/>
        <v>0.04</v>
      </c>
      <c r="U91" s="53">
        <f t="shared" si="42"/>
        <v>3.3960531989175591E-3</v>
      </c>
    </row>
    <row r="92" spans="1:21" x14ac:dyDescent="0.2">
      <c r="A92" s="62"/>
      <c r="B92" s="45">
        <f t="shared" si="29"/>
        <v>81</v>
      </c>
      <c r="C92" s="51" t="e">
        <f t="shared" si="30"/>
        <v>#DIV/0!</v>
      </c>
      <c r="D92" s="47" t="e">
        <f t="shared" si="31"/>
        <v>#DIV/0!</v>
      </c>
      <c r="E92" s="48">
        <f t="shared" si="32"/>
        <v>0</v>
      </c>
      <c r="F92" s="50">
        <f t="shared" si="33"/>
        <v>0</v>
      </c>
      <c r="G92" s="50">
        <f t="shared" si="43"/>
        <v>0</v>
      </c>
      <c r="H92" s="51" t="e">
        <f t="shared" si="34"/>
        <v>#DIV/0!</v>
      </c>
      <c r="I92" s="52" t="e">
        <f t="shared" si="28"/>
        <v>#DIV/0!</v>
      </c>
      <c r="J92" s="57" t="e">
        <f t="shared" si="35"/>
        <v>#DIV/0!</v>
      </c>
      <c r="K92" s="51" t="e">
        <f t="shared" si="36"/>
        <v>#DIV/0!</v>
      </c>
      <c r="L92" s="49" t="e">
        <f t="shared" si="37"/>
        <v>#DIV/0!</v>
      </c>
      <c r="M92" s="49">
        <f t="shared" si="26"/>
        <v>0</v>
      </c>
      <c r="N92" s="49">
        <f t="shared" si="25"/>
        <v>0</v>
      </c>
      <c r="O92" s="48" t="e">
        <f t="shared" si="38"/>
        <v>#DIV/0!</v>
      </c>
      <c r="P92" s="38" t="e">
        <f t="shared" si="27"/>
        <v>#DIV/0!</v>
      </c>
      <c r="Q92" s="53"/>
      <c r="R92" s="53">
        <f t="shared" si="39"/>
        <v>0.12</v>
      </c>
      <c r="S92" s="53">
        <f t="shared" si="40"/>
        <v>1.0596241035318976E-2</v>
      </c>
      <c r="T92" s="53">
        <f t="shared" si="41"/>
        <v>0.04</v>
      </c>
      <c r="U92" s="53">
        <f t="shared" si="42"/>
        <v>3.3960531989175591E-3</v>
      </c>
    </row>
    <row r="93" spans="1:21" x14ac:dyDescent="0.2">
      <c r="A93" s="62"/>
      <c r="B93" s="45">
        <f t="shared" si="29"/>
        <v>82</v>
      </c>
      <c r="C93" s="51" t="e">
        <f t="shared" si="30"/>
        <v>#DIV/0!</v>
      </c>
      <c r="D93" s="47" t="e">
        <f t="shared" si="31"/>
        <v>#DIV/0!</v>
      </c>
      <c r="E93" s="48">
        <f t="shared" si="32"/>
        <v>0</v>
      </c>
      <c r="F93" s="50">
        <f t="shared" si="33"/>
        <v>0</v>
      </c>
      <c r="G93" s="50">
        <f t="shared" si="43"/>
        <v>0</v>
      </c>
      <c r="H93" s="51" t="e">
        <f t="shared" si="34"/>
        <v>#DIV/0!</v>
      </c>
      <c r="I93" s="52" t="e">
        <f t="shared" si="28"/>
        <v>#DIV/0!</v>
      </c>
      <c r="J93" s="57" t="e">
        <f t="shared" si="35"/>
        <v>#DIV/0!</v>
      </c>
      <c r="K93" s="51" t="e">
        <f t="shared" si="36"/>
        <v>#DIV/0!</v>
      </c>
      <c r="L93" s="49" t="e">
        <f t="shared" si="37"/>
        <v>#DIV/0!</v>
      </c>
      <c r="M93" s="49">
        <f t="shared" si="26"/>
        <v>0</v>
      </c>
      <c r="N93" s="49">
        <f t="shared" si="25"/>
        <v>0</v>
      </c>
      <c r="O93" s="48" t="e">
        <f t="shared" si="38"/>
        <v>#DIV/0!</v>
      </c>
      <c r="P93" s="38" t="e">
        <f t="shared" si="27"/>
        <v>#DIV/0!</v>
      </c>
      <c r="Q93" s="53"/>
      <c r="R93" s="53">
        <f t="shared" si="39"/>
        <v>0.12</v>
      </c>
      <c r="S93" s="53">
        <f t="shared" si="40"/>
        <v>1.0596241035318976E-2</v>
      </c>
      <c r="T93" s="53">
        <f t="shared" si="41"/>
        <v>0.04</v>
      </c>
      <c r="U93" s="53">
        <f t="shared" si="42"/>
        <v>3.3960531989175591E-3</v>
      </c>
    </row>
    <row r="94" spans="1:21" x14ac:dyDescent="0.2">
      <c r="A94" s="62"/>
      <c r="B94" s="45">
        <f t="shared" si="29"/>
        <v>83</v>
      </c>
      <c r="C94" s="51" t="e">
        <f t="shared" si="30"/>
        <v>#DIV/0!</v>
      </c>
      <c r="D94" s="47" t="e">
        <f t="shared" si="31"/>
        <v>#DIV/0!</v>
      </c>
      <c r="E94" s="48">
        <f t="shared" si="32"/>
        <v>0</v>
      </c>
      <c r="F94" s="50">
        <f t="shared" si="33"/>
        <v>0</v>
      </c>
      <c r="G94" s="50">
        <f t="shared" si="43"/>
        <v>0</v>
      </c>
      <c r="H94" s="51" t="e">
        <f t="shared" si="34"/>
        <v>#DIV/0!</v>
      </c>
      <c r="I94" s="52" t="e">
        <f t="shared" si="28"/>
        <v>#DIV/0!</v>
      </c>
      <c r="J94" s="57" t="e">
        <f t="shared" si="35"/>
        <v>#DIV/0!</v>
      </c>
      <c r="K94" s="51" t="e">
        <f t="shared" si="36"/>
        <v>#DIV/0!</v>
      </c>
      <c r="L94" s="49" t="e">
        <f t="shared" si="37"/>
        <v>#DIV/0!</v>
      </c>
      <c r="M94" s="49">
        <f t="shared" si="26"/>
        <v>0</v>
      </c>
      <c r="N94" s="49">
        <f t="shared" si="25"/>
        <v>0</v>
      </c>
      <c r="O94" s="48" t="e">
        <f t="shared" si="38"/>
        <v>#DIV/0!</v>
      </c>
      <c r="P94" s="38" t="e">
        <f t="shared" si="27"/>
        <v>#DIV/0!</v>
      </c>
      <c r="Q94" s="53"/>
      <c r="R94" s="53">
        <f t="shared" si="39"/>
        <v>0.12</v>
      </c>
      <c r="S94" s="53">
        <f t="shared" si="40"/>
        <v>1.0596241035318976E-2</v>
      </c>
      <c r="T94" s="53">
        <f t="shared" si="41"/>
        <v>0.04</v>
      </c>
      <c r="U94" s="53">
        <f t="shared" si="42"/>
        <v>3.3960531989175591E-3</v>
      </c>
    </row>
    <row r="95" spans="1:21" x14ac:dyDescent="0.2">
      <c r="A95" s="62"/>
      <c r="B95" s="45">
        <f t="shared" si="29"/>
        <v>84</v>
      </c>
      <c r="C95" s="51" t="e">
        <f t="shared" si="30"/>
        <v>#DIV/0!</v>
      </c>
      <c r="D95" s="47" t="e">
        <f t="shared" si="31"/>
        <v>#DIV/0!</v>
      </c>
      <c r="E95" s="48">
        <f t="shared" si="32"/>
        <v>0</v>
      </c>
      <c r="F95" s="50">
        <f t="shared" si="33"/>
        <v>0</v>
      </c>
      <c r="G95" s="50">
        <f t="shared" si="43"/>
        <v>0</v>
      </c>
      <c r="H95" s="51" t="e">
        <f t="shared" si="34"/>
        <v>#DIV/0!</v>
      </c>
      <c r="I95" s="52" t="e">
        <f t="shared" si="28"/>
        <v>#DIV/0!</v>
      </c>
      <c r="J95" s="57" t="e">
        <f t="shared" si="35"/>
        <v>#DIV/0!</v>
      </c>
      <c r="K95" s="51" t="e">
        <f t="shared" si="36"/>
        <v>#DIV/0!</v>
      </c>
      <c r="L95" s="49" t="e">
        <f t="shared" si="37"/>
        <v>#DIV/0!</v>
      </c>
      <c r="M95" s="49">
        <f t="shared" si="26"/>
        <v>0</v>
      </c>
      <c r="N95" s="49">
        <f t="shared" si="25"/>
        <v>0</v>
      </c>
      <c r="O95" s="48" t="e">
        <f t="shared" si="38"/>
        <v>#DIV/0!</v>
      </c>
      <c r="P95" s="38" t="e">
        <f t="shared" si="27"/>
        <v>#DIV/0!</v>
      </c>
      <c r="Q95" s="53"/>
      <c r="R95" s="53">
        <f t="shared" si="39"/>
        <v>0.12</v>
      </c>
      <c r="S95" s="53">
        <f t="shared" si="40"/>
        <v>1.0596241035318976E-2</v>
      </c>
      <c r="T95" s="53">
        <f t="shared" si="41"/>
        <v>0.04</v>
      </c>
      <c r="U95" s="53">
        <f t="shared" si="42"/>
        <v>3.3960531989175591E-3</v>
      </c>
    </row>
    <row r="96" spans="1:21" x14ac:dyDescent="0.2">
      <c r="A96" s="62"/>
      <c r="B96" s="45">
        <f t="shared" si="29"/>
        <v>85</v>
      </c>
      <c r="C96" s="51" t="e">
        <f t="shared" si="30"/>
        <v>#DIV/0!</v>
      </c>
      <c r="D96" s="47" t="e">
        <f t="shared" si="31"/>
        <v>#DIV/0!</v>
      </c>
      <c r="E96" s="48">
        <f t="shared" si="32"/>
        <v>0</v>
      </c>
      <c r="F96" s="50">
        <f t="shared" si="33"/>
        <v>0</v>
      </c>
      <c r="G96" s="50">
        <f t="shared" si="43"/>
        <v>0</v>
      </c>
      <c r="H96" s="51" t="e">
        <f t="shared" si="34"/>
        <v>#DIV/0!</v>
      </c>
      <c r="I96" s="52" t="e">
        <f t="shared" si="28"/>
        <v>#DIV/0!</v>
      </c>
      <c r="J96" s="57" t="e">
        <f t="shared" si="35"/>
        <v>#DIV/0!</v>
      </c>
      <c r="K96" s="51" t="e">
        <f t="shared" si="36"/>
        <v>#DIV/0!</v>
      </c>
      <c r="L96" s="49" t="e">
        <f t="shared" si="37"/>
        <v>#DIV/0!</v>
      </c>
      <c r="M96" s="49">
        <f t="shared" si="26"/>
        <v>0</v>
      </c>
      <c r="N96" s="49">
        <f t="shared" ref="N96:N159" si="44">IFERROR((1-$N$9)*L92,0)</f>
        <v>0</v>
      </c>
      <c r="O96" s="48" t="e">
        <f t="shared" si="38"/>
        <v>#DIV/0!</v>
      </c>
      <c r="P96" s="38" t="e">
        <f t="shared" si="27"/>
        <v>#DIV/0!</v>
      </c>
      <c r="Q96" s="53"/>
      <c r="R96" s="53">
        <f t="shared" si="39"/>
        <v>0.12</v>
      </c>
      <c r="S96" s="53">
        <f t="shared" si="40"/>
        <v>1.0596241035318976E-2</v>
      </c>
      <c r="T96" s="53">
        <f t="shared" si="41"/>
        <v>0.04</v>
      </c>
      <c r="U96" s="53">
        <f t="shared" si="42"/>
        <v>3.3960531989175591E-3</v>
      </c>
    </row>
    <row r="97" spans="1:21" x14ac:dyDescent="0.2">
      <c r="A97" s="62"/>
      <c r="B97" s="45">
        <f t="shared" si="29"/>
        <v>86</v>
      </c>
      <c r="C97" s="51" t="e">
        <f t="shared" si="30"/>
        <v>#DIV/0!</v>
      </c>
      <c r="D97" s="47" t="e">
        <f t="shared" si="31"/>
        <v>#DIV/0!</v>
      </c>
      <c r="E97" s="48">
        <f t="shared" si="32"/>
        <v>0</v>
      </c>
      <c r="F97" s="50">
        <f t="shared" si="33"/>
        <v>0</v>
      </c>
      <c r="G97" s="50">
        <f t="shared" si="43"/>
        <v>0</v>
      </c>
      <c r="H97" s="51" t="e">
        <f t="shared" si="34"/>
        <v>#DIV/0!</v>
      </c>
      <c r="I97" s="52" t="e">
        <f t="shared" si="28"/>
        <v>#DIV/0!</v>
      </c>
      <c r="J97" s="57" t="e">
        <f t="shared" si="35"/>
        <v>#DIV/0!</v>
      </c>
      <c r="K97" s="51" t="e">
        <f t="shared" si="36"/>
        <v>#DIV/0!</v>
      </c>
      <c r="L97" s="49" t="e">
        <f t="shared" si="37"/>
        <v>#DIV/0!</v>
      </c>
      <c r="M97" s="49">
        <f t="shared" si="26"/>
        <v>0</v>
      </c>
      <c r="N97" s="49">
        <f t="shared" si="44"/>
        <v>0</v>
      </c>
      <c r="O97" s="48" t="e">
        <f t="shared" si="38"/>
        <v>#DIV/0!</v>
      </c>
      <c r="P97" s="38" t="e">
        <f t="shared" si="27"/>
        <v>#DIV/0!</v>
      </c>
      <c r="Q97" s="53"/>
      <c r="R97" s="53">
        <f t="shared" si="39"/>
        <v>0.12</v>
      </c>
      <c r="S97" s="53">
        <f t="shared" si="40"/>
        <v>1.0596241035318976E-2</v>
      </c>
      <c r="T97" s="53">
        <f t="shared" si="41"/>
        <v>0.04</v>
      </c>
      <c r="U97" s="53">
        <f t="shared" si="42"/>
        <v>3.3960531989175591E-3</v>
      </c>
    </row>
    <row r="98" spans="1:21" x14ac:dyDescent="0.2">
      <c r="A98" s="62"/>
      <c r="B98" s="45">
        <f t="shared" si="29"/>
        <v>87</v>
      </c>
      <c r="C98" s="51" t="e">
        <f t="shared" si="30"/>
        <v>#DIV/0!</v>
      </c>
      <c r="D98" s="47" t="e">
        <f t="shared" si="31"/>
        <v>#DIV/0!</v>
      </c>
      <c r="E98" s="48">
        <f t="shared" si="32"/>
        <v>0</v>
      </c>
      <c r="F98" s="50">
        <f t="shared" si="33"/>
        <v>0</v>
      </c>
      <c r="G98" s="50">
        <f t="shared" si="43"/>
        <v>0</v>
      </c>
      <c r="H98" s="51" t="e">
        <f t="shared" si="34"/>
        <v>#DIV/0!</v>
      </c>
      <c r="I98" s="52" t="e">
        <f t="shared" si="28"/>
        <v>#DIV/0!</v>
      </c>
      <c r="J98" s="57" t="e">
        <f t="shared" si="35"/>
        <v>#DIV/0!</v>
      </c>
      <c r="K98" s="51" t="e">
        <f t="shared" si="36"/>
        <v>#DIV/0!</v>
      </c>
      <c r="L98" s="49" t="e">
        <f t="shared" si="37"/>
        <v>#DIV/0!</v>
      </c>
      <c r="M98" s="49">
        <f t="shared" si="26"/>
        <v>0</v>
      </c>
      <c r="N98" s="49">
        <f t="shared" si="44"/>
        <v>0</v>
      </c>
      <c r="O98" s="48" t="e">
        <f t="shared" si="38"/>
        <v>#DIV/0!</v>
      </c>
      <c r="P98" s="38" t="e">
        <f t="shared" si="27"/>
        <v>#DIV/0!</v>
      </c>
      <c r="Q98" s="53"/>
      <c r="R98" s="53">
        <f t="shared" si="39"/>
        <v>0.12</v>
      </c>
      <c r="S98" s="53">
        <f t="shared" si="40"/>
        <v>1.0596241035318976E-2</v>
      </c>
      <c r="T98" s="53">
        <f t="shared" si="41"/>
        <v>0.04</v>
      </c>
      <c r="U98" s="53">
        <f t="shared" si="42"/>
        <v>3.3960531989175591E-3</v>
      </c>
    </row>
    <row r="99" spans="1:21" x14ac:dyDescent="0.2">
      <c r="A99" s="62"/>
      <c r="B99" s="45">
        <f t="shared" si="29"/>
        <v>88</v>
      </c>
      <c r="C99" s="51" t="e">
        <f t="shared" si="30"/>
        <v>#DIV/0!</v>
      </c>
      <c r="D99" s="47" t="e">
        <f t="shared" si="31"/>
        <v>#DIV/0!</v>
      </c>
      <c r="E99" s="48">
        <f t="shared" si="32"/>
        <v>0</v>
      </c>
      <c r="F99" s="50">
        <f t="shared" si="33"/>
        <v>0</v>
      </c>
      <c r="G99" s="50">
        <f t="shared" si="43"/>
        <v>0</v>
      </c>
      <c r="H99" s="51" t="e">
        <f t="shared" si="34"/>
        <v>#DIV/0!</v>
      </c>
      <c r="I99" s="52" t="e">
        <f t="shared" si="28"/>
        <v>#DIV/0!</v>
      </c>
      <c r="J99" s="57" t="e">
        <f t="shared" si="35"/>
        <v>#DIV/0!</v>
      </c>
      <c r="K99" s="51" t="e">
        <f t="shared" si="36"/>
        <v>#DIV/0!</v>
      </c>
      <c r="L99" s="49" t="e">
        <f t="shared" si="37"/>
        <v>#DIV/0!</v>
      </c>
      <c r="M99" s="49">
        <f t="shared" si="26"/>
        <v>0</v>
      </c>
      <c r="N99" s="49">
        <f t="shared" si="44"/>
        <v>0</v>
      </c>
      <c r="O99" s="48" t="e">
        <f t="shared" si="38"/>
        <v>#DIV/0!</v>
      </c>
      <c r="P99" s="38" t="e">
        <f t="shared" si="27"/>
        <v>#DIV/0!</v>
      </c>
      <c r="Q99" s="53"/>
      <c r="R99" s="53">
        <f t="shared" si="39"/>
        <v>0.12</v>
      </c>
      <c r="S99" s="53">
        <f t="shared" si="40"/>
        <v>1.0596241035318976E-2</v>
      </c>
      <c r="T99" s="53">
        <f t="shared" si="41"/>
        <v>0.04</v>
      </c>
      <c r="U99" s="53">
        <f t="shared" si="42"/>
        <v>3.3960531989175591E-3</v>
      </c>
    </row>
    <row r="100" spans="1:21" x14ac:dyDescent="0.2">
      <c r="A100" s="62"/>
      <c r="B100" s="45">
        <f t="shared" si="29"/>
        <v>89</v>
      </c>
      <c r="C100" s="51" t="e">
        <f t="shared" si="30"/>
        <v>#DIV/0!</v>
      </c>
      <c r="D100" s="47" t="e">
        <f t="shared" si="31"/>
        <v>#DIV/0!</v>
      </c>
      <c r="E100" s="48">
        <f t="shared" si="32"/>
        <v>0</v>
      </c>
      <c r="F100" s="50">
        <f t="shared" si="33"/>
        <v>0</v>
      </c>
      <c r="G100" s="50">
        <f t="shared" si="43"/>
        <v>0</v>
      </c>
      <c r="H100" s="51" t="e">
        <f t="shared" si="34"/>
        <v>#DIV/0!</v>
      </c>
      <c r="I100" s="52" t="e">
        <f t="shared" si="28"/>
        <v>#DIV/0!</v>
      </c>
      <c r="J100" s="57" t="e">
        <f t="shared" si="35"/>
        <v>#DIV/0!</v>
      </c>
      <c r="K100" s="51" t="e">
        <f t="shared" si="36"/>
        <v>#DIV/0!</v>
      </c>
      <c r="L100" s="49" t="e">
        <f t="shared" si="37"/>
        <v>#DIV/0!</v>
      </c>
      <c r="M100" s="49">
        <f t="shared" si="26"/>
        <v>0</v>
      </c>
      <c r="N100" s="49">
        <f t="shared" si="44"/>
        <v>0</v>
      </c>
      <c r="O100" s="48" t="e">
        <f t="shared" si="38"/>
        <v>#DIV/0!</v>
      </c>
      <c r="P100" s="38" t="e">
        <f t="shared" si="27"/>
        <v>#DIV/0!</v>
      </c>
      <c r="Q100" s="53"/>
      <c r="R100" s="53">
        <f t="shared" si="39"/>
        <v>0.12</v>
      </c>
      <c r="S100" s="53">
        <f t="shared" si="40"/>
        <v>1.0596241035318976E-2</v>
      </c>
      <c r="T100" s="53">
        <f t="shared" si="41"/>
        <v>0.04</v>
      </c>
      <c r="U100" s="53">
        <f t="shared" si="42"/>
        <v>3.3960531989175591E-3</v>
      </c>
    </row>
    <row r="101" spans="1:21" x14ac:dyDescent="0.2">
      <c r="A101" s="62"/>
      <c r="B101" s="45">
        <f t="shared" si="29"/>
        <v>90</v>
      </c>
      <c r="C101" s="51" t="e">
        <f t="shared" si="30"/>
        <v>#DIV/0!</v>
      </c>
      <c r="D101" s="47" t="e">
        <f t="shared" si="31"/>
        <v>#DIV/0!</v>
      </c>
      <c r="E101" s="48">
        <f t="shared" si="32"/>
        <v>0</v>
      </c>
      <c r="F101" s="50">
        <f t="shared" si="33"/>
        <v>0</v>
      </c>
      <c r="G101" s="50">
        <f t="shared" si="43"/>
        <v>0</v>
      </c>
      <c r="H101" s="51" t="e">
        <f t="shared" si="34"/>
        <v>#DIV/0!</v>
      </c>
      <c r="I101" s="52" t="e">
        <f t="shared" si="28"/>
        <v>#DIV/0!</v>
      </c>
      <c r="J101" s="57" t="e">
        <f t="shared" si="35"/>
        <v>#DIV/0!</v>
      </c>
      <c r="K101" s="51" t="e">
        <f t="shared" si="36"/>
        <v>#DIV/0!</v>
      </c>
      <c r="L101" s="49" t="e">
        <f t="shared" si="37"/>
        <v>#DIV/0!</v>
      </c>
      <c r="M101" s="49">
        <f t="shared" si="26"/>
        <v>0</v>
      </c>
      <c r="N101" s="49">
        <f t="shared" si="44"/>
        <v>0</v>
      </c>
      <c r="O101" s="48" t="e">
        <f t="shared" si="38"/>
        <v>#DIV/0!</v>
      </c>
      <c r="P101" s="38" t="e">
        <f t="shared" si="27"/>
        <v>#DIV/0!</v>
      </c>
      <c r="Q101" s="53"/>
      <c r="R101" s="53">
        <f t="shared" si="39"/>
        <v>0.12</v>
      </c>
      <c r="S101" s="53">
        <f t="shared" si="40"/>
        <v>1.0596241035318976E-2</v>
      </c>
      <c r="T101" s="53">
        <f t="shared" si="41"/>
        <v>0.04</v>
      </c>
      <c r="U101" s="53">
        <f t="shared" si="42"/>
        <v>3.3960531989175591E-3</v>
      </c>
    </row>
    <row r="102" spans="1:21" x14ac:dyDescent="0.2">
      <c r="A102" s="62"/>
      <c r="B102" s="45">
        <f t="shared" si="29"/>
        <v>91</v>
      </c>
      <c r="C102" s="51" t="e">
        <f t="shared" si="30"/>
        <v>#DIV/0!</v>
      </c>
      <c r="D102" s="47" t="e">
        <f t="shared" si="31"/>
        <v>#DIV/0!</v>
      </c>
      <c r="E102" s="48">
        <f t="shared" si="32"/>
        <v>0</v>
      </c>
      <c r="F102" s="50">
        <f t="shared" si="33"/>
        <v>0</v>
      </c>
      <c r="G102" s="50">
        <f t="shared" si="43"/>
        <v>0</v>
      </c>
      <c r="H102" s="51" t="e">
        <f t="shared" si="34"/>
        <v>#DIV/0!</v>
      </c>
      <c r="I102" s="52" t="e">
        <f t="shared" si="28"/>
        <v>#DIV/0!</v>
      </c>
      <c r="J102" s="57" t="e">
        <f t="shared" si="35"/>
        <v>#DIV/0!</v>
      </c>
      <c r="K102" s="51" t="e">
        <f t="shared" si="36"/>
        <v>#DIV/0!</v>
      </c>
      <c r="L102" s="49" t="e">
        <f t="shared" si="37"/>
        <v>#DIV/0!</v>
      </c>
      <c r="M102" s="49">
        <f t="shared" si="26"/>
        <v>0</v>
      </c>
      <c r="N102" s="49">
        <f t="shared" si="44"/>
        <v>0</v>
      </c>
      <c r="O102" s="48" t="e">
        <f t="shared" si="38"/>
        <v>#DIV/0!</v>
      </c>
      <c r="P102" s="38" t="e">
        <f t="shared" si="27"/>
        <v>#DIV/0!</v>
      </c>
      <c r="Q102" s="53"/>
      <c r="R102" s="53">
        <f t="shared" si="39"/>
        <v>0.12</v>
      </c>
      <c r="S102" s="53">
        <f t="shared" si="40"/>
        <v>1.0596241035318976E-2</v>
      </c>
      <c r="T102" s="53">
        <f t="shared" si="41"/>
        <v>0.04</v>
      </c>
      <c r="U102" s="53">
        <f t="shared" si="42"/>
        <v>3.3960531989175591E-3</v>
      </c>
    </row>
    <row r="103" spans="1:21" x14ac:dyDescent="0.2">
      <c r="A103" s="62"/>
      <c r="B103" s="45">
        <f t="shared" si="29"/>
        <v>92</v>
      </c>
      <c r="C103" s="51" t="e">
        <f t="shared" si="30"/>
        <v>#DIV/0!</v>
      </c>
      <c r="D103" s="47" t="e">
        <f t="shared" si="31"/>
        <v>#DIV/0!</v>
      </c>
      <c r="E103" s="48">
        <f t="shared" si="32"/>
        <v>0</v>
      </c>
      <c r="F103" s="50">
        <f t="shared" si="33"/>
        <v>0</v>
      </c>
      <c r="G103" s="50">
        <f t="shared" si="43"/>
        <v>0</v>
      </c>
      <c r="H103" s="51" t="e">
        <f t="shared" si="34"/>
        <v>#DIV/0!</v>
      </c>
      <c r="I103" s="52" t="e">
        <f t="shared" si="28"/>
        <v>#DIV/0!</v>
      </c>
      <c r="J103" s="57" t="e">
        <f t="shared" si="35"/>
        <v>#DIV/0!</v>
      </c>
      <c r="K103" s="51" t="e">
        <f t="shared" si="36"/>
        <v>#DIV/0!</v>
      </c>
      <c r="L103" s="49" t="e">
        <f t="shared" si="37"/>
        <v>#DIV/0!</v>
      </c>
      <c r="M103" s="49">
        <f t="shared" si="26"/>
        <v>0</v>
      </c>
      <c r="N103" s="49">
        <f t="shared" si="44"/>
        <v>0</v>
      </c>
      <c r="O103" s="48" t="e">
        <f t="shared" si="38"/>
        <v>#DIV/0!</v>
      </c>
      <c r="P103" s="38" t="e">
        <f t="shared" si="27"/>
        <v>#DIV/0!</v>
      </c>
      <c r="Q103" s="53"/>
      <c r="R103" s="53">
        <f t="shared" si="39"/>
        <v>0.12</v>
      </c>
      <c r="S103" s="53">
        <f t="shared" si="40"/>
        <v>1.0596241035318976E-2</v>
      </c>
      <c r="T103" s="53">
        <f t="shared" si="41"/>
        <v>0.04</v>
      </c>
      <c r="U103" s="53">
        <f t="shared" si="42"/>
        <v>3.3960531989175591E-3</v>
      </c>
    </row>
    <row r="104" spans="1:21" x14ac:dyDescent="0.2">
      <c r="A104" s="62"/>
      <c r="B104" s="45">
        <f t="shared" si="29"/>
        <v>93</v>
      </c>
      <c r="C104" s="51" t="e">
        <f t="shared" si="30"/>
        <v>#DIV/0!</v>
      </c>
      <c r="D104" s="47" t="e">
        <f t="shared" si="31"/>
        <v>#DIV/0!</v>
      </c>
      <c r="E104" s="48">
        <f t="shared" si="32"/>
        <v>0</v>
      </c>
      <c r="F104" s="50">
        <f t="shared" si="33"/>
        <v>0</v>
      </c>
      <c r="G104" s="50">
        <f t="shared" si="43"/>
        <v>0</v>
      </c>
      <c r="H104" s="51" t="e">
        <f t="shared" si="34"/>
        <v>#DIV/0!</v>
      </c>
      <c r="I104" s="52" t="e">
        <f t="shared" si="28"/>
        <v>#DIV/0!</v>
      </c>
      <c r="J104" s="57" t="e">
        <f t="shared" si="35"/>
        <v>#DIV/0!</v>
      </c>
      <c r="K104" s="51" t="e">
        <f t="shared" si="36"/>
        <v>#DIV/0!</v>
      </c>
      <c r="L104" s="49" t="e">
        <f t="shared" si="37"/>
        <v>#DIV/0!</v>
      </c>
      <c r="M104" s="49">
        <f t="shared" si="26"/>
        <v>0</v>
      </c>
      <c r="N104" s="49">
        <f t="shared" si="44"/>
        <v>0</v>
      </c>
      <c r="O104" s="48" t="e">
        <f t="shared" si="38"/>
        <v>#DIV/0!</v>
      </c>
      <c r="P104" s="38" t="e">
        <f t="shared" si="27"/>
        <v>#DIV/0!</v>
      </c>
      <c r="Q104" s="53"/>
      <c r="R104" s="53">
        <f t="shared" si="39"/>
        <v>0.12</v>
      </c>
      <c r="S104" s="53">
        <f t="shared" si="40"/>
        <v>1.0596241035318976E-2</v>
      </c>
      <c r="T104" s="53">
        <f t="shared" si="41"/>
        <v>0.04</v>
      </c>
      <c r="U104" s="53">
        <f t="shared" si="42"/>
        <v>3.3960531989175591E-3</v>
      </c>
    </row>
    <row r="105" spans="1:21" x14ac:dyDescent="0.2">
      <c r="A105" s="62"/>
      <c r="B105" s="45">
        <f t="shared" si="29"/>
        <v>94</v>
      </c>
      <c r="C105" s="51" t="e">
        <f t="shared" si="30"/>
        <v>#DIV/0!</v>
      </c>
      <c r="D105" s="47" t="e">
        <f t="shared" si="31"/>
        <v>#DIV/0!</v>
      </c>
      <c r="E105" s="48">
        <f t="shared" si="32"/>
        <v>0</v>
      </c>
      <c r="F105" s="50">
        <f t="shared" si="33"/>
        <v>0</v>
      </c>
      <c r="G105" s="50">
        <f t="shared" si="43"/>
        <v>0</v>
      </c>
      <c r="H105" s="51" t="e">
        <f t="shared" si="34"/>
        <v>#DIV/0!</v>
      </c>
      <c r="I105" s="52" t="e">
        <f t="shared" si="28"/>
        <v>#DIV/0!</v>
      </c>
      <c r="J105" s="57" t="e">
        <f t="shared" si="35"/>
        <v>#DIV/0!</v>
      </c>
      <c r="K105" s="51" t="e">
        <f t="shared" si="36"/>
        <v>#DIV/0!</v>
      </c>
      <c r="L105" s="49" t="e">
        <f t="shared" si="37"/>
        <v>#DIV/0!</v>
      </c>
      <c r="M105" s="49">
        <f t="shared" si="26"/>
        <v>0</v>
      </c>
      <c r="N105" s="49">
        <f t="shared" si="44"/>
        <v>0</v>
      </c>
      <c r="O105" s="48" t="e">
        <f t="shared" si="38"/>
        <v>#DIV/0!</v>
      </c>
      <c r="P105" s="38" t="e">
        <f t="shared" si="27"/>
        <v>#DIV/0!</v>
      </c>
      <c r="Q105" s="53"/>
      <c r="R105" s="53">
        <f t="shared" si="39"/>
        <v>0.12</v>
      </c>
      <c r="S105" s="53">
        <f t="shared" si="40"/>
        <v>1.0596241035318976E-2</v>
      </c>
      <c r="T105" s="53">
        <f t="shared" si="41"/>
        <v>0.04</v>
      </c>
      <c r="U105" s="53">
        <f t="shared" si="42"/>
        <v>3.3960531989175591E-3</v>
      </c>
    </row>
    <row r="106" spans="1:21" x14ac:dyDescent="0.2">
      <c r="A106" s="62"/>
      <c r="B106" s="45">
        <f t="shared" si="29"/>
        <v>95</v>
      </c>
      <c r="C106" s="51" t="e">
        <f t="shared" si="30"/>
        <v>#DIV/0!</v>
      </c>
      <c r="D106" s="47" t="e">
        <f t="shared" si="31"/>
        <v>#DIV/0!</v>
      </c>
      <c r="E106" s="48">
        <f t="shared" si="32"/>
        <v>0</v>
      </c>
      <c r="F106" s="50">
        <f t="shared" si="33"/>
        <v>0</v>
      </c>
      <c r="G106" s="50">
        <f t="shared" si="43"/>
        <v>0</v>
      </c>
      <c r="H106" s="51" t="e">
        <f t="shared" si="34"/>
        <v>#DIV/0!</v>
      </c>
      <c r="I106" s="52" t="e">
        <f t="shared" si="28"/>
        <v>#DIV/0!</v>
      </c>
      <c r="J106" s="57" t="e">
        <f t="shared" si="35"/>
        <v>#DIV/0!</v>
      </c>
      <c r="K106" s="51" t="e">
        <f t="shared" si="36"/>
        <v>#DIV/0!</v>
      </c>
      <c r="L106" s="49" t="e">
        <f t="shared" si="37"/>
        <v>#DIV/0!</v>
      </c>
      <c r="M106" s="49">
        <f t="shared" ref="M106:M169" si="45">IFERROR(L102*-1,0)</f>
        <v>0</v>
      </c>
      <c r="N106" s="49">
        <f t="shared" si="44"/>
        <v>0</v>
      </c>
      <c r="O106" s="48" t="e">
        <f t="shared" si="38"/>
        <v>#DIV/0!</v>
      </c>
      <c r="P106" s="38" t="e">
        <f t="shared" si="27"/>
        <v>#DIV/0!</v>
      </c>
      <c r="Q106" s="53"/>
      <c r="R106" s="53">
        <f t="shared" si="39"/>
        <v>0.12</v>
      </c>
      <c r="S106" s="53">
        <f t="shared" si="40"/>
        <v>1.0596241035318976E-2</v>
      </c>
      <c r="T106" s="53">
        <f t="shared" si="41"/>
        <v>0.04</v>
      </c>
      <c r="U106" s="53">
        <f t="shared" si="42"/>
        <v>3.3960531989175591E-3</v>
      </c>
    </row>
    <row r="107" spans="1:21" x14ac:dyDescent="0.2">
      <c r="A107" s="62"/>
      <c r="B107" s="45">
        <f t="shared" si="29"/>
        <v>96</v>
      </c>
      <c r="C107" s="51" t="e">
        <f t="shared" si="30"/>
        <v>#DIV/0!</v>
      </c>
      <c r="D107" s="47" t="e">
        <f t="shared" si="31"/>
        <v>#DIV/0!</v>
      </c>
      <c r="E107" s="48">
        <f t="shared" si="32"/>
        <v>0</v>
      </c>
      <c r="F107" s="50">
        <f t="shared" si="33"/>
        <v>0</v>
      </c>
      <c r="G107" s="50">
        <f t="shared" si="43"/>
        <v>0</v>
      </c>
      <c r="H107" s="51" t="e">
        <f t="shared" si="34"/>
        <v>#DIV/0!</v>
      </c>
      <c r="I107" s="52" t="e">
        <f t="shared" si="28"/>
        <v>#DIV/0!</v>
      </c>
      <c r="J107" s="57" t="e">
        <f t="shared" si="35"/>
        <v>#DIV/0!</v>
      </c>
      <c r="K107" s="51" t="e">
        <f t="shared" si="36"/>
        <v>#DIV/0!</v>
      </c>
      <c r="L107" s="49" t="e">
        <f t="shared" si="37"/>
        <v>#DIV/0!</v>
      </c>
      <c r="M107" s="49">
        <f t="shared" si="45"/>
        <v>0</v>
      </c>
      <c r="N107" s="49">
        <f t="shared" si="44"/>
        <v>0</v>
      </c>
      <c r="O107" s="48" t="e">
        <f t="shared" si="38"/>
        <v>#DIV/0!</v>
      </c>
      <c r="P107" s="38" t="e">
        <f t="shared" si="27"/>
        <v>#DIV/0!</v>
      </c>
      <c r="Q107" s="53"/>
      <c r="R107" s="53">
        <f t="shared" si="39"/>
        <v>0.12</v>
      </c>
      <c r="S107" s="53">
        <f t="shared" si="40"/>
        <v>1.0596241035318976E-2</v>
      </c>
      <c r="T107" s="53">
        <f t="shared" si="41"/>
        <v>0.04</v>
      </c>
      <c r="U107" s="53">
        <f t="shared" si="42"/>
        <v>3.3960531989175591E-3</v>
      </c>
    </row>
    <row r="108" spans="1:21" x14ac:dyDescent="0.2">
      <c r="A108" s="62"/>
      <c r="B108" s="45">
        <f t="shared" si="29"/>
        <v>97</v>
      </c>
      <c r="C108" s="51" t="e">
        <f t="shared" si="30"/>
        <v>#DIV/0!</v>
      </c>
      <c r="D108" s="47" t="e">
        <f t="shared" si="31"/>
        <v>#DIV/0!</v>
      </c>
      <c r="E108" s="48">
        <f t="shared" si="32"/>
        <v>0</v>
      </c>
      <c r="F108" s="50">
        <f t="shared" si="33"/>
        <v>0</v>
      </c>
      <c r="G108" s="50">
        <f t="shared" si="43"/>
        <v>0</v>
      </c>
      <c r="H108" s="51" t="e">
        <f t="shared" si="34"/>
        <v>#DIV/0!</v>
      </c>
      <c r="I108" s="52" t="e">
        <f t="shared" si="28"/>
        <v>#DIV/0!</v>
      </c>
      <c r="J108" s="57" t="e">
        <f t="shared" si="35"/>
        <v>#DIV/0!</v>
      </c>
      <c r="K108" s="51" t="e">
        <f t="shared" si="36"/>
        <v>#DIV/0!</v>
      </c>
      <c r="L108" s="49" t="e">
        <f t="shared" si="37"/>
        <v>#DIV/0!</v>
      </c>
      <c r="M108" s="49">
        <f t="shared" si="45"/>
        <v>0</v>
      </c>
      <c r="N108" s="49">
        <f t="shared" si="44"/>
        <v>0</v>
      </c>
      <c r="O108" s="48" t="e">
        <f t="shared" si="38"/>
        <v>#DIV/0!</v>
      </c>
      <c r="P108" s="38" t="e">
        <f t="shared" si="27"/>
        <v>#DIV/0!</v>
      </c>
      <c r="Q108" s="53"/>
      <c r="R108" s="53">
        <f t="shared" si="39"/>
        <v>0.12</v>
      </c>
      <c r="S108" s="53">
        <f t="shared" si="40"/>
        <v>1.0596241035318976E-2</v>
      </c>
      <c r="T108" s="53">
        <f t="shared" si="41"/>
        <v>0.04</v>
      </c>
      <c r="U108" s="53">
        <f t="shared" si="42"/>
        <v>3.3960531989175591E-3</v>
      </c>
    </row>
    <row r="109" spans="1:21" x14ac:dyDescent="0.2">
      <c r="A109" s="62"/>
      <c r="B109" s="45">
        <f t="shared" si="29"/>
        <v>98</v>
      </c>
      <c r="C109" s="51" t="e">
        <f t="shared" si="30"/>
        <v>#DIV/0!</v>
      </c>
      <c r="D109" s="47" t="e">
        <f t="shared" si="31"/>
        <v>#DIV/0!</v>
      </c>
      <c r="E109" s="48">
        <f t="shared" si="32"/>
        <v>0</v>
      </c>
      <c r="F109" s="50">
        <f t="shared" si="33"/>
        <v>0</v>
      </c>
      <c r="G109" s="50">
        <f t="shared" si="43"/>
        <v>0</v>
      </c>
      <c r="H109" s="51" t="e">
        <f t="shared" si="34"/>
        <v>#DIV/0!</v>
      </c>
      <c r="I109" s="52" t="e">
        <f t="shared" si="28"/>
        <v>#DIV/0!</v>
      </c>
      <c r="J109" s="57" t="e">
        <f t="shared" si="35"/>
        <v>#DIV/0!</v>
      </c>
      <c r="K109" s="51" t="e">
        <f t="shared" si="36"/>
        <v>#DIV/0!</v>
      </c>
      <c r="L109" s="49" t="e">
        <f t="shared" si="37"/>
        <v>#DIV/0!</v>
      </c>
      <c r="M109" s="49">
        <f t="shared" si="45"/>
        <v>0</v>
      </c>
      <c r="N109" s="49">
        <f t="shared" si="44"/>
        <v>0</v>
      </c>
      <c r="O109" s="48" t="e">
        <f t="shared" si="38"/>
        <v>#DIV/0!</v>
      </c>
      <c r="P109" s="38" t="e">
        <f t="shared" si="27"/>
        <v>#DIV/0!</v>
      </c>
      <c r="Q109" s="53"/>
      <c r="R109" s="53">
        <f t="shared" si="39"/>
        <v>0.12</v>
      </c>
      <c r="S109" s="53">
        <f t="shared" si="40"/>
        <v>1.0596241035318976E-2</v>
      </c>
      <c r="T109" s="53">
        <f t="shared" si="41"/>
        <v>0.04</v>
      </c>
      <c r="U109" s="53">
        <f t="shared" si="42"/>
        <v>3.3960531989175591E-3</v>
      </c>
    </row>
    <row r="110" spans="1:21" x14ac:dyDescent="0.2">
      <c r="A110" s="62"/>
      <c r="B110" s="45">
        <f t="shared" si="29"/>
        <v>99</v>
      </c>
      <c r="C110" s="51" t="e">
        <f t="shared" si="30"/>
        <v>#DIV/0!</v>
      </c>
      <c r="D110" s="47" t="e">
        <f t="shared" si="31"/>
        <v>#DIV/0!</v>
      </c>
      <c r="E110" s="48">
        <f t="shared" si="32"/>
        <v>0</v>
      </c>
      <c r="F110" s="50">
        <f t="shared" si="33"/>
        <v>0</v>
      </c>
      <c r="G110" s="50">
        <f t="shared" si="43"/>
        <v>0</v>
      </c>
      <c r="H110" s="51" t="e">
        <f t="shared" si="34"/>
        <v>#DIV/0!</v>
      </c>
      <c r="I110" s="52" t="e">
        <f t="shared" si="28"/>
        <v>#DIV/0!</v>
      </c>
      <c r="J110" s="57" t="e">
        <f t="shared" si="35"/>
        <v>#DIV/0!</v>
      </c>
      <c r="K110" s="51" t="e">
        <f t="shared" si="36"/>
        <v>#DIV/0!</v>
      </c>
      <c r="L110" s="49" t="e">
        <f t="shared" si="37"/>
        <v>#DIV/0!</v>
      </c>
      <c r="M110" s="49">
        <f t="shared" si="45"/>
        <v>0</v>
      </c>
      <c r="N110" s="49">
        <f t="shared" si="44"/>
        <v>0</v>
      </c>
      <c r="O110" s="48" t="e">
        <f t="shared" si="38"/>
        <v>#DIV/0!</v>
      </c>
      <c r="P110" s="38" t="e">
        <f t="shared" si="27"/>
        <v>#DIV/0!</v>
      </c>
      <c r="Q110" s="53"/>
      <c r="R110" s="53">
        <f t="shared" si="39"/>
        <v>0.12</v>
      </c>
      <c r="S110" s="53">
        <f t="shared" si="40"/>
        <v>1.0596241035318976E-2</v>
      </c>
      <c r="T110" s="53">
        <f t="shared" si="41"/>
        <v>0.04</v>
      </c>
      <c r="U110" s="53">
        <f t="shared" si="42"/>
        <v>3.3960531989175591E-3</v>
      </c>
    </row>
    <row r="111" spans="1:21" x14ac:dyDescent="0.2">
      <c r="A111" s="62"/>
      <c r="B111" s="45">
        <f t="shared" si="29"/>
        <v>100</v>
      </c>
      <c r="C111" s="51" t="e">
        <f t="shared" si="30"/>
        <v>#DIV/0!</v>
      </c>
      <c r="D111" s="47" t="e">
        <f t="shared" si="31"/>
        <v>#DIV/0!</v>
      </c>
      <c r="E111" s="48">
        <f t="shared" si="32"/>
        <v>0</v>
      </c>
      <c r="F111" s="50">
        <f t="shared" si="33"/>
        <v>0</v>
      </c>
      <c r="G111" s="50">
        <f t="shared" si="43"/>
        <v>0</v>
      </c>
      <c r="H111" s="51" t="e">
        <f t="shared" si="34"/>
        <v>#DIV/0!</v>
      </c>
      <c r="I111" s="52" t="e">
        <f t="shared" si="28"/>
        <v>#DIV/0!</v>
      </c>
      <c r="J111" s="57" t="e">
        <f t="shared" si="35"/>
        <v>#DIV/0!</v>
      </c>
      <c r="K111" s="51" t="e">
        <f t="shared" si="36"/>
        <v>#DIV/0!</v>
      </c>
      <c r="L111" s="49" t="e">
        <f t="shared" si="37"/>
        <v>#DIV/0!</v>
      </c>
      <c r="M111" s="49">
        <f t="shared" si="45"/>
        <v>0</v>
      </c>
      <c r="N111" s="49">
        <f t="shared" si="44"/>
        <v>0</v>
      </c>
      <c r="O111" s="48" t="e">
        <f t="shared" si="38"/>
        <v>#DIV/0!</v>
      </c>
      <c r="P111" s="38" t="e">
        <f t="shared" si="27"/>
        <v>#DIV/0!</v>
      </c>
      <c r="Q111" s="53"/>
      <c r="R111" s="53">
        <f t="shared" si="39"/>
        <v>0.12</v>
      </c>
      <c r="S111" s="53">
        <f t="shared" si="40"/>
        <v>1.0596241035318976E-2</v>
      </c>
      <c r="T111" s="53">
        <f t="shared" si="41"/>
        <v>0.04</v>
      </c>
      <c r="U111" s="53">
        <f t="shared" si="42"/>
        <v>3.3960531989175591E-3</v>
      </c>
    </row>
    <row r="112" spans="1:21" x14ac:dyDescent="0.2">
      <c r="A112" s="62"/>
      <c r="B112" s="45">
        <f t="shared" si="29"/>
        <v>101</v>
      </c>
      <c r="C112" s="51" t="e">
        <f t="shared" si="30"/>
        <v>#DIV/0!</v>
      </c>
      <c r="D112" s="47" t="e">
        <f t="shared" si="31"/>
        <v>#DIV/0!</v>
      </c>
      <c r="E112" s="48">
        <f t="shared" si="32"/>
        <v>0</v>
      </c>
      <c r="F112" s="50">
        <f t="shared" si="33"/>
        <v>0</v>
      </c>
      <c r="G112" s="50">
        <f t="shared" si="43"/>
        <v>0</v>
      </c>
      <c r="H112" s="51" t="e">
        <f t="shared" si="34"/>
        <v>#DIV/0!</v>
      </c>
      <c r="I112" s="52" t="e">
        <f t="shared" si="28"/>
        <v>#DIV/0!</v>
      </c>
      <c r="J112" s="57" t="e">
        <f t="shared" si="35"/>
        <v>#DIV/0!</v>
      </c>
      <c r="K112" s="51" t="e">
        <f t="shared" si="36"/>
        <v>#DIV/0!</v>
      </c>
      <c r="L112" s="49" t="e">
        <f t="shared" si="37"/>
        <v>#DIV/0!</v>
      </c>
      <c r="M112" s="49">
        <f t="shared" si="45"/>
        <v>0</v>
      </c>
      <c r="N112" s="49">
        <f t="shared" si="44"/>
        <v>0</v>
      </c>
      <c r="O112" s="48" t="e">
        <f t="shared" si="38"/>
        <v>#DIV/0!</v>
      </c>
      <c r="P112" s="38" t="e">
        <f t="shared" si="27"/>
        <v>#DIV/0!</v>
      </c>
      <c r="Q112" s="53"/>
      <c r="R112" s="53">
        <f t="shared" si="39"/>
        <v>0.12</v>
      </c>
      <c r="S112" s="53">
        <f t="shared" si="40"/>
        <v>1.0596241035318976E-2</v>
      </c>
      <c r="T112" s="53">
        <f t="shared" si="41"/>
        <v>0.04</v>
      </c>
      <c r="U112" s="53">
        <f t="shared" si="42"/>
        <v>3.3960531989175591E-3</v>
      </c>
    </row>
    <row r="113" spans="1:21" x14ac:dyDescent="0.2">
      <c r="A113" s="62"/>
      <c r="B113" s="45">
        <f t="shared" si="29"/>
        <v>102</v>
      </c>
      <c r="C113" s="51" t="e">
        <f t="shared" si="30"/>
        <v>#DIV/0!</v>
      </c>
      <c r="D113" s="47" t="e">
        <f t="shared" si="31"/>
        <v>#DIV/0!</v>
      </c>
      <c r="E113" s="48">
        <f t="shared" si="32"/>
        <v>0</v>
      </c>
      <c r="F113" s="50">
        <f t="shared" si="33"/>
        <v>0</v>
      </c>
      <c r="G113" s="50">
        <f t="shared" si="43"/>
        <v>0</v>
      </c>
      <c r="H113" s="51" t="e">
        <f t="shared" si="34"/>
        <v>#DIV/0!</v>
      </c>
      <c r="I113" s="52" t="e">
        <f t="shared" si="28"/>
        <v>#DIV/0!</v>
      </c>
      <c r="J113" s="57" t="e">
        <f t="shared" si="35"/>
        <v>#DIV/0!</v>
      </c>
      <c r="K113" s="51" t="e">
        <f t="shared" si="36"/>
        <v>#DIV/0!</v>
      </c>
      <c r="L113" s="49" t="e">
        <f t="shared" si="37"/>
        <v>#DIV/0!</v>
      </c>
      <c r="M113" s="49">
        <f t="shared" si="45"/>
        <v>0</v>
      </c>
      <c r="N113" s="49">
        <f t="shared" si="44"/>
        <v>0</v>
      </c>
      <c r="O113" s="48" t="e">
        <f t="shared" si="38"/>
        <v>#DIV/0!</v>
      </c>
      <c r="P113" s="38" t="e">
        <f t="shared" si="27"/>
        <v>#DIV/0!</v>
      </c>
      <c r="Q113" s="53"/>
      <c r="R113" s="53">
        <f t="shared" si="39"/>
        <v>0.12</v>
      </c>
      <c r="S113" s="53">
        <f t="shared" si="40"/>
        <v>1.0596241035318976E-2</v>
      </c>
      <c r="T113" s="53">
        <f t="shared" si="41"/>
        <v>0.04</v>
      </c>
      <c r="U113" s="53">
        <f t="shared" si="42"/>
        <v>3.3960531989175591E-3</v>
      </c>
    </row>
    <row r="114" spans="1:21" x14ac:dyDescent="0.2">
      <c r="A114" s="62"/>
      <c r="B114" s="45">
        <f t="shared" si="29"/>
        <v>103</v>
      </c>
      <c r="C114" s="51" t="e">
        <f t="shared" si="30"/>
        <v>#DIV/0!</v>
      </c>
      <c r="D114" s="47" t="e">
        <f t="shared" si="31"/>
        <v>#DIV/0!</v>
      </c>
      <c r="E114" s="48">
        <f t="shared" si="32"/>
        <v>0</v>
      </c>
      <c r="F114" s="50">
        <f t="shared" si="33"/>
        <v>0</v>
      </c>
      <c r="G114" s="50">
        <f t="shared" si="43"/>
        <v>0</v>
      </c>
      <c r="H114" s="51" t="e">
        <f t="shared" si="34"/>
        <v>#DIV/0!</v>
      </c>
      <c r="I114" s="52" t="e">
        <f t="shared" si="28"/>
        <v>#DIV/0!</v>
      </c>
      <c r="J114" s="57" t="e">
        <f t="shared" si="35"/>
        <v>#DIV/0!</v>
      </c>
      <c r="K114" s="51" t="e">
        <f t="shared" si="36"/>
        <v>#DIV/0!</v>
      </c>
      <c r="L114" s="49" t="e">
        <f t="shared" si="37"/>
        <v>#DIV/0!</v>
      </c>
      <c r="M114" s="49">
        <f t="shared" si="45"/>
        <v>0</v>
      </c>
      <c r="N114" s="49">
        <f t="shared" si="44"/>
        <v>0</v>
      </c>
      <c r="O114" s="48" t="e">
        <f t="shared" si="38"/>
        <v>#DIV/0!</v>
      </c>
      <c r="P114" s="38" t="e">
        <f t="shared" si="27"/>
        <v>#DIV/0!</v>
      </c>
      <c r="Q114" s="53"/>
      <c r="R114" s="53">
        <f t="shared" si="39"/>
        <v>0.12</v>
      </c>
      <c r="S114" s="53">
        <f t="shared" si="40"/>
        <v>1.0596241035318976E-2</v>
      </c>
      <c r="T114" s="53">
        <f t="shared" si="41"/>
        <v>0.04</v>
      </c>
      <c r="U114" s="53">
        <f t="shared" si="42"/>
        <v>3.3960531989175591E-3</v>
      </c>
    </row>
    <row r="115" spans="1:21" x14ac:dyDescent="0.2">
      <c r="A115" s="62"/>
      <c r="B115" s="45">
        <f t="shared" si="29"/>
        <v>104</v>
      </c>
      <c r="C115" s="51" t="e">
        <f t="shared" si="30"/>
        <v>#DIV/0!</v>
      </c>
      <c r="D115" s="47" t="e">
        <f t="shared" si="31"/>
        <v>#DIV/0!</v>
      </c>
      <c r="E115" s="48">
        <f t="shared" si="32"/>
        <v>0</v>
      </c>
      <c r="F115" s="50">
        <f t="shared" si="33"/>
        <v>0</v>
      </c>
      <c r="G115" s="50">
        <f t="shared" si="43"/>
        <v>0</v>
      </c>
      <c r="H115" s="51" t="e">
        <f t="shared" si="34"/>
        <v>#DIV/0!</v>
      </c>
      <c r="I115" s="52" t="e">
        <f t="shared" si="28"/>
        <v>#DIV/0!</v>
      </c>
      <c r="J115" s="57" t="e">
        <f t="shared" si="35"/>
        <v>#DIV/0!</v>
      </c>
      <c r="K115" s="51" t="e">
        <f t="shared" si="36"/>
        <v>#DIV/0!</v>
      </c>
      <c r="L115" s="49" t="e">
        <f t="shared" si="37"/>
        <v>#DIV/0!</v>
      </c>
      <c r="M115" s="49">
        <f t="shared" si="45"/>
        <v>0</v>
      </c>
      <c r="N115" s="49">
        <f t="shared" si="44"/>
        <v>0</v>
      </c>
      <c r="O115" s="48" t="e">
        <f t="shared" si="38"/>
        <v>#DIV/0!</v>
      </c>
      <c r="P115" s="38" t="e">
        <f t="shared" si="27"/>
        <v>#DIV/0!</v>
      </c>
      <c r="Q115" s="53"/>
      <c r="R115" s="53">
        <f t="shared" si="39"/>
        <v>0.12</v>
      </c>
      <c r="S115" s="53">
        <f t="shared" si="40"/>
        <v>1.0596241035318976E-2</v>
      </c>
      <c r="T115" s="53">
        <f t="shared" si="41"/>
        <v>0.04</v>
      </c>
      <c r="U115" s="53">
        <f t="shared" si="42"/>
        <v>3.3960531989175591E-3</v>
      </c>
    </row>
    <row r="116" spans="1:21" x14ac:dyDescent="0.2">
      <c r="A116" s="62"/>
      <c r="B116" s="45">
        <f t="shared" si="29"/>
        <v>105</v>
      </c>
      <c r="C116" s="51" t="e">
        <f t="shared" si="30"/>
        <v>#DIV/0!</v>
      </c>
      <c r="D116" s="47" t="e">
        <f t="shared" si="31"/>
        <v>#DIV/0!</v>
      </c>
      <c r="E116" s="48">
        <f t="shared" si="32"/>
        <v>0</v>
      </c>
      <c r="F116" s="50">
        <f t="shared" si="33"/>
        <v>0</v>
      </c>
      <c r="G116" s="50">
        <f t="shared" si="43"/>
        <v>0</v>
      </c>
      <c r="H116" s="51" t="e">
        <f t="shared" si="34"/>
        <v>#DIV/0!</v>
      </c>
      <c r="I116" s="52" t="e">
        <f t="shared" si="28"/>
        <v>#DIV/0!</v>
      </c>
      <c r="J116" s="57" t="e">
        <f t="shared" si="35"/>
        <v>#DIV/0!</v>
      </c>
      <c r="K116" s="51" t="e">
        <f t="shared" si="36"/>
        <v>#DIV/0!</v>
      </c>
      <c r="L116" s="49" t="e">
        <f t="shared" si="37"/>
        <v>#DIV/0!</v>
      </c>
      <c r="M116" s="49">
        <f t="shared" si="45"/>
        <v>0</v>
      </c>
      <c r="N116" s="49">
        <f t="shared" si="44"/>
        <v>0</v>
      </c>
      <c r="O116" s="48" t="e">
        <f t="shared" si="38"/>
        <v>#DIV/0!</v>
      </c>
      <c r="P116" s="38" t="e">
        <f t="shared" si="27"/>
        <v>#DIV/0!</v>
      </c>
      <c r="Q116" s="53"/>
      <c r="R116" s="53">
        <f t="shared" si="39"/>
        <v>0.12</v>
      </c>
      <c r="S116" s="53">
        <f t="shared" si="40"/>
        <v>1.0596241035318976E-2</v>
      </c>
      <c r="T116" s="53">
        <f t="shared" si="41"/>
        <v>0.04</v>
      </c>
      <c r="U116" s="53">
        <f t="shared" si="42"/>
        <v>3.3960531989175591E-3</v>
      </c>
    </row>
    <row r="117" spans="1:21" x14ac:dyDescent="0.2">
      <c r="A117" s="62"/>
      <c r="B117" s="45">
        <f t="shared" si="29"/>
        <v>106</v>
      </c>
      <c r="C117" s="51" t="e">
        <f t="shared" si="30"/>
        <v>#DIV/0!</v>
      </c>
      <c r="D117" s="47" t="e">
        <f t="shared" si="31"/>
        <v>#DIV/0!</v>
      </c>
      <c r="E117" s="48">
        <f t="shared" si="32"/>
        <v>0</v>
      </c>
      <c r="F117" s="50">
        <f t="shared" si="33"/>
        <v>0</v>
      </c>
      <c r="G117" s="50">
        <f t="shared" si="43"/>
        <v>0</v>
      </c>
      <c r="H117" s="51" t="e">
        <f t="shared" si="34"/>
        <v>#DIV/0!</v>
      </c>
      <c r="I117" s="52" t="e">
        <f t="shared" si="28"/>
        <v>#DIV/0!</v>
      </c>
      <c r="J117" s="57" t="e">
        <f t="shared" si="35"/>
        <v>#DIV/0!</v>
      </c>
      <c r="K117" s="51" t="e">
        <f t="shared" si="36"/>
        <v>#DIV/0!</v>
      </c>
      <c r="L117" s="49" t="e">
        <f t="shared" si="37"/>
        <v>#DIV/0!</v>
      </c>
      <c r="M117" s="49">
        <f t="shared" si="45"/>
        <v>0</v>
      </c>
      <c r="N117" s="49">
        <f t="shared" si="44"/>
        <v>0</v>
      </c>
      <c r="O117" s="48" t="e">
        <f t="shared" si="38"/>
        <v>#DIV/0!</v>
      </c>
      <c r="P117" s="38" t="e">
        <f t="shared" si="27"/>
        <v>#DIV/0!</v>
      </c>
      <c r="Q117" s="53"/>
      <c r="R117" s="53">
        <f t="shared" si="39"/>
        <v>0.12</v>
      </c>
      <c r="S117" s="53">
        <f t="shared" si="40"/>
        <v>1.0596241035318976E-2</v>
      </c>
      <c r="T117" s="53">
        <f t="shared" si="41"/>
        <v>0.04</v>
      </c>
      <c r="U117" s="53">
        <f t="shared" si="42"/>
        <v>3.3960531989175591E-3</v>
      </c>
    </row>
    <row r="118" spans="1:21" x14ac:dyDescent="0.2">
      <c r="A118" s="62"/>
      <c r="B118" s="45">
        <f t="shared" si="29"/>
        <v>107</v>
      </c>
      <c r="C118" s="51" t="e">
        <f t="shared" si="30"/>
        <v>#DIV/0!</v>
      </c>
      <c r="D118" s="47" t="e">
        <f t="shared" si="31"/>
        <v>#DIV/0!</v>
      </c>
      <c r="E118" s="48">
        <f t="shared" si="32"/>
        <v>0</v>
      </c>
      <c r="F118" s="50">
        <f t="shared" si="33"/>
        <v>0</v>
      </c>
      <c r="G118" s="50">
        <f t="shared" si="43"/>
        <v>0</v>
      </c>
      <c r="H118" s="51" t="e">
        <f t="shared" si="34"/>
        <v>#DIV/0!</v>
      </c>
      <c r="I118" s="52" t="e">
        <f t="shared" si="28"/>
        <v>#DIV/0!</v>
      </c>
      <c r="J118" s="57" t="e">
        <f t="shared" si="35"/>
        <v>#DIV/0!</v>
      </c>
      <c r="K118" s="51" t="e">
        <f t="shared" si="36"/>
        <v>#DIV/0!</v>
      </c>
      <c r="L118" s="49" t="e">
        <f t="shared" si="37"/>
        <v>#DIV/0!</v>
      </c>
      <c r="M118" s="49">
        <f t="shared" si="45"/>
        <v>0</v>
      </c>
      <c r="N118" s="49">
        <f t="shared" si="44"/>
        <v>0</v>
      </c>
      <c r="O118" s="48" t="e">
        <f t="shared" si="38"/>
        <v>#DIV/0!</v>
      </c>
      <c r="P118" s="38" t="e">
        <f t="shared" si="27"/>
        <v>#DIV/0!</v>
      </c>
      <c r="Q118" s="53"/>
      <c r="R118" s="53">
        <f t="shared" si="39"/>
        <v>0.12</v>
      </c>
      <c r="S118" s="53">
        <f t="shared" si="40"/>
        <v>1.0596241035318976E-2</v>
      </c>
      <c r="T118" s="53">
        <f t="shared" si="41"/>
        <v>0.04</v>
      </c>
      <c r="U118" s="53">
        <f t="shared" si="42"/>
        <v>3.3960531989175591E-3</v>
      </c>
    </row>
    <row r="119" spans="1:21" x14ac:dyDescent="0.2">
      <c r="A119" s="62"/>
      <c r="B119" s="45">
        <f t="shared" si="29"/>
        <v>108</v>
      </c>
      <c r="C119" s="51" t="e">
        <f t="shared" si="30"/>
        <v>#DIV/0!</v>
      </c>
      <c r="D119" s="47" t="e">
        <f t="shared" si="31"/>
        <v>#DIV/0!</v>
      </c>
      <c r="E119" s="48">
        <f t="shared" si="32"/>
        <v>0</v>
      </c>
      <c r="F119" s="50">
        <f t="shared" si="33"/>
        <v>0</v>
      </c>
      <c r="G119" s="50">
        <f t="shared" si="43"/>
        <v>0</v>
      </c>
      <c r="H119" s="51" t="e">
        <f t="shared" si="34"/>
        <v>#DIV/0!</v>
      </c>
      <c r="I119" s="52" t="e">
        <f t="shared" si="28"/>
        <v>#DIV/0!</v>
      </c>
      <c r="J119" s="57" t="e">
        <f t="shared" si="35"/>
        <v>#DIV/0!</v>
      </c>
      <c r="K119" s="51" t="e">
        <f t="shared" si="36"/>
        <v>#DIV/0!</v>
      </c>
      <c r="L119" s="49" t="e">
        <f t="shared" si="37"/>
        <v>#DIV/0!</v>
      </c>
      <c r="M119" s="49">
        <f t="shared" si="45"/>
        <v>0</v>
      </c>
      <c r="N119" s="49">
        <f t="shared" si="44"/>
        <v>0</v>
      </c>
      <c r="O119" s="48" t="e">
        <f t="shared" si="38"/>
        <v>#DIV/0!</v>
      </c>
      <c r="P119" s="38" t="e">
        <f t="shared" si="27"/>
        <v>#DIV/0!</v>
      </c>
      <c r="Q119" s="53"/>
      <c r="R119" s="53">
        <f t="shared" si="39"/>
        <v>0.12</v>
      </c>
      <c r="S119" s="53">
        <f t="shared" si="40"/>
        <v>1.0596241035318976E-2</v>
      </c>
      <c r="T119" s="53">
        <f t="shared" si="41"/>
        <v>0.04</v>
      </c>
      <c r="U119" s="53">
        <f t="shared" si="42"/>
        <v>3.3960531989175591E-3</v>
      </c>
    </row>
    <row r="120" spans="1:21" x14ac:dyDescent="0.2">
      <c r="A120" s="62"/>
      <c r="B120" s="45">
        <f t="shared" si="29"/>
        <v>109</v>
      </c>
      <c r="C120" s="51" t="e">
        <f t="shared" si="30"/>
        <v>#DIV/0!</v>
      </c>
      <c r="D120" s="47" t="e">
        <f t="shared" si="31"/>
        <v>#DIV/0!</v>
      </c>
      <c r="E120" s="48">
        <f t="shared" si="32"/>
        <v>0</v>
      </c>
      <c r="F120" s="50">
        <f t="shared" si="33"/>
        <v>0</v>
      </c>
      <c r="G120" s="50">
        <f t="shared" si="43"/>
        <v>0</v>
      </c>
      <c r="H120" s="51" t="e">
        <f t="shared" si="34"/>
        <v>#DIV/0!</v>
      </c>
      <c r="I120" s="52" t="e">
        <f t="shared" si="28"/>
        <v>#DIV/0!</v>
      </c>
      <c r="J120" s="57" t="e">
        <f t="shared" si="35"/>
        <v>#DIV/0!</v>
      </c>
      <c r="K120" s="51" t="e">
        <f t="shared" si="36"/>
        <v>#DIV/0!</v>
      </c>
      <c r="L120" s="49" t="e">
        <f t="shared" si="37"/>
        <v>#DIV/0!</v>
      </c>
      <c r="M120" s="49">
        <f t="shared" si="45"/>
        <v>0</v>
      </c>
      <c r="N120" s="49">
        <f t="shared" si="44"/>
        <v>0</v>
      </c>
      <c r="O120" s="48" t="e">
        <f t="shared" si="38"/>
        <v>#DIV/0!</v>
      </c>
      <c r="P120" s="38" t="e">
        <f t="shared" si="27"/>
        <v>#DIV/0!</v>
      </c>
      <c r="Q120" s="53"/>
      <c r="R120" s="53">
        <f t="shared" si="39"/>
        <v>0.12</v>
      </c>
      <c r="S120" s="53">
        <f t="shared" si="40"/>
        <v>1.0596241035318976E-2</v>
      </c>
      <c r="T120" s="53">
        <f t="shared" si="41"/>
        <v>0.04</v>
      </c>
      <c r="U120" s="53">
        <f t="shared" si="42"/>
        <v>3.3960531989175591E-3</v>
      </c>
    </row>
    <row r="121" spans="1:21" x14ac:dyDescent="0.2">
      <c r="A121" s="62"/>
      <c r="B121" s="45">
        <f t="shared" si="29"/>
        <v>110</v>
      </c>
      <c r="C121" s="51" t="e">
        <f t="shared" si="30"/>
        <v>#DIV/0!</v>
      </c>
      <c r="D121" s="47" t="e">
        <f t="shared" si="31"/>
        <v>#DIV/0!</v>
      </c>
      <c r="E121" s="48">
        <f t="shared" si="32"/>
        <v>0</v>
      </c>
      <c r="F121" s="50">
        <f t="shared" si="33"/>
        <v>0</v>
      </c>
      <c r="G121" s="50">
        <f t="shared" si="43"/>
        <v>0</v>
      </c>
      <c r="H121" s="51" t="e">
        <f t="shared" si="34"/>
        <v>#DIV/0!</v>
      </c>
      <c r="I121" s="52" t="e">
        <f t="shared" si="28"/>
        <v>#DIV/0!</v>
      </c>
      <c r="J121" s="57" t="e">
        <f t="shared" si="35"/>
        <v>#DIV/0!</v>
      </c>
      <c r="K121" s="51" t="e">
        <f t="shared" si="36"/>
        <v>#DIV/0!</v>
      </c>
      <c r="L121" s="49" t="e">
        <f t="shared" si="37"/>
        <v>#DIV/0!</v>
      </c>
      <c r="M121" s="49">
        <f t="shared" si="45"/>
        <v>0</v>
      </c>
      <c r="N121" s="49">
        <f t="shared" si="44"/>
        <v>0</v>
      </c>
      <c r="O121" s="48" t="e">
        <f t="shared" si="38"/>
        <v>#DIV/0!</v>
      </c>
      <c r="P121" s="38" t="e">
        <f t="shared" si="27"/>
        <v>#DIV/0!</v>
      </c>
      <c r="Q121" s="53"/>
      <c r="R121" s="53">
        <f t="shared" si="39"/>
        <v>0.12</v>
      </c>
      <c r="S121" s="53">
        <f t="shared" si="40"/>
        <v>1.0596241035318976E-2</v>
      </c>
      <c r="T121" s="53">
        <f t="shared" si="41"/>
        <v>0.04</v>
      </c>
      <c r="U121" s="53">
        <f t="shared" si="42"/>
        <v>3.3960531989175591E-3</v>
      </c>
    </row>
    <row r="122" spans="1:21" x14ac:dyDescent="0.2">
      <c r="A122" s="62"/>
      <c r="B122" s="45">
        <f t="shared" si="29"/>
        <v>111</v>
      </c>
      <c r="C122" s="51" t="e">
        <f t="shared" si="30"/>
        <v>#DIV/0!</v>
      </c>
      <c r="D122" s="47" t="e">
        <f t="shared" si="31"/>
        <v>#DIV/0!</v>
      </c>
      <c r="E122" s="48">
        <f t="shared" si="32"/>
        <v>0</v>
      </c>
      <c r="F122" s="50">
        <f t="shared" si="33"/>
        <v>0</v>
      </c>
      <c r="G122" s="50">
        <f t="shared" si="43"/>
        <v>0</v>
      </c>
      <c r="H122" s="51" t="e">
        <f t="shared" si="34"/>
        <v>#DIV/0!</v>
      </c>
      <c r="I122" s="52" t="e">
        <f t="shared" si="28"/>
        <v>#DIV/0!</v>
      </c>
      <c r="J122" s="57" t="e">
        <f t="shared" si="35"/>
        <v>#DIV/0!</v>
      </c>
      <c r="K122" s="51" t="e">
        <f t="shared" si="36"/>
        <v>#DIV/0!</v>
      </c>
      <c r="L122" s="49" t="e">
        <f t="shared" si="37"/>
        <v>#DIV/0!</v>
      </c>
      <c r="M122" s="49">
        <f t="shared" si="45"/>
        <v>0</v>
      </c>
      <c r="N122" s="49">
        <f t="shared" si="44"/>
        <v>0</v>
      </c>
      <c r="O122" s="48" t="e">
        <f t="shared" si="38"/>
        <v>#DIV/0!</v>
      </c>
      <c r="P122" s="38" t="e">
        <f t="shared" si="27"/>
        <v>#DIV/0!</v>
      </c>
      <c r="Q122" s="53"/>
      <c r="R122" s="53">
        <f t="shared" si="39"/>
        <v>0.12</v>
      </c>
      <c r="S122" s="53">
        <f t="shared" si="40"/>
        <v>1.0596241035318976E-2</v>
      </c>
      <c r="T122" s="53">
        <f t="shared" si="41"/>
        <v>0.04</v>
      </c>
      <c r="U122" s="53">
        <f t="shared" si="42"/>
        <v>3.3960531989175591E-3</v>
      </c>
    </row>
    <row r="123" spans="1:21" x14ac:dyDescent="0.2">
      <c r="A123" s="62"/>
      <c r="B123" s="45">
        <f t="shared" si="29"/>
        <v>112</v>
      </c>
      <c r="C123" s="51" t="e">
        <f t="shared" si="30"/>
        <v>#DIV/0!</v>
      </c>
      <c r="D123" s="47" t="e">
        <f t="shared" si="31"/>
        <v>#DIV/0!</v>
      </c>
      <c r="E123" s="48">
        <f t="shared" si="32"/>
        <v>0</v>
      </c>
      <c r="F123" s="50">
        <f t="shared" si="33"/>
        <v>0</v>
      </c>
      <c r="G123" s="50">
        <f t="shared" si="43"/>
        <v>0</v>
      </c>
      <c r="H123" s="51" t="e">
        <f t="shared" si="34"/>
        <v>#DIV/0!</v>
      </c>
      <c r="I123" s="52" t="e">
        <f t="shared" si="28"/>
        <v>#DIV/0!</v>
      </c>
      <c r="J123" s="57" t="e">
        <f t="shared" si="35"/>
        <v>#DIV/0!</v>
      </c>
      <c r="K123" s="51" t="e">
        <f t="shared" si="36"/>
        <v>#DIV/0!</v>
      </c>
      <c r="L123" s="49" t="e">
        <f t="shared" si="37"/>
        <v>#DIV/0!</v>
      </c>
      <c r="M123" s="49">
        <f t="shared" si="45"/>
        <v>0</v>
      </c>
      <c r="N123" s="49">
        <f t="shared" si="44"/>
        <v>0</v>
      </c>
      <c r="O123" s="48" t="e">
        <f t="shared" si="38"/>
        <v>#DIV/0!</v>
      </c>
      <c r="P123" s="38" t="e">
        <f t="shared" si="27"/>
        <v>#DIV/0!</v>
      </c>
      <c r="Q123" s="53"/>
      <c r="R123" s="53">
        <f t="shared" si="39"/>
        <v>0.12</v>
      </c>
      <c r="S123" s="53">
        <f t="shared" si="40"/>
        <v>1.0596241035318976E-2</v>
      </c>
      <c r="T123" s="53">
        <f t="shared" si="41"/>
        <v>0.04</v>
      </c>
      <c r="U123" s="53">
        <f t="shared" si="42"/>
        <v>3.3960531989175591E-3</v>
      </c>
    </row>
    <row r="124" spans="1:21" x14ac:dyDescent="0.2">
      <c r="A124" s="62"/>
      <c r="B124" s="45">
        <f t="shared" si="29"/>
        <v>113</v>
      </c>
      <c r="C124" s="51" t="e">
        <f t="shared" si="30"/>
        <v>#DIV/0!</v>
      </c>
      <c r="D124" s="47" t="e">
        <f t="shared" si="31"/>
        <v>#DIV/0!</v>
      </c>
      <c r="E124" s="48">
        <f t="shared" si="32"/>
        <v>0</v>
      </c>
      <c r="F124" s="50">
        <f t="shared" si="33"/>
        <v>0</v>
      </c>
      <c r="G124" s="50">
        <f t="shared" si="43"/>
        <v>0</v>
      </c>
      <c r="H124" s="51" t="e">
        <f t="shared" si="34"/>
        <v>#DIV/0!</v>
      </c>
      <c r="I124" s="52" t="e">
        <f t="shared" si="28"/>
        <v>#DIV/0!</v>
      </c>
      <c r="J124" s="57" t="e">
        <f t="shared" si="35"/>
        <v>#DIV/0!</v>
      </c>
      <c r="K124" s="51" t="e">
        <f t="shared" si="36"/>
        <v>#DIV/0!</v>
      </c>
      <c r="L124" s="49" t="e">
        <f t="shared" si="37"/>
        <v>#DIV/0!</v>
      </c>
      <c r="M124" s="49">
        <f t="shared" si="45"/>
        <v>0</v>
      </c>
      <c r="N124" s="49">
        <f t="shared" si="44"/>
        <v>0</v>
      </c>
      <c r="O124" s="48" t="e">
        <f t="shared" si="38"/>
        <v>#DIV/0!</v>
      </c>
      <c r="P124" s="38" t="e">
        <f t="shared" si="27"/>
        <v>#DIV/0!</v>
      </c>
      <c r="Q124" s="53"/>
      <c r="R124" s="53">
        <f t="shared" si="39"/>
        <v>0.12</v>
      </c>
      <c r="S124" s="53">
        <f t="shared" si="40"/>
        <v>1.0596241035318976E-2</v>
      </c>
      <c r="T124" s="53">
        <f t="shared" si="41"/>
        <v>0.04</v>
      </c>
      <c r="U124" s="53">
        <f t="shared" si="42"/>
        <v>3.3960531989175591E-3</v>
      </c>
    </row>
    <row r="125" spans="1:21" x14ac:dyDescent="0.2">
      <c r="A125" s="62"/>
      <c r="B125" s="45">
        <f t="shared" si="29"/>
        <v>114</v>
      </c>
      <c r="C125" s="51" t="e">
        <f t="shared" si="30"/>
        <v>#DIV/0!</v>
      </c>
      <c r="D125" s="47" t="e">
        <f t="shared" si="31"/>
        <v>#DIV/0!</v>
      </c>
      <c r="E125" s="48">
        <f t="shared" si="32"/>
        <v>0</v>
      </c>
      <c r="F125" s="50">
        <f t="shared" si="33"/>
        <v>0</v>
      </c>
      <c r="G125" s="50">
        <f t="shared" si="43"/>
        <v>0</v>
      </c>
      <c r="H125" s="51" t="e">
        <f t="shared" si="34"/>
        <v>#DIV/0!</v>
      </c>
      <c r="I125" s="52" t="e">
        <f t="shared" si="28"/>
        <v>#DIV/0!</v>
      </c>
      <c r="J125" s="57" t="e">
        <f t="shared" si="35"/>
        <v>#DIV/0!</v>
      </c>
      <c r="K125" s="51" t="e">
        <f t="shared" si="36"/>
        <v>#DIV/0!</v>
      </c>
      <c r="L125" s="49" t="e">
        <f t="shared" si="37"/>
        <v>#DIV/0!</v>
      </c>
      <c r="M125" s="49">
        <f t="shared" si="45"/>
        <v>0</v>
      </c>
      <c r="N125" s="49">
        <f t="shared" si="44"/>
        <v>0</v>
      </c>
      <c r="O125" s="48" t="e">
        <f t="shared" si="38"/>
        <v>#DIV/0!</v>
      </c>
      <c r="P125" s="38" t="e">
        <f t="shared" si="27"/>
        <v>#DIV/0!</v>
      </c>
      <c r="Q125" s="53"/>
      <c r="R125" s="53">
        <f t="shared" si="39"/>
        <v>0.12</v>
      </c>
      <c r="S125" s="53">
        <f t="shared" si="40"/>
        <v>1.0596241035318976E-2</v>
      </c>
      <c r="T125" s="53">
        <f t="shared" si="41"/>
        <v>0.04</v>
      </c>
      <c r="U125" s="53">
        <f t="shared" si="42"/>
        <v>3.3960531989175591E-3</v>
      </c>
    </row>
    <row r="126" spans="1:21" x14ac:dyDescent="0.2">
      <c r="A126" s="62"/>
      <c r="B126" s="45">
        <f t="shared" si="29"/>
        <v>115</v>
      </c>
      <c r="C126" s="51" t="e">
        <f t="shared" si="30"/>
        <v>#DIV/0!</v>
      </c>
      <c r="D126" s="47" t="e">
        <f t="shared" si="31"/>
        <v>#DIV/0!</v>
      </c>
      <c r="E126" s="48">
        <f t="shared" si="32"/>
        <v>0</v>
      </c>
      <c r="F126" s="50">
        <f t="shared" si="33"/>
        <v>0</v>
      </c>
      <c r="G126" s="50">
        <f t="shared" si="43"/>
        <v>0</v>
      </c>
      <c r="H126" s="51" t="e">
        <f t="shared" si="34"/>
        <v>#DIV/0!</v>
      </c>
      <c r="I126" s="52" t="e">
        <f t="shared" si="28"/>
        <v>#DIV/0!</v>
      </c>
      <c r="J126" s="57" t="e">
        <f t="shared" si="35"/>
        <v>#DIV/0!</v>
      </c>
      <c r="K126" s="51" t="e">
        <f t="shared" si="36"/>
        <v>#DIV/0!</v>
      </c>
      <c r="L126" s="49" t="e">
        <f t="shared" si="37"/>
        <v>#DIV/0!</v>
      </c>
      <c r="M126" s="49">
        <f t="shared" si="45"/>
        <v>0</v>
      </c>
      <c r="N126" s="49">
        <f t="shared" si="44"/>
        <v>0</v>
      </c>
      <c r="O126" s="48" t="e">
        <f t="shared" si="38"/>
        <v>#DIV/0!</v>
      </c>
      <c r="P126" s="38" t="e">
        <f t="shared" si="27"/>
        <v>#DIV/0!</v>
      </c>
      <c r="Q126" s="53"/>
      <c r="R126" s="53">
        <f t="shared" si="39"/>
        <v>0.12</v>
      </c>
      <c r="S126" s="53">
        <f t="shared" si="40"/>
        <v>1.0596241035318976E-2</v>
      </c>
      <c r="T126" s="53">
        <f t="shared" si="41"/>
        <v>0.04</v>
      </c>
      <c r="U126" s="53">
        <f t="shared" si="42"/>
        <v>3.3960531989175591E-3</v>
      </c>
    </row>
    <row r="127" spans="1:21" x14ac:dyDescent="0.2">
      <c r="A127" s="62"/>
      <c r="B127" s="45">
        <f t="shared" si="29"/>
        <v>116</v>
      </c>
      <c r="C127" s="51" t="e">
        <f t="shared" si="30"/>
        <v>#DIV/0!</v>
      </c>
      <c r="D127" s="47" t="e">
        <f t="shared" si="31"/>
        <v>#DIV/0!</v>
      </c>
      <c r="E127" s="48">
        <f t="shared" si="32"/>
        <v>0</v>
      </c>
      <c r="F127" s="50">
        <f t="shared" si="33"/>
        <v>0</v>
      </c>
      <c r="G127" s="50">
        <f t="shared" si="43"/>
        <v>0</v>
      </c>
      <c r="H127" s="51" t="e">
        <f t="shared" si="34"/>
        <v>#DIV/0!</v>
      </c>
      <c r="I127" s="52" t="e">
        <f t="shared" si="28"/>
        <v>#DIV/0!</v>
      </c>
      <c r="J127" s="57" t="e">
        <f t="shared" si="35"/>
        <v>#DIV/0!</v>
      </c>
      <c r="K127" s="51" t="e">
        <f t="shared" si="36"/>
        <v>#DIV/0!</v>
      </c>
      <c r="L127" s="49" t="e">
        <f t="shared" si="37"/>
        <v>#DIV/0!</v>
      </c>
      <c r="M127" s="49">
        <f t="shared" si="45"/>
        <v>0</v>
      </c>
      <c r="N127" s="49">
        <f t="shared" si="44"/>
        <v>0</v>
      </c>
      <c r="O127" s="48" t="e">
        <f t="shared" si="38"/>
        <v>#DIV/0!</v>
      </c>
      <c r="P127" s="38" t="e">
        <f t="shared" si="27"/>
        <v>#DIV/0!</v>
      </c>
      <c r="Q127" s="53"/>
      <c r="R127" s="53">
        <f t="shared" si="39"/>
        <v>0.12</v>
      </c>
      <c r="S127" s="53">
        <f t="shared" si="40"/>
        <v>1.0596241035318976E-2</v>
      </c>
      <c r="T127" s="53">
        <f t="shared" si="41"/>
        <v>0.04</v>
      </c>
      <c r="U127" s="53">
        <f t="shared" si="42"/>
        <v>3.3960531989175591E-3</v>
      </c>
    </row>
    <row r="128" spans="1:21" x14ac:dyDescent="0.2">
      <c r="A128" s="62"/>
      <c r="B128" s="45">
        <f t="shared" si="29"/>
        <v>117</v>
      </c>
      <c r="C128" s="51" t="e">
        <f t="shared" si="30"/>
        <v>#DIV/0!</v>
      </c>
      <c r="D128" s="47" t="e">
        <f t="shared" si="31"/>
        <v>#DIV/0!</v>
      </c>
      <c r="E128" s="48">
        <f t="shared" si="32"/>
        <v>0</v>
      </c>
      <c r="F128" s="50">
        <f t="shared" si="33"/>
        <v>0</v>
      </c>
      <c r="G128" s="50">
        <f t="shared" si="43"/>
        <v>0</v>
      </c>
      <c r="H128" s="51" t="e">
        <f t="shared" si="34"/>
        <v>#DIV/0!</v>
      </c>
      <c r="I128" s="52" t="e">
        <f t="shared" si="28"/>
        <v>#DIV/0!</v>
      </c>
      <c r="J128" s="57" t="e">
        <f t="shared" si="35"/>
        <v>#DIV/0!</v>
      </c>
      <c r="K128" s="51" t="e">
        <f t="shared" si="36"/>
        <v>#DIV/0!</v>
      </c>
      <c r="L128" s="49" t="e">
        <f t="shared" si="37"/>
        <v>#DIV/0!</v>
      </c>
      <c r="M128" s="49">
        <f t="shared" si="45"/>
        <v>0</v>
      </c>
      <c r="N128" s="49">
        <f t="shared" si="44"/>
        <v>0</v>
      </c>
      <c r="O128" s="48" t="e">
        <f t="shared" si="38"/>
        <v>#DIV/0!</v>
      </c>
      <c r="P128" s="38" t="e">
        <f t="shared" si="27"/>
        <v>#DIV/0!</v>
      </c>
      <c r="Q128" s="53"/>
      <c r="R128" s="53">
        <f t="shared" si="39"/>
        <v>0.12</v>
      </c>
      <c r="S128" s="53">
        <f t="shared" si="40"/>
        <v>1.0596241035318976E-2</v>
      </c>
      <c r="T128" s="53">
        <f t="shared" si="41"/>
        <v>0.04</v>
      </c>
      <c r="U128" s="53">
        <f t="shared" si="42"/>
        <v>3.3960531989175591E-3</v>
      </c>
    </row>
    <row r="129" spans="1:21" x14ac:dyDescent="0.2">
      <c r="A129" s="62"/>
      <c r="B129" s="45">
        <f t="shared" si="29"/>
        <v>118</v>
      </c>
      <c r="C129" s="51" t="e">
        <f t="shared" si="30"/>
        <v>#DIV/0!</v>
      </c>
      <c r="D129" s="47" t="e">
        <f t="shared" si="31"/>
        <v>#DIV/0!</v>
      </c>
      <c r="E129" s="48">
        <f t="shared" si="32"/>
        <v>0</v>
      </c>
      <c r="F129" s="50">
        <f t="shared" si="33"/>
        <v>0</v>
      </c>
      <c r="G129" s="50">
        <f t="shared" si="43"/>
        <v>0</v>
      </c>
      <c r="H129" s="51" t="e">
        <f t="shared" si="34"/>
        <v>#DIV/0!</v>
      </c>
      <c r="I129" s="52" t="e">
        <f t="shared" si="28"/>
        <v>#DIV/0!</v>
      </c>
      <c r="J129" s="57" t="e">
        <f t="shared" si="35"/>
        <v>#DIV/0!</v>
      </c>
      <c r="K129" s="51" t="e">
        <f t="shared" si="36"/>
        <v>#DIV/0!</v>
      </c>
      <c r="L129" s="49" t="e">
        <f t="shared" si="37"/>
        <v>#DIV/0!</v>
      </c>
      <c r="M129" s="49">
        <f t="shared" si="45"/>
        <v>0</v>
      </c>
      <c r="N129" s="49">
        <f t="shared" si="44"/>
        <v>0</v>
      </c>
      <c r="O129" s="48" t="e">
        <f t="shared" si="38"/>
        <v>#DIV/0!</v>
      </c>
      <c r="P129" s="38" t="e">
        <f t="shared" si="27"/>
        <v>#DIV/0!</v>
      </c>
      <c r="Q129" s="53"/>
      <c r="R129" s="53">
        <f t="shared" si="39"/>
        <v>0.12</v>
      </c>
      <c r="S129" s="53">
        <f t="shared" si="40"/>
        <v>1.0596241035318976E-2</v>
      </c>
      <c r="T129" s="53">
        <f t="shared" si="41"/>
        <v>0.04</v>
      </c>
      <c r="U129" s="53">
        <f t="shared" si="42"/>
        <v>3.3960531989175591E-3</v>
      </c>
    </row>
    <row r="130" spans="1:21" x14ac:dyDescent="0.2">
      <c r="A130" s="62"/>
      <c r="B130" s="45">
        <f t="shared" si="29"/>
        <v>119</v>
      </c>
      <c r="C130" s="51" t="e">
        <f t="shared" si="30"/>
        <v>#DIV/0!</v>
      </c>
      <c r="D130" s="47" t="e">
        <f t="shared" si="31"/>
        <v>#DIV/0!</v>
      </c>
      <c r="E130" s="48">
        <f t="shared" si="32"/>
        <v>0</v>
      </c>
      <c r="F130" s="50">
        <f t="shared" si="33"/>
        <v>0</v>
      </c>
      <c r="G130" s="50">
        <f t="shared" si="43"/>
        <v>0</v>
      </c>
      <c r="H130" s="51" t="e">
        <f t="shared" si="34"/>
        <v>#DIV/0!</v>
      </c>
      <c r="I130" s="52" t="e">
        <f t="shared" si="28"/>
        <v>#DIV/0!</v>
      </c>
      <c r="J130" s="57" t="e">
        <f t="shared" si="35"/>
        <v>#DIV/0!</v>
      </c>
      <c r="K130" s="51" t="e">
        <f t="shared" si="36"/>
        <v>#DIV/0!</v>
      </c>
      <c r="L130" s="49" t="e">
        <f t="shared" si="37"/>
        <v>#DIV/0!</v>
      </c>
      <c r="M130" s="49">
        <f t="shared" si="45"/>
        <v>0</v>
      </c>
      <c r="N130" s="49">
        <f t="shared" si="44"/>
        <v>0</v>
      </c>
      <c r="O130" s="48" t="e">
        <f t="shared" si="38"/>
        <v>#DIV/0!</v>
      </c>
      <c r="P130" s="38" t="e">
        <f t="shared" si="27"/>
        <v>#DIV/0!</v>
      </c>
      <c r="Q130" s="53"/>
      <c r="R130" s="53">
        <f t="shared" si="39"/>
        <v>0.12</v>
      </c>
      <c r="S130" s="53">
        <f t="shared" si="40"/>
        <v>1.0596241035318976E-2</v>
      </c>
      <c r="T130" s="53">
        <f t="shared" si="41"/>
        <v>0.04</v>
      </c>
      <c r="U130" s="53">
        <f t="shared" si="42"/>
        <v>3.3960531989175591E-3</v>
      </c>
    </row>
    <row r="131" spans="1:21" x14ac:dyDescent="0.2">
      <c r="A131" s="62"/>
      <c r="B131" s="45">
        <f t="shared" si="29"/>
        <v>120</v>
      </c>
      <c r="C131" s="51" t="e">
        <f t="shared" si="30"/>
        <v>#DIV/0!</v>
      </c>
      <c r="D131" s="47" t="e">
        <f t="shared" si="31"/>
        <v>#DIV/0!</v>
      </c>
      <c r="E131" s="48">
        <f t="shared" si="32"/>
        <v>0</v>
      </c>
      <c r="F131" s="50">
        <f t="shared" si="33"/>
        <v>0</v>
      </c>
      <c r="G131" s="50">
        <f t="shared" si="43"/>
        <v>0</v>
      </c>
      <c r="H131" s="51" t="e">
        <f t="shared" si="34"/>
        <v>#DIV/0!</v>
      </c>
      <c r="I131" s="52" t="e">
        <f t="shared" si="28"/>
        <v>#DIV/0!</v>
      </c>
      <c r="J131" s="57" t="e">
        <f t="shared" si="35"/>
        <v>#DIV/0!</v>
      </c>
      <c r="K131" s="51" t="e">
        <f t="shared" si="36"/>
        <v>#DIV/0!</v>
      </c>
      <c r="L131" s="49" t="e">
        <f t="shared" si="37"/>
        <v>#DIV/0!</v>
      </c>
      <c r="M131" s="49">
        <f t="shared" si="45"/>
        <v>0</v>
      </c>
      <c r="N131" s="49">
        <f t="shared" si="44"/>
        <v>0</v>
      </c>
      <c r="O131" s="48" t="e">
        <f t="shared" si="38"/>
        <v>#DIV/0!</v>
      </c>
      <c r="P131" s="38" t="e">
        <f t="shared" si="27"/>
        <v>#DIV/0!</v>
      </c>
      <c r="Q131" s="53"/>
      <c r="R131" s="53">
        <f t="shared" si="39"/>
        <v>0.12</v>
      </c>
      <c r="S131" s="53">
        <f t="shared" si="40"/>
        <v>1.0596241035318976E-2</v>
      </c>
      <c r="T131" s="53">
        <f t="shared" si="41"/>
        <v>0.04</v>
      </c>
      <c r="U131" s="53">
        <f t="shared" si="42"/>
        <v>3.3960531989175591E-3</v>
      </c>
    </row>
    <row r="132" spans="1:21" x14ac:dyDescent="0.2">
      <c r="A132" s="62"/>
      <c r="B132" s="45">
        <f t="shared" si="29"/>
        <v>121</v>
      </c>
      <c r="C132" s="51" t="e">
        <f t="shared" si="30"/>
        <v>#DIV/0!</v>
      </c>
      <c r="D132" s="47" t="e">
        <f t="shared" si="31"/>
        <v>#DIV/0!</v>
      </c>
      <c r="E132" s="48">
        <f t="shared" si="32"/>
        <v>0</v>
      </c>
      <c r="F132" s="50">
        <f t="shared" si="33"/>
        <v>0</v>
      </c>
      <c r="G132" s="50">
        <f t="shared" si="43"/>
        <v>0</v>
      </c>
      <c r="H132" s="51" t="e">
        <f t="shared" si="34"/>
        <v>#DIV/0!</v>
      </c>
      <c r="I132" s="52" t="e">
        <f t="shared" si="28"/>
        <v>#DIV/0!</v>
      </c>
      <c r="J132" s="57" t="e">
        <f t="shared" si="35"/>
        <v>#DIV/0!</v>
      </c>
      <c r="K132" s="51" t="e">
        <f t="shared" si="36"/>
        <v>#DIV/0!</v>
      </c>
      <c r="L132" s="49" t="e">
        <f t="shared" si="37"/>
        <v>#DIV/0!</v>
      </c>
      <c r="M132" s="49">
        <f t="shared" si="45"/>
        <v>0</v>
      </c>
      <c r="N132" s="49">
        <f t="shared" si="44"/>
        <v>0</v>
      </c>
      <c r="O132" s="48" t="e">
        <f t="shared" si="38"/>
        <v>#DIV/0!</v>
      </c>
      <c r="P132" s="38" t="e">
        <f t="shared" si="27"/>
        <v>#DIV/0!</v>
      </c>
      <c r="Q132" s="53"/>
      <c r="R132" s="53">
        <f t="shared" si="39"/>
        <v>0.12</v>
      </c>
      <c r="S132" s="53">
        <f t="shared" si="40"/>
        <v>1.0596241035318976E-2</v>
      </c>
      <c r="T132" s="53">
        <f t="shared" si="41"/>
        <v>0.04</v>
      </c>
      <c r="U132" s="53">
        <f t="shared" si="42"/>
        <v>3.3960531989175591E-3</v>
      </c>
    </row>
    <row r="133" spans="1:21" x14ac:dyDescent="0.2">
      <c r="A133" s="62"/>
      <c r="B133" s="45">
        <f t="shared" si="29"/>
        <v>122</v>
      </c>
      <c r="C133" s="51" t="e">
        <f t="shared" si="30"/>
        <v>#DIV/0!</v>
      </c>
      <c r="D133" s="47" t="e">
        <f t="shared" si="31"/>
        <v>#DIV/0!</v>
      </c>
      <c r="E133" s="48">
        <f t="shared" si="32"/>
        <v>0</v>
      </c>
      <c r="F133" s="50">
        <f t="shared" si="33"/>
        <v>0</v>
      </c>
      <c r="G133" s="50">
        <f t="shared" si="43"/>
        <v>0</v>
      </c>
      <c r="H133" s="51" t="e">
        <f t="shared" si="34"/>
        <v>#DIV/0!</v>
      </c>
      <c r="I133" s="52" t="e">
        <f t="shared" si="28"/>
        <v>#DIV/0!</v>
      </c>
      <c r="J133" s="57" t="e">
        <f t="shared" si="35"/>
        <v>#DIV/0!</v>
      </c>
      <c r="K133" s="51" t="e">
        <f t="shared" si="36"/>
        <v>#DIV/0!</v>
      </c>
      <c r="L133" s="49" t="e">
        <f t="shared" si="37"/>
        <v>#DIV/0!</v>
      </c>
      <c r="M133" s="49">
        <f t="shared" si="45"/>
        <v>0</v>
      </c>
      <c r="N133" s="49">
        <f t="shared" si="44"/>
        <v>0</v>
      </c>
      <c r="O133" s="48" t="e">
        <f t="shared" si="38"/>
        <v>#DIV/0!</v>
      </c>
      <c r="P133" s="38" t="e">
        <f t="shared" si="27"/>
        <v>#DIV/0!</v>
      </c>
      <c r="Q133" s="53"/>
      <c r="R133" s="53">
        <f t="shared" si="39"/>
        <v>0.12</v>
      </c>
      <c r="S133" s="53">
        <f t="shared" si="40"/>
        <v>1.0596241035318976E-2</v>
      </c>
      <c r="T133" s="53">
        <f t="shared" si="41"/>
        <v>0.04</v>
      </c>
      <c r="U133" s="53">
        <f t="shared" si="42"/>
        <v>3.3960531989175591E-3</v>
      </c>
    </row>
    <row r="134" spans="1:21" x14ac:dyDescent="0.2">
      <c r="A134" s="62"/>
      <c r="B134" s="45">
        <f t="shared" si="29"/>
        <v>123</v>
      </c>
      <c r="C134" s="51" t="e">
        <f t="shared" si="30"/>
        <v>#DIV/0!</v>
      </c>
      <c r="D134" s="47" t="e">
        <f t="shared" si="31"/>
        <v>#DIV/0!</v>
      </c>
      <c r="E134" s="48">
        <f t="shared" si="32"/>
        <v>0</v>
      </c>
      <c r="F134" s="50">
        <f t="shared" si="33"/>
        <v>0</v>
      </c>
      <c r="G134" s="50">
        <f t="shared" si="43"/>
        <v>0</v>
      </c>
      <c r="H134" s="51" t="e">
        <f t="shared" si="34"/>
        <v>#DIV/0!</v>
      </c>
      <c r="I134" s="52" t="e">
        <f t="shared" si="28"/>
        <v>#DIV/0!</v>
      </c>
      <c r="J134" s="57" t="e">
        <f t="shared" si="35"/>
        <v>#DIV/0!</v>
      </c>
      <c r="K134" s="51" t="e">
        <f t="shared" si="36"/>
        <v>#DIV/0!</v>
      </c>
      <c r="L134" s="49" t="e">
        <f t="shared" si="37"/>
        <v>#DIV/0!</v>
      </c>
      <c r="M134" s="49">
        <f t="shared" si="45"/>
        <v>0</v>
      </c>
      <c r="N134" s="49">
        <f t="shared" si="44"/>
        <v>0</v>
      </c>
      <c r="O134" s="48" t="e">
        <f t="shared" si="38"/>
        <v>#DIV/0!</v>
      </c>
      <c r="P134" s="38" t="e">
        <f t="shared" si="27"/>
        <v>#DIV/0!</v>
      </c>
      <c r="Q134" s="53"/>
      <c r="R134" s="53">
        <f t="shared" si="39"/>
        <v>0.12</v>
      </c>
      <c r="S134" s="53">
        <f t="shared" si="40"/>
        <v>1.0596241035318976E-2</v>
      </c>
      <c r="T134" s="53">
        <f t="shared" si="41"/>
        <v>0.04</v>
      </c>
      <c r="U134" s="53">
        <f t="shared" si="42"/>
        <v>3.3960531989175591E-3</v>
      </c>
    </row>
    <row r="135" spans="1:21" x14ac:dyDescent="0.2">
      <c r="A135" s="62"/>
      <c r="B135" s="45">
        <f t="shared" si="29"/>
        <v>124</v>
      </c>
      <c r="C135" s="51" t="e">
        <f t="shared" si="30"/>
        <v>#DIV/0!</v>
      </c>
      <c r="D135" s="47" t="e">
        <f t="shared" si="31"/>
        <v>#DIV/0!</v>
      </c>
      <c r="E135" s="48">
        <f t="shared" si="32"/>
        <v>0</v>
      </c>
      <c r="F135" s="50">
        <f t="shared" si="33"/>
        <v>0</v>
      </c>
      <c r="G135" s="50">
        <f t="shared" si="43"/>
        <v>0</v>
      </c>
      <c r="H135" s="51" t="e">
        <f t="shared" si="34"/>
        <v>#DIV/0!</v>
      </c>
      <c r="I135" s="52" t="e">
        <f t="shared" si="28"/>
        <v>#DIV/0!</v>
      </c>
      <c r="J135" s="57" t="e">
        <f t="shared" si="35"/>
        <v>#DIV/0!</v>
      </c>
      <c r="K135" s="51" t="e">
        <f t="shared" si="36"/>
        <v>#DIV/0!</v>
      </c>
      <c r="L135" s="49" t="e">
        <f t="shared" si="37"/>
        <v>#DIV/0!</v>
      </c>
      <c r="M135" s="49">
        <f t="shared" si="45"/>
        <v>0</v>
      </c>
      <c r="N135" s="49">
        <f t="shared" si="44"/>
        <v>0</v>
      </c>
      <c r="O135" s="48" t="e">
        <f t="shared" si="38"/>
        <v>#DIV/0!</v>
      </c>
      <c r="P135" s="38" t="e">
        <f t="shared" si="27"/>
        <v>#DIV/0!</v>
      </c>
      <c r="Q135" s="53"/>
      <c r="R135" s="53">
        <f t="shared" si="39"/>
        <v>0.12</v>
      </c>
      <c r="S135" s="53">
        <f t="shared" si="40"/>
        <v>1.0596241035318976E-2</v>
      </c>
      <c r="T135" s="53">
        <f t="shared" si="41"/>
        <v>0.04</v>
      </c>
      <c r="U135" s="53">
        <f t="shared" si="42"/>
        <v>3.3960531989175591E-3</v>
      </c>
    </row>
    <row r="136" spans="1:21" x14ac:dyDescent="0.2">
      <c r="A136" s="62"/>
      <c r="B136" s="45">
        <f t="shared" si="29"/>
        <v>125</v>
      </c>
      <c r="C136" s="51" t="e">
        <f t="shared" si="30"/>
        <v>#DIV/0!</v>
      </c>
      <c r="D136" s="47" t="e">
        <f t="shared" si="31"/>
        <v>#DIV/0!</v>
      </c>
      <c r="E136" s="48">
        <f t="shared" si="32"/>
        <v>0</v>
      </c>
      <c r="F136" s="50">
        <f t="shared" si="33"/>
        <v>0</v>
      </c>
      <c r="G136" s="50">
        <f t="shared" si="43"/>
        <v>0</v>
      </c>
      <c r="H136" s="51" t="e">
        <f t="shared" si="34"/>
        <v>#DIV/0!</v>
      </c>
      <c r="I136" s="52" t="e">
        <f t="shared" si="28"/>
        <v>#DIV/0!</v>
      </c>
      <c r="J136" s="57" t="e">
        <f t="shared" si="35"/>
        <v>#DIV/0!</v>
      </c>
      <c r="K136" s="51" t="e">
        <f t="shared" si="36"/>
        <v>#DIV/0!</v>
      </c>
      <c r="L136" s="49" t="e">
        <f t="shared" si="37"/>
        <v>#DIV/0!</v>
      </c>
      <c r="M136" s="49">
        <f t="shared" si="45"/>
        <v>0</v>
      </c>
      <c r="N136" s="49">
        <f t="shared" si="44"/>
        <v>0</v>
      </c>
      <c r="O136" s="48" t="e">
        <f t="shared" si="38"/>
        <v>#DIV/0!</v>
      </c>
      <c r="P136" s="38" t="e">
        <f t="shared" si="27"/>
        <v>#DIV/0!</v>
      </c>
      <c r="Q136" s="53"/>
      <c r="R136" s="53">
        <f t="shared" si="39"/>
        <v>0.12</v>
      </c>
      <c r="S136" s="53">
        <f t="shared" si="40"/>
        <v>1.0596241035318976E-2</v>
      </c>
      <c r="T136" s="53">
        <f t="shared" si="41"/>
        <v>0.04</v>
      </c>
      <c r="U136" s="53">
        <f t="shared" si="42"/>
        <v>3.3960531989175591E-3</v>
      </c>
    </row>
    <row r="137" spans="1:21" x14ac:dyDescent="0.2">
      <c r="A137" s="62"/>
      <c r="B137" s="45">
        <f t="shared" si="29"/>
        <v>126</v>
      </c>
      <c r="C137" s="51" t="e">
        <f t="shared" si="30"/>
        <v>#DIV/0!</v>
      </c>
      <c r="D137" s="47" t="e">
        <f t="shared" si="31"/>
        <v>#DIV/0!</v>
      </c>
      <c r="E137" s="48">
        <f t="shared" si="32"/>
        <v>0</v>
      </c>
      <c r="F137" s="50">
        <f t="shared" si="33"/>
        <v>0</v>
      </c>
      <c r="G137" s="50">
        <f t="shared" si="43"/>
        <v>0</v>
      </c>
      <c r="H137" s="51" t="e">
        <f t="shared" si="34"/>
        <v>#DIV/0!</v>
      </c>
      <c r="I137" s="52" t="e">
        <f t="shared" si="28"/>
        <v>#DIV/0!</v>
      </c>
      <c r="J137" s="57" t="e">
        <f t="shared" si="35"/>
        <v>#DIV/0!</v>
      </c>
      <c r="K137" s="51" t="e">
        <f t="shared" si="36"/>
        <v>#DIV/0!</v>
      </c>
      <c r="L137" s="49" t="e">
        <f t="shared" si="37"/>
        <v>#DIV/0!</v>
      </c>
      <c r="M137" s="49">
        <f t="shared" si="45"/>
        <v>0</v>
      </c>
      <c r="N137" s="49">
        <f t="shared" si="44"/>
        <v>0</v>
      </c>
      <c r="O137" s="48" t="e">
        <f t="shared" si="38"/>
        <v>#DIV/0!</v>
      </c>
      <c r="P137" s="38" t="e">
        <f t="shared" si="27"/>
        <v>#DIV/0!</v>
      </c>
      <c r="Q137" s="53"/>
      <c r="R137" s="53">
        <f t="shared" si="39"/>
        <v>0.12</v>
      </c>
      <c r="S137" s="53">
        <f t="shared" si="40"/>
        <v>1.0596241035318976E-2</v>
      </c>
      <c r="T137" s="53">
        <f t="shared" si="41"/>
        <v>0.04</v>
      </c>
      <c r="U137" s="53">
        <f t="shared" si="42"/>
        <v>3.3960531989175591E-3</v>
      </c>
    </row>
    <row r="138" spans="1:21" x14ac:dyDescent="0.2">
      <c r="A138" s="62"/>
      <c r="B138" s="45">
        <f t="shared" si="29"/>
        <v>127</v>
      </c>
      <c r="C138" s="51" t="e">
        <f t="shared" si="30"/>
        <v>#DIV/0!</v>
      </c>
      <c r="D138" s="47" t="e">
        <f t="shared" si="31"/>
        <v>#DIV/0!</v>
      </c>
      <c r="E138" s="48">
        <f t="shared" si="32"/>
        <v>0</v>
      </c>
      <c r="F138" s="50">
        <f t="shared" si="33"/>
        <v>0</v>
      </c>
      <c r="G138" s="50">
        <f t="shared" si="43"/>
        <v>0</v>
      </c>
      <c r="H138" s="51" t="e">
        <f t="shared" si="34"/>
        <v>#DIV/0!</v>
      </c>
      <c r="I138" s="52" t="e">
        <f t="shared" si="28"/>
        <v>#DIV/0!</v>
      </c>
      <c r="J138" s="57" t="e">
        <f t="shared" si="35"/>
        <v>#DIV/0!</v>
      </c>
      <c r="K138" s="51" t="e">
        <f t="shared" si="36"/>
        <v>#DIV/0!</v>
      </c>
      <c r="L138" s="49" t="e">
        <f t="shared" si="37"/>
        <v>#DIV/0!</v>
      </c>
      <c r="M138" s="49">
        <f t="shared" si="45"/>
        <v>0</v>
      </c>
      <c r="N138" s="49">
        <f t="shared" si="44"/>
        <v>0</v>
      </c>
      <c r="O138" s="48" t="e">
        <f t="shared" si="38"/>
        <v>#DIV/0!</v>
      </c>
      <c r="P138" s="38" t="e">
        <f t="shared" si="27"/>
        <v>#DIV/0!</v>
      </c>
      <c r="Q138" s="53"/>
      <c r="R138" s="53">
        <f t="shared" si="39"/>
        <v>0.12</v>
      </c>
      <c r="S138" s="53">
        <f t="shared" si="40"/>
        <v>1.0596241035318976E-2</v>
      </c>
      <c r="T138" s="53">
        <f t="shared" si="41"/>
        <v>0.04</v>
      </c>
      <c r="U138" s="53">
        <f t="shared" si="42"/>
        <v>3.3960531989175591E-3</v>
      </c>
    </row>
    <row r="139" spans="1:21" x14ac:dyDescent="0.2">
      <c r="A139" s="62"/>
      <c r="B139" s="45">
        <f t="shared" si="29"/>
        <v>128</v>
      </c>
      <c r="C139" s="51" t="e">
        <f t="shared" si="30"/>
        <v>#DIV/0!</v>
      </c>
      <c r="D139" s="47" t="e">
        <f t="shared" si="31"/>
        <v>#DIV/0!</v>
      </c>
      <c r="E139" s="48">
        <f t="shared" si="32"/>
        <v>0</v>
      </c>
      <c r="F139" s="50">
        <f t="shared" si="33"/>
        <v>0</v>
      </c>
      <c r="G139" s="50">
        <f t="shared" si="43"/>
        <v>0</v>
      </c>
      <c r="H139" s="51" t="e">
        <f t="shared" si="34"/>
        <v>#DIV/0!</v>
      </c>
      <c r="I139" s="52" t="e">
        <f t="shared" si="28"/>
        <v>#DIV/0!</v>
      </c>
      <c r="J139" s="57" t="e">
        <f t="shared" si="35"/>
        <v>#DIV/0!</v>
      </c>
      <c r="K139" s="51" t="e">
        <f t="shared" si="36"/>
        <v>#DIV/0!</v>
      </c>
      <c r="L139" s="49" t="e">
        <f t="shared" si="37"/>
        <v>#DIV/0!</v>
      </c>
      <c r="M139" s="49">
        <f t="shared" si="45"/>
        <v>0</v>
      </c>
      <c r="N139" s="49">
        <f t="shared" si="44"/>
        <v>0</v>
      </c>
      <c r="O139" s="48" t="e">
        <f t="shared" si="38"/>
        <v>#DIV/0!</v>
      </c>
      <c r="P139" s="38" t="e">
        <f t="shared" ref="P139:P202" si="46">O139*(1/((1+P$9)^(B139/12)))</f>
        <v>#DIV/0!</v>
      </c>
      <c r="Q139" s="53"/>
      <c r="R139" s="53">
        <f t="shared" si="39"/>
        <v>0.12</v>
      </c>
      <c r="S139" s="53">
        <f t="shared" si="40"/>
        <v>1.0596241035318976E-2</v>
      </c>
      <c r="T139" s="53">
        <f t="shared" si="41"/>
        <v>0.04</v>
      </c>
      <c r="U139" s="53">
        <f t="shared" si="42"/>
        <v>3.3960531989175591E-3</v>
      </c>
    </row>
    <row r="140" spans="1:21" x14ac:dyDescent="0.2">
      <c r="A140" s="62"/>
      <c r="B140" s="45">
        <f t="shared" si="29"/>
        <v>129</v>
      </c>
      <c r="C140" s="51" t="e">
        <f t="shared" si="30"/>
        <v>#DIV/0!</v>
      </c>
      <c r="D140" s="47" t="e">
        <f t="shared" si="31"/>
        <v>#DIV/0!</v>
      </c>
      <c r="E140" s="48">
        <f t="shared" si="32"/>
        <v>0</v>
      </c>
      <c r="F140" s="50">
        <f t="shared" si="33"/>
        <v>0</v>
      </c>
      <c r="G140" s="50">
        <f t="shared" si="43"/>
        <v>0</v>
      </c>
      <c r="H140" s="51" t="e">
        <f t="shared" si="34"/>
        <v>#DIV/0!</v>
      </c>
      <c r="I140" s="52" t="e">
        <f t="shared" ref="I140:I203" si="47">IF(AND(C$7="Y",$B140&lt;=C$4),0,IF(AND(C$7="Y",$B140&gt;C$4),(1-U140)*C$2*D139/12,IF(AND($C$7="N",C$4&gt;0),(1-U140)*D139*C$2/12, (1-U140)*D139*C$2/12)))</f>
        <v>#DIV/0!</v>
      </c>
      <c r="J140" s="57" t="e">
        <f t="shared" si="35"/>
        <v>#DIV/0!</v>
      </c>
      <c r="K140" s="51" t="e">
        <f t="shared" si="36"/>
        <v>#DIV/0!</v>
      </c>
      <c r="L140" s="49" t="e">
        <f t="shared" si="37"/>
        <v>#DIV/0!</v>
      </c>
      <c r="M140" s="49">
        <f t="shared" si="45"/>
        <v>0</v>
      </c>
      <c r="N140" s="49">
        <f t="shared" si="44"/>
        <v>0</v>
      </c>
      <c r="O140" s="48" t="e">
        <f t="shared" si="38"/>
        <v>#DIV/0!</v>
      </c>
      <c r="P140" s="38" t="e">
        <f t="shared" si="46"/>
        <v>#DIV/0!</v>
      </c>
      <c r="Q140" s="53"/>
      <c r="R140" s="53">
        <f t="shared" si="39"/>
        <v>0.12</v>
      </c>
      <c r="S140" s="53">
        <f t="shared" si="40"/>
        <v>1.0596241035318976E-2</v>
      </c>
      <c r="T140" s="53">
        <f t="shared" si="41"/>
        <v>0.04</v>
      </c>
      <c r="U140" s="53">
        <f t="shared" si="42"/>
        <v>3.3960531989175591E-3</v>
      </c>
    </row>
    <row r="141" spans="1:21" x14ac:dyDescent="0.2">
      <c r="A141" s="62"/>
      <c r="B141" s="45">
        <f t="shared" ref="B141:B204" si="48">B140+1</f>
        <v>130</v>
      </c>
      <c r="C141" s="51" t="e">
        <f t="shared" ref="C141:C204" si="49">IF(B141&lt;C$4,C$1,D140-L141+N141)</f>
        <v>#DIV/0!</v>
      </c>
      <c r="D141" s="47" t="e">
        <f t="shared" ref="D141:D204" si="50">(D140-J141)*(1-S141-U141)</f>
        <v>#DIV/0!</v>
      </c>
      <c r="E141" s="48">
        <f t="shared" ref="E141:E204" si="51">IF(AND($C$7="Y",B141&lt;=$C$4),D140*C$2/12-G141,0)</f>
        <v>0</v>
      </c>
      <c r="F141" s="50">
        <f t="shared" ref="F141:F204" si="52">IF(AND($C$7="Y",B141&lt;=C$4),E141+F140,0)</f>
        <v>0</v>
      </c>
      <c r="G141" s="50">
        <f t="shared" si="43"/>
        <v>0</v>
      </c>
      <c r="H141" s="51" t="e">
        <f t="shared" ref="H141:H204" si="53">IF(AND($B141&lt;=$C$4,C$7="Y"),0,IF(AND(C$7="N",C$4&gt;0,B141&lt;=C$4),0,(D140)*C$2/12/(1-(1/(1+C$2/12))^(C$3+C$4-B141+1))))</f>
        <v>#DIV/0!</v>
      </c>
      <c r="I141" s="52" t="e">
        <f t="shared" si="47"/>
        <v>#DIV/0!</v>
      </c>
      <c r="J141" s="57" t="e">
        <f t="shared" ref="J141:J204" si="54">IF(AND($B141&lt;=$C$4,C$7="Y"),0,IF(AND(C$7="N",C$4&gt;0,B141&lt;=C$4),0,H141-I141-D140*U141*C$2/12))</f>
        <v>#DIV/0!</v>
      </c>
      <c r="K141" s="51" t="e">
        <f t="shared" ref="K141:K204" si="55">(D140-D141)-L141+N141</f>
        <v>#DIV/0!</v>
      </c>
      <c r="L141" s="49" t="e">
        <f t="shared" ref="L141:L204" si="56">IF(AND(C$7="Y",$B141&lt;=$C$4),0,IF(AND(C$7="N",C$4&gt;0,B141&lt;=C$4),0,U141*D140))</f>
        <v>#DIV/0!</v>
      </c>
      <c r="M141" s="49">
        <f t="shared" si="45"/>
        <v>0</v>
      </c>
      <c r="N141" s="49">
        <f t="shared" si="44"/>
        <v>0</v>
      </c>
      <c r="O141" s="48" t="e">
        <f t="shared" ref="O141:O204" si="57">I141+K141+G141</f>
        <v>#DIV/0!</v>
      </c>
      <c r="P141" s="38" t="e">
        <f t="shared" si="46"/>
        <v>#DIV/0!</v>
      </c>
      <c r="Q141" s="53"/>
      <c r="R141" s="53">
        <f t="shared" ref="R141:R204" si="58">R$9</f>
        <v>0.12</v>
      </c>
      <c r="S141" s="53">
        <f t="shared" ref="S141:S204" si="59">1-(1-R141)^(1/12)</f>
        <v>1.0596241035318976E-2</v>
      </c>
      <c r="T141" s="53">
        <f t="shared" ref="T141:T204" si="60">T$9</f>
        <v>0.04</v>
      </c>
      <c r="U141" s="53">
        <f t="shared" si="42"/>
        <v>3.3960531989175591E-3</v>
      </c>
    </row>
    <row r="142" spans="1:21" x14ac:dyDescent="0.2">
      <c r="A142" s="62"/>
      <c r="B142" s="45">
        <f t="shared" si="48"/>
        <v>131</v>
      </c>
      <c r="C142" s="51" t="e">
        <f t="shared" si="49"/>
        <v>#DIV/0!</v>
      </c>
      <c r="D142" s="47" t="e">
        <f t="shared" si="50"/>
        <v>#DIV/0!</v>
      </c>
      <c r="E142" s="48">
        <f t="shared" si="51"/>
        <v>0</v>
      </c>
      <c r="F142" s="50">
        <f t="shared" si="52"/>
        <v>0</v>
      </c>
      <c r="G142" s="50">
        <f t="shared" si="43"/>
        <v>0</v>
      </c>
      <c r="H142" s="51" t="e">
        <f t="shared" si="53"/>
        <v>#DIV/0!</v>
      </c>
      <c r="I142" s="52" t="e">
        <f t="shared" si="47"/>
        <v>#DIV/0!</v>
      </c>
      <c r="J142" s="57" t="e">
        <f t="shared" si="54"/>
        <v>#DIV/0!</v>
      </c>
      <c r="K142" s="51" t="e">
        <f t="shared" si="55"/>
        <v>#DIV/0!</v>
      </c>
      <c r="L142" s="49" t="e">
        <f t="shared" si="56"/>
        <v>#DIV/0!</v>
      </c>
      <c r="M142" s="49">
        <f t="shared" si="45"/>
        <v>0</v>
      </c>
      <c r="N142" s="49">
        <f t="shared" si="44"/>
        <v>0</v>
      </c>
      <c r="O142" s="48" t="e">
        <f t="shared" si="57"/>
        <v>#DIV/0!</v>
      </c>
      <c r="P142" s="38" t="e">
        <f t="shared" si="46"/>
        <v>#DIV/0!</v>
      </c>
      <c r="Q142" s="53"/>
      <c r="R142" s="53">
        <f t="shared" si="58"/>
        <v>0.12</v>
      </c>
      <c r="S142" s="53">
        <f t="shared" si="59"/>
        <v>1.0596241035318976E-2</v>
      </c>
      <c r="T142" s="53">
        <f t="shared" si="60"/>
        <v>0.04</v>
      </c>
      <c r="U142" s="53">
        <f t="shared" ref="U142:U205" si="61">1-(1-T142)^(1/12)</f>
        <v>3.3960531989175591E-3</v>
      </c>
    </row>
    <row r="143" spans="1:21" x14ac:dyDescent="0.2">
      <c r="A143" s="62"/>
      <c r="B143" s="45">
        <f t="shared" si="48"/>
        <v>132</v>
      </c>
      <c r="C143" s="51" t="e">
        <f t="shared" si="49"/>
        <v>#DIV/0!</v>
      </c>
      <c r="D143" s="47" t="e">
        <f t="shared" si="50"/>
        <v>#DIV/0!</v>
      </c>
      <c r="E143" s="48">
        <f t="shared" si="51"/>
        <v>0</v>
      </c>
      <c r="F143" s="50">
        <f t="shared" si="52"/>
        <v>0</v>
      </c>
      <c r="G143" s="50">
        <f t="shared" ref="G143:G206" si="62">IF($B143&lt;=$C$4,C$6,0)</f>
        <v>0</v>
      </c>
      <c r="H143" s="51" t="e">
        <f t="shared" si="53"/>
        <v>#DIV/0!</v>
      </c>
      <c r="I143" s="52" t="e">
        <f t="shared" si="47"/>
        <v>#DIV/0!</v>
      </c>
      <c r="J143" s="57" t="e">
        <f t="shared" si="54"/>
        <v>#DIV/0!</v>
      </c>
      <c r="K143" s="51" t="e">
        <f t="shared" si="55"/>
        <v>#DIV/0!</v>
      </c>
      <c r="L143" s="49" t="e">
        <f t="shared" si="56"/>
        <v>#DIV/0!</v>
      </c>
      <c r="M143" s="49">
        <f t="shared" si="45"/>
        <v>0</v>
      </c>
      <c r="N143" s="49">
        <f t="shared" si="44"/>
        <v>0</v>
      </c>
      <c r="O143" s="48" t="e">
        <f t="shared" si="57"/>
        <v>#DIV/0!</v>
      </c>
      <c r="P143" s="38" t="e">
        <f t="shared" si="46"/>
        <v>#DIV/0!</v>
      </c>
      <c r="Q143" s="53"/>
      <c r="R143" s="53">
        <f t="shared" si="58"/>
        <v>0.12</v>
      </c>
      <c r="S143" s="53">
        <f t="shared" si="59"/>
        <v>1.0596241035318976E-2</v>
      </c>
      <c r="T143" s="53">
        <f t="shared" si="60"/>
        <v>0.04</v>
      </c>
      <c r="U143" s="53">
        <f t="shared" si="61"/>
        <v>3.3960531989175591E-3</v>
      </c>
    </row>
    <row r="144" spans="1:21" x14ac:dyDescent="0.2">
      <c r="A144" s="62"/>
      <c r="B144" s="45">
        <f t="shared" si="48"/>
        <v>133</v>
      </c>
      <c r="C144" s="51" t="e">
        <f t="shared" si="49"/>
        <v>#DIV/0!</v>
      </c>
      <c r="D144" s="47" t="e">
        <f t="shared" si="50"/>
        <v>#DIV/0!</v>
      </c>
      <c r="E144" s="48">
        <f t="shared" si="51"/>
        <v>0</v>
      </c>
      <c r="F144" s="50">
        <f t="shared" si="52"/>
        <v>0</v>
      </c>
      <c r="G144" s="50">
        <f t="shared" si="62"/>
        <v>0</v>
      </c>
      <c r="H144" s="51" t="e">
        <f t="shared" si="53"/>
        <v>#DIV/0!</v>
      </c>
      <c r="I144" s="52" t="e">
        <f t="shared" si="47"/>
        <v>#DIV/0!</v>
      </c>
      <c r="J144" s="57" t="e">
        <f t="shared" si="54"/>
        <v>#DIV/0!</v>
      </c>
      <c r="K144" s="51" t="e">
        <f t="shared" si="55"/>
        <v>#DIV/0!</v>
      </c>
      <c r="L144" s="49" t="e">
        <f t="shared" si="56"/>
        <v>#DIV/0!</v>
      </c>
      <c r="M144" s="49">
        <f t="shared" si="45"/>
        <v>0</v>
      </c>
      <c r="N144" s="49">
        <f t="shared" si="44"/>
        <v>0</v>
      </c>
      <c r="O144" s="48" t="e">
        <f t="shared" si="57"/>
        <v>#DIV/0!</v>
      </c>
      <c r="P144" s="38" t="e">
        <f t="shared" si="46"/>
        <v>#DIV/0!</v>
      </c>
      <c r="Q144" s="53"/>
      <c r="R144" s="53">
        <f t="shared" si="58"/>
        <v>0.12</v>
      </c>
      <c r="S144" s="53">
        <f t="shared" si="59"/>
        <v>1.0596241035318976E-2</v>
      </c>
      <c r="T144" s="53">
        <f t="shared" si="60"/>
        <v>0.04</v>
      </c>
      <c r="U144" s="53">
        <f t="shared" si="61"/>
        <v>3.3960531989175591E-3</v>
      </c>
    </row>
    <row r="145" spans="1:21" x14ac:dyDescent="0.2">
      <c r="A145" s="62"/>
      <c r="B145" s="45">
        <f t="shared" si="48"/>
        <v>134</v>
      </c>
      <c r="C145" s="51" t="e">
        <f t="shared" si="49"/>
        <v>#DIV/0!</v>
      </c>
      <c r="D145" s="47" t="e">
        <f t="shared" si="50"/>
        <v>#DIV/0!</v>
      </c>
      <c r="E145" s="48">
        <f t="shared" si="51"/>
        <v>0</v>
      </c>
      <c r="F145" s="50">
        <f t="shared" si="52"/>
        <v>0</v>
      </c>
      <c r="G145" s="50">
        <f t="shared" si="62"/>
        <v>0</v>
      </c>
      <c r="H145" s="51" t="e">
        <f t="shared" si="53"/>
        <v>#DIV/0!</v>
      </c>
      <c r="I145" s="52" t="e">
        <f t="shared" si="47"/>
        <v>#DIV/0!</v>
      </c>
      <c r="J145" s="57" t="e">
        <f t="shared" si="54"/>
        <v>#DIV/0!</v>
      </c>
      <c r="K145" s="51" t="e">
        <f t="shared" si="55"/>
        <v>#DIV/0!</v>
      </c>
      <c r="L145" s="49" t="e">
        <f t="shared" si="56"/>
        <v>#DIV/0!</v>
      </c>
      <c r="M145" s="49">
        <f t="shared" si="45"/>
        <v>0</v>
      </c>
      <c r="N145" s="49">
        <f t="shared" si="44"/>
        <v>0</v>
      </c>
      <c r="O145" s="48" t="e">
        <f t="shared" si="57"/>
        <v>#DIV/0!</v>
      </c>
      <c r="P145" s="38" t="e">
        <f t="shared" si="46"/>
        <v>#DIV/0!</v>
      </c>
      <c r="Q145" s="53"/>
      <c r="R145" s="53">
        <f t="shared" si="58"/>
        <v>0.12</v>
      </c>
      <c r="S145" s="53">
        <f t="shared" si="59"/>
        <v>1.0596241035318976E-2</v>
      </c>
      <c r="T145" s="53">
        <f t="shared" si="60"/>
        <v>0.04</v>
      </c>
      <c r="U145" s="53">
        <f t="shared" si="61"/>
        <v>3.3960531989175591E-3</v>
      </c>
    </row>
    <row r="146" spans="1:21" x14ac:dyDescent="0.2">
      <c r="A146" s="62"/>
      <c r="B146" s="45">
        <f t="shared" si="48"/>
        <v>135</v>
      </c>
      <c r="C146" s="51" t="e">
        <f t="shared" si="49"/>
        <v>#DIV/0!</v>
      </c>
      <c r="D146" s="47" t="e">
        <f t="shared" si="50"/>
        <v>#DIV/0!</v>
      </c>
      <c r="E146" s="48">
        <f t="shared" si="51"/>
        <v>0</v>
      </c>
      <c r="F146" s="50">
        <f t="shared" si="52"/>
        <v>0</v>
      </c>
      <c r="G146" s="50">
        <f t="shared" si="62"/>
        <v>0</v>
      </c>
      <c r="H146" s="51" t="e">
        <f t="shared" si="53"/>
        <v>#DIV/0!</v>
      </c>
      <c r="I146" s="52" t="e">
        <f t="shared" si="47"/>
        <v>#DIV/0!</v>
      </c>
      <c r="J146" s="57" t="e">
        <f t="shared" si="54"/>
        <v>#DIV/0!</v>
      </c>
      <c r="K146" s="51" t="e">
        <f t="shared" si="55"/>
        <v>#DIV/0!</v>
      </c>
      <c r="L146" s="49" t="e">
        <f t="shared" si="56"/>
        <v>#DIV/0!</v>
      </c>
      <c r="M146" s="49">
        <f t="shared" si="45"/>
        <v>0</v>
      </c>
      <c r="N146" s="49">
        <f t="shared" si="44"/>
        <v>0</v>
      </c>
      <c r="O146" s="48" t="e">
        <f t="shared" si="57"/>
        <v>#DIV/0!</v>
      </c>
      <c r="P146" s="38" t="e">
        <f t="shared" si="46"/>
        <v>#DIV/0!</v>
      </c>
      <c r="Q146" s="53"/>
      <c r="R146" s="53">
        <f t="shared" si="58"/>
        <v>0.12</v>
      </c>
      <c r="S146" s="53">
        <f t="shared" si="59"/>
        <v>1.0596241035318976E-2</v>
      </c>
      <c r="T146" s="53">
        <f t="shared" si="60"/>
        <v>0.04</v>
      </c>
      <c r="U146" s="53">
        <f t="shared" si="61"/>
        <v>3.3960531989175591E-3</v>
      </c>
    </row>
    <row r="147" spans="1:21" x14ac:dyDescent="0.2">
      <c r="A147" s="62"/>
      <c r="B147" s="45">
        <f t="shared" si="48"/>
        <v>136</v>
      </c>
      <c r="C147" s="51" t="e">
        <f t="shared" si="49"/>
        <v>#DIV/0!</v>
      </c>
      <c r="D147" s="47" t="e">
        <f t="shared" si="50"/>
        <v>#DIV/0!</v>
      </c>
      <c r="E147" s="48">
        <f t="shared" si="51"/>
        <v>0</v>
      </c>
      <c r="F147" s="50">
        <f t="shared" si="52"/>
        <v>0</v>
      </c>
      <c r="G147" s="50">
        <f t="shared" si="62"/>
        <v>0</v>
      </c>
      <c r="H147" s="51" t="e">
        <f t="shared" si="53"/>
        <v>#DIV/0!</v>
      </c>
      <c r="I147" s="52" t="e">
        <f t="shared" si="47"/>
        <v>#DIV/0!</v>
      </c>
      <c r="J147" s="57" t="e">
        <f t="shared" si="54"/>
        <v>#DIV/0!</v>
      </c>
      <c r="K147" s="51" t="e">
        <f t="shared" si="55"/>
        <v>#DIV/0!</v>
      </c>
      <c r="L147" s="49" t="e">
        <f t="shared" si="56"/>
        <v>#DIV/0!</v>
      </c>
      <c r="M147" s="49">
        <f t="shared" si="45"/>
        <v>0</v>
      </c>
      <c r="N147" s="49">
        <f t="shared" si="44"/>
        <v>0</v>
      </c>
      <c r="O147" s="48" t="e">
        <f t="shared" si="57"/>
        <v>#DIV/0!</v>
      </c>
      <c r="P147" s="38" t="e">
        <f t="shared" si="46"/>
        <v>#DIV/0!</v>
      </c>
      <c r="Q147" s="53"/>
      <c r="R147" s="53">
        <f t="shared" si="58"/>
        <v>0.12</v>
      </c>
      <c r="S147" s="53">
        <f t="shared" si="59"/>
        <v>1.0596241035318976E-2</v>
      </c>
      <c r="T147" s="53">
        <f t="shared" si="60"/>
        <v>0.04</v>
      </c>
      <c r="U147" s="53">
        <f t="shared" si="61"/>
        <v>3.3960531989175591E-3</v>
      </c>
    </row>
    <row r="148" spans="1:21" x14ac:dyDescent="0.2">
      <c r="A148" s="62"/>
      <c r="B148" s="45">
        <f t="shared" si="48"/>
        <v>137</v>
      </c>
      <c r="C148" s="51" t="e">
        <f t="shared" si="49"/>
        <v>#DIV/0!</v>
      </c>
      <c r="D148" s="47" t="e">
        <f t="shared" si="50"/>
        <v>#DIV/0!</v>
      </c>
      <c r="E148" s="48">
        <f t="shared" si="51"/>
        <v>0</v>
      </c>
      <c r="F148" s="50">
        <f t="shared" si="52"/>
        <v>0</v>
      </c>
      <c r="G148" s="50">
        <f t="shared" si="62"/>
        <v>0</v>
      </c>
      <c r="H148" s="51" t="e">
        <f t="shared" si="53"/>
        <v>#DIV/0!</v>
      </c>
      <c r="I148" s="52" t="e">
        <f t="shared" si="47"/>
        <v>#DIV/0!</v>
      </c>
      <c r="J148" s="57" t="e">
        <f t="shared" si="54"/>
        <v>#DIV/0!</v>
      </c>
      <c r="K148" s="51" t="e">
        <f t="shared" si="55"/>
        <v>#DIV/0!</v>
      </c>
      <c r="L148" s="49" t="e">
        <f t="shared" si="56"/>
        <v>#DIV/0!</v>
      </c>
      <c r="M148" s="49">
        <f t="shared" si="45"/>
        <v>0</v>
      </c>
      <c r="N148" s="49">
        <f t="shared" si="44"/>
        <v>0</v>
      </c>
      <c r="O148" s="48" t="e">
        <f t="shared" si="57"/>
        <v>#DIV/0!</v>
      </c>
      <c r="P148" s="38" t="e">
        <f t="shared" si="46"/>
        <v>#DIV/0!</v>
      </c>
      <c r="Q148" s="53"/>
      <c r="R148" s="53">
        <f t="shared" si="58"/>
        <v>0.12</v>
      </c>
      <c r="S148" s="53">
        <f t="shared" si="59"/>
        <v>1.0596241035318976E-2</v>
      </c>
      <c r="T148" s="53">
        <f t="shared" si="60"/>
        <v>0.04</v>
      </c>
      <c r="U148" s="53">
        <f t="shared" si="61"/>
        <v>3.3960531989175591E-3</v>
      </c>
    </row>
    <row r="149" spans="1:21" x14ac:dyDescent="0.2">
      <c r="A149" s="62"/>
      <c r="B149" s="45">
        <f t="shared" si="48"/>
        <v>138</v>
      </c>
      <c r="C149" s="51" t="e">
        <f t="shared" si="49"/>
        <v>#DIV/0!</v>
      </c>
      <c r="D149" s="47" t="e">
        <f t="shared" si="50"/>
        <v>#DIV/0!</v>
      </c>
      <c r="E149" s="48">
        <f t="shared" si="51"/>
        <v>0</v>
      </c>
      <c r="F149" s="50">
        <f t="shared" si="52"/>
        <v>0</v>
      </c>
      <c r="G149" s="50">
        <f t="shared" si="62"/>
        <v>0</v>
      </c>
      <c r="H149" s="51" t="e">
        <f t="shared" si="53"/>
        <v>#DIV/0!</v>
      </c>
      <c r="I149" s="52" t="e">
        <f t="shared" si="47"/>
        <v>#DIV/0!</v>
      </c>
      <c r="J149" s="57" t="e">
        <f t="shared" si="54"/>
        <v>#DIV/0!</v>
      </c>
      <c r="K149" s="51" t="e">
        <f t="shared" si="55"/>
        <v>#DIV/0!</v>
      </c>
      <c r="L149" s="49" t="e">
        <f t="shared" si="56"/>
        <v>#DIV/0!</v>
      </c>
      <c r="M149" s="49">
        <f t="shared" si="45"/>
        <v>0</v>
      </c>
      <c r="N149" s="49">
        <f t="shared" si="44"/>
        <v>0</v>
      </c>
      <c r="O149" s="48" t="e">
        <f t="shared" si="57"/>
        <v>#DIV/0!</v>
      </c>
      <c r="P149" s="38" t="e">
        <f t="shared" si="46"/>
        <v>#DIV/0!</v>
      </c>
      <c r="Q149" s="53"/>
      <c r="R149" s="53">
        <f t="shared" si="58"/>
        <v>0.12</v>
      </c>
      <c r="S149" s="53">
        <f t="shared" si="59"/>
        <v>1.0596241035318976E-2</v>
      </c>
      <c r="T149" s="53">
        <f t="shared" si="60"/>
        <v>0.04</v>
      </c>
      <c r="U149" s="53">
        <f t="shared" si="61"/>
        <v>3.3960531989175591E-3</v>
      </c>
    </row>
    <row r="150" spans="1:21" x14ac:dyDescent="0.2">
      <c r="A150" s="62"/>
      <c r="B150" s="45">
        <f t="shared" si="48"/>
        <v>139</v>
      </c>
      <c r="C150" s="51" t="e">
        <f t="shared" si="49"/>
        <v>#DIV/0!</v>
      </c>
      <c r="D150" s="47" t="e">
        <f t="shared" si="50"/>
        <v>#DIV/0!</v>
      </c>
      <c r="E150" s="48">
        <f t="shared" si="51"/>
        <v>0</v>
      </c>
      <c r="F150" s="50">
        <f t="shared" si="52"/>
        <v>0</v>
      </c>
      <c r="G150" s="50">
        <f t="shared" si="62"/>
        <v>0</v>
      </c>
      <c r="H150" s="51" t="e">
        <f t="shared" si="53"/>
        <v>#DIV/0!</v>
      </c>
      <c r="I150" s="52" t="e">
        <f t="shared" si="47"/>
        <v>#DIV/0!</v>
      </c>
      <c r="J150" s="57" t="e">
        <f t="shared" si="54"/>
        <v>#DIV/0!</v>
      </c>
      <c r="K150" s="51" t="e">
        <f t="shared" si="55"/>
        <v>#DIV/0!</v>
      </c>
      <c r="L150" s="49" t="e">
        <f t="shared" si="56"/>
        <v>#DIV/0!</v>
      </c>
      <c r="M150" s="49">
        <f t="shared" si="45"/>
        <v>0</v>
      </c>
      <c r="N150" s="49">
        <f t="shared" si="44"/>
        <v>0</v>
      </c>
      <c r="O150" s="48" t="e">
        <f t="shared" si="57"/>
        <v>#DIV/0!</v>
      </c>
      <c r="P150" s="38" t="e">
        <f t="shared" si="46"/>
        <v>#DIV/0!</v>
      </c>
      <c r="Q150" s="53"/>
      <c r="R150" s="53">
        <f t="shared" si="58"/>
        <v>0.12</v>
      </c>
      <c r="S150" s="53">
        <f t="shared" si="59"/>
        <v>1.0596241035318976E-2</v>
      </c>
      <c r="T150" s="53">
        <f t="shared" si="60"/>
        <v>0.04</v>
      </c>
      <c r="U150" s="53">
        <f t="shared" si="61"/>
        <v>3.3960531989175591E-3</v>
      </c>
    </row>
    <row r="151" spans="1:21" x14ac:dyDescent="0.2">
      <c r="A151" s="62"/>
      <c r="B151" s="45">
        <f t="shared" si="48"/>
        <v>140</v>
      </c>
      <c r="C151" s="51" t="e">
        <f t="shared" si="49"/>
        <v>#DIV/0!</v>
      </c>
      <c r="D151" s="47" t="e">
        <f t="shared" si="50"/>
        <v>#DIV/0!</v>
      </c>
      <c r="E151" s="48">
        <f t="shared" si="51"/>
        <v>0</v>
      </c>
      <c r="F151" s="50">
        <f t="shared" si="52"/>
        <v>0</v>
      </c>
      <c r="G151" s="50">
        <f t="shared" si="62"/>
        <v>0</v>
      </c>
      <c r="H151" s="51" t="e">
        <f t="shared" si="53"/>
        <v>#DIV/0!</v>
      </c>
      <c r="I151" s="52" t="e">
        <f t="shared" si="47"/>
        <v>#DIV/0!</v>
      </c>
      <c r="J151" s="57" t="e">
        <f t="shared" si="54"/>
        <v>#DIV/0!</v>
      </c>
      <c r="K151" s="51" t="e">
        <f t="shared" si="55"/>
        <v>#DIV/0!</v>
      </c>
      <c r="L151" s="49" t="e">
        <f t="shared" si="56"/>
        <v>#DIV/0!</v>
      </c>
      <c r="M151" s="49">
        <f t="shared" si="45"/>
        <v>0</v>
      </c>
      <c r="N151" s="49">
        <f t="shared" si="44"/>
        <v>0</v>
      </c>
      <c r="O151" s="48" t="e">
        <f t="shared" si="57"/>
        <v>#DIV/0!</v>
      </c>
      <c r="P151" s="38" t="e">
        <f t="shared" si="46"/>
        <v>#DIV/0!</v>
      </c>
      <c r="Q151" s="53"/>
      <c r="R151" s="53">
        <f t="shared" si="58"/>
        <v>0.12</v>
      </c>
      <c r="S151" s="53">
        <f t="shared" si="59"/>
        <v>1.0596241035318976E-2</v>
      </c>
      <c r="T151" s="53">
        <f t="shared" si="60"/>
        <v>0.04</v>
      </c>
      <c r="U151" s="53">
        <f t="shared" si="61"/>
        <v>3.3960531989175591E-3</v>
      </c>
    </row>
    <row r="152" spans="1:21" x14ac:dyDescent="0.2">
      <c r="A152" s="62"/>
      <c r="B152" s="45">
        <f t="shared" si="48"/>
        <v>141</v>
      </c>
      <c r="C152" s="51" t="e">
        <f t="shared" si="49"/>
        <v>#DIV/0!</v>
      </c>
      <c r="D152" s="47" t="e">
        <f t="shared" si="50"/>
        <v>#DIV/0!</v>
      </c>
      <c r="E152" s="48">
        <f t="shared" si="51"/>
        <v>0</v>
      </c>
      <c r="F152" s="50">
        <f t="shared" si="52"/>
        <v>0</v>
      </c>
      <c r="G152" s="50">
        <f t="shared" si="62"/>
        <v>0</v>
      </c>
      <c r="H152" s="51" t="e">
        <f t="shared" si="53"/>
        <v>#DIV/0!</v>
      </c>
      <c r="I152" s="52" t="e">
        <f t="shared" si="47"/>
        <v>#DIV/0!</v>
      </c>
      <c r="J152" s="57" t="e">
        <f t="shared" si="54"/>
        <v>#DIV/0!</v>
      </c>
      <c r="K152" s="51" t="e">
        <f t="shared" si="55"/>
        <v>#DIV/0!</v>
      </c>
      <c r="L152" s="49" t="e">
        <f t="shared" si="56"/>
        <v>#DIV/0!</v>
      </c>
      <c r="M152" s="49">
        <f t="shared" si="45"/>
        <v>0</v>
      </c>
      <c r="N152" s="49">
        <f t="shared" si="44"/>
        <v>0</v>
      </c>
      <c r="O152" s="48" t="e">
        <f t="shared" si="57"/>
        <v>#DIV/0!</v>
      </c>
      <c r="P152" s="38" t="e">
        <f t="shared" si="46"/>
        <v>#DIV/0!</v>
      </c>
      <c r="Q152" s="53"/>
      <c r="R152" s="53">
        <f t="shared" si="58"/>
        <v>0.12</v>
      </c>
      <c r="S152" s="53">
        <f t="shared" si="59"/>
        <v>1.0596241035318976E-2</v>
      </c>
      <c r="T152" s="53">
        <f t="shared" si="60"/>
        <v>0.04</v>
      </c>
      <c r="U152" s="53">
        <f t="shared" si="61"/>
        <v>3.3960531989175591E-3</v>
      </c>
    </row>
    <row r="153" spans="1:21" x14ac:dyDescent="0.2">
      <c r="A153" s="62"/>
      <c r="B153" s="45">
        <f t="shared" si="48"/>
        <v>142</v>
      </c>
      <c r="C153" s="51" t="e">
        <f t="shared" si="49"/>
        <v>#DIV/0!</v>
      </c>
      <c r="D153" s="47" t="e">
        <f t="shared" si="50"/>
        <v>#DIV/0!</v>
      </c>
      <c r="E153" s="48">
        <f t="shared" si="51"/>
        <v>0</v>
      </c>
      <c r="F153" s="50">
        <f t="shared" si="52"/>
        <v>0</v>
      </c>
      <c r="G153" s="50">
        <f t="shared" si="62"/>
        <v>0</v>
      </c>
      <c r="H153" s="51" t="e">
        <f t="shared" si="53"/>
        <v>#DIV/0!</v>
      </c>
      <c r="I153" s="52" t="e">
        <f t="shared" si="47"/>
        <v>#DIV/0!</v>
      </c>
      <c r="J153" s="57" t="e">
        <f t="shared" si="54"/>
        <v>#DIV/0!</v>
      </c>
      <c r="K153" s="51" t="e">
        <f t="shared" si="55"/>
        <v>#DIV/0!</v>
      </c>
      <c r="L153" s="49" t="e">
        <f t="shared" si="56"/>
        <v>#DIV/0!</v>
      </c>
      <c r="M153" s="49">
        <f t="shared" si="45"/>
        <v>0</v>
      </c>
      <c r="N153" s="49">
        <f t="shared" si="44"/>
        <v>0</v>
      </c>
      <c r="O153" s="48" t="e">
        <f t="shared" si="57"/>
        <v>#DIV/0!</v>
      </c>
      <c r="P153" s="38" t="e">
        <f t="shared" si="46"/>
        <v>#DIV/0!</v>
      </c>
      <c r="Q153" s="53"/>
      <c r="R153" s="53">
        <f t="shared" si="58"/>
        <v>0.12</v>
      </c>
      <c r="S153" s="53">
        <f t="shared" si="59"/>
        <v>1.0596241035318976E-2</v>
      </c>
      <c r="T153" s="53">
        <f t="shared" si="60"/>
        <v>0.04</v>
      </c>
      <c r="U153" s="53">
        <f t="shared" si="61"/>
        <v>3.3960531989175591E-3</v>
      </c>
    </row>
    <row r="154" spans="1:21" x14ac:dyDescent="0.2">
      <c r="A154" s="62"/>
      <c r="B154" s="45">
        <f t="shared" si="48"/>
        <v>143</v>
      </c>
      <c r="C154" s="51" t="e">
        <f t="shared" si="49"/>
        <v>#DIV/0!</v>
      </c>
      <c r="D154" s="47" t="e">
        <f t="shared" si="50"/>
        <v>#DIV/0!</v>
      </c>
      <c r="E154" s="48">
        <f t="shared" si="51"/>
        <v>0</v>
      </c>
      <c r="F154" s="50">
        <f t="shared" si="52"/>
        <v>0</v>
      </c>
      <c r="G154" s="50">
        <f t="shared" si="62"/>
        <v>0</v>
      </c>
      <c r="H154" s="51" t="e">
        <f t="shared" si="53"/>
        <v>#DIV/0!</v>
      </c>
      <c r="I154" s="52" t="e">
        <f t="shared" si="47"/>
        <v>#DIV/0!</v>
      </c>
      <c r="J154" s="57" t="e">
        <f t="shared" si="54"/>
        <v>#DIV/0!</v>
      </c>
      <c r="K154" s="51" t="e">
        <f t="shared" si="55"/>
        <v>#DIV/0!</v>
      </c>
      <c r="L154" s="49" t="e">
        <f t="shared" si="56"/>
        <v>#DIV/0!</v>
      </c>
      <c r="M154" s="49">
        <f t="shared" si="45"/>
        <v>0</v>
      </c>
      <c r="N154" s="49">
        <f t="shared" si="44"/>
        <v>0</v>
      </c>
      <c r="O154" s="48" t="e">
        <f t="shared" si="57"/>
        <v>#DIV/0!</v>
      </c>
      <c r="P154" s="38" t="e">
        <f t="shared" si="46"/>
        <v>#DIV/0!</v>
      </c>
      <c r="Q154" s="53"/>
      <c r="R154" s="53">
        <f t="shared" si="58"/>
        <v>0.12</v>
      </c>
      <c r="S154" s="53">
        <f t="shared" si="59"/>
        <v>1.0596241035318976E-2</v>
      </c>
      <c r="T154" s="53">
        <f t="shared" si="60"/>
        <v>0.04</v>
      </c>
      <c r="U154" s="53">
        <f t="shared" si="61"/>
        <v>3.3960531989175591E-3</v>
      </c>
    </row>
    <row r="155" spans="1:21" x14ac:dyDescent="0.2">
      <c r="A155" s="62"/>
      <c r="B155" s="45">
        <f t="shared" si="48"/>
        <v>144</v>
      </c>
      <c r="C155" s="51" t="e">
        <f t="shared" si="49"/>
        <v>#DIV/0!</v>
      </c>
      <c r="D155" s="47" t="e">
        <f t="shared" si="50"/>
        <v>#DIV/0!</v>
      </c>
      <c r="E155" s="48">
        <f t="shared" si="51"/>
        <v>0</v>
      </c>
      <c r="F155" s="50">
        <f t="shared" si="52"/>
        <v>0</v>
      </c>
      <c r="G155" s="50">
        <f t="shared" si="62"/>
        <v>0</v>
      </c>
      <c r="H155" s="51" t="e">
        <f t="shared" si="53"/>
        <v>#DIV/0!</v>
      </c>
      <c r="I155" s="52" t="e">
        <f t="shared" si="47"/>
        <v>#DIV/0!</v>
      </c>
      <c r="J155" s="57" t="e">
        <f t="shared" si="54"/>
        <v>#DIV/0!</v>
      </c>
      <c r="K155" s="51" t="e">
        <f t="shared" si="55"/>
        <v>#DIV/0!</v>
      </c>
      <c r="L155" s="49" t="e">
        <f t="shared" si="56"/>
        <v>#DIV/0!</v>
      </c>
      <c r="M155" s="49">
        <f t="shared" si="45"/>
        <v>0</v>
      </c>
      <c r="N155" s="49">
        <f t="shared" si="44"/>
        <v>0</v>
      </c>
      <c r="O155" s="48" t="e">
        <f t="shared" si="57"/>
        <v>#DIV/0!</v>
      </c>
      <c r="P155" s="38" t="e">
        <f t="shared" si="46"/>
        <v>#DIV/0!</v>
      </c>
      <c r="Q155" s="53"/>
      <c r="R155" s="53">
        <f t="shared" si="58"/>
        <v>0.12</v>
      </c>
      <c r="S155" s="53">
        <f t="shared" si="59"/>
        <v>1.0596241035318976E-2</v>
      </c>
      <c r="T155" s="53">
        <f t="shared" si="60"/>
        <v>0.04</v>
      </c>
      <c r="U155" s="53">
        <f t="shared" si="61"/>
        <v>3.3960531989175591E-3</v>
      </c>
    </row>
    <row r="156" spans="1:21" x14ac:dyDescent="0.2">
      <c r="A156" s="62"/>
      <c r="B156" s="45">
        <f t="shared" si="48"/>
        <v>145</v>
      </c>
      <c r="C156" s="51" t="e">
        <f t="shared" si="49"/>
        <v>#DIV/0!</v>
      </c>
      <c r="D156" s="47" t="e">
        <f t="shared" si="50"/>
        <v>#DIV/0!</v>
      </c>
      <c r="E156" s="48">
        <f t="shared" si="51"/>
        <v>0</v>
      </c>
      <c r="F156" s="50">
        <f t="shared" si="52"/>
        <v>0</v>
      </c>
      <c r="G156" s="50">
        <f t="shared" si="62"/>
        <v>0</v>
      </c>
      <c r="H156" s="51" t="e">
        <f t="shared" si="53"/>
        <v>#DIV/0!</v>
      </c>
      <c r="I156" s="52" t="e">
        <f t="shared" si="47"/>
        <v>#DIV/0!</v>
      </c>
      <c r="J156" s="57" t="e">
        <f t="shared" si="54"/>
        <v>#DIV/0!</v>
      </c>
      <c r="K156" s="51" t="e">
        <f t="shared" si="55"/>
        <v>#DIV/0!</v>
      </c>
      <c r="L156" s="49" t="e">
        <f t="shared" si="56"/>
        <v>#DIV/0!</v>
      </c>
      <c r="M156" s="49">
        <f t="shared" si="45"/>
        <v>0</v>
      </c>
      <c r="N156" s="49">
        <f t="shared" si="44"/>
        <v>0</v>
      </c>
      <c r="O156" s="48" t="e">
        <f t="shared" si="57"/>
        <v>#DIV/0!</v>
      </c>
      <c r="P156" s="38" t="e">
        <f t="shared" si="46"/>
        <v>#DIV/0!</v>
      </c>
      <c r="Q156" s="53"/>
      <c r="R156" s="53">
        <f t="shared" si="58"/>
        <v>0.12</v>
      </c>
      <c r="S156" s="53">
        <f t="shared" si="59"/>
        <v>1.0596241035318976E-2</v>
      </c>
      <c r="T156" s="53">
        <f t="shared" si="60"/>
        <v>0.04</v>
      </c>
      <c r="U156" s="53">
        <f t="shared" si="61"/>
        <v>3.3960531989175591E-3</v>
      </c>
    </row>
    <row r="157" spans="1:21" x14ac:dyDescent="0.2">
      <c r="A157" s="62"/>
      <c r="B157" s="45">
        <f t="shared" si="48"/>
        <v>146</v>
      </c>
      <c r="C157" s="51" t="e">
        <f t="shared" si="49"/>
        <v>#DIV/0!</v>
      </c>
      <c r="D157" s="47" t="e">
        <f t="shared" si="50"/>
        <v>#DIV/0!</v>
      </c>
      <c r="E157" s="48">
        <f t="shared" si="51"/>
        <v>0</v>
      </c>
      <c r="F157" s="50">
        <f t="shared" si="52"/>
        <v>0</v>
      </c>
      <c r="G157" s="50">
        <f t="shared" si="62"/>
        <v>0</v>
      </c>
      <c r="H157" s="51" t="e">
        <f t="shared" si="53"/>
        <v>#DIV/0!</v>
      </c>
      <c r="I157" s="52" t="e">
        <f t="shared" si="47"/>
        <v>#DIV/0!</v>
      </c>
      <c r="J157" s="57" t="e">
        <f t="shared" si="54"/>
        <v>#DIV/0!</v>
      </c>
      <c r="K157" s="51" t="e">
        <f t="shared" si="55"/>
        <v>#DIV/0!</v>
      </c>
      <c r="L157" s="49" t="e">
        <f t="shared" si="56"/>
        <v>#DIV/0!</v>
      </c>
      <c r="M157" s="49">
        <f t="shared" si="45"/>
        <v>0</v>
      </c>
      <c r="N157" s="49">
        <f t="shared" si="44"/>
        <v>0</v>
      </c>
      <c r="O157" s="48" t="e">
        <f t="shared" si="57"/>
        <v>#DIV/0!</v>
      </c>
      <c r="P157" s="38" t="e">
        <f t="shared" si="46"/>
        <v>#DIV/0!</v>
      </c>
      <c r="Q157" s="53"/>
      <c r="R157" s="53">
        <f t="shared" si="58"/>
        <v>0.12</v>
      </c>
      <c r="S157" s="53">
        <f t="shared" si="59"/>
        <v>1.0596241035318976E-2</v>
      </c>
      <c r="T157" s="53">
        <f t="shared" si="60"/>
        <v>0.04</v>
      </c>
      <c r="U157" s="53">
        <f t="shared" si="61"/>
        <v>3.3960531989175591E-3</v>
      </c>
    </row>
    <row r="158" spans="1:21" x14ac:dyDescent="0.2">
      <c r="A158" s="62"/>
      <c r="B158" s="45">
        <f t="shared" si="48"/>
        <v>147</v>
      </c>
      <c r="C158" s="51" t="e">
        <f t="shared" si="49"/>
        <v>#DIV/0!</v>
      </c>
      <c r="D158" s="47" t="e">
        <f t="shared" si="50"/>
        <v>#DIV/0!</v>
      </c>
      <c r="E158" s="48">
        <f t="shared" si="51"/>
        <v>0</v>
      </c>
      <c r="F158" s="50">
        <f t="shared" si="52"/>
        <v>0</v>
      </c>
      <c r="G158" s="50">
        <f t="shared" si="62"/>
        <v>0</v>
      </c>
      <c r="H158" s="51" t="e">
        <f t="shared" si="53"/>
        <v>#DIV/0!</v>
      </c>
      <c r="I158" s="52" t="e">
        <f t="shared" si="47"/>
        <v>#DIV/0!</v>
      </c>
      <c r="J158" s="57" t="e">
        <f t="shared" si="54"/>
        <v>#DIV/0!</v>
      </c>
      <c r="K158" s="51" t="e">
        <f t="shared" si="55"/>
        <v>#DIV/0!</v>
      </c>
      <c r="L158" s="49" t="e">
        <f t="shared" si="56"/>
        <v>#DIV/0!</v>
      </c>
      <c r="M158" s="49">
        <f t="shared" si="45"/>
        <v>0</v>
      </c>
      <c r="N158" s="49">
        <f t="shared" si="44"/>
        <v>0</v>
      </c>
      <c r="O158" s="48" t="e">
        <f t="shared" si="57"/>
        <v>#DIV/0!</v>
      </c>
      <c r="P158" s="38" t="e">
        <f t="shared" si="46"/>
        <v>#DIV/0!</v>
      </c>
      <c r="Q158" s="53"/>
      <c r="R158" s="53">
        <f t="shared" si="58"/>
        <v>0.12</v>
      </c>
      <c r="S158" s="53">
        <f t="shared" si="59"/>
        <v>1.0596241035318976E-2</v>
      </c>
      <c r="T158" s="53">
        <f t="shared" si="60"/>
        <v>0.04</v>
      </c>
      <c r="U158" s="53">
        <f t="shared" si="61"/>
        <v>3.3960531989175591E-3</v>
      </c>
    </row>
    <row r="159" spans="1:21" x14ac:dyDescent="0.2">
      <c r="A159" s="62"/>
      <c r="B159" s="45">
        <f t="shared" si="48"/>
        <v>148</v>
      </c>
      <c r="C159" s="51" t="e">
        <f t="shared" si="49"/>
        <v>#DIV/0!</v>
      </c>
      <c r="D159" s="47" t="e">
        <f t="shared" si="50"/>
        <v>#DIV/0!</v>
      </c>
      <c r="E159" s="48">
        <f t="shared" si="51"/>
        <v>0</v>
      </c>
      <c r="F159" s="50">
        <f t="shared" si="52"/>
        <v>0</v>
      </c>
      <c r="G159" s="50">
        <f t="shared" si="62"/>
        <v>0</v>
      </c>
      <c r="H159" s="51" t="e">
        <f t="shared" si="53"/>
        <v>#DIV/0!</v>
      </c>
      <c r="I159" s="52" t="e">
        <f t="shared" si="47"/>
        <v>#DIV/0!</v>
      </c>
      <c r="J159" s="57" t="e">
        <f t="shared" si="54"/>
        <v>#DIV/0!</v>
      </c>
      <c r="K159" s="51" t="e">
        <f t="shared" si="55"/>
        <v>#DIV/0!</v>
      </c>
      <c r="L159" s="49" t="e">
        <f t="shared" si="56"/>
        <v>#DIV/0!</v>
      </c>
      <c r="M159" s="49">
        <f t="shared" si="45"/>
        <v>0</v>
      </c>
      <c r="N159" s="49">
        <f t="shared" si="44"/>
        <v>0</v>
      </c>
      <c r="O159" s="48" t="e">
        <f t="shared" si="57"/>
        <v>#DIV/0!</v>
      </c>
      <c r="P159" s="38" t="e">
        <f t="shared" si="46"/>
        <v>#DIV/0!</v>
      </c>
      <c r="Q159" s="53"/>
      <c r="R159" s="53">
        <f t="shared" si="58"/>
        <v>0.12</v>
      </c>
      <c r="S159" s="53">
        <f t="shared" si="59"/>
        <v>1.0596241035318976E-2</v>
      </c>
      <c r="T159" s="53">
        <f t="shared" si="60"/>
        <v>0.04</v>
      </c>
      <c r="U159" s="53">
        <f t="shared" si="61"/>
        <v>3.3960531989175591E-3</v>
      </c>
    </row>
    <row r="160" spans="1:21" x14ac:dyDescent="0.2">
      <c r="A160" s="62"/>
      <c r="B160" s="45">
        <f t="shared" si="48"/>
        <v>149</v>
      </c>
      <c r="C160" s="51" t="e">
        <f t="shared" si="49"/>
        <v>#DIV/0!</v>
      </c>
      <c r="D160" s="47" t="e">
        <f t="shared" si="50"/>
        <v>#DIV/0!</v>
      </c>
      <c r="E160" s="48">
        <f t="shared" si="51"/>
        <v>0</v>
      </c>
      <c r="F160" s="50">
        <f t="shared" si="52"/>
        <v>0</v>
      </c>
      <c r="G160" s="50">
        <f t="shared" si="62"/>
        <v>0</v>
      </c>
      <c r="H160" s="51" t="e">
        <f t="shared" si="53"/>
        <v>#DIV/0!</v>
      </c>
      <c r="I160" s="52" t="e">
        <f t="shared" si="47"/>
        <v>#DIV/0!</v>
      </c>
      <c r="J160" s="57" t="e">
        <f t="shared" si="54"/>
        <v>#DIV/0!</v>
      </c>
      <c r="K160" s="51" t="e">
        <f t="shared" si="55"/>
        <v>#DIV/0!</v>
      </c>
      <c r="L160" s="49" t="e">
        <f t="shared" si="56"/>
        <v>#DIV/0!</v>
      </c>
      <c r="M160" s="49">
        <f t="shared" si="45"/>
        <v>0</v>
      </c>
      <c r="N160" s="49">
        <f t="shared" ref="N160:N223" si="63">IFERROR((1-$N$9)*L156,0)</f>
        <v>0</v>
      </c>
      <c r="O160" s="48" t="e">
        <f t="shared" si="57"/>
        <v>#DIV/0!</v>
      </c>
      <c r="P160" s="38" t="e">
        <f t="shared" si="46"/>
        <v>#DIV/0!</v>
      </c>
      <c r="Q160" s="53"/>
      <c r="R160" s="53">
        <f t="shared" si="58"/>
        <v>0.12</v>
      </c>
      <c r="S160" s="53">
        <f t="shared" si="59"/>
        <v>1.0596241035318976E-2</v>
      </c>
      <c r="T160" s="53">
        <f t="shared" si="60"/>
        <v>0.04</v>
      </c>
      <c r="U160" s="53">
        <f t="shared" si="61"/>
        <v>3.3960531989175591E-3</v>
      </c>
    </row>
    <row r="161" spans="1:21" x14ac:dyDescent="0.2">
      <c r="A161" s="62"/>
      <c r="B161" s="45">
        <f t="shared" si="48"/>
        <v>150</v>
      </c>
      <c r="C161" s="51" t="e">
        <f t="shared" si="49"/>
        <v>#DIV/0!</v>
      </c>
      <c r="D161" s="47" t="e">
        <f t="shared" si="50"/>
        <v>#DIV/0!</v>
      </c>
      <c r="E161" s="48">
        <f t="shared" si="51"/>
        <v>0</v>
      </c>
      <c r="F161" s="50">
        <f t="shared" si="52"/>
        <v>0</v>
      </c>
      <c r="G161" s="50">
        <f t="shared" si="62"/>
        <v>0</v>
      </c>
      <c r="H161" s="51" t="e">
        <f t="shared" si="53"/>
        <v>#DIV/0!</v>
      </c>
      <c r="I161" s="52" t="e">
        <f t="shared" si="47"/>
        <v>#DIV/0!</v>
      </c>
      <c r="J161" s="57" t="e">
        <f t="shared" si="54"/>
        <v>#DIV/0!</v>
      </c>
      <c r="K161" s="51" t="e">
        <f t="shared" si="55"/>
        <v>#DIV/0!</v>
      </c>
      <c r="L161" s="49" t="e">
        <f t="shared" si="56"/>
        <v>#DIV/0!</v>
      </c>
      <c r="M161" s="49">
        <f t="shared" si="45"/>
        <v>0</v>
      </c>
      <c r="N161" s="49">
        <f t="shared" si="63"/>
        <v>0</v>
      </c>
      <c r="O161" s="48" t="e">
        <f t="shared" si="57"/>
        <v>#DIV/0!</v>
      </c>
      <c r="P161" s="38" t="e">
        <f t="shared" si="46"/>
        <v>#DIV/0!</v>
      </c>
      <c r="Q161" s="53"/>
      <c r="R161" s="53">
        <f t="shared" si="58"/>
        <v>0.12</v>
      </c>
      <c r="S161" s="53">
        <f t="shared" si="59"/>
        <v>1.0596241035318976E-2</v>
      </c>
      <c r="T161" s="53">
        <f t="shared" si="60"/>
        <v>0.04</v>
      </c>
      <c r="U161" s="53">
        <f t="shared" si="61"/>
        <v>3.3960531989175591E-3</v>
      </c>
    </row>
    <row r="162" spans="1:21" x14ac:dyDescent="0.2">
      <c r="A162" s="62"/>
      <c r="B162" s="45">
        <f t="shared" si="48"/>
        <v>151</v>
      </c>
      <c r="C162" s="51" t="e">
        <f t="shared" si="49"/>
        <v>#DIV/0!</v>
      </c>
      <c r="D162" s="47" t="e">
        <f t="shared" si="50"/>
        <v>#DIV/0!</v>
      </c>
      <c r="E162" s="48">
        <f t="shared" si="51"/>
        <v>0</v>
      </c>
      <c r="F162" s="50">
        <f t="shared" si="52"/>
        <v>0</v>
      </c>
      <c r="G162" s="50">
        <f t="shared" si="62"/>
        <v>0</v>
      </c>
      <c r="H162" s="51" t="e">
        <f t="shared" si="53"/>
        <v>#DIV/0!</v>
      </c>
      <c r="I162" s="52" t="e">
        <f t="shared" si="47"/>
        <v>#DIV/0!</v>
      </c>
      <c r="J162" s="57" t="e">
        <f t="shared" si="54"/>
        <v>#DIV/0!</v>
      </c>
      <c r="K162" s="51" t="e">
        <f t="shared" si="55"/>
        <v>#DIV/0!</v>
      </c>
      <c r="L162" s="49" t="e">
        <f t="shared" si="56"/>
        <v>#DIV/0!</v>
      </c>
      <c r="M162" s="49">
        <f t="shared" si="45"/>
        <v>0</v>
      </c>
      <c r="N162" s="49">
        <f t="shared" si="63"/>
        <v>0</v>
      </c>
      <c r="O162" s="48" t="e">
        <f t="shared" si="57"/>
        <v>#DIV/0!</v>
      </c>
      <c r="P162" s="38" t="e">
        <f t="shared" si="46"/>
        <v>#DIV/0!</v>
      </c>
      <c r="Q162" s="53"/>
      <c r="R162" s="53">
        <f t="shared" si="58"/>
        <v>0.12</v>
      </c>
      <c r="S162" s="53">
        <f t="shared" si="59"/>
        <v>1.0596241035318976E-2</v>
      </c>
      <c r="T162" s="53">
        <f t="shared" si="60"/>
        <v>0.04</v>
      </c>
      <c r="U162" s="53">
        <f t="shared" si="61"/>
        <v>3.3960531989175591E-3</v>
      </c>
    </row>
    <row r="163" spans="1:21" x14ac:dyDescent="0.2">
      <c r="A163" s="62"/>
      <c r="B163" s="45">
        <f t="shared" si="48"/>
        <v>152</v>
      </c>
      <c r="C163" s="51" t="e">
        <f t="shared" si="49"/>
        <v>#DIV/0!</v>
      </c>
      <c r="D163" s="47" t="e">
        <f t="shared" si="50"/>
        <v>#DIV/0!</v>
      </c>
      <c r="E163" s="48">
        <f t="shared" si="51"/>
        <v>0</v>
      </c>
      <c r="F163" s="50">
        <f t="shared" si="52"/>
        <v>0</v>
      </c>
      <c r="G163" s="50">
        <f t="shared" si="62"/>
        <v>0</v>
      </c>
      <c r="H163" s="51" t="e">
        <f t="shared" si="53"/>
        <v>#DIV/0!</v>
      </c>
      <c r="I163" s="52" t="e">
        <f t="shared" si="47"/>
        <v>#DIV/0!</v>
      </c>
      <c r="J163" s="57" t="e">
        <f t="shared" si="54"/>
        <v>#DIV/0!</v>
      </c>
      <c r="K163" s="51" t="e">
        <f t="shared" si="55"/>
        <v>#DIV/0!</v>
      </c>
      <c r="L163" s="49" t="e">
        <f t="shared" si="56"/>
        <v>#DIV/0!</v>
      </c>
      <c r="M163" s="49">
        <f t="shared" si="45"/>
        <v>0</v>
      </c>
      <c r="N163" s="49">
        <f t="shared" si="63"/>
        <v>0</v>
      </c>
      <c r="O163" s="48" t="e">
        <f t="shared" si="57"/>
        <v>#DIV/0!</v>
      </c>
      <c r="P163" s="38" t="e">
        <f t="shared" si="46"/>
        <v>#DIV/0!</v>
      </c>
      <c r="Q163" s="53"/>
      <c r="R163" s="53">
        <f t="shared" si="58"/>
        <v>0.12</v>
      </c>
      <c r="S163" s="53">
        <f t="shared" si="59"/>
        <v>1.0596241035318976E-2</v>
      </c>
      <c r="T163" s="53">
        <f t="shared" si="60"/>
        <v>0.04</v>
      </c>
      <c r="U163" s="53">
        <f t="shared" si="61"/>
        <v>3.3960531989175591E-3</v>
      </c>
    </row>
    <row r="164" spans="1:21" x14ac:dyDescent="0.2">
      <c r="A164" s="62"/>
      <c r="B164" s="45">
        <f t="shared" si="48"/>
        <v>153</v>
      </c>
      <c r="C164" s="51" t="e">
        <f t="shared" si="49"/>
        <v>#DIV/0!</v>
      </c>
      <c r="D164" s="47" t="e">
        <f t="shared" si="50"/>
        <v>#DIV/0!</v>
      </c>
      <c r="E164" s="48">
        <f t="shared" si="51"/>
        <v>0</v>
      </c>
      <c r="F164" s="50">
        <f t="shared" si="52"/>
        <v>0</v>
      </c>
      <c r="G164" s="50">
        <f t="shared" si="62"/>
        <v>0</v>
      </c>
      <c r="H164" s="51" t="e">
        <f t="shared" si="53"/>
        <v>#DIV/0!</v>
      </c>
      <c r="I164" s="52" t="e">
        <f t="shared" si="47"/>
        <v>#DIV/0!</v>
      </c>
      <c r="J164" s="57" t="e">
        <f t="shared" si="54"/>
        <v>#DIV/0!</v>
      </c>
      <c r="K164" s="51" t="e">
        <f t="shared" si="55"/>
        <v>#DIV/0!</v>
      </c>
      <c r="L164" s="49" t="e">
        <f t="shared" si="56"/>
        <v>#DIV/0!</v>
      </c>
      <c r="M164" s="49">
        <f t="shared" si="45"/>
        <v>0</v>
      </c>
      <c r="N164" s="49">
        <f t="shared" si="63"/>
        <v>0</v>
      </c>
      <c r="O164" s="48" t="e">
        <f t="shared" si="57"/>
        <v>#DIV/0!</v>
      </c>
      <c r="P164" s="38" t="e">
        <f t="shared" si="46"/>
        <v>#DIV/0!</v>
      </c>
      <c r="Q164" s="53"/>
      <c r="R164" s="53">
        <f t="shared" si="58"/>
        <v>0.12</v>
      </c>
      <c r="S164" s="53">
        <f t="shared" si="59"/>
        <v>1.0596241035318976E-2</v>
      </c>
      <c r="T164" s="53">
        <f t="shared" si="60"/>
        <v>0.04</v>
      </c>
      <c r="U164" s="53">
        <f t="shared" si="61"/>
        <v>3.3960531989175591E-3</v>
      </c>
    </row>
    <row r="165" spans="1:21" x14ac:dyDescent="0.2">
      <c r="A165" s="62"/>
      <c r="B165" s="45">
        <f t="shared" si="48"/>
        <v>154</v>
      </c>
      <c r="C165" s="51" t="e">
        <f t="shared" si="49"/>
        <v>#DIV/0!</v>
      </c>
      <c r="D165" s="47" t="e">
        <f t="shared" si="50"/>
        <v>#DIV/0!</v>
      </c>
      <c r="E165" s="48">
        <f t="shared" si="51"/>
        <v>0</v>
      </c>
      <c r="F165" s="50">
        <f t="shared" si="52"/>
        <v>0</v>
      </c>
      <c r="G165" s="50">
        <f t="shared" si="62"/>
        <v>0</v>
      </c>
      <c r="H165" s="51" t="e">
        <f t="shared" si="53"/>
        <v>#DIV/0!</v>
      </c>
      <c r="I165" s="52" t="e">
        <f t="shared" si="47"/>
        <v>#DIV/0!</v>
      </c>
      <c r="J165" s="57" t="e">
        <f t="shared" si="54"/>
        <v>#DIV/0!</v>
      </c>
      <c r="K165" s="51" t="e">
        <f t="shared" si="55"/>
        <v>#DIV/0!</v>
      </c>
      <c r="L165" s="49" t="e">
        <f t="shared" si="56"/>
        <v>#DIV/0!</v>
      </c>
      <c r="M165" s="49">
        <f t="shared" si="45"/>
        <v>0</v>
      </c>
      <c r="N165" s="49">
        <f t="shared" si="63"/>
        <v>0</v>
      </c>
      <c r="O165" s="48" t="e">
        <f t="shared" si="57"/>
        <v>#DIV/0!</v>
      </c>
      <c r="P165" s="38" t="e">
        <f t="shared" si="46"/>
        <v>#DIV/0!</v>
      </c>
      <c r="Q165" s="53"/>
      <c r="R165" s="53">
        <f t="shared" si="58"/>
        <v>0.12</v>
      </c>
      <c r="S165" s="53">
        <f t="shared" si="59"/>
        <v>1.0596241035318976E-2</v>
      </c>
      <c r="T165" s="53">
        <f t="shared" si="60"/>
        <v>0.04</v>
      </c>
      <c r="U165" s="53">
        <f t="shared" si="61"/>
        <v>3.3960531989175591E-3</v>
      </c>
    </row>
    <row r="166" spans="1:21" x14ac:dyDescent="0.2">
      <c r="A166" s="62"/>
      <c r="B166" s="45">
        <f t="shared" si="48"/>
        <v>155</v>
      </c>
      <c r="C166" s="51" t="e">
        <f t="shared" si="49"/>
        <v>#DIV/0!</v>
      </c>
      <c r="D166" s="47" t="e">
        <f t="shared" si="50"/>
        <v>#DIV/0!</v>
      </c>
      <c r="E166" s="48">
        <f t="shared" si="51"/>
        <v>0</v>
      </c>
      <c r="F166" s="50">
        <f t="shared" si="52"/>
        <v>0</v>
      </c>
      <c r="G166" s="50">
        <f t="shared" si="62"/>
        <v>0</v>
      </c>
      <c r="H166" s="51" t="e">
        <f t="shared" si="53"/>
        <v>#DIV/0!</v>
      </c>
      <c r="I166" s="52" t="e">
        <f t="shared" si="47"/>
        <v>#DIV/0!</v>
      </c>
      <c r="J166" s="57" t="e">
        <f t="shared" si="54"/>
        <v>#DIV/0!</v>
      </c>
      <c r="K166" s="51" t="e">
        <f t="shared" si="55"/>
        <v>#DIV/0!</v>
      </c>
      <c r="L166" s="49" t="e">
        <f t="shared" si="56"/>
        <v>#DIV/0!</v>
      </c>
      <c r="M166" s="49">
        <f t="shared" si="45"/>
        <v>0</v>
      </c>
      <c r="N166" s="49">
        <f t="shared" si="63"/>
        <v>0</v>
      </c>
      <c r="O166" s="48" t="e">
        <f t="shared" si="57"/>
        <v>#DIV/0!</v>
      </c>
      <c r="P166" s="38" t="e">
        <f t="shared" si="46"/>
        <v>#DIV/0!</v>
      </c>
      <c r="Q166" s="53"/>
      <c r="R166" s="53">
        <f t="shared" si="58"/>
        <v>0.12</v>
      </c>
      <c r="S166" s="53">
        <f t="shared" si="59"/>
        <v>1.0596241035318976E-2</v>
      </c>
      <c r="T166" s="53">
        <f t="shared" si="60"/>
        <v>0.04</v>
      </c>
      <c r="U166" s="53">
        <f t="shared" si="61"/>
        <v>3.3960531989175591E-3</v>
      </c>
    </row>
    <row r="167" spans="1:21" x14ac:dyDescent="0.2">
      <c r="A167" s="62"/>
      <c r="B167" s="45">
        <f t="shared" si="48"/>
        <v>156</v>
      </c>
      <c r="C167" s="51" t="e">
        <f t="shared" si="49"/>
        <v>#DIV/0!</v>
      </c>
      <c r="D167" s="47" t="e">
        <f t="shared" si="50"/>
        <v>#DIV/0!</v>
      </c>
      <c r="E167" s="48">
        <f t="shared" si="51"/>
        <v>0</v>
      </c>
      <c r="F167" s="50">
        <f t="shared" si="52"/>
        <v>0</v>
      </c>
      <c r="G167" s="50">
        <f t="shared" si="62"/>
        <v>0</v>
      </c>
      <c r="H167" s="51" t="e">
        <f t="shared" si="53"/>
        <v>#DIV/0!</v>
      </c>
      <c r="I167" s="52" t="e">
        <f t="shared" si="47"/>
        <v>#DIV/0!</v>
      </c>
      <c r="J167" s="57" t="e">
        <f t="shared" si="54"/>
        <v>#DIV/0!</v>
      </c>
      <c r="K167" s="51" t="e">
        <f t="shared" si="55"/>
        <v>#DIV/0!</v>
      </c>
      <c r="L167" s="49" t="e">
        <f t="shared" si="56"/>
        <v>#DIV/0!</v>
      </c>
      <c r="M167" s="49">
        <f t="shared" si="45"/>
        <v>0</v>
      </c>
      <c r="N167" s="49">
        <f t="shared" si="63"/>
        <v>0</v>
      </c>
      <c r="O167" s="48" t="e">
        <f t="shared" si="57"/>
        <v>#DIV/0!</v>
      </c>
      <c r="P167" s="38" t="e">
        <f t="shared" si="46"/>
        <v>#DIV/0!</v>
      </c>
      <c r="Q167" s="53"/>
      <c r="R167" s="53">
        <f t="shared" si="58"/>
        <v>0.12</v>
      </c>
      <c r="S167" s="53">
        <f t="shared" si="59"/>
        <v>1.0596241035318976E-2</v>
      </c>
      <c r="T167" s="53">
        <f t="shared" si="60"/>
        <v>0.04</v>
      </c>
      <c r="U167" s="53">
        <f t="shared" si="61"/>
        <v>3.3960531989175591E-3</v>
      </c>
    </row>
    <row r="168" spans="1:21" x14ac:dyDescent="0.2">
      <c r="A168" s="62"/>
      <c r="B168" s="45">
        <f t="shared" si="48"/>
        <v>157</v>
      </c>
      <c r="C168" s="51" t="e">
        <f t="shared" si="49"/>
        <v>#DIV/0!</v>
      </c>
      <c r="D168" s="47" t="e">
        <f t="shared" si="50"/>
        <v>#DIV/0!</v>
      </c>
      <c r="E168" s="48">
        <f t="shared" si="51"/>
        <v>0</v>
      </c>
      <c r="F168" s="50">
        <f t="shared" si="52"/>
        <v>0</v>
      </c>
      <c r="G168" s="50">
        <f t="shared" si="62"/>
        <v>0</v>
      </c>
      <c r="H168" s="51" t="e">
        <f t="shared" si="53"/>
        <v>#DIV/0!</v>
      </c>
      <c r="I168" s="52" t="e">
        <f t="shared" si="47"/>
        <v>#DIV/0!</v>
      </c>
      <c r="J168" s="57" t="e">
        <f t="shared" si="54"/>
        <v>#DIV/0!</v>
      </c>
      <c r="K168" s="51" t="e">
        <f t="shared" si="55"/>
        <v>#DIV/0!</v>
      </c>
      <c r="L168" s="49" t="e">
        <f t="shared" si="56"/>
        <v>#DIV/0!</v>
      </c>
      <c r="M168" s="49">
        <f t="shared" si="45"/>
        <v>0</v>
      </c>
      <c r="N168" s="49">
        <f t="shared" si="63"/>
        <v>0</v>
      </c>
      <c r="O168" s="48" t="e">
        <f t="shared" si="57"/>
        <v>#DIV/0!</v>
      </c>
      <c r="P168" s="38" t="e">
        <f t="shared" si="46"/>
        <v>#DIV/0!</v>
      </c>
      <c r="Q168" s="53"/>
      <c r="R168" s="53">
        <f t="shared" si="58"/>
        <v>0.12</v>
      </c>
      <c r="S168" s="53">
        <f t="shared" si="59"/>
        <v>1.0596241035318976E-2</v>
      </c>
      <c r="T168" s="53">
        <f t="shared" si="60"/>
        <v>0.04</v>
      </c>
      <c r="U168" s="53">
        <f t="shared" si="61"/>
        <v>3.3960531989175591E-3</v>
      </c>
    </row>
    <row r="169" spans="1:21" x14ac:dyDescent="0.2">
      <c r="A169" s="62"/>
      <c r="B169" s="45">
        <f t="shared" si="48"/>
        <v>158</v>
      </c>
      <c r="C169" s="51" t="e">
        <f t="shared" si="49"/>
        <v>#DIV/0!</v>
      </c>
      <c r="D169" s="47" t="e">
        <f t="shared" si="50"/>
        <v>#DIV/0!</v>
      </c>
      <c r="E169" s="48">
        <f t="shared" si="51"/>
        <v>0</v>
      </c>
      <c r="F169" s="50">
        <f t="shared" si="52"/>
        <v>0</v>
      </c>
      <c r="G169" s="50">
        <f t="shared" si="62"/>
        <v>0</v>
      </c>
      <c r="H169" s="51" t="e">
        <f t="shared" si="53"/>
        <v>#DIV/0!</v>
      </c>
      <c r="I169" s="52" t="e">
        <f t="shared" si="47"/>
        <v>#DIV/0!</v>
      </c>
      <c r="J169" s="57" t="e">
        <f t="shared" si="54"/>
        <v>#DIV/0!</v>
      </c>
      <c r="K169" s="51" t="e">
        <f t="shared" si="55"/>
        <v>#DIV/0!</v>
      </c>
      <c r="L169" s="49" t="e">
        <f t="shared" si="56"/>
        <v>#DIV/0!</v>
      </c>
      <c r="M169" s="49">
        <f t="shared" si="45"/>
        <v>0</v>
      </c>
      <c r="N169" s="49">
        <f t="shared" si="63"/>
        <v>0</v>
      </c>
      <c r="O169" s="48" t="e">
        <f t="shared" si="57"/>
        <v>#DIV/0!</v>
      </c>
      <c r="P169" s="38" t="e">
        <f t="shared" si="46"/>
        <v>#DIV/0!</v>
      </c>
      <c r="Q169" s="53"/>
      <c r="R169" s="53">
        <f t="shared" si="58"/>
        <v>0.12</v>
      </c>
      <c r="S169" s="53">
        <f t="shared" si="59"/>
        <v>1.0596241035318976E-2</v>
      </c>
      <c r="T169" s="53">
        <f t="shared" si="60"/>
        <v>0.04</v>
      </c>
      <c r="U169" s="53">
        <f t="shared" si="61"/>
        <v>3.3960531989175591E-3</v>
      </c>
    </row>
    <row r="170" spans="1:21" x14ac:dyDescent="0.2">
      <c r="A170" s="62"/>
      <c r="B170" s="45">
        <f t="shared" si="48"/>
        <v>159</v>
      </c>
      <c r="C170" s="51" t="e">
        <f t="shared" si="49"/>
        <v>#DIV/0!</v>
      </c>
      <c r="D170" s="47" t="e">
        <f t="shared" si="50"/>
        <v>#DIV/0!</v>
      </c>
      <c r="E170" s="48">
        <f t="shared" si="51"/>
        <v>0</v>
      </c>
      <c r="F170" s="50">
        <f t="shared" si="52"/>
        <v>0</v>
      </c>
      <c r="G170" s="50">
        <f t="shared" si="62"/>
        <v>0</v>
      </c>
      <c r="H170" s="51" t="e">
        <f t="shared" si="53"/>
        <v>#DIV/0!</v>
      </c>
      <c r="I170" s="52" t="e">
        <f t="shared" si="47"/>
        <v>#DIV/0!</v>
      </c>
      <c r="J170" s="57" t="e">
        <f t="shared" si="54"/>
        <v>#DIV/0!</v>
      </c>
      <c r="K170" s="51" t="e">
        <f t="shared" si="55"/>
        <v>#DIV/0!</v>
      </c>
      <c r="L170" s="49" t="e">
        <f t="shared" si="56"/>
        <v>#DIV/0!</v>
      </c>
      <c r="M170" s="49">
        <f t="shared" ref="M170:M232" si="64">IFERROR(L166*-1,0)</f>
        <v>0</v>
      </c>
      <c r="N170" s="49">
        <f t="shared" si="63"/>
        <v>0</v>
      </c>
      <c r="O170" s="48" t="e">
        <f t="shared" si="57"/>
        <v>#DIV/0!</v>
      </c>
      <c r="P170" s="38" t="e">
        <f t="shared" si="46"/>
        <v>#DIV/0!</v>
      </c>
      <c r="Q170" s="53"/>
      <c r="R170" s="53">
        <f t="shared" si="58"/>
        <v>0.12</v>
      </c>
      <c r="S170" s="53">
        <f t="shared" si="59"/>
        <v>1.0596241035318976E-2</v>
      </c>
      <c r="T170" s="53">
        <f t="shared" si="60"/>
        <v>0.04</v>
      </c>
      <c r="U170" s="53">
        <f t="shared" si="61"/>
        <v>3.3960531989175591E-3</v>
      </c>
    </row>
    <row r="171" spans="1:21" x14ac:dyDescent="0.2">
      <c r="A171" s="62"/>
      <c r="B171" s="45">
        <f t="shared" si="48"/>
        <v>160</v>
      </c>
      <c r="C171" s="51" t="e">
        <f t="shared" si="49"/>
        <v>#DIV/0!</v>
      </c>
      <c r="D171" s="47" t="e">
        <f t="shared" si="50"/>
        <v>#DIV/0!</v>
      </c>
      <c r="E171" s="48">
        <f t="shared" si="51"/>
        <v>0</v>
      </c>
      <c r="F171" s="50">
        <f t="shared" si="52"/>
        <v>0</v>
      </c>
      <c r="G171" s="50">
        <f t="shared" si="62"/>
        <v>0</v>
      </c>
      <c r="H171" s="51" t="e">
        <f t="shared" si="53"/>
        <v>#DIV/0!</v>
      </c>
      <c r="I171" s="52" t="e">
        <f t="shared" si="47"/>
        <v>#DIV/0!</v>
      </c>
      <c r="J171" s="57" t="e">
        <f t="shared" si="54"/>
        <v>#DIV/0!</v>
      </c>
      <c r="K171" s="51" t="e">
        <f t="shared" si="55"/>
        <v>#DIV/0!</v>
      </c>
      <c r="L171" s="49" t="e">
        <f t="shared" si="56"/>
        <v>#DIV/0!</v>
      </c>
      <c r="M171" s="49">
        <f t="shared" si="64"/>
        <v>0</v>
      </c>
      <c r="N171" s="49">
        <f t="shared" si="63"/>
        <v>0</v>
      </c>
      <c r="O171" s="48" t="e">
        <f t="shared" si="57"/>
        <v>#DIV/0!</v>
      </c>
      <c r="P171" s="38" t="e">
        <f t="shared" si="46"/>
        <v>#DIV/0!</v>
      </c>
      <c r="Q171" s="53"/>
      <c r="R171" s="53">
        <f t="shared" si="58"/>
        <v>0.12</v>
      </c>
      <c r="S171" s="53">
        <f t="shared" si="59"/>
        <v>1.0596241035318976E-2</v>
      </c>
      <c r="T171" s="53">
        <f t="shared" si="60"/>
        <v>0.04</v>
      </c>
      <c r="U171" s="53">
        <f t="shared" si="61"/>
        <v>3.3960531989175591E-3</v>
      </c>
    </row>
    <row r="172" spans="1:21" x14ac:dyDescent="0.2">
      <c r="A172" s="62"/>
      <c r="B172" s="45">
        <f t="shared" si="48"/>
        <v>161</v>
      </c>
      <c r="C172" s="51" t="e">
        <f t="shared" si="49"/>
        <v>#DIV/0!</v>
      </c>
      <c r="D172" s="47" t="e">
        <f t="shared" si="50"/>
        <v>#DIV/0!</v>
      </c>
      <c r="E172" s="48">
        <f t="shared" si="51"/>
        <v>0</v>
      </c>
      <c r="F172" s="50">
        <f t="shared" si="52"/>
        <v>0</v>
      </c>
      <c r="G172" s="50">
        <f t="shared" si="62"/>
        <v>0</v>
      </c>
      <c r="H172" s="51" t="e">
        <f t="shared" si="53"/>
        <v>#DIV/0!</v>
      </c>
      <c r="I172" s="52" t="e">
        <f t="shared" si="47"/>
        <v>#DIV/0!</v>
      </c>
      <c r="J172" s="57" t="e">
        <f t="shared" si="54"/>
        <v>#DIV/0!</v>
      </c>
      <c r="K172" s="51" t="e">
        <f t="shared" si="55"/>
        <v>#DIV/0!</v>
      </c>
      <c r="L172" s="49" t="e">
        <f t="shared" si="56"/>
        <v>#DIV/0!</v>
      </c>
      <c r="M172" s="49">
        <f t="shared" si="64"/>
        <v>0</v>
      </c>
      <c r="N172" s="49">
        <f t="shared" si="63"/>
        <v>0</v>
      </c>
      <c r="O172" s="48" t="e">
        <f t="shared" si="57"/>
        <v>#DIV/0!</v>
      </c>
      <c r="P172" s="38" t="e">
        <f t="shared" si="46"/>
        <v>#DIV/0!</v>
      </c>
      <c r="Q172" s="53"/>
      <c r="R172" s="53">
        <f t="shared" si="58"/>
        <v>0.12</v>
      </c>
      <c r="S172" s="53">
        <f t="shared" si="59"/>
        <v>1.0596241035318976E-2</v>
      </c>
      <c r="T172" s="53">
        <f t="shared" si="60"/>
        <v>0.04</v>
      </c>
      <c r="U172" s="53">
        <f t="shared" si="61"/>
        <v>3.3960531989175591E-3</v>
      </c>
    </row>
    <row r="173" spans="1:21" x14ac:dyDescent="0.2">
      <c r="A173" s="62"/>
      <c r="B173" s="45">
        <f t="shared" si="48"/>
        <v>162</v>
      </c>
      <c r="C173" s="51" t="e">
        <f t="shared" si="49"/>
        <v>#DIV/0!</v>
      </c>
      <c r="D173" s="47" t="e">
        <f t="shared" si="50"/>
        <v>#DIV/0!</v>
      </c>
      <c r="E173" s="48">
        <f t="shared" si="51"/>
        <v>0</v>
      </c>
      <c r="F173" s="50">
        <f t="shared" si="52"/>
        <v>0</v>
      </c>
      <c r="G173" s="50">
        <f t="shared" si="62"/>
        <v>0</v>
      </c>
      <c r="H173" s="51" t="e">
        <f t="shared" si="53"/>
        <v>#DIV/0!</v>
      </c>
      <c r="I173" s="52" t="e">
        <f t="shared" si="47"/>
        <v>#DIV/0!</v>
      </c>
      <c r="J173" s="57" t="e">
        <f t="shared" si="54"/>
        <v>#DIV/0!</v>
      </c>
      <c r="K173" s="51" t="e">
        <f t="shared" si="55"/>
        <v>#DIV/0!</v>
      </c>
      <c r="L173" s="49" t="e">
        <f t="shared" si="56"/>
        <v>#DIV/0!</v>
      </c>
      <c r="M173" s="49">
        <f t="shared" si="64"/>
        <v>0</v>
      </c>
      <c r="N173" s="49">
        <f t="shared" si="63"/>
        <v>0</v>
      </c>
      <c r="O173" s="48" t="e">
        <f t="shared" si="57"/>
        <v>#DIV/0!</v>
      </c>
      <c r="P173" s="38" t="e">
        <f t="shared" si="46"/>
        <v>#DIV/0!</v>
      </c>
      <c r="Q173" s="53"/>
      <c r="R173" s="53">
        <f t="shared" si="58"/>
        <v>0.12</v>
      </c>
      <c r="S173" s="53">
        <f t="shared" si="59"/>
        <v>1.0596241035318976E-2</v>
      </c>
      <c r="T173" s="53">
        <f t="shared" si="60"/>
        <v>0.04</v>
      </c>
      <c r="U173" s="53">
        <f t="shared" si="61"/>
        <v>3.3960531989175591E-3</v>
      </c>
    </row>
    <row r="174" spans="1:21" x14ac:dyDescent="0.2">
      <c r="A174" s="62"/>
      <c r="B174" s="45">
        <f t="shared" si="48"/>
        <v>163</v>
      </c>
      <c r="C174" s="51" t="e">
        <f t="shared" si="49"/>
        <v>#DIV/0!</v>
      </c>
      <c r="D174" s="47" t="e">
        <f t="shared" si="50"/>
        <v>#DIV/0!</v>
      </c>
      <c r="E174" s="48">
        <f t="shared" si="51"/>
        <v>0</v>
      </c>
      <c r="F174" s="50">
        <f t="shared" si="52"/>
        <v>0</v>
      </c>
      <c r="G174" s="50">
        <f t="shared" si="62"/>
        <v>0</v>
      </c>
      <c r="H174" s="51" t="e">
        <f t="shared" si="53"/>
        <v>#DIV/0!</v>
      </c>
      <c r="I174" s="52" t="e">
        <f t="shared" si="47"/>
        <v>#DIV/0!</v>
      </c>
      <c r="J174" s="57" t="e">
        <f t="shared" si="54"/>
        <v>#DIV/0!</v>
      </c>
      <c r="K174" s="51" t="e">
        <f t="shared" si="55"/>
        <v>#DIV/0!</v>
      </c>
      <c r="L174" s="49" t="e">
        <f t="shared" si="56"/>
        <v>#DIV/0!</v>
      </c>
      <c r="M174" s="49">
        <f t="shared" si="64"/>
        <v>0</v>
      </c>
      <c r="N174" s="49">
        <f t="shared" si="63"/>
        <v>0</v>
      </c>
      <c r="O174" s="48" t="e">
        <f t="shared" si="57"/>
        <v>#DIV/0!</v>
      </c>
      <c r="P174" s="38" t="e">
        <f t="shared" si="46"/>
        <v>#DIV/0!</v>
      </c>
      <c r="Q174" s="53"/>
      <c r="R174" s="53">
        <f t="shared" si="58"/>
        <v>0.12</v>
      </c>
      <c r="S174" s="53">
        <f t="shared" si="59"/>
        <v>1.0596241035318976E-2</v>
      </c>
      <c r="T174" s="53">
        <f t="shared" si="60"/>
        <v>0.04</v>
      </c>
      <c r="U174" s="53">
        <f t="shared" si="61"/>
        <v>3.3960531989175591E-3</v>
      </c>
    </row>
    <row r="175" spans="1:21" x14ac:dyDescent="0.2">
      <c r="A175" s="62"/>
      <c r="B175" s="45">
        <f t="shared" si="48"/>
        <v>164</v>
      </c>
      <c r="C175" s="51" t="e">
        <f t="shared" si="49"/>
        <v>#DIV/0!</v>
      </c>
      <c r="D175" s="47" t="e">
        <f t="shared" si="50"/>
        <v>#DIV/0!</v>
      </c>
      <c r="E175" s="48">
        <f t="shared" si="51"/>
        <v>0</v>
      </c>
      <c r="F175" s="50">
        <f t="shared" si="52"/>
        <v>0</v>
      </c>
      <c r="G175" s="50">
        <f t="shared" si="62"/>
        <v>0</v>
      </c>
      <c r="H175" s="51" t="e">
        <f t="shared" si="53"/>
        <v>#DIV/0!</v>
      </c>
      <c r="I175" s="52" t="e">
        <f t="shared" si="47"/>
        <v>#DIV/0!</v>
      </c>
      <c r="J175" s="57" t="e">
        <f t="shared" si="54"/>
        <v>#DIV/0!</v>
      </c>
      <c r="K175" s="51" t="e">
        <f t="shared" si="55"/>
        <v>#DIV/0!</v>
      </c>
      <c r="L175" s="49" t="e">
        <f t="shared" si="56"/>
        <v>#DIV/0!</v>
      </c>
      <c r="M175" s="49">
        <f t="shared" si="64"/>
        <v>0</v>
      </c>
      <c r="N175" s="49">
        <f t="shared" si="63"/>
        <v>0</v>
      </c>
      <c r="O175" s="48" t="e">
        <f t="shared" si="57"/>
        <v>#DIV/0!</v>
      </c>
      <c r="P175" s="38" t="e">
        <f t="shared" si="46"/>
        <v>#DIV/0!</v>
      </c>
      <c r="Q175" s="53"/>
      <c r="R175" s="53">
        <f t="shared" si="58"/>
        <v>0.12</v>
      </c>
      <c r="S175" s="53">
        <f t="shared" si="59"/>
        <v>1.0596241035318976E-2</v>
      </c>
      <c r="T175" s="53">
        <f t="shared" si="60"/>
        <v>0.04</v>
      </c>
      <c r="U175" s="53">
        <f t="shared" si="61"/>
        <v>3.3960531989175591E-3</v>
      </c>
    </row>
    <row r="176" spans="1:21" x14ac:dyDescent="0.2">
      <c r="A176" s="62"/>
      <c r="B176" s="45">
        <f t="shared" si="48"/>
        <v>165</v>
      </c>
      <c r="C176" s="51" t="e">
        <f t="shared" si="49"/>
        <v>#DIV/0!</v>
      </c>
      <c r="D176" s="47" t="e">
        <f t="shared" si="50"/>
        <v>#DIV/0!</v>
      </c>
      <c r="E176" s="48">
        <f t="shared" si="51"/>
        <v>0</v>
      </c>
      <c r="F176" s="50">
        <f t="shared" si="52"/>
        <v>0</v>
      </c>
      <c r="G176" s="50">
        <f t="shared" si="62"/>
        <v>0</v>
      </c>
      <c r="H176" s="51" t="e">
        <f t="shared" si="53"/>
        <v>#DIV/0!</v>
      </c>
      <c r="I176" s="52" t="e">
        <f t="shared" si="47"/>
        <v>#DIV/0!</v>
      </c>
      <c r="J176" s="57" t="e">
        <f t="shared" si="54"/>
        <v>#DIV/0!</v>
      </c>
      <c r="K176" s="51" t="e">
        <f t="shared" si="55"/>
        <v>#DIV/0!</v>
      </c>
      <c r="L176" s="49" t="e">
        <f t="shared" si="56"/>
        <v>#DIV/0!</v>
      </c>
      <c r="M176" s="49">
        <f t="shared" si="64"/>
        <v>0</v>
      </c>
      <c r="N176" s="49">
        <f t="shared" si="63"/>
        <v>0</v>
      </c>
      <c r="O176" s="48" t="e">
        <f t="shared" si="57"/>
        <v>#DIV/0!</v>
      </c>
      <c r="P176" s="38" t="e">
        <f t="shared" si="46"/>
        <v>#DIV/0!</v>
      </c>
      <c r="Q176" s="53"/>
      <c r="R176" s="53">
        <f t="shared" si="58"/>
        <v>0.12</v>
      </c>
      <c r="S176" s="53">
        <f t="shared" si="59"/>
        <v>1.0596241035318976E-2</v>
      </c>
      <c r="T176" s="53">
        <f t="shared" si="60"/>
        <v>0.04</v>
      </c>
      <c r="U176" s="53">
        <f t="shared" si="61"/>
        <v>3.3960531989175591E-3</v>
      </c>
    </row>
    <row r="177" spans="1:21" x14ac:dyDescent="0.2">
      <c r="A177" s="62"/>
      <c r="B177" s="45">
        <f t="shared" si="48"/>
        <v>166</v>
      </c>
      <c r="C177" s="51" t="e">
        <f t="shared" si="49"/>
        <v>#DIV/0!</v>
      </c>
      <c r="D177" s="47" t="e">
        <f t="shared" si="50"/>
        <v>#DIV/0!</v>
      </c>
      <c r="E177" s="48">
        <f t="shared" si="51"/>
        <v>0</v>
      </c>
      <c r="F177" s="50">
        <f t="shared" si="52"/>
        <v>0</v>
      </c>
      <c r="G177" s="50">
        <f t="shared" si="62"/>
        <v>0</v>
      </c>
      <c r="H177" s="51" t="e">
        <f t="shared" si="53"/>
        <v>#DIV/0!</v>
      </c>
      <c r="I177" s="52" t="e">
        <f t="shared" si="47"/>
        <v>#DIV/0!</v>
      </c>
      <c r="J177" s="57" t="e">
        <f t="shared" si="54"/>
        <v>#DIV/0!</v>
      </c>
      <c r="K177" s="51" t="e">
        <f t="shared" si="55"/>
        <v>#DIV/0!</v>
      </c>
      <c r="L177" s="49" t="e">
        <f t="shared" si="56"/>
        <v>#DIV/0!</v>
      </c>
      <c r="M177" s="49">
        <f t="shared" si="64"/>
        <v>0</v>
      </c>
      <c r="N177" s="49">
        <f t="shared" si="63"/>
        <v>0</v>
      </c>
      <c r="O177" s="48" t="e">
        <f t="shared" si="57"/>
        <v>#DIV/0!</v>
      </c>
      <c r="P177" s="38" t="e">
        <f t="shared" si="46"/>
        <v>#DIV/0!</v>
      </c>
      <c r="Q177" s="53"/>
      <c r="R177" s="53">
        <f t="shared" si="58"/>
        <v>0.12</v>
      </c>
      <c r="S177" s="53">
        <f t="shared" si="59"/>
        <v>1.0596241035318976E-2</v>
      </c>
      <c r="T177" s="53">
        <f t="shared" si="60"/>
        <v>0.04</v>
      </c>
      <c r="U177" s="53">
        <f t="shared" si="61"/>
        <v>3.3960531989175591E-3</v>
      </c>
    </row>
    <row r="178" spans="1:21" x14ac:dyDescent="0.2">
      <c r="A178" s="62"/>
      <c r="B178" s="45">
        <f t="shared" si="48"/>
        <v>167</v>
      </c>
      <c r="C178" s="51" t="e">
        <f t="shared" si="49"/>
        <v>#DIV/0!</v>
      </c>
      <c r="D178" s="47" t="e">
        <f t="shared" si="50"/>
        <v>#DIV/0!</v>
      </c>
      <c r="E178" s="48">
        <f t="shared" si="51"/>
        <v>0</v>
      </c>
      <c r="F178" s="50">
        <f t="shared" si="52"/>
        <v>0</v>
      </c>
      <c r="G178" s="50">
        <f t="shared" si="62"/>
        <v>0</v>
      </c>
      <c r="H178" s="51" t="e">
        <f t="shared" si="53"/>
        <v>#DIV/0!</v>
      </c>
      <c r="I178" s="52" t="e">
        <f t="shared" si="47"/>
        <v>#DIV/0!</v>
      </c>
      <c r="J178" s="57" t="e">
        <f t="shared" si="54"/>
        <v>#DIV/0!</v>
      </c>
      <c r="K178" s="51" t="e">
        <f t="shared" si="55"/>
        <v>#DIV/0!</v>
      </c>
      <c r="L178" s="49" t="e">
        <f t="shared" si="56"/>
        <v>#DIV/0!</v>
      </c>
      <c r="M178" s="49">
        <f t="shared" si="64"/>
        <v>0</v>
      </c>
      <c r="N178" s="49">
        <f t="shared" si="63"/>
        <v>0</v>
      </c>
      <c r="O178" s="48" t="e">
        <f t="shared" si="57"/>
        <v>#DIV/0!</v>
      </c>
      <c r="P178" s="38" t="e">
        <f t="shared" si="46"/>
        <v>#DIV/0!</v>
      </c>
      <c r="Q178" s="53"/>
      <c r="R178" s="53">
        <f t="shared" si="58"/>
        <v>0.12</v>
      </c>
      <c r="S178" s="53">
        <f t="shared" si="59"/>
        <v>1.0596241035318976E-2</v>
      </c>
      <c r="T178" s="53">
        <f t="shared" si="60"/>
        <v>0.04</v>
      </c>
      <c r="U178" s="53">
        <f t="shared" si="61"/>
        <v>3.3960531989175591E-3</v>
      </c>
    </row>
    <row r="179" spans="1:21" x14ac:dyDescent="0.2">
      <c r="A179" s="62"/>
      <c r="B179" s="45">
        <f t="shared" si="48"/>
        <v>168</v>
      </c>
      <c r="C179" s="51" t="e">
        <f t="shared" si="49"/>
        <v>#DIV/0!</v>
      </c>
      <c r="D179" s="47" t="e">
        <f t="shared" si="50"/>
        <v>#DIV/0!</v>
      </c>
      <c r="E179" s="48">
        <f t="shared" si="51"/>
        <v>0</v>
      </c>
      <c r="F179" s="50">
        <f t="shared" si="52"/>
        <v>0</v>
      </c>
      <c r="G179" s="50">
        <f t="shared" si="62"/>
        <v>0</v>
      </c>
      <c r="H179" s="51" t="e">
        <f t="shared" si="53"/>
        <v>#DIV/0!</v>
      </c>
      <c r="I179" s="52" t="e">
        <f t="shared" si="47"/>
        <v>#DIV/0!</v>
      </c>
      <c r="J179" s="57" t="e">
        <f t="shared" si="54"/>
        <v>#DIV/0!</v>
      </c>
      <c r="K179" s="51" t="e">
        <f t="shared" si="55"/>
        <v>#DIV/0!</v>
      </c>
      <c r="L179" s="49" t="e">
        <f t="shared" si="56"/>
        <v>#DIV/0!</v>
      </c>
      <c r="M179" s="49">
        <f t="shared" si="64"/>
        <v>0</v>
      </c>
      <c r="N179" s="49">
        <f t="shared" si="63"/>
        <v>0</v>
      </c>
      <c r="O179" s="48" t="e">
        <f t="shared" si="57"/>
        <v>#DIV/0!</v>
      </c>
      <c r="P179" s="38" t="e">
        <f t="shared" si="46"/>
        <v>#DIV/0!</v>
      </c>
      <c r="Q179" s="53"/>
      <c r="R179" s="53">
        <f t="shared" si="58"/>
        <v>0.12</v>
      </c>
      <c r="S179" s="53">
        <f t="shared" si="59"/>
        <v>1.0596241035318976E-2</v>
      </c>
      <c r="T179" s="53">
        <f t="shared" si="60"/>
        <v>0.04</v>
      </c>
      <c r="U179" s="53">
        <f t="shared" si="61"/>
        <v>3.3960531989175591E-3</v>
      </c>
    </row>
    <row r="180" spans="1:21" x14ac:dyDescent="0.2">
      <c r="A180" s="62"/>
      <c r="B180" s="45">
        <f t="shared" si="48"/>
        <v>169</v>
      </c>
      <c r="C180" s="51" t="e">
        <f t="shared" si="49"/>
        <v>#DIV/0!</v>
      </c>
      <c r="D180" s="47" t="e">
        <f t="shared" si="50"/>
        <v>#DIV/0!</v>
      </c>
      <c r="E180" s="48">
        <f t="shared" si="51"/>
        <v>0</v>
      </c>
      <c r="F180" s="50">
        <f t="shared" si="52"/>
        <v>0</v>
      </c>
      <c r="G180" s="50">
        <f t="shared" si="62"/>
        <v>0</v>
      </c>
      <c r="H180" s="51" t="e">
        <f t="shared" si="53"/>
        <v>#DIV/0!</v>
      </c>
      <c r="I180" s="52" t="e">
        <f t="shared" si="47"/>
        <v>#DIV/0!</v>
      </c>
      <c r="J180" s="57" t="e">
        <f t="shared" si="54"/>
        <v>#DIV/0!</v>
      </c>
      <c r="K180" s="51" t="e">
        <f t="shared" si="55"/>
        <v>#DIV/0!</v>
      </c>
      <c r="L180" s="49" t="e">
        <f t="shared" si="56"/>
        <v>#DIV/0!</v>
      </c>
      <c r="M180" s="49">
        <f t="shared" si="64"/>
        <v>0</v>
      </c>
      <c r="N180" s="49">
        <f t="shared" si="63"/>
        <v>0</v>
      </c>
      <c r="O180" s="48" t="e">
        <f t="shared" si="57"/>
        <v>#DIV/0!</v>
      </c>
      <c r="P180" s="38" t="e">
        <f t="shared" si="46"/>
        <v>#DIV/0!</v>
      </c>
      <c r="Q180" s="53"/>
      <c r="R180" s="53">
        <f t="shared" si="58"/>
        <v>0.12</v>
      </c>
      <c r="S180" s="53">
        <f t="shared" si="59"/>
        <v>1.0596241035318976E-2</v>
      </c>
      <c r="T180" s="53">
        <f t="shared" si="60"/>
        <v>0.04</v>
      </c>
      <c r="U180" s="53">
        <f t="shared" si="61"/>
        <v>3.3960531989175591E-3</v>
      </c>
    </row>
    <row r="181" spans="1:21" x14ac:dyDescent="0.2">
      <c r="A181" s="62"/>
      <c r="B181" s="45">
        <f t="shared" si="48"/>
        <v>170</v>
      </c>
      <c r="C181" s="51" t="e">
        <f t="shared" si="49"/>
        <v>#DIV/0!</v>
      </c>
      <c r="D181" s="47" t="e">
        <f t="shared" si="50"/>
        <v>#DIV/0!</v>
      </c>
      <c r="E181" s="48">
        <f t="shared" si="51"/>
        <v>0</v>
      </c>
      <c r="F181" s="50">
        <f t="shared" si="52"/>
        <v>0</v>
      </c>
      <c r="G181" s="50">
        <f t="shared" si="62"/>
        <v>0</v>
      </c>
      <c r="H181" s="51" t="e">
        <f t="shared" si="53"/>
        <v>#DIV/0!</v>
      </c>
      <c r="I181" s="52" t="e">
        <f t="shared" si="47"/>
        <v>#DIV/0!</v>
      </c>
      <c r="J181" s="57" t="e">
        <f t="shared" si="54"/>
        <v>#DIV/0!</v>
      </c>
      <c r="K181" s="51" t="e">
        <f t="shared" si="55"/>
        <v>#DIV/0!</v>
      </c>
      <c r="L181" s="49" t="e">
        <f t="shared" si="56"/>
        <v>#DIV/0!</v>
      </c>
      <c r="M181" s="49">
        <f t="shared" si="64"/>
        <v>0</v>
      </c>
      <c r="N181" s="49">
        <f t="shared" si="63"/>
        <v>0</v>
      </c>
      <c r="O181" s="48" t="e">
        <f t="shared" si="57"/>
        <v>#DIV/0!</v>
      </c>
      <c r="P181" s="38" t="e">
        <f t="shared" si="46"/>
        <v>#DIV/0!</v>
      </c>
      <c r="Q181" s="53"/>
      <c r="R181" s="53">
        <f t="shared" si="58"/>
        <v>0.12</v>
      </c>
      <c r="S181" s="53">
        <f t="shared" si="59"/>
        <v>1.0596241035318976E-2</v>
      </c>
      <c r="T181" s="53">
        <f t="shared" si="60"/>
        <v>0.04</v>
      </c>
      <c r="U181" s="53">
        <f t="shared" si="61"/>
        <v>3.3960531989175591E-3</v>
      </c>
    </row>
    <row r="182" spans="1:21" x14ac:dyDescent="0.2">
      <c r="A182" s="62"/>
      <c r="B182" s="45">
        <f t="shared" si="48"/>
        <v>171</v>
      </c>
      <c r="C182" s="51" t="e">
        <f t="shared" si="49"/>
        <v>#DIV/0!</v>
      </c>
      <c r="D182" s="47" t="e">
        <f t="shared" si="50"/>
        <v>#DIV/0!</v>
      </c>
      <c r="E182" s="48">
        <f t="shared" si="51"/>
        <v>0</v>
      </c>
      <c r="F182" s="50">
        <f t="shared" si="52"/>
        <v>0</v>
      </c>
      <c r="G182" s="50">
        <f t="shared" si="62"/>
        <v>0</v>
      </c>
      <c r="H182" s="51" t="e">
        <f t="shared" si="53"/>
        <v>#DIV/0!</v>
      </c>
      <c r="I182" s="52" t="e">
        <f t="shared" si="47"/>
        <v>#DIV/0!</v>
      </c>
      <c r="J182" s="57" t="e">
        <f t="shared" si="54"/>
        <v>#DIV/0!</v>
      </c>
      <c r="K182" s="51" t="e">
        <f t="shared" si="55"/>
        <v>#DIV/0!</v>
      </c>
      <c r="L182" s="49" t="e">
        <f t="shared" si="56"/>
        <v>#DIV/0!</v>
      </c>
      <c r="M182" s="49">
        <f t="shared" si="64"/>
        <v>0</v>
      </c>
      <c r="N182" s="49">
        <f t="shared" si="63"/>
        <v>0</v>
      </c>
      <c r="O182" s="48" t="e">
        <f t="shared" si="57"/>
        <v>#DIV/0!</v>
      </c>
      <c r="P182" s="38" t="e">
        <f t="shared" si="46"/>
        <v>#DIV/0!</v>
      </c>
      <c r="Q182" s="53"/>
      <c r="R182" s="53">
        <f t="shared" si="58"/>
        <v>0.12</v>
      </c>
      <c r="S182" s="53">
        <f t="shared" si="59"/>
        <v>1.0596241035318976E-2</v>
      </c>
      <c r="T182" s="53">
        <f t="shared" si="60"/>
        <v>0.04</v>
      </c>
      <c r="U182" s="53">
        <f t="shared" si="61"/>
        <v>3.3960531989175591E-3</v>
      </c>
    </row>
    <row r="183" spans="1:21" x14ac:dyDescent="0.2">
      <c r="A183" s="62"/>
      <c r="B183" s="45">
        <f t="shared" si="48"/>
        <v>172</v>
      </c>
      <c r="C183" s="51" t="e">
        <f t="shared" si="49"/>
        <v>#DIV/0!</v>
      </c>
      <c r="D183" s="47" t="e">
        <f t="shared" si="50"/>
        <v>#DIV/0!</v>
      </c>
      <c r="E183" s="48">
        <f t="shared" si="51"/>
        <v>0</v>
      </c>
      <c r="F183" s="50">
        <f t="shared" si="52"/>
        <v>0</v>
      </c>
      <c r="G183" s="50">
        <f t="shared" si="62"/>
        <v>0</v>
      </c>
      <c r="H183" s="51" t="e">
        <f t="shared" si="53"/>
        <v>#DIV/0!</v>
      </c>
      <c r="I183" s="52" t="e">
        <f t="shared" si="47"/>
        <v>#DIV/0!</v>
      </c>
      <c r="J183" s="57" t="e">
        <f t="shared" si="54"/>
        <v>#DIV/0!</v>
      </c>
      <c r="K183" s="51" t="e">
        <f t="shared" si="55"/>
        <v>#DIV/0!</v>
      </c>
      <c r="L183" s="49" t="e">
        <f t="shared" si="56"/>
        <v>#DIV/0!</v>
      </c>
      <c r="M183" s="49">
        <f t="shared" si="64"/>
        <v>0</v>
      </c>
      <c r="N183" s="49">
        <f t="shared" si="63"/>
        <v>0</v>
      </c>
      <c r="O183" s="48" t="e">
        <f t="shared" si="57"/>
        <v>#DIV/0!</v>
      </c>
      <c r="P183" s="38" t="e">
        <f t="shared" si="46"/>
        <v>#DIV/0!</v>
      </c>
      <c r="Q183" s="53"/>
      <c r="R183" s="53">
        <f t="shared" si="58"/>
        <v>0.12</v>
      </c>
      <c r="S183" s="53">
        <f t="shared" si="59"/>
        <v>1.0596241035318976E-2</v>
      </c>
      <c r="T183" s="53">
        <f t="shared" si="60"/>
        <v>0.04</v>
      </c>
      <c r="U183" s="53">
        <f t="shared" si="61"/>
        <v>3.3960531989175591E-3</v>
      </c>
    </row>
    <row r="184" spans="1:21" x14ac:dyDescent="0.2">
      <c r="A184" s="62"/>
      <c r="B184" s="45">
        <f t="shared" si="48"/>
        <v>173</v>
      </c>
      <c r="C184" s="51" t="e">
        <f t="shared" si="49"/>
        <v>#DIV/0!</v>
      </c>
      <c r="D184" s="47" t="e">
        <f t="shared" si="50"/>
        <v>#DIV/0!</v>
      </c>
      <c r="E184" s="48">
        <f t="shared" si="51"/>
        <v>0</v>
      </c>
      <c r="F184" s="50">
        <f t="shared" si="52"/>
        <v>0</v>
      </c>
      <c r="G184" s="50">
        <f t="shared" si="62"/>
        <v>0</v>
      </c>
      <c r="H184" s="51" t="e">
        <f t="shared" si="53"/>
        <v>#DIV/0!</v>
      </c>
      <c r="I184" s="52" t="e">
        <f t="shared" si="47"/>
        <v>#DIV/0!</v>
      </c>
      <c r="J184" s="57" t="e">
        <f t="shared" si="54"/>
        <v>#DIV/0!</v>
      </c>
      <c r="K184" s="51" t="e">
        <f t="shared" si="55"/>
        <v>#DIV/0!</v>
      </c>
      <c r="L184" s="49" t="e">
        <f t="shared" si="56"/>
        <v>#DIV/0!</v>
      </c>
      <c r="M184" s="49">
        <f t="shared" si="64"/>
        <v>0</v>
      </c>
      <c r="N184" s="49">
        <f t="shared" si="63"/>
        <v>0</v>
      </c>
      <c r="O184" s="48" t="e">
        <f t="shared" si="57"/>
        <v>#DIV/0!</v>
      </c>
      <c r="P184" s="38" t="e">
        <f t="shared" si="46"/>
        <v>#DIV/0!</v>
      </c>
      <c r="Q184" s="53"/>
      <c r="R184" s="53">
        <f t="shared" si="58"/>
        <v>0.12</v>
      </c>
      <c r="S184" s="53">
        <f t="shared" si="59"/>
        <v>1.0596241035318976E-2</v>
      </c>
      <c r="T184" s="53">
        <f t="shared" si="60"/>
        <v>0.04</v>
      </c>
      <c r="U184" s="53">
        <f t="shared" si="61"/>
        <v>3.3960531989175591E-3</v>
      </c>
    </row>
    <row r="185" spans="1:21" x14ac:dyDescent="0.2">
      <c r="A185" s="62"/>
      <c r="B185" s="45">
        <f t="shared" si="48"/>
        <v>174</v>
      </c>
      <c r="C185" s="51" t="e">
        <f t="shared" si="49"/>
        <v>#DIV/0!</v>
      </c>
      <c r="D185" s="47" t="e">
        <f t="shared" si="50"/>
        <v>#DIV/0!</v>
      </c>
      <c r="E185" s="48">
        <f t="shared" si="51"/>
        <v>0</v>
      </c>
      <c r="F185" s="50">
        <f t="shared" si="52"/>
        <v>0</v>
      </c>
      <c r="G185" s="50">
        <f t="shared" si="62"/>
        <v>0</v>
      </c>
      <c r="H185" s="51" t="e">
        <f t="shared" si="53"/>
        <v>#DIV/0!</v>
      </c>
      <c r="I185" s="52" t="e">
        <f t="shared" si="47"/>
        <v>#DIV/0!</v>
      </c>
      <c r="J185" s="57" t="e">
        <f t="shared" si="54"/>
        <v>#DIV/0!</v>
      </c>
      <c r="K185" s="51" t="e">
        <f t="shared" si="55"/>
        <v>#DIV/0!</v>
      </c>
      <c r="L185" s="49" t="e">
        <f t="shared" si="56"/>
        <v>#DIV/0!</v>
      </c>
      <c r="M185" s="49">
        <f t="shared" si="64"/>
        <v>0</v>
      </c>
      <c r="N185" s="49">
        <f t="shared" si="63"/>
        <v>0</v>
      </c>
      <c r="O185" s="48" t="e">
        <f t="shared" si="57"/>
        <v>#DIV/0!</v>
      </c>
      <c r="P185" s="38" t="e">
        <f t="shared" si="46"/>
        <v>#DIV/0!</v>
      </c>
      <c r="Q185" s="53"/>
      <c r="R185" s="53">
        <f t="shared" si="58"/>
        <v>0.12</v>
      </c>
      <c r="S185" s="53">
        <f t="shared" si="59"/>
        <v>1.0596241035318976E-2</v>
      </c>
      <c r="T185" s="53">
        <f t="shared" si="60"/>
        <v>0.04</v>
      </c>
      <c r="U185" s="53">
        <f t="shared" si="61"/>
        <v>3.3960531989175591E-3</v>
      </c>
    </row>
    <row r="186" spans="1:21" x14ac:dyDescent="0.2">
      <c r="A186" s="62"/>
      <c r="B186" s="45">
        <f t="shared" si="48"/>
        <v>175</v>
      </c>
      <c r="C186" s="51" t="e">
        <f t="shared" si="49"/>
        <v>#DIV/0!</v>
      </c>
      <c r="D186" s="47" t="e">
        <f t="shared" si="50"/>
        <v>#DIV/0!</v>
      </c>
      <c r="E186" s="48">
        <f t="shared" si="51"/>
        <v>0</v>
      </c>
      <c r="F186" s="50">
        <f t="shared" si="52"/>
        <v>0</v>
      </c>
      <c r="G186" s="50">
        <f t="shared" si="62"/>
        <v>0</v>
      </c>
      <c r="H186" s="51" t="e">
        <f t="shared" si="53"/>
        <v>#DIV/0!</v>
      </c>
      <c r="I186" s="52" t="e">
        <f t="shared" si="47"/>
        <v>#DIV/0!</v>
      </c>
      <c r="J186" s="57" t="e">
        <f t="shared" si="54"/>
        <v>#DIV/0!</v>
      </c>
      <c r="K186" s="51" t="e">
        <f t="shared" si="55"/>
        <v>#DIV/0!</v>
      </c>
      <c r="L186" s="49" t="e">
        <f t="shared" si="56"/>
        <v>#DIV/0!</v>
      </c>
      <c r="M186" s="49">
        <f t="shared" si="64"/>
        <v>0</v>
      </c>
      <c r="N186" s="49">
        <f t="shared" si="63"/>
        <v>0</v>
      </c>
      <c r="O186" s="48" t="e">
        <f t="shared" si="57"/>
        <v>#DIV/0!</v>
      </c>
      <c r="P186" s="38" t="e">
        <f t="shared" si="46"/>
        <v>#DIV/0!</v>
      </c>
      <c r="Q186" s="53"/>
      <c r="R186" s="53">
        <f t="shared" si="58"/>
        <v>0.12</v>
      </c>
      <c r="S186" s="53">
        <f t="shared" si="59"/>
        <v>1.0596241035318976E-2</v>
      </c>
      <c r="T186" s="53">
        <f t="shared" si="60"/>
        <v>0.04</v>
      </c>
      <c r="U186" s="53">
        <f t="shared" si="61"/>
        <v>3.3960531989175591E-3</v>
      </c>
    </row>
    <row r="187" spans="1:21" x14ac:dyDescent="0.2">
      <c r="A187" s="62"/>
      <c r="B187" s="45">
        <f t="shared" si="48"/>
        <v>176</v>
      </c>
      <c r="C187" s="51" t="e">
        <f t="shared" si="49"/>
        <v>#DIV/0!</v>
      </c>
      <c r="D187" s="47" t="e">
        <f t="shared" si="50"/>
        <v>#DIV/0!</v>
      </c>
      <c r="E187" s="48">
        <f t="shared" si="51"/>
        <v>0</v>
      </c>
      <c r="F187" s="50">
        <f t="shared" si="52"/>
        <v>0</v>
      </c>
      <c r="G187" s="50">
        <f t="shared" si="62"/>
        <v>0</v>
      </c>
      <c r="H187" s="51" t="e">
        <f t="shared" si="53"/>
        <v>#DIV/0!</v>
      </c>
      <c r="I187" s="52" t="e">
        <f t="shared" si="47"/>
        <v>#DIV/0!</v>
      </c>
      <c r="J187" s="57" t="e">
        <f t="shared" si="54"/>
        <v>#DIV/0!</v>
      </c>
      <c r="K187" s="51" t="e">
        <f t="shared" si="55"/>
        <v>#DIV/0!</v>
      </c>
      <c r="L187" s="49" t="e">
        <f t="shared" si="56"/>
        <v>#DIV/0!</v>
      </c>
      <c r="M187" s="49">
        <f t="shared" si="64"/>
        <v>0</v>
      </c>
      <c r="N187" s="49">
        <f t="shared" si="63"/>
        <v>0</v>
      </c>
      <c r="O187" s="48" t="e">
        <f t="shared" si="57"/>
        <v>#DIV/0!</v>
      </c>
      <c r="P187" s="38" t="e">
        <f t="shared" si="46"/>
        <v>#DIV/0!</v>
      </c>
      <c r="Q187" s="53"/>
      <c r="R187" s="53">
        <f t="shared" si="58"/>
        <v>0.12</v>
      </c>
      <c r="S187" s="53">
        <f t="shared" si="59"/>
        <v>1.0596241035318976E-2</v>
      </c>
      <c r="T187" s="53">
        <f t="shared" si="60"/>
        <v>0.04</v>
      </c>
      <c r="U187" s="53">
        <f t="shared" si="61"/>
        <v>3.3960531989175591E-3</v>
      </c>
    </row>
    <row r="188" spans="1:21" x14ac:dyDescent="0.2">
      <c r="A188" s="62"/>
      <c r="B188" s="45">
        <f t="shared" si="48"/>
        <v>177</v>
      </c>
      <c r="C188" s="51" t="e">
        <f t="shared" si="49"/>
        <v>#DIV/0!</v>
      </c>
      <c r="D188" s="47" t="e">
        <f t="shared" si="50"/>
        <v>#DIV/0!</v>
      </c>
      <c r="E188" s="48">
        <f t="shared" si="51"/>
        <v>0</v>
      </c>
      <c r="F188" s="50">
        <f t="shared" si="52"/>
        <v>0</v>
      </c>
      <c r="G188" s="50">
        <f t="shared" si="62"/>
        <v>0</v>
      </c>
      <c r="H188" s="51" t="e">
        <f t="shared" si="53"/>
        <v>#DIV/0!</v>
      </c>
      <c r="I188" s="52" t="e">
        <f t="shared" si="47"/>
        <v>#DIV/0!</v>
      </c>
      <c r="J188" s="57" t="e">
        <f t="shared" si="54"/>
        <v>#DIV/0!</v>
      </c>
      <c r="K188" s="51" t="e">
        <f t="shared" si="55"/>
        <v>#DIV/0!</v>
      </c>
      <c r="L188" s="49" t="e">
        <f t="shared" si="56"/>
        <v>#DIV/0!</v>
      </c>
      <c r="M188" s="49">
        <f t="shared" si="64"/>
        <v>0</v>
      </c>
      <c r="N188" s="49">
        <f t="shared" si="63"/>
        <v>0</v>
      </c>
      <c r="O188" s="48" t="e">
        <f t="shared" si="57"/>
        <v>#DIV/0!</v>
      </c>
      <c r="P188" s="38" t="e">
        <f t="shared" si="46"/>
        <v>#DIV/0!</v>
      </c>
      <c r="Q188" s="53"/>
      <c r="R188" s="53">
        <f t="shared" si="58"/>
        <v>0.12</v>
      </c>
      <c r="S188" s="53">
        <f t="shared" si="59"/>
        <v>1.0596241035318976E-2</v>
      </c>
      <c r="T188" s="53">
        <f t="shared" si="60"/>
        <v>0.04</v>
      </c>
      <c r="U188" s="53">
        <f t="shared" si="61"/>
        <v>3.3960531989175591E-3</v>
      </c>
    </row>
    <row r="189" spans="1:21" x14ac:dyDescent="0.2">
      <c r="A189" s="62"/>
      <c r="B189" s="45">
        <f t="shared" si="48"/>
        <v>178</v>
      </c>
      <c r="C189" s="51" t="e">
        <f t="shared" si="49"/>
        <v>#DIV/0!</v>
      </c>
      <c r="D189" s="47" t="e">
        <f t="shared" si="50"/>
        <v>#DIV/0!</v>
      </c>
      <c r="E189" s="48">
        <f t="shared" si="51"/>
        <v>0</v>
      </c>
      <c r="F189" s="50">
        <f t="shared" si="52"/>
        <v>0</v>
      </c>
      <c r="G189" s="50">
        <f t="shared" si="62"/>
        <v>0</v>
      </c>
      <c r="H189" s="51" t="e">
        <f t="shared" si="53"/>
        <v>#DIV/0!</v>
      </c>
      <c r="I189" s="52" t="e">
        <f t="shared" si="47"/>
        <v>#DIV/0!</v>
      </c>
      <c r="J189" s="57" t="e">
        <f t="shared" si="54"/>
        <v>#DIV/0!</v>
      </c>
      <c r="K189" s="51" t="e">
        <f t="shared" si="55"/>
        <v>#DIV/0!</v>
      </c>
      <c r="L189" s="49" t="e">
        <f t="shared" si="56"/>
        <v>#DIV/0!</v>
      </c>
      <c r="M189" s="49">
        <f t="shared" si="64"/>
        <v>0</v>
      </c>
      <c r="N189" s="49">
        <f t="shared" si="63"/>
        <v>0</v>
      </c>
      <c r="O189" s="48" t="e">
        <f t="shared" si="57"/>
        <v>#DIV/0!</v>
      </c>
      <c r="P189" s="38" t="e">
        <f t="shared" si="46"/>
        <v>#DIV/0!</v>
      </c>
      <c r="Q189" s="53"/>
      <c r="R189" s="53">
        <f t="shared" si="58"/>
        <v>0.12</v>
      </c>
      <c r="S189" s="53">
        <f t="shared" si="59"/>
        <v>1.0596241035318976E-2</v>
      </c>
      <c r="T189" s="53">
        <f t="shared" si="60"/>
        <v>0.04</v>
      </c>
      <c r="U189" s="53">
        <f t="shared" si="61"/>
        <v>3.3960531989175591E-3</v>
      </c>
    </row>
    <row r="190" spans="1:21" x14ac:dyDescent="0.2">
      <c r="A190" s="62"/>
      <c r="B190" s="45">
        <f t="shared" si="48"/>
        <v>179</v>
      </c>
      <c r="C190" s="51" t="e">
        <f t="shared" si="49"/>
        <v>#DIV/0!</v>
      </c>
      <c r="D190" s="47" t="e">
        <f t="shared" si="50"/>
        <v>#DIV/0!</v>
      </c>
      <c r="E190" s="48">
        <f t="shared" si="51"/>
        <v>0</v>
      </c>
      <c r="F190" s="50">
        <f t="shared" si="52"/>
        <v>0</v>
      </c>
      <c r="G190" s="50">
        <f t="shared" si="62"/>
        <v>0</v>
      </c>
      <c r="H190" s="51" t="e">
        <f t="shared" si="53"/>
        <v>#DIV/0!</v>
      </c>
      <c r="I190" s="52" t="e">
        <f t="shared" si="47"/>
        <v>#DIV/0!</v>
      </c>
      <c r="J190" s="57" t="e">
        <f t="shared" si="54"/>
        <v>#DIV/0!</v>
      </c>
      <c r="K190" s="51" t="e">
        <f t="shared" si="55"/>
        <v>#DIV/0!</v>
      </c>
      <c r="L190" s="49" t="e">
        <f t="shared" si="56"/>
        <v>#DIV/0!</v>
      </c>
      <c r="M190" s="49">
        <f t="shared" si="64"/>
        <v>0</v>
      </c>
      <c r="N190" s="49">
        <f t="shared" si="63"/>
        <v>0</v>
      </c>
      <c r="O190" s="48" t="e">
        <f t="shared" si="57"/>
        <v>#DIV/0!</v>
      </c>
      <c r="P190" s="38" t="e">
        <f t="shared" si="46"/>
        <v>#DIV/0!</v>
      </c>
      <c r="Q190" s="53"/>
      <c r="R190" s="53">
        <f t="shared" si="58"/>
        <v>0.12</v>
      </c>
      <c r="S190" s="53">
        <f t="shared" si="59"/>
        <v>1.0596241035318976E-2</v>
      </c>
      <c r="T190" s="53">
        <f t="shared" si="60"/>
        <v>0.04</v>
      </c>
      <c r="U190" s="53">
        <f t="shared" si="61"/>
        <v>3.3960531989175591E-3</v>
      </c>
    </row>
    <row r="191" spans="1:21" x14ac:dyDescent="0.2">
      <c r="A191" s="62"/>
      <c r="B191" s="45">
        <f t="shared" si="48"/>
        <v>180</v>
      </c>
      <c r="C191" s="51" t="e">
        <f t="shared" si="49"/>
        <v>#DIV/0!</v>
      </c>
      <c r="D191" s="47" t="e">
        <f t="shared" si="50"/>
        <v>#DIV/0!</v>
      </c>
      <c r="E191" s="48">
        <f t="shared" si="51"/>
        <v>0</v>
      </c>
      <c r="F191" s="50">
        <f t="shared" si="52"/>
        <v>0</v>
      </c>
      <c r="G191" s="50">
        <f t="shared" si="62"/>
        <v>0</v>
      </c>
      <c r="H191" s="51" t="e">
        <f t="shared" si="53"/>
        <v>#DIV/0!</v>
      </c>
      <c r="I191" s="52" t="e">
        <f t="shared" si="47"/>
        <v>#DIV/0!</v>
      </c>
      <c r="J191" s="57" t="e">
        <f t="shared" si="54"/>
        <v>#DIV/0!</v>
      </c>
      <c r="K191" s="51" t="e">
        <f t="shared" si="55"/>
        <v>#DIV/0!</v>
      </c>
      <c r="L191" s="49" t="e">
        <f t="shared" si="56"/>
        <v>#DIV/0!</v>
      </c>
      <c r="M191" s="49">
        <f t="shared" si="64"/>
        <v>0</v>
      </c>
      <c r="N191" s="49">
        <f t="shared" si="63"/>
        <v>0</v>
      </c>
      <c r="O191" s="48" t="e">
        <f t="shared" si="57"/>
        <v>#DIV/0!</v>
      </c>
      <c r="P191" s="38" t="e">
        <f t="shared" si="46"/>
        <v>#DIV/0!</v>
      </c>
      <c r="Q191" s="53"/>
      <c r="R191" s="53">
        <f t="shared" si="58"/>
        <v>0.12</v>
      </c>
      <c r="S191" s="53">
        <f t="shared" si="59"/>
        <v>1.0596241035318976E-2</v>
      </c>
      <c r="T191" s="53">
        <f t="shared" si="60"/>
        <v>0.04</v>
      </c>
      <c r="U191" s="53">
        <f t="shared" si="61"/>
        <v>3.3960531989175591E-3</v>
      </c>
    </row>
    <row r="192" spans="1:21" x14ac:dyDescent="0.2">
      <c r="A192" s="62"/>
      <c r="B192" s="45">
        <f t="shared" si="48"/>
        <v>181</v>
      </c>
      <c r="C192" s="51" t="e">
        <f t="shared" si="49"/>
        <v>#DIV/0!</v>
      </c>
      <c r="D192" s="47" t="e">
        <f t="shared" si="50"/>
        <v>#DIV/0!</v>
      </c>
      <c r="E192" s="48">
        <f t="shared" si="51"/>
        <v>0</v>
      </c>
      <c r="F192" s="50">
        <f t="shared" si="52"/>
        <v>0</v>
      </c>
      <c r="G192" s="50">
        <f t="shared" si="62"/>
        <v>0</v>
      </c>
      <c r="H192" s="51" t="e">
        <f t="shared" si="53"/>
        <v>#DIV/0!</v>
      </c>
      <c r="I192" s="52" t="e">
        <f t="shared" si="47"/>
        <v>#DIV/0!</v>
      </c>
      <c r="J192" s="57" t="e">
        <f t="shared" si="54"/>
        <v>#DIV/0!</v>
      </c>
      <c r="K192" s="51" t="e">
        <f t="shared" si="55"/>
        <v>#DIV/0!</v>
      </c>
      <c r="L192" s="49" t="e">
        <f t="shared" si="56"/>
        <v>#DIV/0!</v>
      </c>
      <c r="M192" s="49">
        <f t="shared" si="64"/>
        <v>0</v>
      </c>
      <c r="N192" s="49">
        <f t="shared" si="63"/>
        <v>0</v>
      </c>
      <c r="O192" s="48" t="e">
        <f t="shared" si="57"/>
        <v>#DIV/0!</v>
      </c>
      <c r="P192" s="38" t="e">
        <f t="shared" si="46"/>
        <v>#DIV/0!</v>
      </c>
      <c r="Q192" s="53"/>
      <c r="R192" s="53">
        <f t="shared" si="58"/>
        <v>0.12</v>
      </c>
      <c r="S192" s="53">
        <f t="shared" si="59"/>
        <v>1.0596241035318976E-2</v>
      </c>
      <c r="T192" s="53">
        <f t="shared" si="60"/>
        <v>0.04</v>
      </c>
      <c r="U192" s="53">
        <f t="shared" si="61"/>
        <v>3.3960531989175591E-3</v>
      </c>
    </row>
    <row r="193" spans="1:21" x14ac:dyDescent="0.2">
      <c r="A193" s="62"/>
      <c r="B193" s="45">
        <f t="shared" si="48"/>
        <v>182</v>
      </c>
      <c r="C193" s="51" t="e">
        <f t="shared" si="49"/>
        <v>#DIV/0!</v>
      </c>
      <c r="D193" s="47" t="e">
        <f t="shared" si="50"/>
        <v>#DIV/0!</v>
      </c>
      <c r="E193" s="48">
        <f t="shared" si="51"/>
        <v>0</v>
      </c>
      <c r="F193" s="50">
        <f t="shared" si="52"/>
        <v>0</v>
      </c>
      <c r="G193" s="50">
        <f t="shared" si="62"/>
        <v>0</v>
      </c>
      <c r="H193" s="51" t="e">
        <f t="shared" si="53"/>
        <v>#DIV/0!</v>
      </c>
      <c r="I193" s="52" t="e">
        <f t="shared" si="47"/>
        <v>#DIV/0!</v>
      </c>
      <c r="J193" s="57" t="e">
        <f t="shared" si="54"/>
        <v>#DIV/0!</v>
      </c>
      <c r="K193" s="51" t="e">
        <f t="shared" si="55"/>
        <v>#DIV/0!</v>
      </c>
      <c r="L193" s="49" t="e">
        <f t="shared" si="56"/>
        <v>#DIV/0!</v>
      </c>
      <c r="M193" s="49">
        <f t="shared" si="64"/>
        <v>0</v>
      </c>
      <c r="N193" s="49">
        <f t="shared" si="63"/>
        <v>0</v>
      </c>
      <c r="O193" s="48" t="e">
        <f t="shared" si="57"/>
        <v>#DIV/0!</v>
      </c>
      <c r="P193" s="38" t="e">
        <f t="shared" si="46"/>
        <v>#DIV/0!</v>
      </c>
      <c r="Q193" s="53"/>
      <c r="R193" s="53">
        <f t="shared" si="58"/>
        <v>0.12</v>
      </c>
      <c r="S193" s="53">
        <f t="shared" si="59"/>
        <v>1.0596241035318976E-2</v>
      </c>
      <c r="T193" s="53">
        <f t="shared" si="60"/>
        <v>0.04</v>
      </c>
      <c r="U193" s="53">
        <f t="shared" si="61"/>
        <v>3.3960531989175591E-3</v>
      </c>
    </row>
    <row r="194" spans="1:21" x14ac:dyDescent="0.2">
      <c r="A194" s="62"/>
      <c r="B194" s="45">
        <f t="shared" si="48"/>
        <v>183</v>
      </c>
      <c r="C194" s="51" t="e">
        <f t="shared" si="49"/>
        <v>#DIV/0!</v>
      </c>
      <c r="D194" s="47" t="e">
        <f t="shared" si="50"/>
        <v>#DIV/0!</v>
      </c>
      <c r="E194" s="48">
        <f t="shared" si="51"/>
        <v>0</v>
      </c>
      <c r="F194" s="50">
        <f t="shared" si="52"/>
        <v>0</v>
      </c>
      <c r="G194" s="50">
        <f t="shared" si="62"/>
        <v>0</v>
      </c>
      <c r="H194" s="51" t="e">
        <f t="shared" si="53"/>
        <v>#DIV/0!</v>
      </c>
      <c r="I194" s="52" t="e">
        <f t="shared" si="47"/>
        <v>#DIV/0!</v>
      </c>
      <c r="J194" s="57" t="e">
        <f t="shared" si="54"/>
        <v>#DIV/0!</v>
      </c>
      <c r="K194" s="51" t="e">
        <f t="shared" si="55"/>
        <v>#DIV/0!</v>
      </c>
      <c r="L194" s="49" t="e">
        <f t="shared" si="56"/>
        <v>#DIV/0!</v>
      </c>
      <c r="M194" s="49">
        <f t="shared" si="64"/>
        <v>0</v>
      </c>
      <c r="N194" s="49">
        <f t="shared" si="63"/>
        <v>0</v>
      </c>
      <c r="O194" s="48" t="e">
        <f t="shared" si="57"/>
        <v>#DIV/0!</v>
      </c>
      <c r="P194" s="38" t="e">
        <f t="shared" si="46"/>
        <v>#DIV/0!</v>
      </c>
      <c r="Q194" s="53"/>
      <c r="R194" s="53">
        <f t="shared" si="58"/>
        <v>0.12</v>
      </c>
      <c r="S194" s="53">
        <f t="shared" si="59"/>
        <v>1.0596241035318976E-2</v>
      </c>
      <c r="T194" s="53">
        <f t="shared" si="60"/>
        <v>0.04</v>
      </c>
      <c r="U194" s="53">
        <f t="shared" si="61"/>
        <v>3.3960531989175591E-3</v>
      </c>
    </row>
    <row r="195" spans="1:21" x14ac:dyDescent="0.2">
      <c r="A195" s="62"/>
      <c r="B195" s="45">
        <f t="shared" si="48"/>
        <v>184</v>
      </c>
      <c r="C195" s="51" t="e">
        <f t="shared" si="49"/>
        <v>#DIV/0!</v>
      </c>
      <c r="D195" s="47" t="e">
        <f t="shared" si="50"/>
        <v>#DIV/0!</v>
      </c>
      <c r="E195" s="48">
        <f t="shared" si="51"/>
        <v>0</v>
      </c>
      <c r="F195" s="50">
        <f t="shared" si="52"/>
        <v>0</v>
      </c>
      <c r="G195" s="50">
        <f t="shared" si="62"/>
        <v>0</v>
      </c>
      <c r="H195" s="51" t="e">
        <f t="shared" si="53"/>
        <v>#DIV/0!</v>
      </c>
      <c r="I195" s="52" t="e">
        <f t="shared" si="47"/>
        <v>#DIV/0!</v>
      </c>
      <c r="J195" s="57" t="e">
        <f t="shared" si="54"/>
        <v>#DIV/0!</v>
      </c>
      <c r="K195" s="51" t="e">
        <f t="shared" si="55"/>
        <v>#DIV/0!</v>
      </c>
      <c r="L195" s="49" t="e">
        <f t="shared" si="56"/>
        <v>#DIV/0!</v>
      </c>
      <c r="M195" s="49">
        <f t="shared" si="64"/>
        <v>0</v>
      </c>
      <c r="N195" s="49">
        <f t="shared" si="63"/>
        <v>0</v>
      </c>
      <c r="O195" s="48" t="e">
        <f t="shared" si="57"/>
        <v>#DIV/0!</v>
      </c>
      <c r="P195" s="38" t="e">
        <f t="shared" si="46"/>
        <v>#DIV/0!</v>
      </c>
      <c r="Q195" s="53"/>
      <c r="R195" s="53">
        <f t="shared" si="58"/>
        <v>0.12</v>
      </c>
      <c r="S195" s="53">
        <f t="shared" si="59"/>
        <v>1.0596241035318976E-2</v>
      </c>
      <c r="T195" s="53">
        <f t="shared" si="60"/>
        <v>0.04</v>
      </c>
      <c r="U195" s="53">
        <f t="shared" si="61"/>
        <v>3.3960531989175591E-3</v>
      </c>
    </row>
    <row r="196" spans="1:21" x14ac:dyDescent="0.2">
      <c r="A196" s="62"/>
      <c r="B196" s="45">
        <f t="shared" si="48"/>
        <v>185</v>
      </c>
      <c r="C196" s="51" t="e">
        <f t="shared" si="49"/>
        <v>#DIV/0!</v>
      </c>
      <c r="D196" s="47" t="e">
        <f t="shared" si="50"/>
        <v>#DIV/0!</v>
      </c>
      <c r="E196" s="48">
        <f t="shared" si="51"/>
        <v>0</v>
      </c>
      <c r="F196" s="50">
        <f t="shared" si="52"/>
        <v>0</v>
      </c>
      <c r="G196" s="50">
        <f t="shared" si="62"/>
        <v>0</v>
      </c>
      <c r="H196" s="51" t="e">
        <f t="shared" si="53"/>
        <v>#DIV/0!</v>
      </c>
      <c r="I196" s="52" t="e">
        <f t="shared" si="47"/>
        <v>#DIV/0!</v>
      </c>
      <c r="J196" s="57" t="e">
        <f t="shared" si="54"/>
        <v>#DIV/0!</v>
      </c>
      <c r="K196" s="51" t="e">
        <f t="shared" si="55"/>
        <v>#DIV/0!</v>
      </c>
      <c r="L196" s="49" t="e">
        <f t="shared" si="56"/>
        <v>#DIV/0!</v>
      </c>
      <c r="M196" s="49">
        <f t="shared" si="64"/>
        <v>0</v>
      </c>
      <c r="N196" s="49">
        <f t="shared" si="63"/>
        <v>0</v>
      </c>
      <c r="O196" s="48" t="e">
        <f t="shared" si="57"/>
        <v>#DIV/0!</v>
      </c>
      <c r="P196" s="38" t="e">
        <f t="shared" si="46"/>
        <v>#DIV/0!</v>
      </c>
      <c r="Q196" s="53"/>
      <c r="R196" s="53">
        <f t="shared" si="58"/>
        <v>0.12</v>
      </c>
      <c r="S196" s="53">
        <f t="shared" si="59"/>
        <v>1.0596241035318976E-2</v>
      </c>
      <c r="T196" s="53">
        <f t="shared" si="60"/>
        <v>0.04</v>
      </c>
      <c r="U196" s="53">
        <f t="shared" si="61"/>
        <v>3.3960531989175591E-3</v>
      </c>
    </row>
    <row r="197" spans="1:21" x14ac:dyDescent="0.2">
      <c r="A197" s="62"/>
      <c r="B197" s="45">
        <f t="shared" si="48"/>
        <v>186</v>
      </c>
      <c r="C197" s="51" t="e">
        <f t="shared" si="49"/>
        <v>#DIV/0!</v>
      </c>
      <c r="D197" s="47" t="e">
        <f t="shared" si="50"/>
        <v>#DIV/0!</v>
      </c>
      <c r="E197" s="48">
        <f t="shared" si="51"/>
        <v>0</v>
      </c>
      <c r="F197" s="50">
        <f t="shared" si="52"/>
        <v>0</v>
      </c>
      <c r="G197" s="50">
        <f t="shared" si="62"/>
        <v>0</v>
      </c>
      <c r="H197" s="51" t="e">
        <f t="shared" si="53"/>
        <v>#DIV/0!</v>
      </c>
      <c r="I197" s="52" t="e">
        <f t="shared" si="47"/>
        <v>#DIV/0!</v>
      </c>
      <c r="J197" s="57" t="e">
        <f t="shared" si="54"/>
        <v>#DIV/0!</v>
      </c>
      <c r="K197" s="51" t="e">
        <f t="shared" si="55"/>
        <v>#DIV/0!</v>
      </c>
      <c r="L197" s="49" t="e">
        <f t="shared" si="56"/>
        <v>#DIV/0!</v>
      </c>
      <c r="M197" s="49">
        <f t="shared" si="64"/>
        <v>0</v>
      </c>
      <c r="N197" s="49">
        <f t="shared" si="63"/>
        <v>0</v>
      </c>
      <c r="O197" s="48" t="e">
        <f t="shared" si="57"/>
        <v>#DIV/0!</v>
      </c>
      <c r="P197" s="38" t="e">
        <f t="shared" si="46"/>
        <v>#DIV/0!</v>
      </c>
      <c r="Q197" s="53"/>
      <c r="R197" s="53">
        <f t="shared" si="58"/>
        <v>0.12</v>
      </c>
      <c r="S197" s="53">
        <f t="shared" si="59"/>
        <v>1.0596241035318976E-2</v>
      </c>
      <c r="T197" s="53">
        <f t="shared" si="60"/>
        <v>0.04</v>
      </c>
      <c r="U197" s="53">
        <f t="shared" si="61"/>
        <v>3.3960531989175591E-3</v>
      </c>
    </row>
    <row r="198" spans="1:21" x14ac:dyDescent="0.2">
      <c r="A198" s="62"/>
      <c r="B198" s="45">
        <f t="shared" si="48"/>
        <v>187</v>
      </c>
      <c r="C198" s="51" t="e">
        <f t="shared" si="49"/>
        <v>#DIV/0!</v>
      </c>
      <c r="D198" s="47" t="e">
        <f t="shared" si="50"/>
        <v>#DIV/0!</v>
      </c>
      <c r="E198" s="48">
        <f t="shared" si="51"/>
        <v>0</v>
      </c>
      <c r="F198" s="50">
        <f t="shared" si="52"/>
        <v>0</v>
      </c>
      <c r="G198" s="50">
        <f t="shared" si="62"/>
        <v>0</v>
      </c>
      <c r="H198" s="51" t="e">
        <f t="shared" si="53"/>
        <v>#DIV/0!</v>
      </c>
      <c r="I198" s="52" t="e">
        <f t="shared" si="47"/>
        <v>#DIV/0!</v>
      </c>
      <c r="J198" s="57" t="e">
        <f t="shared" si="54"/>
        <v>#DIV/0!</v>
      </c>
      <c r="K198" s="51" t="e">
        <f t="shared" si="55"/>
        <v>#DIV/0!</v>
      </c>
      <c r="L198" s="49" t="e">
        <f t="shared" si="56"/>
        <v>#DIV/0!</v>
      </c>
      <c r="M198" s="49">
        <f t="shared" si="64"/>
        <v>0</v>
      </c>
      <c r="N198" s="49">
        <f t="shared" si="63"/>
        <v>0</v>
      </c>
      <c r="O198" s="48" t="e">
        <f t="shared" si="57"/>
        <v>#DIV/0!</v>
      </c>
      <c r="P198" s="38" t="e">
        <f t="shared" si="46"/>
        <v>#DIV/0!</v>
      </c>
      <c r="Q198" s="53"/>
      <c r="R198" s="53">
        <f t="shared" si="58"/>
        <v>0.12</v>
      </c>
      <c r="S198" s="53">
        <f t="shared" si="59"/>
        <v>1.0596241035318976E-2</v>
      </c>
      <c r="T198" s="53">
        <f t="shared" si="60"/>
        <v>0.04</v>
      </c>
      <c r="U198" s="53">
        <f t="shared" si="61"/>
        <v>3.3960531989175591E-3</v>
      </c>
    </row>
    <row r="199" spans="1:21" x14ac:dyDescent="0.2">
      <c r="A199" s="62"/>
      <c r="B199" s="45">
        <f t="shared" si="48"/>
        <v>188</v>
      </c>
      <c r="C199" s="51" t="e">
        <f t="shared" si="49"/>
        <v>#DIV/0!</v>
      </c>
      <c r="D199" s="47" t="e">
        <f t="shared" si="50"/>
        <v>#DIV/0!</v>
      </c>
      <c r="E199" s="48">
        <f t="shared" si="51"/>
        <v>0</v>
      </c>
      <c r="F199" s="50">
        <f t="shared" si="52"/>
        <v>0</v>
      </c>
      <c r="G199" s="50">
        <f t="shared" si="62"/>
        <v>0</v>
      </c>
      <c r="H199" s="51" t="e">
        <f t="shared" si="53"/>
        <v>#DIV/0!</v>
      </c>
      <c r="I199" s="52" t="e">
        <f t="shared" si="47"/>
        <v>#DIV/0!</v>
      </c>
      <c r="J199" s="57" t="e">
        <f t="shared" si="54"/>
        <v>#DIV/0!</v>
      </c>
      <c r="K199" s="51" t="e">
        <f t="shared" si="55"/>
        <v>#DIV/0!</v>
      </c>
      <c r="L199" s="49" t="e">
        <f t="shared" si="56"/>
        <v>#DIV/0!</v>
      </c>
      <c r="M199" s="49">
        <f t="shared" si="64"/>
        <v>0</v>
      </c>
      <c r="N199" s="49">
        <f t="shared" si="63"/>
        <v>0</v>
      </c>
      <c r="O199" s="48" t="e">
        <f t="shared" si="57"/>
        <v>#DIV/0!</v>
      </c>
      <c r="P199" s="38" t="e">
        <f t="shared" si="46"/>
        <v>#DIV/0!</v>
      </c>
      <c r="Q199" s="53"/>
      <c r="R199" s="53">
        <f t="shared" si="58"/>
        <v>0.12</v>
      </c>
      <c r="S199" s="53">
        <f t="shared" si="59"/>
        <v>1.0596241035318976E-2</v>
      </c>
      <c r="T199" s="53">
        <f t="shared" si="60"/>
        <v>0.04</v>
      </c>
      <c r="U199" s="53">
        <f t="shared" si="61"/>
        <v>3.3960531989175591E-3</v>
      </c>
    </row>
    <row r="200" spans="1:21" x14ac:dyDescent="0.2">
      <c r="A200" s="62"/>
      <c r="B200" s="45">
        <f t="shared" si="48"/>
        <v>189</v>
      </c>
      <c r="C200" s="51" t="e">
        <f t="shared" si="49"/>
        <v>#DIV/0!</v>
      </c>
      <c r="D200" s="47" t="e">
        <f t="shared" si="50"/>
        <v>#DIV/0!</v>
      </c>
      <c r="E200" s="48">
        <f t="shared" si="51"/>
        <v>0</v>
      </c>
      <c r="F200" s="50">
        <f t="shared" si="52"/>
        <v>0</v>
      </c>
      <c r="G200" s="50">
        <f t="shared" si="62"/>
        <v>0</v>
      </c>
      <c r="H200" s="51" t="e">
        <f t="shared" si="53"/>
        <v>#DIV/0!</v>
      </c>
      <c r="I200" s="52" t="e">
        <f t="shared" si="47"/>
        <v>#DIV/0!</v>
      </c>
      <c r="J200" s="57" t="e">
        <f t="shared" si="54"/>
        <v>#DIV/0!</v>
      </c>
      <c r="K200" s="51" t="e">
        <f t="shared" si="55"/>
        <v>#DIV/0!</v>
      </c>
      <c r="L200" s="49" t="e">
        <f t="shared" si="56"/>
        <v>#DIV/0!</v>
      </c>
      <c r="M200" s="49">
        <f t="shared" si="64"/>
        <v>0</v>
      </c>
      <c r="N200" s="49">
        <f t="shared" si="63"/>
        <v>0</v>
      </c>
      <c r="O200" s="48" t="e">
        <f t="shared" si="57"/>
        <v>#DIV/0!</v>
      </c>
      <c r="P200" s="38" t="e">
        <f t="shared" si="46"/>
        <v>#DIV/0!</v>
      </c>
      <c r="Q200" s="53"/>
      <c r="R200" s="53">
        <f t="shared" si="58"/>
        <v>0.12</v>
      </c>
      <c r="S200" s="53">
        <f t="shared" si="59"/>
        <v>1.0596241035318976E-2</v>
      </c>
      <c r="T200" s="53">
        <f t="shared" si="60"/>
        <v>0.04</v>
      </c>
      <c r="U200" s="53">
        <f t="shared" si="61"/>
        <v>3.3960531989175591E-3</v>
      </c>
    </row>
    <row r="201" spans="1:21" x14ac:dyDescent="0.2">
      <c r="A201" s="62"/>
      <c r="B201" s="45">
        <f t="shared" si="48"/>
        <v>190</v>
      </c>
      <c r="C201" s="51" t="e">
        <f t="shared" si="49"/>
        <v>#DIV/0!</v>
      </c>
      <c r="D201" s="47" t="e">
        <f t="shared" si="50"/>
        <v>#DIV/0!</v>
      </c>
      <c r="E201" s="48">
        <f t="shared" si="51"/>
        <v>0</v>
      </c>
      <c r="F201" s="50">
        <f t="shared" si="52"/>
        <v>0</v>
      </c>
      <c r="G201" s="50">
        <f t="shared" si="62"/>
        <v>0</v>
      </c>
      <c r="H201" s="51" t="e">
        <f t="shared" si="53"/>
        <v>#DIV/0!</v>
      </c>
      <c r="I201" s="52" t="e">
        <f t="shared" si="47"/>
        <v>#DIV/0!</v>
      </c>
      <c r="J201" s="57" t="e">
        <f t="shared" si="54"/>
        <v>#DIV/0!</v>
      </c>
      <c r="K201" s="51" t="e">
        <f t="shared" si="55"/>
        <v>#DIV/0!</v>
      </c>
      <c r="L201" s="49" t="e">
        <f t="shared" si="56"/>
        <v>#DIV/0!</v>
      </c>
      <c r="M201" s="49">
        <f t="shared" si="64"/>
        <v>0</v>
      </c>
      <c r="N201" s="49">
        <f t="shared" si="63"/>
        <v>0</v>
      </c>
      <c r="O201" s="48" t="e">
        <f t="shared" si="57"/>
        <v>#DIV/0!</v>
      </c>
      <c r="P201" s="38" t="e">
        <f t="shared" si="46"/>
        <v>#DIV/0!</v>
      </c>
      <c r="Q201" s="53"/>
      <c r="R201" s="53">
        <f t="shared" si="58"/>
        <v>0.12</v>
      </c>
      <c r="S201" s="53">
        <f t="shared" si="59"/>
        <v>1.0596241035318976E-2</v>
      </c>
      <c r="T201" s="53">
        <f t="shared" si="60"/>
        <v>0.04</v>
      </c>
      <c r="U201" s="53">
        <f t="shared" si="61"/>
        <v>3.3960531989175591E-3</v>
      </c>
    </row>
    <row r="202" spans="1:21" x14ac:dyDescent="0.2">
      <c r="A202" s="62"/>
      <c r="B202" s="45">
        <f t="shared" si="48"/>
        <v>191</v>
      </c>
      <c r="C202" s="51" t="e">
        <f t="shared" si="49"/>
        <v>#DIV/0!</v>
      </c>
      <c r="D202" s="47" t="e">
        <f t="shared" si="50"/>
        <v>#DIV/0!</v>
      </c>
      <c r="E202" s="48">
        <f t="shared" si="51"/>
        <v>0</v>
      </c>
      <c r="F202" s="50">
        <f t="shared" si="52"/>
        <v>0</v>
      </c>
      <c r="G202" s="50">
        <f t="shared" si="62"/>
        <v>0</v>
      </c>
      <c r="H202" s="51" t="e">
        <f t="shared" si="53"/>
        <v>#DIV/0!</v>
      </c>
      <c r="I202" s="52" t="e">
        <f t="shared" si="47"/>
        <v>#DIV/0!</v>
      </c>
      <c r="J202" s="57" t="e">
        <f t="shared" si="54"/>
        <v>#DIV/0!</v>
      </c>
      <c r="K202" s="51" t="e">
        <f t="shared" si="55"/>
        <v>#DIV/0!</v>
      </c>
      <c r="L202" s="49" t="e">
        <f t="shared" si="56"/>
        <v>#DIV/0!</v>
      </c>
      <c r="M202" s="49">
        <f t="shared" si="64"/>
        <v>0</v>
      </c>
      <c r="N202" s="49">
        <f t="shared" si="63"/>
        <v>0</v>
      </c>
      <c r="O202" s="48" t="e">
        <f t="shared" si="57"/>
        <v>#DIV/0!</v>
      </c>
      <c r="P202" s="38" t="e">
        <f t="shared" si="46"/>
        <v>#DIV/0!</v>
      </c>
      <c r="Q202" s="53"/>
      <c r="R202" s="53">
        <f t="shared" si="58"/>
        <v>0.12</v>
      </c>
      <c r="S202" s="53">
        <f t="shared" si="59"/>
        <v>1.0596241035318976E-2</v>
      </c>
      <c r="T202" s="53">
        <f t="shared" si="60"/>
        <v>0.04</v>
      </c>
      <c r="U202" s="53">
        <f t="shared" si="61"/>
        <v>3.3960531989175591E-3</v>
      </c>
    </row>
    <row r="203" spans="1:21" x14ac:dyDescent="0.2">
      <c r="A203" s="62"/>
      <c r="B203" s="45">
        <f t="shared" si="48"/>
        <v>192</v>
      </c>
      <c r="C203" s="51" t="e">
        <f t="shared" si="49"/>
        <v>#DIV/0!</v>
      </c>
      <c r="D203" s="47" t="e">
        <f t="shared" si="50"/>
        <v>#DIV/0!</v>
      </c>
      <c r="E203" s="48">
        <f t="shared" si="51"/>
        <v>0</v>
      </c>
      <c r="F203" s="50">
        <f t="shared" si="52"/>
        <v>0</v>
      </c>
      <c r="G203" s="50">
        <f t="shared" si="62"/>
        <v>0</v>
      </c>
      <c r="H203" s="51" t="e">
        <f t="shared" si="53"/>
        <v>#DIV/0!</v>
      </c>
      <c r="I203" s="52" t="e">
        <f t="shared" si="47"/>
        <v>#DIV/0!</v>
      </c>
      <c r="J203" s="57" t="e">
        <f t="shared" si="54"/>
        <v>#DIV/0!</v>
      </c>
      <c r="K203" s="51" t="e">
        <f t="shared" si="55"/>
        <v>#DIV/0!</v>
      </c>
      <c r="L203" s="49" t="e">
        <f t="shared" si="56"/>
        <v>#DIV/0!</v>
      </c>
      <c r="M203" s="49">
        <f t="shared" si="64"/>
        <v>0</v>
      </c>
      <c r="N203" s="49">
        <f t="shared" si="63"/>
        <v>0</v>
      </c>
      <c r="O203" s="48" t="e">
        <f t="shared" si="57"/>
        <v>#DIV/0!</v>
      </c>
      <c r="P203" s="38" t="e">
        <f t="shared" ref="P203:P266" si="65">O203*(1/((1+P$9)^(B203/12)))</f>
        <v>#DIV/0!</v>
      </c>
      <c r="Q203" s="53"/>
      <c r="R203" s="53">
        <f t="shared" si="58"/>
        <v>0.12</v>
      </c>
      <c r="S203" s="53">
        <f t="shared" si="59"/>
        <v>1.0596241035318976E-2</v>
      </c>
      <c r="T203" s="53">
        <f t="shared" si="60"/>
        <v>0.04</v>
      </c>
      <c r="U203" s="53">
        <f t="shared" si="61"/>
        <v>3.3960531989175591E-3</v>
      </c>
    </row>
    <row r="204" spans="1:21" x14ac:dyDescent="0.2">
      <c r="A204" s="62"/>
      <c r="B204" s="45">
        <f t="shared" si="48"/>
        <v>193</v>
      </c>
      <c r="C204" s="51" t="e">
        <f t="shared" si="49"/>
        <v>#DIV/0!</v>
      </c>
      <c r="D204" s="47" t="e">
        <f t="shared" si="50"/>
        <v>#DIV/0!</v>
      </c>
      <c r="E204" s="48">
        <f t="shared" si="51"/>
        <v>0</v>
      </c>
      <c r="F204" s="50">
        <f t="shared" si="52"/>
        <v>0</v>
      </c>
      <c r="G204" s="50">
        <f t="shared" si="62"/>
        <v>0</v>
      </c>
      <c r="H204" s="51" t="e">
        <f t="shared" si="53"/>
        <v>#DIV/0!</v>
      </c>
      <c r="I204" s="52" t="e">
        <f t="shared" ref="I204:I216" si="66">IF(AND(C$7="Y",$B204&lt;=C$4),0,IF(AND(C$7="Y",$B204&gt;C$4),(1-U204)*C$2*D203/12,IF(AND($C$7="N",C$4&gt;0),(1-U204)*D203*C$2/12, (1-U204)*D203*C$2/12)))</f>
        <v>#DIV/0!</v>
      </c>
      <c r="J204" s="57" t="e">
        <f t="shared" si="54"/>
        <v>#DIV/0!</v>
      </c>
      <c r="K204" s="51" t="e">
        <f t="shared" si="55"/>
        <v>#DIV/0!</v>
      </c>
      <c r="L204" s="49" t="e">
        <f t="shared" si="56"/>
        <v>#DIV/0!</v>
      </c>
      <c r="M204" s="49">
        <f t="shared" si="64"/>
        <v>0</v>
      </c>
      <c r="N204" s="49">
        <f t="shared" si="63"/>
        <v>0</v>
      </c>
      <c r="O204" s="48" t="e">
        <f t="shared" si="57"/>
        <v>#DIV/0!</v>
      </c>
      <c r="P204" s="38" t="e">
        <f t="shared" si="65"/>
        <v>#DIV/0!</v>
      </c>
      <c r="Q204" s="53"/>
      <c r="R204" s="53">
        <f t="shared" si="58"/>
        <v>0.12</v>
      </c>
      <c r="S204" s="53">
        <f t="shared" si="59"/>
        <v>1.0596241035318976E-2</v>
      </c>
      <c r="T204" s="53">
        <f t="shared" si="60"/>
        <v>0.04</v>
      </c>
      <c r="U204" s="53">
        <f t="shared" si="61"/>
        <v>3.3960531989175591E-3</v>
      </c>
    </row>
    <row r="205" spans="1:21" x14ac:dyDescent="0.2">
      <c r="A205" s="62"/>
      <c r="B205" s="45">
        <f t="shared" ref="B205:B220" si="67">B204+1</f>
        <v>194</v>
      </c>
      <c r="C205" s="51" t="e">
        <f t="shared" ref="C205:C268" si="68">IF(B205&lt;C$4,C$1,D204-L205+N205)</f>
        <v>#DIV/0!</v>
      </c>
      <c r="D205" s="47" t="e">
        <f t="shared" ref="D205:D216" si="69">(D204-J205)*(1-S205-U205)</f>
        <v>#DIV/0!</v>
      </c>
      <c r="E205" s="48">
        <f t="shared" ref="E205:E216" si="70">IF(AND($C$7="Y",B205&lt;=$C$4),D204*C$2/12-G205,0)</f>
        <v>0</v>
      </c>
      <c r="F205" s="50">
        <f t="shared" ref="F205:F216" si="71">IF(AND($C$7="Y",B205&lt;=C$4),E205+F204,0)</f>
        <v>0</v>
      </c>
      <c r="G205" s="50">
        <f t="shared" si="62"/>
        <v>0</v>
      </c>
      <c r="H205" s="51" t="e">
        <f t="shared" ref="H205:H216" si="72">IF(AND($B205&lt;=$C$4,C$7="Y"),0,IF(AND(C$7="N",C$4&gt;0,B205&lt;=C$4),0,(D204)*C$2/12/(1-(1/(1+C$2/12))^(C$3+C$4-B205+1))))</f>
        <v>#DIV/0!</v>
      </c>
      <c r="I205" s="52" t="e">
        <f t="shared" si="66"/>
        <v>#DIV/0!</v>
      </c>
      <c r="J205" s="57" t="e">
        <f t="shared" ref="J205:J216" si="73">IF(AND($B205&lt;=$C$4,C$7="Y"),0,IF(AND(C$7="N",C$4&gt;0,B205&lt;=C$4),0,H205-I205-D204*U205*C$2/12))</f>
        <v>#DIV/0!</v>
      </c>
      <c r="K205" s="51" t="e">
        <f t="shared" ref="K205:K232" si="74">(D204-D205)-L205+N205</f>
        <v>#DIV/0!</v>
      </c>
      <c r="L205" s="49" t="e">
        <f t="shared" ref="L205:L232" si="75">IF(AND(C$7="Y",$B205&lt;=$C$4),0,IF(AND(C$7="N",C$4&gt;0,B205&lt;=C$4),0,U205*D204))</f>
        <v>#DIV/0!</v>
      </c>
      <c r="M205" s="49">
        <f t="shared" si="64"/>
        <v>0</v>
      </c>
      <c r="N205" s="49">
        <f t="shared" si="63"/>
        <v>0</v>
      </c>
      <c r="O205" s="48" t="e">
        <f t="shared" ref="O205:O232" si="76">I205+K205+G205</f>
        <v>#DIV/0!</v>
      </c>
      <c r="P205" s="38" t="e">
        <f t="shared" si="65"/>
        <v>#DIV/0!</v>
      </c>
      <c r="Q205" s="53"/>
      <c r="R205" s="53">
        <f t="shared" ref="R205:R216" si="77">R$9</f>
        <v>0.12</v>
      </c>
      <c r="S205" s="53">
        <f t="shared" ref="S205:S216" si="78">1-(1-R205)^(1/12)</f>
        <v>1.0596241035318976E-2</v>
      </c>
      <c r="T205" s="53">
        <f t="shared" ref="T205:T216" si="79">T$9</f>
        <v>0.04</v>
      </c>
      <c r="U205" s="53">
        <f t="shared" si="61"/>
        <v>3.3960531989175591E-3</v>
      </c>
    </row>
    <row r="206" spans="1:21" x14ac:dyDescent="0.2">
      <c r="A206" s="62"/>
      <c r="B206" s="45">
        <f t="shared" si="67"/>
        <v>195</v>
      </c>
      <c r="C206" s="51" t="e">
        <f t="shared" si="68"/>
        <v>#DIV/0!</v>
      </c>
      <c r="D206" s="47" t="e">
        <f t="shared" si="69"/>
        <v>#DIV/0!</v>
      </c>
      <c r="E206" s="48">
        <f t="shared" si="70"/>
        <v>0</v>
      </c>
      <c r="F206" s="50">
        <f t="shared" si="71"/>
        <v>0</v>
      </c>
      <c r="G206" s="50">
        <f t="shared" si="62"/>
        <v>0</v>
      </c>
      <c r="H206" s="51" t="e">
        <f t="shared" si="72"/>
        <v>#DIV/0!</v>
      </c>
      <c r="I206" s="52" t="e">
        <f t="shared" si="66"/>
        <v>#DIV/0!</v>
      </c>
      <c r="J206" s="57" t="e">
        <f t="shared" si="73"/>
        <v>#DIV/0!</v>
      </c>
      <c r="K206" s="51" t="e">
        <f t="shared" si="74"/>
        <v>#DIV/0!</v>
      </c>
      <c r="L206" s="49" t="e">
        <f t="shared" si="75"/>
        <v>#DIV/0!</v>
      </c>
      <c r="M206" s="49">
        <f t="shared" si="64"/>
        <v>0</v>
      </c>
      <c r="N206" s="49">
        <f t="shared" si="63"/>
        <v>0</v>
      </c>
      <c r="O206" s="48" t="e">
        <f t="shared" si="76"/>
        <v>#DIV/0!</v>
      </c>
      <c r="P206" s="38" t="e">
        <f t="shared" si="65"/>
        <v>#DIV/0!</v>
      </c>
      <c r="Q206" s="53"/>
      <c r="R206" s="53">
        <f t="shared" si="77"/>
        <v>0.12</v>
      </c>
      <c r="S206" s="53">
        <f t="shared" si="78"/>
        <v>1.0596241035318976E-2</v>
      </c>
      <c r="T206" s="53">
        <f t="shared" si="79"/>
        <v>0.04</v>
      </c>
      <c r="U206" s="53">
        <f t="shared" ref="U206:U216" si="80">1-(1-T206)^(1/12)</f>
        <v>3.3960531989175591E-3</v>
      </c>
    </row>
    <row r="207" spans="1:21" x14ac:dyDescent="0.2">
      <c r="A207" s="62"/>
      <c r="B207" s="45">
        <f t="shared" si="67"/>
        <v>196</v>
      </c>
      <c r="C207" s="51" t="e">
        <f t="shared" si="68"/>
        <v>#DIV/0!</v>
      </c>
      <c r="D207" s="47" t="e">
        <f t="shared" si="69"/>
        <v>#DIV/0!</v>
      </c>
      <c r="E207" s="48">
        <f t="shared" si="70"/>
        <v>0</v>
      </c>
      <c r="F207" s="50">
        <f t="shared" si="71"/>
        <v>0</v>
      </c>
      <c r="G207" s="50">
        <f t="shared" ref="G207:G216" si="81">IF($B207&lt;=$C$4,C$6,0)</f>
        <v>0</v>
      </c>
      <c r="H207" s="51" t="e">
        <f t="shared" si="72"/>
        <v>#DIV/0!</v>
      </c>
      <c r="I207" s="52" t="e">
        <f t="shared" si="66"/>
        <v>#DIV/0!</v>
      </c>
      <c r="J207" s="57" t="e">
        <f t="shared" si="73"/>
        <v>#DIV/0!</v>
      </c>
      <c r="K207" s="51" t="e">
        <f t="shared" si="74"/>
        <v>#DIV/0!</v>
      </c>
      <c r="L207" s="49" t="e">
        <f t="shared" si="75"/>
        <v>#DIV/0!</v>
      </c>
      <c r="M207" s="49">
        <f t="shared" si="64"/>
        <v>0</v>
      </c>
      <c r="N207" s="49">
        <f t="shared" si="63"/>
        <v>0</v>
      </c>
      <c r="O207" s="48" t="e">
        <f t="shared" si="76"/>
        <v>#DIV/0!</v>
      </c>
      <c r="P207" s="38" t="e">
        <f t="shared" si="65"/>
        <v>#DIV/0!</v>
      </c>
      <c r="Q207" s="53"/>
      <c r="R207" s="53">
        <f t="shared" si="77"/>
        <v>0.12</v>
      </c>
      <c r="S207" s="53">
        <f t="shared" si="78"/>
        <v>1.0596241035318976E-2</v>
      </c>
      <c r="T207" s="53">
        <f t="shared" si="79"/>
        <v>0.04</v>
      </c>
      <c r="U207" s="53">
        <f t="shared" si="80"/>
        <v>3.3960531989175591E-3</v>
      </c>
    </row>
    <row r="208" spans="1:21" x14ac:dyDescent="0.2">
      <c r="A208" s="62"/>
      <c r="B208" s="45">
        <f t="shared" si="67"/>
        <v>197</v>
      </c>
      <c r="C208" s="51" t="e">
        <f t="shared" si="68"/>
        <v>#DIV/0!</v>
      </c>
      <c r="D208" s="47" t="e">
        <f t="shared" si="69"/>
        <v>#DIV/0!</v>
      </c>
      <c r="E208" s="48">
        <f t="shared" si="70"/>
        <v>0</v>
      </c>
      <c r="F208" s="50">
        <f t="shared" si="71"/>
        <v>0</v>
      </c>
      <c r="G208" s="50">
        <f t="shared" si="81"/>
        <v>0</v>
      </c>
      <c r="H208" s="51" t="e">
        <f t="shared" si="72"/>
        <v>#DIV/0!</v>
      </c>
      <c r="I208" s="52" t="e">
        <f t="shared" si="66"/>
        <v>#DIV/0!</v>
      </c>
      <c r="J208" s="57" t="e">
        <f t="shared" si="73"/>
        <v>#DIV/0!</v>
      </c>
      <c r="K208" s="51" t="e">
        <f t="shared" si="74"/>
        <v>#DIV/0!</v>
      </c>
      <c r="L208" s="49" t="e">
        <f t="shared" si="75"/>
        <v>#DIV/0!</v>
      </c>
      <c r="M208" s="49">
        <f t="shared" si="64"/>
        <v>0</v>
      </c>
      <c r="N208" s="49">
        <f t="shared" si="63"/>
        <v>0</v>
      </c>
      <c r="O208" s="48" t="e">
        <f t="shared" si="76"/>
        <v>#DIV/0!</v>
      </c>
      <c r="P208" s="38" t="e">
        <f t="shared" si="65"/>
        <v>#DIV/0!</v>
      </c>
      <c r="Q208" s="53"/>
      <c r="R208" s="53">
        <f t="shared" si="77"/>
        <v>0.12</v>
      </c>
      <c r="S208" s="53">
        <f t="shared" si="78"/>
        <v>1.0596241035318976E-2</v>
      </c>
      <c r="T208" s="53">
        <f t="shared" si="79"/>
        <v>0.04</v>
      </c>
      <c r="U208" s="53">
        <f t="shared" si="80"/>
        <v>3.3960531989175591E-3</v>
      </c>
    </row>
    <row r="209" spans="1:21" x14ac:dyDescent="0.2">
      <c r="A209" s="62"/>
      <c r="B209" s="45">
        <f t="shared" si="67"/>
        <v>198</v>
      </c>
      <c r="C209" s="51" t="e">
        <f t="shared" si="68"/>
        <v>#DIV/0!</v>
      </c>
      <c r="D209" s="47" t="e">
        <f t="shared" si="69"/>
        <v>#DIV/0!</v>
      </c>
      <c r="E209" s="48">
        <f t="shared" si="70"/>
        <v>0</v>
      </c>
      <c r="F209" s="50">
        <f t="shared" si="71"/>
        <v>0</v>
      </c>
      <c r="G209" s="50">
        <f t="shared" si="81"/>
        <v>0</v>
      </c>
      <c r="H209" s="51" t="e">
        <f t="shared" si="72"/>
        <v>#DIV/0!</v>
      </c>
      <c r="I209" s="52" t="e">
        <f t="shared" si="66"/>
        <v>#DIV/0!</v>
      </c>
      <c r="J209" s="57" t="e">
        <f t="shared" si="73"/>
        <v>#DIV/0!</v>
      </c>
      <c r="K209" s="51" t="e">
        <f t="shared" si="74"/>
        <v>#DIV/0!</v>
      </c>
      <c r="L209" s="49" t="e">
        <f t="shared" si="75"/>
        <v>#DIV/0!</v>
      </c>
      <c r="M209" s="49">
        <f t="shared" si="64"/>
        <v>0</v>
      </c>
      <c r="N209" s="49">
        <f t="shared" si="63"/>
        <v>0</v>
      </c>
      <c r="O209" s="48" t="e">
        <f t="shared" si="76"/>
        <v>#DIV/0!</v>
      </c>
      <c r="P209" s="38" t="e">
        <f t="shared" si="65"/>
        <v>#DIV/0!</v>
      </c>
      <c r="Q209" s="53"/>
      <c r="R209" s="53">
        <f t="shared" si="77"/>
        <v>0.12</v>
      </c>
      <c r="S209" s="53">
        <f t="shared" si="78"/>
        <v>1.0596241035318976E-2</v>
      </c>
      <c r="T209" s="53">
        <f t="shared" si="79"/>
        <v>0.04</v>
      </c>
      <c r="U209" s="53">
        <f t="shared" si="80"/>
        <v>3.3960531989175591E-3</v>
      </c>
    </row>
    <row r="210" spans="1:21" x14ac:dyDescent="0.2">
      <c r="A210" s="62"/>
      <c r="B210" s="45">
        <f t="shared" si="67"/>
        <v>199</v>
      </c>
      <c r="C210" s="51" t="e">
        <f t="shared" si="68"/>
        <v>#DIV/0!</v>
      </c>
      <c r="D210" s="47" t="e">
        <f t="shared" si="69"/>
        <v>#DIV/0!</v>
      </c>
      <c r="E210" s="48">
        <f t="shared" si="70"/>
        <v>0</v>
      </c>
      <c r="F210" s="50">
        <f t="shared" si="71"/>
        <v>0</v>
      </c>
      <c r="G210" s="50">
        <f t="shared" si="81"/>
        <v>0</v>
      </c>
      <c r="H210" s="51" t="e">
        <f t="shared" si="72"/>
        <v>#DIV/0!</v>
      </c>
      <c r="I210" s="52" t="e">
        <f t="shared" si="66"/>
        <v>#DIV/0!</v>
      </c>
      <c r="J210" s="57" t="e">
        <f t="shared" si="73"/>
        <v>#DIV/0!</v>
      </c>
      <c r="K210" s="51" t="e">
        <f t="shared" si="74"/>
        <v>#DIV/0!</v>
      </c>
      <c r="L210" s="49" t="e">
        <f t="shared" si="75"/>
        <v>#DIV/0!</v>
      </c>
      <c r="M210" s="49">
        <f t="shared" si="64"/>
        <v>0</v>
      </c>
      <c r="N210" s="49">
        <f t="shared" si="63"/>
        <v>0</v>
      </c>
      <c r="O210" s="48" t="e">
        <f t="shared" si="76"/>
        <v>#DIV/0!</v>
      </c>
      <c r="P210" s="38" t="e">
        <f t="shared" si="65"/>
        <v>#DIV/0!</v>
      </c>
      <c r="Q210" s="53"/>
      <c r="R210" s="53">
        <f t="shared" si="77"/>
        <v>0.12</v>
      </c>
      <c r="S210" s="53">
        <f t="shared" si="78"/>
        <v>1.0596241035318976E-2</v>
      </c>
      <c r="T210" s="53">
        <f t="shared" si="79"/>
        <v>0.04</v>
      </c>
      <c r="U210" s="53">
        <f t="shared" si="80"/>
        <v>3.3960531989175591E-3</v>
      </c>
    </row>
    <row r="211" spans="1:21" x14ac:dyDescent="0.2">
      <c r="A211" s="62"/>
      <c r="B211" s="45">
        <f t="shared" si="67"/>
        <v>200</v>
      </c>
      <c r="C211" s="51" t="e">
        <f t="shared" si="68"/>
        <v>#DIV/0!</v>
      </c>
      <c r="D211" s="47" t="e">
        <f t="shared" si="69"/>
        <v>#DIV/0!</v>
      </c>
      <c r="E211" s="48">
        <f t="shared" si="70"/>
        <v>0</v>
      </c>
      <c r="F211" s="50">
        <f t="shared" si="71"/>
        <v>0</v>
      </c>
      <c r="G211" s="50">
        <f t="shared" si="81"/>
        <v>0</v>
      </c>
      <c r="H211" s="51" t="e">
        <f t="shared" si="72"/>
        <v>#DIV/0!</v>
      </c>
      <c r="I211" s="52" t="e">
        <f t="shared" si="66"/>
        <v>#DIV/0!</v>
      </c>
      <c r="J211" s="57" t="e">
        <f t="shared" si="73"/>
        <v>#DIV/0!</v>
      </c>
      <c r="K211" s="51" t="e">
        <f t="shared" si="74"/>
        <v>#DIV/0!</v>
      </c>
      <c r="L211" s="49" t="e">
        <f t="shared" si="75"/>
        <v>#DIV/0!</v>
      </c>
      <c r="M211" s="49">
        <f t="shared" si="64"/>
        <v>0</v>
      </c>
      <c r="N211" s="49">
        <f t="shared" si="63"/>
        <v>0</v>
      </c>
      <c r="O211" s="48" t="e">
        <f t="shared" si="76"/>
        <v>#DIV/0!</v>
      </c>
      <c r="P211" s="38" t="e">
        <f t="shared" si="65"/>
        <v>#DIV/0!</v>
      </c>
      <c r="Q211" s="53"/>
      <c r="R211" s="53">
        <f t="shared" si="77"/>
        <v>0.12</v>
      </c>
      <c r="S211" s="53">
        <f t="shared" si="78"/>
        <v>1.0596241035318976E-2</v>
      </c>
      <c r="T211" s="53">
        <f t="shared" si="79"/>
        <v>0.04</v>
      </c>
      <c r="U211" s="53">
        <f t="shared" si="80"/>
        <v>3.3960531989175591E-3</v>
      </c>
    </row>
    <row r="212" spans="1:21" x14ac:dyDescent="0.2">
      <c r="A212" s="62"/>
      <c r="B212" s="45">
        <f t="shared" si="67"/>
        <v>201</v>
      </c>
      <c r="C212" s="51" t="e">
        <f t="shared" si="68"/>
        <v>#DIV/0!</v>
      </c>
      <c r="D212" s="47" t="e">
        <f t="shared" si="69"/>
        <v>#DIV/0!</v>
      </c>
      <c r="E212" s="48">
        <f t="shared" si="70"/>
        <v>0</v>
      </c>
      <c r="F212" s="50">
        <f t="shared" si="71"/>
        <v>0</v>
      </c>
      <c r="G212" s="50">
        <f t="shared" si="81"/>
        <v>0</v>
      </c>
      <c r="H212" s="51" t="e">
        <f t="shared" si="72"/>
        <v>#DIV/0!</v>
      </c>
      <c r="I212" s="52" t="e">
        <f t="shared" si="66"/>
        <v>#DIV/0!</v>
      </c>
      <c r="J212" s="57" t="e">
        <f t="shared" si="73"/>
        <v>#DIV/0!</v>
      </c>
      <c r="K212" s="51" t="e">
        <f t="shared" si="74"/>
        <v>#DIV/0!</v>
      </c>
      <c r="L212" s="49" t="e">
        <f t="shared" si="75"/>
        <v>#DIV/0!</v>
      </c>
      <c r="M212" s="49">
        <f t="shared" si="64"/>
        <v>0</v>
      </c>
      <c r="N212" s="49">
        <f t="shared" si="63"/>
        <v>0</v>
      </c>
      <c r="O212" s="48" t="e">
        <f t="shared" si="76"/>
        <v>#DIV/0!</v>
      </c>
      <c r="P212" s="38" t="e">
        <f t="shared" si="65"/>
        <v>#DIV/0!</v>
      </c>
      <c r="Q212" s="53"/>
      <c r="R212" s="53">
        <f t="shared" si="77"/>
        <v>0.12</v>
      </c>
      <c r="S212" s="53">
        <f t="shared" si="78"/>
        <v>1.0596241035318976E-2</v>
      </c>
      <c r="T212" s="53">
        <f t="shared" si="79"/>
        <v>0.04</v>
      </c>
      <c r="U212" s="53">
        <f t="shared" si="80"/>
        <v>3.3960531989175591E-3</v>
      </c>
    </row>
    <row r="213" spans="1:21" x14ac:dyDescent="0.2">
      <c r="A213" s="62"/>
      <c r="B213" s="45">
        <f t="shared" si="67"/>
        <v>202</v>
      </c>
      <c r="C213" s="51" t="e">
        <f t="shared" si="68"/>
        <v>#DIV/0!</v>
      </c>
      <c r="D213" s="47" t="e">
        <f t="shared" si="69"/>
        <v>#DIV/0!</v>
      </c>
      <c r="E213" s="48">
        <f t="shared" si="70"/>
        <v>0</v>
      </c>
      <c r="F213" s="50">
        <f t="shared" si="71"/>
        <v>0</v>
      </c>
      <c r="G213" s="50">
        <f t="shared" si="81"/>
        <v>0</v>
      </c>
      <c r="H213" s="51" t="e">
        <f t="shared" si="72"/>
        <v>#DIV/0!</v>
      </c>
      <c r="I213" s="52" t="e">
        <f t="shared" si="66"/>
        <v>#DIV/0!</v>
      </c>
      <c r="J213" s="57" t="e">
        <f t="shared" si="73"/>
        <v>#DIV/0!</v>
      </c>
      <c r="K213" s="51" t="e">
        <f t="shared" si="74"/>
        <v>#DIV/0!</v>
      </c>
      <c r="L213" s="49" t="e">
        <f t="shared" si="75"/>
        <v>#DIV/0!</v>
      </c>
      <c r="M213" s="49">
        <f t="shared" si="64"/>
        <v>0</v>
      </c>
      <c r="N213" s="49">
        <f t="shared" si="63"/>
        <v>0</v>
      </c>
      <c r="O213" s="48" t="e">
        <f t="shared" si="76"/>
        <v>#DIV/0!</v>
      </c>
      <c r="P213" s="38" t="e">
        <f t="shared" si="65"/>
        <v>#DIV/0!</v>
      </c>
      <c r="Q213" s="53"/>
      <c r="R213" s="53">
        <f t="shared" si="77"/>
        <v>0.12</v>
      </c>
      <c r="S213" s="53">
        <f t="shared" si="78"/>
        <v>1.0596241035318976E-2</v>
      </c>
      <c r="T213" s="53">
        <f t="shared" si="79"/>
        <v>0.04</v>
      </c>
      <c r="U213" s="53">
        <f t="shared" si="80"/>
        <v>3.3960531989175591E-3</v>
      </c>
    </row>
    <row r="214" spans="1:21" x14ac:dyDescent="0.2">
      <c r="A214" s="62"/>
      <c r="B214" s="45">
        <f t="shared" si="67"/>
        <v>203</v>
      </c>
      <c r="C214" s="51" t="e">
        <f t="shared" si="68"/>
        <v>#DIV/0!</v>
      </c>
      <c r="D214" s="47" t="e">
        <f t="shared" si="69"/>
        <v>#DIV/0!</v>
      </c>
      <c r="E214" s="48">
        <f t="shared" si="70"/>
        <v>0</v>
      </c>
      <c r="F214" s="50">
        <f t="shared" si="71"/>
        <v>0</v>
      </c>
      <c r="G214" s="50">
        <f t="shared" si="81"/>
        <v>0</v>
      </c>
      <c r="H214" s="51" t="e">
        <f t="shared" si="72"/>
        <v>#DIV/0!</v>
      </c>
      <c r="I214" s="52" t="e">
        <f t="shared" si="66"/>
        <v>#DIV/0!</v>
      </c>
      <c r="J214" s="57" t="e">
        <f t="shared" si="73"/>
        <v>#DIV/0!</v>
      </c>
      <c r="K214" s="51" t="e">
        <f t="shared" si="74"/>
        <v>#DIV/0!</v>
      </c>
      <c r="L214" s="49" t="e">
        <f t="shared" si="75"/>
        <v>#DIV/0!</v>
      </c>
      <c r="M214" s="49">
        <f t="shared" si="64"/>
        <v>0</v>
      </c>
      <c r="N214" s="49">
        <f t="shared" si="63"/>
        <v>0</v>
      </c>
      <c r="O214" s="48" t="e">
        <f t="shared" si="76"/>
        <v>#DIV/0!</v>
      </c>
      <c r="P214" s="38" t="e">
        <f t="shared" si="65"/>
        <v>#DIV/0!</v>
      </c>
      <c r="Q214" s="53"/>
      <c r="R214" s="53">
        <f t="shared" si="77"/>
        <v>0.12</v>
      </c>
      <c r="S214" s="53">
        <f t="shared" si="78"/>
        <v>1.0596241035318976E-2</v>
      </c>
      <c r="T214" s="53">
        <f t="shared" si="79"/>
        <v>0.04</v>
      </c>
      <c r="U214" s="53">
        <f t="shared" si="80"/>
        <v>3.3960531989175591E-3</v>
      </c>
    </row>
    <row r="215" spans="1:21" x14ac:dyDescent="0.2">
      <c r="A215" s="62"/>
      <c r="B215" s="45">
        <f t="shared" si="67"/>
        <v>204</v>
      </c>
      <c r="C215" s="51" t="e">
        <f t="shared" si="68"/>
        <v>#DIV/0!</v>
      </c>
      <c r="D215" s="47" t="e">
        <f t="shared" si="69"/>
        <v>#DIV/0!</v>
      </c>
      <c r="E215" s="48">
        <f t="shared" si="70"/>
        <v>0</v>
      </c>
      <c r="F215" s="50">
        <f t="shared" si="71"/>
        <v>0</v>
      </c>
      <c r="G215" s="50">
        <f t="shared" si="81"/>
        <v>0</v>
      </c>
      <c r="H215" s="51" t="e">
        <f t="shared" si="72"/>
        <v>#DIV/0!</v>
      </c>
      <c r="I215" s="52" t="e">
        <f t="shared" si="66"/>
        <v>#DIV/0!</v>
      </c>
      <c r="J215" s="57" t="e">
        <f t="shared" si="73"/>
        <v>#DIV/0!</v>
      </c>
      <c r="K215" s="51" t="e">
        <f t="shared" si="74"/>
        <v>#DIV/0!</v>
      </c>
      <c r="L215" s="49" t="e">
        <f t="shared" si="75"/>
        <v>#DIV/0!</v>
      </c>
      <c r="M215" s="49">
        <f t="shared" si="64"/>
        <v>0</v>
      </c>
      <c r="N215" s="49">
        <f t="shared" si="63"/>
        <v>0</v>
      </c>
      <c r="O215" s="48" t="e">
        <f t="shared" si="76"/>
        <v>#DIV/0!</v>
      </c>
      <c r="P215" s="38" t="e">
        <f t="shared" si="65"/>
        <v>#DIV/0!</v>
      </c>
      <c r="Q215" s="53"/>
      <c r="R215" s="53">
        <f t="shared" si="77"/>
        <v>0.12</v>
      </c>
      <c r="S215" s="53">
        <f t="shared" si="78"/>
        <v>1.0596241035318976E-2</v>
      </c>
      <c r="T215" s="53">
        <f t="shared" si="79"/>
        <v>0.04</v>
      </c>
      <c r="U215" s="53">
        <f t="shared" si="80"/>
        <v>3.3960531989175591E-3</v>
      </c>
    </row>
    <row r="216" spans="1:21" x14ac:dyDescent="0.2">
      <c r="A216" s="62"/>
      <c r="B216" s="45">
        <f t="shared" si="67"/>
        <v>205</v>
      </c>
      <c r="C216" s="51" t="e">
        <f t="shared" si="68"/>
        <v>#DIV/0!</v>
      </c>
      <c r="D216" s="47" t="e">
        <f t="shared" si="69"/>
        <v>#DIV/0!</v>
      </c>
      <c r="E216" s="48">
        <f t="shared" si="70"/>
        <v>0</v>
      </c>
      <c r="F216" s="50">
        <f t="shared" si="71"/>
        <v>0</v>
      </c>
      <c r="G216" s="50">
        <f t="shared" si="81"/>
        <v>0</v>
      </c>
      <c r="H216" s="51" t="e">
        <f t="shared" si="72"/>
        <v>#DIV/0!</v>
      </c>
      <c r="I216" s="52" t="e">
        <f t="shared" si="66"/>
        <v>#DIV/0!</v>
      </c>
      <c r="J216" s="57" t="e">
        <f t="shared" si="73"/>
        <v>#DIV/0!</v>
      </c>
      <c r="K216" s="51" t="e">
        <f t="shared" si="74"/>
        <v>#DIV/0!</v>
      </c>
      <c r="L216" s="49" t="e">
        <f t="shared" si="75"/>
        <v>#DIV/0!</v>
      </c>
      <c r="M216" s="49">
        <f t="shared" si="64"/>
        <v>0</v>
      </c>
      <c r="N216" s="49">
        <f t="shared" si="63"/>
        <v>0</v>
      </c>
      <c r="O216" s="48" t="e">
        <f t="shared" si="76"/>
        <v>#DIV/0!</v>
      </c>
      <c r="P216" s="38" t="e">
        <f t="shared" si="65"/>
        <v>#DIV/0!</v>
      </c>
      <c r="Q216" s="53"/>
      <c r="R216" s="53">
        <f t="shared" si="77"/>
        <v>0.12</v>
      </c>
      <c r="S216" s="53">
        <f t="shared" si="78"/>
        <v>1.0596241035318976E-2</v>
      </c>
      <c r="T216" s="53">
        <f t="shared" si="79"/>
        <v>0.04</v>
      </c>
      <c r="U216" s="53">
        <f t="shared" si="80"/>
        <v>3.3960531989175591E-3</v>
      </c>
    </row>
    <row r="217" spans="1:21" x14ac:dyDescent="0.2">
      <c r="A217" s="62"/>
      <c r="B217" s="45">
        <f t="shared" si="67"/>
        <v>206</v>
      </c>
      <c r="C217" s="49"/>
      <c r="D217" s="46"/>
      <c r="E217" s="61"/>
      <c r="F217" s="50"/>
      <c r="G217" s="50"/>
      <c r="H217" s="51"/>
      <c r="I217" s="51"/>
      <c r="J217" s="51"/>
      <c r="K217" s="51" t="e">
        <f t="shared" si="74"/>
        <v>#DIV/0!</v>
      </c>
      <c r="L217" s="49" t="e">
        <f t="shared" si="75"/>
        <v>#DIV/0!</v>
      </c>
      <c r="M217" s="49">
        <f t="shared" si="64"/>
        <v>0</v>
      </c>
      <c r="N217" s="49">
        <f t="shared" si="63"/>
        <v>0</v>
      </c>
      <c r="O217" s="48" t="e">
        <f t="shared" si="76"/>
        <v>#DIV/0!</v>
      </c>
      <c r="P217" s="38" t="e">
        <f t="shared" si="65"/>
        <v>#DIV/0!</v>
      </c>
      <c r="Q217" s="53"/>
      <c r="R217" s="53"/>
      <c r="S217" s="53"/>
    </row>
    <row r="218" spans="1:21" x14ac:dyDescent="0.2">
      <c r="A218" s="62"/>
      <c r="B218" s="45">
        <f t="shared" si="67"/>
        <v>207</v>
      </c>
      <c r="C218" s="49"/>
      <c r="D218" s="46"/>
      <c r="E218" s="61"/>
      <c r="F218" s="50"/>
      <c r="G218" s="56"/>
      <c r="H218" s="51"/>
      <c r="I218" s="51">
        <f t="shared" ref="I218:I232" si="82">IF($B217&lt;=25,0,C$2*D217/12)</f>
        <v>0</v>
      </c>
      <c r="J218" s="51">
        <f t="shared" ref="J218:J232" si="83">H218-I218</f>
        <v>0</v>
      </c>
      <c r="K218" s="51">
        <f t="shared" si="74"/>
        <v>0</v>
      </c>
      <c r="L218" s="49">
        <f t="shared" si="75"/>
        <v>0</v>
      </c>
      <c r="M218" s="49">
        <f t="shared" si="64"/>
        <v>0</v>
      </c>
      <c r="N218" s="49">
        <f t="shared" si="63"/>
        <v>0</v>
      </c>
      <c r="O218" s="48">
        <f t="shared" si="76"/>
        <v>0</v>
      </c>
      <c r="P218" s="38">
        <f t="shared" si="65"/>
        <v>0</v>
      </c>
      <c r="Q218" s="53"/>
      <c r="R218" s="53" t="e">
        <f>INDEX(#REF!,MATCH(#REF!,#REF!,0),MATCH(ActiveCDR,#REF!,0))%</f>
        <v>#REF!</v>
      </c>
      <c r="S218" s="53" t="e">
        <f>1-(1-R218)^(1/12)</f>
        <v>#REF!</v>
      </c>
    </row>
    <row r="219" spans="1:21" x14ac:dyDescent="0.2">
      <c r="A219" s="62"/>
      <c r="B219" s="45">
        <f t="shared" si="67"/>
        <v>208</v>
      </c>
      <c r="C219" s="49"/>
      <c r="D219" s="46"/>
      <c r="E219" s="61"/>
      <c r="F219" s="50"/>
      <c r="G219" s="56"/>
      <c r="H219" s="51"/>
      <c r="I219" s="51">
        <f t="shared" si="82"/>
        <v>0</v>
      </c>
      <c r="J219" s="51">
        <f t="shared" si="83"/>
        <v>0</v>
      </c>
      <c r="K219" s="51">
        <f t="shared" si="74"/>
        <v>0</v>
      </c>
      <c r="L219" s="49">
        <f t="shared" si="75"/>
        <v>0</v>
      </c>
      <c r="M219" s="49">
        <f t="shared" si="64"/>
        <v>0</v>
      </c>
      <c r="N219" s="49">
        <f t="shared" si="63"/>
        <v>0</v>
      </c>
      <c r="O219" s="48">
        <f t="shared" si="76"/>
        <v>0</v>
      </c>
      <c r="P219" s="38">
        <f t="shared" si="65"/>
        <v>0</v>
      </c>
      <c r="Q219" s="53"/>
      <c r="R219" s="53" t="e">
        <f>INDEX(#REF!,MATCH(#REF!,#REF!,0),MATCH(ActiveCDR,#REF!,0))%</f>
        <v>#REF!</v>
      </c>
      <c r="S219" s="53" t="e">
        <f t="shared" ref="S219:S221" si="84">1-(1-R219)^(1/12)</f>
        <v>#REF!</v>
      </c>
    </row>
    <row r="220" spans="1:21" x14ac:dyDescent="0.2">
      <c r="A220" s="62"/>
      <c r="B220" s="45">
        <f t="shared" si="67"/>
        <v>209</v>
      </c>
      <c r="C220" s="49"/>
      <c r="D220" s="46"/>
      <c r="E220" s="61"/>
      <c r="F220" s="50"/>
      <c r="G220" s="56"/>
      <c r="H220" s="51"/>
      <c r="I220" s="51">
        <f t="shared" si="82"/>
        <v>0</v>
      </c>
      <c r="J220" s="51">
        <f t="shared" si="83"/>
        <v>0</v>
      </c>
      <c r="K220" s="51">
        <f t="shared" si="74"/>
        <v>0</v>
      </c>
      <c r="L220" s="49">
        <f t="shared" si="75"/>
        <v>0</v>
      </c>
      <c r="M220" s="49">
        <f t="shared" si="64"/>
        <v>0</v>
      </c>
      <c r="N220" s="49">
        <f t="shared" si="63"/>
        <v>0</v>
      </c>
      <c r="O220" s="48">
        <f t="shared" si="76"/>
        <v>0</v>
      </c>
      <c r="P220" s="38">
        <f t="shared" si="65"/>
        <v>0</v>
      </c>
      <c r="Q220" s="53"/>
      <c r="R220" s="53" t="e">
        <f>INDEX(#REF!,MATCH(#REF!,#REF!,0),MATCH(ActiveCDR,#REF!,0))%</f>
        <v>#REF!</v>
      </c>
      <c r="S220" s="53" t="e">
        <f t="shared" si="84"/>
        <v>#REF!</v>
      </c>
    </row>
    <row r="221" spans="1:21" x14ac:dyDescent="0.2">
      <c r="A221" s="62"/>
      <c r="B221" s="45"/>
      <c r="C221" s="49"/>
      <c r="D221" s="46"/>
      <c r="E221" s="61"/>
      <c r="F221" s="50"/>
      <c r="G221" s="56"/>
      <c r="H221" s="51"/>
      <c r="I221" s="51">
        <f t="shared" si="82"/>
        <v>0</v>
      </c>
      <c r="J221" s="51">
        <f t="shared" si="83"/>
        <v>0</v>
      </c>
      <c r="K221" s="51">
        <f t="shared" si="74"/>
        <v>0</v>
      </c>
      <c r="L221" s="49">
        <f t="shared" si="75"/>
        <v>0</v>
      </c>
      <c r="M221" s="49">
        <f t="shared" si="64"/>
        <v>0</v>
      </c>
      <c r="N221" s="49">
        <f t="shared" si="63"/>
        <v>0</v>
      </c>
      <c r="O221" s="48">
        <f t="shared" si="76"/>
        <v>0</v>
      </c>
      <c r="P221" s="38">
        <f t="shared" si="65"/>
        <v>0</v>
      </c>
      <c r="Q221" s="53"/>
      <c r="R221" s="53" t="e">
        <f>INDEX(#REF!,MATCH(#REF!,#REF!,0),MATCH(ActiveCDR,#REF!,0))%</f>
        <v>#REF!</v>
      </c>
      <c r="S221" s="53" t="e">
        <f t="shared" si="84"/>
        <v>#REF!</v>
      </c>
    </row>
    <row r="222" spans="1:21" x14ac:dyDescent="0.2">
      <c r="A222" s="62"/>
      <c r="B222" s="45"/>
      <c r="C222" s="49"/>
      <c r="D222" s="46"/>
      <c r="E222" s="61"/>
      <c r="F222" s="50"/>
      <c r="G222" s="56"/>
      <c r="H222" s="51"/>
      <c r="I222" s="51">
        <f t="shared" si="82"/>
        <v>0</v>
      </c>
      <c r="J222" s="51">
        <f t="shared" si="83"/>
        <v>0</v>
      </c>
      <c r="K222" s="51">
        <f t="shared" si="74"/>
        <v>0</v>
      </c>
      <c r="L222" s="49">
        <f t="shared" si="75"/>
        <v>0</v>
      </c>
      <c r="M222" s="49">
        <f t="shared" si="64"/>
        <v>0</v>
      </c>
      <c r="N222" s="49">
        <f t="shared" si="63"/>
        <v>0</v>
      </c>
      <c r="O222" s="48">
        <f t="shared" si="76"/>
        <v>0</v>
      </c>
      <c r="P222" s="38">
        <f t="shared" si="65"/>
        <v>0</v>
      </c>
      <c r="Q222" s="53"/>
      <c r="R222" s="53"/>
      <c r="S222" s="53"/>
    </row>
    <row r="223" spans="1:21" x14ac:dyDescent="0.2">
      <c r="A223" s="62"/>
      <c r="B223" s="45"/>
      <c r="C223" s="49"/>
      <c r="D223" s="46"/>
      <c r="E223" s="61"/>
      <c r="F223" s="50"/>
      <c r="G223" s="56"/>
      <c r="H223" s="51"/>
      <c r="I223" s="51">
        <f t="shared" si="82"/>
        <v>0</v>
      </c>
      <c r="J223" s="51">
        <f t="shared" si="83"/>
        <v>0</v>
      </c>
      <c r="K223" s="51">
        <f t="shared" si="74"/>
        <v>0</v>
      </c>
      <c r="L223" s="49">
        <f t="shared" si="75"/>
        <v>0</v>
      </c>
      <c r="M223" s="49">
        <f t="shared" si="64"/>
        <v>0</v>
      </c>
      <c r="N223" s="49">
        <f t="shared" si="63"/>
        <v>0</v>
      </c>
      <c r="O223" s="48">
        <f t="shared" si="76"/>
        <v>0</v>
      </c>
      <c r="P223" s="38">
        <f t="shared" si="65"/>
        <v>0</v>
      </c>
      <c r="Q223" s="53"/>
      <c r="R223" s="53"/>
      <c r="S223" s="53"/>
    </row>
    <row r="224" spans="1:21" x14ac:dyDescent="0.2">
      <c r="A224" s="62"/>
      <c r="B224" s="45"/>
      <c r="C224" s="49"/>
      <c r="D224" s="46"/>
      <c r="E224" s="61"/>
      <c r="F224" s="50"/>
      <c r="G224" s="56"/>
      <c r="H224" s="51"/>
      <c r="I224" s="51">
        <f t="shared" si="82"/>
        <v>0</v>
      </c>
      <c r="J224" s="51">
        <f t="shared" si="83"/>
        <v>0</v>
      </c>
      <c r="K224" s="51">
        <f t="shared" si="74"/>
        <v>0</v>
      </c>
      <c r="L224" s="49">
        <f t="shared" si="75"/>
        <v>0</v>
      </c>
      <c r="M224" s="49">
        <f t="shared" si="64"/>
        <v>0</v>
      </c>
      <c r="N224" s="49">
        <f t="shared" ref="N224:N232" si="85">IFERROR((1-$N$9)*L220,0)</f>
        <v>0</v>
      </c>
      <c r="O224" s="48">
        <f t="shared" si="76"/>
        <v>0</v>
      </c>
      <c r="P224" s="38">
        <f t="shared" si="65"/>
        <v>0</v>
      </c>
      <c r="Q224" s="53"/>
      <c r="R224" s="53"/>
      <c r="S224" s="53"/>
    </row>
    <row r="225" spans="1:19" x14ac:dyDescent="0.2">
      <c r="A225" s="62"/>
      <c r="B225" s="45"/>
      <c r="C225" s="49"/>
      <c r="D225" s="46"/>
      <c r="E225" s="61"/>
      <c r="F225" s="50"/>
      <c r="G225" s="56"/>
      <c r="H225" s="51"/>
      <c r="I225" s="51">
        <f t="shared" si="82"/>
        <v>0</v>
      </c>
      <c r="J225" s="51">
        <f t="shared" si="83"/>
        <v>0</v>
      </c>
      <c r="K225" s="51">
        <f t="shared" si="74"/>
        <v>0</v>
      </c>
      <c r="L225" s="49">
        <f t="shared" si="75"/>
        <v>0</v>
      </c>
      <c r="M225" s="49">
        <f t="shared" si="64"/>
        <v>0</v>
      </c>
      <c r="N225" s="49">
        <f t="shared" si="85"/>
        <v>0</v>
      </c>
      <c r="O225" s="48">
        <f t="shared" si="76"/>
        <v>0</v>
      </c>
      <c r="P225" s="38">
        <f t="shared" si="65"/>
        <v>0</v>
      </c>
      <c r="Q225" s="53"/>
      <c r="R225" s="53"/>
      <c r="S225" s="53"/>
    </row>
    <row r="226" spans="1:19" x14ac:dyDescent="0.2">
      <c r="A226" s="62"/>
      <c r="B226" s="45"/>
      <c r="C226" s="49"/>
      <c r="D226" s="46"/>
      <c r="E226" s="61"/>
      <c r="F226" s="50"/>
      <c r="G226" s="56"/>
      <c r="H226" s="51"/>
      <c r="I226" s="51">
        <f t="shared" si="82"/>
        <v>0</v>
      </c>
      <c r="J226" s="51">
        <f t="shared" si="83"/>
        <v>0</v>
      </c>
      <c r="K226" s="51">
        <f t="shared" si="74"/>
        <v>0</v>
      </c>
      <c r="L226" s="49">
        <f t="shared" si="75"/>
        <v>0</v>
      </c>
      <c r="M226" s="49">
        <f t="shared" si="64"/>
        <v>0</v>
      </c>
      <c r="N226" s="49">
        <f t="shared" si="85"/>
        <v>0</v>
      </c>
      <c r="O226" s="48">
        <f t="shared" si="76"/>
        <v>0</v>
      </c>
      <c r="P226" s="38">
        <f t="shared" si="65"/>
        <v>0</v>
      </c>
      <c r="Q226" s="53"/>
      <c r="R226" s="53"/>
      <c r="S226" s="53"/>
    </row>
    <row r="227" spans="1:19" x14ac:dyDescent="0.2">
      <c r="A227" s="62"/>
      <c r="B227" s="45"/>
      <c r="C227" s="49"/>
      <c r="D227" s="46"/>
      <c r="E227" s="61"/>
      <c r="F227" s="50"/>
      <c r="G227" s="56"/>
      <c r="H227" s="51"/>
      <c r="I227" s="51">
        <f t="shared" si="82"/>
        <v>0</v>
      </c>
      <c r="J227" s="51">
        <f t="shared" si="83"/>
        <v>0</v>
      </c>
      <c r="K227" s="51">
        <f t="shared" si="74"/>
        <v>0</v>
      </c>
      <c r="L227" s="49">
        <f t="shared" si="75"/>
        <v>0</v>
      </c>
      <c r="M227" s="49">
        <f t="shared" si="64"/>
        <v>0</v>
      </c>
      <c r="N227" s="49">
        <f t="shared" si="85"/>
        <v>0</v>
      </c>
      <c r="O227" s="48">
        <f t="shared" si="76"/>
        <v>0</v>
      </c>
      <c r="P227" s="38">
        <f t="shared" si="65"/>
        <v>0</v>
      </c>
      <c r="Q227" s="53"/>
      <c r="R227" s="53"/>
      <c r="S227" s="53"/>
    </row>
    <row r="228" spans="1:19" x14ac:dyDescent="0.2">
      <c r="A228" s="62"/>
      <c r="B228" s="45"/>
      <c r="C228" s="49"/>
      <c r="D228" s="46"/>
      <c r="E228" s="61"/>
      <c r="F228" s="50"/>
      <c r="G228" s="56"/>
      <c r="H228" s="51"/>
      <c r="I228" s="51">
        <f t="shared" si="82"/>
        <v>0</v>
      </c>
      <c r="J228" s="51">
        <f t="shared" si="83"/>
        <v>0</v>
      </c>
      <c r="K228" s="51">
        <f t="shared" si="74"/>
        <v>0</v>
      </c>
      <c r="L228" s="49">
        <f t="shared" si="75"/>
        <v>0</v>
      </c>
      <c r="M228" s="49">
        <f t="shared" si="64"/>
        <v>0</v>
      </c>
      <c r="N228" s="49">
        <f t="shared" si="85"/>
        <v>0</v>
      </c>
      <c r="O228" s="48">
        <f t="shared" si="76"/>
        <v>0</v>
      </c>
      <c r="P228" s="38">
        <f t="shared" si="65"/>
        <v>0</v>
      </c>
      <c r="Q228" s="53"/>
      <c r="R228" s="53"/>
      <c r="S228" s="53"/>
    </row>
    <row r="229" spans="1:19" x14ac:dyDescent="0.2">
      <c r="A229" s="62"/>
      <c r="B229" s="45"/>
      <c r="C229" s="49"/>
      <c r="D229" s="46"/>
      <c r="E229" s="61"/>
      <c r="F229" s="50"/>
      <c r="G229" s="56"/>
      <c r="H229" s="51"/>
      <c r="I229" s="51">
        <f t="shared" si="82"/>
        <v>0</v>
      </c>
      <c r="J229" s="51">
        <f t="shared" si="83"/>
        <v>0</v>
      </c>
      <c r="K229" s="51">
        <f t="shared" si="74"/>
        <v>0</v>
      </c>
      <c r="L229" s="49">
        <f t="shared" si="75"/>
        <v>0</v>
      </c>
      <c r="M229" s="49">
        <f t="shared" si="64"/>
        <v>0</v>
      </c>
      <c r="N229" s="49">
        <f t="shared" si="85"/>
        <v>0</v>
      </c>
      <c r="O229" s="48">
        <f t="shared" si="76"/>
        <v>0</v>
      </c>
      <c r="P229" s="38">
        <f t="shared" si="65"/>
        <v>0</v>
      </c>
      <c r="Q229" s="53"/>
      <c r="R229" s="53"/>
      <c r="S229" s="53"/>
    </row>
    <row r="230" spans="1:19" x14ac:dyDescent="0.2">
      <c r="A230" s="62"/>
      <c r="B230" s="45"/>
      <c r="C230" s="49"/>
      <c r="D230" s="46"/>
      <c r="E230" s="61"/>
      <c r="F230" s="50"/>
      <c r="G230" s="56"/>
      <c r="H230" s="51"/>
      <c r="I230" s="51">
        <f t="shared" si="82"/>
        <v>0</v>
      </c>
      <c r="J230" s="51">
        <f t="shared" si="83"/>
        <v>0</v>
      </c>
      <c r="K230" s="51">
        <f t="shared" si="74"/>
        <v>0</v>
      </c>
      <c r="L230" s="49">
        <f t="shared" si="75"/>
        <v>0</v>
      </c>
      <c r="M230" s="49">
        <f t="shared" si="64"/>
        <v>0</v>
      </c>
      <c r="N230" s="49">
        <f t="shared" si="85"/>
        <v>0</v>
      </c>
      <c r="O230" s="48">
        <f t="shared" si="76"/>
        <v>0</v>
      </c>
      <c r="P230" s="38">
        <f t="shared" si="65"/>
        <v>0</v>
      </c>
      <c r="Q230" s="53"/>
      <c r="R230" s="53"/>
      <c r="S230" s="53"/>
    </row>
    <row r="231" spans="1:19" x14ac:dyDescent="0.2">
      <c r="A231" s="62"/>
      <c r="B231" s="45"/>
      <c r="C231" s="49"/>
      <c r="D231" s="46"/>
      <c r="E231" s="61"/>
      <c r="F231" s="50"/>
      <c r="G231" s="56"/>
      <c r="H231" s="51"/>
      <c r="I231" s="51">
        <f t="shared" si="82"/>
        <v>0</v>
      </c>
      <c r="J231" s="51">
        <f t="shared" si="83"/>
        <v>0</v>
      </c>
      <c r="K231" s="51">
        <f t="shared" si="74"/>
        <v>0</v>
      </c>
      <c r="L231" s="49">
        <f t="shared" si="75"/>
        <v>0</v>
      </c>
      <c r="M231" s="49">
        <f t="shared" si="64"/>
        <v>0</v>
      </c>
      <c r="N231" s="49">
        <f t="shared" si="85"/>
        <v>0</v>
      </c>
      <c r="O231" s="48">
        <f t="shared" si="76"/>
        <v>0</v>
      </c>
      <c r="P231" s="38">
        <f t="shared" si="65"/>
        <v>0</v>
      </c>
      <c r="Q231" s="53"/>
      <c r="R231" s="53"/>
      <c r="S231" s="53"/>
    </row>
    <row r="232" spans="1:19" x14ac:dyDescent="0.2">
      <c r="A232" s="62"/>
      <c r="B232" s="45"/>
      <c r="C232" s="49"/>
      <c r="D232" s="46"/>
      <c r="E232" s="61"/>
      <c r="F232" s="50"/>
      <c r="G232" s="56"/>
      <c r="H232" s="51"/>
      <c r="I232" s="51">
        <f t="shared" si="82"/>
        <v>0</v>
      </c>
      <c r="J232" s="51">
        <f t="shared" si="83"/>
        <v>0</v>
      </c>
      <c r="K232" s="51">
        <f t="shared" si="74"/>
        <v>0</v>
      </c>
      <c r="L232" s="49">
        <f t="shared" si="75"/>
        <v>0</v>
      </c>
      <c r="M232" s="49">
        <f t="shared" si="64"/>
        <v>0</v>
      </c>
      <c r="N232" s="49">
        <f t="shared" si="85"/>
        <v>0</v>
      </c>
      <c r="O232" s="48">
        <f t="shared" si="76"/>
        <v>0</v>
      </c>
      <c r="P232" s="38">
        <f t="shared" si="65"/>
        <v>0</v>
      </c>
      <c r="Q232" s="53"/>
      <c r="R232" s="53"/>
      <c r="S232" s="53"/>
    </row>
  </sheetData>
  <pageMargins left="0.7" right="0.7" top="0.75" bottom="0.75" header="0.3" footer="0.3"/>
  <pageSetup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TIE TO INTEX</vt:lpstr>
      <vt:lpstr>AmortizationModel (2)</vt:lpstr>
      <vt:lpstr>Sheet2</vt:lpstr>
      <vt:lpstr>Sheet4</vt:lpstr>
      <vt:lpstr>AmortizationModel (3)</vt:lpstr>
      <vt:lpstr>TIE TO INTEX (2)</vt:lpstr>
      <vt:lpstr>CDR</vt:lpstr>
      <vt:lpstr>bullet proof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Coco Zhang</dc:creator>
  <cp:lastModifiedBy>Coco Zhang</cp:lastModifiedBy>
  <dcterms:created xsi:type="dcterms:W3CDTF">2026-02-17T14:14:09Z</dcterms:created>
  <dcterms:modified xsi:type="dcterms:W3CDTF">2026-03-25T12:15:06Z</dcterms:modified>
</cp:coreProperties>
</file>