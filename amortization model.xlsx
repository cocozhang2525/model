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zhang\Documents\"/>
    </mc:Choice>
  </mc:AlternateContent>
  <xr:revisionPtr revIDLastSave="0" documentId="13_ncr:1_{1260CEB6-EFF3-4A0C-85F5-EFA5D8596455}" xr6:coauthVersionLast="47" xr6:coauthVersionMax="47" xr10:uidLastSave="{00000000-0000-0000-0000-000000000000}"/>
  <bookViews>
    <workbookView xWindow="44160" yWindow="870" windowWidth="39090" windowHeight="18825" activeTab="7" xr2:uid="{CD19DDE5-0CE3-4232-896C-0AA52AF381CF}"/>
  </bookViews>
  <sheets>
    <sheet name="TIE TO INTEX" sheetId="1" r:id="rId1"/>
    <sheet name="AmortizationModel (2)" sheetId="2" r:id="rId2"/>
    <sheet name="Sheet2" sheetId="3" r:id="rId3"/>
    <sheet name="Sheet4" sheetId="6" r:id="rId4"/>
    <sheet name="AmortizationModel (3)" sheetId="5" r:id="rId5"/>
    <sheet name="TIE TO INTEX (2)" sheetId="7" r:id="rId6"/>
    <sheet name="CDR" sheetId="8" r:id="rId7"/>
    <sheet name="bullet proof" sheetId="9" r:id="rId8"/>
  </sheets>
  <definedNames>
    <definedName name="ActiveBalance">#REF!</definedName>
    <definedName name="ActiveCDR">#REF!</definedName>
    <definedName name="ActiveCPR">#REF!</definedName>
    <definedName name="ActiveLag">#REF!</definedName>
    <definedName name="ActiveRate">#REF!</definedName>
    <definedName name="ActiveRepline">#REF!</definedName>
    <definedName name="ActiveScenario">#REF!</definedName>
    <definedName name="ActiveSchedPmt" localSheetId="1">'AmortizationModel (2)'!#REF!</definedName>
    <definedName name="ActiveSchedPmt" localSheetId="4">'AmortizationModel (3)'!#REF!</definedName>
    <definedName name="ActiveSchedPmt" localSheetId="7">'bullet proof'!#REF!</definedName>
    <definedName name="ActiveSchedPmt" localSheetId="6">CDR!#REF!</definedName>
    <definedName name="ActiveSchedPmt" localSheetId="0">'TIE TO INTEX'!#REF!</definedName>
    <definedName name="ActiveSchedPmt" localSheetId="5">'TIE TO INTEX (2)'!#REF!</definedName>
    <definedName name="ActiveSchedPmt">#REF!</definedName>
    <definedName name="ActiveSenSvcFee">#REF!</definedName>
    <definedName name="ActiveSeverity">#REF!</definedName>
    <definedName name="ActiveSubSvcFee">#REF!</definedName>
    <definedName name="ActiveTerm">#REF!</definedName>
    <definedName name="ActiveTerminalMonth">#REF!</definedName>
    <definedName name="BaseCGL">#REF!</definedName>
    <definedName name="BaseCNL">#REF!</definedName>
    <definedName name="CutOffDate">#REF!</definedName>
    <definedName name="FinancingWAL">#REF!</definedName>
    <definedName name="FirstPayDate">#REF!</definedName>
    <definedName name="FirstPeriodCollatFactor">#REF!</definedName>
    <definedName name="ImpliedMezzYield">#REF!</definedName>
    <definedName name="LossCurvePaste">#REF!</definedName>
    <definedName name="LossCurveStart">#REF!</definedName>
    <definedName name="Mezz_Delta">#REF!</definedName>
    <definedName name="MezzWAL">#REF!</definedName>
    <definedName name="OutputCopyStart">#REF!</definedName>
    <definedName name="OutputPaste">#REF!</definedName>
    <definedName name="Pool_CF_Period_Start">#REF!</definedName>
    <definedName name="Pool_CFs_End">#REF!</definedName>
    <definedName name="PoolCGL">#REF!</definedName>
    <definedName name="PoolCNL">#REF!</definedName>
    <definedName name="PoolWAL">#REF!</definedName>
    <definedName name="Repline_CF_Copy_End" localSheetId="1">'AmortizationModel (2)'!#REF!</definedName>
    <definedName name="Repline_CF_Copy_End" localSheetId="4">'AmortizationModel (3)'!#REF!</definedName>
    <definedName name="Repline_CF_Copy_End" localSheetId="7">'bullet proof'!#REF!</definedName>
    <definedName name="Repline_CF_Copy_End" localSheetId="6">CDR!#REF!</definedName>
    <definedName name="Repline_CF_Copy_End" localSheetId="0">'TIE TO INTEX'!#REF!</definedName>
    <definedName name="Repline_CF_Copy_End" localSheetId="5">'TIE TO INTEX (2)'!#REF!</definedName>
    <definedName name="Repline_CF_Copy_End">#REF!</definedName>
    <definedName name="Repline_CF_Copy_Start" localSheetId="1">'AmortizationModel (2)'!#REF!</definedName>
    <definedName name="Repline_CF_Copy_Start" localSheetId="4">'AmortizationModel (3)'!#REF!</definedName>
    <definedName name="Repline_CF_Copy_Start" localSheetId="7">'bullet proof'!#REF!</definedName>
    <definedName name="Repline_CF_Copy_Start" localSheetId="6">CDR!#REF!</definedName>
    <definedName name="Repline_CF_Copy_Start" localSheetId="0">'TIE TO INTEX'!#REF!</definedName>
    <definedName name="Repline_CF_Copy_Start" localSheetId="5">'TIE TO INTEX (2)'!#REF!</definedName>
    <definedName name="Repline_CF_Copy_Start">#REF!</definedName>
    <definedName name="Repline_CF_Paste_Start">#REF!</definedName>
    <definedName name="Repline_Start">#REF!</definedName>
    <definedName name="ResidCash">#REF!</definedName>
    <definedName name="ResidMVDelta">#REF!</definedName>
    <definedName name="ResidYield">#REF!</definedName>
    <definedName name="Scenario_Start">#REF!</definedName>
    <definedName name="SOFR">#REF!</definedName>
    <definedName name="SrWAL">#REF!</definedName>
    <definedName name="Sub_Svc_To_SoFi">#REF!</definedName>
    <definedName name="XIR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7" i="9" l="1"/>
  <c r="N13" i="9"/>
  <c r="N14" i="9"/>
  <c r="M13" i="9"/>
  <c r="L232" i="9"/>
  <c r="K232" i="9" s="1"/>
  <c r="I232" i="9"/>
  <c r="J232" i="9" s="1"/>
  <c r="L231" i="9"/>
  <c r="K231" i="9" s="1"/>
  <c r="I231" i="9"/>
  <c r="J231" i="9" s="1"/>
  <c r="L230" i="9"/>
  <c r="K230" i="9" s="1"/>
  <c r="I230" i="9"/>
  <c r="O230" i="9" s="1"/>
  <c r="L229" i="9"/>
  <c r="K229" i="9" s="1"/>
  <c r="J229" i="9"/>
  <c r="I229" i="9"/>
  <c r="N228" i="9"/>
  <c r="L228" i="9"/>
  <c r="N232" i="9" s="1"/>
  <c r="I228" i="9"/>
  <c r="J228" i="9" s="1"/>
  <c r="L227" i="9"/>
  <c r="M231" i="9" s="1"/>
  <c r="I227" i="9"/>
  <c r="J227" i="9" s="1"/>
  <c r="L226" i="9"/>
  <c r="K226" i="9" s="1"/>
  <c r="I226" i="9"/>
  <c r="J226" i="9" s="1"/>
  <c r="L225" i="9"/>
  <c r="K225" i="9" s="1"/>
  <c r="J225" i="9"/>
  <c r="I225" i="9"/>
  <c r="O225" i="9" s="1"/>
  <c r="L224" i="9"/>
  <c r="M228" i="9" s="1"/>
  <c r="I224" i="9"/>
  <c r="J224" i="9" s="1"/>
  <c r="L223" i="9"/>
  <c r="N227" i="9" s="1"/>
  <c r="I223" i="9"/>
  <c r="J223" i="9" s="1"/>
  <c r="L222" i="9"/>
  <c r="K222" i="9" s="1"/>
  <c r="I222" i="9"/>
  <c r="J222" i="9" s="1"/>
  <c r="R221" i="9"/>
  <c r="S221" i="9" s="1"/>
  <c r="L221" i="9"/>
  <c r="N225" i="9" s="1"/>
  <c r="R220" i="9"/>
  <c r="S220" i="9" s="1"/>
  <c r="R219" i="9"/>
  <c r="S219" i="9" s="1"/>
  <c r="R218" i="9"/>
  <c r="S218" i="9" s="1"/>
  <c r="U216" i="9"/>
  <c r="T216" i="9"/>
  <c r="R216" i="9"/>
  <c r="S216" i="9" s="1"/>
  <c r="T215" i="9"/>
  <c r="U215" i="9" s="1"/>
  <c r="R215" i="9"/>
  <c r="S215" i="9" s="1"/>
  <c r="T214" i="9"/>
  <c r="U214" i="9" s="1"/>
  <c r="R214" i="9"/>
  <c r="S214" i="9" s="1"/>
  <c r="T213" i="9"/>
  <c r="U213" i="9" s="1"/>
  <c r="R213" i="9"/>
  <c r="S213" i="9" s="1"/>
  <c r="U212" i="9"/>
  <c r="T212" i="9"/>
  <c r="R212" i="9"/>
  <c r="S212" i="9" s="1"/>
  <c r="T211" i="9"/>
  <c r="U211" i="9" s="1"/>
  <c r="R211" i="9"/>
  <c r="S211" i="9" s="1"/>
  <c r="U210" i="9"/>
  <c r="T210" i="9"/>
  <c r="R210" i="9"/>
  <c r="S210" i="9" s="1"/>
  <c r="T209" i="9"/>
  <c r="U209" i="9" s="1"/>
  <c r="R209" i="9"/>
  <c r="S209" i="9" s="1"/>
  <c r="U208" i="9"/>
  <c r="T208" i="9"/>
  <c r="R208" i="9"/>
  <c r="S208" i="9" s="1"/>
  <c r="T207" i="9"/>
  <c r="U207" i="9" s="1"/>
  <c r="R207" i="9"/>
  <c r="S207" i="9" s="1"/>
  <c r="T206" i="9"/>
  <c r="U206" i="9" s="1"/>
  <c r="S206" i="9"/>
  <c r="R206" i="9"/>
  <c r="T205" i="9"/>
  <c r="U205" i="9" s="1"/>
  <c r="R205" i="9"/>
  <c r="S205" i="9" s="1"/>
  <c r="U204" i="9"/>
  <c r="T204" i="9"/>
  <c r="S204" i="9"/>
  <c r="R204" i="9"/>
  <c r="T203" i="9"/>
  <c r="U203" i="9" s="1"/>
  <c r="R203" i="9"/>
  <c r="S203" i="9" s="1"/>
  <c r="U202" i="9"/>
  <c r="T202" i="9"/>
  <c r="R202" i="9"/>
  <c r="S202" i="9" s="1"/>
  <c r="U201" i="9"/>
  <c r="T201" i="9"/>
  <c r="R201" i="9"/>
  <c r="S201" i="9" s="1"/>
  <c r="U200" i="9"/>
  <c r="T200" i="9"/>
  <c r="R200" i="9"/>
  <c r="S200" i="9" s="1"/>
  <c r="T199" i="9"/>
  <c r="U199" i="9" s="1"/>
  <c r="R199" i="9"/>
  <c r="S199" i="9" s="1"/>
  <c r="U198" i="9"/>
  <c r="T198" i="9"/>
  <c r="R198" i="9"/>
  <c r="S198" i="9" s="1"/>
  <c r="T197" i="9"/>
  <c r="U197" i="9" s="1"/>
  <c r="R197" i="9"/>
  <c r="S197" i="9" s="1"/>
  <c r="T196" i="9"/>
  <c r="U196" i="9" s="1"/>
  <c r="R196" i="9"/>
  <c r="S196" i="9" s="1"/>
  <c r="T195" i="9"/>
  <c r="U195" i="9" s="1"/>
  <c r="S195" i="9"/>
  <c r="R195" i="9"/>
  <c r="U194" i="9"/>
  <c r="T194" i="9"/>
  <c r="S194" i="9"/>
  <c r="R194" i="9"/>
  <c r="T193" i="9"/>
  <c r="U193" i="9" s="1"/>
  <c r="R193" i="9"/>
  <c r="S193" i="9" s="1"/>
  <c r="T192" i="9"/>
  <c r="U192" i="9" s="1"/>
  <c r="R192" i="9"/>
  <c r="S192" i="9" s="1"/>
  <c r="U191" i="9"/>
  <c r="T191" i="9"/>
  <c r="R191" i="9"/>
  <c r="S191" i="9" s="1"/>
  <c r="T190" i="9"/>
  <c r="U190" i="9" s="1"/>
  <c r="R190" i="9"/>
  <c r="S190" i="9" s="1"/>
  <c r="U189" i="9"/>
  <c r="T189" i="9"/>
  <c r="R189" i="9"/>
  <c r="S189" i="9" s="1"/>
  <c r="U188" i="9"/>
  <c r="T188" i="9"/>
  <c r="R188" i="9"/>
  <c r="S188" i="9" s="1"/>
  <c r="T187" i="9"/>
  <c r="U187" i="9" s="1"/>
  <c r="R187" i="9"/>
  <c r="S187" i="9" s="1"/>
  <c r="T186" i="9"/>
  <c r="U186" i="9" s="1"/>
  <c r="R186" i="9"/>
  <c r="S186" i="9" s="1"/>
  <c r="T185" i="9"/>
  <c r="U185" i="9" s="1"/>
  <c r="S185" i="9"/>
  <c r="R185" i="9"/>
  <c r="T184" i="9"/>
  <c r="U184" i="9" s="1"/>
  <c r="R184" i="9"/>
  <c r="S184" i="9" s="1"/>
  <c r="T183" i="9"/>
  <c r="U183" i="9" s="1"/>
  <c r="S183" i="9"/>
  <c r="R183" i="9"/>
  <c r="T182" i="9"/>
  <c r="U182" i="9" s="1"/>
  <c r="R182" i="9"/>
  <c r="S182" i="9" s="1"/>
  <c r="T181" i="9"/>
  <c r="U181" i="9" s="1"/>
  <c r="S181" i="9"/>
  <c r="R181" i="9"/>
  <c r="T180" i="9"/>
  <c r="U180" i="9" s="1"/>
  <c r="R180" i="9"/>
  <c r="S180" i="9" s="1"/>
  <c r="T179" i="9"/>
  <c r="U179" i="9" s="1"/>
  <c r="R179" i="9"/>
  <c r="S179" i="9" s="1"/>
  <c r="U178" i="9"/>
  <c r="T178" i="9"/>
  <c r="R178" i="9"/>
  <c r="S178" i="9" s="1"/>
  <c r="T177" i="9"/>
  <c r="U177" i="9" s="1"/>
  <c r="R177" i="9"/>
  <c r="S177" i="9" s="1"/>
  <c r="T176" i="9"/>
  <c r="U176" i="9" s="1"/>
  <c r="S176" i="9"/>
  <c r="R176" i="9"/>
  <c r="T175" i="9"/>
  <c r="U175" i="9" s="1"/>
  <c r="R175" i="9"/>
  <c r="S175" i="9" s="1"/>
  <c r="T174" i="9"/>
  <c r="U174" i="9" s="1"/>
  <c r="S174" i="9"/>
  <c r="R174" i="9"/>
  <c r="T173" i="9"/>
  <c r="U173" i="9" s="1"/>
  <c r="R173" i="9"/>
  <c r="S173" i="9" s="1"/>
  <c r="U172" i="9"/>
  <c r="T172" i="9"/>
  <c r="R172" i="9"/>
  <c r="S172" i="9" s="1"/>
  <c r="T171" i="9"/>
  <c r="U171" i="9" s="1"/>
  <c r="R171" i="9"/>
  <c r="S171" i="9" s="1"/>
  <c r="T170" i="9"/>
  <c r="U170" i="9" s="1"/>
  <c r="R170" i="9"/>
  <c r="S170" i="9" s="1"/>
  <c r="T169" i="9"/>
  <c r="U169" i="9" s="1"/>
  <c r="S169" i="9"/>
  <c r="R169" i="9"/>
  <c r="U168" i="9"/>
  <c r="T168" i="9"/>
  <c r="S168" i="9"/>
  <c r="R168" i="9"/>
  <c r="U167" i="9"/>
  <c r="T167" i="9"/>
  <c r="R167" i="9"/>
  <c r="S167" i="9" s="1"/>
  <c r="T166" i="9"/>
  <c r="U166" i="9" s="1"/>
  <c r="R166" i="9"/>
  <c r="S166" i="9" s="1"/>
  <c r="U165" i="9"/>
  <c r="T165" i="9"/>
  <c r="R165" i="9"/>
  <c r="S165" i="9" s="1"/>
  <c r="T164" i="9"/>
  <c r="U164" i="9" s="1"/>
  <c r="R164" i="9"/>
  <c r="S164" i="9" s="1"/>
  <c r="T163" i="9"/>
  <c r="U163" i="9" s="1"/>
  <c r="R163" i="9"/>
  <c r="S163" i="9" s="1"/>
  <c r="T162" i="9"/>
  <c r="U162" i="9" s="1"/>
  <c r="S162" i="9"/>
  <c r="R162" i="9"/>
  <c r="T161" i="9"/>
  <c r="U161" i="9" s="1"/>
  <c r="R161" i="9"/>
  <c r="S161" i="9" s="1"/>
  <c r="U160" i="9"/>
  <c r="T160" i="9"/>
  <c r="R160" i="9"/>
  <c r="S160" i="9" s="1"/>
  <c r="T159" i="9"/>
  <c r="U159" i="9" s="1"/>
  <c r="R159" i="9"/>
  <c r="S159" i="9" s="1"/>
  <c r="U158" i="9"/>
  <c r="T158" i="9"/>
  <c r="R158" i="9"/>
  <c r="S158" i="9" s="1"/>
  <c r="T157" i="9"/>
  <c r="U157" i="9" s="1"/>
  <c r="R157" i="9"/>
  <c r="S157" i="9" s="1"/>
  <c r="T156" i="9"/>
  <c r="U156" i="9" s="1"/>
  <c r="R156" i="9"/>
  <c r="S156" i="9" s="1"/>
  <c r="T155" i="9"/>
  <c r="U155" i="9" s="1"/>
  <c r="R155" i="9"/>
  <c r="S155" i="9" s="1"/>
  <c r="U154" i="9"/>
  <c r="T154" i="9"/>
  <c r="R154" i="9"/>
  <c r="S154" i="9" s="1"/>
  <c r="U153" i="9"/>
  <c r="T153" i="9"/>
  <c r="R153" i="9"/>
  <c r="S153" i="9" s="1"/>
  <c r="T152" i="9"/>
  <c r="U152" i="9" s="1"/>
  <c r="R152" i="9"/>
  <c r="S152" i="9" s="1"/>
  <c r="T151" i="9"/>
  <c r="U151" i="9" s="1"/>
  <c r="R151" i="9"/>
  <c r="S151" i="9" s="1"/>
  <c r="T150" i="9"/>
  <c r="U150" i="9" s="1"/>
  <c r="R150" i="9"/>
  <c r="S150" i="9" s="1"/>
  <c r="T149" i="9"/>
  <c r="U149" i="9" s="1"/>
  <c r="R149" i="9"/>
  <c r="S149" i="9" s="1"/>
  <c r="T148" i="9"/>
  <c r="U148" i="9" s="1"/>
  <c r="S148" i="9"/>
  <c r="R148" i="9"/>
  <c r="T147" i="9"/>
  <c r="U147" i="9" s="1"/>
  <c r="R147" i="9"/>
  <c r="S147" i="9" s="1"/>
  <c r="T146" i="9"/>
  <c r="U146" i="9" s="1"/>
  <c r="R146" i="9"/>
  <c r="S146" i="9" s="1"/>
  <c r="T145" i="9"/>
  <c r="U145" i="9" s="1"/>
  <c r="R145" i="9"/>
  <c r="S145" i="9" s="1"/>
  <c r="T144" i="9"/>
  <c r="U144" i="9" s="1"/>
  <c r="R144" i="9"/>
  <c r="S144" i="9" s="1"/>
  <c r="T143" i="9"/>
  <c r="U143" i="9" s="1"/>
  <c r="R143" i="9"/>
  <c r="S143" i="9" s="1"/>
  <c r="T142" i="9"/>
  <c r="U142" i="9" s="1"/>
  <c r="R142" i="9"/>
  <c r="S142" i="9" s="1"/>
  <c r="U141" i="9"/>
  <c r="T141" i="9"/>
  <c r="R141" i="9"/>
  <c r="S141" i="9" s="1"/>
  <c r="T140" i="9"/>
  <c r="U140" i="9" s="1"/>
  <c r="R140" i="9"/>
  <c r="S140" i="9" s="1"/>
  <c r="U139" i="9"/>
  <c r="T139" i="9"/>
  <c r="R139" i="9"/>
  <c r="S139" i="9" s="1"/>
  <c r="U138" i="9"/>
  <c r="T138" i="9"/>
  <c r="R138" i="9"/>
  <c r="S138" i="9" s="1"/>
  <c r="U137" i="9"/>
  <c r="T137" i="9"/>
  <c r="S137" i="9"/>
  <c r="R137" i="9"/>
  <c r="U136" i="9"/>
  <c r="T136" i="9"/>
  <c r="R136" i="9"/>
  <c r="S136" i="9" s="1"/>
  <c r="T135" i="9"/>
  <c r="U135" i="9" s="1"/>
  <c r="R135" i="9"/>
  <c r="S135" i="9" s="1"/>
  <c r="T134" i="9"/>
  <c r="U134" i="9" s="1"/>
  <c r="R134" i="9"/>
  <c r="S134" i="9" s="1"/>
  <c r="T133" i="9"/>
  <c r="U133" i="9" s="1"/>
  <c r="R133" i="9"/>
  <c r="S133" i="9" s="1"/>
  <c r="T132" i="9"/>
  <c r="U132" i="9" s="1"/>
  <c r="R132" i="9"/>
  <c r="S132" i="9" s="1"/>
  <c r="T131" i="9"/>
  <c r="U131" i="9" s="1"/>
  <c r="R131" i="9"/>
  <c r="S131" i="9" s="1"/>
  <c r="U130" i="9"/>
  <c r="T130" i="9"/>
  <c r="R130" i="9"/>
  <c r="S130" i="9" s="1"/>
  <c r="T129" i="9"/>
  <c r="U129" i="9" s="1"/>
  <c r="R129" i="9"/>
  <c r="S129" i="9" s="1"/>
  <c r="T128" i="9"/>
  <c r="U128" i="9" s="1"/>
  <c r="R128" i="9"/>
  <c r="S128" i="9" s="1"/>
  <c r="T127" i="9"/>
  <c r="U127" i="9" s="1"/>
  <c r="R127" i="9"/>
  <c r="S127" i="9" s="1"/>
  <c r="T126" i="9"/>
  <c r="U126" i="9" s="1"/>
  <c r="R126" i="9"/>
  <c r="S126" i="9" s="1"/>
  <c r="T125" i="9"/>
  <c r="U125" i="9" s="1"/>
  <c r="S125" i="9"/>
  <c r="R125" i="9"/>
  <c r="T124" i="9"/>
  <c r="U124" i="9" s="1"/>
  <c r="S124" i="9"/>
  <c r="R124" i="9"/>
  <c r="T123" i="9"/>
  <c r="U123" i="9" s="1"/>
  <c r="R123" i="9"/>
  <c r="S123" i="9" s="1"/>
  <c r="T122" i="9"/>
  <c r="U122" i="9" s="1"/>
  <c r="S122" i="9"/>
  <c r="R122" i="9"/>
  <c r="T121" i="9"/>
  <c r="U121" i="9" s="1"/>
  <c r="S121" i="9"/>
  <c r="R121" i="9"/>
  <c r="T120" i="9"/>
  <c r="U120" i="9" s="1"/>
  <c r="S120" i="9"/>
  <c r="R120" i="9"/>
  <c r="T119" i="9"/>
  <c r="U119" i="9" s="1"/>
  <c r="R119" i="9"/>
  <c r="S119" i="9" s="1"/>
  <c r="U118" i="9"/>
  <c r="T118" i="9"/>
  <c r="R118" i="9"/>
  <c r="S118" i="9" s="1"/>
  <c r="U117" i="9"/>
  <c r="T117" i="9"/>
  <c r="R117" i="9"/>
  <c r="S117" i="9" s="1"/>
  <c r="U116" i="9"/>
  <c r="T116" i="9"/>
  <c r="R116" i="9"/>
  <c r="S116" i="9" s="1"/>
  <c r="U115" i="9"/>
  <c r="T115" i="9"/>
  <c r="R115" i="9"/>
  <c r="S115" i="9" s="1"/>
  <c r="T114" i="9"/>
  <c r="U114" i="9" s="1"/>
  <c r="R114" i="9"/>
  <c r="S114" i="9" s="1"/>
  <c r="T113" i="9"/>
  <c r="U113" i="9" s="1"/>
  <c r="R113" i="9"/>
  <c r="S113" i="9" s="1"/>
  <c r="T112" i="9"/>
  <c r="U112" i="9" s="1"/>
  <c r="R112" i="9"/>
  <c r="S112" i="9" s="1"/>
  <c r="T111" i="9"/>
  <c r="U111" i="9" s="1"/>
  <c r="S111" i="9"/>
  <c r="R111" i="9"/>
  <c r="U110" i="9"/>
  <c r="T110" i="9"/>
  <c r="S110" i="9"/>
  <c r="R110" i="9"/>
  <c r="T109" i="9"/>
  <c r="U109" i="9" s="1"/>
  <c r="R109" i="9"/>
  <c r="S109" i="9" s="1"/>
  <c r="T108" i="9"/>
  <c r="U108" i="9" s="1"/>
  <c r="R108" i="9"/>
  <c r="S108" i="9" s="1"/>
  <c r="T107" i="9"/>
  <c r="U107" i="9" s="1"/>
  <c r="R107" i="9"/>
  <c r="S107" i="9" s="1"/>
  <c r="U106" i="9"/>
  <c r="T106" i="9"/>
  <c r="R106" i="9"/>
  <c r="S106" i="9" s="1"/>
  <c r="T105" i="9"/>
  <c r="U105" i="9" s="1"/>
  <c r="R105" i="9"/>
  <c r="S105" i="9" s="1"/>
  <c r="T104" i="9"/>
  <c r="U104" i="9" s="1"/>
  <c r="R104" i="9"/>
  <c r="S104" i="9" s="1"/>
  <c r="T103" i="9"/>
  <c r="U103" i="9" s="1"/>
  <c r="R103" i="9"/>
  <c r="S103" i="9" s="1"/>
  <c r="U102" i="9"/>
  <c r="T102" i="9"/>
  <c r="R102" i="9"/>
  <c r="S102" i="9" s="1"/>
  <c r="T101" i="9"/>
  <c r="U101" i="9" s="1"/>
  <c r="R101" i="9"/>
  <c r="S101" i="9" s="1"/>
  <c r="U100" i="9"/>
  <c r="T100" i="9"/>
  <c r="R100" i="9"/>
  <c r="S100" i="9" s="1"/>
  <c r="T99" i="9"/>
  <c r="U99" i="9" s="1"/>
  <c r="R99" i="9"/>
  <c r="S99" i="9" s="1"/>
  <c r="T98" i="9"/>
  <c r="U98" i="9" s="1"/>
  <c r="S98" i="9"/>
  <c r="R98" i="9"/>
  <c r="T97" i="9"/>
  <c r="U97" i="9" s="1"/>
  <c r="S97" i="9"/>
  <c r="R97" i="9"/>
  <c r="U96" i="9"/>
  <c r="T96" i="9"/>
  <c r="R96" i="9"/>
  <c r="S96" i="9" s="1"/>
  <c r="T95" i="9"/>
  <c r="U95" i="9" s="1"/>
  <c r="R95" i="9"/>
  <c r="S95" i="9" s="1"/>
  <c r="U94" i="9"/>
  <c r="T94" i="9"/>
  <c r="R94" i="9"/>
  <c r="S94" i="9" s="1"/>
  <c r="T93" i="9"/>
  <c r="U93" i="9" s="1"/>
  <c r="R93" i="9"/>
  <c r="S93" i="9" s="1"/>
  <c r="U92" i="9"/>
  <c r="T92" i="9"/>
  <c r="R92" i="9"/>
  <c r="S92" i="9" s="1"/>
  <c r="T91" i="9"/>
  <c r="U91" i="9" s="1"/>
  <c r="R91" i="9"/>
  <c r="S91" i="9" s="1"/>
  <c r="U90" i="9"/>
  <c r="T90" i="9"/>
  <c r="R90" i="9"/>
  <c r="S90" i="9" s="1"/>
  <c r="T89" i="9"/>
  <c r="U89" i="9" s="1"/>
  <c r="R89" i="9"/>
  <c r="S89" i="9" s="1"/>
  <c r="T88" i="9"/>
  <c r="U88" i="9" s="1"/>
  <c r="S88" i="9"/>
  <c r="R88" i="9"/>
  <c r="U87" i="9"/>
  <c r="T87" i="9"/>
  <c r="R87" i="9"/>
  <c r="S87" i="9" s="1"/>
  <c r="T86" i="9"/>
  <c r="U86" i="9" s="1"/>
  <c r="S86" i="9"/>
  <c r="R86" i="9"/>
  <c r="T85" i="9"/>
  <c r="U85" i="9" s="1"/>
  <c r="R85" i="9"/>
  <c r="S85" i="9" s="1"/>
  <c r="U84" i="9"/>
  <c r="T84" i="9"/>
  <c r="R84" i="9"/>
  <c r="S84" i="9" s="1"/>
  <c r="U83" i="9"/>
  <c r="T83" i="9"/>
  <c r="R83" i="9"/>
  <c r="S83" i="9" s="1"/>
  <c r="T82" i="9"/>
  <c r="U82" i="9" s="1"/>
  <c r="R82" i="9"/>
  <c r="S82" i="9" s="1"/>
  <c r="T81" i="9"/>
  <c r="U81" i="9" s="1"/>
  <c r="R81" i="9"/>
  <c r="S81" i="9" s="1"/>
  <c r="T80" i="9"/>
  <c r="U80" i="9" s="1"/>
  <c r="R80" i="9"/>
  <c r="S80" i="9" s="1"/>
  <c r="T79" i="9"/>
  <c r="U79" i="9" s="1"/>
  <c r="R79" i="9"/>
  <c r="S79" i="9" s="1"/>
  <c r="U78" i="9"/>
  <c r="T78" i="9"/>
  <c r="S78" i="9"/>
  <c r="R78" i="9"/>
  <c r="U77" i="9"/>
  <c r="T77" i="9"/>
  <c r="R77" i="9"/>
  <c r="S77" i="9" s="1"/>
  <c r="T76" i="9"/>
  <c r="U76" i="9" s="1"/>
  <c r="R76" i="9"/>
  <c r="S76" i="9" s="1"/>
  <c r="T75" i="9"/>
  <c r="U75" i="9" s="1"/>
  <c r="R75" i="9"/>
  <c r="S75" i="9" s="1"/>
  <c r="T74" i="9"/>
  <c r="U74" i="9" s="1"/>
  <c r="R74" i="9"/>
  <c r="S74" i="9" s="1"/>
  <c r="T73" i="9"/>
  <c r="U73" i="9" s="1"/>
  <c r="R73" i="9"/>
  <c r="S73" i="9" s="1"/>
  <c r="T72" i="9"/>
  <c r="U72" i="9" s="1"/>
  <c r="R72" i="9"/>
  <c r="S72" i="9" s="1"/>
  <c r="T71" i="9"/>
  <c r="U71" i="9" s="1"/>
  <c r="S71" i="9"/>
  <c r="R71" i="9"/>
  <c r="T70" i="9"/>
  <c r="U70" i="9" s="1"/>
  <c r="R70" i="9"/>
  <c r="S70" i="9" s="1"/>
  <c r="T69" i="9"/>
  <c r="U69" i="9" s="1"/>
  <c r="R69" i="9"/>
  <c r="S69" i="9" s="1"/>
  <c r="T68" i="9"/>
  <c r="U68" i="9" s="1"/>
  <c r="R68" i="9"/>
  <c r="S68" i="9" s="1"/>
  <c r="T67" i="9"/>
  <c r="U67" i="9" s="1"/>
  <c r="R67" i="9"/>
  <c r="S67" i="9" s="1"/>
  <c r="T66" i="9"/>
  <c r="U66" i="9" s="1"/>
  <c r="R66" i="9"/>
  <c r="S66" i="9" s="1"/>
  <c r="U65" i="9"/>
  <c r="T65" i="9"/>
  <c r="R65" i="9"/>
  <c r="S65" i="9" s="1"/>
  <c r="U64" i="9"/>
  <c r="T64" i="9"/>
  <c r="R64" i="9"/>
  <c r="S64" i="9" s="1"/>
  <c r="U63" i="9"/>
  <c r="T63" i="9"/>
  <c r="R63" i="9"/>
  <c r="S63" i="9" s="1"/>
  <c r="T62" i="9"/>
  <c r="U62" i="9" s="1"/>
  <c r="R62" i="9"/>
  <c r="S62" i="9" s="1"/>
  <c r="U61" i="9"/>
  <c r="T61" i="9"/>
  <c r="R61" i="9"/>
  <c r="S61" i="9" s="1"/>
  <c r="T60" i="9"/>
  <c r="U60" i="9" s="1"/>
  <c r="R60" i="9"/>
  <c r="S60" i="9" s="1"/>
  <c r="T59" i="9"/>
  <c r="U59" i="9" s="1"/>
  <c r="R59" i="9"/>
  <c r="S59" i="9" s="1"/>
  <c r="T58" i="9"/>
  <c r="U58" i="9" s="1"/>
  <c r="R58" i="9"/>
  <c r="S58" i="9" s="1"/>
  <c r="T57" i="9"/>
  <c r="U57" i="9" s="1"/>
  <c r="R57" i="9"/>
  <c r="S57" i="9" s="1"/>
  <c r="T56" i="9"/>
  <c r="U56" i="9" s="1"/>
  <c r="R56" i="9"/>
  <c r="S56" i="9" s="1"/>
  <c r="T55" i="9"/>
  <c r="U55" i="9" s="1"/>
  <c r="R55" i="9"/>
  <c r="S55" i="9" s="1"/>
  <c r="T54" i="9"/>
  <c r="U54" i="9" s="1"/>
  <c r="R54" i="9"/>
  <c r="S54" i="9" s="1"/>
  <c r="T53" i="9"/>
  <c r="U53" i="9" s="1"/>
  <c r="R53" i="9"/>
  <c r="S53" i="9" s="1"/>
  <c r="T52" i="9"/>
  <c r="U52" i="9" s="1"/>
  <c r="R52" i="9"/>
  <c r="S52" i="9" s="1"/>
  <c r="T51" i="9"/>
  <c r="U51" i="9" s="1"/>
  <c r="R51" i="9"/>
  <c r="S51" i="9" s="1"/>
  <c r="T50" i="9"/>
  <c r="U50" i="9" s="1"/>
  <c r="R50" i="9"/>
  <c r="S50" i="9" s="1"/>
  <c r="T49" i="9"/>
  <c r="U49" i="9" s="1"/>
  <c r="R49" i="9"/>
  <c r="S49" i="9" s="1"/>
  <c r="T48" i="9"/>
  <c r="U48" i="9" s="1"/>
  <c r="R48" i="9"/>
  <c r="S48" i="9" s="1"/>
  <c r="T47" i="9"/>
  <c r="U47" i="9" s="1"/>
  <c r="R47" i="9"/>
  <c r="S47" i="9" s="1"/>
  <c r="T46" i="9"/>
  <c r="U46" i="9" s="1"/>
  <c r="R46" i="9"/>
  <c r="S46" i="9" s="1"/>
  <c r="T45" i="9"/>
  <c r="U45" i="9" s="1"/>
  <c r="R45" i="9"/>
  <c r="S45" i="9" s="1"/>
  <c r="T44" i="9"/>
  <c r="U44" i="9" s="1"/>
  <c r="R44" i="9"/>
  <c r="S44" i="9" s="1"/>
  <c r="T43" i="9"/>
  <c r="U43" i="9" s="1"/>
  <c r="R43" i="9"/>
  <c r="S43" i="9" s="1"/>
  <c r="T42" i="9"/>
  <c r="U42" i="9" s="1"/>
  <c r="R42" i="9"/>
  <c r="S42" i="9" s="1"/>
  <c r="T41" i="9"/>
  <c r="U41" i="9" s="1"/>
  <c r="S41" i="9"/>
  <c r="R41" i="9"/>
  <c r="T40" i="9"/>
  <c r="U40" i="9" s="1"/>
  <c r="R40" i="9"/>
  <c r="S40" i="9" s="1"/>
  <c r="T39" i="9"/>
  <c r="U39" i="9" s="1"/>
  <c r="R39" i="9"/>
  <c r="S39" i="9" s="1"/>
  <c r="T38" i="9"/>
  <c r="U38" i="9" s="1"/>
  <c r="R38" i="9"/>
  <c r="S38" i="9" s="1"/>
  <c r="T37" i="9"/>
  <c r="U37" i="9" s="1"/>
  <c r="R37" i="9"/>
  <c r="S37" i="9" s="1"/>
  <c r="T36" i="9"/>
  <c r="U36" i="9" s="1"/>
  <c r="R36" i="9"/>
  <c r="S36" i="9" s="1"/>
  <c r="U35" i="9"/>
  <c r="T35" i="9"/>
  <c r="R35" i="9"/>
  <c r="S35" i="9" s="1"/>
  <c r="T34" i="9"/>
  <c r="U34" i="9" s="1"/>
  <c r="R34" i="9"/>
  <c r="S34" i="9" s="1"/>
  <c r="T33" i="9"/>
  <c r="U33" i="9" s="1"/>
  <c r="S33" i="9"/>
  <c r="R33" i="9"/>
  <c r="T32" i="9"/>
  <c r="U32" i="9" s="1"/>
  <c r="R32" i="9"/>
  <c r="S32" i="9" s="1"/>
  <c r="T31" i="9"/>
  <c r="U31" i="9" s="1"/>
  <c r="R31" i="9"/>
  <c r="S31" i="9" s="1"/>
  <c r="T30" i="9"/>
  <c r="U30" i="9" s="1"/>
  <c r="R30" i="9"/>
  <c r="S30" i="9" s="1"/>
  <c r="T29" i="9"/>
  <c r="U29" i="9" s="1"/>
  <c r="S29" i="9"/>
  <c r="R29" i="9"/>
  <c r="T28" i="9"/>
  <c r="U28" i="9" s="1"/>
  <c r="R28" i="9"/>
  <c r="S28" i="9" s="1"/>
  <c r="T27" i="9"/>
  <c r="U27" i="9" s="1"/>
  <c r="S27" i="9"/>
  <c r="R27" i="9"/>
  <c r="T26" i="9"/>
  <c r="U26" i="9" s="1"/>
  <c r="R26" i="9"/>
  <c r="S26" i="9" s="1"/>
  <c r="T25" i="9"/>
  <c r="U25" i="9" s="1"/>
  <c r="S25" i="9"/>
  <c r="R25" i="9"/>
  <c r="T24" i="9"/>
  <c r="U24" i="9" s="1"/>
  <c r="R24" i="9"/>
  <c r="S24" i="9" s="1"/>
  <c r="U23" i="9"/>
  <c r="T23" i="9"/>
  <c r="S23" i="9"/>
  <c r="R23" i="9"/>
  <c r="T22" i="9"/>
  <c r="U22" i="9" s="1"/>
  <c r="R22" i="9"/>
  <c r="S22" i="9" s="1"/>
  <c r="T21" i="9"/>
  <c r="U21" i="9" s="1"/>
  <c r="R21" i="9"/>
  <c r="S21" i="9" s="1"/>
  <c r="T20" i="9"/>
  <c r="U20" i="9" s="1"/>
  <c r="R20" i="9"/>
  <c r="S20" i="9" s="1"/>
  <c r="T19" i="9"/>
  <c r="U19" i="9" s="1"/>
  <c r="R19" i="9"/>
  <c r="S19" i="9" s="1"/>
  <c r="T18" i="9"/>
  <c r="U18" i="9" s="1"/>
  <c r="R18" i="9"/>
  <c r="S18" i="9" s="1"/>
  <c r="T17" i="9"/>
  <c r="U17" i="9" s="1"/>
  <c r="R17" i="9"/>
  <c r="S17" i="9" s="1"/>
  <c r="T16" i="9"/>
  <c r="U16" i="9" s="1"/>
  <c r="R16" i="9"/>
  <c r="S16" i="9" s="1"/>
  <c r="T15" i="9"/>
  <c r="U15" i="9" s="1"/>
  <c r="R15" i="9"/>
  <c r="S15" i="9" s="1"/>
  <c r="N15" i="9"/>
  <c r="M15" i="9"/>
  <c r="U14" i="9"/>
  <c r="T14" i="9"/>
  <c r="R14" i="9"/>
  <c r="S14" i="9" s="1"/>
  <c r="M14" i="9"/>
  <c r="U13" i="9"/>
  <c r="L3" i="9" s="1"/>
  <c r="T13" i="9"/>
  <c r="R13" i="9"/>
  <c r="S13" i="9" s="1"/>
  <c r="T12" i="9"/>
  <c r="U12" i="9" s="1"/>
  <c r="I12" i="9" s="1"/>
  <c r="R12" i="9"/>
  <c r="S12" i="9" s="1"/>
  <c r="N12" i="9"/>
  <c r="M12" i="9"/>
  <c r="F12" i="9"/>
  <c r="B12" i="9"/>
  <c r="O11" i="9"/>
  <c r="P11" i="9" s="1"/>
  <c r="F11" i="9"/>
  <c r="E11" i="9"/>
  <c r="D11" i="9"/>
  <c r="C11" i="9"/>
  <c r="I3" i="9"/>
  <c r="I1" i="9"/>
  <c r="H15" i="8"/>
  <c r="J15" i="8" s="1"/>
  <c r="L235" i="8"/>
  <c r="I235" i="8"/>
  <c r="J235" i="8" s="1"/>
  <c r="K235" i="8" s="1"/>
  <c r="A235" i="8"/>
  <c r="L234" i="8"/>
  <c r="I234" i="8"/>
  <c r="J234" i="8" s="1"/>
  <c r="K234" i="8" s="1"/>
  <c r="A234" i="8"/>
  <c r="L233" i="8"/>
  <c r="I233" i="8"/>
  <c r="J233" i="8" s="1"/>
  <c r="K233" i="8" s="1"/>
  <c r="O233" i="8" s="1"/>
  <c r="P233" i="8" s="1"/>
  <c r="A233" i="8"/>
  <c r="L232" i="8"/>
  <c r="J232" i="8"/>
  <c r="K232" i="8" s="1"/>
  <c r="I232" i="8"/>
  <c r="A232" i="8"/>
  <c r="M231" i="8"/>
  <c r="L231" i="8"/>
  <c r="K231" i="8"/>
  <c r="J231" i="8"/>
  <c r="I231" i="8"/>
  <c r="A231" i="8"/>
  <c r="N230" i="8"/>
  <c r="L230" i="8"/>
  <c r="N234" i="8" s="1"/>
  <c r="K230" i="8"/>
  <c r="O230" i="8" s="1"/>
  <c r="P230" i="8" s="1"/>
  <c r="J230" i="8"/>
  <c r="I230" i="8"/>
  <c r="A230" i="8"/>
  <c r="P229" i="8"/>
  <c r="N229" i="8"/>
  <c r="L229" i="8"/>
  <c r="N233" i="8" s="1"/>
  <c r="I229" i="8"/>
  <c r="J229" i="8" s="1"/>
  <c r="K229" i="8" s="1"/>
  <c r="O229" i="8" s="1"/>
  <c r="A229" i="8"/>
  <c r="L228" i="8"/>
  <c r="J228" i="8"/>
  <c r="K228" i="8" s="1"/>
  <c r="I228" i="8"/>
  <c r="A228" i="8"/>
  <c r="L227" i="8"/>
  <c r="N231" i="8" s="1"/>
  <c r="K227" i="8"/>
  <c r="J227" i="8"/>
  <c r="I227" i="8"/>
  <c r="A227" i="8"/>
  <c r="L226" i="8"/>
  <c r="M230" i="8" s="1"/>
  <c r="I226" i="8"/>
  <c r="J226" i="8" s="1"/>
  <c r="K226" i="8" s="1"/>
  <c r="A226" i="8"/>
  <c r="L225" i="8"/>
  <c r="M229" i="8" s="1"/>
  <c r="J225" i="8"/>
  <c r="K225" i="8" s="1"/>
  <c r="I225" i="8"/>
  <c r="A225" i="8"/>
  <c r="R224" i="8"/>
  <c r="S224" i="8" s="1"/>
  <c r="L224" i="8"/>
  <c r="A224" i="8"/>
  <c r="R223" i="8"/>
  <c r="S223" i="8" s="1"/>
  <c r="A223" i="8"/>
  <c r="R222" i="8"/>
  <c r="S222" i="8" s="1"/>
  <c r="A222" i="8"/>
  <c r="R221" i="8"/>
  <c r="S221" i="8" s="1"/>
  <c r="A221" i="8"/>
  <c r="A220" i="8"/>
  <c r="U219" i="8"/>
  <c r="T219" i="8"/>
  <c r="R219" i="8"/>
  <c r="S219" i="8" s="1"/>
  <c r="T218" i="8"/>
  <c r="U218" i="8" s="1"/>
  <c r="R218" i="8"/>
  <c r="S218" i="8" s="1"/>
  <c r="T217" i="8"/>
  <c r="U217" i="8" s="1"/>
  <c r="S217" i="8"/>
  <c r="R217" i="8"/>
  <c r="T216" i="8"/>
  <c r="U216" i="8" s="1"/>
  <c r="S216" i="8"/>
  <c r="R216" i="8"/>
  <c r="T215" i="8"/>
  <c r="U215" i="8" s="1"/>
  <c r="R215" i="8"/>
  <c r="S215" i="8" s="1"/>
  <c r="U214" i="8"/>
  <c r="T214" i="8"/>
  <c r="R214" i="8"/>
  <c r="S214" i="8" s="1"/>
  <c r="T213" i="8"/>
  <c r="U213" i="8" s="1"/>
  <c r="R213" i="8"/>
  <c r="S213" i="8" s="1"/>
  <c r="T212" i="8"/>
  <c r="U212" i="8" s="1"/>
  <c r="S212" i="8"/>
  <c r="R212" i="8"/>
  <c r="T211" i="8"/>
  <c r="U211" i="8" s="1"/>
  <c r="S211" i="8"/>
  <c r="R211" i="8"/>
  <c r="T210" i="8"/>
  <c r="U210" i="8" s="1"/>
  <c r="R210" i="8"/>
  <c r="S210" i="8" s="1"/>
  <c r="U209" i="8"/>
  <c r="T209" i="8"/>
  <c r="S209" i="8"/>
  <c r="R209" i="8"/>
  <c r="T208" i="8"/>
  <c r="U208" i="8" s="1"/>
  <c r="R208" i="8"/>
  <c r="S208" i="8" s="1"/>
  <c r="U207" i="8"/>
  <c r="T207" i="8"/>
  <c r="R207" i="8"/>
  <c r="S207" i="8" s="1"/>
  <c r="T206" i="8"/>
  <c r="U206" i="8" s="1"/>
  <c r="R206" i="8"/>
  <c r="S206" i="8" s="1"/>
  <c r="U205" i="8"/>
  <c r="T205" i="8"/>
  <c r="S205" i="8"/>
  <c r="R205" i="8"/>
  <c r="T204" i="8"/>
  <c r="U204" i="8" s="1"/>
  <c r="R204" i="8"/>
  <c r="S204" i="8" s="1"/>
  <c r="T203" i="8"/>
  <c r="U203" i="8" s="1"/>
  <c r="R203" i="8"/>
  <c r="S203" i="8" s="1"/>
  <c r="T202" i="8"/>
  <c r="U202" i="8" s="1"/>
  <c r="R202" i="8"/>
  <c r="S202" i="8" s="1"/>
  <c r="T201" i="8"/>
  <c r="U201" i="8" s="1"/>
  <c r="R201" i="8"/>
  <c r="S201" i="8" s="1"/>
  <c r="U200" i="8"/>
  <c r="T200" i="8"/>
  <c r="R200" i="8"/>
  <c r="S200" i="8" s="1"/>
  <c r="T199" i="8"/>
  <c r="U199" i="8" s="1"/>
  <c r="R199" i="8"/>
  <c r="S199" i="8" s="1"/>
  <c r="T198" i="8"/>
  <c r="U198" i="8" s="1"/>
  <c r="R198" i="8"/>
  <c r="S198" i="8" s="1"/>
  <c r="U197" i="8"/>
  <c r="T197" i="8"/>
  <c r="R197" i="8"/>
  <c r="S197" i="8" s="1"/>
  <c r="T196" i="8"/>
  <c r="U196" i="8" s="1"/>
  <c r="S196" i="8"/>
  <c r="R196" i="8"/>
  <c r="U195" i="8"/>
  <c r="T195" i="8"/>
  <c r="R195" i="8"/>
  <c r="S195" i="8" s="1"/>
  <c r="T194" i="8"/>
  <c r="U194" i="8" s="1"/>
  <c r="R194" i="8"/>
  <c r="S194" i="8" s="1"/>
  <c r="T193" i="8"/>
  <c r="U193" i="8" s="1"/>
  <c r="R193" i="8"/>
  <c r="S193" i="8" s="1"/>
  <c r="T192" i="8"/>
  <c r="U192" i="8" s="1"/>
  <c r="R192" i="8"/>
  <c r="S192" i="8" s="1"/>
  <c r="T191" i="8"/>
  <c r="U191" i="8" s="1"/>
  <c r="R191" i="8"/>
  <c r="S191" i="8" s="1"/>
  <c r="T190" i="8"/>
  <c r="U190" i="8" s="1"/>
  <c r="R190" i="8"/>
  <c r="S190" i="8" s="1"/>
  <c r="U189" i="8"/>
  <c r="T189" i="8"/>
  <c r="R189" i="8"/>
  <c r="S189" i="8" s="1"/>
  <c r="T188" i="8"/>
  <c r="U188" i="8" s="1"/>
  <c r="R188" i="8"/>
  <c r="S188" i="8" s="1"/>
  <c r="T187" i="8"/>
  <c r="U187" i="8" s="1"/>
  <c r="R187" i="8"/>
  <c r="S187" i="8" s="1"/>
  <c r="T186" i="8"/>
  <c r="U186" i="8" s="1"/>
  <c r="R186" i="8"/>
  <c r="S186" i="8" s="1"/>
  <c r="U185" i="8"/>
  <c r="T185" i="8"/>
  <c r="R185" i="8"/>
  <c r="S185" i="8" s="1"/>
  <c r="T184" i="8"/>
  <c r="U184" i="8" s="1"/>
  <c r="R184" i="8"/>
  <c r="S184" i="8" s="1"/>
  <c r="T183" i="8"/>
  <c r="U183" i="8" s="1"/>
  <c r="R183" i="8"/>
  <c r="S183" i="8" s="1"/>
  <c r="T182" i="8"/>
  <c r="U182" i="8" s="1"/>
  <c r="R182" i="8"/>
  <c r="S182" i="8" s="1"/>
  <c r="T181" i="8"/>
  <c r="U181" i="8" s="1"/>
  <c r="R181" i="8"/>
  <c r="S181" i="8" s="1"/>
  <c r="T180" i="8"/>
  <c r="U180" i="8" s="1"/>
  <c r="R180" i="8"/>
  <c r="S180" i="8" s="1"/>
  <c r="U179" i="8"/>
  <c r="T179" i="8"/>
  <c r="R179" i="8"/>
  <c r="S179" i="8" s="1"/>
  <c r="T178" i="8"/>
  <c r="U178" i="8" s="1"/>
  <c r="R178" i="8"/>
  <c r="S178" i="8" s="1"/>
  <c r="T177" i="8"/>
  <c r="U177" i="8" s="1"/>
  <c r="R177" i="8"/>
  <c r="S177" i="8" s="1"/>
  <c r="T176" i="8"/>
  <c r="U176" i="8" s="1"/>
  <c r="R176" i="8"/>
  <c r="S176" i="8" s="1"/>
  <c r="U175" i="8"/>
  <c r="T175" i="8"/>
  <c r="R175" i="8"/>
  <c r="S175" i="8" s="1"/>
  <c r="T174" i="8"/>
  <c r="U174" i="8" s="1"/>
  <c r="R174" i="8"/>
  <c r="S174" i="8" s="1"/>
  <c r="T173" i="8"/>
  <c r="U173" i="8" s="1"/>
  <c r="R173" i="8"/>
  <c r="S173" i="8" s="1"/>
  <c r="T172" i="8"/>
  <c r="U172" i="8" s="1"/>
  <c r="R172" i="8"/>
  <c r="S172" i="8" s="1"/>
  <c r="T171" i="8"/>
  <c r="U171" i="8" s="1"/>
  <c r="R171" i="8"/>
  <c r="S171" i="8" s="1"/>
  <c r="T170" i="8"/>
  <c r="U170" i="8" s="1"/>
  <c r="S170" i="8"/>
  <c r="R170" i="8"/>
  <c r="T169" i="8"/>
  <c r="U169" i="8" s="1"/>
  <c r="R169" i="8"/>
  <c r="S169" i="8" s="1"/>
  <c r="T168" i="8"/>
  <c r="U168" i="8" s="1"/>
  <c r="R168" i="8"/>
  <c r="S168" i="8" s="1"/>
  <c r="T167" i="8"/>
  <c r="U167" i="8" s="1"/>
  <c r="R167" i="8"/>
  <c r="S167" i="8" s="1"/>
  <c r="U166" i="8"/>
  <c r="T166" i="8"/>
  <c r="R166" i="8"/>
  <c r="S166" i="8" s="1"/>
  <c r="T165" i="8"/>
  <c r="U165" i="8" s="1"/>
  <c r="R165" i="8"/>
  <c r="S165" i="8" s="1"/>
  <c r="T164" i="8"/>
  <c r="U164" i="8" s="1"/>
  <c r="R164" i="8"/>
  <c r="S164" i="8" s="1"/>
  <c r="T163" i="8"/>
  <c r="U163" i="8" s="1"/>
  <c r="R163" i="8"/>
  <c r="S163" i="8" s="1"/>
  <c r="T162" i="8"/>
  <c r="U162" i="8" s="1"/>
  <c r="R162" i="8"/>
  <c r="S162" i="8" s="1"/>
  <c r="T161" i="8"/>
  <c r="U161" i="8" s="1"/>
  <c r="R161" i="8"/>
  <c r="S161" i="8" s="1"/>
  <c r="T160" i="8"/>
  <c r="U160" i="8" s="1"/>
  <c r="R160" i="8"/>
  <c r="S160" i="8" s="1"/>
  <c r="T159" i="8"/>
  <c r="U159" i="8" s="1"/>
  <c r="R159" i="8"/>
  <c r="S159" i="8" s="1"/>
  <c r="U158" i="8"/>
  <c r="T158" i="8"/>
  <c r="R158" i="8"/>
  <c r="S158" i="8" s="1"/>
  <c r="T157" i="8"/>
  <c r="U157" i="8" s="1"/>
  <c r="R157" i="8"/>
  <c r="S157" i="8" s="1"/>
  <c r="T156" i="8"/>
  <c r="U156" i="8" s="1"/>
  <c r="R156" i="8"/>
  <c r="S156" i="8" s="1"/>
  <c r="T155" i="8"/>
  <c r="U155" i="8" s="1"/>
  <c r="R155" i="8"/>
  <c r="S155" i="8" s="1"/>
  <c r="U154" i="8"/>
  <c r="T154" i="8"/>
  <c r="R154" i="8"/>
  <c r="S154" i="8" s="1"/>
  <c r="T153" i="8"/>
  <c r="U153" i="8" s="1"/>
  <c r="R153" i="8"/>
  <c r="S153" i="8" s="1"/>
  <c r="T152" i="8"/>
  <c r="U152" i="8" s="1"/>
  <c r="R152" i="8"/>
  <c r="S152" i="8" s="1"/>
  <c r="T151" i="8"/>
  <c r="U151" i="8" s="1"/>
  <c r="R151" i="8"/>
  <c r="S151" i="8" s="1"/>
  <c r="T150" i="8"/>
  <c r="U150" i="8" s="1"/>
  <c r="R150" i="8"/>
  <c r="S150" i="8" s="1"/>
  <c r="T149" i="8"/>
  <c r="U149" i="8" s="1"/>
  <c r="R149" i="8"/>
  <c r="S149" i="8" s="1"/>
  <c r="T148" i="8"/>
  <c r="U148" i="8" s="1"/>
  <c r="R148" i="8"/>
  <c r="S148" i="8" s="1"/>
  <c r="T147" i="8"/>
  <c r="U147" i="8" s="1"/>
  <c r="R147" i="8"/>
  <c r="S147" i="8" s="1"/>
  <c r="U146" i="8"/>
  <c r="T146" i="8"/>
  <c r="R146" i="8"/>
  <c r="S146" i="8" s="1"/>
  <c r="T145" i="8"/>
  <c r="U145" i="8" s="1"/>
  <c r="R145" i="8"/>
  <c r="S145" i="8" s="1"/>
  <c r="T144" i="8"/>
  <c r="U144" i="8" s="1"/>
  <c r="R144" i="8"/>
  <c r="S144" i="8" s="1"/>
  <c r="T143" i="8"/>
  <c r="U143" i="8" s="1"/>
  <c r="R143" i="8"/>
  <c r="S143" i="8" s="1"/>
  <c r="U142" i="8"/>
  <c r="T142" i="8"/>
  <c r="R142" i="8"/>
  <c r="S142" i="8" s="1"/>
  <c r="T141" i="8"/>
  <c r="U141" i="8" s="1"/>
  <c r="R141" i="8"/>
  <c r="S141" i="8" s="1"/>
  <c r="T140" i="8"/>
  <c r="U140" i="8" s="1"/>
  <c r="R140" i="8"/>
  <c r="S140" i="8" s="1"/>
  <c r="T139" i="8"/>
  <c r="U139" i="8" s="1"/>
  <c r="R139" i="8"/>
  <c r="S139" i="8" s="1"/>
  <c r="U138" i="8"/>
  <c r="T138" i="8"/>
  <c r="R138" i="8"/>
  <c r="S138" i="8" s="1"/>
  <c r="T137" i="8"/>
  <c r="U137" i="8" s="1"/>
  <c r="R137" i="8"/>
  <c r="S137" i="8" s="1"/>
  <c r="T136" i="8"/>
  <c r="U136" i="8" s="1"/>
  <c r="R136" i="8"/>
  <c r="S136" i="8" s="1"/>
  <c r="T135" i="8"/>
  <c r="U135" i="8" s="1"/>
  <c r="R135" i="8"/>
  <c r="S135" i="8" s="1"/>
  <c r="T134" i="8"/>
  <c r="U134" i="8" s="1"/>
  <c r="R134" i="8"/>
  <c r="S134" i="8" s="1"/>
  <c r="T133" i="8"/>
  <c r="U133" i="8" s="1"/>
  <c r="R133" i="8"/>
  <c r="S133" i="8" s="1"/>
  <c r="U132" i="8"/>
  <c r="T132" i="8"/>
  <c r="R132" i="8"/>
  <c r="S132" i="8" s="1"/>
  <c r="T131" i="8"/>
  <c r="U131" i="8" s="1"/>
  <c r="R131" i="8"/>
  <c r="S131" i="8" s="1"/>
  <c r="T130" i="8"/>
  <c r="U130" i="8" s="1"/>
  <c r="R130" i="8"/>
  <c r="S130" i="8" s="1"/>
  <c r="T129" i="8"/>
  <c r="U129" i="8" s="1"/>
  <c r="R129" i="8"/>
  <c r="S129" i="8" s="1"/>
  <c r="T128" i="8"/>
  <c r="U128" i="8" s="1"/>
  <c r="R128" i="8"/>
  <c r="S128" i="8" s="1"/>
  <c r="T127" i="8"/>
  <c r="U127" i="8" s="1"/>
  <c r="S127" i="8"/>
  <c r="R127" i="8"/>
  <c r="U126" i="8"/>
  <c r="T126" i="8"/>
  <c r="R126" i="8"/>
  <c r="S126" i="8" s="1"/>
  <c r="T125" i="8"/>
  <c r="U125" i="8" s="1"/>
  <c r="R125" i="8"/>
  <c r="S125" i="8" s="1"/>
  <c r="T124" i="8"/>
  <c r="U124" i="8" s="1"/>
  <c r="R124" i="8"/>
  <c r="S124" i="8" s="1"/>
  <c r="T123" i="8"/>
  <c r="U123" i="8" s="1"/>
  <c r="S123" i="8"/>
  <c r="R123" i="8"/>
  <c r="T122" i="8"/>
  <c r="U122" i="8" s="1"/>
  <c r="R122" i="8"/>
  <c r="S122" i="8" s="1"/>
  <c r="T121" i="8"/>
  <c r="U121" i="8" s="1"/>
  <c r="S121" i="8"/>
  <c r="R121" i="8"/>
  <c r="T120" i="8"/>
  <c r="U120" i="8" s="1"/>
  <c r="R120" i="8"/>
  <c r="S120" i="8" s="1"/>
  <c r="T119" i="8"/>
  <c r="U119" i="8" s="1"/>
  <c r="S119" i="8"/>
  <c r="R119" i="8"/>
  <c r="T118" i="8"/>
  <c r="U118" i="8" s="1"/>
  <c r="R118" i="8"/>
  <c r="S118" i="8" s="1"/>
  <c r="T117" i="8"/>
  <c r="U117" i="8" s="1"/>
  <c r="R117" i="8"/>
  <c r="S117" i="8" s="1"/>
  <c r="U116" i="8"/>
  <c r="T116" i="8"/>
  <c r="R116" i="8"/>
  <c r="S116" i="8" s="1"/>
  <c r="T115" i="8"/>
  <c r="U115" i="8" s="1"/>
  <c r="R115" i="8"/>
  <c r="S115" i="8" s="1"/>
  <c r="T114" i="8"/>
  <c r="U114" i="8" s="1"/>
  <c r="R114" i="8"/>
  <c r="S114" i="8" s="1"/>
  <c r="T113" i="8"/>
  <c r="U113" i="8" s="1"/>
  <c r="S113" i="8"/>
  <c r="R113" i="8"/>
  <c r="T112" i="8"/>
  <c r="U112" i="8" s="1"/>
  <c r="R112" i="8"/>
  <c r="S112" i="8" s="1"/>
  <c r="T111" i="8"/>
  <c r="U111" i="8" s="1"/>
  <c r="R111" i="8"/>
  <c r="S111" i="8" s="1"/>
  <c r="U110" i="8"/>
  <c r="T110" i="8"/>
  <c r="R110" i="8"/>
  <c r="S110" i="8" s="1"/>
  <c r="T109" i="8"/>
  <c r="U109" i="8" s="1"/>
  <c r="S109" i="8"/>
  <c r="R109" i="8"/>
  <c r="T108" i="8"/>
  <c r="U108" i="8" s="1"/>
  <c r="R108" i="8"/>
  <c r="S108" i="8" s="1"/>
  <c r="T107" i="8"/>
  <c r="U107" i="8" s="1"/>
  <c r="S107" i="8"/>
  <c r="R107" i="8"/>
  <c r="U106" i="8"/>
  <c r="T106" i="8"/>
  <c r="R106" i="8"/>
  <c r="S106" i="8" s="1"/>
  <c r="T105" i="8"/>
  <c r="U105" i="8" s="1"/>
  <c r="S105" i="8"/>
  <c r="R105" i="8"/>
  <c r="U104" i="8"/>
  <c r="T104" i="8"/>
  <c r="R104" i="8"/>
  <c r="S104" i="8" s="1"/>
  <c r="T103" i="8"/>
  <c r="U103" i="8" s="1"/>
  <c r="R103" i="8"/>
  <c r="S103" i="8" s="1"/>
  <c r="T102" i="8"/>
  <c r="U102" i="8" s="1"/>
  <c r="R102" i="8"/>
  <c r="S102" i="8" s="1"/>
  <c r="T101" i="8"/>
  <c r="U101" i="8" s="1"/>
  <c r="R101" i="8"/>
  <c r="S101" i="8" s="1"/>
  <c r="T100" i="8"/>
  <c r="U100" i="8" s="1"/>
  <c r="R100" i="8"/>
  <c r="S100" i="8" s="1"/>
  <c r="T99" i="8"/>
  <c r="U99" i="8" s="1"/>
  <c r="R99" i="8"/>
  <c r="S99" i="8" s="1"/>
  <c r="T98" i="8"/>
  <c r="U98" i="8" s="1"/>
  <c r="R98" i="8"/>
  <c r="S98" i="8" s="1"/>
  <c r="T97" i="8"/>
  <c r="U97" i="8" s="1"/>
  <c r="R97" i="8"/>
  <c r="S97" i="8" s="1"/>
  <c r="U96" i="8"/>
  <c r="T96" i="8"/>
  <c r="R96" i="8"/>
  <c r="S96" i="8" s="1"/>
  <c r="T95" i="8"/>
  <c r="U95" i="8" s="1"/>
  <c r="R95" i="8"/>
  <c r="S95" i="8" s="1"/>
  <c r="U94" i="8"/>
  <c r="T94" i="8"/>
  <c r="R94" i="8"/>
  <c r="S94" i="8" s="1"/>
  <c r="U93" i="8"/>
  <c r="T93" i="8"/>
  <c r="R93" i="8"/>
  <c r="S93" i="8" s="1"/>
  <c r="T92" i="8"/>
  <c r="U92" i="8" s="1"/>
  <c r="R92" i="8"/>
  <c r="S92" i="8" s="1"/>
  <c r="T91" i="8"/>
  <c r="U91" i="8" s="1"/>
  <c r="R91" i="8"/>
  <c r="S91" i="8" s="1"/>
  <c r="U90" i="8"/>
  <c r="T90" i="8"/>
  <c r="R90" i="8"/>
  <c r="S90" i="8" s="1"/>
  <c r="T89" i="8"/>
  <c r="U89" i="8" s="1"/>
  <c r="R89" i="8"/>
  <c r="S89" i="8" s="1"/>
  <c r="U88" i="8"/>
  <c r="T88" i="8"/>
  <c r="R88" i="8"/>
  <c r="S88" i="8" s="1"/>
  <c r="T87" i="8"/>
  <c r="U87" i="8" s="1"/>
  <c r="R87" i="8"/>
  <c r="S87" i="8" s="1"/>
  <c r="U86" i="8"/>
  <c r="T86" i="8"/>
  <c r="R86" i="8"/>
  <c r="S86" i="8" s="1"/>
  <c r="T85" i="8"/>
  <c r="U85" i="8" s="1"/>
  <c r="R85" i="8"/>
  <c r="S85" i="8" s="1"/>
  <c r="U84" i="8"/>
  <c r="T84" i="8"/>
  <c r="R84" i="8"/>
  <c r="S84" i="8" s="1"/>
  <c r="U83" i="8"/>
  <c r="T83" i="8"/>
  <c r="R83" i="8"/>
  <c r="S83" i="8" s="1"/>
  <c r="T82" i="8"/>
  <c r="U82" i="8" s="1"/>
  <c r="R82" i="8"/>
  <c r="S82" i="8" s="1"/>
  <c r="T81" i="8"/>
  <c r="U81" i="8" s="1"/>
  <c r="R81" i="8"/>
  <c r="S81" i="8" s="1"/>
  <c r="T80" i="8"/>
  <c r="U80" i="8" s="1"/>
  <c r="R80" i="8"/>
  <c r="S80" i="8" s="1"/>
  <c r="T79" i="8"/>
  <c r="U79" i="8" s="1"/>
  <c r="R79" i="8"/>
  <c r="S79" i="8" s="1"/>
  <c r="T78" i="8"/>
  <c r="U78" i="8" s="1"/>
  <c r="R78" i="8"/>
  <c r="S78" i="8" s="1"/>
  <c r="T77" i="8"/>
  <c r="U77" i="8" s="1"/>
  <c r="R77" i="8"/>
  <c r="S77" i="8" s="1"/>
  <c r="T76" i="8"/>
  <c r="U76" i="8" s="1"/>
  <c r="R76" i="8"/>
  <c r="S76" i="8" s="1"/>
  <c r="T75" i="8"/>
  <c r="U75" i="8" s="1"/>
  <c r="R75" i="8"/>
  <c r="S75" i="8" s="1"/>
  <c r="T74" i="8"/>
  <c r="U74" i="8" s="1"/>
  <c r="R74" i="8"/>
  <c r="S74" i="8" s="1"/>
  <c r="T73" i="8"/>
  <c r="U73" i="8" s="1"/>
  <c r="R73" i="8"/>
  <c r="S73" i="8" s="1"/>
  <c r="T72" i="8"/>
  <c r="U72" i="8" s="1"/>
  <c r="R72" i="8"/>
  <c r="S72" i="8" s="1"/>
  <c r="T71" i="8"/>
  <c r="U71" i="8" s="1"/>
  <c r="R71" i="8"/>
  <c r="S71" i="8" s="1"/>
  <c r="T70" i="8"/>
  <c r="U70" i="8" s="1"/>
  <c r="R70" i="8"/>
  <c r="S70" i="8" s="1"/>
  <c r="T69" i="8"/>
  <c r="U69" i="8" s="1"/>
  <c r="R69" i="8"/>
  <c r="S69" i="8" s="1"/>
  <c r="T68" i="8"/>
  <c r="U68" i="8" s="1"/>
  <c r="R68" i="8"/>
  <c r="S68" i="8" s="1"/>
  <c r="T67" i="8"/>
  <c r="U67" i="8" s="1"/>
  <c r="R67" i="8"/>
  <c r="S67" i="8" s="1"/>
  <c r="T66" i="8"/>
  <c r="U66" i="8" s="1"/>
  <c r="R66" i="8"/>
  <c r="S66" i="8" s="1"/>
  <c r="T65" i="8"/>
  <c r="U65" i="8" s="1"/>
  <c r="R65" i="8"/>
  <c r="S65" i="8" s="1"/>
  <c r="T64" i="8"/>
  <c r="U64" i="8" s="1"/>
  <c r="R64" i="8"/>
  <c r="S64" i="8" s="1"/>
  <c r="T63" i="8"/>
  <c r="U63" i="8" s="1"/>
  <c r="R63" i="8"/>
  <c r="S63" i="8" s="1"/>
  <c r="T62" i="8"/>
  <c r="U62" i="8" s="1"/>
  <c r="R62" i="8"/>
  <c r="S62" i="8" s="1"/>
  <c r="T61" i="8"/>
  <c r="U61" i="8" s="1"/>
  <c r="R61" i="8"/>
  <c r="S61" i="8" s="1"/>
  <c r="T60" i="8"/>
  <c r="U60" i="8" s="1"/>
  <c r="R60" i="8"/>
  <c r="S60" i="8" s="1"/>
  <c r="T59" i="8"/>
  <c r="U59" i="8" s="1"/>
  <c r="R59" i="8"/>
  <c r="S59" i="8" s="1"/>
  <c r="T58" i="8"/>
  <c r="U58" i="8" s="1"/>
  <c r="R58" i="8"/>
  <c r="S58" i="8" s="1"/>
  <c r="T57" i="8"/>
  <c r="U57" i="8" s="1"/>
  <c r="R57" i="8"/>
  <c r="S57" i="8" s="1"/>
  <c r="U56" i="8"/>
  <c r="T56" i="8"/>
  <c r="R56" i="8"/>
  <c r="S56" i="8" s="1"/>
  <c r="T55" i="8"/>
  <c r="U55" i="8" s="1"/>
  <c r="R55" i="8"/>
  <c r="S55" i="8" s="1"/>
  <c r="T54" i="8"/>
  <c r="U54" i="8" s="1"/>
  <c r="R54" i="8"/>
  <c r="S54" i="8" s="1"/>
  <c r="T53" i="8"/>
  <c r="U53" i="8" s="1"/>
  <c r="R53" i="8"/>
  <c r="S53" i="8" s="1"/>
  <c r="T52" i="8"/>
  <c r="U52" i="8" s="1"/>
  <c r="R52" i="8"/>
  <c r="S52" i="8" s="1"/>
  <c r="T51" i="8"/>
  <c r="U51" i="8" s="1"/>
  <c r="R51" i="8"/>
  <c r="S51" i="8" s="1"/>
  <c r="T50" i="8"/>
  <c r="U50" i="8" s="1"/>
  <c r="R50" i="8"/>
  <c r="S50" i="8" s="1"/>
  <c r="T49" i="8"/>
  <c r="U49" i="8" s="1"/>
  <c r="S49" i="8"/>
  <c r="R49" i="8"/>
  <c r="T48" i="8"/>
  <c r="U48" i="8" s="1"/>
  <c r="R48" i="8"/>
  <c r="S48" i="8" s="1"/>
  <c r="T47" i="8"/>
  <c r="U47" i="8" s="1"/>
  <c r="S47" i="8"/>
  <c r="R47" i="8"/>
  <c r="T46" i="8"/>
  <c r="U46" i="8" s="1"/>
  <c r="R46" i="8"/>
  <c r="S46" i="8" s="1"/>
  <c r="U45" i="8"/>
  <c r="T45" i="8"/>
  <c r="S45" i="8"/>
  <c r="R45" i="8"/>
  <c r="T44" i="8"/>
  <c r="U44" i="8" s="1"/>
  <c r="R44" i="8"/>
  <c r="S44" i="8" s="1"/>
  <c r="T43" i="8"/>
  <c r="U43" i="8" s="1"/>
  <c r="R43" i="8"/>
  <c r="S43" i="8" s="1"/>
  <c r="T42" i="8"/>
  <c r="U42" i="8" s="1"/>
  <c r="R42" i="8"/>
  <c r="S42" i="8" s="1"/>
  <c r="T41" i="8"/>
  <c r="U41" i="8" s="1"/>
  <c r="R41" i="8"/>
  <c r="S41" i="8" s="1"/>
  <c r="T40" i="8"/>
  <c r="U40" i="8" s="1"/>
  <c r="R40" i="8"/>
  <c r="S40" i="8" s="1"/>
  <c r="U39" i="8"/>
  <c r="T39" i="8"/>
  <c r="S39" i="8"/>
  <c r="R39" i="8"/>
  <c r="T38" i="8"/>
  <c r="U38" i="8" s="1"/>
  <c r="R38" i="8"/>
  <c r="S38" i="8" s="1"/>
  <c r="T37" i="8"/>
  <c r="U37" i="8" s="1"/>
  <c r="S37" i="8"/>
  <c r="R37" i="8"/>
  <c r="T36" i="8"/>
  <c r="U36" i="8" s="1"/>
  <c r="R36" i="8"/>
  <c r="S36" i="8" s="1"/>
  <c r="T35" i="8"/>
  <c r="U35" i="8" s="1"/>
  <c r="R35" i="8"/>
  <c r="S35" i="8" s="1"/>
  <c r="T34" i="8"/>
  <c r="U34" i="8" s="1"/>
  <c r="R34" i="8"/>
  <c r="S34" i="8" s="1"/>
  <c r="T33" i="8"/>
  <c r="U33" i="8" s="1"/>
  <c r="S33" i="8"/>
  <c r="R33" i="8"/>
  <c r="T32" i="8"/>
  <c r="U32" i="8" s="1"/>
  <c r="R32" i="8"/>
  <c r="S32" i="8" s="1"/>
  <c r="T31" i="8"/>
  <c r="U31" i="8" s="1"/>
  <c r="R31" i="8"/>
  <c r="S31" i="8" s="1"/>
  <c r="T30" i="8"/>
  <c r="U30" i="8" s="1"/>
  <c r="R30" i="8"/>
  <c r="S30" i="8" s="1"/>
  <c r="T29" i="8"/>
  <c r="U29" i="8" s="1"/>
  <c r="R29" i="8"/>
  <c r="S29" i="8" s="1"/>
  <c r="U28" i="8"/>
  <c r="T28" i="8"/>
  <c r="R28" i="8"/>
  <c r="S28" i="8" s="1"/>
  <c r="T27" i="8"/>
  <c r="U27" i="8" s="1"/>
  <c r="S27" i="8"/>
  <c r="R27" i="8"/>
  <c r="U26" i="8"/>
  <c r="T26" i="8"/>
  <c r="R26" i="8"/>
  <c r="S26" i="8" s="1"/>
  <c r="T25" i="8"/>
  <c r="U25" i="8" s="1"/>
  <c r="S25" i="8"/>
  <c r="R25" i="8"/>
  <c r="T24" i="8"/>
  <c r="U24" i="8" s="1"/>
  <c r="R24" i="8"/>
  <c r="S24" i="8" s="1"/>
  <c r="T23" i="8"/>
  <c r="U23" i="8" s="1"/>
  <c r="R23" i="8"/>
  <c r="S23" i="8" s="1"/>
  <c r="T22" i="8"/>
  <c r="U22" i="8" s="1"/>
  <c r="R22" i="8"/>
  <c r="S22" i="8" s="1"/>
  <c r="U21" i="8"/>
  <c r="T21" i="8"/>
  <c r="R21" i="8"/>
  <c r="S21" i="8" s="1"/>
  <c r="U20" i="8"/>
  <c r="T20" i="8"/>
  <c r="R20" i="8"/>
  <c r="S20" i="8" s="1"/>
  <c r="T19" i="8"/>
  <c r="U19" i="8" s="1"/>
  <c r="R19" i="8"/>
  <c r="S19" i="8" s="1"/>
  <c r="T18" i="8"/>
  <c r="U18" i="8" s="1"/>
  <c r="R18" i="8"/>
  <c r="S18" i="8" s="1"/>
  <c r="N18" i="8"/>
  <c r="M18" i="8"/>
  <c r="T17" i="8"/>
  <c r="U17" i="8" s="1"/>
  <c r="R17" i="8"/>
  <c r="S17" i="8" s="1"/>
  <c r="N17" i="8"/>
  <c r="M17" i="8"/>
  <c r="T16" i="8"/>
  <c r="U16" i="8" s="1"/>
  <c r="R16" i="8"/>
  <c r="S16" i="8" s="1"/>
  <c r="T15" i="8"/>
  <c r="U15" i="8" s="1"/>
  <c r="R15" i="8"/>
  <c r="S15" i="8" s="1"/>
  <c r="N15" i="8"/>
  <c r="M15" i="8"/>
  <c r="I15" i="8"/>
  <c r="G15" i="8"/>
  <c r="F15" i="8"/>
  <c r="E15" i="8"/>
  <c r="B15" i="8"/>
  <c r="L15" i="8" s="1"/>
  <c r="P14" i="8"/>
  <c r="O14" i="8"/>
  <c r="F14" i="8"/>
  <c r="E14" i="8"/>
  <c r="D14" i="8"/>
  <c r="A14" i="8" s="1"/>
  <c r="C14" i="8"/>
  <c r="B12" i="8"/>
  <c r="Q8" i="8"/>
  <c r="T7" i="8"/>
  <c r="I3" i="8"/>
  <c r="I1" i="8"/>
  <c r="O229" i="9" l="1"/>
  <c r="O222" i="9"/>
  <c r="K224" i="9"/>
  <c r="K223" i="9"/>
  <c r="J230" i="9"/>
  <c r="K221" i="9"/>
  <c r="O232" i="9"/>
  <c r="P232" i="9" s="1"/>
  <c r="M230" i="9"/>
  <c r="O231" i="9"/>
  <c r="M227" i="9"/>
  <c r="N230" i="9"/>
  <c r="O227" i="9"/>
  <c r="O226" i="9"/>
  <c r="K228" i="9"/>
  <c r="O228" i="9" s="1"/>
  <c r="P228" i="9" s="1"/>
  <c r="O224" i="9"/>
  <c r="L12" i="9"/>
  <c r="H12" i="9"/>
  <c r="J12" i="9" s="1"/>
  <c r="D12" i="9" s="1"/>
  <c r="O223" i="9"/>
  <c r="P227" i="9"/>
  <c r="P230" i="9"/>
  <c r="M16" i="9"/>
  <c r="N16" i="9"/>
  <c r="W12" i="9"/>
  <c r="C12" i="9"/>
  <c r="E12" i="9"/>
  <c r="G12" i="9"/>
  <c r="B13" i="9"/>
  <c r="P225" i="9"/>
  <c r="N226" i="9"/>
  <c r="P226" i="9" s="1"/>
  <c r="M226" i="9"/>
  <c r="N231" i="9"/>
  <c r="N229" i="9"/>
  <c r="P229" i="9" s="1"/>
  <c r="M229" i="9"/>
  <c r="M225" i="9"/>
  <c r="M232" i="9"/>
  <c r="J5" i="8"/>
  <c r="F12" i="8"/>
  <c r="G11" i="8"/>
  <c r="W16" i="8"/>
  <c r="L3" i="8"/>
  <c r="L12" i="8"/>
  <c r="M16" i="8" s="1"/>
  <c r="C15" i="8"/>
  <c r="E12" i="8"/>
  <c r="D10" i="8"/>
  <c r="F10" i="8" s="1"/>
  <c r="G10" i="8" s="1"/>
  <c r="H10" i="8" s="1"/>
  <c r="I10" i="8" s="1"/>
  <c r="I11" i="8"/>
  <c r="J12" i="8"/>
  <c r="K12" i="8" s="1"/>
  <c r="V15" i="8"/>
  <c r="N19" i="8"/>
  <c r="M19" i="8"/>
  <c r="W15" i="8"/>
  <c r="A11" i="8"/>
  <c r="B16" i="8"/>
  <c r="C12" i="8"/>
  <c r="B11" i="8" s="1"/>
  <c r="O232" i="8"/>
  <c r="P232" i="8" s="1"/>
  <c r="N232" i="8"/>
  <c r="M232" i="8"/>
  <c r="O234" i="8"/>
  <c r="P234" i="8" s="1"/>
  <c r="N228" i="8"/>
  <c r="O228" i="8" s="1"/>
  <c r="P228" i="8" s="1"/>
  <c r="M228" i="8"/>
  <c r="O231" i="8"/>
  <c r="P231" i="8" s="1"/>
  <c r="M234" i="8"/>
  <c r="N235" i="8"/>
  <c r="M235" i="8"/>
  <c r="O235" i="8"/>
  <c r="P235" i="8" s="1"/>
  <c r="M233" i="8"/>
  <c r="K12" i="9" l="1"/>
  <c r="P231" i="9"/>
  <c r="H13" i="9"/>
  <c r="J13" i="9" s="1"/>
  <c r="I13" i="9"/>
  <c r="E13" i="9"/>
  <c r="F13" i="9"/>
  <c r="B14" i="9"/>
  <c r="G13" i="9"/>
  <c r="J5" i="9"/>
  <c r="K15" i="8"/>
  <c r="O15" i="8" s="1"/>
  <c r="P15" i="8" s="1"/>
  <c r="G12" i="8"/>
  <c r="E11" i="8"/>
  <c r="K11" i="8"/>
  <c r="B17" i="8"/>
  <c r="G16" i="8"/>
  <c r="F16" i="8"/>
  <c r="E16" i="8"/>
  <c r="D15" i="8" a="1"/>
  <c r="D15" i="8" s="1"/>
  <c r="D13" i="9" l="1"/>
  <c r="V12" i="9"/>
  <c r="O12" i="9"/>
  <c r="B15" i="9"/>
  <c r="G14" i="9"/>
  <c r="F14" i="9"/>
  <c r="E14" i="9"/>
  <c r="P12" i="9"/>
  <c r="A15" i="8"/>
  <c r="D12" i="8"/>
  <c r="K8" i="8"/>
  <c r="N16" i="8" s="1"/>
  <c r="G17" i="8"/>
  <c r="F17" i="8"/>
  <c r="E17" i="8"/>
  <c r="B18" i="8"/>
  <c r="L4" i="8"/>
  <c r="L16" i="8"/>
  <c r="C16" i="8" s="1"/>
  <c r="I16" i="8"/>
  <c r="G15" i="9" l="1"/>
  <c r="B16" i="9"/>
  <c r="F15" i="9"/>
  <c r="E15" i="9"/>
  <c r="H16" i="8"/>
  <c r="J16" i="8" s="1"/>
  <c r="B19" i="8"/>
  <c r="G18" i="8"/>
  <c r="F18" i="8"/>
  <c r="E18" i="8"/>
  <c r="N20" i="8"/>
  <c r="M20" i="8"/>
  <c r="K16" i="8"/>
  <c r="O16" i="8" s="1"/>
  <c r="F16" i="9" l="1"/>
  <c r="E16" i="9"/>
  <c r="B17" i="9"/>
  <c r="G16" i="9"/>
  <c r="D16" i="8" a="1"/>
  <c r="D16" i="8" s="1"/>
  <c r="A16" i="8" s="1"/>
  <c r="G19" i="8"/>
  <c r="E19" i="8"/>
  <c r="B20" i="8"/>
  <c r="F19" i="8"/>
  <c r="P16" i="8"/>
  <c r="B18" i="9" l="1"/>
  <c r="G17" i="9"/>
  <c r="F17" i="9"/>
  <c r="E17" i="9"/>
  <c r="I17" i="8"/>
  <c r="L17" i="8"/>
  <c r="N21" i="8" s="1"/>
  <c r="B21" i="8"/>
  <c r="G20" i="8"/>
  <c r="F20" i="8"/>
  <c r="E20" i="8"/>
  <c r="B19" i="9" l="1"/>
  <c r="G18" i="9"/>
  <c r="E18" i="9"/>
  <c r="F18" i="9"/>
  <c r="C17" i="8"/>
  <c r="H17" i="8"/>
  <c r="J17" i="8" s="1"/>
  <c r="K17" i="8" s="1"/>
  <c r="O17" i="8" s="1"/>
  <c r="M21" i="8"/>
  <c r="G21" i="8"/>
  <c r="E21" i="8"/>
  <c r="B22" i="8"/>
  <c r="F21" i="8"/>
  <c r="B20" i="9" l="1"/>
  <c r="G19" i="9"/>
  <c r="F19" i="9"/>
  <c r="E19" i="9"/>
  <c r="D17" i="8" a="1"/>
  <c r="D17" i="8" s="1"/>
  <c r="L18" i="8" s="1"/>
  <c r="C18" i="8" s="1"/>
  <c r="B23" i="8"/>
  <c r="G22" i="8"/>
  <c r="F22" i="8"/>
  <c r="E22" i="8"/>
  <c r="P17" i="8"/>
  <c r="E20" i="9" l="1"/>
  <c r="F20" i="9"/>
  <c r="G20" i="9"/>
  <c r="B21" i="9"/>
  <c r="I18" i="8"/>
  <c r="A17" i="8"/>
  <c r="H18" i="8"/>
  <c r="J18" i="8" s="1"/>
  <c r="G23" i="8"/>
  <c r="F23" i="8"/>
  <c r="B24" i="8"/>
  <c r="E23" i="8"/>
  <c r="N22" i="8"/>
  <c r="M22" i="8"/>
  <c r="B22" i="9" l="1"/>
  <c r="G21" i="9"/>
  <c r="F21" i="9"/>
  <c r="E21" i="9"/>
  <c r="B25" i="8"/>
  <c r="G24" i="8"/>
  <c r="F24" i="8"/>
  <c r="E24" i="8"/>
  <c r="K18" i="8"/>
  <c r="O18" i="8" s="1"/>
  <c r="F22" i="9" l="1"/>
  <c r="G22" i="9"/>
  <c r="E22" i="9"/>
  <c r="B23" i="9"/>
  <c r="P18" i="8"/>
  <c r="G25" i="8"/>
  <c r="B26" i="8"/>
  <c r="F25" i="8"/>
  <c r="E25" i="8"/>
  <c r="D18" i="8" a="1"/>
  <c r="D18" i="8" s="1"/>
  <c r="B24" i="9" l="1"/>
  <c r="F23" i="9"/>
  <c r="E23" i="9"/>
  <c r="G23" i="9"/>
  <c r="A18" i="8"/>
  <c r="I19" i="8"/>
  <c r="L19" i="8"/>
  <c r="C19" i="8" s="1"/>
  <c r="B27" i="8"/>
  <c r="G26" i="8"/>
  <c r="F26" i="8"/>
  <c r="E26" i="8"/>
  <c r="F24" i="9" l="1"/>
  <c r="E24" i="9"/>
  <c r="G24" i="9"/>
  <c r="B25" i="9"/>
  <c r="H19" i="8"/>
  <c r="J19" i="8" s="1"/>
  <c r="K19" i="8"/>
  <c r="O19" i="8" s="1"/>
  <c r="P19" i="8" s="1"/>
  <c r="G27" i="8"/>
  <c r="F27" i="8"/>
  <c r="E27" i="8"/>
  <c r="B28" i="8"/>
  <c r="N23" i="8"/>
  <c r="M23" i="8"/>
  <c r="B26" i="9" l="1"/>
  <c r="G25" i="9"/>
  <c r="E25" i="9"/>
  <c r="F25" i="9"/>
  <c r="D19" i="8" a="1"/>
  <c r="D19" i="8" s="1"/>
  <c r="A19" i="8" s="1"/>
  <c r="B29" i="8"/>
  <c r="G28" i="8"/>
  <c r="F28" i="8"/>
  <c r="E28" i="8"/>
  <c r="B27" i="9" l="1"/>
  <c r="F26" i="9"/>
  <c r="G26" i="9"/>
  <c r="E26" i="9"/>
  <c r="L20" i="8"/>
  <c r="C20" i="8" s="1"/>
  <c r="I20" i="8"/>
  <c r="G29" i="8"/>
  <c r="F29" i="8"/>
  <c r="E29" i="8"/>
  <c r="B30" i="8"/>
  <c r="B28" i="9" l="1"/>
  <c r="F27" i="9"/>
  <c r="G27" i="9"/>
  <c r="E27" i="9"/>
  <c r="N24" i="8"/>
  <c r="M24" i="8"/>
  <c r="H20" i="8"/>
  <c r="J20" i="8" s="1"/>
  <c r="B31" i="8"/>
  <c r="G30" i="8"/>
  <c r="F30" i="8"/>
  <c r="E30" i="8"/>
  <c r="B29" i="9" l="1"/>
  <c r="G28" i="9"/>
  <c r="F28" i="9"/>
  <c r="E28" i="9"/>
  <c r="K20" i="8"/>
  <c r="O20" i="8" s="1"/>
  <c r="P20" i="8" s="1"/>
  <c r="G31" i="8"/>
  <c r="F31" i="8"/>
  <c r="E31" i="8"/>
  <c r="B32" i="8"/>
  <c r="B30" i="9" l="1"/>
  <c r="G29" i="9"/>
  <c r="F29" i="9"/>
  <c r="E29" i="9"/>
  <c r="D20" i="8" a="1"/>
  <c r="D20" i="8" s="1"/>
  <c r="B33" i="8"/>
  <c r="G32" i="8"/>
  <c r="F32" i="8"/>
  <c r="E32" i="8"/>
  <c r="B31" i="9" l="1"/>
  <c r="G30" i="9"/>
  <c r="F30" i="9"/>
  <c r="E30" i="9"/>
  <c r="I21" i="8"/>
  <c r="L21" i="8"/>
  <c r="H21" i="8" s="1"/>
  <c r="J21" i="8" s="1"/>
  <c r="A20" i="8"/>
  <c r="G33" i="8"/>
  <c r="F33" i="8"/>
  <c r="E33" i="8"/>
  <c r="B34" i="8"/>
  <c r="B32" i="9" l="1"/>
  <c r="E31" i="9"/>
  <c r="G31" i="9"/>
  <c r="F31" i="9"/>
  <c r="C21" i="8"/>
  <c r="K21" i="8" s="1"/>
  <c r="O21" i="8" s="1"/>
  <c r="P21" i="8" s="1"/>
  <c r="M25" i="8"/>
  <c r="N25" i="8"/>
  <c r="B35" i="8"/>
  <c r="G34" i="8"/>
  <c r="F34" i="8"/>
  <c r="E34" i="8"/>
  <c r="B33" i="9" l="1"/>
  <c r="G32" i="9"/>
  <c r="F32" i="9"/>
  <c r="E32" i="9"/>
  <c r="D21" i="8" a="1"/>
  <c r="D21" i="8" s="1"/>
  <c r="G35" i="8"/>
  <c r="F35" i="8"/>
  <c r="E35" i="8"/>
  <c r="B36" i="8"/>
  <c r="B34" i="9" l="1"/>
  <c r="E33" i="9"/>
  <c r="F33" i="9"/>
  <c r="G33" i="9"/>
  <c r="L22" i="8"/>
  <c r="I22" i="8"/>
  <c r="A21" i="8"/>
  <c r="B37" i="8"/>
  <c r="G36" i="8"/>
  <c r="F36" i="8"/>
  <c r="E36" i="8"/>
  <c r="B35" i="9" l="1"/>
  <c r="G34" i="9"/>
  <c r="F34" i="9"/>
  <c r="E34" i="9"/>
  <c r="M26" i="8"/>
  <c r="N26" i="8"/>
  <c r="C22" i="8"/>
  <c r="H22" i="8"/>
  <c r="J22" i="8" s="1"/>
  <c r="B38" i="8"/>
  <c r="G37" i="8"/>
  <c r="F37" i="8"/>
  <c r="E37" i="8"/>
  <c r="B36" i="9" l="1"/>
  <c r="G35" i="9"/>
  <c r="F35" i="9"/>
  <c r="E35" i="9"/>
  <c r="K22" i="8"/>
  <c r="O22" i="8" s="1"/>
  <c r="P22" i="8" s="1"/>
  <c r="B39" i="8"/>
  <c r="G38" i="8"/>
  <c r="F38" i="8"/>
  <c r="E38" i="8"/>
  <c r="B37" i="9" l="1"/>
  <c r="G36" i="9"/>
  <c r="F36" i="9"/>
  <c r="E36" i="9"/>
  <c r="D22" i="8" a="1"/>
  <c r="D22" i="8" s="1"/>
  <c r="B40" i="8"/>
  <c r="G39" i="8"/>
  <c r="F39" i="8"/>
  <c r="E39" i="8"/>
  <c r="B38" i="9" l="1"/>
  <c r="G37" i="9"/>
  <c r="F37" i="9"/>
  <c r="E37" i="9"/>
  <c r="A22" i="8"/>
  <c r="L23" i="8"/>
  <c r="I23" i="8"/>
  <c r="H23" i="8"/>
  <c r="J23" i="8" s="1"/>
  <c r="B41" i="8"/>
  <c r="G40" i="8"/>
  <c r="F40" i="8"/>
  <c r="E40" i="8"/>
  <c r="B39" i="9" l="1"/>
  <c r="G38" i="9"/>
  <c r="F38" i="9"/>
  <c r="E38" i="9"/>
  <c r="C23" i="8"/>
  <c r="K23" i="8" s="1"/>
  <c r="O23" i="8" s="1"/>
  <c r="P23" i="8" s="1"/>
  <c r="N27" i="8"/>
  <c r="M27" i="8"/>
  <c r="B42" i="8"/>
  <c r="G41" i="8"/>
  <c r="F41" i="8"/>
  <c r="E41" i="8"/>
  <c r="B40" i="9" l="1"/>
  <c r="G39" i="9"/>
  <c r="F39" i="9"/>
  <c r="E39" i="9"/>
  <c r="D23" i="8" a="1"/>
  <c r="D23" i="8" s="1"/>
  <c r="B43" i="8"/>
  <c r="G42" i="8"/>
  <c r="F42" i="8"/>
  <c r="E42" i="8"/>
  <c r="B41" i="9" l="1"/>
  <c r="G40" i="9"/>
  <c r="F40" i="9"/>
  <c r="E40" i="9"/>
  <c r="I24" i="8"/>
  <c r="A23" i="8"/>
  <c r="L24" i="8"/>
  <c r="B44" i="8"/>
  <c r="G43" i="8"/>
  <c r="F43" i="8"/>
  <c r="E43" i="8"/>
  <c r="B42" i="9" l="1"/>
  <c r="F41" i="9"/>
  <c r="G41" i="9"/>
  <c r="E41" i="9"/>
  <c r="C24" i="8"/>
  <c r="M28" i="8"/>
  <c r="N28" i="8"/>
  <c r="H24" i="8"/>
  <c r="J24" i="8" s="1"/>
  <c r="B45" i="8"/>
  <c r="G44" i="8"/>
  <c r="F44" i="8"/>
  <c r="E44" i="8"/>
  <c r="B43" i="9" l="1"/>
  <c r="G42" i="9"/>
  <c r="F42" i="9"/>
  <c r="E42" i="9"/>
  <c r="K24" i="8"/>
  <c r="O24" i="8" s="1"/>
  <c r="P24" i="8" s="1"/>
  <c r="B46" i="8"/>
  <c r="G45" i="8"/>
  <c r="F45" i="8"/>
  <c r="E45" i="8"/>
  <c r="B44" i="9" l="1"/>
  <c r="G43" i="9"/>
  <c r="F43" i="9"/>
  <c r="E43" i="9"/>
  <c r="D24" i="8" a="1"/>
  <c r="D24" i="8" s="1"/>
  <c r="B47" i="8"/>
  <c r="G46" i="8"/>
  <c r="F46" i="8"/>
  <c r="E46" i="8"/>
  <c r="B45" i="9" l="1"/>
  <c r="G44" i="9"/>
  <c r="E44" i="9"/>
  <c r="F44" i="9"/>
  <c r="I25" i="8"/>
  <c r="L25" i="8"/>
  <c r="A24" i="8"/>
  <c r="H25" i="8"/>
  <c r="J25" i="8" s="1"/>
  <c r="C25" i="8"/>
  <c r="B48" i="8"/>
  <c r="G47" i="8"/>
  <c r="F47" i="8"/>
  <c r="E47" i="8"/>
  <c r="E45" i="9" l="1"/>
  <c r="G45" i="9"/>
  <c r="F45" i="9"/>
  <c r="B46" i="9"/>
  <c r="K25" i="8"/>
  <c r="N29" i="8"/>
  <c r="M29" i="8"/>
  <c r="B49" i="8"/>
  <c r="G48" i="8"/>
  <c r="F48" i="8"/>
  <c r="E48" i="8"/>
  <c r="B47" i="9" l="1"/>
  <c r="G46" i="9"/>
  <c r="E46" i="9"/>
  <c r="F46" i="9"/>
  <c r="O25" i="8"/>
  <c r="P25" i="8" s="1"/>
  <c r="D25" i="8" a="1"/>
  <c r="D25" i="8" s="1"/>
  <c r="B50" i="8"/>
  <c r="G49" i="8"/>
  <c r="E49" i="8"/>
  <c r="F49" i="8"/>
  <c r="B48" i="9" l="1"/>
  <c r="G47" i="9"/>
  <c r="F47" i="9"/>
  <c r="E47" i="9"/>
  <c r="L26" i="8"/>
  <c r="C26" i="8" s="1"/>
  <c r="I26" i="8"/>
  <c r="A25" i="8"/>
  <c r="B51" i="8"/>
  <c r="G50" i="8"/>
  <c r="F50" i="8"/>
  <c r="E50" i="8"/>
  <c r="B49" i="9" l="1"/>
  <c r="G48" i="9"/>
  <c r="F48" i="9"/>
  <c r="E48" i="9"/>
  <c r="H26" i="8"/>
  <c r="J26" i="8" s="1"/>
  <c r="N30" i="8"/>
  <c r="M30" i="8"/>
  <c r="B52" i="8"/>
  <c r="G51" i="8"/>
  <c r="F51" i="8"/>
  <c r="E51" i="8"/>
  <c r="B50" i="9" l="1"/>
  <c r="G49" i="9"/>
  <c r="E49" i="9"/>
  <c r="F49" i="9"/>
  <c r="K26" i="8"/>
  <c r="O26" i="8" s="1"/>
  <c r="P26" i="8" s="1"/>
  <c r="B53" i="8"/>
  <c r="G52" i="8"/>
  <c r="F52" i="8"/>
  <c r="E52" i="8"/>
  <c r="F50" i="9" l="1"/>
  <c r="E50" i="9"/>
  <c r="G50" i="9"/>
  <c r="B51" i="9"/>
  <c r="D26" i="8" a="1"/>
  <c r="D26" i="8" s="1"/>
  <c r="B54" i="8"/>
  <c r="G53" i="8"/>
  <c r="F53" i="8"/>
  <c r="E53" i="8"/>
  <c r="G51" i="9" l="1"/>
  <c r="E51" i="9"/>
  <c r="B52" i="9"/>
  <c r="F51" i="9"/>
  <c r="A26" i="8"/>
  <c r="I27" i="8"/>
  <c r="L27" i="8"/>
  <c r="H27" i="8" s="1"/>
  <c r="J27" i="8" s="1"/>
  <c r="B55" i="8"/>
  <c r="G54" i="8"/>
  <c r="F54" i="8"/>
  <c r="E54" i="8"/>
  <c r="G52" i="9" l="1"/>
  <c r="B53" i="9"/>
  <c r="F52" i="9"/>
  <c r="E52" i="9"/>
  <c r="N31" i="8"/>
  <c r="M31" i="8"/>
  <c r="C27" i="8"/>
  <c r="K27" i="8" s="1"/>
  <c r="O27" i="8" s="1"/>
  <c r="P27" i="8" s="1"/>
  <c r="B56" i="8"/>
  <c r="G55" i="8"/>
  <c r="F55" i="8"/>
  <c r="E55" i="8"/>
  <c r="B54" i="9" l="1"/>
  <c r="F53" i="9"/>
  <c r="E53" i="9"/>
  <c r="G53" i="9"/>
  <c r="D27" i="8" a="1"/>
  <c r="D27" i="8" s="1"/>
  <c r="B57" i="8"/>
  <c r="G56" i="8"/>
  <c r="F56" i="8"/>
  <c r="E56" i="8"/>
  <c r="B55" i="9" l="1"/>
  <c r="G54" i="9"/>
  <c r="F54" i="9"/>
  <c r="E54" i="9"/>
  <c r="A27" i="8"/>
  <c r="I28" i="8"/>
  <c r="L28" i="8"/>
  <c r="B58" i="8"/>
  <c r="G57" i="8"/>
  <c r="F57" i="8"/>
  <c r="E57" i="8"/>
  <c r="G55" i="9" l="1"/>
  <c r="B56" i="9"/>
  <c r="E55" i="9"/>
  <c r="F55" i="9"/>
  <c r="H28" i="8"/>
  <c r="J28" i="8" s="1"/>
  <c r="N32" i="8"/>
  <c r="M32" i="8"/>
  <c r="C28" i="8"/>
  <c r="B59" i="8"/>
  <c r="G58" i="8"/>
  <c r="F58" i="8"/>
  <c r="E58" i="8"/>
  <c r="B57" i="9" l="1"/>
  <c r="G56" i="9"/>
  <c r="F56" i="9"/>
  <c r="E56" i="9"/>
  <c r="K28" i="8"/>
  <c r="O28" i="8" s="1"/>
  <c r="P28" i="8" s="1"/>
  <c r="D28" i="8" a="1"/>
  <c r="D28" i="8" s="1"/>
  <c r="B60" i="8"/>
  <c r="G59" i="8"/>
  <c r="F59" i="8"/>
  <c r="E59" i="8"/>
  <c r="G57" i="9" l="1"/>
  <c r="F57" i="9"/>
  <c r="B58" i="9"/>
  <c r="E57" i="9"/>
  <c r="L29" i="8"/>
  <c r="A28" i="8"/>
  <c r="I29" i="8"/>
  <c r="H29" i="8"/>
  <c r="B61" i="8"/>
  <c r="G60" i="8"/>
  <c r="F60" i="8"/>
  <c r="E60" i="8"/>
  <c r="B59" i="9" l="1"/>
  <c r="F58" i="9"/>
  <c r="E58" i="9"/>
  <c r="G58" i="9"/>
  <c r="J29" i="8"/>
  <c r="C29" i="8"/>
  <c r="K29" i="8" s="1"/>
  <c r="N33" i="8"/>
  <c r="M33" i="8"/>
  <c r="B62" i="8"/>
  <c r="G61" i="8"/>
  <c r="F61" i="8"/>
  <c r="E61" i="8"/>
  <c r="F59" i="9" l="1"/>
  <c r="G59" i="9"/>
  <c r="E59" i="9"/>
  <c r="B60" i="9"/>
  <c r="O29" i="8"/>
  <c r="P29" i="8" s="1"/>
  <c r="D29" i="8" a="1"/>
  <c r="D29" i="8" s="1"/>
  <c r="B63" i="8"/>
  <c r="G62" i="8"/>
  <c r="F62" i="8"/>
  <c r="E62" i="8"/>
  <c r="B61" i="9" l="1"/>
  <c r="F60" i="9"/>
  <c r="G60" i="9"/>
  <c r="E60" i="9"/>
  <c r="A29" i="8"/>
  <c r="L30" i="8"/>
  <c r="I30" i="8"/>
  <c r="H30" i="8"/>
  <c r="C30" i="8"/>
  <c r="B64" i="8"/>
  <c r="G63" i="8"/>
  <c r="F63" i="8"/>
  <c r="E63" i="8"/>
  <c r="G61" i="9" l="1"/>
  <c r="F61" i="9"/>
  <c r="E61" i="9"/>
  <c r="B62" i="9"/>
  <c r="J30" i="8"/>
  <c r="N34" i="8"/>
  <c r="M34" i="8"/>
  <c r="B65" i="8"/>
  <c r="G64" i="8"/>
  <c r="F64" i="8"/>
  <c r="E64" i="8"/>
  <c r="B63" i="9" l="1"/>
  <c r="G62" i="9"/>
  <c r="F62" i="9"/>
  <c r="E62" i="9"/>
  <c r="K30" i="8"/>
  <c r="O30" i="8" s="1"/>
  <c r="P30" i="8" s="1"/>
  <c r="B66" i="8"/>
  <c r="G65" i="8"/>
  <c r="F65" i="8"/>
  <c r="E65" i="8"/>
  <c r="G63" i="9" l="1"/>
  <c r="F63" i="9"/>
  <c r="B64" i="9"/>
  <c r="E63" i="9"/>
  <c r="D30" i="8" a="1"/>
  <c r="D30" i="8" s="1"/>
  <c r="B67" i="8"/>
  <c r="G66" i="8"/>
  <c r="F66" i="8"/>
  <c r="E66" i="8"/>
  <c r="B65" i="9" l="1"/>
  <c r="E64" i="9"/>
  <c r="G64" i="9"/>
  <c r="F64" i="9"/>
  <c r="L31" i="8"/>
  <c r="A30" i="8"/>
  <c r="I31" i="8"/>
  <c r="C31" i="8"/>
  <c r="H31" i="8"/>
  <c r="J31" i="8" s="1"/>
  <c r="B68" i="8"/>
  <c r="G67" i="8"/>
  <c r="F67" i="8"/>
  <c r="E67" i="8"/>
  <c r="B66" i="9" l="1"/>
  <c r="E65" i="9"/>
  <c r="F65" i="9"/>
  <c r="G65" i="9"/>
  <c r="K31" i="8"/>
  <c r="O31" i="8" s="1"/>
  <c r="P31" i="8" s="1"/>
  <c r="D31" i="8" a="1"/>
  <c r="D31" i="8" s="1"/>
  <c r="A31" i="8" s="1"/>
  <c r="I32" i="8"/>
  <c r="N35" i="8"/>
  <c r="M35" i="8"/>
  <c r="B69" i="8"/>
  <c r="G68" i="8"/>
  <c r="F68" i="8"/>
  <c r="E68" i="8"/>
  <c r="B67" i="9" l="1"/>
  <c r="G66" i="9"/>
  <c r="E66" i="9"/>
  <c r="F66" i="9"/>
  <c r="L32" i="8"/>
  <c r="C32" i="8" s="1"/>
  <c r="B70" i="8"/>
  <c r="G69" i="8"/>
  <c r="F69" i="8"/>
  <c r="E69" i="8"/>
  <c r="G67" i="9" l="1"/>
  <c r="E67" i="9"/>
  <c r="B68" i="9"/>
  <c r="F67" i="9"/>
  <c r="M36" i="8"/>
  <c r="N36" i="8"/>
  <c r="H32" i="8"/>
  <c r="J32" i="8" s="1"/>
  <c r="K32" i="8" s="1"/>
  <c r="O32" i="8" s="1"/>
  <c r="P32" i="8" s="1"/>
  <c r="B71" i="8"/>
  <c r="G70" i="8"/>
  <c r="F70" i="8"/>
  <c r="E70" i="8"/>
  <c r="B69" i="9" l="1"/>
  <c r="G68" i="9"/>
  <c r="F68" i="9"/>
  <c r="E68" i="9"/>
  <c r="D32" i="8" a="1"/>
  <c r="D32" i="8" s="1"/>
  <c r="A32" i="8" s="1"/>
  <c r="I33" i="8"/>
  <c r="L33" i="8"/>
  <c r="H33" i="8" s="1"/>
  <c r="J33" i="8" s="1"/>
  <c r="B72" i="8"/>
  <c r="G71" i="8"/>
  <c r="F71" i="8"/>
  <c r="E71" i="8"/>
  <c r="B70" i="9" l="1"/>
  <c r="G69" i="9"/>
  <c r="F69" i="9"/>
  <c r="E69" i="9"/>
  <c r="M37" i="8"/>
  <c r="N37" i="8"/>
  <c r="C33" i="8"/>
  <c r="K33" i="8" s="1"/>
  <c r="O33" i="8" s="1"/>
  <c r="P33" i="8" s="1"/>
  <c r="B73" i="8"/>
  <c r="G72" i="8"/>
  <c r="F72" i="8"/>
  <c r="E72" i="8"/>
  <c r="B71" i="9" l="1"/>
  <c r="G70" i="9"/>
  <c r="F70" i="9"/>
  <c r="E70" i="9"/>
  <c r="D33" i="8" a="1"/>
  <c r="D33" i="8" s="1"/>
  <c r="B74" i="8"/>
  <c r="G73" i="8"/>
  <c r="F73" i="8"/>
  <c r="E73" i="8"/>
  <c r="B72" i="9" l="1"/>
  <c r="G71" i="9"/>
  <c r="F71" i="9"/>
  <c r="E71" i="9"/>
  <c r="I34" i="8"/>
  <c r="A33" i="8"/>
  <c r="L34" i="8"/>
  <c r="B75" i="8"/>
  <c r="G74" i="8"/>
  <c r="F74" i="8"/>
  <c r="E74" i="8"/>
  <c r="B73" i="9" l="1"/>
  <c r="G72" i="9"/>
  <c r="F72" i="9"/>
  <c r="E72" i="9"/>
  <c r="H34" i="8"/>
  <c r="J34" i="8" s="1"/>
  <c r="N38" i="8"/>
  <c r="M38" i="8"/>
  <c r="C34" i="8"/>
  <c r="B76" i="8"/>
  <c r="G75" i="8"/>
  <c r="F75" i="8"/>
  <c r="E75" i="8"/>
  <c r="B74" i="9" l="1"/>
  <c r="G73" i="9"/>
  <c r="F73" i="9"/>
  <c r="E73" i="9"/>
  <c r="K34" i="8"/>
  <c r="O34" i="8" s="1"/>
  <c r="P34" i="8" s="1"/>
  <c r="B77" i="8"/>
  <c r="G76" i="8"/>
  <c r="F76" i="8"/>
  <c r="E76" i="8"/>
  <c r="B75" i="9" l="1"/>
  <c r="G74" i="9"/>
  <c r="F74" i="9"/>
  <c r="E74" i="9"/>
  <c r="D34" i="8" a="1"/>
  <c r="D34" i="8" s="1"/>
  <c r="B78" i="8"/>
  <c r="G77" i="8"/>
  <c r="F77" i="8"/>
  <c r="E77" i="8"/>
  <c r="B76" i="9" l="1"/>
  <c r="G75" i="9"/>
  <c r="E75" i="9"/>
  <c r="F75" i="9"/>
  <c r="A34" i="8"/>
  <c r="L35" i="8"/>
  <c r="I35" i="8"/>
  <c r="H35" i="8"/>
  <c r="J35" i="8" s="1"/>
  <c r="C35" i="8"/>
  <c r="K35" i="8" s="1"/>
  <c r="O35" i="8" s="1"/>
  <c r="P35" i="8" s="1"/>
  <c r="B79" i="8"/>
  <c r="G78" i="8"/>
  <c r="F78" i="8"/>
  <c r="E78" i="8"/>
  <c r="B77" i="9" l="1"/>
  <c r="G76" i="9"/>
  <c r="E76" i="9"/>
  <c r="F76" i="9"/>
  <c r="D35" i="8" a="1"/>
  <c r="D35" i="8" s="1"/>
  <c r="L36" i="8" s="1"/>
  <c r="I36" i="8"/>
  <c r="M39" i="8"/>
  <c r="N39" i="8"/>
  <c r="B80" i="8"/>
  <c r="G79" i="8"/>
  <c r="F79" i="8"/>
  <c r="E79" i="8"/>
  <c r="B78" i="9" l="1"/>
  <c r="G77" i="9"/>
  <c r="F77" i="9"/>
  <c r="E77" i="9"/>
  <c r="C36" i="8"/>
  <c r="H36" i="8"/>
  <c r="J36" i="8" s="1"/>
  <c r="A35" i="8"/>
  <c r="K36" i="8"/>
  <c r="O36" i="8" s="1"/>
  <c r="P36" i="8" s="1"/>
  <c r="N40" i="8"/>
  <c r="M40" i="8"/>
  <c r="B81" i="8"/>
  <c r="G80" i="8"/>
  <c r="F80" i="8"/>
  <c r="E80" i="8"/>
  <c r="E78" i="9" l="1"/>
  <c r="B79" i="9"/>
  <c r="G78" i="9"/>
  <c r="F78" i="9"/>
  <c r="D36" i="8" a="1"/>
  <c r="D36" i="8" s="1"/>
  <c r="A36" i="8" s="1"/>
  <c r="I37" i="8"/>
  <c r="B82" i="8"/>
  <c r="G81" i="8"/>
  <c r="F81" i="8"/>
  <c r="E81" i="8"/>
  <c r="F79" i="9" l="1"/>
  <c r="E79" i="9"/>
  <c r="B80" i="9"/>
  <c r="G79" i="9"/>
  <c r="L37" i="8"/>
  <c r="H37" i="8" s="1"/>
  <c r="J37" i="8" s="1"/>
  <c r="M41" i="8"/>
  <c r="C37" i="8"/>
  <c r="K37" i="8" s="1"/>
  <c r="O37" i="8" s="1"/>
  <c r="P37" i="8" s="1"/>
  <c r="B83" i="8"/>
  <c r="G82" i="8"/>
  <c r="F82" i="8"/>
  <c r="E82" i="8"/>
  <c r="E80" i="9" l="1"/>
  <c r="G80" i="9"/>
  <c r="F80" i="9"/>
  <c r="B81" i="9"/>
  <c r="N41" i="8"/>
  <c r="D37" i="8" a="1"/>
  <c r="D37" i="8" s="1"/>
  <c r="B84" i="8"/>
  <c r="G83" i="8"/>
  <c r="F83" i="8"/>
  <c r="E83" i="8"/>
  <c r="G81" i="9" l="1"/>
  <c r="F81" i="9"/>
  <c r="B82" i="9"/>
  <c r="E81" i="9"/>
  <c r="I38" i="8"/>
  <c r="A37" i="8"/>
  <c r="L38" i="8"/>
  <c r="H38" i="8" s="1"/>
  <c r="J38" i="8" s="1"/>
  <c r="E84" i="8"/>
  <c r="B85" i="8"/>
  <c r="G84" i="8"/>
  <c r="F84" i="8"/>
  <c r="E82" i="9" l="1"/>
  <c r="B83" i="9"/>
  <c r="G82" i="9"/>
  <c r="F82" i="9"/>
  <c r="M42" i="8"/>
  <c r="N42" i="8"/>
  <c r="C38" i="8"/>
  <c r="K38" i="8" s="1"/>
  <c r="O38" i="8" s="1"/>
  <c r="P38" i="8" s="1"/>
  <c r="B86" i="8"/>
  <c r="G85" i="8"/>
  <c r="F85" i="8"/>
  <c r="E85" i="8"/>
  <c r="E83" i="9" l="1"/>
  <c r="B84" i="9"/>
  <c r="G83" i="9"/>
  <c r="F83" i="9"/>
  <c r="D38" i="8" a="1"/>
  <c r="D38" i="8" s="1"/>
  <c r="E86" i="8"/>
  <c r="F86" i="8"/>
  <c r="G86" i="8"/>
  <c r="B87" i="8"/>
  <c r="E84" i="9" l="1"/>
  <c r="B85" i="9"/>
  <c r="G84" i="9"/>
  <c r="F84" i="9"/>
  <c r="I39" i="8"/>
  <c r="A38" i="8"/>
  <c r="L39" i="8"/>
  <c r="C39" i="8" s="1"/>
  <c r="B88" i="8"/>
  <c r="G87" i="8"/>
  <c r="F87" i="8"/>
  <c r="E87" i="8"/>
  <c r="E85" i="9" l="1"/>
  <c r="B86" i="9"/>
  <c r="G85" i="9"/>
  <c r="F85" i="9"/>
  <c r="H39" i="8"/>
  <c r="J39" i="8" s="1"/>
  <c r="K39" i="8" s="1"/>
  <c r="O39" i="8" s="1"/>
  <c r="P39" i="8" s="1"/>
  <c r="M43" i="8"/>
  <c r="N43" i="8"/>
  <c r="E88" i="8"/>
  <c r="B89" i="8"/>
  <c r="G88" i="8"/>
  <c r="F88" i="8"/>
  <c r="F86" i="9" l="1"/>
  <c r="E86" i="9"/>
  <c r="B87" i="9"/>
  <c r="G86" i="9"/>
  <c r="D39" i="8" a="1"/>
  <c r="D39" i="8" s="1"/>
  <c r="B90" i="8"/>
  <c r="G89" i="8"/>
  <c r="F89" i="8"/>
  <c r="E89" i="8"/>
  <c r="E87" i="9" l="1"/>
  <c r="F87" i="9"/>
  <c r="B88" i="9"/>
  <c r="G87" i="9"/>
  <c r="L40" i="8"/>
  <c r="H40" i="8" s="1"/>
  <c r="J40" i="8" s="1"/>
  <c r="A39" i="8"/>
  <c r="I40" i="8"/>
  <c r="E90" i="8"/>
  <c r="B91" i="8"/>
  <c r="G90" i="8"/>
  <c r="F90" i="8"/>
  <c r="F88" i="9" l="1"/>
  <c r="E88" i="9"/>
  <c r="B89" i="9"/>
  <c r="G88" i="9"/>
  <c r="N44" i="8"/>
  <c r="M44" i="8"/>
  <c r="C40" i="8"/>
  <c r="K40" i="8" s="1"/>
  <c r="O40" i="8" s="1"/>
  <c r="P40" i="8" s="1"/>
  <c r="D40" i="8" a="1"/>
  <c r="D40" i="8" s="1"/>
  <c r="B92" i="8"/>
  <c r="G91" i="8"/>
  <c r="F91" i="8"/>
  <c r="E91" i="8"/>
  <c r="E89" i="9" l="1"/>
  <c r="G89" i="9"/>
  <c r="F89" i="9"/>
  <c r="B90" i="9"/>
  <c r="E92" i="8"/>
  <c r="B93" i="8"/>
  <c r="G92" i="8"/>
  <c r="F92" i="8"/>
  <c r="A40" i="8"/>
  <c r="I41" i="8"/>
  <c r="L41" i="8"/>
  <c r="H41" i="8"/>
  <c r="E90" i="9" l="1"/>
  <c r="G90" i="9"/>
  <c r="F90" i="9"/>
  <c r="B91" i="9"/>
  <c r="B94" i="8"/>
  <c r="F93" i="8"/>
  <c r="E93" i="8"/>
  <c r="G93" i="8"/>
  <c r="J41" i="8"/>
  <c r="N45" i="8"/>
  <c r="M45" i="8"/>
  <c r="C41" i="8"/>
  <c r="G91" i="9" l="1"/>
  <c r="B92" i="9"/>
  <c r="F91" i="9"/>
  <c r="E91" i="9"/>
  <c r="E94" i="8"/>
  <c r="B95" i="8"/>
  <c r="G94" i="8"/>
  <c r="F94" i="8"/>
  <c r="K41" i="8"/>
  <c r="O41" i="8" s="1"/>
  <c r="P41" i="8" s="1"/>
  <c r="E92" i="9" l="1"/>
  <c r="F92" i="9"/>
  <c r="B93" i="9"/>
  <c r="G92" i="9"/>
  <c r="D41" i="8" a="1"/>
  <c r="D41" i="8" s="1"/>
  <c r="G95" i="8"/>
  <c r="F95" i="8"/>
  <c r="E95" i="8"/>
  <c r="B96" i="8"/>
  <c r="G93" i="9" l="1"/>
  <c r="B94" i="9"/>
  <c r="F93" i="9"/>
  <c r="E93" i="9"/>
  <c r="E96" i="8"/>
  <c r="G96" i="8"/>
  <c r="F96" i="8"/>
  <c r="B97" i="8"/>
  <c r="A41" i="8"/>
  <c r="L42" i="8"/>
  <c r="I42" i="8"/>
  <c r="E94" i="9" l="1"/>
  <c r="B95" i="9"/>
  <c r="G94" i="9"/>
  <c r="F94" i="9"/>
  <c r="N46" i="8"/>
  <c r="M46" i="8"/>
  <c r="B98" i="8"/>
  <c r="G97" i="8"/>
  <c r="F97" i="8"/>
  <c r="E97" i="8"/>
  <c r="C42" i="8"/>
  <c r="H42" i="8"/>
  <c r="J42" i="8" s="1"/>
  <c r="G95" i="9" l="1"/>
  <c r="F95" i="9"/>
  <c r="B96" i="9"/>
  <c r="E95" i="9"/>
  <c r="K42" i="8"/>
  <c r="O42" i="8" s="1"/>
  <c r="P42" i="8" s="1"/>
  <c r="E98" i="8"/>
  <c r="G98" i="8"/>
  <c r="F98" i="8"/>
  <c r="B99" i="8"/>
  <c r="D42" i="8" a="1"/>
  <c r="D42" i="8" s="1"/>
  <c r="E96" i="9" l="1"/>
  <c r="G96" i="9"/>
  <c r="B97" i="9"/>
  <c r="F96" i="9"/>
  <c r="A42" i="8"/>
  <c r="L43" i="8"/>
  <c r="C43" i="8" s="1"/>
  <c r="I43" i="8"/>
  <c r="H43" i="8"/>
  <c r="J43" i="8" s="1"/>
  <c r="B100" i="8"/>
  <c r="G99" i="8"/>
  <c r="F99" i="8"/>
  <c r="E99" i="8"/>
  <c r="G97" i="9" l="1"/>
  <c r="F97" i="9"/>
  <c r="B98" i="9"/>
  <c r="E97" i="9"/>
  <c r="K43" i="8"/>
  <c r="O43" i="8" s="1"/>
  <c r="P43" i="8" s="1"/>
  <c r="N47" i="8"/>
  <c r="M47" i="8"/>
  <c r="E100" i="8"/>
  <c r="G100" i="8"/>
  <c r="F100" i="8"/>
  <c r="B101" i="8"/>
  <c r="E98" i="9" l="1"/>
  <c r="B99" i="9"/>
  <c r="G98" i="9"/>
  <c r="F98" i="9"/>
  <c r="D43" i="8" a="1"/>
  <c r="D43" i="8" s="1"/>
  <c r="L44" i="8" s="1"/>
  <c r="H44" i="8" s="1"/>
  <c r="B102" i="8"/>
  <c r="G101" i="8"/>
  <c r="F101" i="8"/>
  <c r="E101" i="8"/>
  <c r="F99" i="9" l="1"/>
  <c r="G99" i="9"/>
  <c r="E99" i="9"/>
  <c r="B100" i="9"/>
  <c r="I44" i="8"/>
  <c r="J44" i="8" s="1"/>
  <c r="A43" i="8"/>
  <c r="E102" i="8"/>
  <c r="G102" i="8"/>
  <c r="F102" i="8"/>
  <c r="B103" i="8"/>
  <c r="N48" i="8"/>
  <c r="M48" i="8"/>
  <c r="C44" i="8"/>
  <c r="E100" i="9" l="1"/>
  <c r="B101" i="9"/>
  <c r="G100" i="9"/>
  <c r="F100" i="9"/>
  <c r="K44" i="8"/>
  <c r="O44" i="8" s="1"/>
  <c r="P44" i="8" s="1"/>
  <c r="B104" i="8"/>
  <c r="G103" i="8"/>
  <c r="F103" i="8"/>
  <c r="E103" i="8"/>
  <c r="D44" i="8" a="1"/>
  <c r="D44" i="8" s="1"/>
  <c r="G101" i="9" l="1"/>
  <c r="F101" i="9"/>
  <c r="B102" i="9"/>
  <c r="E101" i="9"/>
  <c r="E104" i="8"/>
  <c r="B105" i="8"/>
  <c r="G104" i="8"/>
  <c r="F104" i="8"/>
  <c r="A44" i="8"/>
  <c r="I45" i="8"/>
  <c r="L45" i="8"/>
  <c r="E102" i="9" l="1"/>
  <c r="F102" i="9"/>
  <c r="G102" i="9"/>
  <c r="B103" i="9"/>
  <c r="N49" i="8"/>
  <c r="M49" i="8"/>
  <c r="H45" i="8"/>
  <c r="J45" i="8" s="1"/>
  <c r="B106" i="8"/>
  <c r="G105" i="8"/>
  <c r="F105" i="8"/>
  <c r="E105" i="8"/>
  <c r="C45" i="8"/>
  <c r="G103" i="9" l="1"/>
  <c r="F103" i="9"/>
  <c r="E103" i="9"/>
  <c r="B104" i="9"/>
  <c r="E106" i="8"/>
  <c r="G106" i="8"/>
  <c r="F106" i="8"/>
  <c r="B107" i="8"/>
  <c r="K45" i="8"/>
  <c r="O45" i="8" s="1"/>
  <c r="P45" i="8" s="1"/>
  <c r="E104" i="9" l="1"/>
  <c r="F104" i="9"/>
  <c r="B105" i="9"/>
  <c r="G104" i="9"/>
  <c r="B108" i="8"/>
  <c r="G107" i="8"/>
  <c r="F107" i="8"/>
  <c r="E107" i="8"/>
  <c r="D45" i="8" a="1"/>
  <c r="D45" i="8" s="1"/>
  <c r="B106" i="9" l="1"/>
  <c r="E105" i="9"/>
  <c r="F105" i="9"/>
  <c r="G105" i="9"/>
  <c r="A45" i="8"/>
  <c r="L46" i="8"/>
  <c r="C46" i="8" s="1"/>
  <c r="I46" i="8"/>
  <c r="E108" i="8"/>
  <c r="B109" i="8"/>
  <c r="G108" i="8"/>
  <c r="F108" i="8"/>
  <c r="E106" i="9" l="1"/>
  <c r="F106" i="9"/>
  <c r="B107" i="9"/>
  <c r="G106" i="9"/>
  <c r="H46" i="8"/>
  <c r="J46" i="8" s="1"/>
  <c r="K46" i="8" s="1"/>
  <c r="O46" i="8" s="1"/>
  <c r="P46" i="8" s="1"/>
  <c r="B110" i="8"/>
  <c r="G109" i="8"/>
  <c r="F109" i="8"/>
  <c r="E109" i="8"/>
  <c r="N50" i="8"/>
  <c r="M50" i="8"/>
  <c r="B108" i="9" l="1"/>
  <c r="E107" i="9"/>
  <c r="G107" i="9"/>
  <c r="F107" i="9"/>
  <c r="D46" i="8" a="1"/>
  <c r="D46" i="8" s="1"/>
  <c r="E110" i="8"/>
  <c r="B111" i="8"/>
  <c r="G110" i="8"/>
  <c r="F110" i="8"/>
  <c r="E108" i="9" l="1"/>
  <c r="B109" i="9"/>
  <c r="G108" i="9"/>
  <c r="F108" i="9"/>
  <c r="A46" i="8"/>
  <c r="I47" i="8"/>
  <c r="L47" i="8"/>
  <c r="B112" i="8"/>
  <c r="G111" i="8"/>
  <c r="F111" i="8"/>
  <c r="E111" i="8"/>
  <c r="B110" i="9" l="1"/>
  <c r="E109" i="9"/>
  <c r="G109" i="9"/>
  <c r="F109" i="9"/>
  <c r="C47" i="8"/>
  <c r="N51" i="8"/>
  <c r="M51" i="8"/>
  <c r="H47" i="8"/>
  <c r="J47" i="8" s="1"/>
  <c r="E112" i="8"/>
  <c r="G112" i="8"/>
  <c r="F112" i="8"/>
  <c r="B113" i="8"/>
  <c r="E110" i="9" l="1"/>
  <c r="G110" i="9"/>
  <c r="B111" i="9"/>
  <c r="F110" i="9"/>
  <c r="K47" i="8"/>
  <c r="O47" i="8" s="1"/>
  <c r="P47" i="8" s="1"/>
  <c r="B114" i="8"/>
  <c r="G113" i="8"/>
  <c r="F113" i="8"/>
  <c r="E113" i="8"/>
  <c r="G111" i="9" l="1"/>
  <c r="F111" i="9"/>
  <c r="E111" i="9"/>
  <c r="B112" i="9"/>
  <c r="D47" i="8" a="1"/>
  <c r="D47" i="8" s="1"/>
  <c r="E114" i="8"/>
  <c r="G114" i="8"/>
  <c r="F114" i="8"/>
  <c r="B115" i="8"/>
  <c r="E112" i="9" l="1"/>
  <c r="B113" i="9"/>
  <c r="G112" i="9"/>
  <c r="F112" i="9"/>
  <c r="A47" i="8"/>
  <c r="L48" i="8"/>
  <c r="H48" i="8" s="1"/>
  <c r="I48" i="8"/>
  <c r="B116" i="8"/>
  <c r="G115" i="8"/>
  <c r="F115" i="8"/>
  <c r="E115" i="8"/>
  <c r="F113" i="9" l="1"/>
  <c r="G113" i="9"/>
  <c r="E113" i="9"/>
  <c r="B114" i="9"/>
  <c r="J48" i="8"/>
  <c r="M52" i="8"/>
  <c r="N52" i="8"/>
  <c r="C48" i="8"/>
  <c r="E116" i="8"/>
  <c r="B117" i="8"/>
  <c r="G116" i="8"/>
  <c r="F116" i="8"/>
  <c r="E114" i="9" l="1"/>
  <c r="B115" i="9"/>
  <c r="G114" i="9"/>
  <c r="F114" i="9"/>
  <c r="K48" i="8"/>
  <c r="O48" i="8" s="1"/>
  <c r="P48" i="8" s="1"/>
  <c r="B118" i="8"/>
  <c r="G117" i="8"/>
  <c r="F117" i="8"/>
  <c r="E117" i="8"/>
  <c r="G115" i="9" l="1"/>
  <c r="F115" i="9"/>
  <c r="B116" i="9"/>
  <c r="E115" i="9"/>
  <c r="D48" i="8" a="1"/>
  <c r="D48" i="8" s="1"/>
  <c r="E118" i="8"/>
  <c r="B119" i="8"/>
  <c r="G118" i="8"/>
  <c r="F118" i="8"/>
  <c r="E116" i="9" l="1"/>
  <c r="F116" i="9"/>
  <c r="G116" i="9"/>
  <c r="B117" i="9"/>
  <c r="A48" i="8"/>
  <c r="L49" i="8"/>
  <c r="C49" i="8" s="1"/>
  <c r="I49" i="8"/>
  <c r="B120" i="8"/>
  <c r="G119" i="8"/>
  <c r="F119" i="8"/>
  <c r="E119" i="8"/>
  <c r="G117" i="9" l="1"/>
  <c r="F117" i="9"/>
  <c r="E117" i="9"/>
  <c r="B118" i="9"/>
  <c r="M53" i="8"/>
  <c r="N53" i="8"/>
  <c r="H49" i="8"/>
  <c r="J49" i="8" s="1"/>
  <c r="E120" i="8"/>
  <c r="G120" i="8"/>
  <c r="F120" i="8"/>
  <c r="B121" i="8"/>
  <c r="E118" i="9" l="1"/>
  <c r="F118" i="9"/>
  <c r="B119" i="9"/>
  <c r="G118" i="9"/>
  <c r="K49" i="8"/>
  <c r="O49" i="8" s="1"/>
  <c r="P49" i="8" s="1"/>
  <c r="D49" i="8" a="1"/>
  <c r="D49" i="8" s="1"/>
  <c r="B122" i="8"/>
  <c r="G121" i="8"/>
  <c r="F121" i="8"/>
  <c r="E121" i="8"/>
  <c r="B120" i="9" l="1"/>
  <c r="E119" i="9"/>
  <c r="G119" i="9"/>
  <c r="F119" i="9"/>
  <c r="A49" i="8"/>
  <c r="L50" i="8"/>
  <c r="H50" i="8" s="1"/>
  <c r="I50" i="8"/>
  <c r="E122" i="8"/>
  <c r="G122" i="8"/>
  <c r="F122" i="8"/>
  <c r="B123" i="8"/>
  <c r="E120" i="9" l="1"/>
  <c r="F120" i="9"/>
  <c r="G120" i="9"/>
  <c r="B121" i="9"/>
  <c r="J50" i="8"/>
  <c r="N54" i="8"/>
  <c r="M54" i="8"/>
  <c r="C50" i="8"/>
  <c r="K50" i="8" s="1"/>
  <c r="O50" i="8" s="1"/>
  <c r="P50" i="8" s="1"/>
  <c r="B124" i="8"/>
  <c r="G123" i="8"/>
  <c r="F123" i="8"/>
  <c r="E123" i="8"/>
  <c r="G121" i="9" l="1"/>
  <c r="E121" i="9"/>
  <c r="B122" i="9"/>
  <c r="F121" i="9"/>
  <c r="D50" i="8" a="1"/>
  <c r="D50" i="8" s="1"/>
  <c r="E124" i="8"/>
  <c r="G124" i="8"/>
  <c r="F124" i="8"/>
  <c r="B125" i="8"/>
  <c r="E122" i="9" l="1"/>
  <c r="G122" i="9"/>
  <c r="F122" i="9"/>
  <c r="B123" i="9"/>
  <c r="A50" i="8"/>
  <c r="I51" i="8"/>
  <c r="L51" i="8"/>
  <c r="H51" i="8" s="1"/>
  <c r="J51" i="8" s="1"/>
  <c r="B126" i="8"/>
  <c r="G125" i="8"/>
  <c r="F125" i="8"/>
  <c r="E125" i="8"/>
  <c r="F123" i="9" l="1"/>
  <c r="E123" i="9"/>
  <c r="B124" i="9"/>
  <c r="G123" i="9"/>
  <c r="C51" i="8"/>
  <c r="K51" i="8" s="1"/>
  <c r="N55" i="8"/>
  <c r="M55" i="8"/>
  <c r="E126" i="8"/>
  <c r="B127" i="8"/>
  <c r="F126" i="8"/>
  <c r="G126" i="8"/>
  <c r="E124" i="9" l="1"/>
  <c r="G124" i="9"/>
  <c r="B125" i="9"/>
  <c r="F124" i="9"/>
  <c r="O51" i="8"/>
  <c r="P51" i="8" s="1"/>
  <c r="D51" i="8" a="1"/>
  <c r="D51" i="8" s="1"/>
  <c r="B128" i="8"/>
  <c r="G127" i="8"/>
  <c r="F127" i="8"/>
  <c r="E127" i="8"/>
  <c r="F125" i="9" l="1"/>
  <c r="G125" i="9"/>
  <c r="E125" i="9"/>
  <c r="B126" i="9"/>
  <c r="A51" i="8"/>
  <c r="L52" i="8"/>
  <c r="H52" i="8" s="1"/>
  <c r="I52" i="8"/>
  <c r="E128" i="8"/>
  <c r="B129" i="8"/>
  <c r="G128" i="8"/>
  <c r="F128" i="8"/>
  <c r="E126" i="9" l="1"/>
  <c r="G126" i="9"/>
  <c r="B127" i="9"/>
  <c r="F126" i="9"/>
  <c r="C52" i="8"/>
  <c r="J52" i="8"/>
  <c r="K52" i="8" s="1"/>
  <c r="O52" i="8" s="1"/>
  <c r="P52" i="8" s="1"/>
  <c r="M56" i="8"/>
  <c r="N56" i="8"/>
  <c r="B130" i="8"/>
  <c r="G129" i="8"/>
  <c r="F129" i="8"/>
  <c r="E129" i="8"/>
  <c r="G127" i="9" l="1"/>
  <c r="F127" i="9"/>
  <c r="B128" i="9"/>
  <c r="E127" i="9"/>
  <c r="D52" i="8" a="1"/>
  <c r="D52" i="8" s="1"/>
  <c r="E130" i="8"/>
  <c r="G130" i="8"/>
  <c r="F130" i="8"/>
  <c r="B131" i="8"/>
  <c r="E128" i="9" l="1"/>
  <c r="G128" i="9"/>
  <c r="B129" i="9"/>
  <c r="F128" i="9"/>
  <c r="L53" i="8"/>
  <c r="A52" i="8"/>
  <c r="I53" i="8"/>
  <c r="H53" i="8"/>
  <c r="C53" i="8"/>
  <c r="B132" i="8"/>
  <c r="G131" i="8"/>
  <c r="F131" i="8"/>
  <c r="E131" i="8"/>
  <c r="E129" i="9" l="1"/>
  <c r="B130" i="9"/>
  <c r="G129" i="9"/>
  <c r="F129" i="9"/>
  <c r="J53" i="8"/>
  <c r="K53" i="8" s="1"/>
  <c r="O53" i="8" s="1"/>
  <c r="P53" i="8" s="1"/>
  <c r="N57" i="8"/>
  <c r="M57" i="8"/>
  <c r="E132" i="8"/>
  <c r="G132" i="8"/>
  <c r="F132" i="8"/>
  <c r="B133" i="8"/>
  <c r="E130" i="9" l="1"/>
  <c r="G130" i="9"/>
  <c r="B131" i="9"/>
  <c r="F130" i="9"/>
  <c r="D53" i="8" a="1"/>
  <c r="D53" i="8" s="1"/>
  <c r="A53" i="8" s="1"/>
  <c r="B134" i="8"/>
  <c r="G133" i="8"/>
  <c r="F133" i="8"/>
  <c r="E133" i="8"/>
  <c r="G131" i="9" l="1"/>
  <c r="E131" i="9"/>
  <c r="B132" i="9"/>
  <c r="F131" i="9"/>
  <c r="I54" i="8"/>
  <c r="L54" i="8"/>
  <c r="C54" i="8" s="1"/>
  <c r="M58" i="8"/>
  <c r="B135" i="8"/>
  <c r="G134" i="8"/>
  <c r="F134" i="8"/>
  <c r="E134" i="8"/>
  <c r="E132" i="9" l="1"/>
  <c r="G132" i="9"/>
  <c r="B133" i="9"/>
  <c r="F132" i="9"/>
  <c r="N58" i="8"/>
  <c r="H54" i="8"/>
  <c r="J54" i="8" s="1"/>
  <c r="B136" i="8"/>
  <c r="G135" i="8"/>
  <c r="F135" i="8"/>
  <c r="E135" i="8"/>
  <c r="G133" i="9" l="1"/>
  <c r="F133" i="9"/>
  <c r="E133" i="9"/>
  <c r="B134" i="9"/>
  <c r="K54" i="8"/>
  <c r="O54" i="8" s="1"/>
  <c r="P54" i="8" s="1"/>
  <c r="E136" i="8"/>
  <c r="G136" i="8"/>
  <c r="F136" i="8"/>
  <c r="B137" i="8"/>
  <c r="E134" i="9" l="1"/>
  <c r="G134" i="9"/>
  <c r="B135" i="9"/>
  <c r="F134" i="9"/>
  <c r="D54" i="8" a="1"/>
  <c r="D54" i="8" s="1"/>
  <c r="A54" i="8" s="1"/>
  <c r="L55" i="8"/>
  <c r="C55" i="8" s="1"/>
  <c r="I55" i="8"/>
  <c r="B138" i="8"/>
  <c r="G137" i="8"/>
  <c r="F137" i="8"/>
  <c r="E137" i="8"/>
  <c r="B136" i="9" l="1"/>
  <c r="F135" i="9"/>
  <c r="G135" i="9"/>
  <c r="E135" i="9"/>
  <c r="H55" i="8"/>
  <c r="J55" i="8" s="1"/>
  <c r="M59" i="8"/>
  <c r="N59" i="8"/>
  <c r="E138" i="8"/>
  <c r="B139" i="8"/>
  <c r="G138" i="8"/>
  <c r="F138" i="8"/>
  <c r="E136" i="9" l="1"/>
  <c r="G136" i="9"/>
  <c r="B137" i="9"/>
  <c r="F136" i="9"/>
  <c r="K55" i="8"/>
  <c r="O55" i="8" s="1"/>
  <c r="P55" i="8" s="1"/>
  <c r="B140" i="8"/>
  <c r="G139" i="8"/>
  <c r="F139" i="8"/>
  <c r="E139" i="8"/>
  <c r="G137" i="9" l="1"/>
  <c r="F137" i="9"/>
  <c r="B138" i="9"/>
  <c r="E137" i="9"/>
  <c r="D55" i="8" a="1"/>
  <c r="D55" i="8" s="1"/>
  <c r="I56" i="8"/>
  <c r="L56" i="8"/>
  <c r="A55" i="8"/>
  <c r="H56" i="8"/>
  <c r="J56" i="8" s="1"/>
  <c r="E140" i="8"/>
  <c r="G140" i="8"/>
  <c r="F140" i="8"/>
  <c r="B141" i="8"/>
  <c r="E138" i="9" l="1"/>
  <c r="G138" i="9"/>
  <c r="B139" i="9"/>
  <c r="F138" i="9"/>
  <c r="C56" i="8"/>
  <c r="K56" i="8" s="1"/>
  <c r="O56" i="8" s="1"/>
  <c r="P56" i="8" s="1"/>
  <c r="N60" i="8"/>
  <c r="M60" i="8"/>
  <c r="B142" i="8"/>
  <c r="G141" i="8"/>
  <c r="F141" i="8"/>
  <c r="E141" i="8"/>
  <c r="G139" i="9" l="1"/>
  <c r="F139" i="9"/>
  <c r="E139" i="9"/>
  <c r="B140" i="9"/>
  <c r="D56" i="8" a="1"/>
  <c r="D56" i="8" s="1"/>
  <c r="E142" i="8"/>
  <c r="G142" i="8"/>
  <c r="F142" i="8"/>
  <c r="B143" i="8"/>
  <c r="E140" i="9" l="1"/>
  <c r="G140" i="9"/>
  <c r="B141" i="9"/>
  <c r="F140" i="9"/>
  <c r="I57" i="8"/>
  <c r="A56" i="8"/>
  <c r="L57" i="8"/>
  <c r="B144" i="8"/>
  <c r="G143" i="8"/>
  <c r="F143" i="8"/>
  <c r="E143" i="8"/>
  <c r="B142" i="9" l="1"/>
  <c r="E141" i="9"/>
  <c r="G141" i="9"/>
  <c r="F141" i="9"/>
  <c r="N61" i="8"/>
  <c r="M61" i="8"/>
  <c r="C57" i="8"/>
  <c r="H57" i="8"/>
  <c r="J57" i="8" s="1"/>
  <c r="E144" i="8"/>
  <c r="B145" i="8"/>
  <c r="G144" i="8"/>
  <c r="F144" i="8"/>
  <c r="B143" i="9" l="1"/>
  <c r="G142" i="9"/>
  <c r="F142" i="9"/>
  <c r="E142" i="9"/>
  <c r="K57" i="8"/>
  <c r="B146" i="8"/>
  <c r="G145" i="8"/>
  <c r="F145" i="8"/>
  <c r="E145" i="8"/>
  <c r="B144" i="9" l="1"/>
  <c r="G143" i="9"/>
  <c r="E143" i="9"/>
  <c r="F143" i="9"/>
  <c r="O57" i="8"/>
  <c r="P57" i="8" s="1"/>
  <c r="D57" i="8" a="1"/>
  <c r="D57" i="8" s="1"/>
  <c r="E146" i="8"/>
  <c r="G146" i="8"/>
  <c r="F146" i="8"/>
  <c r="B147" i="8"/>
  <c r="B145" i="9" l="1"/>
  <c r="G144" i="9"/>
  <c r="F144" i="9"/>
  <c r="E144" i="9"/>
  <c r="I58" i="8"/>
  <c r="A57" i="8"/>
  <c r="L58" i="8"/>
  <c r="B148" i="8"/>
  <c r="G147" i="8"/>
  <c r="F147" i="8"/>
  <c r="E147" i="8"/>
  <c r="B146" i="9" l="1"/>
  <c r="G145" i="9"/>
  <c r="E145" i="9"/>
  <c r="F145" i="9"/>
  <c r="M62" i="8"/>
  <c r="N62" i="8"/>
  <c r="H58" i="8"/>
  <c r="J58" i="8" s="1"/>
  <c r="C58" i="8"/>
  <c r="E148" i="8"/>
  <c r="G148" i="8"/>
  <c r="F148" i="8"/>
  <c r="B149" i="8"/>
  <c r="B147" i="9" l="1"/>
  <c r="G146" i="9"/>
  <c r="F146" i="9"/>
  <c r="E146" i="9"/>
  <c r="K58" i="8"/>
  <c r="O58" i="8" s="1"/>
  <c r="P58" i="8" s="1"/>
  <c r="D58" i="8" a="1"/>
  <c r="D58" i="8" s="1"/>
  <c r="B150" i="8"/>
  <c r="G149" i="8"/>
  <c r="F149" i="8"/>
  <c r="E149" i="8"/>
  <c r="B148" i="9" l="1"/>
  <c r="G147" i="9"/>
  <c r="F147" i="9"/>
  <c r="E147" i="9"/>
  <c r="L59" i="8"/>
  <c r="C59" i="8" s="1"/>
  <c r="A58" i="8"/>
  <c r="I59" i="8"/>
  <c r="E150" i="8"/>
  <c r="G150" i="8"/>
  <c r="F150" i="8"/>
  <c r="B151" i="8"/>
  <c r="B149" i="9" l="1"/>
  <c r="F148" i="9"/>
  <c r="E148" i="9"/>
  <c r="G148" i="9"/>
  <c r="H59" i="8"/>
  <c r="J59" i="8" s="1"/>
  <c r="M63" i="8"/>
  <c r="N63" i="8"/>
  <c r="B152" i="8"/>
  <c r="G151" i="8"/>
  <c r="F151" i="8"/>
  <c r="E151" i="8"/>
  <c r="B150" i="9" l="1"/>
  <c r="G149" i="9"/>
  <c r="F149" i="9"/>
  <c r="E149" i="9"/>
  <c r="K59" i="8"/>
  <c r="O59" i="8" s="1"/>
  <c r="P59" i="8" s="1"/>
  <c r="E152" i="8"/>
  <c r="B153" i="8"/>
  <c r="G152" i="8"/>
  <c r="F152" i="8"/>
  <c r="B151" i="9" l="1"/>
  <c r="G150" i="9"/>
  <c r="F150" i="9"/>
  <c r="E150" i="9"/>
  <c r="D59" i="8" a="1"/>
  <c r="D59" i="8" s="1"/>
  <c r="B154" i="8"/>
  <c r="G153" i="8"/>
  <c r="F153" i="8"/>
  <c r="E153" i="8"/>
  <c r="B152" i="9" l="1"/>
  <c r="G151" i="9"/>
  <c r="F151" i="9"/>
  <c r="E151" i="9"/>
  <c r="I60" i="8"/>
  <c r="L60" i="8"/>
  <c r="C60" i="8" s="1"/>
  <c r="A59" i="8"/>
  <c r="E154" i="8"/>
  <c r="B155" i="8"/>
  <c r="G154" i="8"/>
  <c r="F154" i="8"/>
  <c r="B153" i="9" l="1"/>
  <c r="F152" i="9"/>
  <c r="G152" i="9"/>
  <c r="E152" i="9"/>
  <c r="H60" i="8"/>
  <c r="J60" i="8" s="1"/>
  <c r="N64" i="8"/>
  <c r="M64" i="8"/>
  <c r="B156" i="8"/>
  <c r="G155" i="8"/>
  <c r="F155" i="8"/>
  <c r="E155" i="8"/>
  <c r="B154" i="9" l="1"/>
  <c r="G153" i="9"/>
  <c r="F153" i="9"/>
  <c r="E153" i="9"/>
  <c r="K60" i="8"/>
  <c r="O60" i="8" s="1"/>
  <c r="P60" i="8" s="1"/>
  <c r="E156" i="8"/>
  <c r="B157" i="8"/>
  <c r="G156" i="8"/>
  <c r="F156" i="8"/>
  <c r="B155" i="9" l="1"/>
  <c r="G154" i="9"/>
  <c r="F154" i="9"/>
  <c r="E154" i="9"/>
  <c r="D60" i="8" a="1"/>
  <c r="D60" i="8" s="1"/>
  <c r="B158" i="8"/>
  <c r="G157" i="8"/>
  <c r="F157" i="8"/>
  <c r="E157" i="8"/>
  <c r="B156" i="9" l="1"/>
  <c r="G155" i="9"/>
  <c r="F155" i="9"/>
  <c r="E155" i="9"/>
  <c r="A60" i="8"/>
  <c r="I61" i="8"/>
  <c r="L61" i="8"/>
  <c r="E158" i="8"/>
  <c r="G158" i="8"/>
  <c r="F158" i="8"/>
  <c r="B159" i="8"/>
  <c r="B157" i="9" l="1"/>
  <c r="F156" i="9"/>
  <c r="G156" i="9"/>
  <c r="E156" i="9"/>
  <c r="H61" i="8"/>
  <c r="J61" i="8" s="1"/>
  <c r="M65" i="8"/>
  <c r="N65" i="8"/>
  <c r="C61" i="8"/>
  <c r="B160" i="8"/>
  <c r="G159" i="8"/>
  <c r="F159" i="8"/>
  <c r="E159" i="8"/>
  <c r="B158" i="9" l="1"/>
  <c r="G157" i="9"/>
  <c r="F157" i="9"/>
  <c r="E157" i="9"/>
  <c r="K61" i="8"/>
  <c r="O61" i="8" s="1"/>
  <c r="P61" i="8" s="1"/>
  <c r="D61" i="8" a="1"/>
  <c r="D61" i="8" s="1"/>
  <c r="E160" i="8"/>
  <c r="G160" i="8"/>
  <c r="F160" i="8"/>
  <c r="B161" i="8"/>
  <c r="B159" i="9" l="1"/>
  <c r="F158" i="9"/>
  <c r="G158" i="9"/>
  <c r="E158" i="9"/>
  <c r="A61" i="8"/>
  <c r="L62" i="8"/>
  <c r="I62" i="8"/>
  <c r="H62" i="8"/>
  <c r="B162" i="8"/>
  <c r="G161" i="8"/>
  <c r="F161" i="8"/>
  <c r="E161" i="8"/>
  <c r="B160" i="9" l="1"/>
  <c r="G159" i="9"/>
  <c r="F159" i="9"/>
  <c r="E159" i="9"/>
  <c r="J62" i="8"/>
  <c r="C62" i="8"/>
  <c r="M66" i="8"/>
  <c r="N66" i="8"/>
  <c r="E162" i="8"/>
  <c r="G162" i="8"/>
  <c r="F162" i="8"/>
  <c r="B163" i="8"/>
  <c r="B161" i="9" l="1"/>
  <c r="F160" i="9"/>
  <c r="G160" i="9"/>
  <c r="E160" i="9"/>
  <c r="K62" i="8"/>
  <c r="O62" i="8" s="1"/>
  <c r="P62" i="8" s="1"/>
  <c r="D62" i="8" a="1"/>
  <c r="D62" i="8" s="1"/>
  <c r="B164" i="8"/>
  <c r="G163" i="8"/>
  <c r="F163" i="8"/>
  <c r="E163" i="8"/>
  <c r="G161" i="9" l="1"/>
  <c r="B162" i="9"/>
  <c r="F161" i="9"/>
  <c r="E161" i="9"/>
  <c r="I63" i="8"/>
  <c r="A62" i="8"/>
  <c r="L63" i="8"/>
  <c r="C63" i="8" s="1"/>
  <c r="E164" i="8"/>
  <c r="G164" i="8"/>
  <c r="F164" i="8"/>
  <c r="B165" i="8"/>
  <c r="E162" i="9" l="1"/>
  <c r="B163" i="9"/>
  <c r="G162" i="9"/>
  <c r="F162" i="9"/>
  <c r="H63" i="8"/>
  <c r="J63" i="8" s="1"/>
  <c r="N67" i="8"/>
  <c r="M67" i="8"/>
  <c r="B166" i="8"/>
  <c r="G165" i="8"/>
  <c r="F165" i="8"/>
  <c r="E165" i="8"/>
  <c r="G163" i="9" l="1"/>
  <c r="B164" i="9"/>
  <c r="F163" i="9"/>
  <c r="E163" i="9"/>
  <c r="K63" i="8"/>
  <c r="O63" i="8" s="1"/>
  <c r="P63" i="8" s="1"/>
  <c r="E166" i="8"/>
  <c r="B167" i="8"/>
  <c r="G166" i="8"/>
  <c r="F166" i="8"/>
  <c r="E164" i="9" l="1"/>
  <c r="B165" i="9"/>
  <c r="G164" i="9"/>
  <c r="F164" i="9"/>
  <c r="D63" i="8" a="1"/>
  <c r="D63" i="8" s="1"/>
  <c r="B168" i="8"/>
  <c r="G167" i="8"/>
  <c r="F167" i="8"/>
  <c r="E167" i="8"/>
  <c r="B166" i="9" l="1"/>
  <c r="E165" i="9"/>
  <c r="F165" i="9"/>
  <c r="G165" i="9"/>
  <c r="L64" i="8"/>
  <c r="C64" i="8" s="1"/>
  <c r="I64" i="8"/>
  <c r="A63" i="8"/>
  <c r="H64" i="8"/>
  <c r="J64" i="8" s="1"/>
  <c r="B169" i="8"/>
  <c r="E168" i="8"/>
  <c r="G168" i="8"/>
  <c r="F168" i="8"/>
  <c r="F166" i="9" l="1"/>
  <c r="E166" i="9"/>
  <c r="B167" i="9"/>
  <c r="G166" i="9"/>
  <c r="K64" i="8"/>
  <c r="O64" i="8" s="1"/>
  <c r="P64" i="8" s="1"/>
  <c r="N68" i="8"/>
  <c r="M68" i="8"/>
  <c r="E169" i="8"/>
  <c r="B170" i="8"/>
  <c r="G169" i="8"/>
  <c r="F169" i="8"/>
  <c r="G167" i="9" l="1"/>
  <c r="F167" i="9"/>
  <c r="E167" i="9"/>
  <c r="B168" i="9"/>
  <c r="D64" i="8" a="1"/>
  <c r="D64" i="8" s="1"/>
  <c r="G170" i="8"/>
  <c r="B171" i="8"/>
  <c r="F170" i="8"/>
  <c r="E170" i="8"/>
  <c r="F168" i="9" l="1"/>
  <c r="E168" i="9"/>
  <c r="B169" i="9"/>
  <c r="G168" i="9"/>
  <c r="A64" i="8"/>
  <c r="L65" i="8"/>
  <c r="I65" i="8"/>
  <c r="E171" i="8"/>
  <c r="B172" i="8"/>
  <c r="G171" i="8"/>
  <c r="F171" i="8"/>
  <c r="G169" i="9" l="1"/>
  <c r="F169" i="9"/>
  <c r="E169" i="9"/>
  <c r="B170" i="9"/>
  <c r="C65" i="8"/>
  <c r="N69" i="8"/>
  <c r="M69" i="8"/>
  <c r="H65" i="8"/>
  <c r="J65" i="8" s="1"/>
  <c r="G172" i="8"/>
  <c r="B173" i="8"/>
  <c r="F172" i="8"/>
  <c r="E172" i="8"/>
  <c r="F170" i="9" l="1"/>
  <c r="E170" i="9"/>
  <c r="B171" i="9"/>
  <c r="G170" i="9"/>
  <c r="K65" i="8"/>
  <c r="E173" i="8"/>
  <c r="F173" i="8"/>
  <c r="B174" i="8"/>
  <c r="G173" i="8"/>
  <c r="E171" i="9" l="1"/>
  <c r="B172" i="9"/>
  <c r="G171" i="9"/>
  <c r="F171" i="9"/>
  <c r="O65" i="8"/>
  <c r="P65" i="8" s="1"/>
  <c r="D65" i="8" a="1"/>
  <c r="D65" i="8" s="1"/>
  <c r="G174" i="8"/>
  <c r="B175" i="8"/>
  <c r="F174" i="8"/>
  <c r="E174" i="8"/>
  <c r="F172" i="9" l="1"/>
  <c r="E172" i="9"/>
  <c r="B173" i="9"/>
  <c r="G172" i="9"/>
  <c r="I66" i="8"/>
  <c r="A65" i="8"/>
  <c r="L66" i="8"/>
  <c r="E175" i="8"/>
  <c r="G175" i="8"/>
  <c r="F175" i="8"/>
  <c r="B176" i="8"/>
  <c r="F173" i="9" l="1"/>
  <c r="B174" i="9"/>
  <c r="G173" i="9"/>
  <c r="E173" i="9"/>
  <c r="N70" i="8"/>
  <c r="M70" i="8"/>
  <c r="C66" i="8"/>
  <c r="H66" i="8"/>
  <c r="J66" i="8" s="1"/>
  <c r="G176" i="8"/>
  <c r="E176" i="8"/>
  <c r="B177" i="8"/>
  <c r="F176" i="8"/>
  <c r="F174" i="9" l="1"/>
  <c r="E174" i="9"/>
  <c r="B175" i="9"/>
  <c r="G174" i="9"/>
  <c r="K66" i="8"/>
  <c r="O66" i="8" s="1"/>
  <c r="P66" i="8" s="1"/>
  <c r="E177" i="8"/>
  <c r="G177" i="8"/>
  <c r="F177" i="8"/>
  <c r="B178" i="8"/>
  <c r="G175" i="9" l="1"/>
  <c r="F175" i="9"/>
  <c r="E175" i="9"/>
  <c r="B176" i="9"/>
  <c r="D66" i="8" a="1"/>
  <c r="D66" i="8" s="1"/>
  <c r="G178" i="8"/>
  <c r="F178" i="8"/>
  <c r="E178" i="8"/>
  <c r="B179" i="8"/>
  <c r="F176" i="9" l="1"/>
  <c r="E176" i="9"/>
  <c r="B177" i="9"/>
  <c r="G176" i="9"/>
  <c r="I67" i="8"/>
  <c r="A66" i="8"/>
  <c r="L67" i="8"/>
  <c r="H67" i="8"/>
  <c r="J67" i="8" s="1"/>
  <c r="C67" i="8"/>
  <c r="E179" i="8"/>
  <c r="G179" i="8"/>
  <c r="F179" i="8"/>
  <c r="B180" i="8"/>
  <c r="G177" i="9" l="1"/>
  <c r="F177" i="9"/>
  <c r="E177" i="9"/>
  <c r="B178" i="9"/>
  <c r="K67" i="8"/>
  <c r="O67" i="8" s="1"/>
  <c r="P67" i="8" s="1"/>
  <c r="M71" i="8"/>
  <c r="N71" i="8"/>
  <c r="G180" i="8"/>
  <c r="F180" i="8"/>
  <c r="E180" i="8"/>
  <c r="B181" i="8"/>
  <c r="F178" i="9" l="1"/>
  <c r="E178" i="9"/>
  <c r="B179" i="9"/>
  <c r="G178" i="9"/>
  <c r="D67" i="8" a="1"/>
  <c r="D67" i="8" s="1"/>
  <c r="E181" i="8"/>
  <c r="G181" i="8"/>
  <c r="F181" i="8"/>
  <c r="B182" i="8"/>
  <c r="G179" i="9" l="1"/>
  <c r="F179" i="9"/>
  <c r="E179" i="9"/>
  <c r="B180" i="9"/>
  <c r="A67" i="8"/>
  <c r="I68" i="8"/>
  <c r="L68" i="8"/>
  <c r="C68" i="8" s="1"/>
  <c r="G182" i="8"/>
  <c r="F182" i="8"/>
  <c r="E182" i="8"/>
  <c r="B183" i="8"/>
  <c r="F180" i="9" l="1"/>
  <c r="E180" i="9"/>
  <c r="B181" i="9"/>
  <c r="G180" i="9"/>
  <c r="H68" i="8"/>
  <c r="J68" i="8" s="1"/>
  <c r="N72" i="8"/>
  <c r="M72" i="8"/>
  <c r="E183" i="8"/>
  <c r="G183" i="8"/>
  <c r="F183" i="8"/>
  <c r="B184" i="8"/>
  <c r="B182" i="9" l="1"/>
  <c r="E181" i="9"/>
  <c r="G181" i="9"/>
  <c r="F181" i="9"/>
  <c r="K68" i="8"/>
  <c r="O68" i="8" s="1"/>
  <c r="P68" i="8" s="1"/>
  <c r="G184" i="8"/>
  <c r="F184" i="8"/>
  <c r="E184" i="8"/>
  <c r="B185" i="8"/>
  <c r="F182" i="9" l="1"/>
  <c r="E182" i="9"/>
  <c r="B183" i="9"/>
  <c r="G182" i="9"/>
  <c r="D68" i="8" a="1"/>
  <c r="D68" i="8" s="1"/>
  <c r="E185" i="8"/>
  <c r="G185" i="8"/>
  <c r="F185" i="8"/>
  <c r="B186" i="8"/>
  <c r="G183" i="9" l="1"/>
  <c r="B184" i="9"/>
  <c r="F183" i="9"/>
  <c r="E183" i="9"/>
  <c r="A68" i="8"/>
  <c r="I69" i="8"/>
  <c r="L69" i="8"/>
  <c r="C69" i="8" s="1"/>
  <c r="K69" i="8" s="1"/>
  <c r="O69" i="8" s="1"/>
  <c r="P69" i="8" s="1"/>
  <c r="H69" i="8"/>
  <c r="J69" i="8" s="1"/>
  <c r="D69" i="8" s="1" a="1"/>
  <c r="D69" i="8" s="1"/>
  <c r="G186" i="8"/>
  <c r="F186" i="8"/>
  <c r="E186" i="8"/>
  <c r="B187" i="8"/>
  <c r="F184" i="9" l="1"/>
  <c r="E184" i="9"/>
  <c r="G184" i="9"/>
  <c r="B185" i="9"/>
  <c r="L70" i="8"/>
  <c r="C70" i="8" s="1"/>
  <c r="K70" i="8" s="1"/>
  <c r="O70" i="8" s="1"/>
  <c r="P70" i="8" s="1"/>
  <c r="A69" i="8"/>
  <c r="I70" i="8"/>
  <c r="H70" i="8"/>
  <c r="J70" i="8" s="1"/>
  <c r="N73" i="8"/>
  <c r="M73" i="8"/>
  <c r="E187" i="8"/>
  <c r="G187" i="8"/>
  <c r="F187" i="8"/>
  <c r="B188" i="8"/>
  <c r="G185" i="9" l="1"/>
  <c r="F185" i="9"/>
  <c r="E185" i="9"/>
  <c r="B186" i="9"/>
  <c r="N74" i="8"/>
  <c r="M74" i="8"/>
  <c r="D70" i="8" a="1"/>
  <c r="D70" i="8" s="1"/>
  <c r="G188" i="8"/>
  <c r="F188" i="8"/>
  <c r="E188" i="8"/>
  <c r="B189" i="8"/>
  <c r="F186" i="9" l="1"/>
  <c r="E186" i="9"/>
  <c r="B187" i="9"/>
  <c r="G186" i="9"/>
  <c r="I71" i="8"/>
  <c r="L71" i="8"/>
  <c r="C71" i="8" s="1"/>
  <c r="A70" i="8"/>
  <c r="E189" i="8"/>
  <c r="G189" i="8"/>
  <c r="F189" i="8"/>
  <c r="B190" i="8"/>
  <c r="G187" i="9" l="1"/>
  <c r="F187" i="9"/>
  <c r="E187" i="9"/>
  <c r="B188" i="9"/>
  <c r="H71" i="8"/>
  <c r="J71" i="8" s="1"/>
  <c r="N75" i="8"/>
  <c r="M75" i="8"/>
  <c r="G190" i="8"/>
  <c r="F190" i="8"/>
  <c r="E190" i="8"/>
  <c r="B191" i="8"/>
  <c r="F188" i="9" l="1"/>
  <c r="E188" i="9"/>
  <c r="B189" i="9"/>
  <c r="G188" i="9"/>
  <c r="K71" i="8"/>
  <c r="O71" i="8" s="1"/>
  <c r="P71" i="8" s="1"/>
  <c r="E191" i="8"/>
  <c r="G191" i="8"/>
  <c r="F191" i="8"/>
  <c r="B192" i="8"/>
  <c r="F189" i="9" l="1"/>
  <c r="E189" i="9"/>
  <c r="B190" i="9"/>
  <c r="G189" i="9"/>
  <c r="D71" i="8" a="1"/>
  <c r="D71" i="8" s="1"/>
  <c r="G192" i="8"/>
  <c r="F192" i="8"/>
  <c r="E192" i="8"/>
  <c r="B193" i="8"/>
  <c r="F190" i="9" l="1"/>
  <c r="E190" i="9"/>
  <c r="B191" i="9"/>
  <c r="G190" i="9"/>
  <c r="A71" i="8"/>
  <c r="L72" i="8"/>
  <c r="I72" i="8"/>
  <c r="H72" i="8"/>
  <c r="J72" i="8" s="1"/>
  <c r="E193" i="8"/>
  <c r="B194" i="8"/>
  <c r="G193" i="8"/>
  <c r="F193" i="8"/>
  <c r="B192" i="9" l="1"/>
  <c r="G191" i="9"/>
  <c r="F191" i="9"/>
  <c r="E191" i="9"/>
  <c r="C72" i="8"/>
  <c r="K72" i="8" s="1"/>
  <c r="O72" i="8" s="1"/>
  <c r="P72" i="8" s="1"/>
  <c r="M76" i="8"/>
  <c r="N76" i="8"/>
  <c r="G194" i="8"/>
  <c r="B195" i="8"/>
  <c r="F194" i="8"/>
  <c r="E194" i="8"/>
  <c r="F192" i="9" l="1"/>
  <c r="E192" i="9"/>
  <c r="B193" i="9"/>
  <c r="G192" i="9"/>
  <c r="D72" i="8" a="1"/>
  <c r="D72" i="8" s="1"/>
  <c r="E195" i="8"/>
  <c r="G195" i="8"/>
  <c r="F195" i="8"/>
  <c r="B196" i="8"/>
  <c r="G193" i="9" l="1"/>
  <c r="F193" i="9"/>
  <c r="B194" i="9"/>
  <c r="E193" i="9"/>
  <c r="A72" i="8"/>
  <c r="I73" i="8"/>
  <c r="L73" i="8"/>
  <c r="H73" i="8" s="1"/>
  <c r="J73" i="8" s="1"/>
  <c r="B197" i="8"/>
  <c r="G196" i="8"/>
  <c r="F196" i="8"/>
  <c r="E196" i="8"/>
  <c r="F194" i="9" l="1"/>
  <c r="E194" i="9"/>
  <c r="B195" i="9"/>
  <c r="G194" i="9"/>
  <c r="C73" i="8"/>
  <c r="K73" i="8" s="1"/>
  <c r="O73" i="8" s="1"/>
  <c r="P73" i="8" s="1"/>
  <c r="M77" i="8"/>
  <c r="N77" i="8"/>
  <c r="E197" i="8"/>
  <c r="G197" i="8"/>
  <c r="F197" i="8"/>
  <c r="B198" i="8"/>
  <c r="G195" i="9" l="1"/>
  <c r="F195" i="9"/>
  <c r="E195" i="9"/>
  <c r="B196" i="9"/>
  <c r="D73" i="8" a="1"/>
  <c r="D73" i="8" s="1"/>
  <c r="B199" i="8"/>
  <c r="G198" i="8"/>
  <c r="F198" i="8"/>
  <c r="E198" i="8"/>
  <c r="F196" i="9" l="1"/>
  <c r="E196" i="9"/>
  <c r="B197" i="9"/>
  <c r="G196" i="9"/>
  <c r="A73" i="8"/>
  <c r="I74" i="8"/>
  <c r="L74" i="8"/>
  <c r="E199" i="8"/>
  <c r="B200" i="8"/>
  <c r="G199" i="8"/>
  <c r="F199" i="8"/>
  <c r="G197" i="9" l="1"/>
  <c r="F197" i="9"/>
  <c r="E197" i="9"/>
  <c r="B198" i="9"/>
  <c r="H74" i="8"/>
  <c r="J74" i="8" s="1"/>
  <c r="M78" i="8"/>
  <c r="N78" i="8"/>
  <c r="C74" i="8"/>
  <c r="B201" i="8"/>
  <c r="G200" i="8"/>
  <c r="E200" i="8"/>
  <c r="F200" i="8"/>
  <c r="F198" i="9" l="1"/>
  <c r="E198" i="9"/>
  <c r="B199" i="9"/>
  <c r="G198" i="9"/>
  <c r="K74" i="8"/>
  <c r="O74" i="8" s="1"/>
  <c r="P74" i="8" s="1"/>
  <c r="D74" i="8" a="1"/>
  <c r="D74" i="8" s="1"/>
  <c r="E201" i="8"/>
  <c r="G201" i="8"/>
  <c r="F201" i="8"/>
  <c r="B202" i="8"/>
  <c r="E199" i="9" l="1"/>
  <c r="B200" i="9"/>
  <c r="F199" i="9"/>
  <c r="G199" i="9"/>
  <c r="A74" i="8"/>
  <c r="I75" i="8"/>
  <c r="L75" i="8"/>
  <c r="C75" i="8" s="1"/>
  <c r="H75" i="8"/>
  <c r="J75" i="8" s="1"/>
  <c r="B203" i="8"/>
  <c r="G202" i="8"/>
  <c r="F202" i="8"/>
  <c r="E202" i="8"/>
  <c r="F200" i="9" l="1"/>
  <c r="E200" i="9"/>
  <c r="B201" i="9"/>
  <c r="G200" i="9"/>
  <c r="K75" i="8"/>
  <c r="O75" i="8" s="1"/>
  <c r="P75" i="8" s="1"/>
  <c r="N79" i="8"/>
  <c r="M79" i="8"/>
  <c r="E203" i="8"/>
  <c r="G203" i="8"/>
  <c r="F203" i="8"/>
  <c r="B204" i="8"/>
  <c r="G201" i="9" l="1"/>
  <c r="F201" i="9"/>
  <c r="E201" i="9"/>
  <c r="B202" i="9"/>
  <c r="D75" i="8" a="1"/>
  <c r="D75" i="8" s="1"/>
  <c r="B205" i="8"/>
  <c r="G204" i="8"/>
  <c r="F204" i="8"/>
  <c r="E204" i="8"/>
  <c r="F202" i="9" l="1"/>
  <c r="E202" i="9"/>
  <c r="B203" i="9"/>
  <c r="G202" i="9"/>
  <c r="A75" i="8"/>
  <c r="I76" i="8"/>
  <c r="L76" i="8"/>
  <c r="H76" i="8"/>
  <c r="J76" i="8" s="1"/>
  <c r="E205" i="8"/>
  <c r="F205" i="8"/>
  <c r="B206" i="8"/>
  <c r="G205" i="8"/>
  <c r="G203" i="9" l="1"/>
  <c r="F203" i="9"/>
  <c r="E203" i="9"/>
  <c r="B204" i="9"/>
  <c r="N80" i="8"/>
  <c r="M80" i="8"/>
  <c r="C76" i="8"/>
  <c r="K76" i="8" s="1"/>
  <c r="O76" i="8" s="1"/>
  <c r="P76" i="8" s="1"/>
  <c r="B207" i="8"/>
  <c r="G206" i="8"/>
  <c r="F206" i="8"/>
  <c r="E206" i="8"/>
  <c r="F204" i="9" l="1"/>
  <c r="E204" i="9"/>
  <c r="G204" i="9"/>
  <c r="B205" i="9"/>
  <c r="D76" i="8" a="1"/>
  <c r="D76" i="8" s="1"/>
  <c r="F207" i="8"/>
  <c r="E207" i="8"/>
  <c r="G207" i="8"/>
  <c r="B208" i="8"/>
  <c r="G205" i="9" l="1"/>
  <c r="F205" i="9"/>
  <c r="E205" i="9"/>
  <c r="B206" i="9"/>
  <c r="A76" i="8"/>
  <c r="I77" i="8"/>
  <c r="L77" i="8"/>
  <c r="B209" i="8"/>
  <c r="G208" i="8"/>
  <c r="F208" i="8"/>
  <c r="E208" i="8"/>
  <c r="F206" i="9" l="1"/>
  <c r="E206" i="9"/>
  <c r="B207" i="9"/>
  <c r="G206" i="9"/>
  <c r="C77" i="8"/>
  <c r="M81" i="8"/>
  <c r="N81" i="8"/>
  <c r="H77" i="8"/>
  <c r="J77" i="8" s="1"/>
  <c r="F209" i="8"/>
  <c r="E209" i="8"/>
  <c r="B210" i="8"/>
  <c r="G209" i="8"/>
  <c r="G207" i="9" l="1"/>
  <c r="F207" i="9"/>
  <c r="E207" i="9"/>
  <c r="B208" i="9"/>
  <c r="K77" i="8"/>
  <c r="O77" i="8" s="1"/>
  <c r="P77" i="8" s="1"/>
  <c r="B211" i="8"/>
  <c r="G210" i="8"/>
  <c r="F210" i="8"/>
  <c r="E210" i="8"/>
  <c r="F208" i="9" l="1"/>
  <c r="E208" i="9"/>
  <c r="B209" i="9"/>
  <c r="G208" i="9"/>
  <c r="D77" i="8" a="1"/>
  <c r="D77" i="8" s="1"/>
  <c r="F211" i="8"/>
  <c r="E211" i="8"/>
  <c r="G211" i="8"/>
  <c r="B212" i="8"/>
  <c r="B210" i="9" l="1"/>
  <c r="G209" i="9"/>
  <c r="F209" i="9"/>
  <c r="E209" i="9"/>
  <c r="A77" i="8"/>
  <c r="L78" i="8"/>
  <c r="C78" i="8" s="1"/>
  <c r="I78" i="8"/>
  <c r="B213" i="8"/>
  <c r="G212" i="8"/>
  <c r="F212" i="8"/>
  <c r="E212" i="8"/>
  <c r="F210" i="9" l="1"/>
  <c r="E210" i="9"/>
  <c r="B211" i="9"/>
  <c r="G210" i="9"/>
  <c r="H78" i="8"/>
  <c r="J78" i="8" s="1"/>
  <c r="K78" i="8" s="1"/>
  <c r="O78" i="8" s="1"/>
  <c r="P78" i="8" s="1"/>
  <c r="N82" i="8"/>
  <c r="M82" i="8"/>
  <c r="F213" i="8"/>
  <c r="E213" i="8"/>
  <c r="B214" i="8"/>
  <c r="G213" i="8"/>
  <c r="B212" i="9" l="1"/>
  <c r="G211" i="9"/>
  <c r="F211" i="9"/>
  <c r="E211" i="9"/>
  <c r="D78" i="8" a="1"/>
  <c r="D78" i="8" s="1"/>
  <c r="B215" i="8"/>
  <c r="G214" i="8"/>
  <c r="F214" i="8"/>
  <c r="E214" i="8"/>
  <c r="F212" i="9" l="1"/>
  <c r="E212" i="9"/>
  <c r="B213" i="9"/>
  <c r="G212" i="9"/>
  <c r="I79" i="8"/>
  <c r="A78" i="8"/>
  <c r="L79" i="8"/>
  <c r="F215" i="8"/>
  <c r="E215" i="8"/>
  <c r="G215" i="8"/>
  <c r="B216" i="8"/>
  <c r="B214" i="9" l="1"/>
  <c r="F213" i="9"/>
  <c r="E213" i="9"/>
  <c r="G213" i="9"/>
  <c r="M83" i="8"/>
  <c r="N83" i="8"/>
  <c r="H79" i="8"/>
  <c r="J79" i="8" s="1"/>
  <c r="C79" i="8"/>
  <c r="B217" i="8"/>
  <c r="G216" i="8"/>
  <c r="F216" i="8"/>
  <c r="E216" i="8"/>
  <c r="F214" i="9" l="1"/>
  <c r="E214" i="9"/>
  <c r="B215" i="9"/>
  <c r="G214" i="9"/>
  <c r="K79" i="8"/>
  <c r="O79" i="8" s="1"/>
  <c r="P79" i="8" s="1"/>
  <c r="F217" i="8"/>
  <c r="E217" i="8"/>
  <c r="B218" i="8"/>
  <c r="G217" i="8"/>
  <c r="B216" i="9" l="1"/>
  <c r="F215" i="9"/>
  <c r="E215" i="9"/>
  <c r="G215" i="9"/>
  <c r="D79" i="8" a="1"/>
  <c r="D79" i="8" s="1"/>
  <c r="B219" i="8"/>
  <c r="G218" i="8"/>
  <c r="F218" i="8"/>
  <c r="E218" i="8"/>
  <c r="F216" i="9" l="1"/>
  <c r="E216" i="9"/>
  <c r="B217" i="9"/>
  <c r="G216" i="9"/>
  <c r="A79" i="8"/>
  <c r="I80" i="8"/>
  <c r="L80" i="8"/>
  <c r="H80" i="8" s="1"/>
  <c r="J80" i="8" s="1"/>
  <c r="F219" i="8"/>
  <c r="E219" i="8"/>
  <c r="G219" i="8"/>
  <c r="B220" i="8"/>
  <c r="I218" i="9" l="1"/>
  <c r="B218" i="9"/>
  <c r="N84" i="8"/>
  <c r="M84" i="8"/>
  <c r="C80" i="8"/>
  <c r="K80" i="8" s="1"/>
  <c r="O80" i="8" s="1"/>
  <c r="P80" i="8" s="1"/>
  <c r="I221" i="8"/>
  <c r="J221" i="8" s="1"/>
  <c r="B221" i="8"/>
  <c r="K220" i="8"/>
  <c r="J218" i="9" l="1"/>
  <c r="L218" i="9"/>
  <c r="K218" i="9" s="1"/>
  <c r="O218" i="9" s="1"/>
  <c r="I219" i="9"/>
  <c r="B219" i="9"/>
  <c r="D80" i="8" a="1"/>
  <c r="D80" i="8" s="1"/>
  <c r="L221" i="8"/>
  <c r="K221" i="8"/>
  <c r="I222" i="8"/>
  <c r="J222" i="8" s="1"/>
  <c r="B222" i="8"/>
  <c r="J219" i="9" l="1"/>
  <c r="L219" i="9"/>
  <c r="K219" i="9" s="1"/>
  <c r="O219" i="9" s="1"/>
  <c r="I220" i="9"/>
  <c r="B220" i="9"/>
  <c r="N222" i="9"/>
  <c r="P222" i="9" s="1"/>
  <c r="M222" i="9"/>
  <c r="A80" i="8"/>
  <c r="I81" i="8"/>
  <c r="L81" i="8"/>
  <c r="H81" i="8"/>
  <c r="J81" i="8" s="1"/>
  <c r="L222" i="8"/>
  <c r="K222" i="8"/>
  <c r="I223" i="8"/>
  <c r="J223" i="8" s="1"/>
  <c r="B223" i="8"/>
  <c r="M225" i="8"/>
  <c r="N225" i="8"/>
  <c r="O225" i="8" s="1"/>
  <c r="P225" i="8" s="1"/>
  <c r="J220" i="9" l="1"/>
  <c r="M223" i="9"/>
  <c r="N223" i="9"/>
  <c r="P223" i="9" s="1"/>
  <c r="L220" i="9"/>
  <c r="K220" i="9" s="1"/>
  <c r="O220" i="9" s="1"/>
  <c r="I221" i="9"/>
  <c r="C81" i="8"/>
  <c r="N85" i="8"/>
  <c r="M85" i="8"/>
  <c r="K81" i="8"/>
  <c r="O81" i="8" s="1"/>
  <c r="P81" i="8" s="1"/>
  <c r="L223" i="8"/>
  <c r="K223" i="8"/>
  <c r="I224" i="8"/>
  <c r="J224" i="8" s="1"/>
  <c r="M226" i="8"/>
  <c r="N226" i="8"/>
  <c r="O226" i="8" s="1"/>
  <c r="P226" i="8" s="1"/>
  <c r="J221" i="9" l="1"/>
  <c r="O221" i="9"/>
  <c r="N224" i="9"/>
  <c r="M224" i="9"/>
  <c r="D81" i="8" a="1"/>
  <c r="D81" i="8" s="1"/>
  <c r="K224" i="8"/>
  <c r="N227" i="8"/>
  <c r="M227" i="8"/>
  <c r="A81" i="8" l="1"/>
  <c r="L82" i="8"/>
  <c r="I82" i="8"/>
  <c r="C82" i="8"/>
  <c r="O227" i="8"/>
  <c r="P224" i="9" l="1"/>
  <c r="H82" i="8"/>
  <c r="J82" i="8" s="1"/>
  <c r="N86" i="8"/>
  <c r="M86" i="8"/>
  <c r="P227" i="8"/>
  <c r="K82" i="8" l="1"/>
  <c r="O82" i="8" s="1"/>
  <c r="P82" i="8" s="1"/>
  <c r="D82" i="8" l="1" a="1"/>
  <c r="D82" i="8" s="1"/>
  <c r="A82" i="8" l="1"/>
  <c r="I83" i="8"/>
  <c r="L83" i="8"/>
  <c r="C83" i="8" l="1"/>
  <c r="N87" i="8"/>
  <c r="M87" i="8"/>
  <c r="H83" i="8"/>
  <c r="J83" i="8" s="1"/>
  <c r="D83" i="8" l="1" a="1"/>
  <c r="D83" i="8" s="1"/>
  <c r="K83" i="8"/>
  <c r="O83" i="8" s="1"/>
  <c r="P83" i="8" s="1"/>
  <c r="A83" i="8" l="1"/>
  <c r="L84" i="8"/>
  <c r="C84" i="8" s="1"/>
  <c r="I84" i="8"/>
  <c r="H84" i="8" l="1"/>
  <c r="J84" i="8" s="1"/>
  <c r="M88" i="8"/>
  <c r="N88" i="8"/>
  <c r="K84" i="8" l="1"/>
  <c r="O84" i="8" s="1"/>
  <c r="P84" i="8" s="1"/>
  <c r="D84" i="8" l="1" a="1"/>
  <c r="D84" i="8" s="1"/>
  <c r="A84" i="8" l="1"/>
  <c r="L85" i="8"/>
  <c r="I85" i="8"/>
  <c r="C85" i="8"/>
  <c r="H85" i="8"/>
  <c r="J85" i="8" s="1"/>
  <c r="K85" i="8" l="1"/>
  <c r="O85" i="8" s="1"/>
  <c r="P85" i="8" s="1"/>
  <c r="N89" i="8"/>
  <c r="M89" i="8"/>
  <c r="D85" i="8" l="1" a="1"/>
  <c r="D85" i="8" s="1"/>
  <c r="A85" i="8" l="1"/>
  <c r="I86" i="8"/>
  <c r="L86" i="8"/>
  <c r="C86" i="8" l="1"/>
  <c r="M90" i="8"/>
  <c r="N90" i="8"/>
  <c r="H86" i="8"/>
  <c r="J86" i="8" s="1"/>
  <c r="K86" i="8" l="1"/>
  <c r="O86" i="8" s="1"/>
  <c r="P86" i="8" s="1"/>
  <c r="D86" i="8" a="1"/>
  <c r="D86" i="8" s="1"/>
  <c r="A86" i="8" l="1"/>
  <c r="L87" i="8"/>
  <c r="C87" i="8" s="1"/>
  <c r="I87" i="8"/>
  <c r="H87" i="8"/>
  <c r="J87" i="8" s="1"/>
  <c r="K87" i="8" l="1"/>
  <c r="O87" i="8" s="1"/>
  <c r="P87" i="8" s="1"/>
  <c r="N91" i="8"/>
  <c r="M91" i="8"/>
  <c r="D87" i="8" l="1" a="1"/>
  <c r="D87" i="8" s="1"/>
  <c r="L88" i="8" l="1"/>
  <c r="I88" i="8"/>
  <c r="A87" i="8"/>
  <c r="H88" i="8"/>
  <c r="J88" i="8" s="1"/>
  <c r="C88" i="8" l="1"/>
  <c r="K88" i="8" s="1"/>
  <c r="O88" i="8" s="1"/>
  <c r="P88" i="8" s="1"/>
  <c r="M92" i="8"/>
  <c r="N92" i="8"/>
  <c r="D88" i="8" l="1" a="1"/>
  <c r="D88" i="8" s="1"/>
  <c r="L89" i="8" l="1"/>
  <c r="A88" i="8"/>
  <c r="I89" i="8"/>
  <c r="C89" i="8"/>
  <c r="H89" i="8" l="1"/>
  <c r="J89" i="8" s="1"/>
  <c r="M93" i="8"/>
  <c r="N93" i="8"/>
  <c r="K89" i="8" l="1"/>
  <c r="O89" i="8" s="1"/>
  <c r="P89" i="8" s="1"/>
  <c r="D89" i="8" l="1" a="1"/>
  <c r="D89" i="8" s="1"/>
  <c r="L90" i="8" l="1"/>
  <c r="C90" i="8" s="1"/>
  <c r="I90" i="8"/>
  <c r="A89" i="8"/>
  <c r="H90" i="8"/>
  <c r="J90" i="8" s="1"/>
  <c r="K90" i="8" l="1"/>
  <c r="O90" i="8" s="1"/>
  <c r="P90" i="8" s="1"/>
  <c r="M94" i="8"/>
  <c r="N94" i="8"/>
  <c r="D90" i="8" l="1" a="1"/>
  <c r="D90" i="8" s="1"/>
  <c r="L91" i="8" l="1"/>
  <c r="I91" i="8"/>
  <c r="A90" i="8"/>
  <c r="C91" i="8" l="1"/>
  <c r="H91" i="8"/>
  <c r="J91" i="8" s="1"/>
  <c r="N95" i="8"/>
  <c r="M95" i="8"/>
  <c r="K91" i="8" l="1"/>
  <c r="O91" i="8" s="1"/>
  <c r="P91" i="8" s="1"/>
  <c r="D91" i="8" l="1" a="1"/>
  <c r="D91" i="8" s="1"/>
  <c r="C92" i="8" l="1"/>
  <c r="L92" i="8"/>
  <c r="I92" i="8"/>
  <c r="A91" i="8"/>
  <c r="N96" i="8" l="1"/>
  <c r="M96" i="8"/>
  <c r="H92" i="8"/>
  <c r="J92" i="8" s="1"/>
  <c r="K92" i="8" l="1"/>
  <c r="O92" i="8" s="1"/>
  <c r="P92" i="8" s="1"/>
  <c r="D92" i="8" l="1" a="1"/>
  <c r="D92" i="8" s="1"/>
  <c r="L93" i="8" l="1"/>
  <c r="H93" i="8" s="1"/>
  <c r="J93" i="8" s="1"/>
  <c r="A92" i="8"/>
  <c r="I93" i="8"/>
  <c r="C93" i="8" l="1"/>
  <c r="K93" i="8" s="1"/>
  <c r="O93" i="8" s="1"/>
  <c r="P93" i="8" s="1"/>
  <c r="M97" i="8"/>
  <c r="N97" i="8"/>
  <c r="D93" i="8" l="1" a="1"/>
  <c r="D93" i="8" s="1"/>
  <c r="I94" i="8" l="1"/>
  <c r="H94" i="8"/>
  <c r="J94" i="8" s="1"/>
  <c r="D94" i="8" s="1" a="1"/>
  <c r="D94" i="8" s="1"/>
  <c r="L94" i="8"/>
  <c r="A93" i="8"/>
  <c r="C94" i="8"/>
  <c r="K94" i="8" s="1"/>
  <c r="O94" i="8" s="1"/>
  <c r="P94" i="8" s="1"/>
  <c r="L95" i="8" l="1"/>
  <c r="I95" i="8"/>
  <c r="A94" i="8"/>
  <c r="H95" i="8"/>
  <c r="J95" i="8" s="1"/>
  <c r="C95" i="8"/>
  <c r="K95" i="8" s="1"/>
  <c r="O95" i="8" s="1"/>
  <c r="P95" i="8" s="1"/>
  <c r="M98" i="8"/>
  <c r="N98" i="8"/>
  <c r="D95" i="8" a="1"/>
  <c r="D95" i="8" s="1"/>
  <c r="M99" i="8" l="1"/>
  <c r="N99" i="8"/>
  <c r="I96" i="8"/>
  <c r="A95" i="8"/>
  <c r="L96" i="8"/>
  <c r="N100" i="8" l="1"/>
  <c r="M100" i="8"/>
  <c r="H96" i="8"/>
  <c r="J96" i="8" s="1"/>
  <c r="C96" i="8"/>
  <c r="K96" i="8" l="1"/>
  <c r="O96" i="8" s="1"/>
  <c r="P96" i="8" s="1"/>
  <c r="D96" i="8" a="1"/>
  <c r="D96" i="8" s="1"/>
  <c r="I97" i="8" s="1"/>
  <c r="L97" i="8" l="1"/>
  <c r="H97" i="8" s="1"/>
  <c r="J97" i="8" s="1"/>
  <c r="A96" i="8"/>
  <c r="C97" i="8"/>
  <c r="N101" i="8"/>
  <c r="M101" i="8"/>
  <c r="K97" i="8" l="1"/>
  <c r="O97" i="8" s="1"/>
  <c r="P97" i="8" s="1"/>
  <c r="D97" i="8" a="1"/>
  <c r="D97" i="8" s="1"/>
  <c r="L98" i="8" l="1"/>
  <c r="H98" i="8"/>
  <c r="A97" i="8"/>
  <c r="I98" i="8"/>
  <c r="C98" i="8"/>
  <c r="J98" i="8" l="1"/>
  <c r="K98" i="8" s="1"/>
  <c r="M102" i="8"/>
  <c r="N102" i="8"/>
  <c r="O98" i="8" l="1"/>
  <c r="P98" i="8" s="1"/>
  <c r="D98" i="8" a="1"/>
  <c r="D98" i="8" s="1"/>
  <c r="A98" i="8" l="1"/>
  <c r="L99" i="8"/>
  <c r="H99" i="8" s="1"/>
  <c r="I99" i="8"/>
  <c r="J99" i="8" l="1"/>
  <c r="K99" i="8" s="1"/>
  <c r="O99" i="8" s="1"/>
  <c r="P99" i="8" s="1"/>
  <c r="C99" i="8"/>
  <c r="N103" i="8"/>
  <c r="M103" i="8"/>
  <c r="D99" i="8" l="1" a="1"/>
  <c r="D99" i="8" s="1"/>
  <c r="A99" i="8" l="1"/>
  <c r="I100" i="8"/>
  <c r="L100" i="8"/>
  <c r="N104" i="8" l="1"/>
  <c r="M104" i="8"/>
  <c r="C100" i="8"/>
  <c r="H100" i="8"/>
  <c r="J100" i="8" s="1"/>
  <c r="K100" i="8" l="1"/>
  <c r="O100" i="8" s="1"/>
  <c r="P100" i="8" s="1"/>
  <c r="D100" i="8" l="1" a="1"/>
  <c r="D100" i="8" s="1"/>
  <c r="A100" i="8" l="1"/>
  <c r="L101" i="8"/>
  <c r="C101" i="8" s="1"/>
  <c r="I101" i="8"/>
  <c r="H101" i="8"/>
  <c r="J101" i="8" s="1"/>
  <c r="K101" i="8" l="1"/>
  <c r="O101" i="8" s="1"/>
  <c r="P101" i="8" s="1"/>
  <c r="N105" i="8"/>
  <c r="M105" i="8"/>
  <c r="D101" i="8" l="1" a="1"/>
  <c r="D101" i="8" s="1"/>
  <c r="A101" i="8" l="1"/>
  <c r="L102" i="8"/>
  <c r="C102" i="8" s="1"/>
  <c r="I102" i="8"/>
  <c r="H102" i="8"/>
  <c r="J102" i="8" s="1"/>
  <c r="K102" i="8" l="1"/>
  <c r="O102" i="8" s="1"/>
  <c r="P102" i="8" s="1"/>
  <c r="M106" i="8"/>
  <c r="N106" i="8"/>
  <c r="D102" i="8" l="1" a="1"/>
  <c r="D102" i="8" s="1"/>
  <c r="L103" i="8" l="1"/>
  <c r="H103" i="8" s="1"/>
  <c r="A102" i="8"/>
  <c r="I103" i="8"/>
  <c r="J103" i="8" l="1"/>
  <c r="C103" i="8"/>
  <c r="K103" i="8" s="1"/>
  <c r="O103" i="8" s="1"/>
  <c r="P103" i="8" s="1"/>
  <c r="N107" i="8"/>
  <c r="M107" i="8"/>
  <c r="D103" i="8" l="1" a="1"/>
  <c r="D103" i="8" s="1"/>
  <c r="A103" i="8" l="1"/>
  <c r="L104" i="8"/>
  <c r="C104" i="8" s="1"/>
  <c r="H104" i="8"/>
  <c r="I104" i="8"/>
  <c r="J104" i="8" l="1"/>
  <c r="N108" i="8"/>
  <c r="M108" i="8"/>
  <c r="K104" i="8" l="1"/>
  <c r="O104" i="8" s="1"/>
  <c r="P104" i="8" s="1"/>
  <c r="D104" i="8" l="1" a="1"/>
  <c r="D104" i="8" s="1"/>
  <c r="A104" i="8" l="1"/>
  <c r="L105" i="8"/>
  <c r="I105" i="8"/>
  <c r="C105" i="8"/>
  <c r="H105" i="8"/>
  <c r="J105" i="8" s="1"/>
  <c r="K105" i="8" l="1"/>
  <c r="O105" i="8" s="1"/>
  <c r="P105" i="8" s="1"/>
  <c r="N109" i="8"/>
  <c r="M109" i="8"/>
  <c r="D105" i="8" l="1" a="1"/>
  <c r="D105" i="8" s="1"/>
  <c r="A105" i="8" l="1"/>
  <c r="L106" i="8"/>
  <c r="I106" i="8"/>
  <c r="H106" i="8"/>
  <c r="C106" i="8"/>
  <c r="J106" i="8" l="1"/>
  <c r="K106" i="8" s="1"/>
  <c r="N110" i="8"/>
  <c r="M110" i="8"/>
  <c r="O106" i="8" l="1"/>
  <c r="P106" i="8" s="1"/>
  <c r="D106" i="8" a="1"/>
  <c r="D106" i="8" s="1"/>
  <c r="A106" i="8" l="1"/>
  <c r="L107" i="8"/>
  <c r="I107" i="8"/>
  <c r="H107" i="8"/>
  <c r="J107" i="8" s="1"/>
  <c r="N111" i="8" l="1"/>
  <c r="M111" i="8"/>
  <c r="C107" i="8"/>
  <c r="K107" i="8" s="1"/>
  <c r="O107" i="8" s="1"/>
  <c r="P107" i="8" s="1"/>
  <c r="D107" i="8" l="1" a="1"/>
  <c r="D107" i="8" s="1"/>
  <c r="L108" i="8" l="1"/>
  <c r="A107" i="8"/>
  <c r="I108" i="8"/>
  <c r="H108" i="8"/>
  <c r="J108" i="8" s="1"/>
  <c r="C108" i="8" l="1"/>
  <c r="K108" i="8" s="1"/>
  <c r="O108" i="8" s="1"/>
  <c r="P108" i="8" s="1"/>
  <c r="M112" i="8"/>
  <c r="N112" i="8"/>
  <c r="D108" i="8" l="1" a="1"/>
  <c r="D108" i="8" s="1"/>
  <c r="A108" i="8" s="1"/>
  <c r="L109" i="8" l="1"/>
  <c r="H109" i="8" s="1"/>
  <c r="J109" i="8" s="1"/>
  <c r="I109" i="8"/>
  <c r="N113" i="8" l="1"/>
  <c r="M113" i="8"/>
  <c r="C109" i="8"/>
  <c r="K109" i="8" s="1"/>
  <c r="O109" i="8" s="1"/>
  <c r="P109" i="8" s="1"/>
  <c r="D109" i="8" l="1" a="1"/>
  <c r="D109" i="8" s="1"/>
  <c r="A109" i="8" l="1"/>
  <c r="L110" i="8"/>
  <c r="H110" i="8" s="1"/>
  <c r="J110" i="8" s="1"/>
  <c r="I110" i="8"/>
  <c r="M114" i="8" l="1"/>
  <c r="N114" i="8"/>
  <c r="C110" i="8"/>
  <c r="K110" i="8" s="1"/>
  <c r="O110" i="8" s="1"/>
  <c r="P110" i="8" s="1"/>
  <c r="D110" i="8" l="1" a="1"/>
  <c r="D110" i="8" s="1"/>
  <c r="A110" i="8" l="1"/>
  <c r="L111" i="8"/>
  <c r="I111" i="8"/>
  <c r="H111" i="8"/>
  <c r="J111" i="8" s="1"/>
  <c r="C111" i="8" l="1"/>
  <c r="K111" i="8" s="1"/>
  <c r="O111" i="8" s="1"/>
  <c r="P111" i="8" s="1"/>
  <c r="M115" i="8"/>
  <c r="N115" i="8"/>
  <c r="D111" i="8" l="1" a="1"/>
  <c r="D111" i="8" s="1"/>
  <c r="A111" i="8" l="1"/>
  <c r="L112" i="8"/>
  <c r="H112" i="8"/>
  <c r="I112" i="8"/>
  <c r="C112" i="8"/>
  <c r="J112" i="8" l="1"/>
  <c r="M116" i="8"/>
  <c r="N116" i="8"/>
  <c r="K112" i="8"/>
  <c r="O112" i="8" s="1"/>
  <c r="P112" i="8" s="1"/>
  <c r="D112" i="8" l="1" a="1"/>
  <c r="D112" i="8" s="1"/>
  <c r="I113" i="8" l="1"/>
  <c r="A112" i="8"/>
  <c r="L113" i="8"/>
  <c r="H113" i="8" l="1"/>
  <c r="J113" i="8" s="1"/>
  <c r="M117" i="8"/>
  <c r="N117" i="8"/>
  <c r="C113" i="8"/>
  <c r="K113" i="8" l="1"/>
  <c r="O113" i="8" s="1"/>
  <c r="P113" i="8" s="1"/>
  <c r="D113" i="8" l="1" a="1"/>
  <c r="D113" i="8" s="1"/>
  <c r="A113" i="8" s="1"/>
  <c r="I114" i="8" l="1"/>
  <c r="L114" i="8"/>
  <c r="C114" i="8" s="1"/>
  <c r="N118" i="8"/>
  <c r="M118" i="8" l="1"/>
  <c r="H114" i="8"/>
  <c r="J114" i="8" s="1"/>
  <c r="K114" i="8" l="1"/>
  <c r="O114" i="8" s="1"/>
  <c r="P114" i="8" s="1"/>
  <c r="D114" i="8" l="1" a="1"/>
  <c r="D114" i="8" s="1"/>
  <c r="A114" i="8" s="1"/>
  <c r="I115" i="8"/>
  <c r="L115" i="8"/>
  <c r="H115" i="8" s="1"/>
  <c r="C115" i="8" l="1"/>
  <c r="J115" i="8"/>
  <c r="K115" i="8"/>
  <c r="O115" i="8" s="1"/>
  <c r="P115" i="8" s="1"/>
  <c r="N119" i="8"/>
  <c r="M119" i="8"/>
  <c r="D115" i="8" l="1" a="1"/>
  <c r="D115" i="8" s="1"/>
  <c r="A115" i="8" l="1"/>
  <c r="I116" i="8"/>
  <c r="L116" i="8"/>
  <c r="H116" i="8" s="1"/>
  <c r="J116" i="8" s="1"/>
  <c r="C116" i="8" l="1"/>
  <c r="K116" i="8" s="1"/>
  <c r="O116" i="8" s="1"/>
  <c r="P116" i="8" s="1"/>
  <c r="M120" i="8"/>
  <c r="N120" i="8"/>
  <c r="D116" i="8" l="1" a="1"/>
  <c r="D116" i="8" s="1"/>
  <c r="I117" i="8" l="1"/>
  <c r="A116" i="8"/>
  <c r="L117" i="8"/>
  <c r="C117" i="8" s="1"/>
  <c r="N121" i="8" l="1"/>
  <c r="M121" i="8"/>
  <c r="H117" i="8"/>
  <c r="J117" i="8" s="1"/>
  <c r="K117" i="8" l="1"/>
  <c r="O117" i="8" s="1"/>
  <c r="P117" i="8" s="1"/>
  <c r="D117" i="8" l="1" a="1"/>
  <c r="D117" i="8" s="1"/>
  <c r="I118" i="8" l="1"/>
  <c r="L118" i="8"/>
  <c r="C118" i="8" s="1"/>
  <c r="A117" i="8"/>
  <c r="H118" i="8" l="1"/>
  <c r="J118" i="8" s="1"/>
  <c r="N122" i="8"/>
  <c r="M122" i="8"/>
  <c r="K118" i="8" l="1"/>
  <c r="O118" i="8" s="1"/>
  <c r="P118" i="8" s="1"/>
  <c r="D118" i="8" l="1" a="1"/>
  <c r="D118" i="8" s="1"/>
  <c r="L119" i="8" s="1"/>
  <c r="A118" i="8"/>
  <c r="I119" i="8"/>
  <c r="H119" i="8" l="1"/>
  <c r="J119" i="8" s="1"/>
  <c r="C119" i="8"/>
  <c r="K119" i="8"/>
  <c r="M123" i="8"/>
  <c r="N123" i="8"/>
  <c r="O119" i="8" l="1"/>
  <c r="P119" i="8" s="1"/>
  <c r="D119" i="8" a="1"/>
  <c r="D119" i="8" s="1"/>
  <c r="L120" i="8" l="1"/>
  <c r="C120" i="8" s="1"/>
  <c r="I120" i="8"/>
  <c r="A119" i="8"/>
  <c r="H120" i="8"/>
  <c r="J120" i="8" s="1"/>
  <c r="K120" i="8" l="1"/>
  <c r="O120" i="8" s="1"/>
  <c r="P120" i="8" s="1"/>
  <c r="D120" i="8" a="1"/>
  <c r="D120" i="8" s="1"/>
  <c r="N124" i="8"/>
  <c r="M124" i="8"/>
  <c r="A120" i="8" l="1"/>
  <c r="I121" i="8"/>
  <c r="L121" i="8"/>
  <c r="N125" i="8" l="1"/>
  <c r="M125" i="8"/>
  <c r="H121" i="8"/>
  <c r="J121" i="8" s="1"/>
  <c r="C121" i="8"/>
  <c r="K121" i="8" l="1"/>
  <c r="O121" i="8" s="1"/>
  <c r="P121" i="8" s="1"/>
  <c r="D121" i="8" a="1"/>
  <c r="D121" i="8" s="1"/>
  <c r="L122" i="8" l="1"/>
  <c r="A121" i="8"/>
  <c r="H122" i="8"/>
  <c r="J122" i="8" s="1"/>
  <c r="I122" i="8"/>
  <c r="M126" i="8" l="1"/>
  <c r="N126" i="8"/>
  <c r="C122" i="8"/>
  <c r="K122" i="8" s="1"/>
  <c r="O122" i="8" s="1"/>
  <c r="P122" i="8" s="1"/>
  <c r="D122" i="8" l="1" a="1"/>
  <c r="D122" i="8" s="1"/>
  <c r="L123" i="8" l="1"/>
  <c r="I123" i="8"/>
  <c r="A122" i="8"/>
  <c r="H123" i="8"/>
  <c r="J123" i="8" s="1"/>
  <c r="M127" i="8" l="1"/>
  <c r="N127" i="8"/>
  <c r="K123" i="8"/>
  <c r="O123" i="8" s="1"/>
  <c r="P123" i="8" s="1"/>
  <c r="C123" i="8"/>
  <c r="D123" i="8" a="1"/>
  <c r="D123" i="8" s="1"/>
  <c r="A123" i="8" l="1"/>
  <c r="L124" i="8"/>
  <c r="I124" i="8"/>
  <c r="C124" i="8"/>
  <c r="H124" i="8" l="1"/>
  <c r="J124" i="8" s="1"/>
  <c r="M128" i="8"/>
  <c r="N128" i="8"/>
  <c r="K124" i="8" l="1"/>
  <c r="O124" i="8" s="1"/>
  <c r="P124" i="8" s="1"/>
  <c r="D124" i="8" l="1" a="1"/>
  <c r="D124" i="8" s="1"/>
  <c r="L125" i="8" l="1"/>
  <c r="A124" i="8"/>
  <c r="I125" i="8"/>
  <c r="C125" i="8"/>
  <c r="H125" i="8" l="1"/>
  <c r="J125" i="8" s="1"/>
  <c r="M129" i="8"/>
  <c r="N129" i="8"/>
  <c r="K125" i="8" l="1"/>
  <c r="O125" i="8" s="1"/>
  <c r="P125" i="8" s="1"/>
  <c r="D125" i="8" l="1" a="1"/>
  <c r="D125" i="8" s="1"/>
  <c r="A125" i="8" l="1"/>
  <c r="I126" i="8"/>
  <c r="L126" i="8"/>
  <c r="C126" i="8" s="1"/>
  <c r="N130" i="8" l="1"/>
  <c r="M130" i="8"/>
  <c r="H126" i="8"/>
  <c r="J126" i="8" s="1"/>
  <c r="K126" i="8" l="1"/>
  <c r="O126" i="8" s="1"/>
  <c r="P126" i="8" s="1"/>
  <c r="D126" i="8" l="1" a="1"/>
  <c r="D126" i="8" s="1"/>
  <c r="I127" i="8" l="1"/>
  <c r="L127" i="8"/>
  <c r="A126" i="8"/>
  <c r="H127" i="8"/>
  <c r="J127" i="8" s="1"/>
  <c r="N131" i="8" l="1"/>
  <c r="M131" i="8"/>
  <c r="C127" i="8"/>
  <c r="K127" i="8" s="1"/>
  <c r="O127" i="8" s="1"/>
  <c r="P127" i="8" s="1"/>
  <c r="D127" i="8" l="1" a="1"/>
  <c r="D127" i="8" s="1"/>
  <c r="I128" i="8" l="1"/>
  <c r="A127" i="8"/>
  <c r="L128" i="8"/>
  <c r="H128" i="8" l="1"/>
  <c r="J128" i="8" s="1"/>
  <c r="N132" i="8"/>
  <c r="M132" i="8"/>
  <c r="C128" i="8"/>
  <c r="K128" i="8" l="1"/>
  <c r="O128" i="8" s="1"/>
  <c r="P128" i="8" s="1"/>
  <c r="D128" i="8" a="1"/>
  <c r="D128" i="8" s="1"/>
  <c r="L129" i="8" l="1"/>
  <c r="A128" i="8"/>
  <c r="I129" i="8"/>
  <c r="C129" i="8"/>
  <c r="H129" i="8"/>
  <c r="K129" i="8" l="1"/>
  <c r="O129" i="8" s="1"/>
  <c r="P129" i="8" s="1"/>
  <c r="J129" i="8"/>
  <c r="D129" i="8" s="1" a="1"/>
  <c r="D129" i="8" s="1"/>
  <c r="A129" i="8" s="1"/>
  <c r="I130" i="8"/>
  <c r="M133" i="8"/>
  <c r="N133" i="8"/>
  <c r="L130" i="8" l="1"/>
  <c r="H130" i="8" s="1"/>
  <c r="J130" i="8" s="1"/>
  <c r="M134" i="8" l="1"/>
  <c r="N134" i="8"/>
  <c r="C130" i="8"/>
  <c r="K130" i="8" s="1"/>
  <c r="O130" i="8" s="1"/>
  <c r="P130" i="8" s="1"/>
  <c r="D130" i="8" a="1"/>
  <c r="D130" i="8" s="1"/>
  <c r="I131" i="8" l="1"/>
  <c r="A130" i="8"/>
  <c r="L131" i="8"/>
  <c r="M135" i="8" l="1"/>
  <c r="N135" i="8"/>
  <c r="C131" i="8"/>
  <c r="H131" i="8"/>
  <c r="J131" i="8" s="1"/>
  <c r="K131" i="8" l="1"/>
  <c r="O131" i="8" s="1"/>
  <c r="P131" i="8" s="1"/>
  <c r="D131" i="8" l="1" a="1"/>
  <c r="D131" i="8" s="1"/>
  <c r="L132" i="8" l="1"/>
  <c r="H132" i="8" s="1"/>
  <c r="A131" i="8"/>
  <c r="I132" i="8"/>
  <c r="C132" i="8"/>
  <c r="J132" i="8" l="1"/>
  <c r="N136" i="8"/>
  <c r="M136" i="8"/>
  <c r="K132" i="8" l="1"/>
  <c r="O132" i="8" s="1"/>
  <c r="P132" i="8" s="1"/>
  <c r="D132" i="8" l="1" a="1"/>
  <c r="D132" i="8" s="1"/>
  <c r="A132" i="8" l="1"/>
  <c r="L133" i="8"/>
  <c r="I133" i="8"/>
  <c r="N137" i="8" l="1"/>
  <c r="M137" i="8"/>
  <c r="H133" i="8"/>
  <c r="J133" i="8" s="1"/>
  <c r="C133" i="8"/>
  <c r="K133" i="8" l="1"/>
  <c r="O133" i="8" s="1"/>
  <c r="P133" i="8" s="1"/>
  <c r="D133" i="8" a="1"/>
  <c r="D133" i="8" s="1"/>
  <c r="I134" i="8" l="1"/>
  <c r="A133" i="8"/>
  <c r="L134" i="8"/>
  <c r="H134" i="8" s="1"/>
  <c r="J134" i="8" s="1"/>
  <c r="M138" i="8" l="1"/>
  <c r="N138" i="8"/>
  <c r="C134" i="8"/>
  <c r="K134" i="8" s="1"/>
  <c r="O134" i="8" s="1"/>
  <c r="P134" i="8" s="1"/>
  <c r="D134" i="8" l="1" a="1"/>
  <c r="D134" i="8" s="1"/>
  <c r="A134" i="8" l="1"/>
  <c r="I135" i="8"/>
  <c r="L135" i="8"/>
  <c r="M139" i="8" l="1"/>
  <c r="N139" i="8"/>
  <c r="H135" i="8"/>
  <c r="J135" i="8" s="1"/>
  <c r="C135" i="8"/>
  <c r="K135" i="8" l="1"/>
  <c r="O135" i="8" l="1"/>
  <c r="P135" i="8" s="1"/>
  <c r="D135" i="8" a="1"/>
  <c r="D135" i="8" s="1"/>
  <c r="A135" i="8" l="1"/>
  <c r="I136" i="8"/>
  <c r="L136" i="8"/>
  <c r="C136" i="8" s="1"/>
  <c r="M140" i="8" l="1"/>
  <c r="N140" i="8"/>
  <c r="H136" i="8"/>
  <c r="J136" i="8" s="1"/>
  <c r="K136" i="8" l="1"/>
  <c r="O136" i="8" s="1"/>
  <c r="P136" i="8" s="1"/>
  <c r="D136" i="8" l="1" a="1"/>
  <c r="D136" i="8" s="1"/>
  <c r="A136" i="8" l="1"/>
  <c r="I137" i="8"/>
  <c r="L137" i="8"/>
  <c r="C137" i="8" s="1"/>
  <c r="H137" i="8" l="1"/>
  <c r="J137" i="8" s="1"/>
  <c r="N141" i="8"/>
  <c r="M141" i="8"/>
  <c r="K137" i="8" l="1"/>
  <c r="O137" i="8" s="1"/>
  <c r="P137" i="8" s="1"/>
  <c r="D137" i="8" l="1" a="1"/>
  <c r="D137" i="8" s="1"/>
  <c r="L138" i="8" l="1"/>
  <c r="C138" i="8" s="1"/>
  <c r="I138" i="8"/>
  <c r="A137" i="8"/>
  <c r="H138" i="8"/>
  <c r="J138" i="8" s="1"/>
  <c r="K138" i="8" l="1"/>
  <c r="O138" i="8" s="1"/>
  <c r="P138" i="8" s="1"/>
  <c r="D138" i="8" a="1"/>
  <c r="D138" i="8" s="1"/>
  <c r="N142" i="8"/>
  <c r="M142" i="8"/>
  <c r="L139" i="8" l="1"/>
  <c r="I139" i="8"/>
  <c r="A138" i="8"/>
  <c r="H139" i="8"/>
  <c r="J139" i="8" s="1"/>
  <c r="C139" i="8"/>
  <c r="K139" i="8" l="1"/>
  <c r="O139" i="8" s="1"/>
  <c r="P139" i="8" s="1"/>
  <c r="M143" i="8"/>
  <c r="N143" i="8"/>
  <c r="D139" i="8" l="1" a="1"/>
  <c r="D139" i="8" s="1"/>
  <c r="I140" i="8" l="1"/>
  <c r="A139" i="8"/>
  <c r="L140" i="8"/>
  <c r="C140" i="8" s="1"/>
  <c r="H140" i="8" l="1"/>
  <c r="J140" i="8" s="1"/>
  <c r="N144" i="8"/>
  <c r="M144" i="8"/>
  <c r="K140" i="8" l="1"/>
  <c r="O140" i="8" s="1"/>
  <c r="P140" i="8" s="1"/>
  <c r="D140" i="8" l="1" a="1"/>
  <c r="D140" i="8" s="1"/>
  <c r="I141" i="8" s="1"/>
  <c r="L141" i="8"/>
  <c r="H141" i="8" s="1"/>
  <c r="A140" i="8"/>
  <c r="J141" i="8" l="1"/>
  <c r="C141" i="8"/>
  <c r="K141" i="8" s="1"/>
  <c r="O141" i="8" s="1"/>
  <c r="P141" i="8" s="1"/>
  <c r="N145" i="8"/>
  <c r="M145" i="8"/>
  <c r="D141" i="8" l="1" a="1"/>
  <c r="D141" i="8" s="1"/>
  <c r="A141" i="8" l="1"/>
  <c r="I142" i="8"/>
  <c r="L142" i="8"/>
  <c r="N146" i="8" l="1"/>
  <c r="M146" i="8"/>
  <c r="H142" i="8"/>
  <c r="J142" i="8" s="1"/>
  <c r="C142" i="8"/>
  <c r="K142" i="8" l="1"/>
  <c r="O142" i="8" s="1"/>
  <c r="P142" i="8" s="1"/>
  <c r="D142" i="8" a="1"/>
  <c r="D142" i="8" s="1"/>
  <c r="A142" i="8" l="1"/>
  <c r="I143" i="8"/>
  <c r="L143" i="8"/>
  <c r="H143" i="8" l="1"/>
  <c r="J143" i="8" s="1"/>
  <c r="N147" i="8"/>
  <c r="M147" i="8"/>
  <c r="C143" i="8"/>
  <c r="K143" i="8" s="1"/>
  <c r="O143" i="8" s="1"/>
  <c r="P143" i="8" s="1"/>
  <c r="D143" i="8" l="1" a="1"/>
  <c r="D143" i="8" s="1"/>
  <c r="A143" i="8" l="1"/>
  <c r="L144" i="8"/>
  <c r="H144" i="8" s="1"/>
  <c r="J144" i="8" s="1"/>
  <c r="I144" i="8"/>
  <c r="C144" i="8" l="1"/>
  <c r="K144" i="8" s="1"/>
  <c r="O144" i="8" s="1"/>
  <c r="P144" i="8" s="1"/>
  <c r="N148" i="8"/>
  <c r="M148" i="8"/>
  <c r="D144" i="8" l="1" a="1"/>
  <c r="D144" i="8" s="1"/>
  <c r="A144" i="8" l="1"/>
  <c r="I145" i="8"/>
  <c r="L145" i="8"/>
  <c r="C145" i="8" s="1"/>
  <c r="H145" i="8" l="1"/>
  <c r="J145" i="8" s="1"/>
  <c r="N149" i="8"/>
  <c r="M149" i="8"/>
  <c r="K145" i="8" l="1"/>
  <c r="O145" i="8" s="1"/>
  <c r="P145" i="8" s="1"/>
  <c r="D145" i="8" l="1" a="1"/>
  <c r="D145" i="8" s="1"/>
  <c r="I146" i="8" l="1"/>
  <c r="A145" i="8"/>
  <c r="L146" i="8"/>
  <c r="H146" i="8" s="1"/>
  <c r="J146" i="8" s="1"/>
  <c r="C146" i="8" l="1"/>
  <c r="K146" i="8" s="1"/>
  <c r="O146" i="8" s="1"/>
  <c r="P146" i="8" s="1"/>
  <c r="N150" i="8"/>
  <c r="M150" i="8"/>
  <c r="D146" i="8" l="1" a="1"/>
  <c r="D146" i="8" s="1"/>
  <c r="A146" i="8" l="1"/>
  <c r="I147" i="8"/>
  <c r="L147" i="8"/>
  <c r="H147" i="8" s="1"/>
  <c r="J147" i="8" l="1"/>
  <c r="C147" i="8"/>
  <c r="N151" i="8"/>
  <c r="M151" i="8"/>
  <c r="K147" i="8" l="1"/>
  <c r="O147" i="8" s="1"/>
  <c r="P147" i="8" s="1"/>
  <c r="D147" i="8" a="1"/>
  <c r="D147" i="8" s="1"/>
  <c r="L148" i="8" l="1"/>
  <c r="H148" i="8" s="1"/>
  <c r="A147" i="8"/>
  <c r="I148" i="8"/>
  <c r="J148" i="8" l="1"/>
  <c r="C148" i="8"/>
  <c r="K148" i="8" s="1"/>
  <c r="O148" i="8" s="1"/>
  <c r="P148" i="8" s="1"/>
  <c r="M152" i="8"/>
  <c r="N152" i="8"/>
  <c r="D148" i="8" l="1" a="1"/>
  <c r="D148" i="8" s="1"/>
  <c r="L149" i="8" l="1"/>
  <c r="C149" i="8" s="1"/>
  <c r="A148" i="8"/>
  <c r="I149" i="8"/>
  <c r="N153" i="8" l="1"/>
  <c r="M153" i="8"/>
  <c r="H149" i="8"/>
  <c r="J149" i="8" s="1"/>
  <c r="K149" i="8" s="1"/>
  <c r="O149" i="8" s="1"/>
  <c r="P149" i="8" s="1"/>
  <c r="D149" i="8" l="1" a="1"/>
  <c r="D149" i="8" s="1"/>
  <c r="I150" i="8" l="1"/>
  <c r="L150" i="8"/>
  <c r="C150" i="8" s="1"/>
  <c r="A149" i="8"/>
  <c r="H150" i="8" l="1"/>
  <c r="J150" i="8" s="1"/>
  <c r="N154" i="8"/>
  <c r="M154" i="8"/>
  <c r="K150" i="8" l="1"/>
  <c r="O150" i="8" s="1"/>
  <c r="P150" i="8" s="1"/>
  <c r="D150" i="8" l="1" a="1"/>
  <c r="D150" i="8" s="1"/>
  <c r="A150" i="8" s="1"/>
  <c r="L151" i="8" l="1"/>
  <c r="H151" i="8" s="1"/>
  <c r="I151" i="8"/>
  <c r="M155" i="8"/>
  <c r="N155" i="8"/>
  <c r="C151" i="8"/>
  <c r="J151" i="8" l="1"/>
  <c r="K151" i="8" s="1"/>
  <c r="O151" i="8" s="1"/>
  <c r="P151" i="8" s="1"/>
  <c r="D151" i="8" l="1" a="1"/>
  <c r="D151" i="8" s="1"/>
  <c r="A151" i="8" s="1"/>
  <c r="I152" i="8"/>
  <c r="L152" i="8"/>
  <c r="H152" i="8" s="1"/>
  <c r="J152" i="8" s="1"/>
  <c r="C152" i="8" l="1"/>
  <c r="K152" i="8" s="1"/>
  <c r="O152" i="8" s="1"/>
  <c r="P152" i="8" s="1"/>
  <c r="N156" i="8"/>
  <c r="M156" i="8"/>
  <c r="D152" i="8" l="1" a="1"/>
  <c r="D152" i="8" s="1"/>
  <c r="L153" i="8" l="1"/>
  <c r="I153" i="8"/>
  <c r="A152" i="8"/>
  <c r="N157" i="8" l="1"/>
  <c r="M157" i="8"/>
  <c r="H153" i="8"/>
  <c r="J153" i="8" s="1"/>
  <c r="C153" i="8"/>
  <c r="K153" i="8" l="1"/>
  <c r="O153" i="8" s="1"/>
  <c r="P153" i="8" s="1"/>
  <c r="D153" i="8" l="1" a="1"/>
  <c r="D153" i="8" s="1"/>
  <c r="A153" i="8" l="1"/>
  <c r="L154" i="8"/>
  <c r="H154" i="8" s="1"/>
  <c r="J154" i="8" s="1"/>
  <c r="I154" i="8"/>
  <c r="C154" i="8"/>
  <c r="K154" i="8" l="1"/>
  <c r="O154" i="8" s="1"/>
  <c r="P154" i="8" s="1"/>
  <c r="N158" i="8"/>
  <c r="M158" i="8"/>
  <c r="D154" i="8" l="1" a="1"/>
  <c r="D154" i="8" s="1"/>
  <c r="A154" i="8" l="1"/>
  <c r="L155" i="8"/>
  <c r="I155" i="8"/>
  <c r="M159" i="8" l="1"/>
  <c r="N159" i="8"/>
  <c r="H155" i="8"/>
  <c r="J155" i="8" s="1"/>
  <c r="C155" i="8"/>
  <c r="K155" i="8" l="1"/>
  <c r="O155" i="8" l="1"/>
  <c r="P155" i="8" s="1"/>
  <c r="D155" i="8" a="1"/>
  <c r="D155" i="8" s="1"/>
  <c r="A155" i="8" l="1"/>
  <c r="L156" i="8"/>
  <c r="H156" i="8" s="1"/>
  <c r="J156" i="8" s="1"/>
  <c r="I156" i="8"/>
  <c r="C156" i="8" l="1"/>
  <c r="K156" i="8" s="1"/>
  <c r="O156" i="8" s="1"/>
  <c r="P156" i="8" s="1"/>
  <c r="M160" i="8"/>
  <c r="N160" i="8"/>
  <c r="D156" i="8" l="1" a="1"/>
  <c r="D156" i="8" s="1"/>
  <c r="I157" i="8"/>
  <c r="L157" i="8"/>
  <c r="C157" i="8" s="1"/>
  <c r="A156" i="8"/>
  <c r="H157" i="8" l="1"/>
  <c r="J157" i="8" s="1"/>
  <c r="M161" i="8"/>
  <c r="N161" i="8"/>
  <c r="K157" i="8"/>
  <c r="O157" i="8" s="1"/>
  <c r="P157" i="8" s="1"/>
  <c r="D157" i="8" l="1" a="1"/>
  <c r="D157" i="8" s="1"/>
  <c r="L158" i="8" l="1"/>
  <c r="H158" i="8" s="1"/>
  <c r="J158" i="8" s="1"/>
  <c r="A157" i="8"/>
  <c r="I158" i="8"/>
  <c r="C158" i="8" l="1"/>
  <c r="K158" i="8" s="1"/>
  <c r="O158" i="8" s="1"/>
  <c r="P158" i="8" s="1"/>
  <c r="M162" i="8"/>
  <c r="N162" i="8"/>
  <c r="D158" i="8" l="1" a="1"/>
  <c r="D158" i="8" s="1"/>
  <c r="A158" i="8" l="1"/>
  <c r="I159" i="8"/>
  <c r="L159" i="8"/>
  <c r="C159" i="8" s="1"/>
  <c r="H159" i="8" l="1"/>
  <c r="J159" i="8" s="1"/>
  <c r="M163" i="8"/>
  <c r="N163" i="8"/>
  <c r="K159" i="8" l="1"/>
  <c r="O159" i="8" s="1"/>
  <c r="P159" i="8" s="1"/>
  <c r="D159" i="8" l="1" a="1"/>
  <c r="D159" i="8" s="1"/>
  <c r="A159" i="8" l="1"/>
  <c r="L160" i="8"/>
  <c r="C160" i="8" s="1"/>
  <c r="I160" i="8"/>
  <c r="H160" i="8"/>
  <c r="J160" i="8" l="1"/>
  <c r="K160" i="8"/>
  <c r="O160" i="8" s="1"/>
  <c r="P160" i="8" s="1"/>
  <c r="M164" i="8"/>
  <c r="N164" i="8"/>
  <c r="D160" i="8" l="1" a="1"/>
  <c r="D160" i="8" s="1"/>
  <c r="A160" i="8" s="1"/>
  <c r="L161" i="8" l="1"/>
  <c r="I161" i="8"/>
  <c r="M165" i="8"/>
  <c r="C161" i="8" l="1"/>
  <c r="N165" i="8"/>
  <c r="H161" i="8"/>
  <c r="J161" i="8" s="1"/>
  <c r="K161" i="8" l="1"/>
  <c r="O161" i="8" s="1"/>
  <c r="P161" i="8" s="1"/>
  <c r="D161" i="8" l="1" a="1"/>
  <c r="D161" i="8" s="1"/>
  <c r="A161" i="8" l="1"/>
  <c r="I162" i="8"/>
  <c r="L162" i="8"/>
  <c r="C162" i="8" l="1"/>
  <c r="M166" i="8"/>
  <c r="N166" i="8"/>
  <c r="H162" i="8"/>
  <c r="J162" i="8" s="1"/>
  <c r="K162" i="8" l="1"/>
  <c r="O162" i="8" s="1"/>
  <c r="P162" i="8" s="1"/>
  <c r="D162" i="8" l="1" a="1"/>
  <c r="D162" i="8" s="1"/>
  <c r="I163" i="8" l="1"/>
  <c r="A162" i="8"/>
  <c r="L163" i="8"/>
  <c r="C163" i="8" s="1"/>
  <c r="M167" i="8" l="1"/>
  <c r="N167" i="8"/>
  <c r="H163" i="8"/>
  <c r="J163" i="8" s="1"/>
  <c r="K163" i="8" l="1"/>
  <c r="O163" i="8" s="1"/>
  <c r="P163" i="8" s="1"/>
  <c r="D163" i="8" l="1" a="1"/>
  <c r="D163" i="8" s="1"/>
  <c r="L164" i="8" l="1"/>
  <c r="I164" i="8"/>
  <c r="A163" i="8"/>
  <c r="H164" i="8"/>
  <c r="J164" i="8" s="1"/>
  <c r="D164" i="8" l="1" a="1"/>
  <c r="D164" i="8" s="1"/>
  <c r="C164" i="8"/>
  <c r="K164" i="8" s="1"/>
  <c r="O164" i="8" s="1"/>
  <c r="P164" i="8" s="1"/>
  <c r="M168" i="8"/>
  <c r="N168" i="8"/>
  <c r="I165" i="8" l="1"/>
  <c r="A164" i="8"/>
  <c r="L165" i="8"/>
  <c r="H165" i="8" l="1"/>
  <c r="J165" i="8" s="1"/>
  <c r="D165" i="8" s="1" a="1"/>
  <c r="D165" i="8" s="1"/>
  <c r="N169" i="8"/>
  <c r="M169" i="8"/>
  <c r="C165" i="8"/>
  <c r="K165" i="8" s="1"/>
  <c r="O165" i="8" s="1"/>
  <c r="P165" i="8" s="1"/>
  <c r="A165" i="8" l="1"/>
  <c r="L166" i="8"/>
  <c r="I166" i="8"/>
  <c r="N170" i="8" l="1"/>
  <c r="M170" i="8"/>
  <c r="H166" i="8"/>
  <c r="J166" i="8" s="1"/>
  <c r="C166" i="8"/>
  <c r="K166" i="8" l="1"/>
  <c r="O166" i="8" s="1"/>
  <c r="P166" i="8" s="1"/>
  <c r="D166" i="8" l="1" a="1"/>
  <c r="D166" i="8" s="1"/>
  <c r="I167" i="8" l="1"/>
  <c r="L167" i="8"/>
  <c r="A166" i="8"/>
  <c r="H167" i="8"/>
  <c r="J167" i="8" s="1"/>
  <c r="C167" i="8" l="1"/>
  <c r="K167" i="8" s="1"/>
  <c r="O167" i="8" s="1"/>
  <c r="P167" i="8" s="1"/>
  <c r="M171" i="8"/>
  <c r="N171" i="8"/>
  <c r="D167" i="8" l="1" a="1"/>
  <c r="D167" i="8" s="1"/>
  <c r="I168" i="8" l="1"/>
  <c r="A167" i="8"/>
  <c r="L168" i="8"/>
  <c r="C168" i="8"/>
  <c r="M172" i="8" l="1"/>
  <c r="N172" i="8"/>
  <c r="H168" i="8"/>
  <c r="J168" i="8" s="1"/>
  <c r="K168" i="8" l="1"/>
  <c r="O168" i="8" s="1"/>
  <c r="P168" i="8" s="1"/>
  <c r="D168" i="8" l="1" a="1"/>
  <c r="D168" i="8" s="1"/>
  <c r="A168" i="8" l="1"/>
  <c r="L169" i="8"/>
  <c r="I169" i="8"/>
  <c r="M173" i="8" l="1"/>
  <c r="N173" i="8"/>
  <c r="C169" i="8"/>
  <c r="H169" i="8"/>
  <c r="J169" i="8" s="1"/>
  <c r="K169" i="8" l="1"/>
  <c r="O169" i="8" s="1"/>
  <c r="P169" i="8" s="1"/>
  <c r="D169" i="8" l="1" a="1"/>
  <c r="D169" i="8" s="1"/>
  <c r="A169" i="8" l="1"/>
  <c r="L170" i="8"/>
  <c r="I170" i="8"/>
  <c r="H170" i="8"/>
  <c r="M174" i="8" l="1"/>
  <c r="N174" i="8"/>
  <c r="J170" i="8"/>
  <c r="C170" i="8"/>
  <c r="K170" i="8" s="1"/>
  <c r="O170" i="8" s="1"/>
  <c r="P170" i="8" s="1"/>
  <c r="D170" i="8" l="1" a="1"/>
  <c r="D170" i="8" s="1"/>
  <c r="L171" i="8" l="1"/>
  <c r="C171" i="8" s="1"/>
  <c r="K171" i="8" s="1"/>
  <c r="O171" i="8" s="1"/>
  <c r="P171" i="8" s="1"/>
  <c r="I171" i="8"/>
  <c r="H171" i="8"/>
  <c r="J171" i="8" s="1"/>
  <c r="A170" i="8"/>
  <c r="D171" i="8" l="1" a="1"/>
  <c r="D171" i="8" s="1"/>
  <c r="N175" i="8"/>
  <c r="M175" i="8"/>
  <c r="L172" i="8" l="1"/>
  <c r="H172" i="8"/>
  <c r="A171" i="8"/>
  <c r="I172" i="8"/>
  <c r="C172" i="8"/>
  <c r="J172" i="8" l="1"/>
  <c r="K172" i="8"/>
  <c r="O172" i="8" s="1"/>
  <c r="P172" i="8" s="1"/>
  <c r="N176" i="8"/>
  <c r="M176" i="8"/>
  <c r="D172" i="8" l="1" a="1"/>
  <c r="D172" i="8" s="1"/>
  <c r="A172" i="8" l="1"/>
  <c r="L173" i="8"/>
  <c r="I173" i="8"/>
  <c r="H173" i="8"/>
  <c r="J173" i="8" s="1"/>
  <c r="D173" i="8" s="1" a="1"/>
  <c r="D173" i="8" s="1"/>
  <c r="C173" i="8"/>
  <c r="K173" i="8" s="1"/>
  <c r="O173" i="8" s="1"/>
  <c r="P173" i="8" s="1"/>
  <c r="I174" i="8" l="1"/>
  <c r="A173" i="8"/>
  <c r="L174" i="8"/>
  <c r="C174" i="8" s="1"/>
  <c r="K174" i="8" s="1"/>
  <c r="O174" i="8" s="1"/>
  <c r="P174" i="8" s="1"/>
  <c r="H174" i="8"/>
  <c r="J174" i="8" s="1"/>
  <c r="D174" i="8" s="1" a="1"/>
  <c r="D174" i="8" s="1"/>
  <c r="N177" i="8"/>
  <c r="M177" i="8"/>
  <c r="I175" i="8" l="1"/>
  <c r="L175" i="8"/>
  <c r="A174" i="8"/>
  <c r="H175" i="8"/>
  <c r="J175" i="8" s="1"/>
  <c r="N178" i="8"/>
  <c r="M178" i="8"/>
  <c r="N179" i="8"/>
  <c r="M179" i="8"/>
  <c r="C175" i="8"/>
  <c r="K175" i="8" l="1"/>
  <c r="O175" i="8" s="1"/>
  <c r="P175" i="8" s="1"/>
  <c r="D175" i="8" a="1"/>
  <c r="D175" i="8" s="1"/>
  <c r="L176" i="8" l="1"/>
  <c r="C176" i="8" s="1"/>
  <c r="A175" i="8"/>
  <c r="I176" i="8"/>
  <c r="H176" i="8"/>
  <c r="J176" i="8" s="1"/>
  <c r="K176" i="8" l="1"/>
  <c r="O176" i="8" s="1"/>
  <c r="P176" i="8" s="1"/>
  <c r="M180" i="8"/>
  <c r="N180" i="8"/>
  <c r="D176" i="8" l="1" a="1"/>
  <c r="D176" i="8" s="1"/>
  <c r="L177" i="8" s="1"/>
  <c r="H177" i="8" s="1"/>
  <c r="I177" i="8"/>
  <c r="N181" i="8" l="1"/>
  <c r="M181" i="8"/>
  <c r="A176" i="8"/>
  <c r="J177" i="8"/>
  <c r="K177" i="8" s="1"/>
  <c r="O177" i="8" s="1"/>
  <c r="P177" i="8" s="1"/>
  <c r="C177" i="8"/>
  <c r="D177" i="8" l="1" a="1"/>
  <c r="D177" i="8" s="1"/>
  <c r="I178" i="8"/>
  <c r="A177" i="8"/>
  <c r="L178" i="8"/>
  <c r="M182" i="8" l="1"/>
  <c r="N182" i="8"/>
  <c r="H178" i="8"/>
  <c r="J178" i="8" s="1"/>
  <c r="C178" i="8"/>
  <c r="K178" i="8" l="1"/>
  <c r="O178" i="8" s="1"/>
  <c r="P178" i="8" s="1"/>
  <c r="D178" i="8" l="1" a="1"/>
  <c r="D178" i="8" s="1"/>
  <c r="A178" i="8" s="1"/>
  <c r="L179" i="8" l="1"/>
  <c r="H179" i="8" s="1"/>
  <c r="J179" i="8" s="1"/>
  <c r="I179" i="8"/>
  <c r="C179" i="8"/>
  <c r="M183" i="8"/>
  <c r="N183" i="8"/>
  <c r="K179" i="8" l="1"/>
  <c r="O179" i="8" s="1"/>
  <c r="P179" i="8" s="1"/>
  <c r="D179" i="8" a="1"/>
  <c r="D179" i="8" s="1"/>
  <c r="A179" i="8" l="1"/>
  <c r="L180" i="8"/>
  <c r="I180" i="8"/>
  <c r="H180" i="8"/>
  <c r="C180" i="8"/>
  <c r="J180" i="8" l="1"/>
  <c r="K180" i="8" s="1"/>
  <c r="O180" i="8" s="1"/>
  <c r="P180" i="8" s="1"/>
  <c r="N184" i="8"/>
  <c r="M184" i="8"/>
  <c r="D180" i="8" l="1" a="1"/>
  <c r="D180" i="8" s="1"/>
  <c r="A180" i="8" l="1"/>
  <c r="I181" i="8"/>
  <c r="L181" i="8"/>
  <c r="H181" i="8" s="1"/>
  <c r="J181" i="8" s="1"/>
  <c r="C181" i="8" l="1"/>
  <c r="K181" i="8" s="1"/>
  <c r="O181" i="8" s="1"/>
  <c r="P181" i="8" s="1"/>
  <c r="N185" i="8"/>
  <c r="M185" i="8"/>
  <c r="D181" i="8" l="1" a="1"/>
  <c r="D181" i="8" s="1"/>
  <c r="A181" i="8" l="1"/>
  <c r="L182" i="8"/>
  <c r="C182" i="8" s="1"/>
  <c r="I182" i="8"/>
  <c r="M186" i="8" l="1"/>
  <c r="N186" i="8"/>
  <c r="H182" i="8"/>
  <c r="J182" i="8" s="1"/>
  <c r="K182" i="8" l="1"/>
  <c r="O182" i="8" s="1"/>
  <c r="P182" i="8" s="1"/>
  <c r="D182" i="8" l="1" a="1"/>
  <c r="D182" i="8" s="1"/>
  <c r="L183" i="8" l="1"/>
  <c r="H183" i="8"/>
  <c r="A182" i="8"/>
  <c r="I183" i="8"/>
  <c r="C183" i="8"/>
  <c r="J183" i="8" l="1"/>
  <c r="K183" i="8" s="1"/>
  <c r="N187" i="8"/>
  <c r="M187" i="8"/>
  <c r="O183" i="8" l="1"/>
  <c r="P183" i="8" s="1"/>
  <c r="D183" i="8" a="1"/>
  <c r="D183" i="8" s="1"/>
  <c r="A183" i="8" l="1"/>
  <c r="L184" i="8"/>
  <c r="C184" i="8" s="1"/>
  <c r="I184" i="8"/>
  <c r="H184" i="8" l="1"/>
  <c r="J184" i="8" s="1"/>
  <c r="K184" i="8" s="1"/>
  <c r="N188" i="8"/>
  <c r="M188" i="8"/>
  <c r="O184" i="8" l="1"/>
  <c r="P184" i="8" s="1"/>
  <c r="D184" i="8" a="1"/>
  <c r="D184" i="8" s="1"/>
  <c r="A184" i="8" l="1"/>
  <c r="L185" i="8"/>
  <c r="C185" i="8" s="1"/>
  <c r="I185" i="8"/>
  <c r="H185" i="8" l="1"/>
  <c r="J185" i="8" s="1"/>
  <c r="N189" i="8"/>
  <c r="M189" i="8"/>
  <c r="K185" i="8" l="1"/>
  <c r="O185" i="8" s="1"/>
  <c r="P185" i="8" s="1"/>
  <c r="D185" i="8" l="1" a="1"/>
  <c r="D185" i="8" s="1"/>
  <c r="I186" i="8" l="1"/>
  <c r="L186" i="8"/>
  <c r="A185" i="8"/>
  <c r="H186" i="8"/>
  <c r="J186" i="8" s="1"/>
  <c r="C186" i="8" l="1"/>
  <c r="K186" i="8" s="1"/>
  <c r="O186" i="8" s="1"/>
  <c r="P186" i="8" s="1"/>
  <c r="N190" i="8"/>
  <c r="M190" i="8"/>
  <c r="D186" i="8" l="1" a="1"/>
  <c r="D186" i="8" s="1"/>
  <c r="L187" i="8" l="1"/>
  <c r="A186" i="8"/>
  <c r="I187" i="8"/>
  <c r="N191" i="8" l="1"/>
  <c r="H187" i="8"/>
  <c r="J187" i="8" s="1"/>
  <c r="M191" i="8"/>
  <c r="C187" i="8"/>
  <c r="K187" i="8" l="1"/>
  <c r="O187" i="8" s="1"/>
  <c r="P187" i="8" s="1"/>
  <c r="D187" i="8" l="1" a="1"/>
  <c r="D187" i="8" s="1"/>
  <c r="A187" i="8" l="1"/>
  <c r="I188" i="8"/>
  <c r="L188" i="8"/>
  <c r="C188" i="8" l="1"/>
  <c r="M192" i="8"/>
  <c r="H188" i="8"/>
  <c r="J188" i="8" s="1"/>
  <c r="N192" i="8"/>
  <c r="K188" i="8" l="1"/>
  <c r="O188" i="8" s="1"/>
  <c r="P188" i="8" s="1"/>
  <c r="D188" i="8" l="1" a="1"/>
  <c r="D188" i="8" s="1"/>
  <c r="A188" i="8" l="1"/>
  <c r="I189" i="8"/>
  <c r="L189" i="8"/>
  <c r="C189" i="8" s="1"/>
  <c r="N193" i="8" l="1"/>
  <c r="M193" i="8"/>
  <c r="H189" i="8"/>
  <c r="J189" i="8" s="1"/>
  <c r="K189" i="8" l="1"/>
  <c r="O189" i="8" s="1"/>
  <c r="P189" i="8" s="1"/>
  <c r="D189" i="8" l="1" a="1"/>
  <c r="D189" i="8" s="1"/>
  <c r="L190" i="8" l="1"/>
  <c r="A189" i="8"/>
  <c r="I190" i="8"/>
  <c r="C190" i="8"/>
  <c r="H190" i="8"/>
  <c r="J190" i="8" s="1"/>
  <c r="K190" i="8" l="1"/>
  <c r="M194" i="8"/>
  <c r="N194" i="8"/>
  <c r="O190" i="8" l="1"/>
  <c r="P190" i="8" s="1"/>
  <c r="D190" i="8" a="1"/>
  <c r="D190" i="8" s="1"/>
  <c r="I191" i="8" l="1"/>
  <c r="A190" i="8"/>
  <c r="L191" i="8"/>
  <c r="M195" i="8" l="1"/>
  <c r="N195" i="8"/>
  <c r="H191" i="8"/>
  <c r="J191" i="8" s="1"/>
  <c r="C191" i="8"/>
  <c r="K191" i="8" l="1"/>
  <c r="O191" i="8" s="1"/>
  <c r="P191" i="8" s="1"/>
  <c r="D191" i="8" a="1"/>
  <c r="D191" i="8" s="1"/>
  <c r="A191" i="8" l="1"/>
  <c r="I192" i="8"/>
  <c r="L192" i="8"/>
  <c r="H192" i="8" s="1"/>
  <c r="J192" i="8" s="1"/>
  <c r="C192" i="8" l="1"/>
  <c r="K192" i="8" s="1"/>
  <c r="O192" i="8" s="1"/>
  <c r="P192" i="8" s="1"/>
  <c r="M196" i="8"/>
  <c r="N196" i="8"/>
  <c r="D192" i="8" l="1" a="1"/>
  <c r="D192" i="8" s="1"/>
  <c r="A192" i="8" l="1"/>
  <c r="L193" i="8"/>
  <c r="I193" i="8"/>
  <c r="H193" i="8"/>
  <c r="C193" i="8"/>
  <c r="J193" i="8" l="1"/>
  <c r="K193" i="8"/>
  <c r="O193" i="8" s="1"/>
  <c r="P193" i="8" s="1"/>
  <c r="M197" i="8"/>
  <c r="N197" i="8"/>
  <c r="D193" i="8" l="1" a="1"/>
  <c r="D193" i="8" s="1"/>
  <c r="A193" i="8" l="1"/>
  <c r="I194" i="8"/>
  <c r="L194" i="8"/>
  <c r="C194" i="8" l="1"/>
  <c r="M198" i="8"/>
  <c r="N198" i="8"/>
  <c r="H194" i="8"/>
  <c r="J194" i="8" s="1"/>
  <c r="K194" i="8" l="1"/>
  <c r="O194" i="8" s="1"/>
  <c r="P194" i="8" s="1"/>
  <c r="D194" i="8" a="1"/>
  <c r="D194" i="8" s="1"/>
  <c r="L195" i="8" l="1"/>
  <c r="C195" i="8" s="1"/>
  <c r="A194" i="8"/>
  <c r="I195" i="8"/>
  <c r="M199" i="8" l="1"/>
  <c r="N199" i="8"/>
  <c r="H195" i="8"/>
  <c r="J195" i="8" s="1"/>
  <c r="K195" i="8" l="1"/>
  <c r="O195" i="8" s="1"/>
  <c r="P195" i="8" s="1"/>
  <c r="D195" i="8" l="1" a="1"/>
  <c r="D195" i="8" s="1"/>
  <c r="L196" i="8" l="1"/>
  <c r="A195" i="8"/>
  <c r="I196" i="8"/>
  <c r="H196" i="8"/>
  <c r="C196" i="8"/>
  <c r="J196" i="8" l="1"/>
  <c r="M200" i="8"/>
  <c r="N200" i="8"/>
  <c r="K196" i="8" l="1"/>
  <c r="O196" i="8" s="1"/>
  <c r="P196" i="8" s="1"/>
  <c r="D196" i="8" l="1" a="1"/>
  <c r="D196" i="8" s="1"/>
  <c r="I197" i="8" l="1"/>
  <c r="A196" i="8"/>
  <c r="L197" i="8"/>
  <c r="H197" i="8"/>
  <c r="J197" i="8" s="1"/>
  <c r="C197" i="8" l="1"/>
  <c r="K197" i="8" s="1"/>
  <c r="O197" i="8" s="1"/>
  <c r="P197" i="8" s="1"/>
  <c r="M201" i="8"/>
  <c r="N201" i="8"/>
  <c r="D197" i="8" l="1" a="1"/>
  <c r="D197" i="8" s="1"/>
  <c r="L198" i="8" l="1"/>
  <c r="I198" i="8"/>
  <c r="A197" i="8"/>
  <c r="C198" i="8"/>
  <c r="H198" i="8" l="1"/>
  <c r="J198" i="8" s="1"/>
  <c r="N202" i="8"/>
  <c r="M202" i="8"/>
  <c r="K198" i="8" l="1"/>
  <c r="O198" i="8" s="1"/>
  <c r="P198" i="8" s="1"/>
  <c r="D198" i="8" l="1" a="1"/>
  <c r="D198" i="8" s="1"/>
  <c r="A198" i="8" l="1"/>
  <c r="L199" i="8"/>
  <c r="I199" i="8"/>
  <c r="C199" i="8"/>
  <c r="H199" i="8" l="1"/>
  <c r="J199" i="8" s="1"/>
  <c r="N203" i="8"/>
  <c r="M203" i="8"/>
  <c r="K199" i="8" l="1"/>
  <c r="O199" i="8" s="1"/>
  <c r="P199" i="8" s="1"/>
  <c r="D199" i="8" l="1" a="1"/>
  <c r="D199" i="8" s="1"/>
  <c r="A199" i="8" l="1"/>
  <c r="L200" i="8"/>
  <c r="I200" i="8"/>
  <c r="H200" i="8"/>
  <c r="J200" i="8" s="1"/>
  <c r="C200" i="8" l="1"/>
  <c r="K200" i="8" s="1"/>
  <c r="N204" i="8"/>
  <c r="M204" i="8"/>
  <c r="O200" i="8" l="1"/>
  <c r="P200" i="8" s="1"/>
  <c r="D200" i="8" a="1"/>
  <c r="D200" i="8" s="1"/>
  <c r="I201" i="8" l="1"/>
  <c r="A200" i="8"/>
  <c r="L201" i="8"/>
  <c r="H201" i="8"/>
  <c r="J201" i="8" s="1"/>
  <c r="C201" i="8"/>
  <c r="K201" i="8" l="1"/>
  <c r="O201" i="8" s="1"/>
  <c r="P201" i="8" s="1"/>
  <c r="N205" i="8"/>
  <c r="M205" i="8"/>
  <c r="D201" i="8" l="1" a="1"/>
  <c r="D201" i="8" s="1"/>
  <c r="A201" i="8" l="1"/>
  <c r="L202" i="8"/>
  <c r="I202" i="8"/>
  <c r="C202" i="8"/>
  <c r="K202" i="8" s="1"/>
  <c r="O202" i="8" s="1"/>
  <c r="P202" i="8" s="1"/>
  <c r="H202" i="8"/>
  <c r="J202" i="8" s="1"/>
  <c r="D202" i="8" s="1" a="1"/>
  <c r="D202" i="8" s="1"/>
  <c r="A202" i="8" l="1"/>
  <c r="L203" i="8"/>
  <c r="I203" i="8"/>
  <c r="H203" i="8"/>
  <c r="J203" i="8" s="1"/>
  <c r="C203" i="8"/>
  <c r="M206" i="8"/>
  <c r="N206" i="8"/>
  <c r="D203" i="8" l="1" a="1"/>
  <c r="D203" i="8" s="1"/>
  <c r="M207" i="8"/>
  <c r="N207" i="8"/>
  <c r="K203" i="8"/>
  <c r="O203" i="8" s="1"/>
  <c r="P203" i="8" s="1"/>
  <c r="L204" i="8" l="1"/>
  <c r="A203" i="8"/>
  <c r="I204" i="8"/>
  <c r="H204" i="8"/>
  <c r="J204" i="8" s="1"/>
  <c r="C204" i="8"/>
  <c r="K204" i="8" l="1"/>
  <c r="O204" i="8" s="1"/>
  <c r="P204" i="8" s="1"/>
  <c r="N208" i="8"/>
  <c r="M208" i="8"/>
  <c r="D204" i="8" l="1" a="1"/>
  <c r="D204" i="8" s="1"/>
  <c r="A204" i="8" l="1"/>
  <c r="I205" i="8"/>
  <c r="L205" i="8"/>
  <c r="C205" i="8" l="1"/>
  <c r="M209" i="8"/>
  <c r="N209" i="8"/>
  <c r="H205" i="8"/>
  <c r="J205" i="8" s="1"/>
  <c r="K205" i="8" l="1"/>
  <c r="O205" i="8" s="1"/>
  <c r="P205" i="8" s="1"/>
  <c r="D205" i="8" l="1" a="1"/>
  <c r="D205" i="8" s="1"/>
  <c r="I206" i="8" l="1"/>
  <c r="A205" i="8"/>
  <c r="L206" i="8"/>
  <c r="H206" i="8"/>
  <c r="J206" i="8" s="1"/>
  <c r="C206" i="8" l="1"/>
  <c r="K206" i="8" s="1"/>
  <c r="M210" i="8"/>
  <c r="N210" i="8"/>
  <c r="O206" i="8" l="1"/>
  <c r="P206" i="8" s="1"/>
  <c r="D206" i="8" a="1"/>
  <c r="D206" i="8" s="1"/>
  <c r="A206" i="8" l="1"/>
  <c r="I207" i="8"/>
  <c r="L207" i="8"/>
  <c r="H207" i="8" l="1"/>
  <c r="J207" i="8" s="1"/>
  <c r="M211" i="8"/>
  <c r="N211" i="8"/>
  <c r="C207" i="8"/>
  <c r="K207" i="8" l="1"/>
  <c r="O207" i="8" s="1"/>
  <c r="P207" i="8" s="1"/>
  <c r="D207" i="8" a="1"/>
  <c r="D207" i="8" s="1"/>
  <c r="L208" i="8" l="1"/>
  <c r="A207" i="8"/>
  <c r="I208" i="8"/>
  <c r="C208" i="8"/>
  <c r="H208" i="8"/>
  <c r="J208" i="8" s="1"/>
  <c r="K208" i="8" l="1"/>
  <c r="O208" i="8" s="1"/>
  <c r="P208" i="8" s="1"/>
  <c r="M212" i="8"/>
  <c r="N212" i="8"/>
  <c r="D208" i="8" l="1" a="1"/>
  <c r="D208" i="8" s="1"/>
  <c r="I209" i="8" l="1"/>
  <c r="L209" i="8"/>
  <c r="A208" i="8"/>
  <c r="H209" i="8"/>
  <c r="J209" i="8" s="1"/>
  <c r="D209" i="8" s="1" a="1"/>
  <c r="D209" i="8" s="1"/>
  <c r="C209" i="8"/>
  <c r="K209" i="8" s="1"/>
  <c r="O209" i="8" s="1"/>
  <c r="P209" i="8" s="1"/>
  <c r="I210" i="8" l="1"/>
  <c r="A209" i="8"/>
  <c r="L210" i="8"/>
  <c r="H210" i="8" s="1"/>
  <c r="J210" i="8" s="1"/>
  <c r="M213" i="8"/>
  <c r="N213" i="8"/>
  <c r="C210" i="8" l="1"/>
  <c r="K210" i="8" s="1"/>
  <c r="O210" i="8" s="1"/>
  <c r="P210" i="8" s="1"/>
  <c r="N214" i="8"/>
  <c r="M214" i="8"/>
  <c r="D210" i="8" l="1" a="1"/>
  <c r="D210" i="8" s="1"/>
  <c r="I211" i="8" l="1"/>
  <c r="A210" i="8"/>
  <c r="L211" i="8"/>
  <c r="H211" i="8"/>
  <c r="J211" i="8" s="1"/>
  <c r="N215" i="8" l="1"/>
  <c r="M215" i="8"/>
  <c r="C211" i="8"/>
  <c r="K211" i="8" s="1"/>
  <c r="O211" i="8" s="1"/>
  <c r="P211" i="8" s="1"/>
  <c r="D211" i="8" l="1" a="1"/>
  <c r="D211" i="8" s="1"/>
  <c r="A211" i="8" l="1"/>
  <c r="I212" i="8"/>
  <c r="L212" i="8"/>
  <c r="H212" i="8"/>
  <c r="J212" i="8" s="1"/>
  <c r="M216" i="8" l="1"/>
  <c r="N216" i="8"/>
  <c r="C212" i="8"/>
  <c r="K212" i="8" s="1"/>
  <c r="O212" i="8" l="1"/>
  <c r="P212" i="8" s="1"/>
  <c r="D212" i="8" a="1"/>
  <c r="D212" i="8" s="1"/>
  <c r="A212" i="8" l="1"/>
  <c r="I213" i="8"/>
  <c r="L213" i="8"/>
  <c r="M217" i="8" l="1"/>
  <c r="N217" i="8"/>
  <c r="H213" i="8"/>
  <c r="J213" i="8" s="1"/>
  <c r="C213" i="8"/>
  <c r="K213" i="8" l="1"/>
  <c r="O213" i="8" s="1"/>
  <c r="P213" i="8" s="1"/>
  <c r="D213" i="8" l="1" a="1"/>
  <c r="D213" i="8" s="1"/>
  <c r="L214" i="8" l="1"/>
  <c r="I214" i="8"/>
  <c r="A213" i="8"/>
  <c r="C214" i="8"/>
  <c r="H214" i="8"/>
  <c r="J214" i="8" s="1"/>
  <c r="K214" i="8" l="1"/>
  <c r="O214" i="8" s="1"/>
  <c r="P214" i="8" s="1"/>
  <c r="N218" i="8"/>
  <c r="M218" i="8"/>
  <c r="D214" i="8" l="1" a="1"/>
  <c r="D214" i="8" s="1"/>
  <c r="L215" i="8" l="1"/>
  <c r="C215" i="8"/>
  <c r="I215" i="8"/>
  <c r="H215" i="8"/>
  <c r="A214" i="8"/>
  <c r="K215" i="8" l="1"/>
  <c r="O215" i="8" s="1"/>
  <c r="P215" i="8" s="1"/>
  <c r="J215" i="8"/>
  <c r="N219" i="8"/>
  <c r="M219" i="8"/>
  <c r="D215" i="8" l="1" a="1"/>
  <c r="D215" i="8" s="1"/>
  <c r="A215" i="8" l="1"/>
  <c r="I216" i="8"/>
  <c r="L216" i="8"/>
  <c r="H216" i="8" s="1"/>
  <c r="J216" i="8" s="1"/>
  <c r="C216" i="8"/>
  <c r="D216" i="8" l="1" a="1"/>
  <c r="D216" i="8" s="1"/>
  <c r="K216" i="8"/>
  <c r="O216" i="8" s="1"/>
  <c r="P216" i="8" s="1"/>
  <c r="M220" i="8"/>
  <c r="N220" i="8"/>
  <c r="A216" i="8" l="1"/>
  <c r="I217" i="8"/>
  <c r="L217" i="8"/>
  <c r="H217" i="8" l="1"/>
  <c r="J217" i="8" s="1"/>
  <c r="D217" i="8" s="1" a="1"/>
  <c r="D217" i="8" s="1"/>
  <c r="N221" i="8"/>
  <c r="O221" i="8" s="1"/>
  <c r="P221" i="8" s="1"/>
  <c r="M221" i="8"/>
  <c r="C217" i="8"/>
  <c r="K217" i="8" s="1"/>
  <c r="O217" i="8" s="1"/>
  <c r="P217" i="8" s="1"/>
  <c r="L218" i="8" l="1"/>
  <c r="A217" i="8"/>
  <c r="I218" i="8"/>
  <c r="C218" i="8"/>
  <c r="H218" i="8" l="1"/>
  <c r="J218" i="8" s="1"/>
  <c r="M222" i="8"/>
  <c r="N222" i="8"/>
  <c r="O222" i="8" s="1"/>
  <c r="P222" i="8" s="1"/>
  <c r="K218" i="8" l="1"/>
  <c r="O218" i="8" s="1"/>
  <c r="P218" i="8" s="1"/>
  <c r="D218" i="8" l="1" a="1"/>
  <c r="D218" i="8" s="1"/>
  <c r="I219" i="8" l="1"/>
  <c r="A218" i="8"/>
  <c r="L219" i="8"/>
  <c r="H219" i="8" l="1"/>
  <c r="J219" i="8" s="1"/>
  <c r="N223" i="8"/>
  <c r="M223" i="8"/>
  <c r="C219" i="8"/>
  <c r="K219" i="8" s="1"/>
  <c r="O219" i="8" s="1"/>
  <c r="P219" i="8" l="1"/>
  <c r="O223" i="8"/>
  <c r="P223" i="8" s="1"/>
  <c r="J8" i="8"/>
  <c r="D219" i="8" a="1"/>
  <c r="D219" i="8" s="1"/>
  <c r="A219" i="8" l="1"/>
  <c r="L220" i="8"/>
  <c r="N224" i="8" l="1"/>
  <c r="O220" i="8"/>
  <c r="M224" i="8"/>
  <c r="M8" i="8" s="1"/>
  <c r="N1" i="8" s="1"/>
  <c r="L8" i="8"/>
  <c r="P220" i="8" l="1"/>
  <c r="O224" i="8"/>
  <c r="P224" i="8" s="1"/>
  <c r="P8" i="8" s="1"/>
  <c r="N8" i="8"/>
  <c r="M2" i="8" s="1"/>
  <c r="O8" i="8" l="1"/>
  <c r="M11" i="1" l="1"/>
  <c r="K11" i="1"/>
  <c r="D25" i="1" a="1"/>
  <c r="D25" i="1" s="1"/>
  <c r="J12" i="1"/>
  <c r="K15" i="1"/>
  <c r="C15" i="1"/>
  <c r="H15" i="1"/>
  <c r="J15" i="1" s="1"/>
  <c r="H18" i="7"/>
  <c r="C18" i="7"/>
  <c r="D17" i="7" a="1"/>
  <c r="D17" i="7" s="1"/>
  <c r="H16" i="7"/>
  <c r="D15" i="7" a="1"/>
  <c r="D15" i="7" s="1"/>
  <c r="L235" i="7"/>
  <c r="J235" i="7"/>
  <c r="K235" i="7" s="1"/>
  <c r="O235" i="7" s="1"/>
  <c r="P235" i="7" s="1"/>
  <c r="I235" i="7"/>
  <c r="A235" i="7"/>
  <c r="L234" i="7"/>
  <c r="I234" i="7"/>
  <c r="J234" i="7" s="1"/>
  <c r="K234" i="7" s="1"/>
  <c r="A234" i="7"/>
  <c r="L233" i="7"/>
  <c r="I233" i="7"/>
  <c r="J233" i="7" s="1"/>
  <c r="K233" i="7" s="1"/>
  <c r="O233" i="7" s="1"/>
  <c r="P233" i="7" s="1"/>
  <c r="A233" i="7"/>
  <c r="L232" i="7"/>
  <c r="J232" i="7"/>
  <c r="K232" i="7" s="1"/>
  <c r="I232" i="7"/>
  <c r="A232" i="7"/>
  <c r="M231" i="7"/>
  <c r="L231" i="7"/>
  <c r="N235" i="7" s="1"/>
  <c r="J231" i="7"/>
  <c r="K231" i="7" s="1"/>
  <c r="I231" i="7"/>
  <c r="A231" i="7"/>
  <c r="N230" i="7"/>
  <c r="M230" i="7"/>
  <c r="L230" i="7"/>
  <c r="K230" i="7"/>
  <c r="J230" i="7"/>
  <c r="I230" i="7"/>
  <c r="A230" i="7"/>
  <c r="N229" i="7"/>
  <c r="L229" i="7"/>
  <c r="N233" i="7" s="1"/>
  <c r="I229" i="7"/>
  <c r="J229" i="7" s="1"/>
  <c r="K229" i="7" s="1"/>
  <c r="O229" i="7" s="1"/>
  <c r="P229" i="7" s="1"/>
  <c r="A229" i="7"/>
  <c r="L228" i="7"/>
  <c r="I228" i="7"/>
  <c r="J228" i="7" s="1"/>
  <c r="K228" i="7" s="1"/>
  <c r="A228" i="7"/>
  <c r="L227" i="7"/>
  <c r="N231" i="7" s="1"/>
  <c r="K227" i="7"/>
  <c r="J227" i="7"/>
  <c r="I227" i="7"/>
  <c r="A227" i="7"/>
  <c r="L226" i="7"/>
  <c r="J226" i="7"/>
  <c r="K226" i="7" s="1"/>
  <c r="I226" i="7"/>
  <c r="A226" i="7"/>
  <c r="L225" i="7"/>
  <c r="M229" i="7" s="1"/>
  <c r="K225" i="7"/>
  <c r="I225" i="7"/>
  <c r="J225" i="7" s="1"/>
  <c r="A225" i="7"/>
  <c r="R224" i="7"/>
  <c r="S224" i="7" s="1"/>
  <c r="L224" i="7"/>
  <c r="A224" i="7"/>
  <c r="R223" i="7"/>
  <c r="S223" i="7" s="1"/>
  <c r="A223" i="7"/>
  <c r="R222" i="7"/>
  <c r="S222" i="7" s="1"/>
  <c r="A222" i="7"/>
  <c r="R221" i="7"/>
  <c r="S221" i="7" s="1"/>
  <c r="A221" i="7"/>
  <c r="A220" i="7"/>
  <c r="U219" i="7"/>
  <c r="T219" i="7"/>
  <c r="R219" i="7"/>
  <c r="S219" i="7" s="1"/>
  <c r="U218" i="7"/>
  <c r="T218" i="7"/>
  <c r="S218" i="7"/>
  <c r="R218" i="7"/>
  <c r="T217" i="7"/>
  <c r="U217" i="7" s="1"/>
  <c r="R217" i="7"/>
  <c r="S217" i="7" s="1"/>
  <c r="T216" i="7"/>
  <c r="U216" i="7" s="1"/>
  <c r="S216" i="7"/>
  <c r="R216" i="7"/>
  <c r="U215" i="7"/>
  <c r="T215" i="7"/>
  <c r="R215" i="7"/>
  <c r="S215" i="7" s="1"/>
  <c r="U214" i="7"/>
  <c r="T214" i="7"/>
  <c r="S214" i="7"/>
  <c r="R214" i="7"/>
  <c r="U213" i="7"/>
  <c r="T213" i="7"/>
  <c r="R213" i="7"/>
  <c r="S213" i="7" s="1"/>
  <c r="T212" i="7"/>
  <c r="U212" i="7" s="1"/>
  <c r="S212" i="7"/>
  <c r="R212" i="7"/>
  <c r="U211" i="7"/>
  <c r="T211" i="7"/>
  <c r="R211" i="7"/>
  <c r="S211" i="7" s="1"/>
  <c r="U210" i="7"/>
  <c r="T210" i="7"/>
  <c r="S210" i="7"/>
  <c r="R210" i="7"/>
  <c r="U209" i="7"/>
  <c r="T209" i="7"/>
  <c r="R209" i="7"/>
  <c r="S209" i="7" s="1"/>
  <c r="T208" i="7"/>
  <c r="U208" i="7" s="1"/>
  <c r="S208" i="7"/>
  <c r="R208" i="7"/>
  <c r="U207" i="7"/>
  <c r="T207" i="7"/>
  <c r="R207" i="7"/>
  <c r="S207" i="7" s="1"/>
  <c r="U206" i="7"/>
  <c r="T206" i="7"/>
  <c r="S206" i="7"/>
  <c r="R206" i="7"/>
  <c r="U205" i="7"/>
  <c r="T205" i="7"/>
  <c r="R205" i="7"/>
  <c r="S205" i="7" s="1"/>
  <c r="T204" i="7"/>
  <c r="U204" i="7" s="1"/>
  <c r="S204" i="7"/>
  <c r="R204" i="7"/>
  <c r="U203" i="7"/>
  <c r="T203" i="7"/>
  <c r="R203" i="7"/>
  <c r="S203" i="7" s="1"/>
  <c r="U202" i="7"/>
  <c r="T202" i="7"/>
  <c r="S202" i="7"/>
  <c r="R202" i="7"/>
  <c r="U201" i="7"/>
  <c r="T201" i="7"/>
  <c r="S201" i="7"/>
  <c r="R201" i="7"/>
  <c r="T200" i="7"/>
  <c r="U200" i="7" s="1"/>
  <c r="S200" i="7"/>
  <c r="R200" i="7"/>
  <c r="U199" i="7"/>
  <c r="T199" i="7"/>
  <c r="R199" i="7"/>
  <c r="S199" i="7" s="1"/>
  <c r="U198" i="7"/>
  <c r="T198" i="7"/>
  <c r="S198" i="7"/>
  <c r="R198" i="7"/>
  <c r="T197" i="7"/>
  <c r="U197" i="7" s="1"/>
  <c r="S197" i="7"/>
  <c r="R197" i="7"/>
  <c r="U196" i="7"/>
  <c r="T196" i="7"/>
  <c r="S196" i="7"/>
  <c r="R196" i="7"/>
  <c r="T195" i="7"/>
  <c r="U195" i="7" s="1"/>
  <c r="R195" i="7"/>
  <c r="S195" i="7" s="1"/>
  <c r="T194" i="7"/>
  <c r="U194" i="7" s="1"/>
  <c r="R194" i="7"/>
  <c r="S194" i="7" s="1"/>
  <c r="T193" i="7"/>
  <c r="U193" i="7" s="1"/>
  <c r="R193" i="7"/>
  <c r="S193" i="7" s="1"/>
  <c r="T192" i="7"/>
  <c r="U192" i="7" s="1"/>
  <c r="R192" i="7"/>
  <c r="S192" i="7" s="1"/>
  <c r="U191" i="7"/>
  <c r="T191" i="7"/>
  <c r="R191" i="7"/>
  <c r="S191" i="7" s="1"/>
  <c r="U190" i="7"/>
  <c r="T190" i="7"/>
  <c r="R190" i="7"/>
  <c r="S190" i="7" s="1"/>
  <c r="U189" i="7"/>
  <c r="T189" i="7"/>
  <c r="S189" i="7"/>
  <c r="R189" i="7"/>
  <c r="T188" i="7"/>
  <c r="U188" i="7" s="1"/>
  <c r="R188" i="7"/>
  <c r="S188" i="7" s="1"/>
  <c r="T187" i="7"/>
  <c r="U187" i="7" s="1"/>
  <c r="R187" i="7"/>
  <c r="S187" i="7" s="1"/>
  <c r="T186" i="7"/>
  <c r="U186" i="7" s="1"/>
  <c r="R186" i="7"/>
  <c r="S186" i="7" s="1"/>
  <c r="T185" i="7"/>
  <c r="U185" i="7" s="1"/>
  <c r="R185" i="7"/>
  <c r="S185" i="7" s="1"/>
  <c r="U184" i="7"/>
  <c r="T184" i="7"/>
  <c r="R184" i="7"/>
  <c r="S184" i="7" s="1"/>
  <c r="T183" i="7"/>
  <c r="U183" i="7" s="1"/>
  <c r="R183" i="7"/>
  <c r="S183" i="7" s="1"/>
  <c r="T182" i="7"/>
  <c r="U182" i="7" s="1"/>
  <c r="R182" i="7"/>
  <c r="S182" i="7" s="1"/>
  <c r="T181" i="7"/>
  <c r="U181" i="7" s="1"/>
  <c r="R181" i="7"/>
  <c r="S181" i="7" s="1"/>
  <c r="T180" i="7"/>
  <c r="U180" i="7" s="1"/>
  <c r="R180" i="7"/>
  <c r="S180" i="7" s="1"/>
  <c r="U179" i="7"/>
  <c r="T179" i="7"/>
  <c r="R179" i="7"/>
  <c r="S179" i="7" s="1"/>
  <c r="T178" i="7"/>
  <c r="U178" i="7" s="1"/>
  <c r="R178" i="7"/>
  <c r="S178" i="7" s="1"/>
  <c r="U177" i="7"/>
  <c r="T177" i="7"/>
  <c r="S177" i="7"/>
  <c r="R177" i="7"/>
  <c r="T176" i="7"/>
  <c r="U176" i="7" s="1"/>
  <c r="R176" i="7"/>
  <c r="S176" i="7" s="1"/>
  <c r="T175" i="7"/>
  <c r="U175" i="7" s="1"/>
  <c r="S175" i="7"/>
  <c r="R175" i="7"/>
  <c r="T174" i="7"/>
  <c r="U174" i="7" s="1"/>
  <c r="R174" i="7"/>
  <c r="S174" i="7" s="1"/>
  <c r="U173" i="7"/>
  <c r="T173" i="7"/>
  <c r="S173" i="7"/>
  <c r="R173" i="7"/>
  <c r="T172" i="7"/>
  <c r="U172" i="7" s="1"/>
  <c r="R172" i="7"/>
  <c r="S172" i="7" s="1"/>
  <c r="U171" i="7"/>
  <c r="T171" i="7"/>
  <c r="R171" i="7"/>
  <c r="S171" i="7" s="1"/>
  <c r="U170" i="7"/>
  <c r="T170" i="7"/>
  <c r="R170" i="7"/>
  <c r="S170" i="7" s="1"/>
  <c r="T169" i="7"/>
  <c r="U169" i="7" s="1"/>
  <c r="R169" i="7"/>
  <c r="S169" i="7" s="1"/>
  <c r="T168" i="7"/>
  <c r="U168" i="7" s="1"/>
  <c r="S168" i="7"/>
  <c r="R168" i="7"/>
  <c r="T167" i="7"/>
  <c r="U167" i="7" s="1"/>
  <c r="R167" i="7"/>
  <c r="S167" i="7" s="1"/>
  <c r="T166" i="7"/>
  <c r="U166" i="7" s="1"/>
  <c r="R166" i="7"/>
  <c r="S166" i="7" s="1"/>
  <c r="U165" i="7"/>
  <c r="T165" i="7"/>
  <c r="S165" i="7"/>
  <c r="R165" i="7"/>
  <c r="T164" i="7"/>
  <c r="U164" i="7" s="1"/>
  <c r="S164" i="7"/>
  <c r="R164" i="7"/>
  <c r="U163" i="7"/>
  <c r="T163" i="7"/>
  <c r="S163" i="7"/>
  <c r="R163" i="7"/>
  <c r="T162" i="7"/>
  <c r="U162" i="7" s="1"/>
  <c r="S162" i="7"/>
  <c r="R162" i="7"/>
  <c r="U161" i="7"/>
  <c r="T161" i="7"/>
  <c r="S161" i="7"/>
  <c r="R161" i="7"/>
  <c r="T160" i="7"/>
  <c r="U160" i="7" s="1"/>
  <c r="S160" i="7"/>
  <c r="R160" i="7"/>
  <c r="U159" i="7"/>
  <c r="T159" i="7"/>
  <c r="S159" i="7"/>
  <c r="R159" i="7"/>
  <c r="T158" i="7"/>
  <c r="U158" i="7" s="1"/>
  <c r="S158" i="7"/>
  <c r="R158" i="7"/>
  <c r="U157" i="7"/>
  <c r="T157" i="7"/>
  <c r="S157" i="7"/>
  <c r="R157" i="7"/>
  <c r="T156" i="7"/>
  <c r="U156" i="7" s="1"/>
  <c r="S156" i="7"/>
  <c r="R156" i="7"/>
  <c r="U155" i="7"/>
  <c r="T155" i="7"/>
  <c r="S155" i="7"/>
  <c r="R155" i="7"/>
  <c r="T154" i="7"/>
  <c r="U154" i="7" s="1"/>
  <c r="S154" i="7"/>
  <c r="R154" i="7"/>
  <c r="U153" i="7"/>
  <c r="T153" i="7"/>
  <c r="S153" i="7"/>
  <c r="R153" i="7"/>
  <c r="T152" i="7"/>
  <c r="U152" i="7" s="1"/>
  <c r="S152" i="7"/>
  <c r="R152" i="7"/>
  <c r="U151" i="7"/>
  <c r="T151" i="7"/>
  <c r="S151" i="7"/>
  <c r="R151" i="7"/>
  <c r="T150" i="7"/>
  <c r="U150" i="7" s="1"/>
  <c r="S150" i="7"/>
  <c r="R150" i="7"/>
  <c r="U149" i="7"/>
  <c r="T149" i="7"/>
  <c r="S149" i="7"/>
  <c r="R149" i="7"/>
  <c r="T148" i="7"/>
  <c r="U148" i="7" s="1"/>
  <c r="S148" i="7"/>
  <c r="R148" i="7"/>
  <c r="U147" i="7"/>
  <c r="T147" i="7"/>
  <c r="S147" i="7"/>
  <c r="R147" i="7"/>
  <c r="T146" i="7"/>
  <c r="U146" i="7" s="1"/>
  <c r="S146" i="7"/>
  <c r="R146" i="7"/>
  <c r="U145" i="7"/>
  <c r="T145" i="7"/>
  <c r="S145" i="7"/>
  <c r="R145" i="7"/>
  <c r="T144" i="7"/>
  <c r="U144" i="7" s="1"/>
  <c r="S144" i="7"/>
  <c r="R144" i="7"/>
  <c r="T143" i="7"/>
  <c r="U143" i="7" s="1"/>
  <c r="S143" i="7"/>
  <c r="R143" i="7"/>
  <c r="T142" i="7"/>
  <c r="U142" i="7" s="1"/>
  <c r="S142" i="7"/>
  <c r="R142" i="7"/>
  <c r="U141" i="7"/>
  <c r="T141" i="7"/>
  <c r="R141" i="7"/>
  <c r="S141" i="7" s="1"/>
  <c r="T140" i="7"/>
  <c r="U140" i="7" s="1"/>
  <c r="R140" i="7"/>
  <c r="S140" i="7" s="1"/>
  <c r="T139" i="7"/>
  <c r="U139" i="7" s="1"/>
  <c r="S139" i="7"/>
  <c r="R139" i="7"/>
  <c r="T138" i="7"/>
  <c r="U138" i="7" s="1"/>
  <c r="S138" i="7"/>
  <c r="R138" i="7"/>
  <c r="U137" i="7"/>
  <c r="T137" i="7"/>
  <c r="R137" i="7"/>
  <c r="S137" i="7" s="1"/>
  <c r="T136" i="7"/>
  <c r="U136" i="7" s="1"/>
  <c r="S136" i="7"/>
  <c r="R136" i="7"/>
  <c r="T135" i="7"/>
  <c r="U135" i="7" s="1"/>
  <c r="R135" i="7"/>
  <c r="S135" i="7" s="1"/>
  <c r="T134" i="7"/>
  <c r="U134" i="7" s="1"/>
  <c r="R134" i="7"/>
  <c r="S134" i="7" s="1"/>
  <c r="T133" i="7"/>
  <c r="U133" i="7" s="1"/>
  <c r="S133" i="7"/>
  <c r="R133" i="7"/>
  <c r="T132" i="7"/>
  <c r="U132" i="7" s="1"/>
  <c r="R132" i="7"/>
  <c r="S132" i="7" s="1"/>
  <c r="U131" i="7"/>
  <c r="T131" i="7"/>
  <c r="S131" i="7"/>
  <c r="R131" i="7"/>
  <c r="T130" i="7"/>
  <c r="U130" i="7" s="1"/>
  <c r="R130" i="7"/>
  <c r="S130" i="7" s="1"/>
  <c r="T129" i="7"/>
  <c r="U129" i="7" s="1"/>
  <c r="S129" i="7"/>
  <c r="R129" i="7"/>
  <c r="T128" i="7"/>
  <c r="U128" i="7" s="1"/>
  <c r="S128" i="7"/>
  <c r="R128" i="7"/>
  <c r="T127" i="7"/>
  <c r="U127" i="7" s="1"/>
  <c r="S127" i="7"/>
  <c r="R127" i="7"/>
  <c r="T126" i="7"/>
  <c r="U126" i="7" s="1"/>
  <c r="R126" i="7"/>
  <c r="S126" i="7" s="1"/>
  <c r="T125" i="7"/>
  <c r="U125" i="7" s="1"/>
  <c r="S125" i="7"/>
  <c r="R125" i="7"/>
  <c r="T124" i="7"/>
  <c r="U124" i="7" s="1"/>
  <c r="R124" i="7"/>
  <c r="S124" i="7" s="1"/>
  <c r="T123" i="7"/>
  <c r="U123" i="7" s="1"/>
  <c r="S123" i="7"/>
  <c r="R123" i="7"/>
  <c r="T122" i="7"/>
  <c r="U122" i="7" s="1"/>
  <c r="R122" i="7"/>
  <c r="S122" i="7" s="1"/>
  <c r="T121" i="7"/>
  <c r="U121" i="7" s="1"/>
  <c r="S121" i="7"/>
  <c r="R121" i="7"/>
  <c r="T120" i="7"/>
  <c r="U120" i="7" s="1"/>
  <c r="R120" i="7"/>
  <c r="S120" i="7" s="1"/>
  <c r="T119" i="7"/>
  <c r="U119" i="7" s="1"/>
  <c r="S119" i="7"/>
  <c r="R119" i="7"/>
  <c r="T118" i="7"/>
  <c r="U118" i="7" s="1"/>
  <c r="R118" i="7"/>
  <c r="S118" i="7" s="1"/>
  <c r="T117" i="7"/>
  <c r="U117" i="7" s="1"/>
  <c r="S117" i="7"/>
  <c r="R117" i="7"/>
  <c r="T116" i="7"/>
  <c r="U116" i="7" s="1"/>
  <c r="R116" i="7"/>
  <c r="S116" i="7" s="1"/>
  <c r="T115" i="7"/>
  <c r="U115" i="7" s="1"/>
  <c r="S115" i="7"/>
  <c r="R115" i="7"/>
  <c r="T114" i="7"/>
  <c r="U114" i="7" s="1"/>
  <c r="R114" i="7"/>
  <c r="S114" i="7" s="1"/>
  <c r="T113" i="7"/>
  <c r="U113" i="7" s="1"/>
  <c r="S113" i="7"/>
  <c r="R113" i="7"/>
  <c r="U112" i="7"/>
  <c r="T112" i="7"/>
  <c r="R112" i="7"/>
  <c r="S112" i="7" s="1"/>
  <c r="T111" i="7"/>
  <c r="U111" i="7" s="1"/>
  <c r="S111" i="7"/>
  <c r="R111" i="7"/>
  <c r="U110" i="7"/>
  <c r="T110" i="7"/>
  <c r="R110" i="7"/>
  <c r="S110" i="7" s="1"/>
  <c r="T109" i="7"/>
  <c r="U109" i="7" s="1"/>
  <c r="S109" i="7"/>
  <c r="R109" i="7"/>
  <c r="T108" i="7"/>
  <c r="U108" i="7" s="1"/>
  <c r="R108" i="7"/>
  <c r="S108" i="7" s="1"/>
  <c r="T107" i="7"/>
  <c r="U107" i="7" s="1"/>
  <c r="S107" i="7"/>
  <c r="R107" i="7"/>
  <c r="U106" i="7"/>
  <c r="T106" i="7"/>
  <c r="R106" i="7"/>
  <c r="S106" i="7" s="1"/>
  <c r="U105" i="7"/>
  <c r="T105" i="7"/>
  <c r="S105" i="7"/>
  <c r="R105" i="7"/>
  <c r="U104" i="7"/>
  <c r="T104" i="7"/>
  <c r="R104" i="7"/>
  <c r="S104" i="7" s="1"/>
  <c r="U103" i="7"/>
  <c r="T103" i="7"/>
  <c r="S103" i="7"/>
  <c r="R103" i="7"/>
  <c r="U102" i="7"/>
  <c r="T102" i="7"/>
  <c r="R102" i="7"/>
  <c r="S102" i="7" s="1"/>
  <c r="T101" i="7"/>
  <c r="U101" i="7" s="1"/>
  <c r="S101" i="7"/>
  <c r="R101" i="7"/>
  <c r="T100" i="7"/>
  <c r="U100" i="7" s="1"/>
  <c r="R100" i="7"/>
  <c r="S100" i="7" s="1"/>
  <c r="U99" i="7"/>
  <c r="T99" i="7"/>
  <c r="S99" i="7"/>
  <c r="R99" i="7"/>
  <c r="U98" i="7"/>
  <c r="T98" i="7"/>
  <c r="R98" i="7"/>
  <c r="S98" i="7" s="1"/>
  <c r="T97" i="7"/>
  <c r="U97" i="7" s="1"/>
  <c r="R97" i="7"/>
  <c r="S97" i="7" s="1"/>
  <c r="T96" i="7"/>
  <c r="U96" i="7" s="1"/>
  <c r="R96" i="7"/>
  <c r="S96" i="7" s="1"/>
  <c r="U95" i="7"/>
  <c r="T95" i="7"/>
  <c r="S95" i="7"/>
  <c r="R95" i="7"/>
  <c r="U94" i="7"/>
  <c r="T94" i="7"/>
  <c r="S94" i="7"/>
  <c r="R94" i="7"/>
  <c r="U93" i="7"/>
  <c r="T93" i="7"/>
  <c r="S93" i="7"/>
  <c r="R93" i="7"/>
  <c r="T92" i="7"/>
  <c r="U92" i="7" s="1"/>
  <c r="R92" i="7"/>
  <c r="S92" i="7" s="1"/>
  <c r="U91" i="7"/>
  <c r="T91" i="7"/>
  <c r="S91" i="7"/>
  <c r="R91" i="7"/>
  <c r="U90" i="7"/>
  <c r="T90" i="7"/>
  <c r="R90" i="7"/>
  <c r="S90" i="7" s="1"/>
  <c r="U89" i="7"/>
  <c r="T89" i="7"/>
  <c r="S89" i="7"/>
  <c r="R89" i="7"/>
  <c r="T88" i="7"/>
  <c r="U88" i="7" s="1"/>
  <c r="R88" i="7"/>
  <c r="S88" i="7" s="1"/>
  <c r="U87" i="7"/>
  <c r="T87" i="7"/>
  <c r="R87" i="7"/>
  <c r="S87" i="7" s="1"/>
  <c r="T86" i="7"/>
  <c r="U86" i="7" s="1"/>
  <c r="R86" i="7"/>
  <c r="S86" i="7" s="1"/>
  <c r="U85" i="7"/>
  <c r="T85" i="7"/>
  <c r="R85" i="7"/>
  <c r="S85" i="7" s="1"/>
  <c r="T84" i="7"/>
  <c r="U84" i="7" s="1"/>
  <c r="R84" i="7"/>
  <c r="S84" i="7" s="1"/>
  <c r="T83" i="7"/>
  <c r="U83" i="7" s="1"/>
  <c r="R83" i="7"/>
  <c r="S83" i="7" s="1"/>
  <c r="U82" i="7"/>
  <c r="T82" i="7"/>
  <c r="R82" i="7"/>
  <c r="S82" i="7" s="1"/>
  <c r="U81" i="7"/>
  <c r="T81" i="7"/>
  <c r="R81" i="7"/>
  <c r="S81" i="7" s="1"/>
  <c r="U80" i="7"/>
  <c r="T80" i="7"/>
  <c r="S80" i="7"/>
  <c r="R80" i="7"/>
  <c r="T79" i="7"/>
  <c r="U79" i="7" s="1"/>
  <c r="R79" i="7"/>
  <c r="S79" i="7" s="1"/>
  <c r="T78" i="7"/>
  <c r="U78" i="7" s="1"/>
  <c r="S78" i="7"/>
  <c r="R78" i="7"/>
  <c r="T77" i="7"/>
  <c r="U77" i="7" s="1"/>
  <c r="R77" i="7"/>
  <c r="S77" i="7" s="1"/>
  <c r="U76" i="7"/>
  <c r="T76" i="7"/>
  <c r="R76" i="7"/>
  <c r="S76" i="7" s="1"/>
  <c r="T75" i="7"/>
  <c r="U75" i="7" s="1"/>
  <c r="R75" i="7"/>
  <c r="S75" i="7" s="1"/>
  <c r="U74" i="7"/>
  <c r="T74" i="7"/>
  <c r="R74" i="7"/>
  <c r="S74" i="7" s="1"/>
  <c r="U73" i="7"/>
  <c r="T73" i="7"/>
  <c r="R73" i="7"/>
  <c r="S73" i="7" s="1"/>
  <c r="U72" i="7"/>
  <c r="T72" i="7"/>
  <c r="R72" i="7"/>
  <c r="S72" i="7" s="1"/>
  <c r="U71" i="7"/>
  <c r="T71" i="7"/>
  <c r="R71" i="7"/>
  <c r="S71" i="7" s="1"/>
  <c r="T70" i="7"/>
  <c r="U70" i="7" s="1"/>
  <c r="R70" i="7"/>
  <c r="S70" i="7" s="1"/>
  <c r="U69" i="7"/>
  <c r="T69" i="7"/>
  <c r="R69" i="7"/>
  <c r="S69" i="7" s="1"/>
  <c r="U68" i="7"/>
  <c r="T68" i="7"/>
  <c r="S68" i="7"/>
  <c r="R68" i="7"/>
  <c r="U67" i="7"/>
  <c r="T67" i="7"/>
  <c r="S67" i="7"/>
  <c r="R67" i="7"/>
  <c r="T66" i="7"/>
  <c r="U66" i="7" s="1"/>
  <c r="R66" i="7"/>
  <c r="S66" i="7" s="1"/>
  <c r="U65" i="7"/>
  <c r="T65" i="7"/>
  <c r="S65" i="7"/>
  <c r="R65" i="7"/>
  <c r="U64" i="7"/>
  <c r="T64" i="7"/>
  <c r="R64" i="7"/>
  <c r="S64" i="7" s="1"/>
  <c r="U63" i="7"/>
  <c r="T63" i="7"/>
  <c r="R63" i="7"/>
  <c r="S63" i="7" s="1"/>
  <c r="T62" i="7"/>
  <c r="U62" i="7" s="1"/>
  <c r="R62" i="7"/>
  <c r="S62" i="7" s="1"/>
  <c r="U61" i="7"/>
  <c r="T61" i="7"/>
  <c r="R61" i="7"/>
  <c r="S61" i="7" s="1"/>
  <c r="U60" i="7"/>
  <c r="T60" i="7"/>
  <c r="S60" i="7"/>
  <c r="R60" i="7"/>
  <c r="U59" i="7"/>
  <c r="T59" i="7"/>
  <c r="R59" i="7"/>
  <c r="S59" i="7" s="1"/>
  <c r="U58" i="7"/>
  <c r="T58" i="7"/>
  <c r="R58" i="7"/>
  <c r="S58" i="7" s="1"/>
  <c r="T57" i="7"/>
  <c r="U57" i="7" s="1"/>
  <c r="R57" i="7"/>
  <c r="S57" i="7" s="1"/>
  <c r="T56" i="7"/>
  <c r="U56" i="7" s="1"/>
  <c r="R56" i="7"/>
  <c r="S56" i="7" s="1"/>
  <c r="U55" i="7"/>
  <c r="T55" i="7"/>
  <c r="R55" i="7"/>
  <c r="S55" i="7" s="1"/>
  <c r="U54" i="7"/>
  <c r="T54" i="7"/>
  <c r="R54" i="7"/>
  <c r="S54" i="7" s="1"/>
  <c r="T53" i="7"/>
  <c r="U53" i="7" s="1"/>
  <c r="R53" i="7"/>
  <c r="S53" i="7" s="1"/>
  <c r="U52" i="7"/>
  <c r="T52" i="7"/>
  <c r="S52" i="7"/>
  <c r="R52" i="7"/>
  <c r="U51" i="7"/>
  <c r="T51" i="7"/>
  <c r="R51" i="7"/>
  <c r="S51" i="7" s="1"/>
  <c r="T50" i="7"/>
  <c r="U50" i="7" s="1"/>
  <c r="S50" i="7"/>
  <c r="R50" i="7"/>
  <c r="T49" i="7"/>
  <c r="U49" i="7" s="1"/>
  <c r="R49" i="7"/>
  <c r="S49" i="7" s="1"/>
  <c r="T48" i="7"/>
  <c r="U48" i="7" s="1"/>
  <c r="S48" i="7"/>
  <c r="R48" i="7"/>
  <c r="T47" i="7"/>
  <c r="U47" i="7" s="1"/>
  <c r="R47" i="7"/>
  <c r="S47" i="7" s="1"/>
  <c r="U46" i="7"/>
  <c r="T46" i="7"/>
  <c r="S46" i="7"/>
  <c r="R46" i="7"/>
  <c r="T45" i="7"/>
  <c r="U45" i="7" s="1"/>
  <c r="R45" i="7"/>
  <c r="S45" i="7" s="1"/>
  <c r="T44" i="7"/>
  <c r="U44" i="7" s="1"/>
  <c r="S44" i="7"/>
  <c r="R44" i="7"/>
  <c r="T43" i="7"/>
  <c r="U43" i="7" s="1"/>
  <c r="R43" i="7"/>
  <c r="S43" i="7" s="1"/>
  <c r="T42" i="7"/>
  <c r="U42" i="7" s="1"/>
  <c r="S42" i="7"/>
  <c r="R42" i="7"/>
  <c r="T41" i="7"/>
  <c r="U41" i="7" s="1"/>
  <c r="R41" i="7"/>
  <c r="S41" i="7" s="1"/>
  <c r="U40" i="7"/>
  <c r="T40" i="7"/>
  <c r="S40" i="7"/>
  <c r="R40" i="7"/>
  <c r="T39" i="7"/>
  <c r="U39" i="7" s="1"/>
  <c r="R39" i="7"/>
  <c r="S39" i="7" s="1"/>
  <c r="U38" i="7"/>
  <c r="T38" i="7"/>
  <c r="S38" i="7"/>
  <c r="R38" i="7"/>
  <c r="T37" i="7"/>
  <c r="U37" i="7" s="1"/>
  <c r="R37" i="7"/>
  <c r="S37" i="7" s="1"/>
  <c r="U36" i="7"/>
  <c r="T36" i="7"/>
  <c r="S36" i="7"/>
  <c r="R36" i="7"/>
  <c r="T35" i="7"/>
  <c r="U35" i="7" s="1"/>
  <c r="R35" i="7"/>
  <c r="S35" i="7" s="1"/>
  <c r="U34" i="7"/>
  <c r="T34" i="7"/>
  <c r="S34" i="7"/>
  <c r="R34" i="7"/>
  <c r="T33" i="7"/>
  <c r="U33" i="7" s="1"/>
  <c r="R33" i="7"/>
  <c r="S33" i="7" s="1"/>
  <c r="U32" i="7"/>
  <c r="T32" i="7"/>
  <c r="S32" i="7"/>
  <c r="R32" i="7"/>
  <c r="T31" i="7"/>
  <c r="U31" i="7" s="1"/>
  <c r="R31" i="7"/>
  <c r="S31" i="7" s="1"/>
  <c r="T30" i="7"/>
  <c r="U30" i="7" s="1"/>
  <c r="S30" i="7"/>
  <c r="R30" i="7"/>
  <c r="T29" i="7"/>
  <c r="U29" i="7" s="1"/>
  <c r="R29" i="7"/>
  <c r="S29" i="7" s="1"/>
  <c r="U28" i="7"/>
  <c r="T28" i="7"/>
  <c r="S28" i="7"/>
  <c r="R28" i="7"/>
  <c r="T27" i="7"/>
  <c r="U27" i="7" s="1"/>
  <c r="R27" i="7"/>
  <c r="S27" i="7" s="1"/>
  <c r="T26" i="7"/>
  <c r="U26" i="7" s="1"/>
  <c r="S26" i="7"/>
  <c r="R26" i="7"/>
  <c r="T25" i="7"/>
  <c r="U25" i="7" s="1"/>
  <c r="R25" i="7"/>
  <c r="S25" i="7" s="1"/>
  <c r="U24" i="7"/>
  <c r="T24" i="7"/>
  <c r="S24" i="7"/>
  <c r="R24" i="7"/>
  <c r="U23" i="7"/>
  <c r="T23" i="7"/>
  <c r="R23" i="7"/>
  <c r="S23" i="7" s="1"/>
  <c r="U22" i="7"/>
  <c r="T22" i="7"/>
  <c r="S22" i="7"/>
  <c r="R22" i="7"/>
  <c r="T21" i="7"/>
  <c r="U21" i="7" s="1"/>
  <c r="R21" i="7"/>
  <c r="S21" i="7" s="1"/>
  <c r="T20" i="7"/>
  <c r="U20" i="7" s="1"/>
  <c r="S20" i="7"/>
  <c r="R20" i="7"/>
  <c r="T19" i="7"/>
  <c r="U19" i="7" s="1"/>
  <c r="R19" i="7"/>
  <c r="S19" i="7" s="1"/>
  <c r="U18" i="7"/>
  <c r="T18" i="7"/>
  <c r="S18" i="7"/>
  <c r="R18" i="7"/>
  <c r="N18" i="7"/>
  <c r="M18" i="7"/>
  <c r="T17" i="7"/>
  <c r="U17" i="7" s="1"/>
  <c r="R17" i="7"/>
  <c r="S17" i="7" s="1"/>
  <c r="N17" i="7"/>
  <c r="M17" i="7"/>
  <c r="T16" i="7"/>
  <c r="U16" i="7" s="1"/>
  <c r="W16" i="7" s="1"/>
  <c r="R16" i="7"/>
  <c r="S16" i="7" s="1"/>
  <c r="G16" i="7"/>
  <c r="E16" i="7"/>
  <c r="B16" i="7"/>
  <c r="U15" i="7"/>
  <c r="I15" i="7" s="1"/>
  <c r="T15" i="7"/>
  <c r="R15" i="7"/>
  <c r="S15" i="7" s="1"/>
  <c r="N15" i="7"/>
  <c r="M15" i="7"/>
  <c r="L15" i="7"/>
  <c r="M19" i="7" s="1"/>
  <c r="G15" i="7"/>
  <c r="F15" i="7"/>
  <c r="E15" i="7"/>
  <c r="B15" i="7"/>
  <c r="O14" i="7"/>
  <c r="P14" i="7" s="1"/>
  <c r="F14" i="7"/>
  <c r="E14" i="7"/>
  <c r="D14" i="7"/>
  <c r="C14" i="7"/>
  <c r="B12" i="7"/>
  <c r="C12" i="7" s="1"/>
  <c r="B11" i="7" s="1"/>
  <c r="I11" i="7"/>
  <c r="Q8" i="7"/>
  <c r="T7" i="7"/>
  <c r="L3" i="7"/>
  <c r="I3" i="7"/>
  <c r="I1" i="7"/>
  <c r="D10" i="7" l="1"/>
  <c r="F10" i="7" s="1"/>
  <c r="G10" i="7" s="1"/>
  <c r="H10" i="7" s="1"/>
  <c r="I10" i="7" s="1"/>
  <c r="G11" i="7"/>
  <c r="N19" i="7"/>
  <c r="K12" i="7"/>
  <c r="W15" i="7"/>
  <c r="C15" i="7"/>
  <c r="V15" i="7"/>
  <c r="L12" i="7"/>
  <c r="M16" i="7" s="1"/>
  <c r="J12" i="7"/>
  <c r="A14" i="7"/>
  <c r="H15" i="7"/>
  <c r="B17" i="7"/>
  <c r="F16" i="7"/>
  <c r="A11" i="7"/>
  <c r="N228" i="7"/>
  <c r="O228" i="7" s="1"/>
  <c r="P228" i="7" s="1"/>
  <c r="M228" i="7"/>
  <c r="O230" i="7"/>
  <c r="P230" i="7" s="1"/>
  <c r="N234" i="7"/>
  <c r="M234" i="7"/>
  <c r="O234" i="7"/>
  <c r="P234" i="7" s="1"/>
  <c r="N232" i="7"/>
  <c r="O232" i="7" s="1"/>
  <c r="P232" i="7" s="1"/>
  <c r="M232" i="7"/>
  <c r="O231" i="7"/>
  <c r="P231" i="7" s="1"/>
  <c r="M233" i="7"/>
  <c r="M235" i="7"/>
  <c r="H10" i="1"/>
  <c r="G10" i="1"/>
  <c r="I10" i="1"/>
  <c r="F10" i="1"/>
  <c r="D10" i="1"/>
  <c r="M16" i="1"/>
  <c r="M18" i="1"/>
  <c r="M17" i="1"/>
  <c r="K12" i="1"/>
  <c r="D14" i="1"/>
  <c r="F12" i="7" l="1"/>
  <c r="E12" i="7" s="1"/>
  <c r="J15" i="7"/>
  <c r="K15" i="7" s="1"/>
  <c r="O15" i="7" s="1"/>
  <c r="J5" i="7"/>
  <c r="G17" i="7"/>
  <c r="E17" i="7"/>
  <c r="F17" i="7"/>
  <c r="B18" i="7"/>
  <c r="K11" i="7"/>
  <c r="P15" i="7" l="1"/>
  <c r="B19" i="7"/>
  <c r="E18" i="7"/>
  <c r="F18" i="7"/>
  <c r="G18" i="7"/>
  <c r="E11" i="7"/>
  <c r="G12" i="7"/>
  <c r="G19" i="7" l="1"/>
  <c r="E19" i="7"/>
  <c r="F19" i="7"/>
  <c r="B20" i="7"/>
  <c r="D12" i="7"/>
  <c r="K8" i="7"/>
  <c r="N16" i="7" s="1"/>
  <c r="A15" i="7"/>
  <c r="L4" i="7"/>
  <c r="I16" i="7"/>
  <c r="L16" i="7"/>
  <c r="J16" i="7" s="1"/>
  <c r="N20" i="7" l="1"/>
  <c r="M20" i="7"/>
  <c r="B21" i="7"/>
  <c r="F20" i="7"/>
  <c r="E20" i="7"/>
  <c r="G20" i="7"/>
  <c r="C16" i="7"/>
  <c r="K16" i="7" s="1"/>
  <c r="O16" i="7" s="1"/>
  <c r="D16" i="7" a="1"/>
  <c r="D16" i="7" s="1"/>
  <c r="A16" i="7" l="1"/>
  <c r="L17" i="7"/>
  <c r="C17" i="7" s="1"/>
  <c r="I17" i="7"/>
  <c r="H17" i="7"/>
  <c r="J17" i="7" s="1"/>
  <c r="B22" i="7"/>
  <c r="G21" i="7"/>
  <c r="F21" i="7"/>
  <c r="E21" i="7"/>
  <c r="P16" i="7"/>
  <c r="M21" i="7" l="1"/>
  <c r="N21" i="7"/>
  <c r="B23" i="7"/>
  <c r="F22" i="7"/>
  <c r="E22" i="7"/>
  <c r="G22" i="7"/>
  <c r="K17" i="7"/>
  <c r="O17" i="7" s="1"/>
  <c r="F23" i="7" l="1"/>
  <c r="E23" i="7"/>
  <c r="B24" i="7"/>
  <c r="G23" i="7"/>
  <c r="A17" i="7"/>
  <c r="I18" i="7"/>
  <c r="L18" i="7"/>
  <c r="P17" i="7"/>
  <c r="J18" i="7" l="1"/>
  <c r="K18" i="7" s="1"/>
  <c r="O18" i="7" s="1"/>
  <c r="B25" i="7"/>
  <c r="F24" i="7"/>
  <c r="E24" i="7"/>
  <c r="G24" i="7"/>
  <c r="M22" i="7"/>
  <c r="N22" i="7"/>
  <c r="D18" i="7" l="1" a="1"/>
  <c r="D18" i="7" s="1"/>
  <c r="G25" i="7"/>
  <c r="F25" i="7"/>
  <c r="E25" i="7"/>
  <c r="B26" i="7"/>
  <c r="P18" i="7"/>
  <c r="A18" i="7" l="1"/>
  <c r="L19" i="7"/>
  <c r="H19" i="7" s="1"/>
  <c r="I19" i="7"/>
  <c r="B27" i="7"/>
  <c r="F26" i="7"/>
  <c r="E26" i="7"/>
  <c r="G26" i="7"/>
  <c r="F59" i="6"/>
  <c r="H41" i="6"/>
  <c r="H39" i="6"/>
  <c r="H40" i="6"/>
  <c r="H38" i="6"/>
  <c r="I46" i="6"/>
  <c r="L38" i="6"/>
  <c r="I39" i="6"/>
  <c r="J40" i="6"/>
  <c r="J39" i="6"/>
  <c r="I40" i="6"/>
  <c r="Q8" i="6"/>
  <c r="O8" i="6"/>
  <c r="J19" i="7" l="1"/>
  <c r="G27" i="7"/>
  <c r="F27" i="7"/>
  <c r="E27" i="7"/>
  <c r="B28" i="7"/>
  <c r="M23" i="7"/>
  <c r="N23" i="7"/>
  <c r="C19" i="7"/>
  <c r="K19" i="7" s="1"/>
  <c r="O19" i="7" s="1"/>
  <c r="P19" i="7" s="1"/>
  <c r="B29" i="7" l="1"/>
  <c r="G28" i="7"/>
  <c r="F28" i="7"/>
  <c r="E28" i="7"/>
  <c r="D19" i="7" a="1"/>
  <c r="D19" i="7" s="1"/>
  <c r="A19" i="7" l="1"/>
  <c r="I20" i="7"/>
  <c r="L20" i="7"/>
  <c r="H20" i="7" s="1"/>
  <c r="F29" i="7"/>
  <c r="E29" i="7"/>
  <c r="B30" i="7"/>
  <c r="G29" i="7"/>
  <c r="J20" i="7" l="1"/>
  <c r="M24" i="7"/>
  <c r="N24" i="7"/>
  <c r="C20" i="7"/>
  <c r="B31" i="7"/>
  <c r="G30" i="7"/>
  <c r="F30" i="7"/>
  <c r="E30" i="7"/>
  <c r="K20" i="7" l="1"/>
  <c r="O20" i="7" s="1"/>
  <c r="P20" i="7" s="1"/>
  <c r="B32" i="7"/>
  <c r="G31" i="7"/>
  <c r="F31" i="7"/>
  <c r="E31" i="7"/>
  <c r="D20" i="7" l="1" a="1"/>
  <c r="D20" i="7" s="1"/>
  <c r="I21" i="7" s="1"/>
  <c r="B33" i="7"/>
  <c r="G32" i="7"/>
  <c r="F32" i="7"/>
  <c r="E32" i="7"/>
  <c r="L21" i="7" l="1"/>
  <c r="H21" i="7" s="1"/>
  <c r="J21" i="7" s="1"/>
  <c r="A20" i="7"/>
  <c r="C21" i="7"/>
  <c r="G33" i="7"/>
  <c r="F33" i="7"/>
  <c r="E33" i="7"/>
  <c r="B34" i="7"/>
  <c r="M25" i="7"/>
  <c r="N25" i="7"/>
  <c r="K21" i="7" l="1"/>
  <c r="O21" i="7" s="1"/>
  <c r="P21" i="7" s="1"/>
  <c r="B35" i="7"/>
  <c r="G34" i="7"/>
  <c r="F34" i="7"/>
  <c r="E34" i="7"/>
  <c r="D21" i="7" a="1"/>
  <c r="D21" i="7" s="1"/>
  <c r="A21" i="7" l="1"/>
  <c r="I22" i="7"/>
  <c r="L22" i="7"/>
  <c r="H22" i="7" s="1"/>
  <c r="B36" i="7"/>
  <c r="G35" i="7"/>
  <c r="F35" i="7"/>
  <c r="E35" i="7"/>
  <c r="J22" i="7" l="1"/>
  <c r="B37" i="7"/>
  <c r="G36" i="7"/>
  <c r="F36" i="7"/>
  <c r="E36" i="7"/>
  <c r="N26" i="7"/>
  <c r="M26" i="7"/>
  <c r="C22" i="7"/>
  <c r="E31" i="6"/>
  <c r="F31" i="6"/>
  <c r="F30" i="6"/>
  <c r="F29" i="6"/>
  <c r="G21" i="6"/>
  <c r="G23" i="6"/>
  <c r="O23" i="6"/>
  <c r="G22" i="6"/>
  <c r="E16" i="6"/>
  <c r="E15" i="6"/>
  <c r="E14" i="6"/>
  <c r="D14" i="5"/>
  <c r="H15" i="5"/>
  <c r="F36" i="2"/>
  <c r="E16" i="2"/>
  <c r="F13" i="2"/>
  <c r="F12" i="2"/>
  <c r="E11" i="2"/>
  <c r="E12" i="2"/>
  <c r="L15" i="5"/>
  <c r="I15" i="5"/>
  <c r="C11" i="5"/>
  <c r="B12" i="5"/>
  <c r="B12" i="1"/>
  <c r="I6" i="6"/>
  <c r="I5" i="6"/>
  <c r="K22" i="7" l="1"/>
  <c r="O22" i="7" s="1"/>
  <c r="P22" i="7" s="1"/>
  <c r="D22" i="7" a="1"/>
  <c r="D22" i="7" s="1"/>
  <c r="G37" i="7"/>
  <c r="F37" i="7"/>
  <c r="E37" i="7"/>
  <c r="B38" i="7"/>
  <c r="J15" i="5"/>
  <c r="C15" i="5" s="1"/>
  <c r="I16" i="5" s="1"/>
  <c r="B39" i="7" l="1"/>
  <c r="G38" i="7"/>
  <c r="F38" i="7"/>
  <c r="E38" i="7"/>
  <c r="A22" i="7"/>
  <c r="L23" i="7"/>
  <c r="C23" i="7" s="1"/>
  <c r="I23" i="7"/>
  <c r="K15" i="5"/>
  <c r="N27" i="7" l="1"/>
  <c r="M27" i="7"/>
  <c r="H23" i="7"/>
  <c r="J23" i="7" s="1"/>
  <c r="B40" i="7"/>
  <c r="G39" i="7"/>
  <c r="F39" i="7"/>
  <c r="E39" i="7"/>
  <c r="F5" i="6"/>
  <c r="B41" i="7" l="1"/>
  <c r="G40" i="7"/>
  <c r="F40" i="7"/>
  <c r="E40" i="7"/>
  <c r="K23" i="7"/>
  <c r="O23" i="7" s="1"/>
  <c r="P23" i="7" s="1"/>
  <c r="C12" i="1"/>
  <c r="B11" i="1" s="1"/>
  <c r="L235" i="5"/>
  <c r="I235" i="5"/>
  <c r="J235" i="5" s="1"/>
  <c r="K235" i="5" s="1"/>
  <c r="A235" i="5"/>
  <c r="L234" i="5"/>
  <c r="I234" i="5"/>
  <c r="J234" i="5" s="1"/>
  <c r="K234" i="5" s="1"/>
  <c r="A234" i="5"/>
  <c r="L233" i="5"/>
  <c r="I233" i="5"/>
  <c r="J233" i="5" s="1"/>
  <c r="K233" i="5" s="1"/>
  <c r="A233" i="5"/>
  <c r="L232" i="5"/>
  <c r="K232" i="5"/>
  <c r="I232" i="5"/>
  <c r="J232" i="5" s="1"/>
  <c r="A232" i="5"/>
  <c r="L231" i="5"/>
  <c r="N235" i="5" s="1"/>
  <c r="I231" i="5"/>
  <c r="J231" i="5" s="1"/>
  <c r="K231" i="5" s="1"/>
  <c r="O231" i="5" s="1"/>
  <c r="P231" i="5" s="1"/>
  <c r="A231" i="5"/>
  <c r="L230" i="5"/>
  <c r="N234" i="5" s="1"/>
  <c r="I230" i="5"/>
  <c r="J230" i="5" s="1"/>
  <c r="K230" i="5" s="1"/>
  <c r="A230" i="5"/>
  <c r="L229" i="5"/>
  <c r="N233" i="5" s="1"/>
  <c r="I229" i="5"/>
  <c r="J229" i="5" s="1"/>
  <c r="K229" i="5" s="1"/>
  <c r="A229" i="5"/>
  <c r="L228" i="5"/>
  <c r="I228" i="5"/>
  <c r="J228" i="5" s="1"/>
  <c r="K228" i="5" s="1"/>
  <c r="A228" i="5"/>
  <c r="L227" i="5"/>
  <c r="N231" i="5" s="1"/>
  <c r="I227" i="5"/>
  <c r="J227" i="5" s="1"/>
  <c r="K227" i="5" s="1"/>
  <c r="A227" i="5"/>
  <c r="L226" i="5"/>
  <c r="N230" i="5" s="1"/>
  <c r="I226" i="5"/>
  <c r="J226" i="5" s="1"/>
  <c r="K226" i="5" s="1"/>
  <c r="A226" i="5"/>
  <c r="L225" i="5"/>
  <c r="I225" i="5"/>
  <c r="J225" i="5" s="1"/>
  <c r="K225" i="5" s="1"/>
  <c r="A225" i="5"/>
  <c r="R224" i="5"/>
  <c r="S224" i="5" s="1"/>
  <c r="L224" i="5"/>
  <c r="N228" i="5" s="1"/>
  <c r="A224" i="5"/>
  <c r="R223" i="5"/>
  <c r="S223" i="5" s="1"/>
  <c r="A223" i="5"/>
  <c r="R222" i="5"/>
  <c r="S222" i="5" s="1"/>
  <c r="A222" i="5"/>
  <c r="R221" i="5"/>
  <c r="S221" i="5" s="1"/>
  <c r="A221" i="5"/>
  <c r="A220" i="5"/>
  <c r="T219" i="5"/>
  <c r="U219" i="5" s="1"/>
  <c r="R219" i="5"/>
  <c r="S219" i="5" s="1"/>
  <c r="T218" i="5"/>
  <c r="U218" i="5" s="1"/>
  <c r="R218" i="5"/>
  <c r="S218" i="5" s="1"/>
  <c r="U217" i="5"/>
  <c r="T217" i="5"/>
  <c r="R217" i="5"/>
  <c r="S217" i="5" s="1"/>
  <c r="T216" i="5"/>
  <c r="U216" i="5" s="1"/>
  <c r="R216" i="5"/>
  <c r="S216" i="5" s="1"/>
  <c r="U215" i="5"/>
  <c r="T215" i="5"/>
  <c r="R215" i="5"/>
  <c r="S215" i="5" s="1"/>
  <c r="T214" i="5"/>
  <c r="U214" i="5" s="1"/>
  <c r="R214" i="5"/>
  <c r="S214" i="5" s="1"/>
  <c r="T213" i="5"/>
  <c r="U213" i="5" s="1"/>
  <c r="R213" i="5"/>
  <c r="S213" i="5" s="1"/>
  <c r="T212" i="5"/>
  <c r="U212" i="5" s="1"/>
  <c r="R212" i="5"/>
  <c r="S212" i="5" s="1"/>
  <c r="T211" i="5"/>
  <c r="U211" i="5" s="1"/>
  <c r="R211" i="5"/>
  <c r="S211" i="5" s="1"/>
  <c r="T210" i="5"/>
  <c r="U210" i="5" s="1"/>
  <c r="R210" i="5"/>
  <c r="S210" i="5" s="1"/>
  <c r="T209" i="5"/>
  <c r="U209" i="5" s="1"/>
  <c r="R209" i="5"/>
  <c r="S209" i="5" s="1"/>
  <c r="T208" i="5"/>
  <c r="U208" i="5" s="1"/>
  <c r="R208" i="5"/>
  <c r="S208" i="5" s="1"/>
  <c r="T207" i="5"/>
  <c r="U207" i="5" s="1"/>
  <c r="R207" i="5"/>
  <c r="S207" i="5" s="1"/>
  <c r="T206" i="5"/>
  <c r="U206" i="5" s="1"/>
  <c r="R206" i="5"/>
  <c r="S206" i="5" s="1"/>
  <c r="T205" i="5"/>
  <c r="U205" i="5" s="1"/>
  <c r="R205" i="5"/>
  <c r="S205" i="5" s="1"/>
  <c r="T204" i="5"/>
  <c r="U204" i="5" s="1"/>
  <c r="R204" i="5"/>
  <c r="S204" i="5" s="1"/>
  <c r="T203" i="5"/>
  <c r="U203" i="5" s="1"/>
  <c r="R203" i="5"/>
  <c r="S203" i="5" s="1"/>
  <c r="T202" i="5"/>
  <c r="U202" i="5" s="1"/>
  <c r="R202" i="5"/>
  <c r="S202" i="5" s="1"/>
  <c r="T201" i="5"/>
  <c r="U201" i="5" s="1"/>
  <c r="R201" i="5"/>
  <c r="S201" i="5" s="1"/>
  <c r="T200" i="5"/>
  <c r="U200" i="5" s="1"/>
  <c r="R200" i="5"/>
  <c r="S200" i="5" s="1"/>
  <c r="T199" i="5"/>
  <c r="U199" i="5" s="1"/>
  <c r="R199" i="5"/>
  <c r="S199" i="5" s="1"/>
  <c r="T198" i="5"/>
  <c r="U198" i="5" s="1"/>
  <c r="R198" i="5"/>
  <c r="S198" i="5" s="1"/>
  <c r="T197" i="5"/>
  <c r="U197" i="5" s="1"/>
  <c r="R197" i="5"/>
  <c r="S197" i="5" s="1"/>
  <c r="T196" i="5"/>
  <c r="U196" i="5" s="1"/>
  <c r="R196" i="5"/>
  <c r="S196" i="5" s="1"/>
  <c r="T195" i="5"/>
  <c r="U195" i="5" s="1"/>
  <c r="R195" i="5"/>
  <c r="S195" i="5" s="1"/>
  <c r="T194" i="5"/>
  <c r="U194" i="5" s="1"/>
  <c r="R194" i="5"/>
  <c r="S194" i="5" s="1"/>
  <c r="T193" i="5"/>
  <c r="U193" i="5" s="1"/>
  <c r="R193" i="5"/>
  <c r="S193" i="5" s="1"/>
  <c r="T192" i="5"/>
  <c r="U192" i="5" s="1"/>
  <c r="R192" i="5"/>
  <c r="S192" i="5" s="1"/>
  <c r="U191" i="5"/>
  <c r="T191" i="5"/>
  <c r="R191" i="5"/>
  <c r="S191" i="5" s="1"/>
  <c r="T190" i="5"/>
  <c r="U190" i="5" s="1"/>
  <c r="R190" i="5"/>
  <c r="S190" i="5" s="1"/>
  <c r="T189" i="5"/>
  <c r="U189" i="5" s="1"/>
  <c r="R189" i="5"/>
  <c r="S189" i="5" s="1"/>
  <c r="T188" i="5"/>
  <c r="U188" i="5" s="1"/>
  <c r="R188" i="5"/>
  <c r="S188" i="5" s="1"/>
  <c r="T187" i="5"/>
  <c r="U187" i="5" s="1"/>
  <c r="R187" i="5"/>
  <c r="S187" i="5" s="1"/>
  <c r="T186" i="5"/>
  <c r="U186" i="5" s="1"/>
  <c r="R186" i="5"/>
  <c r="S186" i="5" s="1"/>
  <c r="T185" i="5"/>
  <c r="U185" i="5" s="1"/>
  <c r="R185" i="5"/>
  <c r="S185" i="5" s="1"/>
  <c r="T184" i="5"/>
  <c r="U184" i="5" s="1"/>
  <c r="R184" i="5"/>
  <c r="S184" i="5" s="1"/>
  <c r="T183" i="5"/>
  <c r="U183" i="5" s="1"/>
  <c r="R183" i="5"/>
  <c r="S183" i="5" s="1"/>
  <c r="T182" i="5"/>
  <c r="U182" i="5" s="1"/>
  <c r="R182" i="5"/>
  <c r="S182" i="5" s="1"/>
  <c r="T181" i="5"/>
  <c r="U181" i="5" s="1"/>
  <c r="R181" i="5"/>
  <c r="S181" i="5" s="1"/>
  <c r="T180" i="5"/>
  <c r="U180" i="5" s="1"/>
  <c r="R180" i="5"/>
  <c r="S180" i="5" s="1"/>
  <c r="T179" i="5"/>
  <c r="U179" i="5" s="1"/>
  <c r="R179" i="5"/>
  <c r="S179" i="5" s="1"/>
  <c r="T178" i="5"/>
  <c r="U178" i="5" s="1"/>
  <c r="R178" i="5"/>
  <c r="S178" i="5" s="1"/>
  <c r="T177" i="5"/>
  <c r="U177" i="5" s="1"/>
  <c r="R177" i="5"/>
  <c r="S177" i="5" s="1"/>
  <c r="T176" i="5"/>
  <c r="U176" i="5" s="1"/>
  <c r="R176" i="5"/>
  <c r="S176" i="5" s="1"/>
  <c r="T175" i="5"/>
  <c r="U175" i="5" s="1"/>
  <c r="R175" i="5"/>
  <c r="S175" i="5" s="1"/>
  <c r="T174" i="5"/>
  <c r="U174" i="5" s="1"/>
  <c r="R174" i="5"/>
  <c r="S174" i="5" s="1"/>
  <c r="U173" i="5"/>
  <c r="T173" i="5"/>
  <c r="R173" i="5"/>
  <c r="S173" i="5" s="1"/>
  <c r="T172" i="5"/>
  <c r="U172" i="5" s="1"/>
  <c r="R172" i="5"/>
  <c r="S172" i="5" s="1"/>
  <c r="T171" i="5"/>
  <c r="U171" i="5" s="1"/>
  <c r="R171" i="5"/>
  <c r="S171" i="5" s="1"/>
  <c r="T170" i="5"/>
  <c r="U170" i="5" s="1"/>
  <c r="R170" i="5"/>
  <c r="S170" i="5" s="1"/>
  <c r="T169" i="5"/>
  <c r="U169" i="5" s="1"/>
  <c r="R169" i="5"/>
  <c r="S169" i="5" s="1"/>
  <c r="T168" i="5"/>
  <c r="U168" i="5" s="1"/>
  <c r="R168" i="5"/>
  <c r="S168" i="5" s="1"/>
  <c r="U167" i="5"/>
  <c r="T167" i="5"/>
  <c r="R167" i="5"/>
  <c r="S167" i="5" s="1"/>
  <c r="T166" i="5"/>
  <c r="U166" i="5" s="1"/>
  <c r="R166" i="5"/>
  <c r="S166" i="5" s="1"/>
  <c r="T165" i="5"/>
  <c r="U165" i="5" s="1"/>
  <c r="R165" i="5"/>
  <c r="S165" i="5" s="1"/>
  <c r="T164" i="5"/>
  <c r="U164" i="5" s="1"/>
  <c r="R164" i="5"/>
  <c r="S164" i="5" s="1"/>
  <c r="T163" i="5"/>
  <c r="U163" i="5" s="1"/>
  <c r="R163" i="5"/>
  <c r="S163" i="5" s="1"/>
  <c r="T162" i="5"/>
  <c r="U162" i="5" s="1"/>
  <c r="R162" i="5"/>
  <c r="S162" i="5" s="1"/>
  <c r="T161" i="5"/>
  <c r="U161" i="5" s="1"/>
  <c r="R161" i="5"/>
  <c r="S161" i="5" s="1"/>
  <c r="T160" i="5"/>
  <c r="U160" i="5" s="1"/>
  <c r="R160" i="5"/>
  <c r="S160" i="5" s="1"/>
  <c r="T159" i="5"/>
  <c r="U159" i="5" s="1"/>
  <c r="R159" i="5"/>
  <c r="S159" i="5" s="1"/>
  <c r="T158" i="5"/>
  <c r="U158" i="5" s="1"/>
  <c r="R158" i="5"/>
  <c r="S158" i="5" s="1"/>
  <c r="T157" i="5"/>
  <c r="U157" i="5" s="1"/>
  <c r="R157" i="5"/>
  <c r="S157" i="5" s="1"/>
  <c r="T156" i="5"/>
  <c r="U156" i="5" s="1"/>
  <c r="R156" i="5"/>
  <c r="S156" i="5" s="1"/>
  <c r="T155" i="5"/>
  <c r="U155" i="5" s="1"/>
  <c r="R155" i="5"/>
  <c r="S155" i="5" s="1"/>
  <c r="T154" i="5"/>
  <c r="U154" i="5" s="1"/>
  <c r="R154" i="5"/>
  <c r="S154" i="5" s="1"/>
  <c r="T153" i="5"/>
  <c r="U153" i="5" s="1"/>
  <c r="R153" i="5"/>
  <c r="S153" i="5" s="1"/>
  <c r="T152" i="5"/>
  <c r="U152" i="5" s="1"/>
  <c r="R152" i="5"/>
  <c r="S152" i="5" s="1"/>
  <c r="T151" i="5"/>
  <c r="U151" i="5" s="1"/>
  <c r="R151" i="5"/>
  <c r="S151" i="5" s="1"/>
  <c r="T150" i="5"/>
  <c r="U150" i="5" s="1"/>
  <c r="R150" i="5"/>
  <c r="S150" i="5" s="1"/>
  <c r="T149" i="5"/>
  <c r="U149" i="5" s="1"/>
  <c r="R149" i="5"/>
  <c r="S149" i="5" s="1"/>
  <c r="T148" i="5"/>
  <c r="U148" i="5" s="1"/>
  <c r="R148" i="5"/>
  <c r="S148" i="5" s="1"/>
  <c r="T147" i="5"/>
  <c r="U147" i="5" s="1"/>
  <c r="R147" i="5"/>
  <c r="S147" i="5" s="1"/>
  <c r="T146" i="5"/>
  <c r="U146" i="5" s="1"/>
  <c r="S146" i="5"/>
  <c r="R146" i="5"/>
  <c r="T145" i="5"/>
  <c r="U145" i="5" s="1"/>
  <c r="R145" i="5"/>
  <c r="S145" i="5" s="1"/>
  <c r="T144" i="5"/>
  <c r="U144" i="5" s="1"/>
  <c r="R144" i="5"/>
  <c r="S144" i="5" s="1"/>
  <c r="T143" i="5"/>
  <c r="U143" i="5" s="1"/>
  <c r="R143" i="5"/>
  <c r="S143" i="5" s="1"/>
  <c r="T142" i="5"/>
  <c r="U142" i="5" s="1"/>
  <c r="R142" i="5"/>
  <c r="S142" i="5" s="1"/>
  <c r="T141" i="5"/>
  <c r="U141" i="5" s="1"/>
  <c r="R141" i="5"/>
  <c r="S141" i="5" s="1"/>
  <c r="U140" i="5"/>
  <c r="T140" i="5"/>
  <c r="R140" i="5"/>
  <c r="S140" i="5" s="1"/>
  <c r="T139" i="5"/>
  <c r="U139" i="5" s="1"/>
  <c r="R139" i="5"/>
  <c r="S139" i="5" s="1"/>
  <c r="T138" i="5"/>
  <c r="U138" i="5" s="1"/>
  <c r="R138" i="5"/>
  <c r="S138" i="5" s="1"/>
  <c r="T137" i="5"/>
  <c r="U137" i="5" s="1"/>
  <c r="R137" i="5"/>
  <c r="S137" i="5" s="1"/>
  <c r="T136" i="5"/>
  <c r="U136" i="5" s="1"/>
  <c r="R136" i="5"/>
  <c r="S136" i="5" s="1"/>
  <c r="T135" i="5"/>
  <c r="U135" i="5" s="1"/>
  <c r="R135" i="5"/>
  <c r="S135" i="5" s="1"/>
  <c r="U134" i="5"/>
  <c r="T134" i="5"/>
  <c r="R134" i="5"/>
  <c r="S134" i="5" s="1"/>
  <c r="T133" i="5"/>
  <c r="U133" i="5" s="1"/>
  <c r="R133" i="5"/>
  <c r="S133" i="5" s="1"/>
  <c r="T132" i="5"/>
  <c r="U132" i="5" s="1"/>
  <c r="R132" i="5"/>
  <c r="S132" i="5" s="1"/>
  <c r="T131" i="5"/>
  <c r="U131" i="5" s="1"/>
  <c r="R131" i="5"/>
  <c r="S131" i="5" s="1"/>
  <c r="T130" i="5"/>
  <c r="U130" i="5" s="1"/>
  <c r="R130" i="5"/>
  <c r="S130" i="5" s="1"/>
  <c r="T129" i="5"/>
  <c r="U129" i="5" s="1"/>
  <c r="R129" i="5"/>
  <c r="S129" i="5" s="1"/>
  <c r="T128" i="5"/>
  <c r="U128" i="5" s="1"/>
  <c r="R128" i="5"/>
  <c r="S128" i="5" s="1"/>
  <c r="T127" i="5"/>
  <c r="U127" i="5" s="1"/>
  <c r="R127" i="5"/>
  <c r="S127" i="5" s="1"/>
  <c r="T126" i="5"/>
  <c r="U126" i="5" s="1"/>
  <c r="R126" i="5"/>
  <c r="S126" i="5" s="1"/>
  <c r="T125" i="5"/>
  <c r="U125" i="5" s="1"/>
  <c r="R125" i="5"/>
  <c r="S125" i="5" s="1"/>
  <c r="T124" i="5"/>
  <c r="U124" i="5" s="1"/>
  <c r="R124" i="5"/>
  <c r="S124" i="5" s="1"/>
  <c r="T123" i="5"/>
  <c r="U123" i="5" s="1"/>
  <c r="R123" i="5"/>
  <c r="S123" i="5" s="1"/>
  <c r="T122" i="5"/>
  <c r="U122" i="5" s="1"/>
  <c r="R122" i="5"/>
  <c r="S122" i="5" s="1"/>
  <c r="T121" i="5"/>
  <c r="U121" i="5" s="1"/>
  <c r="R121" i="5"/>
  <c r="S121" i="5" s="1"/>
  <c r="T120" i="5"/>
  <c r="U120" i="5" s="1"/>
  <c r="R120" i="5"/>
  <c r="S120" i="5" s="1"/>
  <c r="T119" i="5"/>
  <c r="U119" i="5" s="1"/>
  <c r="R119" i="5"/>
  <c r="S119" i="5" s="1"/>
  <c r="T118" i="5"/>
  <c r="U118" i="5" s="1"/>
  <c r="R118" i="5"/>
  <c r="S118" i="5" s="1"/>
  <c r="T117" i="5"/>
  <c r="U117" i="5" s="1"/>
  <c r="R117" i="5"/>
  <c r="S117" i="5" s="1"/>
  <c r="T116" i="5"/>
  <c r="U116" i="5" s="1"/>
  <c r="R116" i="5"/>
  <c r="S116" i="5" s="1"/>
  <c r="T115" i="5"/>
  <c r="U115" i="5" s="1"/>
  <c r="R115" i="5"/>
  <c r="S115" i="5" s="1"/>
  <c r="T114" i="5"/>
  <c r="U114" i="5" s="1"/>
  <c r="R114" i="5"/>
  <c r="S114" i="5" s="1"/>
  <c r="U113" i="5"/>
  <c r="T113" i="5"/>
  <c r="R113" i="5"/>
  <c r="S113" i="5" s="1"/>
  <c r="T112" i="5"/>
  <c r="U112" i="5" s="1"/>
  <c r="R112" i="5"/>
  <c r="S112" i="5" s="1"/>
  <c r="T111" i="5"/>
  <c r="U111" i="5" s="1"/>
  <c r="R111" i="5"/>
  <c r="S111" i="5" s="1"/>
  <c r="T110" i="5"/>
  <c r="U110" i="5" s="1"/>
  <c r="R110" i="5"/>
  <c r="S110" i="5" s="1"/>
  <c r="T109" i="5"/>
  <c r="U109" i="5" s="1"/>
  <c r="R109" i="5"/>
  <c r="S109" i="5" s="1"/>
  <c r="T108" i="5"/>
  <c r="U108" i="5" s="1"/>
  <c r="R108" i="5"/>
  <c r="S108" i="5" s="1"/>
  <c r="T107" i="5"/>
  <c r="U107" i="5" s="1"/>
  <c r="R107" i="5"/>
  <c r="S107" i="5" s="1"/>
  <c r="T106" i="5"/>
  <c r="U106" i="5" s="1"/>
  <c r="R106" i="5"/>
  <c r="S106" i="5" s="1"/>
  <c r="T105" i="5"/>
  <c r="U105" i="5" s="1"/>
  <c r="R105" i="5"/>
  <c r="S105" i="5" s="1"/>
  <c r="T104" i="5"/>
  <c r="U104" i="5" s="1"/>
  <c r="R104" i="5"/>
  <c r="S104" i="5" s="1"/>
  <c r="T103" i="5"/>
  <c r="U103" i="5" s="1"/>
  <c r="R103" i="5"/>
  <c r="S103" i="5" s="1"/>
  <c r="T102" i="5"/>
  <c r="U102" i="5" s="1"/>
  <c r="R102" i="5"/>
  <c r="S102" i="5" s="1"/>
  <c r="T101" i="5"/>
  <c r="U101" i="5" s="1"/>
  <c r="R101" i="5"/>
  <c r="S101" i="5" s="1"/>
  <c r="T100" i="5"/>
  <c r="U100" i="5" s="1"/>
  <c r="R100" i="5"/>
  <c r="S100" i="5" s="1"/>
  <c r="T99" i="5"/>
  <c r="U99" i="5" s="1"/>
  <c r="R99" i="5"/>
  <c r="S99" i="5" s="1"/>
  <c r="T98" i="5"/>
  <c r="U98" i="5" s="1"/>
  <c r="R98" i="5"/>
  <c r="S98" i="5" s="1"/>
  <c r="T97" i="5"/>
  <c r="U97" i="5" s="1"/>
  <c r="R97" i="5"/>
  <c r="S97" i="5" s="1"/>
  <c r="T96" i="5"/>
  <c r="U96" i="5" s="1"/>
  <c r="R96" i="5"/>
  <c r="S96" i="5" s="1"/>
  <c r="T95" i="5"/>
  <c r="U95" i="5" s="1"/>
  <c r="R95" i="5"/>
  <c r="S95" i="5" s="1"/>
  <c r="T94" i="5"/>
  <c r="U94" i="5" s="1"/>
  <c r="R94" i="5"/>
  <c r="S94" i="5" s="1"/>
  <c r="T93" i="5"/>
  <c r="U93" i="5" s="1"/>
  <c r="R93" i="5"/>
  <c r="S93" i="5" s="1"/>
  <c r="T92" i="5"/>
  <c r="U92" i="5" s="1"/>
  <c r="R92" i="5"/>
  <c r="S92" i="5" s="1"/>
  <c r="T91" i="5"/>
  <c r="U91" i="5" s="1"/>
  <c r="R91" i="5"/>
  <c r="S91" i="5" s="1"/>
  <c r="T90" i="5"/>
  <c r="U90" i="5" s="1"/>
  <c r="R90" i="5"/>
  <c r="S90" i="5" s="1"/>
  <c r="U89" i="5"/>
  <c r="T89" i="5"/>
  <c r="R89" i="5"/>
  <c r="S89" i="5" s="1"/>
  <c r="T88" i="5"/>
  <c r="U88" i="5" s="1"/>
  <c r="R88" i="5"/>
  <c r="S88" i="5" s="1"/>
  <c r="T87" i="5"/>
  <c r="U87" i="5" s="1"/>
  <c r="R87" i="5"/>
  <c r="S87" i="5" s="1"/>
  <c r="T86" i="5"/>
  <c r="U86" i="5" s="1"/>
  <c r="R86" i="5"/>
  <c r="S86" i="5" s="1"/>
  <c r="T85" i="5"/>
  <c r="U85" i="5" s="1"/>
  <c r="R85" i="5"/>
  <c r="S85" i="5" s="1"/>
  <c r="T84" i="5"/>
  <c r="U84" i="5" s="1"/>
  <c r="R84" i="5"/>
  <c r="S84" i="5" s="1"/>
  <c r="T83" i="5"/>
  <c r="U83" i="5" s="1"/>
  <c r="R83" i="5"/>
  <c r="S83" i="5" s="1"/>
  <c r="T82" i="5"/>
  <c r="U82" i="5" s="1"/>
  <c r="R82" i="5"/>
  <c r="S82" i="5" s="1"/>
  <c r="T81" i="5"/>
  <c r="U81" i="5" s="1"/>
  <c r="R81" i="5"/>
  <c r="S81" i="5" s="1"/>
  <c r="T80" i="5"/>
  <c r="U80" i="5" s="1"/>
  <c r="R80" i="5"/>
  <c r="S80" i="5" s="1"/>
  <c r="T79" i="5"/>
  <c r="U79" i="5" s="1"/>
  <c r="R79" i="5"/>
  <c r="S79" i="5" s="1"/>
  <c r="T78" i="5"/>
  <c r="U78" i="5" s="1"/>
  <c r="R78" i="5"/>
  <c r="S78" i="5" s="1"/>
  <c r="T77" i="5"/>
  <c r="U77" i="5" s="1"/>
  <c r="R77" i="5"/>
  <c r="S77" i="5" s="1"/>
  <c r="T76" i="5"/>
  <c r="U76" i="5" s="1"/>
  <c r="R76" i="5"/>
  <c r="S76" i="5" s="1"/>
  <c r="T75" i="5"/>
  <c r="U75" i="5" s="1"/>
  <c r="R75" i="5"/>
  <c r="S75" i="5" s="1"/>
  <c r="T74" i="5"/>
  <c r="U74" i="5" s="1"/>
  <c r="R74" i="5"/>
  <c r="S74" i="5" s="1"/>
  <c r="T73" i="5"/>
  <c r="U73" i="5" s="1"/>
  <c r="R73" i="5"/>
  <c r="S73" i="5" s="1"/>
  <c r="T72" i="5"/>
  <c r="U72" i="5" s="1"/>
  <c r="R72" i="5"/>
  <c r="S72" i="5" s="1"/>
  <c r="T71" i="5"/>
  <c r="U71" i="5" s="1"/>
  <c r="R71" i="5"/>
  <c r="S71" i="5" s="1"/>
  <c r="T70" i="5"/>
  <c r="U70" i="5" s="1"/>
  <c r="R70" i="5"/>
  <c r="S70" i="5" s="1"/>
  <c r="T69" i="5"/>
  <c r="U69" i="5" s="1"/>
  <c r="R69" i="5"/>
  <c r="S69" i="5" s="1"/>
  <c r="T68" i="5"/>
  <c r="U68" i="5" s="1"/>
  <c r="R68" i="5"/>
  <c r="S68" i="5" s="1"/>
  <c r="T67" i="5"/>
  <c r="U67" i="5" s="1"/>
  <c r="R67" i="5"/>
  <c r="S67" i="5" s="1"/>
  <c r="T66" i="5"/>
  <c r="U66" i="5" s="1"/>
  <c r="R66" i="5"/>
  <c r="S66" i="5" s="1"/>
  <c r="T65" i="5"/>
  <c r="U65" i="5" s="1"/>
  <c r="R65" i="5"/>
  <c r="S65" i="5" s="1"/>
  <c r="T64" i="5"/>
  <c r="U64" i="5" s="1"/>
  <c r="R64" i="5"/>
  <c r="S64" i="5" s="1"/>
  <c r="T63" i="5"/>
  <c r="U63" i="5" s="1"/>
  <c r="R63" i="5"/>
  <c r="S63" i="5" s="1"/>
  <c r="T62" i="5"/>
  <c r="U62" i="5" s="1"/>
  <c r="R62" i="5"/>
  <c r="S62" i="5" s="1"/>
  <c r="T61" i="5"/>
  <c r="U61" i="5" s="1"/>
  <c r="R61" i="5"/>
  <c r="S61" i="5" s="1"/>
  <c r="T60" i="5"/>
  <c r="U60" i="5" s="1"/>
  <c r="R60" i="5"/>
  <c r="S60" i="5" s="1"/>
  <c r="T59" i="5"/>
  <c r="U59" i="5" s="1"/>
  <c r="R59" i="5"/>
  <c r="S59" i="5" s="1"/>
  <c r="T58" i="5"/>
  <c r="U58" i="5" s="1"/>
  <c r="R58" i="5"/>
  <c r="S58" i="5" s="1"/>
  <c r="T57" i="5"/>
  <c r="U57" i="5" s="1"/>
  <c r="R57" i="5"/>
  <c r="S57" i="5" s="1"/>
  <c r="T56" i="5"/>
  <c r="U56" i="5" s="1"/>
  <c r="R56" i="5"/>
  <c r="S56" i="5" s="1"/>
  <c r="T55" i="5"/>
  <c r="U55" i="5" s="1"/>
  <c r="R55" i="5"/>
  <c r="S55" i="5" s="1"/>
  <c r="T54" i="5"/>
  <c r="U54" i="5" s="1"/>
  <c r="R54" i="5"/>
  <c r="S54" i="5" s="1"/>
  <c r="T53" i="5"/>
  <c r="U53" i="5" s="1"/>
  <c r="R53" i="5"/>
  <c r="S53" i="5" s="1"/>
  <c r="T52" i="5"/>
  <c r="U52" i="5" s="1"/>
  <c r="R52" i="5"/>
  <c r="S52" i="5" s="1"/>
  <c r="T51" i="5"/>
  <c r="U51" i="5" s="1"/>
  <c r="R51" i="5"/>
  <c r="S51" i="5" s="1"/>
  <c r="T50" i="5"/>
  <c r="U50" i="5" s="1"/>
  <c r="R50" i="5"/>
  <c r="S50" i="5" s="1"/>
  <c r="T49" i="5"/>
  <c r="U49" i="5" s="1"/>
  <c r="R49" i="5"/>
  <c r="S49" i="5" s="1"/>
  <c r="T48" i="5"/>
  <c r="U48" i="5" s="1"/>
  <c r="R48" i="5"/>
  <c r="S48" i="5" s="1"/>
  <c r="T47" i="5"/>
  <c r="U47" i="5" s="1"/>
  <c r="R47" i="5"/>
  <c r="S47" i="5" s="1"/>
  <c r="T46" i="5"/>
  <c r="U46" i="5" s="1"/>
  <c r="R46" i="5"/>
  <c r="S46" i="5" s="1"/>
  <c r="T45" i="5"/>
  <c r="U45" i="5" s="1"/>
  <c r="R45" i="5"/>
  <c r="S45" i="5" s="1"/>
  <c r="T44" i="5"/>
  <c r="U44" i="5" s="1"/>
  <c r="R44" i="5"/>
  <c r="S44" i="5" s="1"/>
  <c r="T43" i="5"/>
  <c r="U43" i="5" s="1"/>
  <c r="R43" i="5"/>
  <c r="S43" i="5" s="1"/>
  <c r="T42" i="5"/>
  <c r="U42" i="5" s="1"/>
  <c r="R42" i="5"/>
  <c r="S42" i="5" s="1"/>
  <c r="T41" i="5"/>
  <c r="U41" i="5" s="1"/>
  <c r="R41" i="5"/>
  <c r="S41" i="5" s="1"/>
  <c r="T40" i="5"/>
  <c r="U40" i="5" s="1"/>
  <c r="R40" i="5"/>
  <c r="S40" i="5" s="1"/>
  <c r="T39" i="5"/>
  <c r="U39" i="5" s="1"/>
  <c r="R39" i="5"/>
  <c r="S39" i="5" s="1"/>
  <c r="T38" i="5"/>
  <c r="U38" i="5" s="1"/>
  <c r="R38" i="5"/>
  <c r="S38" i="5" s="1"/>
  <c r="T37" i="5"/>
  <c r="U37" i="5" s="1"/>
  <c r="R37" i="5"/>
  <c r="S37" i="5" s="1"/>
  <c r="T36" i="5"/>
  <c r="U36" i="5" s="1"/>
  <c r="R36" i="5"/>
  <c r="S36" i="5" s="1"/>
  <c r="T35" i="5"/>
  <c r="U35" i="5" s="1"/>
  <c r="R35" i="5"/>
  <c r="S35" i="5" s="1"/>
  <c r="T34" i="5"/>
  <c r="U34" i="5" s="1"/>
  <c r="R34" i="5"/>
  <c r="S34" i="5" s="1"/>
  <c r="T33" i="5"/>
  <c r="U33" i="5" s="1"/>
  <c r="R33" i="5"/>
  <c r="S33" i="5" s="1"/>
  <c r="T32" i="5"/>
  <c r="U32" i="5" s="1"/>
  <c r="R32" i="5"/>
  <c r="S32" i="5" s="1"/>
  <c r="T31" i="5"/>
  <c r="U31" i="5" s="1"/>
  <c r="R31" i="5"/>
  <c r="S31" i="5" s="1"/>
  <c r="T30" i="5"/>
  <c r="U30" i="5" s="1"/>
  <c r="R30" i="5"/>
  <c r="S30" i="5" s="1"/>
  <c r="U29" i="5"/>
  <c r="T29" i="5"/>
  <c r="R29" i="5"/>
  <c r="S29" i="5" s="1"/>
  <c r="T28" i="5"/>
  <c r="U28" i="5" s="1"/>
  <c r="R28" i="5"/>
  <c r="S28" i="5" s="1"/>
  <c r="T27" i="5"/>
  <c r="U27" i="5" s="1"/>
  <c r="R27" i="5"/>
  <c r="S27" i="5" s="1"/>
  <c r="T26" i="5"/>
  <c r="U26" i="5" s="1"/>
  <c r="R26" i="5"/>
  <c r="S26" i="5" s="1"/>
  <c r="T25" i="5"/>
  <c r="U25" i="5" s="1"/>
  <c r="R25" i="5"/>
  <c r="S25" i="5" s="1"/>
  <c r="T24" i="5"/>
  <c r="U24" i="5" s="1"/>
  <c r="R24" i="5"/>
  <c r="S24" i="5" s="1"/>
  <c r="T23" i="5"/>
  <c r="U23" i="5" s="1"/>
  <c r="R23" i="5"/>
  <c r="S23" i="5" s="1"/>
  <c r="T22" i="5"/>
  <c r="U22" i="5" s="1"/>
  <c r="R22" i="5"/>
  <c r="S22" i="5" s="1"/>
  <c r="T21" i="5"/>
  <c r="U21" i="5" s="1"/>
  <c r="R21" i="5"/>
  <c r="S21" i="5" s="1"/>
  <c r="U20" i="5"/>
  <c r="T20" i="5"/>
  <c r="R20" i="5"/>
  <c r="S20" i="5" s="1"/>
  <c r="T19" i="5"/>
  <c r="U19" i="5" s="1"/>
  <c r="R19" i="5"/>
  <c r="S19" i="5" s="1"/>
  <c r="T18" i="5"/>
  <c r="U18" i="5" s="1"/>
  <c r="R18" i="5"/>
  <c r="S18" i="5" s="1"/>
  <c r="N18" i="5"/>
  <c r="M18" i="5"/>
  <c r="T17" i="5"/>
  <c r="U17" i="5" s="1"/>
  <c r="R17" i="5"/>
  <c r="S17" i="5" s="1"/>
  <c r="N17" i="5"/>
  <c r="M17" i="5"/>
  <c r="T16" i="5"/>
  <c r="U16" i="5" s="1"/>
  <c r="W16" i="5" s="1"/>
  <c r="R16" i="5"/>
  <c r="S16" i="5" s="1"/>
  <c r="M16" i="5"/>
  <c r="T15" i="5"/>
  <c r="U15" i="5" s="1"/>
  <c r="R15" i="5"/>
  <c r="S15" i="5" s="1"/>
  <c r="N15" i="5"/>
  <c r="M15" i="5"/>
  <c r="B15" i="5"/>
  <c r="E15" i="5" s="1"/>
  <c r="O14" i="5"/>
  <c r="P14" i="5" s="1"/>
  <c r="F14" i="5"/>
  <c r="E14" i="5"/>
  <c r="C14" i="5"/>
  <c r="Q8" i="5"/>
  <c r="T7" i="5"/>
  <c r="I3" i="5"/>
  <c r="I1" i="5"/>
  <c r="G41" i="7" l="1"/>
  <c r="F41" i="7"/>
  <c r="E41" i="7"/>
  <c r="B42" i="7"/>
  <c r="D23" i="7" a="1"/>
  <c r="D23" i="7" s="1"/>
  <c r="M233" i="5"/>
  <c r="M231" i="5"/>
  <c r="M228" i="5"/>
  <c r="O234" i="5"/>
  <c r="P234" i="5" s="1"/>
  <c r="M234" i="5"/>
  <c r="O230" i="5"/>
  <c r="P230" i="5" s="1"/>
  <c r="M230" i="5"/>
  <c r="O228" i="5"/>
  <c r="P228" i="5" s="1"/>
  <c r="L3" i="5"/>
  <c r="G15" i="5"/>
  <c r="B16" i="5"/>
  <c r="F15" i="5"/>
  <c r="D15" i="5" s="1" a="1"/>
  <c r="D15" i="5" s="1"/>
  <c r="H16" i="5" s="1"/>
  <c r="N229" i="5"/>
  <c r="O229" i="5" s="1"/>
  <c r="P229" i="5" s="1"/>
  <c r="M229" i="5"/>
  <c r="N232" i="5"/>
  <c r="O232" i="5" s="1"/>
  <c r="P232" i="5" s="1"/>
  <c r="M232" i="5"/>
  <c r="O235" i="5"/>
  <c r="P235" i="5" s="1"/>
  <c r="O233" i="5"/>
  <c r="P233" i="5" s="1"/>
  <c r="M235" i="5"/>
  <c r="A23" i="7" l="1"/>
  <c r="I24" i="7"/>
  <c r="L24" i="7"/>
  <c r="B43" i="7"/>
  <c r="G42" i="7"/>
  <c r="F42" i="7"/>
  <c r="E42" i="7"/>
  <c r="G16" i="5"/>
  <c r="E16" i="5"/>
  <c r="F16" i="5"/>
  <c r="B17" i="5"/>
  <c r="M28" i="7" l="1"/>
  <c r="N28" i="7"/>
  <c r="C24" i="7"/>
  <c r="F43" i="7"/>
  <c r="E43" i="7"/>
  <c r="B44" i="7"/>
  <c r="G43" i="7"/>
  <c r="H24" i="7"/>
  <c r="J24" i="7" s="1"/>
  <c r="E17" i="5"/>
  <c r="F17" i="5"/>
  <c r="G17" i="5"/>
  <c r="B18" i="5"/>
  <c r="K24" i="7" l="1"/>
  <c r="O24" i="7" s="1"/>
  <c r="P24" i="7" s="1"/>
  <c r="B45" i="7"/>
  <c r="G44" i="7"/>
  <c r="F44" i="7"/>
  <c r="E44" i="7"/>
  <c r="B19" i="5"/>
  <c r="F18" i="5"/>
  <c r="E18" i="5"/>
  <c r="G18" i="5"/>
  <c r="D24" i="7" l="1" a="1"/>
  <c r="D24" i="7" s="1"/>
  <c r="A24" i="7" s="1"/>
  <c r="B46" i="7"/>
  <c r="E45" i="7"/>
  <c r="G45" i="7"/>
  <c r="F45" i="7"/>
  <c r="E19" i="5"/>
  <c r="G19" i="5"/>
  <c r="F19" i="5"/>
  <c r="B20" i="5"/>
  <c r="I25" i="7" l="1"/>
  <c r="L25" i="7"/>
  <c r="C25" i="7" s="1"/>
  <c r="B47" i="7"/>
  <c r="G46" i="7"/>
  <c r="F46" i="7"/>
  <c r="E46" i="7"/>
  <c r="B21" i="5"/>
  <c r="F20" i="5"/>
  <c r="E20" i="5"/>
  <c r="G20" i="5"/>
  <c r="H25" i="7" l="1"/>
  <c r="J25" i="7" s="1"/>
  <c r="M29" i="7"/>
  <c r="N29" i="7"/>
  <c r="G47" i="7"/>
  <c r="F47" i="7"/>
  <c r="E47" i="7"/>
  <c r="B48" i="7"/>
  <c r="K25" i="7"/>
  <c r="O25" i="7" s="1"/>
  <c r="P25" i="7" s="1"/>
  <c r="B22" i="5"/>
  <c r="G21" i="5"/>
  <c r="F21" i="5"/>
  <c r="E21" i="5"/>
  <c r="D25" i="7" l="1" a="1"/>
  <c r="D25" i="7" s="1"/>
  <c r="B49" i="7"/>
  <c r="G48" i="7"/>
  <c r="F48" i="7"/>
  <c r="E48" i="7"/>
  <c r="G22" i="5"/>
  <c r="B23" i="5"/>
  <c r="F22" i="5"/>
  <c r="E22" i="5"/>
  <c r="E49" i="7" l="1"/>
  <c r="B50" i="7"/>
  <c r="G49" i="7"/>
  <c r="F49" i="7"/>
  <c r="A25" i="7"/>
  <c r="I26" i="7"/>
  <c r="L26" i="7"/>
  <c r="F23" i="5"/>
  <c r="G23" i="5"/>
  <c r="B24" i="5"/>
  <c r="E23" i="5"/>
  <c r="B51" i="7" l="1"/>
  <c r="G50" i="7"/>
  <c r="F50" i="7"/>
  <c r="E50" i="7"/>
  <c r="N30" i="7"/>
  <c r="M30" i="7"/>
  <c r="H26" i="7"/>
  <c r="J26" i="7" s="1"/>
  <c r="C26" i="7"/>
  <c r="B25" i="5"/>
  <c r="E24" i="5"/>
  <c r="G24" i="5"/>
  <c r="F24" i="5"/>
  <c r="G51" i="7" l="1"/>
  <c r="F51" i="7"/>
  <c r="E51" i="7"/>
  <c r="B52" i="7"/>
  <c r="K26" i="7"/>
  <c r="O26" i="7" s="1"/>
  <c r="P26" i="7" s="1"/>
  <c r="G25" i="5"/>
  <c r="B26" i="5"/>
  <c r="E25" i="5"/>
  <c r="F25" i="5"/>
  <c r="G52" i="7" l="1"/>
  <c r="E52" i="7"/>
  <c r="F52" i="7"/>
  <c r="B53" i="7"/>
  <c r="D26" i="7" a="1"/>
  <c r="D26" i="7" s="1"/>
  <c r="F26" i="5"/>
  <c r="E26" i="5"/>
  <c r="B27" i="5"/>
  <c r="G26" i="5"/>
  <c r="A26" i="7" l="1"/>
  <c r="L27" i="7"/>
  <c r="H27" i="7" s="1"/>
  <c r="I27" i="7"/>
  <c r="E53" i="7"/>
  <c r="G53" i="7"/>
  <c r="F53" i="7"/>
  <c r="B54" i="7"/>
  <c r="B28" i="5"/>
  <c r="E27" i="5"/>
  <c r="G27" i="5"/>
  <c r="F27" i="5"/>
  <c r="J27" i="7" l="1"/>
  <c r="G54" i="7"/>
  <c r="E54" i="7"/>
  <c r="F54" i="7"/>
  <c r="B55" i="7"/>
  <c r="N31" i="7"/>
  <c r="M31" i="7"/>
  <c r="C27" i="7"/>
  <c r="K27" i="7" s="1"/>
  <c r="O27" i="7" s="1"/>
  <c r="P27" i="7" s="1"/>
  <c r="B29" i="5"/>
  <c r="G28" i="5"/>
  <c r="E28" i="5"/>
  <c r="F28" i="5"/>
  <c r="E55" i="7" l="1"/>
  <c r="G55" i="7"/>
  <c r="F55" i="7"/>
  <c r="B56" i="7"/>
  <c r="D27" i="7" a="1"/>
  <c r="D27" i="7" s="1"/>
  <c r="G29" i="5"/>
  <c r="F29" i="5"/>
  <c r="B30" i="5"/>
  <c r="E29" i="5"/>
  <c r="G56" i="7" l="1"/>
  <c r="E56" i="7"/>
  <c r="F56" i="7"/>
  <c r="B57" i="7"/>
  <c r="A27" i="7"/>
  <c r="I28" i="7"/>
  <c r="L28" i="7"/>
  <c r="C28" i="7" s="1"/>
  <c r="B31" i="5"/>
  <c r="F30" i="5"/>
  <c r="E30" i="5"/>
  <c r="G30" i="5"/>
  <c r="E57" i="7" l="1"/>
  <c r="G57" i="7"/>
  <c r="F57" i="7"/>
  <c r="B58" i="7"/>
  <c r="N32" i="7"/>
  <c r="M32" i="7"/>
  <c r="H28" i="7"/>
  <c r="J28" i="7" s="1"/>
  <c r="G31" i="5"/>
  <c r="F31" i="5"/>
  <c r="B32" i="5"/>
  <c r="E31" i="5"/>
  <c r="G58" i="7" l="1"/>
  <c r="E58" i="7"/>
  <c r="B59" i="7"/>
  <c r="F58" i="7"/>
  <c r="K28" i="7"/>
  <c r="O28" i="7" s="1"/>
  <c r="P28" i="7" s="1"/>
  <c r="B33" i="5"/>
  <c r="F32" i="5"/>
  <c r="E32" i="5"/>
  <c r="G32" i="5"/>
  <c r="E59" i="7" l="1"/>
  <c r="G59" i="7"/>
  <c r="F59" i="7"/>
  <c r="B60" i="7"/>
  <c r="D28" i="7" a="1"/>
  <c r="D28" i="7" s="1"/>
  <c r="E33" i="5"/>
  <c r="G33" i="5"/>
  <c r="B34" i="5"/>
  <c r="F33" i="5"/>
  <c r="A28" i="7" l="1"/>
  <c r="L29" i="7"/>
  <c r="H29" i="7" s="1"/>
  <c r="I29" i="7"/>
  <c r="G60" i="7"/>
  <c r="E60" i="7"/>
  <c r="F60" i="7"/>
  <c r="B61" i="7"/>
  <c r="B35" i="5"/>
  <c r="F34" i="5"/>
  <c r="E34" i="5"/>
  <c r="G34" i="5"/>
  <c r="J29" i="7" l="1"/>
  <c r="N33" i="7"/>
  <c r="M33" i="7"/>
  <c r="E61" i="7"/>
  <c r="G61" i="7"/>
  <c r="F61" i="7"/>
  <c r="B62" i="7"/>
  <c r="C29" i="7"/>
  <c r="B36" i="5"/>
  <c r="G35" i="5"/>
  <c r="F35" i="5"/>
  <c r="E35" i="5"/>
  <c r="K29" i="7" l="1"/>
  <c r="O29" i="7" s="1"/>
  <c r="P29" i="7" s="1"/>
  <c r="G62" i="7"/>
  <c r="E62" i="7"/>
  <c r="B63" i="7"/>
  <c r="F62" i="7"/>
  <c r="G36" i="5"/>
  <c r="B37" i="5"/>
  <c r="F36" i="5"/>
  <c r="E36" i="5"/>
  <c r="D29" i="7" l="1" a="1"/>
  <c r="D29" i="7" s="1"/>
  <c r="A29" i="7" s="1"/>
  <c r="E63" i="7"/>
  <c r="G63" i="7"/>
  <c r="B64" i="7"/>
  <c r="F63" i="7"/>
  <c r="E37" i="5"/>
  <c r="G37" i="5"/>
  <c r="F37" i="5"/>
  <c r="B38" i="5"/>
  <c r="L30" i="7" l="1"/>
  <c r="C30" i="7" s="1"/>
  <c r="I30" i="7"/>
  <c r="G64" i="7"/>
  <c r="E64" i="7"/>
  <c r="B65" i="7"/>
  <c r="F64" i="7"/>
  <c r="B39" i="5"/>
  <c r="G38" i="5"/>
  <c r="F38" i="5"/>
  <c r="E38" i="5"/>
  <c r="H30" i="7" l="1"/>
  <c r="J30" i="7" s="1"/>
  <c r="N34" i="7"/>
  <c r="M34" i="7"/>
  <c r="E65" i="7"/>
  <c r="G65" i="7"/>
  <c r="F65" i="7"/>
  <c r="B66" i="7"/>
  <c r="K30" i="7"/>
  <c r="O30" i="7" s="1"/>
  <c r="P30" i="7" s="1"/>
  <c r="B40" i="5"/>
  <c r="G39" i="5"/>
  <c r="F39" i="5"/>
  <c r="E39" i="5"/>
  <c r="D30" i="7" l="1" a="1"/>
  <c r="D30" i="7" s="1"/>
  <c r="G66" i="7"/>
  <c r="E66" i="7"/>
  <c r="F66" i="7"/>
  <c r="B67" i="7"/>
  <c r="F40" i="5"/>
  <c r="E40" i="5"/>
  <c r="G40" i="5"/>
  <c r="B41" i="5"/>
  <c r="E67" i="7" l="1"/>
  <c r="G67" i="7"/>
  <c r="F67" i="7"/>
  <c r="B68" i="7"/>
  <c r="A30" i="7"/>
  <c r="L31" i="7"/>
  <c r="I31" i="7"/>
  <c r="G41" i="5"/>
  <c r="F41" i="5"/>
  <c r="B42" i="5"/>
  <c r="E41" i="5"/>
  <c r="N35" i="7" l="1"/>
  <c r="M35" i="7"/>
  <c r="C31" i="7"/>
  <c r="G68" i="7"/>
  <c r="E68" i="7"/>
  <c r="F68" i="7"/>
  <c r="B69" i="7"/>
  <c r="H31" i="7"/>
  <c r="J31" i="7" s="1"/>
  <c r="B43" i="5"/>
  <c r="G42" i="5"/>
  <c r="F42" i="5"/>
  <c r="E42" i="5"/>
  <c r="K31" i="7" l="1"/>
  <c r="O31" i="7" s="1"/>
  <c r="P31" i="7" s="1"/>
  <c r="E69" i="7"/>
  <c r="G69" i="7"/>
  <c r="F69" i="7"/>
  <c r="B70" i="7"/>
  <c r="D31" i="7" a="1"/>
  <c r="D31" i="7" s="1"/>
  <c r="G43" i="5"/>
  <c r="F43" i="5"/>
  <c r="B44" i="5"/>
  <c r="E43" i="5"/>
  <c r="G70" i="7" l="1"/>
  <c r="E70" i="7"/>
  <c r="B71" i="7"/>
  <c r="F70" i="7"/>
  <c r="A31" i="7"/>
  <c r="L32" i="7"/>
  <c r="C32" i="7" s="1"/>
  <c r="I32" i="7"/>
  <c r="F44" i="5"/>
  <c r="G44" i="5"/>
  <c r="E44" i="5"/>
  <c r="B45" i="5"/>
  <c r="E71" i="7" l="1"/>
  <c r="G71" i="7"/>
  <c r="B72" i="7"/>
  <c r="F71" i="7"/>
  <c r="N36" i="7"/>
  <c r="M36" i="7"/>
  <c r="H32" i="7"/>
  <c r="J32" i="7" s="1"/>
  <c r="G45" i="5"/>
  <c r="F45" i="5"/>
  <c r="B46" i="5"/>
  <c r="E45" i="5"/>
  <c r="G72" i="7" l="1"/>
  <c r="E72" i="7"/>
  <c r="B73" i="7"/>
  <c r="F72" i="7"/>
  <c r="K32" i="7"/>
  <c r="O32" i="7" s="1"/>
  <c r="P32" i="7" s="1"/>
  <c r="B47" i="5"/>
  <c r="E46" i="5"/>
  <c r="G46" i="5"/>
  <c r="F46" i="5"/>
  <c r="D32" i="7" l="1" a="1"/>
  <c r="D32" i="7" s="1"/>
  <c r="E73" i="7"/>
  <c r="G73" i="7"/>
  <c r="F73" i="7"/>
  <c r="B74" i="7"/>
  <c r="E47" i="5"/>
  <c r="G47" i="5"/>
  <c r="F47" i="5"/>
  <c r="B48" i="5"/>
  <c r="G74" i="7" l="1"/>
  <c r="E74" i="7"/>
  <c r="F74" i="7"/>
  <c r="B75" i="7"/>
  <c r="A32" i="7"/>
  <c r="L33" i="7"/>
  <c r="C33" i="7" s="1"/>
  <c r="I33" i="7"/>
  <c r="B49" i="5"/>
  <c r="G48" i="5"/>
  <c r="F48" i="5"/>
  <c r="E48" i="5"/>
  <c r="H33" i="7" l="1"/>
  <c r="J33" i="7" s="1"/>
  <c r="E75" i="7"/>
  <c r="G75" i="7"/>
  <c r="F75" i="7"/>
  <c r="B76" i="7"/>
  <c r="N37" i="7"/>
  <c r="M37" i="7"/>
  <c r="B50" i="5"/>
  <c r="G49" i="5"/>
  <c r="F49" i="5"/>
  <c r="E49" i="5"/>
  <c r="G76" i="7" l="1"/>
  <c r="E76" i="7"/>
  <c r="B77" i="7"/>
  <c r="F76" i="7"/>
  <c r="K33" i="7"/>
  <c r="O33" i="7" s="1"/>
  <c r="P33" i="7" s="1"/>
  <c r="F50" i="5"/>
  <c r="E50" i="5"/>
  <c r="B51" i="5"/>
  <c r="G50" i="5"/>
  <c r="E77" i="7" l="1"/>
  <c r="G77" i="7"/>
  <c r="F77" i="7"/>
  <c r="B78" i="7"/>
  <c r="D33" i="7" a="1"/>
  <c r="D33" i="7" s="1"/>
  <c r="E51" i="5"/>
  <c r="G51" i="5"/>
  <c r="F51" i="5"/>
  <c r="B52" i="5"/>
  <c r="G78" i="7" l="1"/>
  <c r="E78" i="7"/>
  <c r="F78" i="7"/>
  <c r="B79" i="7"/>
  <c r="A33" i="7"/>
  <c r="I34" i="7"/>
  <c r="L34" i="7"/>
  <c r="H34" i="7" s="1"/>
  <c r="B53" i="5"/>
  <c r="F52" i="5"/>
  <c r="E52" i="5"/>
  <c r="G52" i="5"/>
  <c r="J34" i="7" l="1"/>
  <c r="N38" i="7"/>
  <c r="M38" i="7"/>
  <c r="E79" i="7"/>
  <c r="G79" i="7"/>
  <c r="F79" i="7"/>
  <c r="B80" i="7"/>
  <c r="C34" i="7"/>
  <c r="K34" i="7" s="1"/>
  <c r="O34" i="7" s="1"/>
  <c r="P34" i="7" s="1"/>
  <c r="B54" i="5"/>
  <c r="G53" i="5"/>
  <c r="E53" i="5"/>
  <c r="F53" i="5"/>
  <c r="G80" i="7" l="1"/>
  <c r="E80" i="7"/>
  <c r="B81" i="7"/>
  <c r="F80" i="7"/>
  <c r="D34" i="7" a="1"/>
  <c r="D34" i="7" s="1"/>
  <c r="F54" i="5"/>
  <c r="E54" i="5"/>
  <c r="G54" i="5"/>
  <c r="B55" i="5"/>
  <c r="A34" i="7" l="1"/>
  <c r="I35" i="7"/>
  <c r="L35" i="7"/>
  <c r="C35" i="7" s="1"/>
  <c r="E81" i="7"/>
  <c r="G81" i="7"/>
  <c r="F81" i="7"/>
  <c r="B82" i="7"/>
  <c r="B56" i="5"/>
  <c r="G55" i="5"/>
  <c r="F55" i="5"/>
  <c r="E55" i="5"/>
  <c r="G82" i="7" l="1"/>
  <c r="E82" i="7"/>
  <c r="B83" i="7"/>
  <c r="F82" i="7"/>
  <c r="N39" i="7"/>
  <c r="M39" i="7"/>
  <c r="H35" i="7"/>
  <c r="J35" i="7" s="1"/>
  <c r="B57" i="5"/>
  <c r="G56" i="5"/>
  <c r="F56" i="5"/>
  <c r="E56" i="5"/>
  <c r="E83" i="7" l="1"/>
  <c r="G83" i="7"/>
  <c r="F83" i="7"/>
  <c r="B84" i="7"/>
  <c r="K35" i="7"/>
  <c r="O35" i="7" s="1"/>
  <c r="P35" i="7" s="1"/>
  <c r="F57" i="5"/>
  <c r="E57" i="5"/>
  <c r="B58" i="5"/>
  <c r="G57" i="5"/>
  <c r="D35" i="7" l="1" a="1"/>
  <c r="D35" i="7" s="1"/>
  <c r="G84" i="7"/>
  <c r="E84" i="7"/>
  <c r="F84" i="7"/>
  <c r="B85" i="7"/>
  <c r="F58" i="5"/>
  <c r="G58" i="5"/>
  <c r="E58" i="5"/>
  <c r="B59" i="5"/>
  <c r="E85" i="7" l="1"/>
  <c r="G85" i="7"/>
  <c r="F85" i="7"/>
  <c r="B86" i="7"/>
  <c r="A35" i="7"/>
  <c r="I36" i="7"/>
  <c r="L36" i="7"/>
  <c r="C36" i="7" s="1"/>
  <c r="E59" i="5"/>
  <c r="B60" i="5"/>
  <c r="G59" i="5"/>
  <c r="F59" i="5"/>
  <c r="G86" i="7" l="1"/>
  <c r="E86" i="7"/>
  <c r="B87" i="7"/>
  <c r="F86" i="7"/>
  <c r="N40" i="7"/>
  <c r="M40" i="7"/>
  <c r="H36" i="7"/>
  <c r="J36" i="7" s="1"/>
  <c r="B61" i="5"/>
  <c r="F60" i="5"/>
  <c r="G60" i="5"/>
  <c r="E60" i="5"/>
  <c r="E87" i="7" l="1"/>
  <c r="G87" i="7"/>
  <c r="F87" i="7"/>
  <c r="B88" i="7"/>
  <c r="K36" i="7"/>
  <c r="O36" i="7" s="1"/>
  <c r="P36" i="7" s="1"/>
  <c r="B62" i="5"/>
  <c r="E61" i="5"/>
  <c r="G61" i="5"/>
  <c r="F61" i="5"/>
  <c r="D36" i="7" l="1" a="1"/>
  <c r="D36" i="7" s="1"/>
  <c r="G88" i="7"/>
  <c r="E88" i="7"/>
  <c r="F88" i="7"/>
  <c r="B89" i="7"/>
  <c r="B63" i="5"/>
  <c r="G62" i="5"/>
  <c r="F62" i="5"/>
  <c r="E62" i="5"/>
  <c r="E89" i="7" l="1"/>
  <c r="G89" i="7"/>
  <c r="F89" i="7"/>
  <c r="B90" i="7"/>
  <c r="A36" i="7"/>
  <c r="L37" i="7"/>
  <c r="H37" i="7" s="1"/>
  <c r="I37" i="7"/>
  <c r="B64" i="5"/>
  <c r="E63" i="5"/>
  <c r="G63" i="5"/>
  <c r="F63" i="5"/>
  <c r="J37" i="7" l="1"/>
  <c r="N41" i="7"/>
  <c r="M41" i="7"/>
  <c r="G90" i="7"/>
  <c r="E90" i="7"/>
  <c r="B91" i="7"/>
  <c r="F90" i="7"/>
  <c r="C37" i="7"/>
  <c r="K37" i="7" s="1"/>
  <c r="O37" i="7" s="1"/>
  <c r="P37" i="7" s="1"/>
  <c r="F64" i="5"/>
  <c r="E64" i="5"/>
  <c r="B65" i="5"/>
  <c r="G64" i="5"/>
  <c r="E91" i="7" l="1"/>
  <c r="G91" i="7"/>
  <c r="F91" i="7"/>
  <c r="B92" i="7"/>
  <c r="D37" i="7" a="1"/>
  <c r="D37" i="7" s="1"/>
  <c r="B66" i="5"/>
  <c r="G65" i="5"/>
  <c r="F65" i="5"/>
  <c r="E65" i="5"/>
  <c r="G92" i="7" l="1"/>
  <c r="E92" i="7"/>
  <c r="B93" i="7"/>
  <c r="F92" i="7"/>
  <c r="A37" i="7"/>
  <c r="I38" i="7"/>
  <c r="L38" i="7"/>
  <c r="H38" i="7" s="1"/>
  <c r="B67" i="5"/>
  <c r="G66" i="5"/>
  <c r="E66" i="5"/>
  <c r="F66" i="5"/>
  <c r="J38" i="7" l="1"/>
  <c r="E93" i="7"/>
  <c r="G93" i="7"/>
  <c r="F93" i="7"/>
  <c r="B94" i="7"/>
  <c r="N42" i="7"/>
  <c r="M42" i="7"/>
  <c r="C38" i="7"/>
  <c r="B68" i="5"/>
  <c r="E67" i="5"/>
  <c r="G67" i="5"/>
  <c r="F67" i="5"/>
  <c r="K38" i="7" l="1"/>
  <c r="O38" i="7" s="1"/>
  <c r="P38" i="7" s="1"/>
  <c r="G94" i="7"/>
  <c r="E94" i="7"/>
  <c r="F94" i="7"/>
  <c r="B95" i="7"/>
  <c r="D38" i="7" a="1"/>
  <c r="D38" i="7" s="1"/>
  <c r="E68" i="5"/>
  <c r="B69" i="5"/>
  <c r="G68" i="5"/>
  <c r="F68" i="5"/>
  <c r="A38" i="7" l="1"/>
  <c r="L39" i="7"/>
  <c r="H39" i="7" s="1"/>
  <c r="I39" i="7"/>
  <c r="E95" i="7"/>
  <c r="G95" i="7"/>
  <c r="F95" i="7"/>
  <c r="B96" i="7"/>
  <c r="B70" i="5"/>
  <c r="F69" i="5"/>
  <c r="G69" i="5"/>
  <c r="E69" i="5"/>
  <c r="J39" i="7" l="1"/>
  <c r="C39" i="7"/>
  <c r="N43" i="7"/>
  <c r="M43" i="7"/>
  <c r="B97" i="7"/>
  <c r="G96" i="7"/>
  <c r="E96" i="7"/>
  <c r="F96" i="7"/>
  <c r="B71" i="5"/>
  <c r="G70" i="5"/>
  <c r="F70" i="5"/>
  <c r="E70" i="5"/>
  <c r="K39" i="7" l="1"/>
  <c r="O39" i="7" s="1"/>
  <c r="P39" i="7" s="1"/>
  <c r="B98" i="7"/>
  <c r="G97" i="7"/>
  <c r="F97" i="7"/>
  <c r="E97" i="7"/>
  <c r="B72" i="5"/>
  <c r="G71" i="5"/>
  <c r="F71" i="5"/>
  <c r="E71" i="5"/>
  <c r="D39" i="7" l="1" a="1"/>
  <c r="D39" i="7" s="1"/>
  <c r="A39" i="7" s="1"/>
  <c r="B99" i="7"/>
  <c r="E98" i="7"/>
  <c r="G98" i="7"/>
  <c r="F98" i="7"/>
  <c r="F72" i="5"/>
  <c r="B73" i="5"/>
  <c r="E72" i="5"/>
  <c r="G72" i="5"/>
  <c r="L40" i="7" l="1"/>
  <c r="I40" i="7"/>
  <c r="N44" i="7"/>
  <c r="M44" i="7"/>
  <c r="B100" i="7"/>
  <c r="G99" i="7"/>
  <c r="F99" i="7"/>
  <c r="E99" i="7"/>
  <c r="C40" i="7"/>
  <c r="H40" i="7"/>
  <c r="J40" i="7" s="1"/>
  <c r="E73" i="5"/>
  <c r="F73" i="5"/>
  <c r="B74" i="5"/>
  <c r="G73" i="5"/>
  <c r="K40" i="7" l="1"/>
  <c r="O40" i="7" s="1"/>
  <c r="P40" i="7" s="1"/>
  <c r="B101" i="7"/>
  <c r="G100" i="7"/>
  <c r="F100" i="7"/>
  <c r="E100" i="7"/>
  <c r="D40" i="7" a="1"/>
  <c r="D40" i="7" s="1"/>
  <c r="E74" i="5"/>
  <c r="G74" i="5"/>
  <c r="F74" i="5"/>
  <c r="B75" i="5"/>
  <c r="A40" i="7" l="1"/>
  <c r="L41" i="7"/>
  <c r="H41" i="7" s="1"/>
  <c r="I41" i="7"/>
  <c r="B102" i="7"/>
  <c r="G101" i="7"/>
  <c r="F101" i="7"/>
  <c r="E101" i="7"/>
  <c r="E75" i="5"/>
  <c r="B76" i="5"/>
  <c r="G75" i="5"/>
  <c r="F75" i="5"/>
  <c r="J41" i="7" l="1"/>
  <c r="B103" i="7"/>
  <c r="G102" i="7"/>
  <c r="F102" i="7"/>
  <c r="E102" i="7"/>
  <c r="N45" i="7"/>
  <c r="M45" i="7"/>
  <c r="C41" i="7"/>
  <c r="K41" i="7" s="1"/>
  <c r="O41" i="7" s="1"/>
  <c r="P41" i="7" s="1"/>
  <c r="B77" i="5"/>
  <c r="G76" i="5"/>
  <c r="E76" i="5"/>
  <c r="F76" i="5"/>
  <c r="B104" i="7" l="1"/>
  <c r="G103" i="7"/>
  <c r="F103" i="7"/>
  <c r="E103" i="7"/>
  <c r="D41" i="7" a="1"/>
  <c r="D41" i="7" s="1"/>
  <c r="E77" i="5"/>
  <c r="G77" i="5"/>
  <c r="F77" i="5"/>
  <c r="B78" i="5"/>
  <c r="A41" i="7" l="1"/>
  <c r="L42" i="7"/>
  <c r="I42" i="7"/>
  <c r="B105" i="7"/>
  <c r="G104" i="7"/>
  <c r="F104" i="7"/>
  <c r="E104" i="7"/>
  <c r="B79" i="5"/>
  <c r="G78" i="5"/>
  <c r="F78" i="5"/>
  <c r="E78" i="5"/>
  <c r="N46" i="7" l="1"/>
  <c r="M46" i="7"/>
  <c r="B106" i="7"/>
  <c r="G105" i="7"/>
  <c r="E105" i="7"/>
  <c r="F105" i="7"/>
  <c r="C42" i="7"/>
  <c r="H42" i="7"/>
  <c r="J42" i="7" s="1"/>
  <c r="E79" i="5"/>
  <c r="G79" i="5"/>
  <c r="B80" i="5"/>
  <c r="F79" i="5"/>
  <c r="K42" i="7" l="1"/>
  <c r="O42" i="7" s="1"/>
  <c r="P42" i="7" s="1"/>
  <c r="B107" i="7"/>
  <c r="G106" i="7"/>
  <c r="F106" i="7"/>
  <c r="E106" i="7"/>
  <c r="D42" i="7" a="1"/>
  <c r="D42" i="7" s="1"/>
  <c r="E80" i="5"/>
  <c r="F80" i="5"/>
  <c r="B81" i="5"/>
  <c r="G80" i="5"/>
  <c r="A42" i="7" l="1"/>
  <c r="I43" i="7"/>
  <c r="L43" i="7"/>
  <c r="B108" i="7"/>
  <c r="G107" i="7"/>
  <c r="F107" i="7"/>
  <c r="E107" i="7"/>
  <c r="E81" i="5"/>
  <c r="F81" i="5"/>
  <c r="G81" i="5"/>
  <c r="B82" i="5"/>
  <c r="N47" i="7" l="1"/>
  <c r="M47" i="7"/>
  <c r="B109" i="7"/>
  <c r="G108" i="7"/>
  <c r="F108" i="7"/>
  <c r="E108" i="7"/>
  <c r="H43" i="7"/>
  <c r="J43" i="7" s="1"/>
  <c r="C43" i="7"/>
  <c r="B83" i="5"/>
  <c r="G82" i="5"/>
  <c r="E82" i="5"/>
  <c r="F82" i="5"/>
  <c r="B110" i="7" l="1"/>
  <c r="G109" i="7"/>
  <c r="E109" i="7"/>
  <c r="F109" i="7"/>
  <c r="K43" i="7"/>
  <c r="O43" i="7" s="1"/>
  <c r="P43" i="7" s="1"/>
  <c r="E83" i="5"/>
  <c r="B84" i="5"/>
  <c r="F83" i="5"/>
  <c r="G83" i="5"/>
  <c r="B111" i="7" l="1"/>
  <c r="G110" i="7"/>
  <c r="F110" i="7"/>
  <c r="E110" i="7"/>
  <c r="D43" i="7" a="1"/>
  <c r="D43" i="7" s="1"/>
  <c r="B85" i="5"/>
  <c r="G84" i="5"/>
  <c r="F84" i="5"/>
  <c r="E84" i="5"/>
  <c r="A43" i="7" l="1"/>
  <c r="I44" i="7"/>
  <c r="L44" i="7"/>
  <c r="H44" i="7" s="1"/>
  <c r="J44" i="7" s="1"/>
  <c r="B112" i="7"/>
  <c r="G111" i="7"/>
  <c r="F111" i="7"/>
  <c r="E111" i="7"/>
  <c r="E85" i="5"/>
  <c r="B86" i="5"/>
  <c r="G85" i="5"/>
  <c r="F85" i="5"/>
  <c r="C44" i="7" l="1"/>
  <c r="K44" i="7" s="1"/>
  <c r="O44" i="7" s="1"/>
  <c r="P44" i="7" s="1"/>
  <c r="B113" i="7"/>
  <c r="G112" i="7"/>
  <c r="F112" i="7"/>
  <c r="E112" i="7"/>
  <c r="N48" i="7"/>
  <c r="M48" i="7"/>
  <c r="F86" i="5"/>
  <c r="G86" i="5"/>
  <c r="E86" i="5"/>
  <c r="B87" i="5"/>
  <c r="B114" i="7" l="1"/>
  <c r="G113" i="7"/>
  <c r="E113" i="7"/>
  <c r="F113" i="7"/>
  <c r="D44" i="7" a="1"/>
  <c r="D44" i="7" s="1"/>
  <c r="E87" i="5"/>
  <c r="G87" i="5"/>
  <c r="F87" i="5"/>
  <c r="B88" i="5"/>
  <c r="A44" i="7" l="1"/>
  <c r="I45" i="7"/>
  <c r="L45" i="7"/>
  <c r="B115" i="7"/>
  <c r="G114" i="7"/>
  <c r="F114" i="7"/>
  <c r="E114" i="7"/>
  <c r="E88" i="5"/>
  <c r="F88" i="5"/>
  <c r="B89" i="5"/>
  <c r="G88" i="5"/>
  <c r="B116" i="7" l="1"/>
  <c r="G115" i="7"/>
  <c r="F115" i="7"/>
  <c r="E115" i="7"/>
  <c r="N49" i="7"/>
  <c r="M49" i="7"/>
  <c r="C45" i="7"/>
  <c r="H45" i="7"/>
  <c r="J45" i="7" s="1"/>
  <c r="E89" i="5"/>
  <c r="B90" i="5"/>
  <c r="G89" i="5"/>
  <c r="F89" i="5"/>
  <c r="K45" i="7" l="1"/>
  <c r="O45" i="7" s="1"/>
  <c r="P45" i="7" s="1"/>
  <c r="B117" i="7"/>
  <c r="G116" i="7"/>
  <c r="F116" i="7"/>
  <c r="E116" i="7"/>
  <c r="B91" i="5"/>
  <c r="G90" i="5"/>
  <c r="F90" i="5"/>
  <c r="E90" i="5"/>
  <c r="D45" i="7" l="1" a="1"/>
  <c r="D45" i="7" s="1"/>
  <c r="A45" i="7" s="1"/>
  <c r="B118" i="7"/>
  <c r="G117" i="7"/>
  <c r="E117" i="7"/>
  <c r="F117" i="7"/>
  <c r="E91" i="5"/>
  <c r="B92" i="5"/>
  <c r="G91" i="5"/>
  <c r="F91" i="5"/>
  <c r="L46" i="7" l="1"/>
  <c r="M50" i="7" s="1"/>
  <c r="I46" i="7"/>
  <c r="B119" i="7"/>
  <c r="G118" i="7"/>
  <c r="F118" i="7"/>
  <c r="E118" i="7"/>
  <c r="H46" i="7"/>
  <c r="J46" i="7" s="1"/>
  <c r="C46" i="7"/>
  <c r="B93" i="5"/>
  <c r="G92" i="5"/>
  <c r="F92" i="5"/>
  <c r="E92" i="5"/>
  <c r="N50" i="7" l="1"/>
  <c r="K46" i="7"/>
  <c r="O46" i="7" s="1"/>
  <c r="P46" i="7" s="1"/>
  <c r="B120" i="7"/>
  <c r="G119" i="7"/>
  <c r="F119" i="7"/>
  <c r="E119" i="7"/>
  <c r="E93" i="5"/>
  <c r="B94" i="5"/>
  <c r="G93" i="5"/>
  <c r="F93" i="5"/>
  <c r="B121" i="7" l="1"/>
  <c r="G120" i="7"/>
  <c r="F120" i="7"/>
  <c r="E120" i="7"/>
  <c r="D46" i="7" a="1"/>
  <c r="D46" i="7" s="1"/>
  <c r="F94" i="5"/>
  <c r="E94" i="5"/>
  <c r="B95" i="5"/>
  <c r="G94" i="5"/>
  <c r="A46" i="7" l="1"/>
  <c r="L47" i="7"/>
  <c r="I47" i="7"/>
  <c r="H47" i="7"/>
  <c r="B122" i="7"/>
  <c r="G121" i="7"/>
  <c r="F121" i="7"/>
  <c r="E121" i="7"/>
  <c r="E95" i="5"/>
  <c r="F95" i="5"/>
  <c r="G95" i="5"/>
  <c r="B96" i="5"/>
  <c r="J47" i="7" l="1"/>
  <c r="B123" i="7"/>
  <c r="G122" i="7"/>
  <c r="F122" i="7"/>
  <c r="E122" i="7"/>
  <c r="N51" i="7"/>
  <c r="M51" i="7"/>
  <c r="C47" i="7"/>
  <c r="K47" i="7" s="1"/>
  <c r="O47" i="7" s="1"/>
  <c r="P47" i="7" s="1"/>
  <c r="B97" i="5"/>
  <c r="G96" i="5"/>
  <c r="E96" i="5"/>
  <c r="F96" i="5"/>
  <c r="B124" i="7" l="1"/>
  <c r="G123" i="7"/>
  <c r="F123" i="7"/>
  <c r="E123" i="7"/>
  <c r="D47" i="7" a="1"/>
  <c r="D47" i="7" s="1"/>
  <c r="E97" i="5"/>
  <c r="B98" i="5"/>
  <c r="G97" i="5"/>
  <c r="F97" i="5"/>
  <c r="B125" i="7" l="1"/>
  <c r="G124" i="7"/>
  <c r="F124" i="7"/>
  <c r="E124" i="7"/>
  <c r="A47" i="7"/>
  <c r="L48" i="7"/>
  <c r="I48" i="7"/>
  <c r="B99" i="5"/>
  <c r="G98" i="5"/>
  <c r="F98" i="5"/>
  <c r="E98" i="5"/>
  <c r="N52" i="7" l="1"/>
  <c r="M52" i="7"/>
  <c r="H48" i="7"/>
  <c r="J48" i="7" s="1"/>
  <c r="C48" i="7"/>
  <c r="B126" i="7"/>
  <c r="G125" i="7"/>
  <c r="E125" i="7"/>
  <c r="F125" i="7"/>
  <c r="E99" i="5"/>
  <c r="B100" i="5"/>
  <c r="G99" i="5"/>
  <c r="F99" i="5"/>
  <c r="B127" i="7" l="1"/>
  <c r="G126" i="7"/>
  <c r="F126" i="7"/>
  <c r="E126" i="7"/>
  <c r="K48" i="7"/>
  <c r="O48" i="7" s="1"/>
  <c r="P48" i="7" s="1"/>
  <c r="E100" i="5"/>
  <c r="B101" i="5"/>
  <c r="G100" i="5"/>
  <c r="F100" i="5"/>
  <c r="D48" i="7" l="1" a="1"/>
  <c r="D48" i="7" s="1"/>
  <c r="A48" i="7" s="1"/>
  <c r="B128" i="7"/>
  <c r="G127" i="7"/>
  <c r="E127" i="7"/>
  <c r="F127" i="7"/>
  <c r="E101" i="5"/>
  <c r="G101" i="5"/>
  <c r="F101" i="5"/>
  <c r="B102" i="5"/>
  <c r="L49" i="7" l="1"/>
  <c r="N53" i="7" s="1"/>
  <c r="I49" i="7"/>
  <c r="B129" i="7"/>
  <c r="G128" i="7"/>
  <c r="F128" i="7"/>
  <c r="E128" i="7"/>
  <c r="C49" i="7"/>
  <c r="H49" i="7"/>
  <c r="J49" i="7" s="1"/>
  <c r="E102" i="5"/>
  <c r="G102" i="5"/>
  <c r="F102" i="5"/>
  <c r="B103" i="5"/>
  <c r="M53" i="7" l="1"/>
  <c r="K49" i="7"/>
  <c r="O49" i="7" s="1"/>
  <c r="P49" i="7" s="1"/>
  <c r="B130" i="7"/>
  <c r="G129" i="7"/>
  <c r="F129" i="7"/>
  <c r="E129" i="7"/>
  <c r="D49" i="7" a="1"/>
  <c r="D49" i="7" s="1"/>
  <c r="E103" i="5"/>
  <c r="F103" i="5"/>
  <c r="G103" i="5"/>
  <c r="B104" i="5"/>
  <c r="B131" i="7" l="1"/>
  <c r="G130" i="7"/>
  <c r="F130" i="7"/>
  <c r="E130" i="7"/>
  <c r="A49" i="7"/>
  <c r="I50" i="7"/>
  <c r="L50" i="7"/>
  <c r="C50" i="7" s="1"/>
  <c r="G104" i="5"/>
  <c r="B105" i="5"/>
  <c r="F104" i="5"/>
  <c r="E104" i="5"/>
  <c r="H50" i="7" l="1"/>
  <c r="J50" i="7" s="1"/>
  <c r="M54" i="7"/>
  <c r="N54" i="7"/>
  <c r="B132" i="7"/>
  <c r="G131" i="7"/>
  <c r="E131" i="7"/>
  <c r="F131" i="7"/>
  <c r="E105" i="5"/>
  <c r="G105" i="5"/>
  <c r="F105" i="5"/>
  <c r="B106" i="5"/>
  <c r="K50" i="7" l="1"/>
  <c r="O50" i="7" s="1"/>
  <c r="P50" i="7" s="1"/>
  <c r="B133" i="7"/>
  <c r="G132" i="7"/>
  <c r="F132" i="7"/>
  <c r="E132" i="7"/>
  <c r="G106" i="5"/>
  <c r="B107" i="5"/>
  <c r="E106" i="5"/>
  <c r="F106" i="5"/>
  <c r="D50" i="7" l="1" a="1"/>
  <c r="D50" i="7" s="1"/>
  <c r="B134" i="7"/>
  <c r="G133" i="7"/>
  <c r="F133" i="7"/>
  <c r="E133" i="7"/>
  <c r="E107" i="5"/>
  <c r="B108" i="5"/>
  <c r="G107" i="5"/>
  <c r="F107" i="5"/>
  <c r="I51" i="7" l="1"/>
  <c r="A50" i="7"/>
  <c r="L51" i="7"/>
  <c r="C51" i="7" s="1"/>
  <c r="B135" i="7"/>
  <c r="G134" i="7"/>
  <c r="F134" i="7"/>
  <c r="E134" i="7"/>
  <c r="B109" i="5"/>
  <c r="E108" i="5"/>
  <c r="G108" i="5"/>
  <c r="F108" i="5"/>
  <c r="H51" i="7" l="1"/>
  <c r="J51" i="7" s="1"/>
  <c r="K51" i="7" s="1"/>
  <c r="O51" i="7" s="1"/>
  <c r="P51" i="7" s="1"/>
  <c r="N55" i="7"/>
  <c r="M55" i="7"/>
  <c r="B136" i="7"/>
  <c r="G135" i="7"/>
  <c r="F135" i="7"/>
  <c r="E135" i="7"/>
  <c r="E109" i="5"/>
  <c r="B110" i="5"/>
  <c r="G109" i="5"/>
  <c r="F109" i="5"/>
  <c r="D51" i="7" l="1" a="1"/>
  <c r="D51" i="7" s="1"/>
  <c r="F136" i="7"/>
  <c r="B137" i="7"/>
  <c r="G136" i="7"/>
  <c r="E136" i="7"/>
  <c r="G110" i="5"/>
  <c r="F110" i="5"/>
  <c r="B111" i="5"/>
  <c r="E110" i="5"/>
  <c r="A51" i="7" l="1"/>
  <c r="L52" i="7"/>
  <c r="C52" i="7" s="1"/>
  <c r="I52" i="7"/>
  <c r="B138" i="7"/>
  <c r="F137" i="7"/>
  <c r="E137" i="7"/>
  <c r="G137" i="7"/>
  <c r="E111" i="5"/>
  <c r="B112" i="5"/>
  <c r="G111" i="5"/>
  <c r="F111" i="5"/>
  <c r="H52" i="7" l="1"/>
  <c r="J52" i="7" s="1"/>
  <c r="M56" i="7"/>
  <c r="N56" i="7"/>
  <c r="F138" i="7"/>
  <c r="E138" i="7"/>
  <c r="B139" i="7"/>
  <c r="G138" i="7"/>
  <c r="G112" i="5"/>
  <c r="F112" i="5"/>
  <c r="E112" i="5"/>
  <c r="B113" i="5"/>
  <c r="K52" i="7" l="1"/>
  <c r="O52" i="7" s="1"/>
  <c r="P52" i="7" s="1"/>
  <c r="G139" i="7"/>
  <c r="F139" i="7"/>
  <c r="E139" i="7"/>
  <c r="B140" i="7"/>
  <c r="E113" i="5"/>
  <c r="B114" i="5"/>
  <c r="G113" i="5"/>
  <c r="F113" i="5"/>
  <c r="D52" i="7" l="1" a="1"/>
  <c r="D52" i="7" s="1"/>
  <c r="B141" i="7"/>
  <c r="F140" i="7"/>
  <c r="E140" i="7"/>
  <c r="G140" i="7"/>
  <c r="G114" i="5"/>
  <c r="F114" i="5"/>
  <c r="B115" i="5"/>
  <c r="E114" i="5"/>
  <c r="A52" i="7" l="1"/>
  <c r="I53" i="7"/>
  <c r="L53" i="7"/>
  <c r="C53" i="7" s="1"/>
  <c r="G141" i="7"/>
  <c r="F141" i="7"/>
  <c r="E141" i="7"/>
  <c r="B142" i="7"/>
  <c r="E115" i="5"/>
  <c r="B116" i="5"/>
  <c r="G115" i="5"/>
  <c r="F115" i="5"/>
  <c r="H53" i="7" l="1"/>
  <c r="J53" i="7" s="1"/>
  <c r="N57" i="7"/>
  <c r="M57" i="7"/>
  <c r="B143" i="7"/>
  <c r="G142" i="7"/>
  <c r="F142" i="7"/>
  <c r="E142" i="7"/>
  <c r="E116" i="5"/>
  <c r="B117" i="5"/>
  <c r="F116" i="5"/>
  <c r="G116" i="5"/>
  <c r="K53" i="7" l="1"/>
  <c r="O53" i="7" s="1"/>
  <c r="P53" i="7" s="1"/>
  <c r="G143" i="7"/>
  <c r="F143" i="7"/>
  <c r="E143" i="7"/>
  <c r="B144" i="7"/>
  <c r="E117" i="5"/>
  <c r="B118" i="5"/>
  <c r="G117" i="5"/>
  <c r="F117" i="5"/>
  <c r="D53" i="7" l="1" a="1"/>
  <c r="D53" i="7" s="1"/>
  <c r="B145" i="7"/>
  <c r="G144" i="7"/>
  <c r="F144" i="7"/>
  <c r="E144" i="7"/>
  <c r="G118" i="5"/>
  <c r="F118" i="5"/>
  <c r="B119" i="5"/>
  <c r="E118" i="5"/>
  <c r="A53" i="7" l="1"/>
  <c r="L54" i="7"/>
  <c r="C54" i="7" s="1"/>
  <c r="I54" i="7"/>
  <c r="H54" i="7"/>
  <c r="E145" i="7"/>
  <c r="B146" i="7"/>
  <c r="G145" i="7"/>
  <c r="F145" i="7"/>
  <c r="E119" i="5"/>
  <c r="G119" i="5"/>
  <c r="F119" i="5"/>
  <c r="B120" i="5"/>
  <c r="J54" i="7" l="1"/>
  <c r="K54" i="7"/>
  <c r="O54" i="7" s="1"/>
  <c r="P54" i="7" s="1"/>
  <c r="M58" i="7"/>
  <c r="N58" i="7"/>
  <c r="B147" i="7"/>
  <c r="G146" i="7"/>
  <c r="F146" i="7"/>
  <c r="E146" i="7"/>
  <c r="E120" i="5"/>
  <c r="F120" i="5"/>
  <c r="B121" i="5"/>
  <c r="G120" i="5"/>
  <c r="D54" i="7" l="1" a="1"/>
  <c r="D54" i="7" s="1"/>
  <c r="E147" i="7"/>
  <c r="B148" i="7"/>
  <c r="F147" i="7"/>
  <c r="G147" i="7"/>
  <c r="G121" i="5"/>
  <c r="B122" i="5"/>
  <c r="F121" i="5"/>
  <c r="E121" i="5"/>
  <c r="A54" i="7" l="1"/>
  <c r="L55" i="7"/>
  <c r="I55" i="7"/>
  <c r="B149" i="7"/>
  <c r="G148" i="7"/>
  <c r="F148" i="7"/>
  <c r="E148" i="7"/>
  <c r="E122" i="5"/>
  <c r="F122" i="5"/>
  <c r="B123" i="5"/>
  <c r="G122" i="5"/>
  <c r="C55" i="7" l="1"/>
  <c r="N59" i="7"/>
  <c r="M59" i="7"/>
  <c r="H55" i="7"/>
  <c r="J55" i="7" s="1"/>
  <c r="E149" i="7"/>
  <c r="G149" i="7"/>
  <c r="F149" i="7"/>
  <c r="B150" i="7"/>
  <c r="E123" i="5"/>
  <c r="G123" i="5"/>
  <c r="F123" i="5"/>
  <c r="B124" i="5"/>
  <c r="K55" i="7" l="1"/>
  <c r="B151" i="7"/>
  <c r="G150" i="7"/>
  <c r="F150" i="7"/>
  <c r="E150" i="7"/>
  <c r="E124" i="5"/>
  <c r="G124" i="5"/>
  <c r="F124" i="5"/>
  <c r="B125" i="5"/>
  <c r="O55" i="7" l="1"/>
  <c r="P55" i="7" s="1"/>
  <c r="D55" i="7" a="1"/>
  <c r="D55" i="7" s="1"/>
  <c r="E151" i="7"/>
  <c r="G151" i="7"/>
  <c r="F151" i="7"/>
  <c r="B152" i="7"/>
  <c r="E125" i="5"/>
  <c r="G125" i="5"/>
  <c r="B126" i="5"/>
  <c r="F125" i="5"/>
  <c r="A55" i="7" l="1"/>
  <c r="I56" i="7"/>
  <c r="L56" i="7"/>
  <c r="B153" i="7"/>
  <c r="G152" i="7"/>
  <c r="F152" i="7"/>
  <c r="E152" i="7"/>
  <c r="E126" i="5"/>
  <c r="B127" i="5"/>
  <c r="G126" i="5"/>
  <c r="F126" i="5"/>
  <c r="N60" i="7" l="1"/>
  <c r="M60" i="7"/>
  <c r="H56" i="7"/>
  <c r="J56" i="7" s="1"/>
  <c r="C56" i="7"/>
  <c r="E153" i="7"/>
  <c r="G153" i="7"/>
  <c r="F153" i="7"/>
  <c r="B154" i="7"/>
  <c r="E127" i="5"/>
  <c r="G127" i="5"/>
  <c r="F127" i="5"/>
  <c r="B128" i="5"/>
  <c r="K56" i="7" l="1"/>
  <c r="O56" i="7" s="1"/>
  <c r="P56" i="7" s="1"/>
  <c r="D56" i="7" a="1"/>
  <c r="D56" i="7" s="1"/>
  <c r="B155" i="7"/>
  <c r="G154" i="7"/>
  <c r="F154" i="7"/>
  <c r="E154" i="7"/>
  <c r="E128" i="5"/>
  <c r="G128" i="5"/>
  <c r="F128" i="5"/>
  <c r="B129" i="5"/>
  <c r="L57" i="7" l="1"/>
  <c r="C57" i="7" s="1"/>
  <c r="A56" i="7"/>
  <c r="I57" i="7"/>
  <c r="E155" i="7"/>
  <c r="B156" i="7"/>
  <c r="F155" i="7"/>
  <c r="G155" i="7"/>
  <c r="B130" i="5"/>
  <c r="E129" i="5"/>
  <c r="G129" i="5"/>
  <c r="F129" i="5"/>
  <c r="H57" i="7" l="1"/>
  <c r="J57" i="7" s="1"/>
  <c r="K57" i="7" s="1"/>
  <c r="O57" i="7" s="1"/>
  <c r="P57" i="7" s="1"/>
  <c r="M61" i="7"/>
  <c r="N61" i="7"/>
  <c r="B157" i="7"/>
  <c r="G156" i="7"/>
  <c r="F156" i="7"/>
  <c r="E156" i="7"/>
  <c r="E130" i="5"/>
  <c r="F130" i="5"/>
  <c r="B131" i="5"/>
  <c r="G130" i="5"/>
  <c r="D57" i="7" l="1" a="1"/>
  <c r="D57" i="7" s="1"/>
  <c r="E157" i="7"/>
  <c r="B158" i="7"/>
  <c r="G157" i="7"/>
  <c r="F157" i="7"/>
  <c r="B132" i="5"/>
  <c r="E131" i="5"/>
  <c r="G131" i="5"/>
  <c r="F131" i="5"/>
  <c r="A57" i="7" l="1"/>
  <c r="L58" i="7"/>
  <c r="C58" i="7" s="1"/>
  <c r="I58" i="7"/>
  <c r="B159" i="7"/>
  <c r="G158" i="7"/>
  <c r="F158" i="7"/>
  <c r="E158" i="7"/>
  <c r="E132" i="5"/>
  <c r="B133" i="5"/>
  <c r="G132" i="5"/>
  <c r="F132" i="5"/>
  <c r="N62" i="7" l="1"/>
  <c r="H58" i="7"/>
  <c r="J58" i="7" s="1"/>
  <c r="K58" i="7" s="1"/>
  <c r="O58" i="7" s="1"/>
  <c r="P58" i="7" s="1"/>
  <c r="M62" i="7"/>
  <c r="E159" i="7"/>
  <c r="B160" i="7"/>
  <c r="G159" i="7"/>
  <c r="F159" i="7"/>
  <c r="B134" i="5"/>
  <c r="E133" i="5"/>
  <c r="G133" i="5"/>
  <c r="F133" i="5"/>
  <c r="D58" i="7" l="1" a="1"/>
  <c r="D58" i="7" s="1"/>
  <c r="A58" i="7" s="1"/>
  <c r="B161" i="7"/>
  <c r="G160" i="7"/>
  <c r="F160" i="7"/>
  <c r="E160" i="7"/>
  <c r="E134" i="5"/>
  <c r="G134" i="5"/>
  <c r="F134" i="5"/>
  <c r="B135" i="5"/>
  <c r="L59" i="7" l="1"/>
  <c r="N63" i="7" s="1"/>
  <c r="I59" i="7"/>
  <c r="M63" i="7"/>
  <c r="E161" i="7"/>
  <c r="B162" i="7"/>
  <c r="G161" i="7"/>
  <c r="F161" i="7"/>
  <c r="B136" i="5"/>
  <c r="G135" i="5"/>
  <c r="E135" i="5"/>
  <c r="F135" i="5"/>
  <c r="C59" i="7" l="1"/>
  <c r="H59" i="7"/>
  <c r="J59" i="7" s="1"/>
  <c r="B163" i="7"/>
  <c r="G162" i="7"/>
  <c r="F162" i="7"/>
  <c r="E162" i="7"/>
  <c r="E136" i="5"/>
  <c r="F136" i="5"/>
  <c r="G136" i="5"/>
  <c r="B137" i="5"/>
  <c r="K59" i="7" l="1"/>
  <c r="O59" i="7" s="1"/>
  <c r="P59" i="7" s="1"/>
  <c r="E163" i="7"/>
  <c r="B164" i="7"/>
  <c r="G163" i="7"/>
  <c r="F163" i="7"/>
  <c r="B138" i="5"/>
  <c r="G137" i="5"/>
  <c r="E137" i="5"/>
  <c r="F137" i="5"/>
  <c r="D59" i="7" l="1" a="1"/>
  <c r="D59" i="7" s="1"/>
  <c r="B165" i="7"/>
  <c r="G164" i="7"/>
  <c r="F164" i="7"/>
  <c r="E164" i="7"/>
  <c r="E138" i="5"/>
  <c r="F138" i="5"/>
  <c r="G138" i="5"/>
  <c r="B139" i="5"/>
  <c r="I60" i="7" l="1"/>
  <c r="A59" i="7"/>
  <c r="L60" i="7"/>
  <c r="C60" i="7" s="1"/>
  <c r="E165" i="7"/>
  <c r="G165" i="7"/>
  <c r="F165" i="7"/>
  <c r="B166" i="7"/>
  <c r="B140" i="5"/>
  <c r="G139" i="5"/>
  <c r="E139" i="5"/>
  <c r="F139" i="5"/>
  <c r="N64" i="7" l="1"/>
  <c r="M64" i="7"/>
  <c r="H60" i="7"/>
  <c r="J60" i="7" s="1"/>
  <c r="B167" i="7"/>
  <c r="G166" i="7"/>
  <c r="F166" i="7"/>
  <c r="E166" i="7"/>
  <c r="E140" i="5"/>
  <c r="G140" i="5"/>
  <c r="F140" i="5"/>
  <c r="B141" i="5"/>
  <c r="K60" i="7" l="1"/>
  <c r="O60" i="7" s="1"/>
  <c r="P60" i="7" s="1"/>
  <c r="E167" i="7"/>
  <c r="B168" i="7"/>
  <c r="G167" i="7"/>
  <c r="F167" i="7"/>
  <c r="B142" i="5"/>
  <c r="G141" i="5"/>
  <c r="E141" i="5"/>
  <c r="F141" i="5"/>
  <c r="D60" i="7" l="1" a="1"/>
  <c r="D60" i="7" s="1"/>
  <c r="G168" i="7"/>
  <c r="F168" i="7"/>
  <c r="B169" i="7"/>
  <c r="E168" i="7"/>
  <c r="E142" i="5"/>
  <c r="B143" i="5"/>
  <c r="G142" i="5"/>
  <c r="F142" i="5"/>
  <c r="A60" i="7" l="1"/>
  <c r="I61" i="7"/>
  <c r="L61" i="7"/>
  <c r="H61" i="7"/>
  <c r="J61" i="7" s="1"/>
  <c r="E169" i="7"/>
  <c r="B170" i="7"/>
  <c r="G169" i="7"/>
  <c r="F169" i="7"/>
  <c r="B144" i="5"/>
  <c r="G143" i="5"/>
  <c r="E143" i="5"/>
  <c r="F143" i="5"/>
  <c r="N65" i="7" l="1"/>
  <c r="M65" i="7"/>
  <c r="C61" i="7"/>
  <c r="K61" i="7" s="1"/>
  <c r="O61" i="7" s="1"/>
  <c r="P61" i="7" s="1"/>
  <c r="G170" i="7"/>
  <c r="F170" i="7"/>
  <c r="B171" i="7"/>
  <c r="E170" i="7"/>
  <c r="E144" i="5"/>
  <c r="G144" i="5"/>
  <c r="F144" i="5"/>
  <c r="B145" i="5"/>
  <c r="D61" i="7" l="1" a="1"/>
  <c r="D61" i="7" s="1"/>
  <c r="E171" i="7"/>
  <c r="B172" i="7"/>
  <c r="G171" i="7"/>
  <c r="F171" i="7"/>
  <c r="G145" i="5"/>
  <c r="B146" i="5"/>
  <c r="F145" i="5"/>
  <c r="E145" i="5"/>
  <c r="I62" i="7" l="1"/>
  <c r="L62" i="7"/>
  <c r="A61" i="7"/>
  <c r="G172" i="7"/>
  <c r="F172" i="7"/>
  <c r="B173" i="7"/>
  <c r="E172" i="7"/>
  <c r="B147" i="5"/>
  <c r="G146" i="5"/>
  <c r="F146" i="5"/>
  <c r="E146" i="5"/>
  <c r="N66" i="7" l="1"/>
  <c r="M66" i="7"/>
  <c r="H62" i="7"/>
  <c r="J62" i="7" s="1"/>
  <c r="C62" i="7"/>
  <c r="E173" i="7"/>
  <c r="F173" i="7"/>
  <c r="B174" i="7"/>
  <c r="G173" i="7"/>
  <c r="F147" i="5"/>
  <c r="B148" i="5"/>
  <c r="E147" i="5"/>
  <c r="G147" i="5"/>
  <c r="K62" i="7" l="1"/>
  <c r="O62" i="7" s="1"/>
  <c r="P62" i="7" s="1"/>
  <c r="G174" i="7"/>
  <c r="F174" i="7"/>
  <c r="E174" i="7"/>
  <c r="B175" i="7"/>
  <c r="B149" i="5"/>
  <c r="G148" i="5"/>
  <c r="F148" i="5"/>
  <c r="E148" i="5"/>
  <c r="D62" i="7" l="1" a="1"/>
  <c r="D62" i="7" s="1"/>
  <c r="A62" i="7" s="1"/>
  <c r="E175" i="7"/>
  <c r="G175" i="7"/>
  <c r="F175" i="7"/>
  <c r="B176" i="7"/>
  <c r="G149" i="5"/>
  <c r="B150" i="5"/>
  <c r="F149" i="5"/>
  <c r="E149" i="5"/>
  <c r="L63" i="7" l="1"/>
  <c r="C63" i="7" s="1"/>
  <c r="I63" i="7"/>
  <c r="H63" i="7"/>
  <c r="J63" i="7" s="1"/>
  <c r="N67" i="7"/>
  <c r="M67" i="7"/>
  <c r="G176" i="7"/>
  <c r="F176" i="7"/>
  <c r="E176" i="7"/>
  <c r="B177" i="7"/>
  <c r="B151" i="5"/>
  <c r="G150" i="5"/>
  <c r="F150" i="5"/>
  <c r="E150" i="5"/>
  <c r="K63" i="7" l="1"/>
  <c r="O63" i="7" s="1"/>
  <c r="P63" i="7" s="1"/>
  <c r="E177" i="7"/>
  <c r="G177" i="7"/>
  <c r="F177" i="7"/>
  <c r="B178" i="7"/>
  <c r="G151" i="5"/>
  <c r="F151" i="5"/>
  <c r="B152" i="5"/>
  <c r="E151" i="5"/>
  <c r="D63" i="7" l="1" a="1"/>
  <c r="D63" i="7" s="1"/>
  <c r="G178" i="7"/>
  <c r="E178" i="7"/>
  <c r="B179" i="7"/>
  <c r="F178" i="7"/>
  <c r="B153" i="5"/>
  <c r="G152" i="5"/>
  <c r="F152" i="5"/>
  <c r="E152" i="5"/>
  <c r="I64" i="7" l="1"/>
  <c r="A63" i="7"/>
  <c r="L64" i="7"/>
  <c r="C64" i="7" s="1"/>
  <c r="E179" i="7"/>
  <c r="B180" i="7"/>
  <c r="G179" i="7"/>
  <c r="F179" i="7"/>
  <c r="B154" i="5"/>
  <c r="E153" i="5"/>
  <c r="G153" i="5"/>
  <c r="F153" i="5"/>
  <c r="N68" i="7" l="1"/>
  <c r="M68" i="7"/>
  <c r="H64" i="7"/>
  <c r="J64" i="7" s="1"/>
  <c r="G180" i="7"/>
  <c r="F180" i="7"/>
  <c r="E180" i="7"/>
  <c r="B181" i="7"/>
  <c r="B155" i="5"/>
  <c r="G154" i="5"/>
  <c r="F154" i="5"/>
  <c r="E154" i="5"/>
  <c r="K64" i="7" l="1"/>
  <c r="O64" i="7" s="1"/>
  <c r="P64" i="7" s="1"/>
  <c r="E181" i="7"/>
  <c r="B182" i="7"/>
  <c r="G181" i="7"/>
  <c r="F181" i="7"/>
  <c r="G155" i="5"/>
  <c r="F155" i="5"/>
  <c r="B156" i="5"/>
  <c r="E155" i="5"/>
  <c r="D64" i="7" l="1" a="1"/>
  <c r="D64" i="7" s="1"/>
  <c r="G182" i="7"/>
  <c r="F182" i="7"/>
  <c r="E182" i="7"/>
  <c r="B183" i="7"/>
  <c r="B157" i="5"/>
  <c r="G156" i="5"/>
  <c r="F156" i="5"/>
  <c r="E156" i="5"/>
  <c r="I65" i="7" l="1"/>
  <c r="L65" i="7"/>
  <c r="C65" i="7" s="1"/>
  <c r="A64" i="7"/>
  <c r="H65" i="7"/>
  <c r="J65" i="7" s="1"/>
  <c r="E183" i="7"/>
  <c r="B184" i="7"/>
  <c r="G183" i="7"/>
  <c r="F183" i="7"/>
  <c r="G157" i="5"/>
  <c r="F157" i="5"/>
  <c r="B158" i="5"/>
  <c r="E157" i="5"/>
  <c r="K65" i="7" l="1"/>
  <c r="O65" i="7" s="1"/>
  <c r="P65" i="7" s="1"/>
  <c r="M69" i="7"/>
  <c r="N69" i="7"/>
  <c r="G184" i="7"/>
  <c r="F184" i="7"/>
  <c r="E184" i="7"/>
  <c r="B185" i="7"/>
  <c r="B159" i="5"/>
  <c r="G158" i="5"/>
  <c r="F158" i="5"/>
  <c r="E158" i="5"/>
  <c r="D65" i="7" l="1" a="1"/>
  <c r="D65" i="7" s="1"/>
  <c r="E185" i="7"/>
  <c r="B186" i="7"/>
  <c r="G185" i="7"/>
  <c r="F185" i="7"/>
  <c r="E159" i="5"/>
  <c r="B160" i="5"/>
  <c r="G159" i="5"/>
  <c r="F159" i="5"/>
  <c r="L66" i="7" l="1"/>
  <c r="A65" i="7"/>
  <c r="I66" i="7"/>
  <c r="H66" i="7"/>
  <c r="C66" i="7"/>
  <c r="G186" i="7"/>
  <c r="E186" i="7"/>
  <c r="F186" i="7"/>
  <c r="B187" i="7"/>
  <c r="B161" i="5"/>
  <c r="G160" i="5"/>
  <c r="F160" i="5"/>
  <c r="E160" i="5"/>
  <c r="J66" i="7" l="1"/>
  <c r="M70" i="7"/>
  <c r="N70" i="7"/>
  <c r="E187" i="7"/>
  <c r="B188" i="7"/>
  <c r="G187" i="7"/>
  <c r="F187" i="7"/>
  <c r="G161" i="5"/>
  <c r="F161" i="5"/>
  <c r="E161" i="5"/>
  <c r="B162" i="5"/>
  <c r="K66" i="7" l="1"/>
  <c r="O66" i="7" s="1"/>
  <c r="P66" i="7" s="1"/>
  <c r="G188" i="7"/>
  <c r="E188" i="7"/>
  <c r="B189" i="7"/>
  <c r="F188" i="7"/>
  <c r="B163" i="5"/>
  <c r="G162" i="5"/>
  <c r="F162" i="5"/>
  <c r="E162" i="5"/>
  <c r="D66" i="7" l="1" a="1"/>
  <c r="D66" i="7" s="1"/>
  <c r="E189" i="7"/>
  <c r="B190" i="7"/>
  <c r="G189" i="7"/>
  <c r="F189" i="7"/>
  <c r="B164" i="5"/>
  <c r="F163" i="5"/>
  <c r="E163" i="5"/>
  <c r="G163" i="5"/>
  <c r="L67" i="7" l="1"/>
  <c r="A66" i="7"/>
  <c r="C67" i="7"/>
  <c r="I67" i="7"/>
  <c r="H67" i="7"/>
  <c r="G190" i="7"/>
  <c r="E190" i="7"/>
  <c r="F190" i="7"/>
  <c r="B191" i="7"/>
  <c r="B165" i="5"/>
  <c r="G164" i="5"/>
  <c r="F164" i="5"/>
  <c r="E164" i="5"/>
  <c r="J67" i="7" l="1"/>
  <c r="K67" i="7" s="1"/>
  <c r="O67" i="7" s="1"/>
  <c r="P67" i="7" s="1"/>
  <c r="N71" i="7"/>
  <c r="M71" i="7"/>
  <c r="F191" i="7"/>
  <c r="E191" i="7"/>
  <c r="B192" i="7"/>
  <c r="G191" i="7"/>
  <c r="B166" i="5"/>
  <c r="G165" i="5"/>
  <c r="F165" i="5"/>
  <c r="E165" i="5"/>
  <c r="D67" i="7" l="1" a="1"/>
  <c r="D67" i="7" s="1"/>
  <c r="G192" i="7"/>
  <c r="E192" i="7"/>
  <c r="F192" i="7"/>
  <c r="B193" i="7"/>
  <c r="B167" i="5"/>
  <c r="G166" i="5"/>
  <c r="F166" i="5"/>
  <c r="E166" i="5"/>
  <c r="A67" i="7" l="1"/>
  <c r="I68" i="7"/>
  <c r="L68" i="7"/>
  <c r="H68" i="7"/>
  <c r="J68" i="7" s="1"/>
  <c r="F193" i="7"/>
  <c r="E193" i="7"/>
  <c r="B194" i="7"/>
  <c r="G193" i="7"/>
  <c r="E167" i="5"/>
  <c r="G167" i="5"/>
  <c r="F167" i="5"/>
  <c r="B168" i="5"/>
  <c r="M72" i="7" l="1"/>
  <c r="N72" i="7"/>
  <c r="C68" i="7"/>
  <c r="K68" i="7" s="1"/>
  <c r="O68" i="7" s="1"/>
  <c r="P68" i="7" s="1"/>
  <c r="G194" i="7"/>
  <c r="E194" i="7"/>
  <c r="F194" i="7"/>
  <c r="B195" i="7"/>
  <c r="G168" i="5"/>
  <c r="E168" i="5"/>
  <c r="F168" i="5"/>
  <c r="B169" i="5"/>
  <c r="D68" i="7" l="1" a="1"/>
  <c r="D68" i="7" s="1"/>
  <c r="F195" i="7"/>
  <c r="E195" i="7"/>
  <c r="B196" i="7"/>
  <c r="G195" i="7"/>
  <c r="E169" i="5"/>
  <c r="B170" i="5"/>
  <c r="G169" i="5"/>
  <c r="F169" i="5"/>
  <c r="A68" i="7" l="1"/>
  <c r="I69" i="7"/>
  <c r="L69" i="7"/>
  <c r="G196" i="7"/>
  <c r="E196" i="7"/>
  <c r="F196" i="7"/>
  <c r="B197" i="7"/>
  <c r="G170" i="5"/>
  <c r="F170" i="5"/>
  <c r="E170" i="5"/>
  <c r="B171" i="5"/>
  <c r="H69" i="7" l="1"/>
  <c r="J69" i="7" s="1"/>
  <c r="N73" i="7"/>
  <c r="M73" i="7"/>
  <c r="C69" i="7"/>
  <c r="K69" i="7" s="1"/>
  <c r="O69" i="7" s="1"/>
  <c r="P69" i="7" s="1"/>
  <c r="F197" i="7"/>
  <c r="E197" i="7"/>
  <c r="B198" i="7"/>
  <c r="G197" i="7"/>
  <c r="F171" i="5"/>
  <c r="E171" i="5"/>
  <c r="B172" i="5"/>
  <c r="G171" i="5"/>
  <c r="D69" i="7" l="1" a="1"/>
  <c r="D69" i="7" s="1"/>
  <c r="L70" i="7" s="1"/>
  <c r="H70" i="7" s="1"/>
  <c r="G198" i="7"/>
  <c r="E198" i="7"/>
  <c r="B199" i="7"/>
  <c r="F198" i="7"/>
  <c r="G172" i="5"/>
  <c r="F172" i="5"/>
  <c r="B173" i="5"/>
  <c r="E172" i="5"/>
  <c r="A69" i="7" l="1"/>
  <c r="C70" i="7"/>
  <c r="I70" i="7"/>
  <c r="J70" i="7" s="1"/>
  <c r="K70" i="7" s="1"/>
  <c r="M74" i="7"/>
  <c r="N74" i="7"/>
  <c r="F199" i="7"/>
  <c r="E199" i="7"/>
  <c r="B200" i="7"/>
  <c r="G199" i="7"/>
  <c r="F173" i="5"/>
  <c r="E173" i="5"/>
  <c r="B174" i="5"/>
  <c r="G173" i="5"/>
  <c r="O70" i="7" l="1"/>
  <c r="P70" i="7" s="1"/>
  <c r="D70" i="7" a="1"/>
  <c r="D70" i="7" s="1"/>
  <c r="G200" i="7"/>
  <c r="E200" i="7"/>
  <c r="F200" i="7"/>
  <c r="B201" i="7"/>
  <c r="G174" i="5"/>
  <c r="F174" i="5"/>
  <c r="E174" i="5"/>
  <c r="B175" i="5"/>
  <c r="L71" i="7" l="1"/>
  <c r="H71" i="7" s="1"/>
  <c r="A70" i="7"/>
  <c r="I71" i="7"/>
  <c r="F201" i="7"/>
  <c r="E201" i="7"/>
  <c r="B202" i="7"/>
  <c r="G201" i="7"/>
  <c r="F175" i="5"/>
  <c r="E175" i="5"/>
  <c r="G175" i="5"/>
  <c r="B176" i="5"/>
  <c r="J71" i="7" l="1"/>
  <c r="C71" i="7"/>
  <c r="K71" i="7"/>
  <c r="O71" i="7" s="1"/>
  <c r="P71" i="7" s="1"/>
  <c r="M75" i="7"/>
  <c r="N75" i="7"/>
  <c r="G202" i="7"/>
  <c r="E202" i="7"/>
  <c r="B203" i="7"/>
  <c r="F202" i="7"/>
  <c r="G176" i="5"/>
  <c r="F176" i="5"/>
  <c r="B177" i="5"/>
  <c r="E176" i="5"/>
  <c r="D71" i="7" l="1" a="1"/>
  <c r="D71" i="7" s="1"/>
  <c r="A71" i="7" s="1"/>
  <c r="F203" i="7"/>
  <c r="E203" i="7"/>
  <c r="B204" i="7"/>
  <c r="G203" i="7"/>
  <c r="F177" i="5"/>
  <c r="E177" i="5"/>
  <c r="B178" i="5"/>
  <c r="G177" i="5"/>
  <c r="I72" i="7" l="1"/>
  <c r="L72" i="7"/>
  <c r="H72" i="7" s="1"/>
  <c r="J72" i="7" s="1"/>
  <c r="G204" i="7"/>
  <c r="E204" i="7"/>
  <c r="F204" i="7"/>
  <c r="B205" i="7"/>
  <c r="E178" i="5"/>
  <c r="B179" i="5"/>
  <c r="G178" i="5"/>
  <c r="F178" i="5"/>
  <c r="M76" i="7" l="1"/>
  <c r="N76" i="7"/>
  <c r="C72" i="7"/>
  <c r="K72" i="7"/>
  <c r="O72" i="7" s="1"/>
  <c r="P72" i="7" s="1"/>
  <c r="F205" i="7"/>
  <c r="E205" i="7"/>
  <c r="B206" i="7"/>
  <c r="G205" i="7"/>
  <c r="F179" i="5"/>
  <c r="E179" i="5"/>
  <c r="G179" i="5"/>
  <c r="B180" i="5"/>
  <c r="D72" i="7" l="1" a="1"/>
  <c r="D72" i="7" s="1"/>
  <c r="G206" i="7"/>
  <c r="E206" i="7"/>
  <c r="F206" i="7"/>
  <c r="B207" i="7"/>
  <c r="G180" i="5"/>
  <c r="F180" i="5"/>
  <c r="B181" i="5"/>
  <c r="E180" i="5"/>
  <c r="L73" i="7" l="1"/>
  <c r="C73" i="7" s="1"/>
  <c r="A72" i="7"/>
  <c r="I73" i="7"/>
  <c r="F207" i="7"/>
  <c r="E207" i="7"/>
  <c r="B208" i="7"/>
  <c r="G207" i="7"/>
  <c r="F181" i="5"/>
  <c r="E181" i="5"/>
  <c r="B182" i="5"/>
  <c r="G181" i="5"/>
  <c r="H73" i="7" l="1"/>
  <c r="J73" i="7" s="1"/>
  <c r="K73" i="7" s="1"/>
  <c r="O73" i="7" s="1"/>
  <c r="P73" i="7" s="1"/>
  <c r="N77" i="7"/>
  <c r="M77" i="7"/>
  <c r="G208" i="7"/>
  <c r="E208" i="7"/>
  <c r="B209" i="7"/>
  <c r="F208" i="7"/>
  <c r="B183" i="5"/>
  <c r="F182" i="5"/>
  <c r="G182" i="5"/>
  <c r="E182" i="5"/>
  <c r="D73" i="7" l="1" a="1"/>
  <c r="D73" i="7" s="1"/>
  <c r="F209" i="7"/>
  <c r="E209" i="7"/>
  <c r="B210" i="7"/>
  <c r="G209" i="7"/>
  <c r="F183" i="5"/>
  <c r="E183" i="5"/>
  <c r="B184" i="5"/>
  <c r="G183" i="5"/>
  <c r="L74" i="7" l="1"/>
  <c r="A73" i="7"/>
  <c r="H74" i="7"/>
  <c r="I74" i="7"/>
  <c r="C74" i="7"/>
  <c r="G210" i="7"/>
  <c r="E210" i="7"/>
  <c r="B211" i="7"/>
  <c r="F210" i="7"/>
  <c r="G184" i="5"/>
  <c r="F184" i="5"/>
  <c r="B185" i="5"/>
  <c r="E184" i="5"/>
  <c r="J74" i="7" l="1"/>
  <c r="M78" i="7"/>
  <c r="N78" i="7"/>
  <c r="F211" i="7"/>
  <c r="E211" i="7"/>
  <c r="B212" i="7"/>
  <c r="G211" i="7"/>
  <c r="F185" i="5"/>
  <c r="E185" i="5"/>
  <c r="B186" i="5"/>
  <c r="G185" i="5"/>
  <c r="K74" i="7" l="1"/>
  <c r="O74" i="7" s="1"/>
  <c r="P74" i="7" s="1"/>
  <c r="G212" i="7"/>
  <c r="E212" i="7"/>
  <c r="F212" i="7"/>
  <c r="B213" i="7"/>
  <c r="E186" i="5"/>
  <c r="B187" i="5"/>
  <c r="G186" i="5"/>
  <c r="F186" i="5"/>
  <c r="D74" i="7" l="1" a="1"/>
  <c r="D74" i="7" s="1"/>
  <c r="F213" i="7"/>
  <c r="E213" i="7"/>
  <c r="B214" i="7"/>
  <c r="G213" i="7"/>
  <c r="F187" i="5"/>
  <c r="E187" i="5"/>
  <c r="B188" i="5"/>
  <c r="G187" i="5"/>
  <c r="A74" i="7" l="1"/>
  <c r="I75" i="7"/>
  <c r="L75" i="7"/>
  <c r="C75" i="7" s="1"/>
  <c r="G214" i="7"/>
  <c r="E214" i="7"/>
  <c r="F214" i="7"/>
  <c r="B215" i="7"/>
  <c r="G188" i="5"/>
  <c r="F188" i="5"/>
  <c r="B189" i="5"/>
  <c r="E188" i="5"/>
  <c r="N79" i="7" l="1"/>
  <c r="M79" i="7"/>
  <c r="H75" i="7"/>
  <c r="J75" i="7" s="1"/>
  <c r="F215" i="7"/>
  <c r="E215" i="7"/>
  <c r="B216" i="7"/>
  <c r="G215" i="7"/>
  <c r="F189" i="5"/>
  <c r="E189" i="5"/>
  <c r="B190" i="5"/>
  <c r="G189" i="5"/>
  <c r="K75" i="7" l="1"/>
  <c r="O75" i="7" s="1"/>
  <c r="P75" i="7" s="1"/>
  <c r="G216" i="7"/>
  <c r="E216" i="7"/>
  <c r="F216" i="7"/>
  <c r="B217" i="7"/>
  <c r="G190" i="5"/>
  <c r="F190" i="5"/>
  <c r="E190" i="5"/>
  <c r="B191" i="5"/>
  <c r="D75" i="7" l="1" a="1"/>
  <c r="D75" i="7" s="1"/>
  <c r="F217" i="7"/>
  <c r="E217" i="7"/>
  <c r="B218" i="7"/>
  <c r="G217" i="7"/>
  <c r="F191" i="5"/>
  <c r="E191" i="5"/>
  <c r="B192" i="5"/>
  <c r="G191" i="5"/>
  <c r="I76" i="7" l="1"/>
  <c r="A75" i="7"/>
  <c r="L76" i="7"/>
  <c r="H76" i="7" s="1"/>
  <c r="J76" i="7" s="1"/>
  <c r="G218" i="7"/>
  <c r="E218" i="7"/>
  <c r="B219" i="7"/>
  <c r="F218" i="7"/>
  <c r="G192" i="5"/>
  <c r="F192" i="5"/>
  <c r="B193" i="5"/>
  <c r="E192" i="5"/>
  <c r="C76" i="7" l="1"/>
  <c r="K76" i="7" s="1"/>
  <c r="O76" i="7" s="1"/>
  <c r="P76" i="7" s="1"/>
  <c r="N80" i="7"/>
  <c r="M80" i="7"/>
  <c r="F219" i="7"/>
  <c r="E219" i="7"/>
  <c r="B220" i="7"/>
  <c r="G219" i="7"/>
  <c r="F193" i="5"/>
  <c r="E193" i="5"/>
  <c r="B194" i="5"/>
  <c r="G193" i="5"/>
  <c r="D76" i="7" l="1" a="1"/>
  <c r="D76" i="7" s="1"/>
  <c r="I221" i="7"/>
  <c r="J221" i="7" s="1"/>
  <c r="B221" i="7"/>
  <c r="K220" i="7"/>
  <c r="G194" i="5"/>
  <c r="F194" i="5"/>
  <c r="E194" i="5"/>
  <c r="B195" i="5"/>
  <c r="I77" i="7" l="1"/>
  <c r="A76" i="7"/>
  <c r="L77" i="7"/>
  <c r="L221" i="7"/>
  <c r="K221" i="7"/>
  <c r="B222" i="7"/>
  <c r="I222" i="7"/>
  <c r="J222" i="7" s="1"/>
  <c r="F195" i="5"/>
  <c r="E195" i="5"/>
  <c r="B196" i="5"/>
  <c r="G195" i="5"/>
  <c r="M81" i="7" l="1"/>
  <c r="N81" i="7"/>
  <c r="H77" i="7"/>
  <c r="J77" i="7" s="1"/>
  <c r="C77" i="7"/>
  <c r="L222" i="7"/>
  <c r="K222" i="7"/>
  <c r="B223" i="7"/>
  <c r="I223" i="7"/>
  <c r="J223" i="7" s="1"/>
  <c r="N225" i="7"/>
  <c r="O225" i="7" s="1"/>
  <c r="P225" i="7" s="1"/>
  <c r="M225" i="7"/>
  <c r="G196" i="5"/>
  <c r="F196" i="5"/>
  <c r="B197" i="5"/>
  <c r="E196" i="5"/>
  <c r="K77" i="7" l="1"/>
  <c r="O77" i="7" s="1"/>
  <c r="P77" i="7" s="1"/>
  <c r="L223" i="7"/>
  <c r="I224" i="7"/>
  <c r="J224" i="7" s="1"/>
  <c r="K223" i="7"/>
  <c r="M226" i="7"/>
  <c r="N226" i="7"/>
  <c r="O226" i="7" s="1"/>
  <c r="P226" i="7" s="1"/>
  <c r="F197" i="5"/>
  <c r="E197" i="5"/>
  <c r="B198" i="5"/>
  <c r="G197" i="5"/>
  <c r="D77" i="7" l="1" a="1"/>
  <c r="D77" i="7" s="1"/>
  <c r="A77" i="7" s="1"/>
  <c r="K224" i="7"/>
  <c r="N227" i="7"/>
  <c r="M227" i="7"/>
  <c r="B199" i="5"/>
  <c r="F198" i="5"/>
  <c r="E198" i="5"/>
  <c r="G198" i="5"/>
  <c r="L78" i="7" l="1"/>
  <c r="M82" i="7" s="1"/>
  <c r="I78" i="7"/>
  <c r="N82" i="7"/>
  <c r="C78" i="7"/>
  <c r="H78" i="7"/>
  <c r="J78" i="7" s="1"/>
  <c r="O227" i="7"/>
  <c r="F199" i="5"/>
  <c r="E199" i="5"/>
  <c r="G199" i="5"/>
  <c r="B200" i="5"/>
  <c r="K78" i="7" l="1"/>
  <c r="O78" i="7" s="1"/>
  <c r="P78" i="7" s="1"/>
  <c r="P227" i="7"/>
  <c r="B201" i="5"/>
  <c r="F200" i="5"/>
  <c r="E200" i="5"/>
  <c r="G200" i="5"/>
  <c r="D78" i="7" l="1" a="1"/>
  <c r="D78" i="7" s="1"/>
  <c r="F201" i="5"/>
  <c r="E201" i="5"/>
  <c r="G201" i="5"/>
  <c r="B202" i="5"/>
  <c r="A78" i="7" l="1"/>
  <c r="L79" i="7"/>
  <c r="H79" i="7" s="1"/>
  <c r="J79" i="7" s="1"/>
  <c r="I79" i="7"/>
  <c r="B203" i="5"/>
  <c r="G202" i="5"/>
  <c r="F202" i="5"/>
  <c r="E202" i="5"/>
  <c r="C79" i="7" l="1"/>
  <c r="K79" i="7" s="1"/>
  <c r="O79" i="7" s="1"/>
  <c r="P79" i="7" s="1"/>
  <c r="M83" i="7"/>
  <c r="N83" i="7"/>
  <c r="F203" i="5"/>
  <c r="E203" i="5"/>
  <c r="G203" i="5"/>
  <c r="B204" i="5"/>
  <c r="D79" i="7" l="1" a="1"/>
  <c r="D79" i="7" s="1"/>
  <c r="B205" i="5"/>
  <c r="G204" i="5"/>
  <c r="E204" i="5"/>
  <c r="F204" i="5"/>
  <c r="I80" i="7" l="1"/>
  <c r="A79" i="7"/>
  <c r="L80" i="7"/>
  <c r="F205" i="5"/>
  <c r="E205" i="5"/>
  <c r="G205" i="5"/>
  <c r="B206" i="5"/>
  <c r="N84" i="7" l="1"/>
  <c r="M84" i="7"/>
  <c r="C80" i="7"/>
  <c r="H80" i="7"/>
  <c r="J80" i="7" s="1"/>
  <c r="B207" i="5"/>
  <c r="G206" i="5"/>
  <c r="F206" i="5"/>
  <c r="E206" i="5"/>
  <c r="K80" i="7" l="1"/>
  <c r="O80" i="7" s="1"/>
  <c r="P80" i="7" s="1"/>
  <c r="F207" i="5"/>
  <c r="E207" i="5"/>
  <c r="G207" i="5"/>
  <c r="B208" i="5"/>
  <c r="D80" i="7" l="1" a="1"/>
  <c r="D80" i="7" s="1"/>
  <c r="B209" i="5"/>
  <c r="G208" i="5"/>
  <c r="F208" i="5"/>
  <c r="E208" i="5"/>
  <c r="I81" i="7" l="1"/>
  <c r="L81" i="7"/>
  <c r="A80" i="7"/>
  <c r="F209" i="5"/>
  <c r="E209" i="5"/>
  <c r="G209" i="5"/>
  <c r="B210" i="5"/>
  <c r="N85" i="7" l="1"/>
  <c r="M85" i="7"/>
  <c r="C81" i="7"/>
  <c r="H81" i="7"/>
  <c r="J81" i="7" s="1"/>
  <c r="B211" i="5"/>
  <c r="G210" i="5"/>
  <c r="F210" i="5"/>
  <c r="E210" i="5"/>
  <c r="K81" i="7" l="1"/>
  <c r="O81" i="7" s="1"/>
  <c r="P81" i="7" s="1"/>
  <c r="F211" i="5"/>
  <c r="E211" i="5"/>
  <c r="B212" i="5"/>
  <c r="G211" i="5"/>
  <c r="D81" i="7" l="1" a="1"/>
  <c r="D81" i="7" s="1"/>
  <c r="A81" i="7" s="1"/>
  <c r="B213" i="5"/>
  <c r="G212" i="5"/>
  <c r="F212" i="5"/>
  <c r="E212" i="5"/>
  <c r="I82" i="7" l="1"/>
  <c r="L82" i="7"/>
  <c r="C82" i="7" s="1"/>
  <c r="H82" i="7"/>
  <c r="J82" i="7" s="1"/>
  <c r="M86" i="7"/>
  <c r="N86" i="7"/>
  <c r="F213" i="5"/>
  <c r="E213" i="5"/>
  <c r="G213" i="5"/>
  <c r="B214" i="5"/>
  <c r="K82" i="7" l="1"/>
  <c r="O82" i="7" s="1"/>
  <c r="P82" i="7" s="1"/>
  <c r="B215" i="5"/>
  <c r="G214" i="5"/>
  <c r="F214" i="5"/>
  <c r="E214" i="5"/>
  <c r="D82" i="7" l="1" a="1"/>
  <c r="D82" i="7" s="1"/>
  <c r="F215" i="5"/>
  <c r="E215" i="5"/>
  <c r="G215" i="5"/>
  <c r="B216" i="5"/>
  <c r="A82" i="7" l="1"/>
  <c r="I83" i="7"/>
  <c r="L83" i="7"/>
  <c r="C83" i="7" s="1"/>
  <c r="B217" i="5"/>
  <c r="G216" i="5"/>
  <c r="F216" i="5"/>
  <c r="E216" i="5"/>
  <c r="H83" i="7" l="1"/>
  <c r="J83" i="7" s="1"/>
  <c r="M87" i="7"/>
  <c r="N87" i="7"/>
  <c r="F217" i="5"/>
  <c r="E217" i="5"/>
  <c r="B218" i="5"/>
  <c r="G217" i="5"/>
  <c r="K83" i="7" l="1"/>
  <c r="O83" i="7" s="1"/>
  <c r="P83" i="7" s="1"/>
  <c r="B219" i="5"/>
  <c r="G218" i="5"/>
  <c r="F218" i="5"/>
  <c r="E218" i="5"/>
  <c r="D83" i="7" l="1" a="1"/>
  <c r="D83" i="7" s="1"/>
  <c r="F219" i="5"/>
  <c r="E219" i="5"/>
  <c r="G219" i="5"/>
  <c r="B220" i="5"/>
  <c r="I84" i="7" l="1"/>
  <c r="A83" i="7"/>
  <c r="L84" i="7"/>
  <c r="C84" i="7" s="1"/>
  <c r="I221" i="5"/>
  <c r="J221" i="5" s="1"/>
  <c r="K220" i="5"/>
  <c r="B221" i="5"/>
  <c r="H84" i="7" l="1"/>
  <c r="J84" i="7" s="1"/>
  <c r="K84" i="7" s="1"/>
  <c r="O84" i="7" s="1"/>
  <c r="P84" i="7" s="1"/>
  <c r="M88" i="7"/>
  <c r="N88" i="7"/>
  <c r="L221" i="5"/>
  <c r="K221" i="5"/>
  <c r="I222" i="5"/>
  <c r="J222" i="5" s="1"/>
  <c r="B222" i="5"/>
  <c r="D84" i="7" l="1" a="1"/>
  <c r="D84" i="7" s="1"/>
  <c r="L222" i="5"/>
  <c r="K222" i="5"/>
  <c r="I223" i="5"/>
  <c r="J223" i="5" s="1"/>
  <c r="B223" i="5"/>
  <c r="N225" i="5"/>
  <c r="O225" i="5" s="1"/>
  <c r="P225" i="5" s="1"/>
  <c r="M225" i="5"/>
  <c r="I85" i="7" l="1"/>
  <c r="A84" i="7"/>
  <c r="L85" i="7"/>
  <c r="H85" i="7" s="1"/>
  <c r="J85" i="7" s="1"/>
  <c r="K223" i="5"/>
  <c r="I224" i="5"/>
  <c r="J224" i="5" s="1"/>
  <c r="L223" i="5"/>
  <c r="M226" i="5"/>
  <c r="N226" i="5"/>
  <c r="O226" i="5" s="1"/>
  <c r="P226" i="5" s="1"/>
  <c r="M89" i="7" l="1"/>
  <c r="N89" i="7"/>
  <c r="C85" i="7"/>
  <c r="K85" i="7" s="1"/>
  <c r="O85" i="7" s="1"/>
  <c r="P85" i="7" s="1"/>
  <c r="K224" i="5"/>
  <c r="M227" i="5"/>
  <c r="N227" i="5"/>
  <c r="D85" i="7" l="1" a="1"/>
  <c r="D85" i="7" s="1"/>
  <c r="O227" i="5"/>
  <c r="I86" i="7" l="1"/>
  <c r="A85" i="7"/>
  <c r="L86" i="7"/>
  <c r="C86" i="7" s="1"/>
  <c r="H86" i="7"/>
  <c r="J86" i="7" s="1"/>
  <c r="P227" i="5"/>
  <c r="K86" i="7" l="1"/>
  <c r="O86" i="7" s="1"/>
  <c r="P86" i="7" s="1"/>
  <c r="D86" i="7" a="1"/>
  <c r="D86" i="7" s="1"/>
  <c r="N90" i="7"/>
  <c r="M90" i="7"/>
  <c r="I87" i="7" l="1"/>
  <c r="L87" i="7"/>
  <c r="A86" i="7"/>
  <c r="M91" i="7" l="1"/>
  <c r="N91" i="7"/>
  <c r="C87" i="7"/>
  <c r="H87" i="7"/>
  <c r="J87" i="7" s="1"/>
  <c r="K87" i="7" l="1"/>
  <c r="O87" i="7" s="1"/>
  <c r="P87" i="7" s="1"/>
  <c r="D87" i="7" l="1" a="1"/>
  <c r="D87" i="7" s="1"/>
  <c r="A87" i="7" s="1"/>
  <c r="I88" i="7" l="1"/>
  <c r="L88" i="7"/>
  <c r="H88" i="7" s="1"/>
  <c r="J88" i="7" s="1"/>
  <c r="N92" i="7"/>
  <c r="M92" i="7" l="1"/>
  <c r="C88" i="7"/>
  <c r="K88" i="7" s="1"/>
  <c r="O88" i="7" s="1"/>
  <c r="P88" i="7" s="1"/>
  <c r="D88" i="7" l="1" a="1"/>
  <c r="D88" i="7" s="1"/>
  <c r="I89" i="7" s="1"/>
  <c r="A88" i="7"/>
  <c r="L89" i="7"/>
  <c r="H89" i="7" l="1"/>
  <c r="J89" i="7" s="1"/>
  <c r="M93" i="7"/>
  <c r="N93" i="7"/>
  <c r="C89" i="7"/>
  <c r="K89" i="7" l="1"/>
  <c r="O89" i="7" s="1"/>
  <c r="P89" i="7" s="1"/>
  <c r="D89" i="7" a="1"/>
  <c r="D89" i="7" s="1"/>
  <c r="I90" i="7" l="1"/>
  <c r="A89" i="7"/>
  <c r="L90" i="7"/>
  <c r="H90" i="7" s="1"/>
  <c r="J90" i="7" s="1"/>
  <c r="M94" i="7" l="1"/>
  <c r="N94" i="7"/>
  <c r="C90" i="7"/>
  <c r="K90" i="7" s="1"/>
  <c r="O90" i="7" s="1"/>
  <c r="P90" i="7" s="1"/>
  <c r="D90" i="7" l="1" a="1"/>
  <c r="D90" i="7" s="1"/>
  <c r="A90" i="7" s="1"/>
  <c r="I91" i="7"/>
  <c r="L91" i="7"/>
  <c r="H91" i="7" s="1"/>
  <c r="J91" i="7" s="1"/>
  <c r="C91" i="7" l="1"/>
  <c r="K91" i="7" s="1"/>
  <c r="N95" i="7"/>
  <c r="M95" i="7"/>
  <c r="O91" i="7" l="1"/>
  <c r="P91" i="7" s="1"/>
  <c r="D91" i="7" a="1"/>
  <c r="D91" i="7" s="1"/>
  <c r="L92" i="7" l="1"/>
  <c r="C92" i="7" s="1"/>
  <c r="I92" i="7"/>
  <c r="H92" i="7"/>
  <c r="A91" i="7"/>
  <c r="J92" i="7" l="1"/>
  <c r="K92" i="7"/>
  <c r="N96" i="7"/>
  <c r="M96" i="7"/>
  <c r="O92" i="7" l="1"/>
  <c r="P92" i="7" s="1"/>
  <c r="D92" i="7" a="1"/>
  <c r="D92" i="7" s="1"/>
  <c r="A92" i="7" l="1"/>
  <c r="L93" i="7"/>
  <c r="C93" i="7" s="1"/>
  <c r="I93" i="7"/>
  <c r="H93" i="7" l="1"/>
  <c r="J93" i="7" s="1"/>
  <c r="K93" i="7" s="1"/>
  <c r="O93" i="7" s="1"/>
  <c r="P93" i="7" s="1"/>
  <c r="N97" i="7"/>
  <c r="M97" i="7"/>
  <c r="D93" i="7" l="1" a="1"/>
  <c r="D93" i="7" s="1"/>
  <c r="I94" i="7" l="1"/>
  <c r="A93" i="7"/>
  <c r="L94" i="7"/>
  <c r="H94" i="7" s="1"/>
  <c r="J94" i="7" s="1"/>
  <c r="C94" i="7" l="1"/>
  <c r="K94" i="7" s="1"/>
  <c r="N98" i="7"/>
  <c r="M98" i="7"/>
  <c r="O94" i="7" l="1"/>
  <c r="P94" i="7" s="1"/>
  <c r="D94" i="7" a="1"/>
  <c r="D94" i="7" s="1"/>
  <c r="L95" i="7" l="1"/>
  <c r="H95" i="7" s="1"/>
  <c r="A94" i="7"/>
  <c r="I95" i="7"/>
  <c r="C95" i="7"/>
  <c r="J95" i="7" l="1"/>
  <c r="N99" i="7"/>
  <c r="M99" i="7"/>
  <c r="K95" i="7" l="1"/>
  <c r="O95" i="7" s="1"/>
  <c r="P95" i="7" s="1"/>
  <c r="D95" i="7" l="1" a="1"/>
  <c r="D95" i="7" s="1"/>
  <c r="A95" i="7" l="1"/>
  <c r="I96" i="7"/>
  <c r="L96" i="7"/>
  <c r="C96" i="7" s="1"/>
  <c r="H96" i="7" l="1"/>
  <c r="J96" i="7" s="1"/>
  <c r="M100" i="7"/>
  <c r="N100" i="7"/>
  <c r="K96" i="7" l="1"/>
  <c r="O96" i="7" s="1"/>
  <c r="P96" i="7" s="1"/>
  <c r="D96" i="7" l="1" a="1"/>
  <c r="D96" i="7" s="1"/>
  <c r="A96" i="7" l="1"/>
  <c r="I97" i="7"/>
  <c r="L97" i="7"/>
  <c r="C97" i="7" s="1"/>
  <c r="H97" i="7"/>
  <c r="J97" i="7" s="1"/>
  <c r="K97" i="7" l="1"/>
  <c r="O97" i="7" s="1"/>
  <c r="P97" i="7" s="1"/>
  <c r="M101" i="7"/>
  <c r="N101" i="7"/>
  <c r="D97" i="7" l="1" a="1"/>
  <c r="D97" i="7" s="1"/>
  <c r="A97" i="7" l="1"/>
  <c r="I98" i="7"/>
  <c r="L98" i="7"/>
  <c r="H98" i="7" l="1"/>
  <c r="J98" i="7" s="1"/>
  <c r="C98" i="7"/>
  <c r="M102" i="7"/>
  <c r="N102" i="7"/>
  <c r="K98" i="7" l="1"/>
  <c r="O98" i="7" s="1"/>
  <c r="P98" i="7" s="1"/>
  <c r="D98" i="7" a="1"/>
  <c r="D98" i="7" s="1"/>
  <c r="A98" i="7" l="1"/>
  <c r="L99" i="7"/>
  <c r="C99" i="7" s="1"/>
  <c r="I99" i="7"/>
  <c r="H99" i="7" l="1"/>
  <c r="J99" i="7"/>
  <c r="K99" i="7"/>
  <c r="O99" i="7" s="1"/>
  <c r="P99" i="7" s="1"/>
  <c r="M103" i="7"/>
  <c r="N103" i="7"/>
  <c r="D99" i="7" l="1" a="1"/>
  <c r="D99" i="7" s="1"/>
  <c r="A99" i="7" l="1"/>
  <c r="L100" i="7"/>
  <c r="I100" i="7"/>
  <c r="N104" i="7" l="1"/>
  <c r="M104" i="7"/>
  <c r="C100" i="7"/>
  <c r="H100" i="7"/>
  <c r="J100" i="7" s="1"/>
  <c r="K100" i="7" l="1"/>
  <c r="O100" i="7" s="1"/>
  <c r="P100" i="7" s="1"/>
  <c r="D100" i="7" l="1" a="1"/>
  <c r="D100" i="7" s="1"/>
  <c r="A100" i="7" l="1"/>
  <c r="I101" i="7"/>
  <c r="L101" i="7"/>
  <c r="H101" i="7" s="1"/>
  <c r="J101" i="7" s="1"/>
  <c r="C101" i="7" l="1"/>
  <c r="K101" i="7" s="1"/>
  <c r="O101" i="7" s="1"/>
  <c r="P101" i="7" s="1"/>
  <c r="N105" i="7"/>
  <c r="M105" i="7"/>
  <c r="D101" i="7" l="1" a="1"/>
  <c r="D101" i="7" s="1"/>
  <c r="L102" i="7" l="1"/>
  <c r="H102" i="7" s="1"/>
  <c r="A101" i="7"/>
  <c r="I102" i="7"/>
  <c r="J102" i="7" l="1"/>
  <c r="C102" i="7"/>
  <c r="K102" i="7" s="1"/>
  <c r="O102" i="7" s="1"/>
  <c r="P102" i="7" s="1"/>
  <c r="M106" i="7"/>
  <c r="N106" i="7"/>
  <c r="D102" i="7" l="1" a="1"/>
  <c r="D102" i="7" s="1"/>
  <c r="A102" i="7" l="1"/>
  <c r="L103" i="7"/>
  <c r="C103" i="7" s="1"/>
  <c r="I103" i="7"/>
  <c r="H103" i="7" l="1"/>
  <c r="J103" i="7" s="1"/>
  <c r="N107" i="7"/>
  <c r="M107" i="7"/>
  <c r="K103" i="7" l="1"/>
  <c r="O103" i="7" s="1"/>
  <c r="P103" i="7" s="1"/>
  <c r="D103" i="7" l="1" a="1"/>
  <c r="D103" i="7" s="1"/>
  <c r="L104" i="7" l="1"/>
  <c r="H104" i="7" s="1"/>
  <c r="A103" i="7"/>
  <c r="I104" i="7"/>
  <c r="J104" i="7" l="1"/>
  <c r="N108" i="7"/>
  <c r="M108" i="7"/>
  <c r="C104" i="7"/>
  <c r="K104" i="7" s="1"/>
  <c r="O104" i="7" s="1"/>
  <c r="P104" i="7" s="1"/>
  <c r="D104" i="7" l="1" a="1"/>
  <c r="D104" i="7" s="1"/>
  <c r="L105" i="7" l="1"/>
  <c r="C105" i="7" s="1"/>
  <c r="I105" i="7"/>
  <c r="A104" i="7"/>
  <c r="H105" i="7" l="1"/>
  <c r="J105" i="7"/>
  <c r="K105" i="7"/>
  <c r="O105" i="7" s="1"/>
  <c r="P105" i="7" s="1"/>
  <c r="N109" i="7"/>
  <c r="M109" i="7"/>
  <c r="D105" i="7" l="1" a="1"/>
  <c r="D105" i="7" s="1"/>
  <c r="L106" i="7" s="1"/>
  <c r="H106" i="7" s="1"/>
  <c r="I106" i="7"/>
  <c r="A105" i="7" l="1"/>
  <c r="J106" i="7"/>
  <c r="C106" i="7"/>
  <c r="K106" i="7" s="1"/>
  <c r="N110" i="7"/>
  <c r="M110" i="7"/>
  <c r="O106" i="7" l="1"/>
  <c r="P106" i="7" s="1"/>
  <c r="D106" i="7" a="1"/>
  <c r="D106" i="7" s="1"/>
  <c r="A106" i="7" l="1"/>
  <c r="I107" i="7"/>
  <c r="L107" i="7"/>
  <c r="C107" i="7" s="1"/>
  <c r="N111" i="7" l="1"/>
  <c r="H107" i="7"/>
  <c r="J107" i="7" s="1"/>
  <c r="K107" i="7" s="1"/>
  <c r="O107" i="7" s="1"/>
  <c r="P107" i="7" s="1"/>
  <c r="M111" i="7"/>
  <c r="D107" i="7" l="1" a="1"/>
  <c r="D107" i="7" s="1"/>
  <c r="A107" i="7" s="1"/>
  <c r="L108" i="7" l="1"/>
  <c r="H108" i="7" s="1"/>
  <c r="I108" i="7"/>
  <c r="N112" i="7"/>
  <c r="M112" i="7"/>
  <c r="C108" i="7"/>
  <c r="J108" i="7" l="1"/>
  <c r="K108" i="7" s="1"/>
  <c r="O108" i="7" l="1"/>
  <c r="P108" i="7" s="1"/>
  <c r="D108" i="7" a="1"/>
  <c r="D108" i="7" s="1"/>
  <c r="A108" i="7" s="1"/>
  <c r="L109" i="7"/>
  <c r="I109" i="7"/>
  <c r="H109" i="7"/>
  <c r="J109" i="7" s="1"/>
  <c r="C109" i="7" l="1"/>
  <c r="K109" i="7" s="1"/>
  <c r="N113" i="7"/>
  <c r="M113" i="7"/>
  <c r="O109" i="7" l="1"/>
  <c r="P109" i="7" s="1"/>
  <c r="D109" i="7" a="1"/>
  <c r="D109" i="7" s="1"/>
  <c r="I110" i="7" l="1"/>
  <c r="A109" i="7"/>
  <c r="L110" i="7"/>
  <c r="H110" i="7"/>
  <c r="J110" i="7" s="1"/>
  <c r="C110" i="7" l="1"/>
  <c r="K110" i="7" s="1"/>
  <c r="N114" i="7"/>
  <c r="M114" i="7"/>
  <c r="O110" i="7" l="1"/>
  <c r="P110" i="7" s="1"/>
  <c r="D110" i="7" a="1"/>
  <c r="D110" i="7" s="1"/>
  <c r="A110" i="7" l="1"/>
  <c r="L111" i="7"/>
  <c r="I111" i="7"/>
  <c r="H111" i="7"/>
  <c r="J111" i="7" l="1"/>
  <c r="C111" i="7"/>
  <c r="K111" i="7" s="1"/>
  <c r="N115" i="7"/>
  <c r="M115" i="7"/>
  <c r="O111" i="7" l="1"/>
  <c r="P111" i="7" s="1"/>
  <c r="D111" i="7" a="1"/>
  <c r="D111" i="7" s="1"/>
  <c r="A111" i="7" l="1"/>
  <c r="L112" i="7"/>
  <c r="H112" i="7" s="1"/>
  <c r="I112" i="7"/>
  <c r="J112" i="7" l="1"/>
  <c r="C112" i="7"/>
  <c r="K112" i="7" s="1"/>
  <c r="M116" i="7"/>
  <c r="N116" i="7"/>
  <c r="O112" i="7" l="1"/>
  <c r="P112" i="7" s="1"/>
  <c r="D112" i="7" a="1"/>
  <c r="D112" i="7" s="1"/>
  <c r="A112" i="7" l="1"/>
  <c r="I113" i="7"/>
  <c r="L113" i="7"/>
  <c r="C113" i="7" s="1"/>
  <c r="N117" i="7" l="1"/>
  <c r="M117" i="7"/>
  <c r="H113" i="7"/>
  <c r="J113" i="7" s="1"/>
  <c r="K113" i="7" s="1"/>
  <c r="O113" i="7" s="1"/>
  <c r="P113" i="7" s="1"/>
  <c r="D113" i="7" l="1" a="1"/>
  <c r="D113" i="7" s="1"/>
  <c r="A113" i="7" l="1"/>
  <c r="L114" i="7"/>
  <c r="H114" i="7"/>
  <c r="I114" i="7"/>
  <c r="C114" i="7"/>
  <c r="J114" i="7" l="1"/>
  <c r="K114" i="7" s="1"/>
  <c r="O114" i="7" s="1"/>
  <c r="P114" i="7" s="1"/>
  <c r="M118" i="7"/>
  <c r="N118" i="7"/>
  <c r="D114" i="7" l="1" a="1"/>
  <c r="D114" i="7" s="1"/>
  <c r="A114" i="7" l="1"/>
  <c r="L115" i="7"/>
  <c r="I115" i="7"/>
  <c r="H115" i="7"/>
  <c r="J115" i="7" l="1"/>
  <c r="C115" i="7"/>
  <c r="K115" i="7" s="1"/>
  <c r="O115" i="7" s="1"/>
  <c r="P115" i="7" s="1"/>
  <c r="M119" i="7"/>
  <c r="N119" i="7"/>
  <c r="D115" i="7" l="1" a="1"/>
  <c r="D115" i="7" s="1"/>
  <c r="I116" i="7" l="1"/>
  <c r="A115" i="7"/>
  <c r="L116" i="7"/>
  <c r="N120" i="7" l="1"/>
  <c r="M120" i="7"/>
  <c r="C116" i="7"/>
  <c r="H116" i="7"/>
  <c r="J116" i="7" s="1"/>
  <c r="K116" i="7" l="1"/>
  <c r="O116" i="7" s="1"/>
  <c r="P116" i="7" s="1"/>
  <c r="D116" i="7" l="1" a="1"/>
  <c r="D116" i="7" s="1"/>
  <c r="L117" i="7" l="1"/>
  <c r="I117" i="7"/>
  <c r="A116" i="7"/>
  <c r="H117" i="7"/>
  <c r="J117" i="7" s="1"/>
  <c r="C117" i="7" l="1"/>
  <c r="K117" i="7" s="1"/>
  <c r="N121" i="7"/>
  <c r="M121" i="7"/>
  <c r="O117" i="7" l="1"/>
  <c r="P117" i="7" s="1"/>
  <c r="D117" i="7" a="1"/>
  <c r="D117" i="7" s="1"/>
  <c r="I118" i="7" l="1"/>
  <c r="A117" i="7"/>
  <c r="L118" i="7"/>
  <c r="C118" i="7" s="1"/>
  <c r="H118" i="7"/>
  <c r="J118" i="7" s="1"/>
  <c r="K118" i="7" l="1"/>
  <c r="N122" i="7"/>
  <c r="M122" i="7"/>
  <c r="O118" i="7" l="1"/>
  <c r="P118" i="7" s="1"/>
  <c r="D118" i="7" a="1"/>
  <c r="D118" i="7" s="1"/>
  <c r="A118" i="7" l="1"/>
  <c r="I119" i="7"/>
  <c r="L119" i="7"/>
  <c r="C119" i="7" l="1"/>
  <c r="N123" i="7"/>
  <c r="M123" i="7"/>
  <c r="H119" i="7"/>
  <c r="J119" i="7" s="1"/>
  <c r="K119" i="7" l="1"/>
  <c r="O119" i="7" s="1"/>
  <c r="P119" i="7" s="1"/>
  <c r="D119" i="7" l="1" a="1"/>
  <c r="D119" i="7" s="1"/>
  <c r="A119" i="7" l="1"/>
  <c r="L120" i="7"/>
  <c r="H120" i="7" s="1"/>
  <c r="I120" i="7"/>
  <c r="J120" i="7" l="1"/>
  <c r="C120" i="7"/>
  <c r="K120" i="7" s="1"/>
  <c r="O120" i="7" s="1"/>
  <c r="P120" i="7" s="1"/>
  <c r="M124" i="7"/>
  <c r="N124" i="7"/>
  <c r="D120" i="7" l="1" a="1"/>
  <c r="D120" i="7" s="1"/>
  <c r="A120" i="7" l="1"/>
  <c r="L121" i="7"/>
  <c r="I121" i="7"/>
  <c r="H121" i="7" l="1"/>
  <c r="J121" i="7" s="1"/>
  <c r="N125" i="7"/>
  <c r="M125" i="7"/>
  <c r="C121" i="7"/>
  <c r="K121" i="7" l="1"/>
  <c r="O121" i="7" s="1"/>
  <c r="P121" i="7" s="1"/>
  <c r="D121" i="7" a="1"/>
  <c r="D121" i="7" s="1"/>
  <c r="A121" i="7" l="1"/>
  <c r="L122" i="7"/>
  <c r="H122" i="7" s="1"/>
  <c r="I122" i="7"/>
  <c r="J122" i="7" l="1"/>
  <c r="N126" i="7"/>
  <c r="M126" i="7"/>
  <c r="C122" i="7"/>
  <c r="K122" i="7" s="1"/>
  <c r="O122" i="7" s="1"/>
  <c r="P122" i="7" s="1"/>
  <c r="D122" i="7" l="1" a="1"/>
  <c r="D122" i="7" s="1"/>
  <c r="A122" i="7" l="1"/>
  <c r="I123" i="7"/>
  <c r="L123" i="7"/>
  <c r="H123" i="7" s="1"/>
  <c r="J123" i="7" s="1"/>
  <c r="N127" i="7" l="1"/>
  <c r="M127" i="7"/>
  <c r="C123" i="7"/>
  <c r="K123" i="7" s="1"/>
  <c r="O123" i="7" s="1"/>
  <c r="P123" i="7" s="1"/>
  <c r="D123" i="7" l="1" a="1"/>
  <c r="D123" i="7" s="1"/>
  <c r="A123" i="7" l="1"/>
  <c r="L124" i="7"/>
  <c r="I124" i="7"/>
  <c r="N128" i="7" l="1"/>
  <c r="M128" i="7"/>
  <c r="C124" i="7"/>
  <c r="H124" i="7"/>
  <c r="J124" i="7" s="1"/>
  <c r="K124" i="7" l="1"/>
  <c r="O124" i="7" s="1"/>
  <c r="P124" i="7" s="1"/>
  <c r="D124" i="7" l="1" a="1"/>
  <c r="D124" i="7" s="1"/>
  <c r="I125" i="7" l="1"/>
  <c r="L125" i="7"/>
  <c r="A124" i="7"/>
  <c r="H125" i="7" l="1"/>
  <c r="J125" i="7" s="1"/>
  <c r="N129" i="7"/>
  <c r="M129" i="7"/>
  <c r="C125" i="7"/>
  <c r="K125" i="7" l="1"/>
  <c r="O125" i="7" s="1"/>
  <c r="P125" i="7" s="1"/>
  <c r="D125" i="7" a="1"/>
  <c r="D125" i="7" s="1"/>
  <c r="L126" i="7" l="1"/>
  <c r="A125" i="7"/>
  <c r="H126" i="7"/>
  <c r="I126" i="7"/>
  <c r="J126" i="7" l="1"/>
  <c r="M130" i="7"/>
  <c r="N130" i="7"/>
  <c r="C126" i="7"/>
  <c r="K126" i="7" s="1"/>
  <c r="O126" i="7" s="1"/>
  <c r="P126" i="7" s="1"/>
  <c r="D126" i="7" l="1" a="1"/>
  <c r="D126" i="7" s="1"/>
  <c r="L127" i="7" l="1"/>
  <c r="I127" i="7"/>
  <c r="A126" i="7"/>
  <c r="C127" i="7"/>
  <c r="H127" i="7" l="1"/>
  <c r="J127" i="7" s="1"/>
  <c r="N131" i="7"/>
  <c r="M131" i="7"/>
  <c r="K127" i="7" l="1"/>
  <c r="O127" i="7" s="1"/>
  <c r="P127" i="7" s="1"/>
  <c r="D127" i="7" l="1" a="1"/>
  <c r="D127" i="7" s="1"/>
  <c r="L128" i="7" s="1"/>
  <c r="I128" i="7"/>
  <c r="C128" i="7" l="1"/>
  <c r="H128" i="7"/>
  <c r="A127" i="7"/>
  <c r="J128" i="7"/>
  <c r="N132" i="7"/>
  <c r="M132" i="7"/>
  <c r="K128" i="7" l="1"/>
  <c r="O128" i="7" s="1"/>
  <c r="P128" i="7" s="1"/>
  <c r="D128" i="7" l="1" a="1"/>
  <c r="D128" i="7" s="1"/>
  <c r="L129" i="7" l="1"/>
  <c r="I129" i="7"/>
  <c r="C129" i="7"/>
  <c r="A128" i="7"/>
  <c r="H129" i="7"/>
  <c r="J129" i="7" s="1"/>
  <c r="K129" i="7" s="1"/>
  <c r="O129" i="7" s="1"/>
  <c r="P129" i="7" s="1"/>
  <c r="D129" i="7" l="1" a="1"/>
  <c r="D129" i="7" s="1"/>
  <c r="M133" i="7"/>
  <c r="N133" i="7"/>
  <c r="L130" i="7" l="1"/>
  <c r="I130" i="7"/>
  <c r="A129" i="7"/>
  <c r="C130" i="7" l="1"/>
  <c r="M134" i="7"/>
  <c r="N134" i="7"/>
  <c r="H130" i="7"/>
  <c r="J130" i="7" s="1"/>
  <c r="K130" i="7" l="1"/>
  <c r="O130" i="7" s="1"/>
  <c r="P130" i="7" s="1"/>
  <c r="D130" i="7" l="1" a="1"/>
  <c r="D130" i="7" s="1"/>
  <c r="I131" i="7" l="1"/>
  <c r="L131" i="7"/>
  <c r="C131" i="7" s="1"/>
  <c r="A130" i="7"/>
  <c r="H131" i="7"/>
  <c r="J131" i="7" s="1"/>
  <c r="K131" i="7" l="1"/>
  <c r="O131" i="7" s="1"/>
  <c r="P131" i="7" s="1"/>
  <c r="M135" i="7"/>
  <c r="N135" i="7"/>
  <c r="D131" i="7" l="1" a="1"/>
  <c r="D131" i="7" s="1"/>
  <c r="A131" i="7" l="1"/>
  <c r="L132" i="7"/>
  <c r="I132" i="7"/>
  <c r="H132" i="7"/>
  <c r="J132" i="7" s="1"/>
  <c r="K132" i="7" l="1"/>
  <c r="C132" i="7"/>
  <c r="N136" i="7"/>
  <c r="M136" i="7"/>
  <c r="O132" i="7" l="1"/>
  <c r="P132" i="7" s="1"/>
  <c r="D132" i="7" a="1"/>
  <c r="D132" i="7" s="1"/>
  <c r="I133" i="7" l="1"/>
  <c r="L133" i="7"/>
  <c r="H133" i="7"/>
  <c r="J133" i="7" s="1"/>
  <c r="A132" i="7"/>
  <c r="C133" i="7" l="1"/>
  <c r="K133" i="7" s="1"/>
  <c r="O133" i="7" s="1"/>
  <c r="P133" i="7" s="1"/>
  <c r="M137" i="7"/>
  <c r="N137" i="7"/>
  <c r="D133" i="7" l="1" a="1"/>
  <c r="D133" i="7" s="1"/>
  <c r="A133" i="7" l="1"/>
  <c r="I134" i="7"/>
  <c r="L134" i="7"/>
  <c r="C134" i="7" s="1"/>
  <c r="H134" i="7"/>
  <c r="J134" i="7" s="1"/>
  <c r="K134" i="7" l="1"/>
  <c r="O134" i="7" s="1"/>
  <c r="P134" i="7" s="1"/>
  <c r="N138" i="7"/>
  <c r="M138" i="7"/>
  <c r="D134" i="7" l="1" a="1"/>
  <c r="D134" i="7" s="1"/>
  <c r="A134" i="7" l="1"/>
  <c r="I135" i="7"/>
  <c r="L135" i="7"/>
  <c r="H135" i="7" l="1"/>
  <c r="J135" i="7" s="1"/>
  <c r="C135" i="7"/>
  <c r="K135" i="7" s="1"/>
  <c r="O135" i="7" s="1"/>
  <c r="P135" i="7" s="1"/>
  <c r="M139" i="7"/>
  <c r="N139" i="7"/>
  <c r="D135" i="7" l="1" a="1"/>
  <c r="D135" i="7" s="1"/>
  <c r="I136" i="7" l="1"/>
  <c r="L136" i="7"/>
  <c r="A135" i="7"/>
  <c r="N140" i="7" l="1"/>
  <c r="M140" i="7"/>
  <c r="H136" i="7"/>
  <c r="J136" i="7" s="1"/>
  <c r="C136" i="7"/>
  <c r="K136" i="7" l="1"/>
  <c r="O136" i="7" s="1"/>
  <c r="P136" i="7" s="1"/>
  <c r="D136" i="7" a="1"/>
  <c r="D136" i="7" s="1"/>
  <c r="L137" i="7" l="1"/>
  <c r="A136" i="7"/>
  <c r="H137" i="7"/>
  <c r="I137" i="7"/>
  <c r="J137" i="7" l="1"/>
  <c r="C137" i="7"/>
  <c r="K137" i="7" s="1"/>
  <c r="O137" i="7" s="1"/>
  <c r="P137" i="7" s="1"/>
  <c r="M141" i="7"/>
  <c r="N141" i="7"/>
  <c r="D137" i="7" l="1" a="1"/>
  <c r="D137" i="7" s="1"/>
  <c r="A137" i="7" l="1"/>
  <c r="I138" i="7"/>
  <c r="L138" i="7"/>
  <c r="H138" i="7" l="1"/>
  <c r="J138" i="7" s="1"/>
  <c r="N142" i="7"/>
  <c r="M142" i="7"/>
  <c r="C138" i="7"/>
  <c r="K138" i="7" s="1"/>
  <c r="O138" i="7" s="1"/>
  <c r="P138" i="7" s="1"/>
  <c r="D138" i="7" l="1" a="1"/>
  <c r="D138" i="7" s="1"/>
  <c r="L139" i="7" l="1"/>
  <c r="I139" i="7"/>
  <c r="A138" i="7"/>
  <c r="H139" i="7"/>
  <c r="J139" i="7" s="1"/>
  <c r="C139" i="7" l="1"/>
  <c r="K139" i="7" s="1"/>
  <c r="N143" i="7"/>
  <c r="M143" i="7"/>
  <c r="O139" i="7" l="1"/>
  <c r="P139" i="7" s="1"/>
  <c r="D139" i="7" a="1"/>
  <c r="D139" i="7" s="1"/>
  <c r="A139" i="7" l="1"/>
  <c r="I140" i="7"/>
  <c r="L140" i="7"/>
  <c r="H140" i="7"/>
  <c r="J140" i="7" s="1"/>
  <c r="C140" i="7" l="1"/>
  <c r="K140" i="7" s="1"/>
  <c r="O140" i="7" s="1"/>
  <c r="P140" i="7" s="1"/>
  <c r="N144" i="7"/>
  <c r="M144" i="7"/>
  <c r="D140" i="7" l="1" a="1"/>
  <c r="D140" i="7" s="1"/>
  <c r="I141" i="7" l="1"/>
  <c r="A140" i="7"/>
  <c r="L141" i="7"/>
  <c r="C141" i="7" s="1"/>
  <c r="H141" i="7"/>
  <c r="J141" i="7" s="1"/>
  <c r="K141" i="7" l="1"/>
  <c r="O141" i="7" s="1"/>
  <c r="P141" i="7" s="1"/>
  <c r="M145" i="7"/>
  <c r="N145" i="7"/>
  <c r="D141" i="7" l="1" a="1"/>
  <c r="D141" i="7" s="1"/>
  <c r="I142" i="7" l="1"/>
  <c r="A141" i="7"/>
  <c r="L142" i="7"/>
  <c r="C142" i="7" l="1"/>
  <c r="N146" i="7"/>
  <c r="M146" i="7"/>
  <c r="H142" i="7"/>
  <c r="J142" i="7" s="1"/>
  <c r="K142" i="7" l="1"/>
  <c r="O142" i="7" l="1"/>
  <c r="P142" i="7" s="1"/>
  <c r="D142" i="7" a="1"/>
  <c r="D142" i="7" s="1"/>
  <c r="L143" i="7" l="1"/>
  <c r="H143" i="7" s="1"/>
  <c r="J143" i="7" s="1"/>
  <c r="A142" i="7"/>
  <c r="I143" i="7"/>
  <c r="C143" i="7" l="1"/>
  <c r="K143" i="7" s="1"/>
  <c r="N147" i="7"/>
  <c r="M147" i="7"/>
  <c r="O143" i="7" l="1"/>
  <c r="P143" i="7" s="1"/>
  <c r="D143" i="7" a="1"/>
  <c r="D143" i="7" s="1"/>
  <c r="A143" i="7" l="1"/>
  <c r="I144" i="7"/>
  <c r="L144" i="7"/>
  <c r="C144" i="7" s="1"/>
  <c r="H144" i="7" l="1"/>
  <c r="J144" i="7" s="1"/>
  <c r="M148" i="7"/>
  <c r="N148" i="7"/>
  <c r="K144" i="7" l="1"/>
  <c r="O144" i="7" s="1"/>
  <c r="P144" i="7" s="1"/>
  <c r="D144" i="7" l="1" a="1"/>
  <c r="D144" i="7" s="1"/>
  <c r="I145" i="7" l="1"/>
  <c r="L145" i="7"/>
  <c r="A144" i="7"/>
  <c r="C145" i="7"/>
  <c r="H145" i="7"/>
  <c r="J145" i="7" s="1"/>
  <c r="K145" i="7" l="1"/>
  <c r="N149" i="7"/>
  <c r="M149" i="7"/>
  <c r="O145" i="7" l="1"/>
  <c r="P145" i="7" s="1"/>
  <c r="D145" i="7" a="1"/>
  <c r="D145" i="7" s="1"/>
  <c r="I146" i="7" l="1"/>
  <c r="A145" i="7"/>
  <c r="L146" i="7"/>
  <c r="H146" i="7" s="1"/>
  <c r="J146" i="7" s="1"/>
  <c r="C146" i="7" l="1"/>
  <c r="K146" i="7" s="1"/>
  <c r="O146" i="7" s="1"/>
  <c r="P146" i="7" s="1"/>
  <c r="M150" i="7"/>
  <c r="N150" i="7"/>
  <c r="D146" i="7" l="1" a="1"/>
  <c r="D146" i="7" s="1"/>
  <c r="A146" i="7" l="1"/>
  <c r="L147" i="7"/>
  <c r="I147" i="7"/>
  <c r="C147" i="7" l="1"/>
  <c r="N151" i="7"/>
  <c r="M151" i="7"/>
  <c r="H147" i="7"/>
  <c r="J147" i="7" s="1"/>
  <c r="K147" i="7" l="1"/>
  <c r="O147" i="7" s="1"/>
  <c r="P147" i="7" s="1"/>
  <c r="D147" i="7" l="1" a="1"/>
  <c r="D147" i="7" s="1"/>
  <c r="A147" i="7" l="1"/>
  <c r="L148" i="7"/>
  <c r="I148" i="7"/>
  <c r="H148" i="7"/>
  <c r="J148" i="7" s="1"/>
  <c r="M152" i="7" l="1"/>
  <c r="N152" i="7"/>
  <c r="C148" i="7"/>
  <c r="K148" i="7" s="1"/>
  <c r="O148" i="7" s="1"/>
  <c r="P148" i="7" s="1"/>
  <c r="D148" i="7" l="1" a="1"/>
  <c r="D148" i="7" s="1"/>
  <c r="I149" i="7" l="1"/>
  <c r="L149" i="7"/>
  <c r="C149" i="7" s="1"/>
  <c r="A148" i="7"/>
  <c r="N153" i="7" l="1"/>
  <c r="M153" i="7"/>
  <c r="H149" i="7"/>
  <c r="J149" i="7" s="1"/>
  <c r="K149" i="7" l="1"/>
  <c r="O149" i="7" s="1"/>
  <c r="P149" i="7" s="1"/>
  <c r="D149" i="7" l="1" a="1"/>
  <c r="D149" i="7" s="1"/>
  <c r="I150" i="7" l="1"/>
  <c r="A149" i="7"/>
  <c r="L150" i="7"/>
  <c r="C150" i="7" s="1"/>
  <c r="H150" i="7" l="1"/>
  <c r="J150" i="7" s="1"/>
  <c r="M154" i="7"/>
  <c r="N154" i="7"/>
  <c r="D150" i="7" l="1" a="1"/>
  <c r="D150" i="7" s="1"/>
  <c r="K150" i="7"/>
  <c r="O150" i="7" s="1"/>
  <c r="P150" i="7" s="1"/>
  <c r="I151" i="7" l="1"/>
  <c r="L151" i="7"/>
  <c r="A150" i="7"/>
  <c r="C151" i="7"/>
  <c r="H151" i="7" l="1"/>
  <c r="J151" i="7" s="1"/>
  <c r="N155" i="7"/>
  <c r="M155" i="7"/>
  <c r="K151" i="7" l="1"/>
  <c r="O151" i="7" s="1"/>
  <c r="P151" i="7" s="1"/>
  <c r="D151" i="7" l="1" a="1"/>
  <c r="D151" i="7" s="1"/>
  <c r="L152" i="7" l="1"/>
  <c r="I152" i="7"/>
  <c r="A151" i="7"/>
  <c r="H152" i="7"/>
  <c r="J152" i="7" s="1"/>
  <c r="C152" i="7" l="1"/>
  <c r="K152" i="7" s="1"/>
  <c r="O152" i="7" s="1"/>
  <c r="P152" i="7" s="1"/>
  <c r="N156" i="7"/>
  <c r="M156" i="7"/>
  <c r="D152" i="7" l="1" a="1"/>
  <c r="D152" i="7" s="1"/>
  <c r="L153" i="7" l="1"/>
  <c r="A152" i="7"/>
  <c r="I153" i="7"/>
  <c r="C153" i="7"/>
  <c r="H153" i="7" l="1"/>
  <c r="J153" i="7" s="1"/>
  <c r="N157" i="7"/>
  <c r="M157" i="7"/>
  <c r="K153" i="7" l="1"/>
  <c r="O153" i="7" s="1"/>
  <c r="P153" i="7" s="1"/>
  <c r="D153" i="7" l="1" a="1"/>
  <c r="D153" i="7" s="1"/>
  <c r="A153" i="7" l="1"/>
  <c r="L154" i="7"/>
  <c r="I154" i="7"/>
  <c r="C154" i="7" l="1"/>
  <c r="N158" i="7"/>
  <c r="M158" i="7"/>
  <c r="H154" i="7"/>
  <c r="J154" i="7" s="1"/>
  <c r="K154" i="7" l="1"/>
  <c r="O154" i="7" s="1"/>
  <c r="P154" i="7" s="1"/>
  <c r="D154" i="7" l="1" a="1"/>
  <c r="D154" i="7" s="1"/>
  <c r="A154" i="7" l="1"/>
  <c r="I155" i="7"/>
  <c r="L155" i="7"/>
  <c r="C155" i="7" s="1"/>
  <c r="H155" i="7" l="1"/>
  <c r="J155" i="7" s="1"/>
  <c r="N159" i="7"/>
  <c r="M159" i="7"/>
  <c r="K155" i="7" l="1"/>
  <c r="O155" i="7" s="1"/>
  <c r="P155" i="7" s="1"/>
  <c r="D155" i="7" l="1" a="1"/>
  <c r="D155" i="7" s="1"/>
  <c r="I156" i="7" l="1"/>
  <c r="L156" i="7"/>
  <c r="A155" i="7"/>
  <c r="C156" i="7"/>
  <c r="H156" i="7" l="1"/>
  <c r="J156" i="7" s="1"/>
  <c r="N160" i="7"/>
  <c r="M160" i="7"/>
  <c r="D156" i="7" l="1" a="1"/>
  <c r="D156" i="7" s="1"/>
  <c r="K156" i="7"/>
  <c r="O156" i="7" s="1"/>
  <c r="P156" i="7" s="1"/>
  <c r="L157" i="7" l="1"/>
  <c r="I157" i="7"/>
  <c r="A156" i="7"/>
  <c r="C157" i="7"/>
  <c r="K157" i="7" l="1"/>
  <c r="O157" i="7" s="1"/>
  <c r="P157" i="7" s="1"/>
  <c r="H157" i="7"/>
  <c r="J157" i="7" s="1"/>
  <c r="N161" i="7"/>
  <c r="M161" i="7"/>
  <c r="D157" i="7" l="1" a="1"/>
  <c r="D157" i="7" s="1"/>
  <c r="A157" i="7" l="1"/>
  <c r="L158" i="7"/>
  <c r="I158" i="7"/>
  <c r="C158" i="7"/>
  <c r="H158" i="7" l="1"/>
  <c r="J158" i="7" s="1"/>
  <c r="M162" i="7"/>
  <c r="N162" i="7"/>
  <c r="K158" i="7" l="1"/>
  <c r="O158" i="7" s="1"/>
  <c r="P158" i="7" s="1"/>
  <c r="D158" i="7" l="1" a="1"/>
  <c r="D158" i="7" s="1"/>
  <c r="I159" i="7" l="1"/>
  <c r="A158" i="7"/>
  <c r="L159" i="7"/>
  <c r="H159" i="7" s="1"/>
  <c r="J159" i="7" s="1"/>
  <c r="M163" i="7" l="1"/>
  <c r="N163" i="7"/>
  <c r="C159" i="7"/>
  <c r="K159" i="7" s="1"/>
  <c r="O159" i="7" s="1"/>
  <c r="P159" i="7" s="1"/>
  <c r="D159" i="7" l="1" a="1"/>
  <c r="D159" i="7" s="1"/>
  <c r="I160" i="7" l="1"/>
  <c r="A159" i="7"/>
  <c r="L160" i="7"/>
  <c r="H160" i="7"/>
  <c r="J160" i="7" s="1"/>
  <c r="C160" i="7" l="1"/>
  <c r="K160" i="7" s="1"/>
  <c r="O160" i="7" s="1"/>
  <c r="P160" i="7" s="1"/>
  <c r="M164" i="7"/>
  <c r="N164" i="7"/>
  <c r="D160" i="7" l="1" a="1"/>
  <c r="D160" i="7" s="1"/>
  <c r="A160" i="7" l="1"/>
  <c r="L161" i="7"/>
  <c r="I161" i="7"/>
  <c r="H161" i="7"/>
  <c r="J161" i="7" s="1"/>
  <c r="C161" i="7"/>
  <c r="K161" i="7" l="1"/>
  <c r="O161" i="7" s="1"/>
  <c r="P161" i="7" s="1"/>
  <c r="N165" i="7"/>
  <c r="M165" i="7"/>
  <c r="D161" i="7" l="1" a="1"/>
  <c r="D161" i="7" s="1"/>
  <c r="L162" i="7" l="1"/>
  <c r="A161" i="7"/>
  <c r="I162" i="7"/>
  <c r="H162" i="7"/>
  <c r="J162" i="7" s="1"/>
  <c r="C162" i="7"/>
  <c r="K162" i="7" s="1"/>
  <c r="O162" i="7" s="1"/>
  <c r="P162" i="7" s="1"/>
  <c r="D162" i="7" l="1" a="1"/>
  <c r="D162" i="7" s="1"/>
  <c r="M166" i="7"/>
  <c r="N166" i="7"/>
  <c r="A162" i="7" l="1"/>
  <c r="L163" i="7"/>
  <c r="I163" i="7"/>
  <c r="H163" i="7"/>
  <c r="J163" i="7" s="1"/>
  <c r="C163" i="7" l="1"/>
  <c r="K163" i="7" s="1"/>
  <c r="O163" i="7" s="1"/>
  <c r="P163" i="7" s="1"/>
  <c r="N167" i="7"/>
  <c r="M167" i="7"/>
  <c r="D163" i="7" l="1" a="1"/>
  <c r="D163" i="7" s="1"/>
  <c r="I164" i="7" l="1"/>
  <c r="A163" i="7"/>
  <c r="L164" i="7"/>
  <c r="H164" i="7"/>
  <c r="J164" i="7" s="1"/>
  <c r="C164" i="7" l="1"/>
  <c r="K164" i="7" s="1"/>
  <c r="O164" i="7" s="1"/>
  <c r="P164" i="7" s="1"/>
  <c r="N168" i="7"/>
  <c r="M168" i="7"/>
  <c r="D164" i="7" l="1" a="1"/>
  <c r="D164" i="7" s="1"/>
  <c r="A164" i="7" l="1"/>
  <c r="L165" i="7"/>
  <c r="I165" i="7"/>
  <c r="H165" i="7"/>
  <c r="J165" i="7" s="1"/>
  <c r="N169" i="7" l="1"/>
  <c r="M169" i="7"/>
  <c r="C165" i="7"/>
  <c r="K165" i="7" s="1"/>
  <c r="O165" i="7" s="1"/>
  <c r="P165" i="7" s="1"/>
  <c r="D165" i="7" l="1" a="1"/>
  <c r="D165" i="7" s="1"/>
  <c r="A165" i="7" l="1"/>
  <c r="I166" i="7"/>
  <c r="L166" i="7"/>
  <c r="C166" i="7" s="1"/>
  <c r="K166" i="7" s="1"/>
  <c r="O166" i="7" s="1"/>
  <c r="P166" i="7" s="1"/>
  <c r="H166" i="7"/>
  <c r="J166" i="7" s="1"/>
  <c r="D166" i="7" s="1" a="1"/>
  <c r="D166" i="7" s="1"/>
  <c r="L167" i="7" l="1"/>
  <c r="I167" i="7"/>
  <c r="H167" i="7"/>
  <c r="J167" i="7" s="1"/>
  <c r="A166" i="7"/>
  <c r="N170" i="7"/>
  <c r="M170" i="7"/>
  <c r="C167" i="7" l="1"/>
  <c r="K167" i="7" s="1"/>
  <c r="O167" i="7" s="1"/>
  <c r="P167" i="7" s="1"/>
  <c r="N171" i="7"/>
  <c r="M171" i="7"/>
  <c r="D167" i="7" l="1" a="1"/>
  <c r="D167" i="7" s="1"/>
  <c r="L168" i="7" l="1"/>
  <c r="A167" i="7"/>
  <c r="I168" i="7"/>
  <c r="C168" i="7"/>
  <c r="H168" i="7" l="1"/>
  <c r="J168" i="7" s="1"/>
  <c r="N172" i="7"/>
  <c r="M172" i="7"/>
  <c r="D168" i="7" l="1" a="1"/>
  <c r="D168" i="7" s="1"/>
  <c r="K168" i="7"/>
  <c r="O168" i="7" s="1"/>
  <c r="P168" i="7" s="1"/>
  <c r="L169" i="7" l="1"/>
  <c r="C169" i="7" s="1"/>
  <c r="K169" i="7" s="1"/>
  <c r="O169" i="7" s="1"/>
  <c r="P169" i="7" s="1"/>
  <c r="I169" i="7"/>
  <c r="H169" i="7"/>
  <c r="J169" i="7" s="1"/>
  <c r="A168" i="7"/>
  <c r="N173" i="7" l="1"/>
  <c r="M173" i="7"/>
  <c r="D169" i="7" a="1"/>
  <c r="D169" i="7" s="1"/>
  <c r="L170" i="7" l="1"/>
  <c r="I170" i="7"/>
  <c r="A169" i="7"/>
  <c r="C170" i="7"/>
  <c r="H170" i="7" l="1"/>
  <c r="J170" i="7" s="1"/>
  <c r="M174" i="7"/>
  <c r="N174" i="7"/>
  <c r="K170" i="7" l="1"/>
  <c r="O170" i="7" s="1"/>
  <c r="P170" i="7" s="1"/>
  <c r="D170" i="7" l="1" a="1"/>
  <c r="D170" i="7" s="1"/>
  <c r="I171" i="7" l="1"/>
  <c r="A170" i="7"/>
  <c r="L171" i="7"/>
  <c r="C171" i="7" s="1"/>
  <c r="H171" i="7" l="1"/>
  <c r="J171" i="7" s="1"/>
  <c r="K171" i="7" s="1"/>
  <c r="M175" i="7"/>
  <c r="N175" i="7"/>
  <c r="O171" i="7" l="1"/>
  <c r="P171" i="7" s="1"/>
  <c r="D171" i="7" a="1"/>
  <c r="D171" i="7" s="1"/>
  <c r="I172" i="7" l="1"/>
  <c r="A171" i="7"/>
  <c r="L172" i="7"/>
  <c r="N176" i="7" l="1"/>
  <c r="M176" i="7"/>
  <c r="H172" i="7"/>
  <c r="J172" i="7" s="1"/>
  <c r="C172" i="7"/>
  <c r="K172" i="7" l="1"/>
  <c r="O172" i="7" s="1"/>
  <c r="P172" i="7" s="1"/>
  <c r="D172" i="7" a="1"/>
  <c r="D172" i="7" s="1"/>
  <c r="I173" i="7" l="1"/>
  <c r="L173" i="7"/>
  <c r="C173" i="7" s="1"/>
  <c r="A172" i="7"/>
  <c r="H173" i="7" l="1"/>
  <c r="J173" i="7" s="1"/>
  <c r="M177" i="7"/>
  <c r="N177" i="7"/>
  <c r="K173" i="7" l="1"/>
  <c r="O173" i="7" s="1"/>
  <c r="P173" i="7" s="1"/>
  <c r="D173" i="7" l="1" a="1"/>
  <c r="D173" i="7" s="1"/>
  <c r="I174" i="7" l="1"/>
  <c r="A173" i="7"/>
  <c r="L174" i="7"/>
  <c r="H174" i="7" s="1"/>
  <c r="J174" i="7" s="1"/>
  <c r="C174" i="7" l="1"/>
  <c r="K174" i="7" s="1"/>
  <c r="N178" i="7"/>
  <c r="M178" i="7"/>
  <c r="O174" i="7" l="1"/>
  <c r="P174" i="7" s="1"/>
  <c r="D174" i="7" a="1"/>
  <c r="D174" i="7" s="1"/>
  <c r="L175" i="7" l="1"/>
  <c r="H175" i="7" s="1"/>
  <c r="I175" i="7"/>
  <c r="A174" i="7"/>
  <c r="C175" i="7" l="1"/>
  <c r="J175" i="7"/>
  <c r="M179" i="7"/>
  <c r="N179" i="7"/>
  <c r="K175" i="7" l="1"/>
  <c r="O175" i="7" s="1"/>
  <c r="P175" i="7" s="1"/>
  <c r="D175" i="7" l="1" a="1"/>
  <c r="D175" i="7" s="1"/>
  <c r="L176" i="7" l="1"/>
  <c r="C176" i="7" s="1"/>
  <c r="H176" i="7"/>
  <c r="I176" i="7"/>
  <c r="A175" i="7"/>
  <c r="J176" i="7" l="1"/>
  <c r="K176" i="7" s="1"/>
  <c r="O176" i="7" s="1"/>
  <c r="P176" i="7" s="1"/>
  <c r="M180" i="7"/>
  <c r="N180" i="7"/>
  <c r="D176" i="7" l="1" a="1"/>
  <c r="D176" i="7" s="1"/>
  <c r="A176" i="7" l="1"/>
  <c r="I177" i="7"/>
  <c r="L177" i="7"/>
  <c r="H177" i="7"/>
  <c r="J177" i="7" s="1"/>
  <c r="C177" i="7" l="1"/>
  <c r="K177" i="7" s="1"/>
  <c r="O177" i="7" s="1"/>
  <c r="P177" i="7" s="1"/>
  <c r="M181" i="7"/>
  <c r="N181" i="7"/>
  <c r="D177" i="7" l="1" a="1"/>
  <c r="D177" i="7" s="1"/>
  <c r="L178" i="7" l="1"/>
  <c r="A177" i="7"/>
  <c r="I178" i="7"/>
  <c r="H178" i="7"/>
  <c r="C178" i="7"/>
  <c r="J178" i="7" l="1"/>
  <c r="K178" i="7"/>
  <c r="O178" i="7" s="1"/>
  <c r="P178" i="7" s="1"/>
  <c r="D178" i="7" a="1"/>
  <c r="D178" i="7" s="1"/>
  <c r="M182" i="7"/>
  <c r="N182" i="7"/>
  <c r="I179" i="7" l="1"/>
  <c r="A178" i="7"/>
  <c r="L179" i="7"/>
  <c r="C179" i="7" l="1"/>
  <c r="H179" i="7"/>
  <c r="J179" i="7" s="1"/>
  <c r="M183" i="7"/>
  <c r="N183" i="7"/>
  <c r="K179" i="7" l="1"/>
  <c r="O179" i="7" l="1"/>
  <c r="P179" i="7" s="1"/>
  <c r="D179" i="7" a="1"/>
  <c r="D179" i="7" s="1"/>
  <c r="A179" i="7" l="1"/>
  <c r="I180" i="7"/>
  <c r="L180" i="7"/>
  <c r="H180" i="7" s="1"/>
  <c r="J180" i="7" s="1"/>
  <c r="N184" i="7" l="1"/>
  <c r="C180" i="7"/>
  <c r="K180" i="7" s="1"/>
  <c r="M184" i="7"/>
  <c r="O180" i="7" l="1"/>
  <c r="P180" i="7" s="1"/>
  <c r="D180" i="7" a="1"/>
  <c r="D180" i="7" s="1"/>
  <c r="L181" i="7" l="1"/>
  <c r="A180" i="7"/>
  <c r="I181" i="7"/>
  <c r="H181" i="7"/>
  <c r="N185" i="7" l="1"/>
  <c r="M185" i="7"/>
  <c r="J181" i="7"/>
  <c r="C181" i="7"/>
  <c r="K181" i="7" l="1"/>
  <c r="O181" i="7" s="1"/>
  <c r="P181" i="7" s="1"/>
  <c r="D181" i="7" a="1"/>
  <c r="D181" i="7" s="1"/>
  <c r="A181" i="7" l="1"/>
  <c r="L182" i="7"/>
  <c r="H182" i="7" s="1"/>
  <c r="I182" i="7"/>
  <c r="J182" i="7" l="1"/>
  <c r="M186" i="7"/>
  <c r="N186" i="7"/>
  <c r="C182" i="7"/>
  <c r="K182" i="7" s="1"/>
  <c r="D182" i="7" l="1" a="1"/>
  <c r="D182" i="7" s="1"/>
  <c r="O182" i="7"/>
  <c r="P182" i="7" s="1"/>
  <c r="I183" i="7" l="1"/>
  <c r="A182" i="7"/>
  <c r="L183" i="7"/>
  <c r="M187" i="7" l="1"/>
  <c r="N187" i="7"/>
  <c r="H183" i="7"/>
  <c r="J183" i="7" s="1"/>
  <c r="C183" i="7"/>
  <c r="K183" i="7" l="1"/>
  <c r="O183" i="7" s="1"/>
  <c r="P183" i="7" s="1"/>
  <c r="D183" i="7" a="1"/>
  <c r="D183" i="7" s="1"/>
  <c r="I184" i="7" l="1"/>
  <c r="A183" i="7"/>
  <c r="L184" i="7"/>
  <c r="C184" i="7" l="1"/>
  <c r="N188" i="7"/>
  <c r="M188" i="7"/>
  <c r="H184" i="7"/>
  <c r="J184" i="7" s="1"/>
  <c r="K184" i="7" l="1"/>
  <c r="O184" i="7" s="1"/>
  <c r="P184" i="7" s="1"/>
  <c r="D184" i="7" l="1" a="1"/>
  <c r="D184" i="7" s="1"/>
  <c r="A184" i="7" l="1"/>
  <c r="I185" i="7"/>
  <c r="L185" i="7"/>
  <c r="C185" i="7" s="1"/>
  <c r="N189" i="7" l="1"/>
  <c r="M189" i="7"/>
  <c r="H185" i="7"/>
  <c r="J185" i="7" s="1"/>
  <c r="K185" i="7" l="1"/>
  <c r="O185" i="7" s="1"/>
  <c r="P185" i="7" s="1"/>
  <c r="D185" i="7" l="1" a="1"/>
  <c r="D185" i="7" s="1"/>
  <c r="I186" i="7" l="1"/>
  <c r="L186" i="7"/>
  <c r="C186" i="7" s="1"/>
  <c r="A185" i="7"/>
  <c r="M190" i="7" l="1"/>
  <c r="N190" i="7"/>
  <c r="H186" i="7"/>
  <c r="J186" i="7" s="1"/>
  <c r="K186" i="7" l="1"/>
  <c r="O186" i="7" s="1"/>
  <c r="P186" i="7" s="1"/>
  <c r="D186" i="7" l="1" a="1"/>
  <c r="D186" i="7" s="1"/>
  <c r="A186" i="7" l="1"/>
  <c r="L187" i="7"/>
  <c r="H187" i="7" s="1"/>
  <c r="I187" i="7"/>
  <c r="C187" i="7" l="1"/>
  <c r="J187" i="7"/>
  <c r="N191" i="7"/>
  <c r="M191" i="7"/>
  <c r="K187" i="7" l="1"/>
  <c r="O187" i="7" s="1"/>
  <c r="P187" i="7" s="1"/>
  <c r="D187" i="7" l="1" a="1"/>
  <c r="D187" i="7" s="1"/>
  <c r="L188" i="7" l="1"/>
  <c r="C188" i="7" s="1"/>
  <c r="A187" i="7"/>
  <c r="I188" i="7"/>
  <c r="H188" i="7"/>
  <c r="J188" i="7" s="1"/>
  <c r="K188" i="7" l="1"/>
  <c r="O188" i="7" s="1"/>
  <c r="P188" i="7" s="1"/>
  <c r="M192" i="7"/>
  <c r="N192" i="7"/>
  <c r="D188" i="7" l="1" a="1"/>
  <c r="D188" i="7" s="1"/>
  <c r="I189" i="7" l="1"/>
  <c r="L189" i="7"/>
  <c r="C189" i="7" s="1"/>
  <c r="A188" i="7"/>
  <c r="H189" i="7" l="1"/>
  <c r="J189" i="7" s="1"/>
  <c r="K189" i="7" s="1"/>
  <c r="N193" i="7"/>
  <c r="M193" i="7"/>
  <c r="O189" i="7" l="1"/>
  <c r="P189" i="7" s="1"/>
  <c r="D189" i="7" a="1"/>
  <c r="D189" i="7" s="1"/>
  <c r="A189" i="7" l="1"/>
  <c r="L190" i="7"/>
  <c r="I190" i="7"/>
  <c r="H190" i="7" l="1"/>
  <c r="J190" i="7" s="1"/>
  <c r="M194" i="7"/>
  <c r="N194" i="7"/>
  <c r="C190" i="7"/>
  <c r="K190" i="7" l="1"/>
  <c r="O190" i="7" s="1"/>
  <c r="P190" i="7" s="1"/>
  <c r="D190" i="7" l="1" a="1"/>
  <c r="D190" i="7" s="1"/>
  <c r="L191" i="7" s="1"/>
  <c r="H191" i="7" s="1"/>
  <c r="I191" i="7"/>
  <c r="J191" i="7" l="1"/>
  <c r="A190" i="7"/>
  <c r="C191" i="7"/>
  <c r="K191" i="7"/>
  <c r="M195" i="7"/>
  <c r="N195" i="7"/>
  <c r="O191" i="7" l="1"/>
  <c r="P191" i="7" s="1"/>
  <c r="D191" i="7" a="1"/>
  <c r="D191" i="7" s="1"/>
  <c r="I192" i="7" l="1"/>
  <c r="L192" i="7"/>
  <c r="H192" i="7" s="1"/>
  <c r="J192" i="7" s="1"/>
  <c r="A191" i="7"/>
  <c r="C192" i="7" l="1"/>
  <c r="K192" i="7" s="1"/>
  <c r="M196" i="7"/>
  <c r="N196" i="7"/>
  <c r="O192" i="7" l="1"/>
  <c r="P192" i="7" s="1"/>
  <c r="D192" i="7" a="1"/>
  <c r="D192" i="7" s="1"/>
  <c r="A192" i="7" l="1"/>
  <c r="L193" i="7"/>
  <c r="H193" i="7"/>
  <c r="I193" i="7"/>
  <c r="J193" i="7" l="1"/>
  <c r="M197" i="7"/>
  <c r="N197" i="7"/>
  <c r="C193" i="7"/>
  <c r="K193" i="7" s="1"/>
  <c r="O193" i="7" s="1"/>
  <c r="P193" i="7" s="1"/>
  <c r="D193" i="7" l="1" a="1"/>
  <c r="D193" i="7" s="1"/>
  <c r="A193" i="7" l="1"/>
  <c r="L194" i="7"/>
  <c r="H194" i="7" s="1"/>
  <c r="J194" i="7" s="1"/>
  <c r="I194" i="7"/>
  <c r="C194" i="7" l="1"/>
  <c r="K194" i="7" s="1"/>
  <c r="O194" i="7" s="1"/>
  <c r="P194" i="7" s="1"/>
  <c r="N198" i="7"/>
  <c r="M198" i="7"/>
  <c r="D194" i="7" l="1" a="1"/>
  <c r="D194" i="7" s="1"/>
  <c r="L195" i="7" l="1"/>
  <c r="A194" i="7"/>
  <c r="I195" i="7"/>
  <c r="C195" i="7"/>
  <c r="H195" i="7" l="1"/>
  <c r="J195" i="7" s="1"/>
  <c r="M199" i="7"/>
  <c r="N199" i="7"/>
  <c r="K195" i="7" l="1"/>
  <c r="O195" i="7" s="1"/>
  <c r="P195" i="7" s="1"/>
  <c r="D195" i="7" l="1" a="1"/>
  <c r="D195" i="7" s="1"/>
  <c r="A195" i="7" l="1"/>
  <c r="L196" i="7"/>
  <c r="I196" i="7"/>
  <c r="N200" i="7" l="1"/>
  <c r="M200" i="7"/>
  <c r="C196" i="7"/>
  <c r="H196" i="7"/>
  <c r="J196" i="7" s="1"/>
  <c r="K196" i="7" l="1"/>
  <c r="O196" i="7" s="1"/>
  <c r="P196" i="7" s="1"/>
  <c r="D196" i="7" l="1" a="1"/>
  <c r="D196" i="7" s="1"/>
  <c r="L197" i="7" l="1"/>
  <c r="C197" i="7" s="1"/>
  <c r="I197" i="7"/>
  <c r="A196" i="7"/>
  <c r="H197" i="7" l="1"/>
  <c r="J197" i="7" s="1"/>
  <c r="K197" i="7" s="1"/>
  <c r="O197" i="7" s="1"/>
  <c r="P197" i="7" s="1"/>
  <c r="M201" i="7"/>
  <c r="N201" i="7"/>
  <c r="D197" i="7" l="1" a="1"/>
  <c r="D197" i="7" s="1"/>
  <c r="L198" i="7" l="1"/>
  <c r="C198" i="7" s="1"/>
  <c r="I198" i="7"/>
  <c r="A197" i="7"/>
  <c r="H198" i="7" l="1"/>
  <c r="J198" i="7" s="1"/>
  <c r="M202" i="7"/>
  <c r="N202" i="7"/>
  <c r="K198" i="7" l="1"/>
  <c r="O198" i="7" s="1"/>
  <c r="P198" i="7" s="1"/>
  <c r="D198" i="7" l="1" a="1"/>
  <c r="D198" i="7" s="1"/>
  <c r="L199" i="7" l="1"/>
  <c r="C199" i="7" s="1"/>
  <c r="A198" i="7"/>
  <c r="I199" i="7"/>
  <c r="H199" i="7" l="1"/>
  <c r="J199" i="7" s="1"/>
  <c r="K199" i="7" s="1"/>
  <c r="M203" i="7"/>
  <c r="N203" i="7"/>
  <c r="O199" i="7" l="1"/>
  <c r="P199" i="7" s="1"/>
  <c r="D199" i="7" a="1"/>
  <c r="D199" i="7" s="1"/>
  <c r="L200" i="7" s="1"/>
  <c r="I200" i="7" l="1"/>
  <c r="C200" i="7"/>
  <c r="H200" i="7"/>
  <c r="J200" i="7" s="1"/>
  <c r="K200" i="7" s="1"/>
  <c r="O200" i="7" s="1"/>
  <c r="P200" i="7" s="1"/>
  <c r="A199" i="7"/>
  <c r="N204" i="7"/>
  <c r="M204" i="7"/>
  <c r="D200" i="7" l="1" a="1"/>
  <c r="D200" i="7" s="1"/>
  <c r="A200" i="7" s="1"/>
  <c r="I201" i="7"/>
  <c r="L201" i="7"/>
  <c r="C201" i="7" l="1"/>
  <c r="M205" i="7"/>
  <c r="N205" i="7"/>
  <c r="H201" i="7"/>
  <c r="J201" i="7" s="1"/>
  <c r="K201" i="7" l="1"/>
  <c r="O201" i="7" s="1"/>
  <c r="P201" i="7" s="1"/>
  <c r="D201" i="7" l="1" a="1"/>
  <c r="D201" i="7" s="1"/>
  <c r="I202" i="7" l="1"/>
  <c r="A201" i="7"/>
  <c r="L202" i="7"/>
  <c r="H202" i="7" s="1"/>
  <c r="J202" i="7" s="1"/>
  <c r="N206" i="7" l="1"/>
  <c r="M206" i="7"/>
  <c r="C202" i="7"/>
  <c r="K202" i="7" s="1"/>
  <c r="O202" i="7" l="1"/>
  <c r="P202" i="7" s="1"/>
  <c r="D202" i="7" a="1"/>
  <c r="D202" i="7" s="1"/>
  <c r="A202" i="7" l="1"/>
  <c r="L203" i="7"/>
  <c r="I203" i="7"/>
  <c r="H203" i="7" l="1"/>
  <c r="J203" i="7" s="1"/>
  <c r="N207" i="7"/>
  <c r="M207" i="7"/>
  <c r="C203" i="7"/>
  <c r="K203" i="7" l="1"/>
  <c r="O203" i="7" s="1"/>
  <c r="P203" i="7" s="1"/>
  <c r="D203" i="7" a="1"/>
  <c r="D203" i="7" s="1"/>
  <c r="I204" i="7" l="1"/>
  <c r="A203" i="7"/>
  <c r="L204" i="7"/>
  <c r="M208" i="7" l="1"/>
  <c r="N208" i="7"/>
  <c r="C204" i="7"/>
  <c r="H204" i="7"/>
  <c r="J204" i="7" s="1"/>
  <c r="K204" i="7" l="1"/>
  <c r="O204" i="7" l="1"/>
  <c r="P204" i="7" s="1"/>
  <c r="D204" i="7" a="1"/>
  <c r="D204" i="7" s="1"/>
  <c r="A204" i="7" l="1"/>
  <c r="L205" i="7"/>
  <c r="I205" i="7"/>
  <c r="C205" i="7" l="1"/>
  <c r="N209" i="7"/>
  <c r="M209" i="7"/>
  <c r="H205" i="7"/>
  <c r="J205" i="7" s="1"/>
  <c r="K205" i="7" l="1"/>
  <c r="O205" i="7" s="1"/>
  <c r="P205" i="7" s="1"/>
  <c r="D205" i="7" l="1" a="1"/>
  <c r="D205" i="7" s="1"/>
  <c r="A205" i="7" l="1"/>
  <c r="L206" i="7"/>
  <c r="I206" i="7"/>
  <c r="H206" i="7"/>
  <c r="J206" i="7" s="1"/>
  <c r="C206" i="7" l="1"/>
  <c r="K206" i="7" s="1"/>
  <c r="O206" i="7" s="1"/>
  <c r="P206" i="7" s="1"/>
  <c r="N210" i="7"/>
  <c r="M210" i="7"/>
  <c r="D206" i="7" l="1" a="1"/>
  <c r="D206" i="7" s="1"/>
  <c r="I207" i="7" l="1"/>
  <c r="L207" i="7"/>
  <c r="C207" i="7" s="1"/>
  <c r="A206" i="7"/>
  <c r="M211" i="7" l="1"/>
  <c r="H207" i="7"/>
  <c r="J207" i="7" s="1"/>
  <c r="K207" i="7" s="1"/>
  <c r="N211" i="7"/>
  <c r="O207" i="7" l="1"/>
  <c r="P207" i="7" s="1"/>
  <c r="D207" i="7" a="1"/>
  <c r="D207" i="7" s="1"/>
  <c r="L208" i="7" s="1"/>
  <c r="H208" i="7" s="1"/>
  <c r="I208" i="7" l="1"/>
  <c r="J208" i="7"/>
  <c r="A207" i="7"/>
  <c r="C208" i="7"/>
  <c r="K208" i="7" s="1"/>
  <c r="N212" i="7"/>
  <c r="M212" i="7"/>
  <c r="O208" i="7" l="1"/>
  <c r="P208" i="7" s="1"/>
  <c r="D208" i="7" a="1"/>
  <c r="D208" i="7" s="1"/>
  <c r="A208" i="7" l="1"/>
  <c r="I209" i="7"/>
  <c r="L209" i="7"/>
  <c r="C209" i="7" s="1"/>
  <c r="H209" i="7" l="1"/>
  <c r="J209" i="7" s="1"/>
  <c r="N213" i="7"/>
  <c r="M213" i="7"/>
  <c r="K209" i="7" l="1"/>
  <c r="O209" i="7" s="1"/>
  <c r="P209" i="7" s="1"/>
  <c r="D209" i="7" l="1" a="1"/>
  <c r="D209" i="7" s="1"/>
  <c r="I210" i="7" l="1"/>
  <c r="A209" i="7"/>
  <c r="L210" i="7"/>
  <c r="H210" i="7" s="1"/>
  <c r="J210" i="7" s="1"/>
  <c r="C210" i="7" l="1"/>
  <c r="K210" i="7" s="1"/>
  <c r="M214" i="7"/>
  <c r="N214" i="7"/>
  <c r="O210" i="7" l="1"/>
  <c r="P210" i="7" s="1"/>
  <c r="D210" i="7" a="1"/>
  <c r="D210" i="7" s="1"/>
  <c r="L211" i="7" l="1"/>
  <c r="C211" i="7" s="1"/>
  <c r="A210" i="7"/>
  <c r="I211" i="7"/>
  <c r="H211" i="7" l="1"/>
  <c r="J211" i="7" s="1"/>
  <c r="N215" i="7"/>
  <c r="M215" i="7"/>
  <c r="K211" i="7" l="1"/>
  <c r="O211" i="7" s="1"/>
  <c r="P211" i="7" s="1"/>
  <c r="D211" i="7" l="1" a="1"/>
  <c r="D211" i="7" s="1"/>
  <c r="A211" i="7" s="1"/>
  <c r="I212" i="7" l="1"/>
  <c r="L212" i="7"/>
  <c r="C212" i="7" s="1"/>
  <c r="H212" i="7"/>
  <c r="J212" i="7" s="1"/>
  <c r="M216" i="7" l="1"/>
  <c r="N216" i="7"/>
  <c r="K212" i="7"/>
  <c r="O212" i="7" s="1"/>
  <c r="P212" i="7" s="1"/>
  <c r="D212" i="7" l="1" a="1"/>
  <c r="D212" i="7" s="1"/>
  <c r="A212" i="7" s="1"/>
  <c r="I213" i="7"/>
  <c r="L213" i="7"/>
  <c r="C213" i="7" s="1"/>
  <c r="H213" i="7" l="1"/>
  <c r="J213" i="7" s="1"/>
  <c r="K213" i="7" s="1"/>
  <c r="N217" i="7"/>
  <c r="M217" i="7"/>
  <c r="O213" i="7" l="1"/>
  <c r="P213" i="7" s="1"/>
  <c r="D213" i="7" a="1"/>
  <c r="D213" i="7" s="1"/>
  <c r="I214" i="7" s="1"/>
  <c r="L214" i="7" l="1"/>
  <c r="C214" i="7" s="1"/>
  <c r="H214" i="7"/>
  <c r="J214" i="7" s="1"/>
  <c r="K214" i="7" s="1"/>
  <c r="O214" i="7" s="1"/>
  <c r="P214" i="7" s="1"/>
  <c r="A213" i="7"/>
  <c r="M218" i="7"/>
  <c r="N218" i="7"/>
  <c r="D214" i="7" l="1" a="1"/>
  <c r="D214" i="7" s="1"/>
  <c r="L215" i="7" l="1"/>
  <c r="A214" i="7"/>
  <c r="I215" i="7"/>
  <c r="H215" i="7"/>
  <c r="J215" i="7" s="1"/>
  <c r="M219" i="7" l="1"/>
  <c r="N219" i="7"/>
  <c r="C215" i="7"/>
  <c r="K215" i="7" s="1"/>
  <c r="O215" i="7" s="1"/>
  <c r="P215" i="7" s="1"/>
  <c r="D215" i="7" l="1" a="1"/>
  <c r="D215" i="7" s="1"/>
  <c r="A215" i="7" l="1"/>
  <c r="I216" i="7"/>
  <c r="L216" i="7"/>
  <c r="H216" i="7" s="1"/>
  <c r="J216" i="7" s="1"/>
  <c r="C216" i="7" l="1"/>
  <c r="K216" i="7" s="1"/>
  <c r="O216" i="7" s="1"/>
  <c r="P216" i="7" s="1"/>
  <c r="M220" i="7"/>
  <c r="N220" i="7"/>
  <c r="D216" i="7" l="1" a="1"/>
  <c r="D216" i="7" s="1"/>
  <c r="L217" i="7" l="1"/>
  <c r="A216" i="7"/>
  <c r="I217" i="7"/>
  <c r="M221" i="7" l="1"/>
  <c r="N221" i="7"/>
  <c r="O221" i="7" s="1"/>
  <c r="P221" i="7" s="1"/>
  <c r="C217" i="7"/>
  <c r="H217" i="7"/>
  <c r="J217" i="7" s="1"/>
  <c r="K217" i="7" l="1"/>
  <c r="O217" i="7" s="1"/>
  <c r="P217" i="7" s="1"/>
  <c r="D217" i="7" l="1" a="1"/>
  <c r="D217" i="7" s="1"/>
  <c r="A217" i="7" l="1"/>
  <c r="I218" i="7"/>
  <c r="L218" i="7"/>
  <c r="M222" i="7" l="1"/>
  <c r="N222" i="7"/>
  <c r="O222" i="7" s="1"/>
  <c r="P222" i="7" s="1"/>
  <c r="C218" i="7"/>
  <c r="H218" i="7"/>
  <c r="J218" i="7" s="1"/>
  <c r="K218" i="7" l="1"/>
  <c r="O218" i="7" s="1"/>
  <c r="P218" i="7" s="1"/>
  <c r="D218" i="7" l="1" a="1"/>
  <c r="D218" i="7" s="1"/>
  <c r="I219" i="7" l="1"/>
  <c r="A218" i="7"/>
  <c r="L219" i="7"/>
  <c r="N223" i="7" l="1"/>
  <c r="O223" i="7" s="1"/>
  <c r="P223" i="7" s="1"/>
  <c r="M223" i="7"/>
  <c r="C219" i="7"/>
  <c r="H219" i="7"/>
  <c r="J219" i="7" s="1"/>
  <c r="J8" i="7" l="1"/>
  <c r="K219" i="7"/>
  <c r="O219" i="7" s="1"/>
  <c r="P219" i="7" s="1"/>
  <c r="D219" i="7" l="1" a="1"/>
  <c r="D219" i="7" s="1"/>
  <c r="L220" i="7" l="1"/>
  <c r="A219" i="7"/>
  <c r="N224" i="7" l="1"/>
  <c r="M224" i="7"/>
  <c r="M8" i="7" s="1"/>
  <c r="N1" i="7" s="1"/>
  <c r="O220" i="7"/>
  <c r="L8" i="7"/>
  <c r="P220" i="7" l="1"/>
  <c r="P8" i="7" s="1"/>
  <c r="O8" i="7"/>
  <c r="O224" i="7"/>
  <c r="P224" i="7" s="1"/>
  <c r="N8" i="7"/>
  <c r="M2" i="7" s="1"/>
  <c r="E14" i="1" l="1"/>
  <c r="T7" i="1"/>
  <c r="AD11" i="2"/>
  <c r="G32" i="3" l="1"/>
  <c r="F32" i="3" l="1"/>
  <c r="E31" i="3"/>
  <c r="C37" i="3" l="1"/>
  <c r="C34" i="3"/>
  <c r="U2" i="3" l="1"/>
  <c r="Q7" i="3"/>
  <c r="I7" i="3"/>
  <c r="I5" i="3"/>
  <c r="Q4" i="3"/>
  <c r="Q5" i="3"/>
  <c r="Q6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3" i="3"/>
  <c r="M4" i="3"/>
  <c r="M3" i="3"/>
  <c r="M2" i="3"/>
  <c r="I2" i="3"/>
  <c r="U3" i="2"/>
  <c r="U2" i="2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L232" i="2"/>
  <c r="I232" i="2"/>
  <c r="J232" i="2" s="1"/>
  <c r="K232" i="2" s="1"/>
  <c r="L231" i="2"/>
  <c r="I231" i="2"/>
  <c r="J231" i="2" s="1"/>
  <c r="K231" i="2" s="1"/>
  <c r="L230" i="2"/>
  <c r="I230" i="2"/>
  <c r="J230" i="2" s="1"/>
  <c r="K230" i="2" s="1"/>
  <c r="L229" i="2"/>
  <c r="I229" i="2"/>
  <c r="J229" i="2" s="1"/>
  <c r="K229" i="2" s="1"/>
  <c r="L228" i="2"/>
  <c r="M232" i="2" s="1"/>
  <c r="I228" i="2"/>
  <c r="J228" i="2" s="1"/>
  <c r="K228" i="2" s="1"/>
  <c r="L227" i="2"/>
  <c r="M231" i="2" s="1"/>
  <c r="I227" i="2"/>
  <c r="J227" i="2" s="1"/>
  <c r="K227" i="2" s="1"/>
  <c r="L226" i="2"/>
  <c r="M230" i="2" s="1"/>
  <c r="I226" i="2"/>
  <c r="J226" i="2" s="1"/>
  <c r="K226" i="2" s="1"/>
  <c r="L225" i="2"/>
  <c r="N229" i="2" s="1"/>
  <c r="I225" i="2"/>
  <c r="J225" i="2" s="1"/>
  <c r="K225" i="2" s="1"/>
  <c r="L224" i="2"/>
  <c r="M228" i="2" s="1"/>
  <c r="I224" i="2"/>
  <c r="J224" i="2" s="1"/>
  <c r="K224" i="2" s="1"/>
  <c r="L223" i="2"/>
  <c r="N227" i="2" s="1"/>
  <c r="I223" i="2"/>
  <c r="J223" i="2" s="1"/>
  <c r="K223" i="2" s="1"/>
  <c r="L222" i="2"/>
  <c r="M226" i="2" s="1"/>
  <c r="I222" i="2"/>
  <c r="J222" i="2" s="1"/>
  <c r="K222" i="2" s="1"/>
  <c r="R221" i="2"/>
  <c r="S221" i="2" s="1"/>
  <c r="L221" i="2"/>
  <c r="M225" i="2" s="1"/>
  <c r="R220" i="2"/>
  <c r="S220" i="2" s="1"/>
  <c r="R219" i="2"/>
  <c r="S219" i="2" s="1"/>
  <c r="R218" i="2"/>
  <c r="S218" i="2" s="1"/>
  <c r="T216" i="2"/>
  <c r="U216" i="2" s="1"/>
  <c r="R216" i="2"/>
  <c r="S216" i="2" s="1"/>
  <c r="T215" i="2"/>
  <c r="U215" i="2" s="1"/>
  <c r="R215" i="2"/>
  <c r="S215" i="2" s="1"/>
  <c r="T214" i="2"/>
  <c r="U214" i="2" s="1"/>
  <c r="R214" i="2"/>
  <c r="S214" i="2" s="1"/>
  <c r="T213" i="2"/>
  <c r="U213" i="2" s="1"/>
  <c r="R213" i="2"/>
  <c r="S213" i="2" s="1"/>
  <c r="T212" i="2"/>
  <c r="U212" i="2" s="1"/>
  <c r="R212" i="2"/>
  <c r="S212" i="2" s="1"/>
  <c r="T211" i="2"/>
  <c r="U211" i="2" s="1"/>
  <c r="R211" i="2"/>
  <c r="S211" i="2" s="1"/>
  <c r="T210" i="2"/>
  <c r="U210" i="2" s="1"/>
  <c r="R210" i="2"/>
  <c r="S210" i="2" s="1"/>
  <c r="T209" i="2"/>
  <c r="U209" i="2" s="1"/>
  <c r="R209" i="2"/>
  <c r="S209" i="2" s="1"/>
  <c r="T208" i="2"/>
  <c r="U208" i="2" s="1"/>
  <c r="R208" i="2"/>
  <c r="S208" i="2" s="1"/>
  <c r="T207" i="2"/>
  <c r="U207" i="2" s="1"/>
  <c r="R207" i="2"/>
  <c r="S207" i="2" s="1"/>
  <c r="T206" i="2"/>
  <c r="U206" i="2" s="1"/>
  <c r="R206" i="2"/>
  <c r="S206" i="2" s="1"/>
  <c r="T205" i="2"/>
  <c r="U205" i="2" s="1"/>
  <c r="R205" i="2"/>
  <c r="S205" i="2" s="1"/>
  <c r="T204" i="2"/>
  <c r="U204" i="2" s="1"/>
  <c r="R204" i="2"/>
  <c r="S204" i="2" s="1"/>
  <c r="T203" i="2"/>
  <c r="U203" i="2" s="1"/>
  <c r="R203" i="2"/>
  <c r="S203" i="2" s="1"/>
  <c r="T202" i="2"/>
  <c r="U202" i="2" s="1"/>
  <c r="R202" i="2"/>
  <c r="S202" i="2" s="1"/>
  <c r="T201" i="2"/>
  <c r="U201" i="2" s="1"/>
  <c r="R201" i="2"/>
  <c r="S201" i="2" s="1"/>
  <c r="T200" i="2"/>
  <c r="U200" i="2" s="1"/>
  <c r="R200" i="2"/>
  <c r="S200" i="2" s="1"/>
  <c r="T199" i="2"/>
  <c r="U199" i="2" s="1"/>
  <c r="R199" i="2"/>
  <c r="S199" i="2" s="1"/>
  <c r="T198" i="2"/>
  <c r="U198" i="2" s="1"/>
  <c r="R198" i="2"/>
  <c r="S198" i="2" s="1"/>
  <c r="T197" i="2"/>
  <c r="U197" i="2" s="1"/>
  <c r="R197" i="2"/>
  <c r="S197" i="2" s="1"/>
  <c r="T196" i="2"/>
  <c r="U196" i="2" s="1"/>
  <c r="R196" i="2"/>
  <c r="S196" i="2" s="1"/>
  <c r="T195" i="2"/>
  <c r="U195" i="2" s="1"/>
  <c r="R195" i="2"/>
  <c r="S195" i="2" s="1"/>
  <c r="T194" i="2"/>
  <c r="U194" i="2" s="1"/>
  <c r="R194" i="2"/>
  <c r="S194" i="2" s="1"/>
  <c r="T193" i="2"/>
  <c r="U193" i="2" s="1"/>
  <c r="R193" i="2"/>
  <c r="S193" i="2" s="1"/>
  <c r="T192" i="2"/>
  <c r="U192" i="2" s="1"/>
  <c r="R192" i="2"/>
  <c r="S192" i="2" s="1"/>
  <c r="T191" i="2"/>
  <c r="U191" i="2" s="1"/>
  <c r="R191" i="2"/>
  <c r="S191" i="2" s="1"/>
  <c r="T190" i="2"/>
  <c r="U190" i="2" s="1"/>
  <c r="R190" i="2"/>
  <c r="S190" i="2" s="1"/>
  <c r="T189" i="2"/>
  <c r="U189" i="2" s="1"/>
  <c r="R189" i="2"/>
  <c r="S189" i="2" s="1"/>
  <c r="T188" i="2"/>
  <c r="U188" i="2" s="1"/>
  <c r="R188" i="2"/>
  <c r="S188" i="2" s="1"/>
  <c r="T187" i="2"/>
  <c r="U187" i="2" s="1"/>
  <c r="R187" i="2"/>
  <c r="S187" i="2" s="1"/>
  <c r="T186" i="2"/>
  <c r="U186" i="2" s="1"/>
  <c r="R186" i="2"/>
  <c r="S186" i="2" s="1"/>
  <c r="T185" i="2"/>
  <c r="U185" i="2" s="1"/>
  <c r="R185" i="2"/>
  <c r="S185" i="2" s="1"/>
  <c r="T184" i="2"/>
  <c r="U184" i="2" s="1"/>
  <c r="R184" i="2"/>
  <c r="S184" i="2" s="1"/>
  <c r="T183" i="2"/>
  <c r="U183" i="2" s="1"/>
  <c r="R183" i="2"/>
  <c r="S183" i="2" s="1"/>
  <c r="T182" i="2"/>
  <c r="U182" i="2" s="1"/>
  <c r="R182" i="2"/>
  <c r="S182" i="2" s="1"/>
  <c r="T181" i="2"/>
  <c r="U181" i="2" s="1"/>
  <c r="R181" i="2"/>
  <c r="S181" i="2" s="1"/>
  <c r="T180" i="2"/>
  <c r="U180" i="2" s="1"/>
  <c r="R180" i="2"/>
  <c r="S180" i="2" s="1"/>
  <c r="T179" i="2"/>
  <c r="U179" i="2" s="1"/>
  <c r="R179" i="2"/>
  <c r="S179" i="2" s="1"/>
  <c r="T178" i="2"/>
  <c r="U178" i="2" s="1"/>
  <c r="R178" i="2"/>
  <c r="S178" i="2" s="1"/>
  <c r="T177" i="2"/>
  <c r="U177" i="2" s="1"/>
  <c r="R177" i="2"/>
  <c r="S177" i="2" s="1"/>
  <c r="T176" i="2"/>
  <c r="U176" i="2" s="1"/>
  <c r="R176" i="2"/>
  <c r="S176" i="2" s="1"/>
  <c r="T175" i="2"/>
  <c r="U175" i="2" s="1"/>
  <c r="R175" i="2"/>
  <c r="S175" i="2" s="1"/>
  <c r="T174" i="2"/>
  <c r="U174" i="2" s="1"/>
  <c r="R174" i="2"/>
  <c r="S174" i="2" s="1"/>
  <c r="T173" i="2"/>
  <c r="U173" i="2" s="1"/>
  <c r="R173" i="2"/>
  <c r="S173" i="2" s="1"/>
  <c r="T172" i="2"/>
  <c r="U172" i="2" s="1"/>
  <c r="R172" i="2"/>
  <c r="S172" i="2" s="1"/>
  <c r="T171" i="2"/>
  <c r="U171" i="2" s="1"/>
  <c r="R171" i="2"/>
  <c r="S171" i="2" s="1"/>
  <c r="T170" i="2"/>
  <c r="U170" i="2" s="1"/>
  <c r="R170" i="2"/>
  <c r="S170" i="2" s="1"/>
  <c r="T169" i="2"/>
  <c r="U169" i="2" s="1"/>
  <c r="R169" i="2"/>
  <c r="S169" i="2" s="1"/>
  <c r="T168" i="2"/>
  <c r="U168" i="2" s="1"/>
  <c r="R168" i="2"/>
  <c r="S168" i="2" s="1"/>
  <c r="T167" i="2"/>
  <c r="U167" i="2" s="1"/>
  <c r="R167" i="2"/>
  <c r="S167" i="2" s="1"/>
  <c r="T166" i="2"/>
  <c r="U166" i="2" s="1"/>
  <c r="R166" i="2"/>
  <c r="S166" i="2" s="1"/>
  <c r="T165" i="2"/>
  <c r="U165" i="2" s="1"/>
  <c r="R165" i="2"/>
  <c r="S165" i="2" s="1"/>
  <c r="T164" i="2"/>
  <c r="U164" i="2" s="1"/>
  <c r="R164" i="2"/>
  <c r="S164" i="2" s="1"/>
  <c r="T163" i="2"/>
  <c r="U163" i="2" s="1"/>
  <c r="R163" i="2"/>
  <c r="S163" i="2" s="1"/>
  <c r="T162" i="2"/>
  <c r="U162" i="2" s="1"/>
  <c r="R162" i="2"/>
  <c r="S162" i="2" s="1"/>
  <c r="T161" i="2"/>
  <c r="U161" i="2" s="1"/>
  <c r="R161" i="2"/>
  <c r="S161" i="2" s="1"/>
  <c r="T160" i="2"/>
  <c r="U160" i="2" s="1"/>
  <c r="R160" i="2"/>
  <c r="S160" i="2" s="1"/>
  <c r="T159" i="2"/>
  <c r="U159" i="2" s="1"/>
  <c r="R159" i="2"/>
  <c r="S159" i="2" s="1"/>
  <c r="T158" i="2"/>
  <c r="U158" i="2" s="1"/>
  <c r="R158" i="2"/>
  <c r="S158" i="2" s="1"/>
  <c r="T157" i="2"/>
  <c r="U157" i="2" s="1"/>
  <c r="R157" i="2"/>
  <c r="S157" i="2" s="1"/>
  <c r="T156" i="2"/>
  <c r="U156" i="2" s="1"/>
  <c r="R156" i="2"/>
  <c r="S156" i="2" s="1"/>
  <c r="T155" i="2"/>
  <c r="U155" i="2" s="1"/>
  <c r="R155" i="2"/>
  <c r="S155" i="2" s="1"/>
  <c r="T154" i="2"/>
  <c r="U154" i="2" s="1"/>
  <c r="R154" i="2"/>
  <c r="S154" i="2" s="1"/>
  <c r="T153" i="2"/>
  <c r="U153" i="2" s="1"/>
  <c r="R153" i="2"/>
  <c r="S153" i="2" s="1"/>
  <c r="T152" i="2"/>
  <c r="U152" i="2" s="1"/>
  <c r="R152" i="2"/>
  <c r="S152" i="2" s="1"/>
  <c r="T151" i="2"/>
  <c r="U151" i="2" s="1"/>
  <c r="R151" i="2"/>
  <c r="S151" i="2" s="1"/>
  <c r="T150" i="2"/>
  <c r="U150" i="2" s="1"/>
  <c r="R150" i="2"/>
  <c r="S150" i="2" s="1"/>
  <c r="T149" i="2"/>
  <c r="U149" i="2" s="1"/>
  <c r="R149" i="2"/>
  <c r="S149" i="2" s="1"/>
  <c r="T148" i="2"/>
  <c r="U148" i="2" s="1"/>
  <c r="R148" i="2"/>
  <c r="S148" i="2" s="1"/>
  <c r="T147" i="2"/>
  <c r="U147" i="2" s="1"/>
  <c r="R147" i="2"/>
  <c r="S147" i="2" s="1"/>
  <c r="T146" i="2"/>
  <c r="U146" i="2" s="1"/>
  <c r="R146" i="2"/>
  <c r="S146" i="2" s="1"/>
  <c r="T145" i="2"/>
  <c r="U145" i="2" s="1"/>
  <c r="R145" i="2"/>
  <c r="S145" i="2" s="1"/>
  <c r="T144" i="2"/>
  <c r="U144" i="2" s="1"/>
  <c r="R144" i="2"/>
  <c r="S144" i="2" s="1"/>
  <c r="T143" i="2"/>
  <c r="U143" i="2" s="1"/>
  <c r="R143" i="2"/>
  <c r="S143" i="2" s="1"/>
  <c r="T142" i="2"/>
  <c r="U142" i="2" s="1"/>
  <c r="R142" i="2"/>
  <c r="S142" i="2" s="1"/>
  <c r="T141" i="2"/>
  <c r="U141" i="2" s="1"/>
  <c r="R141" i="2"/>
  <c r="S141" i="2" s="1"/>
  <c r="T140" i="2"/>
  <c r="U140" i="2" s="1"/>
  <c r="R140" i="2"/>
  <c r="S140" i="2" s="1"/>
  <c r="T139" i="2"/>
  <c r="U139" i="2" s="1"/>
  <c r="R139" i="2"/>
  <c r="S139" i="2" s="1"/>
  <c r="T138" i="2"/>
  <c r="U138" i="2" s="1"/>
  <c r="R138" i="2"/>
  <c r="S138" i="2" s="1"/>
  <c r="T137" i="2"/>
  <c r="U137" i="2" s="1"/>
  <c r="R137" i="2"/>
  <c r="S137" i="2" s="1"/>
  <c r="T136" i="2"/>
  <c r="U136" i="2" s="1"/>
  <c r="R136" i="2"/>
  <c r="S136" i="2" s="1"/>
  <c r="T135" i="2"/>
  <c r="U135" i="2" s="1"/>
  <c r="R135" i="2"/>
  <c r="S135" i="2" s="1"/>
  <c r="T134" i="2"/>
  <c r="U134" i="2" s="1"/>
  <c r="R134" i="2"/>
  <c r="S134" i="2" s="1"/>
  <c r="T133" i="2"/>
  <c r="U133" i="2" s="1"/>
  <c r="R133" i="2"/>
  <c r="S133" i="2" s="1"/>
  <c r="T132" i="2"/>
  <c r="U132" i="2" s="1"/>
  <c r="R132" i="2"/>
  <c r="S132" i="2" s="1"/>
  <c r="T131" i="2"/>
  <c r="U131" i="2" s="1"/>
  <c r="R131" i="2"/>
  <c r="S131" i="2" s="1"/>
  <c r="T130" i="2"/>
  <c r="U130" i="2" s="1"/>
  <c r="R130" i="2"/>
  <c r="S130" i="2" s="1"/>
  <c r="T129" i="2"/>
  <c r="U129" i="2" s="1"/>
  <c r="R129" i="2"/>
  <c r="S129" i="2" s="1"/>
  <c r="T128" i="2"/>
  <c r="U128" i="2" s="1"/>
  <c r="R128" i="2"/>
  <c r="S128" i="2" s="1"/>
  <c r="T127" i="2"/>
  <c r="U127" i="2" s="1"/>
  <c r="R127" i="2"/>
  <c r="S127" i="2" s="1"/>
  <c r="T126" i="2"/>
  <c r="U126" i="2" s="1"/>
  <c r="R126" i="2"/>
  <c r="S126" i="2" s="1"/>
  <c r="T125" i="2"/>
  <c r="U125" i="2" s="1"/>
  <c r="R125" i="2"/>
  <c r="S125" i="2" s="1"/>
  <c r="T124" i="2"/>
  <c r="U124" i="2" s="1"/>
  <c r="R124" i="2"/>
  <c r="S124" i="2" s="1"/>
  <c r="T123" i="2"/>
  <c r="U123" i="2" s="1"/>
  <c r="R123" i="2"/>
  <c r="S123" i="2" s="1"/>
  <c r="T122" i="2"/>
  <c r="U122" i="2" s="1"/>
  <c r="R122" i="2"/>
  <c r="S122" i="2" s="1"/>
  <c r="T121" i="2"/>
  <c r="U121" i="2" s="1"/>
  <c r="R121" i="2"/>
  <c r="S121" i="2" s="1"/>
  <c r="T120" i="2"/>
  <c r="U120" i="2" s="1"/>
  <c r="R120" i="2"/>
  <c r="S120" i="2" s="1"/>
  <c r="T119" i="2"/>
  <c r="U119" i="2" s="1"/>
  <c r="R119" i="2"/>
  <c r="S119" i="2" s="1"/>
  <c r="T118" i="2"/>
  <c r="U118" i="2" s="1"/>
  <c r="R118" i="2"/>
  <c r="S118" i="2" s="1"/>
  <c r="T117" i="2"/>
  <c r="U117" i="2" s="1"/>
  <c r="R117" i="2"/>
  <c r="S117" i="2" s="1"/>
  <c r="T116" i="2"/>
  <c r="U116" i="2" s="1"/>
  <c r="R116" i="2"/>
  <c r="S116" i="2" s="1"/>
  <c r="T115" i="2"/>
  <c r="U115" i="2" s="1"/>
  <c r="R115" i="2"/>
  <c r="S115" i="2" s="1"/>
  <c r="T114" i="2"/>
  <c r="U114" i="2" s="1"/>
  <c r="R114" i="2"/>
  <c r="S114" i="2" s="1"/>
  <c r="T113" i="2"/>
  <c r="U113" i="2" s="1"/>
  <c r="R113" i="2"/>
  <c r="S113" i="2" s="1"/>
  <c r="T112" i="2"/>
  <c r="U112" i="2" s="1"/>
  <c r="R112" i="2"/>
  <c r="S112" i="2" s="1"/>
  <c r="T111" i="2"/>
  <c r="U111" i="2" s="1"/>
  <c r="R111" i="2"/>
  <c r="S111" i="2" s="1"/>
  <c r="T110" i="2"/>
  <c r="U110" i="2" s="1"/>
  <c r="R110" i="2"/>
  <c r="S110" i="2" s="1"/>
  <c r="T109" i="2"/>
  <c r="U109" i="2" s="1"/>
  <c r="R109" i="2"/>
  <c r="S109" i="2" s="1"/>
  <c r="T108" i="2"/>
  <c r="U108" i="2" s="1"/>
  <c r="R108" i="2"/>
  <c r="S108" i="2" s="1"/>
  <c r="T107" i="2"/>
  <c r="U107" i="2" s="1"/>
  <c r="R107" i="2"/>
  <c r="S107" i="2" s="1"/>
  <c r="T106" i="2"/>
  <c r="U106" i="2" s="1"/>
  <c r="R106" i="2"/>
  <c r="S106" i="2" s="1"/>
  <c r="T105" i="2"/>
  <c r="U105" i="2" s="1"/>
  <c r="R105" i="2"/>
  <c r="S105" i="2" s="1"/>
  <c r="T104" i="2"/>
  <c r="U104" i="2" s="1"/>
  <c r="R104" i="2"/>
  <c r="S104" i="2" s="1"/>
  <c r="T103" i="2"/>
  <c r="U103" i="2" s="1"/>
  <c r="R103" i="2"/>
  <c r="S103" i="2" s="1"/>
  <c r="T102" i="2"/>
  <c r="U102" i="2" s="1"/>
  <c r="R102" i="2"/>
  <c r="S102" i="2" s="1"/>
  <c r="T101" i="2"/>
  <c r="U101" i="2" s="1"/>
  <c r="R101" i="2"/>
  <c r="S101" i="2" s="1"/>
  <c r="T100" i="2"/>
  <c r="U100" i="2" s="1"/>
  <c r="R100" i="2"/>
  <c r="S100" i="2" s="1"/>
  <c r="T99" i="2"/>
  <c r="U99" i="2" s="1"/>
  <c r="R99" i="2"/>
  <c r="S99" i="2" s="1"/>
  <c r="T98" i="2"/>
  <c r="U98" i="2" s="1"/>
  <c r="R98" i="2"/>
  <c r="S98" i="2" s="1"/>
  <c r="T97" i="2"/>
  <c r="U97" i="2" s="1"/>
  <c r="R97" i="2"/>
  <c r="S97" i="2" s="1"/>
  <c r="T96" i="2"/>
  <c r="U96" i="2" s="1"/>
  <c r="R96" i="2"/>
  <c r="S96" i="2" s="1"/>
  <c r="T95" i="2"/>
  <c r="U95" i="2" s="1"/>
  <c r="R95" i="2"/>
  <c r="S95" i="2" s="1"/>
  <c r="T94" i="2"/>
  <c r="U94" i="2" s="1"/>
  <c r="R94" i="2"/>
  <c r="S94" i="2" s="1"/>
  <c r="T93" i="2"/>
  <c r="U93" i="2" s="1"/>
  <c r="R93" i="2"/>
  <c r="S93" i="2" s="1"/>
  <c r="T92" i="2"/>
  <c r="U92" i="2" s="1"/>
  <c r="R92" i="2"/>
  <c r="S92" i="2" s="1"/>
  <c r="T91" i="2"/>
  <c r="U91" i="2" s="1"/>
  <c r="R91" i="2"/>
  <c r="S91" i="2" s="1"/>
  <c r="T90" i="2"/>
  <c r="U90" i="2" s="1"/>
  <c r="R90" i="2"/>
  <c r="S90" i="2" s="1"/>
  <c r="T89" i="2"/>
  <c r="U89" i="2" s="1"/>
  <c r="R89" i="2"/>
  <c r="S89" i="2" s="1"/>
  <c r="T88" i="2"/>
  <c r="U88" i="2" s="1"/>
  <c r="R88" i="2"/>
  <c r="S88" i="2" s="1"/>
  <c r="T87" i="2"/>
  <c r="U87" i="2" s="1"/>
  <c r="R87" i="2"/>
  <c r="S87" i="2" s="1"/>
  <c r="T86" i="2"/>
  <c r="U86" i="2" s="1"/>
  <c r="R86" i="2"/>
  <c r="S86" i="2" s="1"/>
  <c r="T85" i="2"/>
  <c r="U85" i="2" s="1"/>
  <c r="R85" i="2"/>
  <c r="S85" i="2" s="1"/>
  <c r="T84" i="2"/>
  <c r="U84" i="2" s="1"/>
  <c r="R84" i="2"/>
  <c r="S84" i="2" s="1"/>
  <c r="T83" i="2"/>
  <c r="U83" i="2" s="1"/>
  <c r="R83" i="2"/>
  <c r="S83" i="2" s="1"/>
  <c r="T82" i="2"/>
  <c r="U82" i="2" s="1"/>
  <c r="R82" i="2"/>
  <c r="S82" i="2" s="1"/>
  <c r="T81" i="2"/>
  <c r="U81" i="2" s="1"/>
  <c r="R81" i="2"/>
  <c r="S81" i="2" s="1"/>
  <c r="T80" i="2"/>
  <c r="U80" i="2" s="1"/>
  <c r="R80" i="2"/>
  <c r="S80" i="2" s="1"/>
  <c r="T79" i="2"/>
  <c r="U79" i="2" s="1"/>
  <c r="R79" i="2"/>
  <c r="S79" i="2" s="1"/>
  <c r="T78" i="2"/>
  <c r="U78" i="2" s="1"/>
  <c r="R78" i="2"/>
  <c r="S78" i="2" s="1"/>
  <c r="T77" i="2"/>
  <c r="U77" i="2" s="1"/>
  <c r="R77" i="2"/>
  <c r="S77" i="2" s="1"/>
  <c r="T76" i="2"/>
  <c r="U76" i="2" s="1"/>
  <c r="R76" i="2"/>
  <c r="S76" i="2" s="1"/>
  <c r="T75" i="2"/>
  <c r="U75" i="2" s="1"/>
  <c r="R75" i="2"/>
  <c r="S75" i="2" s="1"/>
  <c r="T74" i="2"/>
  <c r="U74" i="2" s="1"/>
  <c r="R74" i="2"/>
  <c r="S74" i="2" s="1"/>
  <c r="T73" i="2"/>
  <c r="U73" i="2" s="1"/>
  <c r="R73" i="2"/>
  <c r="S73" i="2" s="1"/>
  <c r="T72" i="2"/>
  <c r="U72" i="2" s="1"/>
  <c r="R72" i="2"/>
  <c r="S72" i="2" s="1"/>
  <c r="T71" i="2"/>
  <c r="U71" i="2" s="1"/>
  <c r="R71" i="2"/>
  <c r="S71" i="2" s="1"/>
  <c r="T70" i="2"/>
  <c r="U70" i="2" s="1"/>
  <c r="R70" i="2"/>
  <c r="S70" i="2" s="1"/>
  <c r="T69" i="2"/>
  <c r="U69" i="2" s="1"/>
  <c r="R69" i="2"/>
  <c r="S69" i="2" s="1"/>
  <c r="T68" i="2"/>
  <c r="U68" i="2" s="1"/>
  <c r="R68" i="2"/>
  <c r="S68" i="2" s="1"/>
  <c r="T67" i="2"/>
  <c r="U67" i="2" s="1"/>
  <c r="R67" i="2"/>
  <c r="S67" i="2" s="1"/>
  <c r="T66" i="2"/>
  <c r="U66" i="2" s="1"/>
  <c r="R66" i="2"/>
  <c r="S66" i="2" s="1"/>
  <c r="T65" i="2"/>
  <c r="U65" i="2" s="1"/>
  <c r="R65" i="2"/>
  <c r="S65" i="2" s="1"/>
  <c r="T64" i="2"/>
  <c r="U64" i="2" s="1"/>
  <c r="R64" i="2"/>
  <c r="S64" i="2" s="1"/>
  <c r="T63" i="2"/>
  <c r="U63" i="2" s="1"/>
  <c r="R63" i="2"/>
  <c r="S63" i="2" s="1"/>
  <c r="T62" i="2"/>
  <c r="U62" i="2" s="1"/>
  <c r="R62" i="2"/>
  <c r="S62" i="2" s="1"/>
  <c r="T61" i="2"/>
  <c r="U61" i="2" s="1"/>
  <c r="R61" i="2"/>
  <c r="S61" i="2" s="1"/>
  <c r="T60" i="2"/>
  <c r="U60" i="2" s="1"/>
  <c r="R60" i="2"/>
  <c r="S60" i="2" s="1"/>
  <c r="T59" i="2"/>
  <c r="U59" i="2" s="1"/>
  <c r="R59" i="2"/>
  <c r="S59" i="2" s="1"/>
  <c r="T58" i="2"/>
  <c r="U58" i="2" s="1"/>
  <c r="R58" i="2"/>
  <c r="S58" i="2" s="1"/>
  <c r="T57" i="2"/>
  <c r="U57" i="2" s="1"/>
  <c r="R57" i="2"/>
  <c r="S57" i="2" s="1"/>
  <c r="T56" i="2"/>
  <c r="U56" i="2" s="1"/>
  <c r="R56" i="2"/>
  <c r="S56" i="2" s="1"/>
  <c r="T55" i="2"/>
  <c r="U55" i="2" s="1"/>
  <c r="R55" i="2"/>
  <c r="S55" i="2" s="1"/>
  <c r="T54" i="2"/>
  <c r="U54" i="2" s="1"/>
  <c r="R54" i="2"/>
  <c r="S54" i="2" s="1"/>
  <c r="T53" i="2"/>
  <c r="U53" i="2" s="1"/>
  <c r="R53" i="2"/>
  <c r="S53" i="2" s="1"/>
  <c r="T52" i="2"/>
  <c r="U52" i="2" s="1"/>
  <c r="R52" i="2"/>
  <c r="S52" i="2" s="1"/>
  <c r="T51" i="2"/>
  <c r="U51" i="2" s="1"/>
  <c r="R51" i="2"/>
  <c r="S51" i="2" s="1"/>
  <c r="T50" i="2"/>
  <c r="U50" i="2" s="1"/>
  <c r="R50" i="2"/>
  <c r="S50" i="2" s="1"/>
  <c r="T49" i="2"/>
  <c r="U49" i="2" s="1"/>
  <c r="R49" i="2"/>
  <c r="S49" i="2" s="1"/>
  <c r="T48" i="2"/>
  <c r="U48" i="2" s="1"/>
  <c r="R48" i="2"/>
  <c r="S48" i="2" s="1"/>
  <c r="T47" i="2"/>
  <c r="U47" i="2" s="1"/>
  <c r="R47" i="2"/>
  <c r="S47" i="2" s="1"/>
  <c r="T46" i="2"/>
  <c r="U46" i="2" s="1"/>
  <c r="R46" i="2"/>
  <c r="S46" i="2" s="1"/>
  <c r="T45" i="2"/>
  <c r="U45" i="2" s="1"/>
  <c r="R45" i="2"/>
  <c r="S45" i="2" s="1"/>
  <c r="T44" i="2"/>
  <c r="U44" i="2" s="1"/>
  <c r="R44" i="2"/>
  <c r="S44" i="2" s="1"/>
  <c r="T43" i="2"/>
  <c r="U43" i="2" s="1"/>
  <c r="R43" i="2"/>
  <c r="S43" i="2" s="1"/>
  <c r="T42" i="2"/>
  <c r="U42" i="2" s="1"/>
  <c r="R42" i="2"/>
  <c r="S42" i="2" s="1"/>
  <c r="T41" i="2"/>
  <c r="U41" i="2" s="1"/>
  <c r="R41" i="2"/>
  <c r="S41" i="2" s="1"/>
  <c r="T40" i="2"/>
  <c r="U40" i="2" s="1"/>
  <c r="R40" i="2"/>
  <c r="S40" i="2" s="1"/>
  <c r="T39" i="2"/>
  <c r="U39" i="2" s="1"/>
  <c r="R39" i="2"/>
  <c r="S39" i="2" s="1"/>
  <c r="T38" i="2"/>
  <c r="U38" i="2" s="1"/>
  <c r="R38" i="2"/>
  <c r="S38" i="2" s="1"/>
  <c r="T37" i="2"/>
  <c r="U37" i="2" s="1"/>
  <c r="R37" i="2"/>
  <c r="S37" i="2" s="1"/>
  <c r="T36" i="2"/>
  <c r="U36" i="2" s="1"/>
  <c r="R36" i="2"/>
  <c r="S36" i="2" s="1"/>
  <c r="T35" i="2"/>
  <c r="U35" i="2" s="1"/>
  <c r="R35" i="2"/>
  <c r="S35" i="2" s="1"/>
  <c r="T34" i="2"/>
  <c r="U34" i="2" s="1"/>
  <c r="R34" i="2"/>
  <c r="S34" i="2" s="1"/>
  <c r="T33" i="2"/>
  <c r="U33" i="2" s="1"/>
  <c r="R33" i="2"/>
  <c r="S33" i="2" s="1"/>
  <c r="T32" i="2"/>
  <c r="U32" i="2" s="1"/>
  <c r="R32" i="2"/>
  <c r="S32" i="2" s="1"/>
  <c r="T31" i="2"/>
  <c r="U31" i="2" s="1"/>
  <c r="R31" i="2"/>
  <c r="S31" i="2" s="1"/>
  <c r="T30" i="2"/>
  <c r="U30" i="2" s="1"/>
  <c r="R30" i="2"/>
  <c r="S30" i="2" s="1"/>
  <c r="T29" i="2"/>
  <c r="U29" i="2" s="1"/>
  <c r="R29" i="2"/>
  <c r="S29" i="2" s="1"/>
  <c r="T28" i="2"/>
  <c r="U28" i="2" s="1"/>
  <c r="R28" i="2"/>
  <c r="S28" i="2" s="1"/>
  <c r="T27" i="2"/>
  <c r="U27" i="2" s="1"/>
  <c r="R27" i="2"/>
  <c r="S27" i="2" s="1"/>
  <c r="T26" i="2"/>
  <c r="U26" i="2" s="1"/>
  <c r="R26" i="2"/>
  <c r="S26" i="2" s="1"/>
  <c r="T25" i="2"/>
  <c r="U25" i="2" s="1"/>
  <c r="R25" i="2"/>
  <c r="S25" i="2" s="1"/>
  <c r="T24" i="2"/>
  <c r="U24" i="2" s="1"/>
  <c r="R24" i="2"/>
  <c r="S24" i="2" s="1"/>
  <c r="T23" i="2"/>
  <c r="U23" i="2" s="1"/>
  <c r="R23" i="2"/>
  <c r="S23" i="2" s="1"/>
  <c r="T22" i="2"/>
  <c r="U22" i="2" s="1"/>
  <c r="R22" i="2"/>
  <c r="S22" i="2" s="1"/>
  <c r="T21" i="2"/>
  <c r="U21" i="2" s="1"/>
  <c r="R21" i="2"/>
  <c r="S21" i="2" s="1"/>
  <c r="T20" i="2"/>
  <c r="U20" i="2" s="1"/>
  <c r="R20" i="2"/>
  <c r="S20" i="2" s="1"/>
  <c r="T19" i="2"/>
  <c r="U19" i="2" s="1"/>
  <c r="R19" i="2"/>
  <c r="S19" i="2" s="1"/>
  <c r="T18" i="2"/>
  <c r="U18" i="2" s="1"/>
  <c r="R18" i="2"/>
  <c r="S18" i="2" s="1"/>
  <c r="T17" i="2"/>
  <c r="U17" i="2" s="1"/>
  <c r="R17" i="2"/>
  <c r="S17" i="2" s="1"/>
  <c r="T16" i="2"/>
  <c r="U16" i="2" s="1"/>
  <c r="R16" i="2"/>
  <c r="S16" i="2" s="1"/>
  <c r="T15" i="2"/>
  <c r="U15" i="2" s="1"/>
  <c r="R15" i="2"/>
  <c r="S15" i="2" s="1"/>
  <c r="N15" i="2"/>
  <c r="M15" i="2"/>
  <c r="T14" i="2"/>
  <c r="U14" i="2" s="1"/>
  <c r="R14" i="2"/>
  <c r="S14" i="2" s="1"/>
  <c r="N14" i="2"/>
  <c r="M14" i="2"/>
  <c r="T13" i="2"/>
  <c r="U13" i="2" s="1"/>
  <c r="R13" i="2"/>
  <c r="S13" i="2" s="1"/>
  <c r="N13" i="2"/>
  <c r="M13" i="2"/>
  <c r="T12" i="2"/>
  <c r="U12" i="2" s="1"/>
  <c r="W12" i="2" s="1"/>
  <c r="X12" i="2" s="1"/>
  <c r="Y12" i="2" s="1"/>
  <c r="R12" i="2"/>
  <c r="S12" i="2" s="1"/>
  <c r="N12" i="2"/>
  <c r="M12" i="2"/>
  <c r="B12" i="2"/>
  <c r="B13" i="2" s="1"/>
  <c r="O11" i="2"/>
  <c r="P11" i="2" s="1"/>
  <c r="F11" i="2"/>
  <c r="D11" i="2"/>
  <c r="A11" i="2" s="1"/>
  <c r="C11" i="2"/>
  <c r="Q8" i="2"/>
  <c r="I3" i="2"/>
  <c r="L235" i="1"/>
  <c r="K235" i="1"/>
  <c r="I235" i="1"/>
  <c r="J235" i="1" s="1"/>
  <c r="L234" i="1"/>
  <c r="I234" i="1"/>
  <c r="J234" i="1" s="1"/>
  <c r="K234" i="1" s="1"/>
  <c r="L233" i="1"/>
  <c r="I233" i="1"/>
  <c r="J233" i="1" s="1"/>
  <c r="K233" i="1" s="1"/>
  <c r="L232" i="1"/>
  <c r="I232" i="1"/>
  <c r="J232" i="1" s="1"/>
  <c r="K232" i="1" s="1"/>
  <c r="L231" i="1"/>
  <c r="I231" i="1"/>
  <c r="J231" i="1" s="1"/>
  <c r="K231" i="1" s="1"/>
  <c r="L230" i="1"/>
  <c r="N234" i="1" s="1"/>
  <c r="I230" i="1"/>
  <c r="J230" i="1" s="1"/>
  <c r="K230" i="1" s="1"/>
  <c r="L229" i="1"/>
  <c r="M233" i="1" s="1"/>
  <c r="K229" i="1"/>
  <c r="I229" i="1"/>
  <c r="J229" i="1" s="1"/>
  <c r="L228" i="1"/>
  <c r="N232" i="1" s="1"/>
  <c r="I228" i="1"/>
  <c r="L227" i="1"/>
  <c r="N231" i="1" s="1"/>
  <c r="I227" i="1"/>
  <c r="J227" i="1" s="1"/>
  <c r="K227" i="1" s="1"/>
  <c r="L226" i="1"/>
  <c r="I226" i="1"/>
  <c r="J226" i="1" s="1"/>
  <c r="K226" i="1" s="1"/>
  <c r="L225" i="1"/>
  <c r="N229" i="1" s="1"/>
  <c r="I225" i="1"/>
  <c r="J225" i="1" s="1"/>
  <c r="K225" i="1" s="1"/>
  <c r="R224" i="1"/>
  <c r="S224" i="1" s="1"/>
  <c r="L224" i="1"/>
  <c r="R223" i="1"/>
  <c r="S223" i="1" s="1"/>
  <c r="R222" i="1"/>
  <c r="S222" i="1" s="1"/>
  <c r="R221" i="1"/>
  <c r="S221" i="1" s="1"/>
  <c r="T219" i="1"/>
  <c r="U219" i="1" s="1"/>
  <c r="R219" i="1"/>
  <c r="S219" i="1" s="1"/>
  <c r="T218" i="1"/>
  <c r="U218" i="1" s="1"/>
  <c r="R218" i="1"/>
  <c r="S218" i="1" s="1"/>
  <c r="T217" i="1"/>
  <c r="U217" i="1" s="1"/>
  <c r="R217" i="1"/>
  <c r="S217" i="1" s="1"/>
  <c r="T216" i="1"/>
  <c r="U216" i="1" s="1"/>
  <c r="R216" i="1"/>
  <c r="S216" i="1" s="1"/>
  <c r="T215" i="1"/>
  <c r="U215" i="1" s="1"/>
  <c r="R215" i="1"/>
  <c r="S215" i="1" s="1"/>
  <c r="T214" i="1"/>
  <c r="U214" i="1" s="1"/>
  <c r="R214" i="1"/>
  <c r="S214" i="1" s="1"/>
  <c r="T213" i="1"/>
  <c r="U213" i="1" s="1"/>
  <c r="R213" i="1"/>
  <c r="S213" i="1" s="1"/>
  <c r="T212" i="1"/>
  <c r="U212" i="1" s="1"/>
  <c r="R212" i="1"/>
  <c r="S212" i="1" s="1"/>
  <c r="T211" i="1"/>
  <c r="U211" i="1" s="1"/>
  <c r="R211" i="1"/>
  <c r="S211" i="1" s="1"/>
  <c r="T210" i="1"/>
  <c r="U210" i="1" s="1"/>
  <c r="R210" i="1"/>
  <c r="S210" i="1" s="1"/>
  <c r="T209" i="1"/>
  <c r="U209" i="1" s="1"/>
  <c r="R209" i="1"/>
  <c r="S209" i="1" s="1"/>
  <c r="T208" i="1"/>
  <c r="U208" i="1" s="1"/>
  <c r="R208" i="1"/>
  <c r="S208" i="1" s="1"/>
  <c r="T207" i="1"/>
  <c r="U207" i="1" s="1"/>
  <c r="R207" i="1"/>
  <c r="S207" i="1" s="1"/>
  <c r="T206" i="1"/>
  <c r="U206" i="1" s="1"/>
  <c r="R206" i="1"/>
  <c r="S206" i="1" s="1"/>
  <c r="T205" i="1"/>
  <c r="U205" i="1" s="1"/>
  <c r="R205" i="1"/>
  <c r="S205" i="1" s="1"/>
  <c r="T204" i="1"/>
  <c r="U204" i="1" s="1"/>
  <c r="R204" i="1"/>
  <c r="S204" i="1" s="1"/>
  <c r="T203" i="1"/>
  <c r="U203" i="1" s="1"/>
  <c r="R203" i="1"/>
  <c r="S203" i="1" s="1"/>
  <c r="T202" i="1"/>
  <c r="U202" i="1" s="1"/>
  <c r="R202" i="1"/>
  <c r="S202" i="1" s="1"/>
  <c r="T201" i="1"/>
  <c r="U201" i="1" s="1"/>
  <c r="R201" i="1"/>
  <c r="S201" i="1" s="1"/>
  <c r="T200" i="1"/>
  <c r="U200" i="1" s="1"/>
  <c r="R200" i="1"/>
  <c r="S200" i="1" s="1"/>
  <c r="T199" i="1"/>
  <c r="U199" i="1" s="1"/>
  <c r="R199" i="1"/>
  <c r="S199" i="1" s="1"/>
  <c r="T198" i="1"/>
  <c r="U198" i="1" s="1"/>
  <c r="R198" i="1"/>
  <c r="S198" i="1" s="1"/>
  <c r="T197" i="1"/>
  <c r="U197" i="1" s="1"/>
  <c r="R197" i="1"/>
  <c r="S197" i="1" s="1"/>
  <c r="T196" i="1"/>
  <c r="U196" i="1" s="1"/>
  <c r="R196" i="1"/>
  <c r="S196" i="1" s="1"/>
  <c r="T195" i="1"/>
  <c r="U195" i="1" s="1"/>
  <c r="R195" i="1"/>
  <c r="S195" i="1" s="1"/>
  <c r="T194" i="1"/>
  <c r="U194" i="1" s="1"/>
  <c r="R194" i="1"/>
  <c r="S194" i="1" s="1"/>
  <c r="T193" i="1"/>
  <c r="U193" i="1" s="1"/>
  <c r="R193" i="1"/>
  <c r="S193" i="1" s="1"/>
  <c r="T192" i="1"/>
  <c r="U192" i="1" s="1"/>
  <c r="R192" i="1"/>
  <c r="S192" i="1" s="1"/>
  <c r="T191" i="1"/>
  <c r="U191" i="1" s="1"/>
  <c r="R191" i="1"/>
  <c r="S191" i="1" s="1"/>
  <c r="T190" i="1"/>
  <c r="U190" i="1" s="1"/>
  <c r="R190" i="1"/>
  <c r="S190" i="1" s="1"/>
  <c r="T189" i="1"/>
  <c r="U189" i="1" s="1"/>
  <c r="R189" i="1"/>
  <c r="S189" i="1" s="1"/>
  <c r="T188" i="1"/>
  <c r="U188" i="1" s="1"/>
  <c r="R188" i="1"/>
  <c r="S188" i="1" s="1"/>
  <c r="T187" i="1"/>
  <c r="U187" i="1" s="1"/>
  <c r="R187" i="1"/>
  <c r="S187" i="1" s="1"/>
  <c r="T186" i="1"/>
  <c r="U186" i="1" s="1"/>
  <c r="R186" i="1"/>
  <c r="S186" i="1" s="1"/>
  <c r="T185" i="1"/>
  <c r="U185" i="1" s="1"/>
  <c r="R185" i="1"/>
  <c r="S185" i="1" s="1"/>
  <c r="T184" i="1"/>
  <c r="U184" i="1" s="1"/>
  <c r="R184" i="1"/>
  <c r="S184" i="1" s="1"/>
  <c r="T183" i="1"/>
  <c r="U183" i="1" s="1"/>
  <c r="R183" i="1"/>
  <c r="S183" i="1" s="1"/>
  <c r="T182" i="1"/>
  <c r="U182" i="1" s="1"/>
  <c r="R182" i="1"/>
  <c r="S182" i="1" s="1"/>
  <c r="T181" i="1"/>
  <c r="U181" i="1" s="1"/>
  <c r="R181" i="1"/>
  <c r="S181" i="1" s="1"/>
  <c r="T180" i="1"/>
  <c r="U180" i="1" s="1"/>
  <c r="R180" i="1"/>
  <c r="S180" i="1" s="1"/>
  <c r="T179" i="1"/>
  <c r="U179" i="1" s="1"/>
  <c r="R179" i="1"/>
  <c r="S179" i="1" s="1"/>
  <c r="T178" i="1"/>
  <c r="U178" i="1" s="1"/>
  <c r="R178" i="1"/>
  <c r="S178" i="1" s="1"/>
  <c r="T177" i="1"/>
  <c r="U177" i="1" s="1"/>
  <c r="R177" i="1"/>
  <c r="S177" i="1" s="1"/>
  <c r="T176" i="1"/>
  <c r="U176" i="1" s="1"/>
  <c r="R176" i="1"/>
  <c r="S176" i="1" s="1"/>
  <c r="T175" i="1"/>
  <c r="U175" i="1" s="1"/>
  <c r="R175" i="1"/>
  <c r="S175" i="1" s="1"/>
  <c r="T174" i="1"/>
  <c r="U174" i="1" s="1"/>
  <c r="R174" i="1"/>
  <c r="S174" i="1" s="1"/>
  <c r="T173" i="1"/>
  <c r="U173" i="1" s="1"/>
  <c r="R173" i="1"/>
  <c r="S173" i="1" s="1"/>
  <c r="T172" i="1"/>
  <c r="U172" i="1" s="1"/>
  <c r="R172" i="1"/>
  <c r="S172" i="1" s="1"/>
  <c r="T171" i="1"/>
  <c r="U171" i="1" s="1"/>
  <c r="R171" i="1"/>
  <c r="S171" i="1" s="1"/>
  <c r="T170" i="1"/>
  <c r="U170" i="1" s="1"/>
  <c r="R170" i="1"/>
  <c r="S170" i="1" s="1"/>
  <c r="T169" i="1"/>
  <c r="U169" i="1" s="1"/>
  <c r="R169" i="1"/>
  <c r="S169" i="1" s="1"/>
  <c r="T168" i="1"/>
  <c r="U168" i="1" s="1"/>
  <c r="R168" i="1"/>
  <c r="S168" i="1" s="1"/>
  <c r="T167" i="1"/>
  <c r="U167" i="1" s="1"/>
  <c r="R167" i="1"/>
  <c r="S167" i="1" s="1"/>
  <c r="T166" i="1"/>
  <c r="U166" i="1" s="1"/>
  <c r="R166" i="1"/>
  <c r="S166" i="1" s="1"/>
  <c r="T165" i="1"/>
  <c r="U165" i="1" s="1"/>
  <c r="R165" i="1"/>
  <c r="S165" i="1" s="1"/>
  <c r="T164" i="1"/>
  <c r="U164" i="1" s="1"/>
  <c r="R164" i="1"/>
  <c r="S164" i="1" s="1"/>
  <c r="T163" i="1"/>
  <c r="U163" i="1" s="1"/>
  <c r="R163" i="1"/>
  <c r="S163" i="1" s="1"/>
  <c r="T162" i="1"/>
  <c r="U162" i="1" s="1"/>
  <c r="R162" i="1"/>
  <c r="S162" i="1" s="1"/>
  <c r="T161" i="1"/>
  <c r="U161" i="1" s="1"/>
  <c r="R161" i="1"/>
  <c r="S161" i="1" s="1"/>
  <c r="T160" i="1"/>
  <c r="U160" i="1" s="1"/>
  <c r="R160" i="1"/>
  <c r="S160" i="1" s="1"/>
  <c r="T159" i="1"/>
  <c r="U159" i="1" s="1"/>
  <c r="R159" i="1"/>
  <c r="S159" i="1" s="1"/>
  <c r="T158" i="1"/>
  <c r="U158" i="1" s="1"/>
  <c r="R158" i="1"/>
  <c r="S158" i="1" s="1"/>
  <c r="T157" i="1"/>
  <c r="U157" i="1" s="1"/>
  <c r="R157" i="1"/>
  <c r="S157" i="1" s="1"/>
  <c r="T156" i="1"/>
  <c r="U156" i="1" s="1"/>
  <c r="R156" i="1"/>
  <c r="S156" i="1" s="1"/>
  <c r="T155" i="1"/>
  <c r="U155" i="1" s="1"/>
  <c r="R155" i="1"/>
  <c r="S155" i="1" s="1"/>
  <c r="T154" i="1"/>
  <c r="U154" i="1" s="1"/>
  <c r="R154" i="1"/>
  <c r="S154" i="1" s="1"/>
  <c r="T153" i="1"/>
  <c r="U153" i="1" s="1"/>
  <c r="R153" i="1"/>
  <c r="S153" i="1" s="1"/>
  <c r="T152" i="1"/>
  <c r="U152" i="1" s="1"/>
  <c r="R152" i="1"/>
  <c r="S152" i="1" s="1"/>
  <c r="T151" i="1"/>
  <c r="U151" i="1" s="1"/>
  <c r="R151" i="1"/>
  <c r="S151" i="1" s="1"/>
  <c r="T150" i="1"/>
  <c r="U150" i="1" s="1"/>
  <c r="R150" i="1"/>
  <c r="S150" i="1" s="1"/>
  <c r="T149" i="1"/>
  <c r="U149" i="1" s="1"/>
  <c r="R149" i="1"/>
  <c r="S149" i="1" s="1"/>
  <c r="T148" i="1"/>
  <c r="U148" i="1" s="1"/>
  <c r="R148" i="1"/>
  <c r="S148" i="1" s="1"/>
  <c r="T147" i="1"/>
  <c r="U147" i="1" s="1"/>
  <c r="R147" i="1"/>
  <c r="S147" i="1" s="1"/>
  <c r="T146" i="1"/>
  <c r="U146" i="1" s="1"/>
  <c r="R146" i="1"/>
  <c r="S146" i="1" s="1"/>
  <c r="T145" i="1"/>
  <c r="U145" i="1" s="1"/>
  <c r="R145" i="1"/>
  <c r="S145" i="1" s="1"/>
  <c r="T144" i="1"/>
  <c r="U144" i="1" s="1"/>
  <c r="R144" i="1"/>
  <c r="S144" i="1" s="1"/>
  <c r="T143" i="1"/>
  <c r="U143" i="1" s="1"/>
  <c r="R143" i="1"/>
  <c r="S143" i="1" s="1"/>
  <c r="T142" i="1"/>
  <c r="U142" i="1" s="1"/>
  <c r="R142" i="1"/>
  <c r="S142" i="1" s="1"/>
  <c r="T141" i="1"/>
  <c r="U141" i="1" s="1"/>
  <c r="R141" i="1"/>
  <c r="S141" i="1" s="1"/>
  <c r="T140" i="1"/>
  <c r="U140" i="1" s="1"/>
  <c r="R140" i="1"/>
  <c r="S140" i="1" s="1"/>
  <c r="T139" i="1"/>
  <c r="U139" i="1" s="1"/>
  <c r="R139" i="1"/>
  <c r="S139" i="1" s="1"/>
  <c r="T138" i="1"/>
  <c r="U138" i="1" s="1"/>
  <c r="R138" i="1"/>
  <c r="S138" i="1" s="1"/>
  <c r="T137" i="1"/>
  <c r="U137" i="1" s="1"/>
  <c r="R137" i="1"/>
  <c r="S137" i="1" s="1"/>
  <c r="T136" i="1"/>
  <c r="U136" i="1" s="1"/>
  <c r="R136" i="1"/>
  <c r="S136" i="1" s="1"/>
  <c r="T135" i="1"/>
  <c r="U135" i="1" s="1"/>
  <c r="R135" i="1"/>
  <c r="S135" i="1" s="1"/>
  <c r="T134" i="1"/>
  <c r="U134" i="1" s="1"/>
  <c r="R134" i="1"/>
  <c r="S134" i="1" s="1"/>
  <c r="T133" i="1"/>
  <c r="U133" i="1" s="1"/>
  <c r="R133" i="1"/>
  <c r="S133" i="1" s="1"/>
  <c r="T132" i="1"/>
  <c r="U132" i="1" s="1"/>
  <c r="R132" i="1"/>
  <c r="S132" i="1" s="1"/>
  <c r="T131" i="1"/>
  <c r="U131" i="1" s="1"/>
  <c r="R131" i="1"/>
  <c r="S131" i="1" s="1"/>
  <c r="T130" i="1"/>
  <c r="U130" i="1" s="1"/>
  <c r="R130" i="1"/>
  <c r="S130" i="1" s="1"/>
  <c r="T129" i="1"/>
  <c r="U129" i="1" s="1"/>
  <c r="R129" i="1"/>
  <c r="S129" i="1" s="1"/>
  <c r="T128" i="1"/>
  <c r="U128" i="1" s="1"/>
  <c r="R128" i="1"/>
  <c r="S128" i="1" s="1"/>
  <c r="T127" i="1"/>
  <c r="U127" i="1" s="1"/>
  <c r="R127" i="1"/>
  <c r="S127" i="1" s="1"/>
  <c r="T126" i="1"/>
  <c r="U126" i="1" s="1"/>
  <c r="R126" i="1"/>
  <c r="S126" i="1" s="1"/>
  <c r="T125" i="1"/>
  <c r="U125" i="1" s="1"/>
  <c r="R125" i="1"/>
  <c r="S125" i="1" s="1"/>
  <c r="T124" i="1"/>
  <c r="U124" i="1" s="1"/>
  <c r="R124" i="1"/>
  <c r="S124" i="1" s="1"/>
  <c r="T123" i="1"/>
  <c r="U123" i="1" s="1"/>
  <c r="R123" i="1"/>
  <c r="S123" i="1" s="1"/>
  <c r="T122" i="1"/>
  <c r="U122" i="1" s="1"/>
  <c r="R122" i="1"/>
  <c r="S122" i="1" s="1"/>
  <c r="T121" i="1"/>
  <c r="U121" i="1" s="1"/>
  <c r="R121" i="1"/>
  <c r="S121" i="1" s="1"/>
  <c r="T120" i="1"/>
  <c r="U120" i="1" s="1"/>
  <c r="R120" i="1"/>
  <c r="S120" i="1" s="1"/>
  <c r="T119" i="1"/>
  <c r="U119" i="1" s="1"/>
  <c r="R119" i="1"/>
  <c r="S119" i="1" s="1"/>
  <c r="T118" i="1"/>
  <c r="U118" i="1" s="1"/>
  <c r="R118" i="1"/>
  <c r="S118" i="1" s="1"/>
  <c r="T117" i="1"/>
  <c r="U117" i="1" s="1"/>
  <c r="R117" i="1"/>
  <c r="S117" i="1" s="1"/>
  <c r="T116" i="1"/>
  <c r="U116" i="1" s="1"/>
  <c r="R116" i="1"/>
  <c r="S116" i="1" s="1"/>
  <c r="T115" i="1"/>
  <c r="U115" i="1" s="1"/>
  <c r="R115" i="1"/>
  <c r="S115" i="1" s="1"/>
  <c r="T114" i="1"/>
  <c r="U114" i="1" s="1"/>
  <c r="R114" i="1"/>
  <c r="S114" i="1" s="1"/>
  <c r="T113" i="1"/>
  <c r="U113" i="1" s="1"/>
  <c r="R113" i="1"/>
  <c r="S113" i="1" s="1"/>
  <c r="T112" i="1"/>
  <c r="U112" i="1" s="1"/>
  <c r="R112" i="1"/>
  <c r="S112" i="1" s="1"/>
  <c r="T111" i="1"/>
  <c r="U111" i="1" s="1"/>
  <c r="R111" i="1"/>
  <c r="S111" i="1" s="1"/>
  <c r="T110" i="1"/>
  <c r="U110" i="1" s="1"/>
  <c r="R110" i="1"/>
  <c r="S110" i="1" s="1"/>
  <c r="T109" i="1"/>
  <c r="U109" i="1" s="1"/>
  <c r="R109" i="1"/>
  <c r="S109" i="1" s="1"/>
  <c r="T108" i="1"/>
  <c r="U108" i="1" s="1"/>
  <c r="R108" i="1"/>
  <c r="S108" i="1" s="1"/>
  <c r="T107" i="1"/>
  <c r="U107" i="1" s="1"/>
  <c r="R107" i="1"/>
  <c r="S107" i="1" s="1"/>
  <c r="T106" i="1"/>
  <c r="U106" i="1" s="1"/>
  <c r="R106" i="1"/>
  <c r="S106" i="1" s="1"/>
  <c r="T105" i="1"/>
  <c r="U105" i="1" s="1"/>
  <c r="R105" i="1"/>
  <c r="S105" i="1" s="1"/>
  <c r="T104" i="1"/>
  <c r="U104" i="1" s="1"/>
  <c r="R104" i="1"/>
  <c r="S104" i="1" s="1"/>
  <c r="T103" i="1"/>
  <c r="U103" i="1" s="1"/>
  <c r="R103" i="1"/>
  <c r="S103" i="1" s="1"/>
  <c r="T102" i="1"/>
  <c r="U102" i="1" s="1"/>
  <c r="R102" i="1"/>
  <c r="S102" i="1" s="1"/>
  <c r="T101" i="1"/>
  <c r="U101" i="1" s="1"/>
  <c r="R101" i="1"/>
  <c r="S101" i="1" s="1"/>
  <c r="T100" i="1"/>
  <c r="U100" i="1" s="1"/>
  <c r="R100" i="1"/>
  <c r="S100" i="1" s="1"/>
  <c r="T99" i="1"/>
  <c r="U99" i="1" s="1"/>
  <c r="R99" i="1"/>
  <c r="S99" i="1" s="1"/>
  <c r="T98" i="1"/>
  <c r="U98" i="1" s="1"/>
  <c r="R98" i="1"/>
  <c r="S98" i="1" s="1"/>
  <c r="T97" i="1"/>
  <c r="U97" i="1" s="1"/>
  <c r="R97" i="1"/>
  <c r="S97" i="1" s="1"/>
  <c r="T96" i="1"/>
  <c r="U96" i="1" s="1"/>
  <c r="R96" i="1"/>
  <c r="S96" i="1" s="1"/>
  <c r="T95" i="1"/>
  <c r="U95" i="1" s="1"/>
  <c r="R95" i="1"/>
  <c r="S95" i="1" s="1"/>
  <c r="T94" i="1"/>
  <c r="U94" i="1" s="1"/>
  <c r="R94" i="1"/>
  <c r="S94" i="1" s="1"/>
  <c r="T93" i="1"/>
  <c r="U93" i="1" s="1"/>
  <c r="R93" i="1"/>
  <c r="S93" i="1" s="1"/>
  <c r="T92" i="1"/>
  <c r="U92" i="1" s="1"/>
  <c r="R92" i="1"/>
  <c r="S92" i="1" s="1"/>
  <c r="T91" i="1"/>
  <c r="U91" i="1" s="1"/>
  <c r="R91" i="1"/>
  <c r="S91" i="1" s="1"/>
  <c r="T90" i="1"/>
  <c r="U90" i="1" s="1"/>
  <c r="R90" i="1"/>
  <c r="S90" i="1" s="1"/>
  <c r="T89" i="1"/>
  <c r="U89" i="1" s="1"/>
  <c r="R89" i="1"/>
  <c r="S89" i="1" s="1"/>
  <c r="T88" i="1"/>
  <c r="U88" i="1" s="1"/>
  <c r="R88" i="1"/>
  <c r="S88" i="1" s="1"/>
  <c r="T87" i="1"/>
  <c r="U87" i="1" s="1"/>
  <c r="R87" i="1"/>
  <c r="S87" i="1" s="1"/>
  <c r="T86" i="1"/>
  <c r="U86" i="1" s="1"/>
  <c r="R86" i="1"/>
  <c r="S86" i="1" s="1"/>
  <c r="T85" i="1"/>
  <c r="U85" i="1" s="1"/>
  <c r="R85" i="1"/>
  <c r="S85" i="1" s="1"/>
  <c r="T84" i="1"/>
  <c r="U84" i="1" s="1"/>
  <c r="R84" i="1"/>
  <c r="S84" i="1" s="1"/>
  <c r="T83" i="1"/>
  <c r="U83" i="1" s="1"/>
  <c r="R83" i="1"/>
  <c r="S83" i="1" s="1"/>
  <c r="T82" i="1"/>
  <c r="U82" i="1" s="1"/>
  <c r="R82" i="1"/>
  <c r="S82" i="1" s="1"/>
  <c r="T81" i="1"/>
  <c r="U81" i="1" s="1"/>
  <c r="R81" i="1"/>
  <c r="S81" i="1" s="1"/>
  <c r="T80" i="1"/>
  <c r="U80" i="1" s="1"/>
  <c r="R80" i="1"/>
  <c r="S80" i="1" s="1"/>
  <c r="T79" i="1"/>
  <c r="U79" i="1" s="1"/>
  <c r="R79" i="1"/>
  <c r="S79" i="1" s="1"/>
  <c r="T78" i="1"/>
  <c r="U78" i="1" s="1"/>
  <c r="R78" i="1"/>
  <c r="S78" i="1" s="1"/>
  <c r="T77" i="1"/>
  <c r="U77" i="1" s="1"/>
  <c r="R77" i="1"/>
  <c r="S77" i="1" s="1"/>
  <c r="T76" i="1"/>
  <c r="U76" i="1" s="1"/>
  <c r="R76" i="1"/>
  <c r="S76" i="1" s="1"/>
  <c r="T75" i="1"/>
  <c r="U75" i="1" s="1"/>
  <c r="R75" i="1"/>
  <c r="S75" i="1" s="1"/>
  <c r="T74" i="1"/>
  <c r="U74" i="1" s="1"/>
  <c r="R74" i="1"/>
  <c r="S74" i="1" s="1"/>
  <c r="T73" i="1"/>
  <c r="U73" i="1" s="1"/>
  <c r="R73" i="1"/>
  <c r="S73" i="1" s="1"/>
  <c r="T72" i="1"/>
  <c r="U72" i="1" s="1"/>
  <c r="R72" i="1"/>
  <c r="S72" i="1" s="1"/>
  <c r="T71" i="1"/>
  <c r="U71" i="1" s="1"/>
  <c r="R71" i="1"/>
  <c r="S71" i="1" s="1"/>
  <c r="T70" i="1"/>
  <c r="U70" i="1" s="1"/>
  <c r="R70" i="1"/>
  <c r="S70" i="1" s="1"/>
  <c r="T69" i="1"/>
  <c r="U69" i="1" s="1"/>
  <c r="R69" i="1"/>
  <c r="S69" i="1" s="1"/>
  <c r="T68" i="1"/>
  <c r="U68" i="1" s="1"/>
  <c r="R68" i="1"/>
  <c r="S68" i="1" s="1"/>
  <c r="T67" i="1"/>
  <c r="U67" i="1" s="1"/>
  <c r="R67" i="1"/>
  <c r="S67" i="1" s="1"/>
  <c r="T66" i="1"/>
  <c r="U66" i="1" s="1"/>
  <c r="R66" i="1"/>
  <c r="S66" i="1" s="1"/>
  <c r="T65" i="1"/>
  <c r="U65" i="1" s="1"/>
  <c r="R65" i="1"/>
  <c r="S65" i="1" s="1"/>
  <c r="T64" i="1"/>
  <c r="U64" i="1" s="1"/>
  <c r="R64" i="1"/>
  <c r="S64" i="1" s="1"/>
  <c r="T63" i="1"/>
  <c r="U63" i="1" s="1"/>
  <c r="R63" i="1"/>
  <c r="S63" i="1" s="1"/>
  <c r="T62" i="1"/>
  <c r="U62" i="1" s="1"/>
  <c r="R62" i="1"/>
  <c r="S62" i="1" s="1"/>
  <c r="T61" i="1"/>
  <c r="U61" i="1" s="1"/>
  <c r="R61" i="1"/>
  <c r="S61" i="1" s="1"/>
  <c r="T60" i="1"/>
  <c r="U60" i="1" s="1"/>
  <c r="R60" i="1"/>
  <c r="S60" i="1" s="1"/>
  <c r="T59" i="1"/>
  <c r="U59" i="1" s="1"/>
  <c r="R59" i="1"/>
  <c r="S59" i="1" s="1"/>
  <c r="T58" i="1"/>
  <c r="U58" i="1" s="1"/>
  <c r="R58" i="1"/>
  <c r="S58" i="1" s="1"/>
  <c r="T57" i="1"/>
  <c r="U57" i="1" s="1"/>
  <c r="R57" i="1"/>
  <c r="S57" i="1" s="1"/>
  <c r="T56" i="1"/>
  <c r="U56" i="1" s="1"/>
  <c r="R56" i="1"/>
  <c r="S56" i="1" s="1"/>
  <c r="T55" i="1"/>
  <c r="U55" i="1" s="1"/>
  <c r="R55" i="1"/>
  <c r="S55" i="1" s="1"/>
  <c r="T54" i="1"/>
  <c r="U54" i="1" s="1"/>
  <c r="R54" i="1"/>
  <c r="S54" i="1" s="1"/>
  <c r="T53" i="1"/>
  <c r="U53" i="1" s="1"/>
  <c r="R53" i="1"/>
  <c r="S53" i="1" s="1"/>
  <c r="T52" i="1"/>
  <c r="U52" i="1" s="1"/>
  <c r="R52" i="1"/>
  <c r="S52" i="1" s="1"/>
  <c r="T51" i="1"/>
  <c r="U51" i="1" s="1"/>
  <c r="R51" i="1"/>
  <c r="S51" i="1" s="1"/>
  <c r="T50" i="1"/>
  <c r="U50" i="1" s="1"/>
  <c r="R50" i="1"/>
  <c r="S50" i="1" s="1"/>
  <c r="T49" i="1"/>
  <c r="U49" i="1" s="1"/>
  <c r="R49" i="1"/>
  <c r="S49" i="1" s="1"/>
  <c r="T48" i="1"/>
  <c r="U48" i="1" s="1"/>
  <c r="R48" i="1"/>
  <c r="S48" i="1" s="1"/>
  <c r="T47" i="1"/>
  <c r="U47" i="1" s="1"/>
  <c r="R47" i="1"/>
  <c r="S47" i="1" s="1"/>
  <c r="T46" i="1"/>
  <c r="U46" i="1" s="1"/>
  <c r="R46" i="1"/>
  <c r="S46" i="1" s="1"/>
  <c r="T45" i="1"/>
  <c r="U45" i="1" s="1"/>
  <c r="R45" i="1"/>
  <c r="S45" i="1" s="1"/>
  <c r="T44" i="1"/>
  <c r="U44" i="1" s="1"/>
  <c r="R44" i="1"/>
  <c r="S44" i="1" s="1"/>
  <c r="T43" i="1"/>
  <c r="U43" i="1" s="1"/>
  <c r="R43" i="1"/>
  <c r="S43" i="1" s="1"/>
  <c r="T42" i="1"/>
  <c r="U42" i="1" s="1"/>
  <c r="R42" i="1"/>
  <c r="S42" i="1" s="1"/>
  <c r="T41" i="1"/>
  <c r="U41" i="1" s="1"/>
  <c r="R41" i="1"/>
  <c r="S41" i="1" s="1"/>
  <c r="T40" i="1"/>
  <c r="U40" i="1" s="1"/>
  <c r="R40" i="1"/>
  <c r="S40" i="1" s="1"/>
  <c r="T39" i="1"/>
  <c r="U39" i="1" s="1"/>
  <c r="R39" i="1"/>
  <c r="S39" i="1" s="1"/>
  <c r="T38" i="1"/>
  <c r="U38" i="1" s="1"/>
  <c r="R38" i="1"/>
  <c r="S38" i="1" s="1"/>
  <c r="T37" i="1"/>
  <c r="U37" i="1" s="1"/>
  <c r="R37" i="1"/>
  <c r="S37" i="1" s="1"/>
  <c r="T36" i="1"/>
  <c r="U36" i="1" s="1"/>
  <c r="R36" i="1"/>
  <c r="S36" i="1" s="1"/>
  <c r="T35" i="1"/>
  <c r="U35" i="1" s="1"/>
  <c r="R35" i="1"/>
  <c r="S35" i="1" s="1"/>
  <c r="T34" i="1"/>
  <c r="U34" i="1" s="1"/>
  <c r="R34" i="1"/>
  <c r="S34" i="1" s="1"/>
  <c r="T33" i="1"/>
  <c r="U33" i="1" s="1"/>
  <c r="R33" i="1"/>
  <c r="S33" i="1" s="1"/>
  <c r="T32" i="1"/>
  <c r="U32" i="1" s="1"/>
  <c r="R32" i="1"/>
  <c r="S32" i="1" s="1"/>
  <c r="T31" i="1"/>
  <c r="U31" i="1" s="1"/>
  <c r="R31" i="1"/>
  <c r="S31" i="1" s="1"/>
  <c r="T30" i="1"/>
  <c r="U30" i="1" s="1"/>
  <c r="R30" i="1"/>
  <c r="S30" i="1" s="1"/>
  <c r="T29" i="1"/>
  <c r="U29" i="1" s="1"/>
  <c r="R29" i="1"/>
  <c r="S29" i="1" s="1"/>
  <c r="T28" i="1"/>
  <c r="U28" i="1" s="1"/>
  <c r="R28" i="1"/>
  <c r="S28" i="1" s="1"/>
  <c r="T27" i="1"/>
  <c r="U27" i="1" s="1"/>
  <c r="R27" i="1"/>
  <c r="S27" i="1" s="1"/>
  <c r="T26" i="1"/>
  <c r="U26" i="1" s="1"/>
  <c r="R26" i="1"/>
  <c r="S26" i="1" s="1"/>
  <c r="T25" i="1"/>
  <c r="U25" i="1" s="1"/>
  <c r="R25" i="1"/>
  <c r="S25" i="1" s="1"/>
  <c r="T24" i="1"/>
  <c r="U24" i="1" s="1"/>
  <c r="R24" i="1"/>
  <c r="S24" i="1" s="1"/>
  <c r="T23" i="1"/>
  <c r="U23" i="1" s="1"/>
  <c r="R23" i="1"/>
  <c r="S23" i="1" s="1"/>
  <c r="T22" i="1"/>
  <c r="U22" i="1" s="1"/>
  <c r="R22" i="1"/>
  <c r="S22" i="1" s="1"/>
  <c r="T21" i="1"/>
  <c r="U21" i="1" s="1"/>
  <c r="R21" i="1"/>
  <c r="S21" i="1" s="1"/>
  <c r="T20" i="1"/>
  <c r="U20" i="1" s="1"/>
  <c r="R20" i="1"/>
  <c r="S20" i="1" s="1"/>
  <c r="T19" i="1"/>
  <c r="U19" i="1" s="1"/>
  <c r="R19" i="1"/>
  <c r="S19" i="1" s="1"/>
  <c r="T18" i="1"/>
  <c r="U18" i="1" s="1"/>
  <c r="R18" i="1"/>
  <c r="S18" i="1" s="1"/>
  <c r="N18" i="1"/>
  <c r="T17" i="1"/>
  <c r="U17" i="1" s="1"/>
  <c r="R17" i="1"/>
  <c r="S17" i="1" s="1"/>
  <c r="N17" i="1"/>
  <c r="T16" i="1"/>
  <c r="U16" i="1" s="1"/>
  <c r="W16" i="1" s="1"/>
  <c r="R16" i="1"/>
  <c r="S16" i="1" s="1"/>
  <c r="T15" i="1"/>
  <c r="U15" i="1" s="1"/>
  <c r="R15" i="1"/>
  <c r="S15" i="1" s="1"/>
  <c r="N15" i="1"/>
  <c r="M15" i="1"/>
  <c r="B15" i="1"/>
  <c r="L15" i="1" s="1"/>
  <c r="O14" i="1"/>
  <c r="F14" i="1"/>
  <c r="C14" i="1"/>
  <c r="Q8" i="1"/>
  <c r="I3" i="1"/>
  <c r="G11" i="1" l="1"/>
  <c r="I15" i="1"/>
  <c r="G15" i="1"/>
  <c r="M229" i="1"/>
  <c r="E15" i="1"/>
  <c r="F15" i="1"/>
  <c r="A14" i="1"/>
  <c r="V15" i="1"/>
  <c r="B16" i="1"/>
  <c r="L3" i="1"/>
  <c r="W15" i="1"/>
  <c r="C12" i="2"/>
  <c r="N231" i="2"/>
  <c r="O231" i="2" s="1"/>
  <c r="P231" i="2" s="1"/>
  <c r="H12" i="2"/>
  <c r="G12" i="2"/>
  <c r="N226" i="2"/>
  <c r="L12" i="2"/>
  <c r="N16" i="2" s="1"/>
  <c r="I12" i="2"/>
  <c r="V12" i="2" s="1"/>
  <c r="M234" i="1"/>
  <c r="M232" i="1"/>
  <c r="N233" i="1"/>
  <c r="O233" i="1" s="1"/>
  <c r="P233" i="1" s="1"/>
  <c r="M231" i="1"/>
  <c r="O229" i="1"/>
  <c r="P229" i="1" s="1"/>
  <c r="O232" i="1"/>
  <c r="P232" i="1" s="1"/>
  <c r="N228" i="2"/>
  <c r="O228" i="2" s="1"/>
  <c r="P228" i="2" s="1"/>
  <c r="M229" i="2"/>
  <c r="O227" i="2"/>
  <c r="P227" i="2" s="1"/>
  <c r="O229" i="2"/>
  <c r="P229" i="2" s="1"/>
  <c r="B14" i="2"/>
  <c r="G13" i="2"/>
  <c r="O226" i="2"/>
  <c r="P226" i="2" s="1"/>
  <c r="N225" i="2"/>
  <c r="O225" i="2" s="1"/>
  <c r="P225" i="2" s="1"/>
  <c r="N230" i="2"/>
  <c r="O230" i="2" s="1"/>
  <c r="P230" i="2" s="1"/>
  <c r="N232" i="2"/>
  <c r="O232" i="2" s="1"/>
  <c r="P232" i="2" s="1"/>
  <c r="M227" i="2"/>
  <c r="P14" i="1"/>
  <c r="O234" i="1"/>
  <c r="P234" i="1" s="1"/>
  <c r="J228" i="1"/>
  <c r="K228" i="1" s="1"/>
  <c r="N235" i="1"/>
  <c r="O235" i="1" s="1"/>
  <c r="P235" i="1" s="1"/>
  <c r="M235" i="1"/>
  <c r="N228" i="1"/>
  <c r="M228" i="1"/>
  <c r="N230" i="1"/>
  <c r="O230" i="1" s="1"/>
  <c r="P230" i="1" s="1"/>
  <c r="M230" i="1"/>
  <c r="O231" i="1"/>
  <c r="P231" i="1" s="1"/>
  <c r="F12" i="1" l="1"/>
  <c r="E12" i="1" s="1"/>
  <c r="J5" i="1"/>
  <c r="A11" i="1"/>
  <c r="B17" i="1"/>
  <c r="G16" i="1"/>
  <c r="N19" i="1"/>
  <c r="M19" i="1"/>
  <c r="J12" i="2"/>
  <c r="K12" i="2" s="1"/>
  <c r="O12" i="2" s="1"/>
  <c r="P12" i="2" s="1"/>
  <c r="M16" i="2"/>
  <c r="O228" i="1"/>
  <c r="P228" i="1" s="1"/>
  <c r="G14" i="2"/>
  <c r="B15" i="2"/>
  <c r="E16" i="1"/>
  <c r="F16" i="1" s="1"/>
  <c r="I11" i="1" l="1"/>
  <c r="G12" i="1"/>
  <c r="D15" i="1" a="1"/>
  <c r="D15" i="1" s="1"/>
  <c r="E11" i="1"/>
  <c r="G17" i="1"/>
  <c r="B18" i="1"/>
  <c r="D12" i="2" a="1"/>
  <c r="D12" i="2" s="1"/>
  <c r="B16" i="2"/>
  <c r="G15" i="2"/>
  <c r="E17" i="1"/>
  <c r="F17" i="1" s="1"/>
  <c r="I16" i="1" l="1"/>
  <c r="L16" i="1"/>
  <c r="H13" i="2"/>
  <c r="E13" i="2"/>
  <c r="B19" i="1"/>
  <c r="G18" i="1"/>
  <c r="L13" i="2"/>
  <c r="N17" i="2" s="1"/>
  <c r="I13" i="2"/>
  <c r="J13" i="2" s="1"/>
  <c r="W13" i="2"/>
  <c r="X13" i="2" s="1"/>
  <c r="C13" i="2"/>
  <c r="A12" i="2"/>
  <c r="O15" i="1"/>
  <c r="P15" i="1" s="1"/>
  <c r="K13" i="2"/>
  <c r="G16" i="2"/>
  <c r="B17" i="2"/>
  <c r="E18" i="1"/>
  <c r="F18" i="1" s="1"/>
  <c r="N20" i="1" l="1"/>
  <c r="D12" i="1"/>
  <c r="A15" i="1"/>
  <c r="L4" i="1"/>
  <c r="K8" i="1"/>
  <c r="N16" i="1" s="1"/>
  <c r="C16" i="1" s="1"/>
  <c r="M17" i="2"/>
  <c r="O13" i="2"/>
  <c r="P13" i="2" s="1"/>
  <c r="B20" i="1"/>
  <c r="G19" i="1"/>
  <c r="D13" i="2" a="1"/>
  <c r="D13" i="2" s="1"/>
  <c r="M20" i="1"/>
  <c r="G17" i="2"/>
  <c r="B18" i="2"/>
  <c r="E19" i="1"/>
  <c r="F19" i="1" s="1"/>
  <c r="I14" i="2" l="1"/>
  <c r="E14" i="2"/>
  <c r="F14" i="2" s="1"/>
  <c r="B21" i="1"/>
  <c r="G20" i="1"/>
  <c r="A13" i="2"/>
  <c r="W14" i="2"/>
  <c r="X14" i="2" s="1"/>
  <c r="H14" i="2"/>
  <c r="J14" i="2" s="1"/>
  <c r="L14" i="2"/>
  <c r="M18" i="2" s="1"/>
  <c r="C14" i="2"/>
  <c r="G18" i="2"/>
  <c r="B19" i="2"/>
  <c r="E20" i="1"/>
  <c r="F20" i="1" s="1"/>
  <c r="H16" i="1" l="1"/>
  <c r="J16" i="1" s="1"/>
  <c r="K16" i="1" s="1"/>
  <c r="B22" i="1"/>
  <c r="G21" i="1"/>
  <c r="K14" i="2"/>
  <c r="O14" i="2" s="1"/>
  <c r="P14" i="2" s="1"/>
  <c r="N18" i="2"/>
  <c r="G19" i="2"/>
  <c r="B20" i="2"/>
  <c r="E21" i="1"/>
  <c r="F21" i="1" s="1"/>
  <c r="G22" i="1" l="1"/>
  <c r="B23" i="1"/>
  <c r="D14" i="2" a="1"/>
  <c r="D14" i="2" s="1"/>
  <c r="B21" i="2"/>
  <c r="G20" i="2"/>
  <c r="E22" i="1"/>
  <c r="F22" i="1" s="1"/>
  <c r="W15" i="2" l="1"/>
  <c r="X15" i="2" s="1"/>
  <c r="E15" i="2"/>
  <c r="F15" i="2" s="1"/>
  <c r="G23" i="1"/>
  <c r="B24" i="1"/>
  <c r="C15" i="2"/>
  <c r="H15" i="2"/>
  <c r="A14" i="2"/>
  <c r="L15" i="2"/>
  <c r="M19" i="2" s="1"/>
  <c r="I15" i="2"/>
  <c r="B22" i="2"/>
  <c r="G21" i="2"/>
  <c r="E23" i="1"/>
  <c r="F23" i="1" s="1"/>
  <c r="J15" i="2" l="1"/>
  <c r="K15" i="2" s="1"/>
  <c r="O15" i="2" s="1"/>
  <c r="P15" i="2" s="1"/>
  <c r="B25" i="1"/>
  <c r="G24" i="1"/>
  <c r="N19" i="2"/>
  <c r="G22" i="2"/>
  <c r="B23" i="2"/>
  <c r="E24" i="1"/>
  <c r="F24" i="1" s="1"/>
  <c r="D15" i="2" l="1" a="1"/>
  <c r="D15" i="2" s="1"/>
  <c r="B26" i="1"/>
  <c r="G25" i="1"/>
  <c r="B24" i="2"/>
  <c r="G23" i="2"/>
  <c r="E25" i="1"/>
  <c r="F25" i="1" s="1"/>
  <c r="W16" i="2" l="1"/>
  <c r="X16" i="2" s="1"/>
  <c r="F16" i="2"/>
  <c r="I16" i="2"/>
  <c r="L16" i="2"/>
  <c r="N20" i="2" s="1"/>
  <c r="C16" i="2"/>
  <c r="H16" i="2"/>
  <c r="A15" i="2"/>
  <c r="B27" i="1"/>
  <c r="G26" i="1"/>
  <c r="J16" i="2"/>
  <c r="K16" i="2" s="1"/>
  <c r="B25" i="2"/>
  <c r="G24" i="2"/>
  <c r="E26" i="1"/>
  <c r="F26" i="1" s="1"/>
  <c r="M20" i="2" l="1"/>
  <c r="O16" i="2"/>
  <c r="P16" i="2" s="1"/>
  <c r="B28" i="1"/>
  <c r="G27" i="1"/>
  <c r="D16" i="2" a="1"/>
  <c r="D16" i="2" s="1"/>
  <c r="B26" i="2"/>
  <c r="G25" i="2"/>
  <c r="E27" i="1"/>
  <c r="F27" i="1" s="1"/>
  <c r="H17" i="2" l="1"/>
  <c r="E17" i="2"/>
  <c r="F17" i="2" s="1"/>
  <c r="B29" i="1"/>
  <c r="G28" i="1"/>
  <c r="C17" i="2"/>
  <c r="W17" i="2"/>
  <c r="X17" i="2" s="1"/>
  <c r="A16" i="2"/>
  <c r="L17" i="2"/>
  <c r="M21" i="2" s="1"/>
  <c r="I17" i="2"/>
  <c r="J17" i="2" s="1"/>
  <c r="K17" i="2" s="1"/>
  <c r="G26" i="2"/>
  <c r="B27" i="2"/>
  <c r="E28" i="1"/>
  <c r="F28" i="1" s="1"/>
  <c r="O17" i="2" l="1"/>
  <c r="P17" i="2" s="1"/>
  <c r="G29" i="1"/>
  <c r="B30" i="1"/>
  <c r="N21" i="2"/>
  <c r="D17" i="2" a="1"/>
  <c r="D17" i="2" s="1"/>
  <c r="B28" i="2"/>
  <c r="G27" i="2"/>
  <c r="E29" i="1"/>
  <c r="F29" i="1" s="1"/>
  <c r="W18" i="2" l="1"/>
  <c r="X18" i="2" s="1"/>
  <c r="E18" i="2"/>
  <c r="F18" i="2" s="1"/>
  <c r="G30" i="1"/>
  <c r="B31" i="1"/>
  <c r="A17" i="2"/>
  <c r="C18" i="2"/>
  <c r="L18" i="2"/>
  <c r="H18" i="2"/>
  <c r="I18" i="2"/>
  <c r="B29" i="2"/>
  <c r="G28" i="2"/>
  <c r="E30" i="1"/>
  <c r="F30" i="1" s="1"/>
  <c r="G31" i="1" l="1"/>
  <c r="B32" i="1"/>
  <c r="J18" i="2"/>
  <c r="K18" i="2" s="1"/>
  <c r="O18" i="2" s="1"/>
  <c r="P18" i="2" s="1"/>
  <c r="M22" i="2"/>
  <c r="N22" i="2"/>
  <c r="G29" i="2"/>
  <c r="B30" i="2"/>
  <c r="E31" i="1"/>
  <c r="F31" i="1" s="1"/>
  <c r="G32" i="1" l="1"/>
  <c r="B33" i="1"/>
  <c r="D18" i="2" a="1"/>
  <c r="D18" i="2" s="1"/>
  <c r="B31" i="2"/>
  <c r="G30" i="2"/>
  <c r="E32" i="1"/>
  <c r="F32" i="1" s="1"/>
  <c r="W19" i="2" l="1"/>
  <c r="X19" i="2" s="1"/>
  <c r="E19" i="2"/>
  <c r="F19" i="2" s="1"/>
  <c r="G33" i="1"/>
  <c r="B34" i="1"/>
  <c r="H19" i="2"/>
  <c r="C19" i="2"/>
  <c r="L19" i="2"/>
  <c r="I19" i="2"/>
  <c r="A18" i="2"/>
  <c r="B32" i="2"/>
  <c r="G31" i="2"/>
  <c r="E33" i="1"/>
  <c r="F33" i="1" s="1"/>
  <c r="B35" i="1" l="1"/>
  <c r="G34" i="1"/>
  <c r="N23" i="2"/>
  <c r="M23" i="2"/>
  <c r="J19" i="2"/>
  <c r="G32" i="2"/>
  <c r="B33" i="2"/>
  <c r="E34" i="1"/>
  <c r="F34" i="1" s="1"/>
  <c r="B36" i="1" l="1"/>
  <c r="G35" i="1"/>
  <c r="K19" i="2"/>
  <c r="O19" i="2" s="1"/>
  <c r="P19" i="2" s="1"/>
  <c r="G33" i="2"/>
  <c r="B34" i="2"/>
  <c r="E35" i="1"/>
  <c r="F35" i="1" s="1"/>
  <c r="G36" i="1" l="1"/>
  <c r="B37" i="1"/>
  <c r="D19" i="2" a="1"/>
  <c r="D19" i="2" s="1"/>
  <c r="E20" i="2" s="1"/>
  <c r="F20" i="2" s="1"/>
  <c r="B35" i="2"/>
  <c r="G34" i="2"/>
  <c r="E36" i="1"/>
  <c r="F36" i="1" s="1"/>
  <c r="B38" i="1" l="1"/>
  <c r="G37" i="1"/>
  <c r="A19" i="2"/>
  <c r="W20" i="2"/>
  <c r="X20" i="2" s="1"/>
  <c r="C20" i="2"/>
  <c r="H20" i="2"/>
  <c r="I20" i="2"/>
  <c r="L20" i="2"/>
  <c r="N24" i="2" s="1"/>
  <c r="G35" i="2"/>
  <c r="B36" i="2"/>
  <c r="E37" i="1"/>
  <c r="F37" i="1" s="1"/>
  <c r="G38" i="1" l="1"/>
  <c r="B39" i="1"/>
  <c r="M24" i="2"/>
  <c r="J20" i="2"/>
  <c r="K20" i="2" s="1"/>
  <c r="O20" i="2" s="1"/>
  <c r="P20" i="2" s="1"/>
  <c r="G36" i="2"/>
  <c r="B37" i="2"/>
  <c r="E38" i="1"/>
  <c r="F38" i="1" s="1"/>
  <c r="D20" i="2" l="1" a="1"/>
  <c r="D20" i="2" s="1"/>
  <c r="B40" i="1"/>
  <c r="G39" i="1"/>
  <c r="H21" i="2"/>
  <c r="G37" i="2"/>
  <c r="F37" i="2"/>
  <c r="B38" i="2"/>
  <c r="E37" i="2"/>
  <c r="E39" i="1"/>
  <c r="F39" i="1" s="1"/>
  <c r="W21" i="2" l="1"/>
  <c r="X21" i="2" s="1"/>
  <c r="E21" i="2"/>
  <c r="F21" i="2" s="1"/>
  <c r="I21" i="2"/>
  <c r="C21" i="2"/>
  <c r="L21" i="2"/>
  <c r="M25" i="2" s="1"/>
  <c r="J21" i="2"/>
  <c r="K21" i="2" s="1"/>
  <c r="A20" i="2"/>
  <c r="G40" i="1"/>
  <c r="F40" i="1"/>
  <c r="E40" i="1"/>
  <c r="B41" i="1"/>
  <c r="B39" i="2"/>
  <c r="G38" i="2"/>
  <c r="F38" i="2"/>
  <c r="E38" i="2"/>
  <c r="N25" i="2" l="1"/>
  <c r="F41" i="1"/>
  <c r="E41" i="1"/>
  <c r="B42" i="1"/>
  <c r="G41" i="1"/>
  <c r="O21" i="2"/>
  <c r="P21" i="2" s="1"/>
  <c r="D21" i="2" a="1"/>
  <c r="D21" i="2" s="1"/>
  <c r="E39" i="2"/>
  <c r="G39" i="2"/>
  <c r="F39" i="2"/>
  <c r="B40" i="2"/>
  <c r="W22" i="2" l="1"/>
  <c r="X22" i="2" s="1"/>
  <c r="E22" i="2"/>
  <c r="F22" i="2" s="1"/>
  <c r="E42" i="1"/>
  <c r="B43" i="1"/>
  <c r="G42" i="1"/>
  <c r="F42" i="1"/>
  <c r="L22" i="2"/>
  <c r="I22" i="2"/>
  <c r="H22" i="2"/>
  <c r="C22" i="2"/>
  <c r="A21" i="2"/>
  <c r="G40" i="2"/>
  <c r="B41" i="2"/>
  <c r="F40" i="2"/>
  <c r="E40" i="2"/>
  <c r="G43" i="1" l="1"/>
  <c r="E43" i="1"/>
  <c r="B44" i="1"/>
  <c r="F43" i="1"/>
  <c r="J22" i="2"/>
  <c r="K22" i="2"/>
  <c r="O22" i="2" s="1"/>
  <c r="P22" i="2" s="1"/>
  <c r="M26" i="2"/>
  <c r="N26" i="2"/>
  <c r="B42" i="2"/>
  <c r="G41" i="2"/>
  <c r="F41" i="2"/>
  <c r="E41" i="2"/>
  <c r="E44" i="1" l="1"/>
  <c r="B45" i="1"/>
  <c r="F44" i="1"/>
  <c r="G44" i="1"/>
  <c r="D22" i="2" a="1"/>
  <c r="D22" i="2" s="1"/>
  <c r="G42" i="2"/>
  <c r="E42" i="2"/>
  <c r="B43" i="2"/>
  <c r="F42" i="2"/>
  <c r="W23" i="2" l="1"/>
  <c r="X23" i="2" s="1"/>
  <c r="E23" i="2"/>
  <c r="F23" i="2" s="1"/>
  <c r="F45" i="1"/>
  <c r="E45" i="1"/>
  <c r="B46" i="1"/>
  <c r="G45" i="1"/>
  <c r="H23" i="2"/>
  <c r="A22" i="2"/>
  <c r="C23" i="2"/>
  <c r="I23" i="2"/>
  <c r="L23" i="2"/>
  <c r="F43" i="2"/>
  <c r="E43" i="2"/>
  <c r="G43" i="2"/>
  <c r="B44" i="2"/>
  <c r="F46" i="1" l="1"/>
  <c r="E46" i="1"/>
  <c r="G46" i="1"/>
  <c r="B47" i="1"/>
  <c r="M27" i="2"/>
  <c r="N27" i="2"/>
  <c r="J23" i="2"/>
  <c r="F44" i="2"/>
  <c r="B45" i="2"/>
  <c r="E44" i="2"/>
  <c r="G44" i="2"/>
  <c r="E47" i="1" l="1"/>
  <c r="F47" i="1"/>
  <c r="G47" i="1"/>
  <c r="B48" i="1"/>
  <c r="K23" i="2"/>
  <c r="O23" i="2" s="1"/>
  <c r="P23" i="2" s="1"/>
  <c r="B46" i="2"/>
  <c r="G45" i="2"/>
  <c r="F45" i="2"/>
  <c r="E45" i="2"/>
  <c r="F48" i="1" l="1"/>
  <c r="E48" i="1"/>
  <c r="B49" i="1"/>
  <c r="G48" i="1"/>
  <c r="D23" i="2" a="1"/>
  <c r="D23" i="2" s="1"/>
  <c r="E46" i="2"/>
  <c r="F46" i="2"/>
  <c r="B47" i="2"/>
  <c r="G46" i="2"/>
  <c r="W24" i="2" l="1"/>
  <c r="X24" i="2" s="1"/>
  <c r="E24" i="2"/>
  <c r="F24" i="2" s="1"/>
  <c r="E49" i="1"/>
  <c r="B50" i="1"/>
  <c r="F49" i="1"/>
  <c r="G49" i="1"/>
  <c r="H24" i="2"/>
  <c r="L24" i="2"/>
  <c r="C24" i="2"/>
  <c r="A23" i="2"/>
  <c r="I24" i="2"/>
  <c r="E47" i="2"/>
  <c r="G47" i="2"/>
  <c r="B48" i="2"/>
  <c r="F47" i="2"/>
  <c r="F50" i="1" l="1"/>
  <c r="E50" i="1"/>
  <c r="G50" i="1"/>
  <c r="B51" i="1"/>
  <c r="J24" i="2"/>
  <c r="K24" i="2" s="1"/>
  <c r="O24" i="2" s="1"/>
  <c r="P24" i="2" s="1"/>
  <c r="N28" i="2"/>
  <c r="M28" i="2"/>
  <c r="B49" i="2"/>
  <c r="G48" i="2"/>
  <c r="F48" i="2"/>
  <c r="E48" i="2"/>
  <c r="F51" i="1" l="1"/>
  <c r="B52" i="1"/>
  <c r="E51" i="1"/>
  <c r="G51" i="1"/>
  <c r="D24" i="2" a="1"/>
  <c r="D24" i="2" s="1"/>
  <c r="G49" i="2"/>
  <c r="F49" i="2"/>
  <c r="E49" i="2"/>
  <c r="B50" i="2"/>
  <c r="W25" i="2" l="1"/>
  <c r="X25" i="2" s="1"/>
  <c r="E25" i="2"/>
  <c r="F25" i="2" s="1"/>
  <c r="G52" i="1"/>
  <c r="B53" i="1"/>
  <c r="E52" i="1"/>
  <c r="F52" i="1"/>
  <c r="A24" i="2"/>
  <c r="I25" i="2"/>
  <c r="L25" i="2"/>
  <c r="M29" i="2" s="1"/>
  <c r="C25" i="2"/>
  <c r="H25" i="2"/>
  <c r="J25" i="2" s="1"/>
  <c r="F50" i="2"/>
  <c r="E50" i="2"/>
  <c r="B51" i="2"/>
  <c r="G50" i="2"/>
  <c r="N29" i="2" l="1"/>
  <c r="F53" i="1"/>
  <c r="E53" i="1"/>
  <c r="B54" i="1"/>
  <c r="G53" i="1"/>
  <c r="K25" i="2"/>
  <c r="O25" i="2" s="1"/>
  <c r="P25" i="2" s="1"/>
  <c r="G51" i="2"/>
  <c r="E51" i="2"/>
  <c r="F51" i="2"/>
  <c r="B52" i="2"/>
  <c r="E54" i="1" l="1"/>
  <c r="B55" i="1"/>
  <c r="F54" i="1"/>
  <c r="G54" i="1"/>
  <c r="D25" i="2" a="1"/>
  <c r="D25" i="2" s="1"/>
  <c r="B53" i="2"/>
  <c r="G52" i="2"/>
  <c r="F52" i="2"/>
  <c r="E52" i="2"/>
  <c r="W26" i="2" l="1"/>
  <c r="X26" i="2" s="1"/>
  <c r="E26" i="2"/>
  <c r="F26" i="2" s="1"/>
  <c r="F55" i="1"/>
  <c r="B56" i="1"/>
  <c r="E55" i="1"/>
  <c r="G55" i="1"/>
  <c r="H26" i="2"/>
  <c r="C26" i="2"/>
  <c r="I26" i="2"/>
  <c r="A25" i="2"/>
  <c r="L26" i="2"/>
  <c r="E53" i="2"/>
  <c r="F53" i="2"/>
  <c r="B54" i="2"/>
  <c r="G53" i="2"/>
  <c r="E56" i="1" l="1"/>
  <c r="G56" i="1"/>
  <c r="F56" i="1"/>
  <c r="B57" i="1"/>
  <c r="M30" i="2"/>
  <c r="N30" i="2"/>
  <c r="J26" i="2"/>
  <c r="K26" i="2" s="1"/>
  <c r="O26" i="2" s="1"/>
  <c r="P26" i="2" s="1"/>
  <c r="G54" i="2"/>
  <c r="F54" i="2"/>
  <c r="B55" i="2"/>
  <c r="E54" i="2"/>
  <c r="B58" i="1" l="1"/>
  <c r="E57" i="1"/>
  <c r="G57" i="1"/>
  <c r="F57" i="1"/>
  <c r="D26" i="2" a="1"/>
  <c r="D26" i="2" s="1"/>
  <c r="B56" i="2"/>
  <c r="G55" i="2"/>
  <c r="F55" i="2"/>
  <c r="E55" i="2"/>
  <c r="W27" i="2" l="1"/>
  <c r="X27" i="2" s="1"/>
  <c r="E27" i="2"/>
  <c r="F27" i="2" s="1"/>
  <c r="F58" i="1"/>
  <c r="G58" i="1"/>
  <c r="B59" i="1"/>
  <c r="E58" i="1"/>
  <c r="C27" i="2"/>
  <c r="L27" i="2"/>
  <c r="I27" i="2"/>
  <c r="A26" i="2"/>
  <c r="H27" i="2"/>
  <c r="F56" i="2"/>
  <c r="G56" i="2"/>
  <c r="E56" i="2"/>
  <c r="B57" i="2"/>
  <c r="E59" i="1" l="1"/>
  <c r="G59" i="1"/>
  <c r="F59" i="1"/>
  <c r="B60" i="1"/>
  <c r="J27" i="2"/>
  <c r="K27" i="2" s="1"/>
  <c r="O27" i="2" s="1"/>
  <c r="P27" i="2" s="1"/>
  <c r="N31" i="2"/>
  <c r="M31" i="2"/>
  <c r="F57" i="2"/>
  <c r="E57" i="2"/>
  <c r="B58" i="2"/>
  <c r="G57" i="2"/>
  <c r="E60" i="1" l="1"/>
  <c r="F60" i="1"/>
  <c r="B61" i="1"/>
  <c r="G60" i="1"/>
  <c r="D27" i="2" a="1"/>
  <c r="D27" i="2" s="1"/>
  <c r="E58" i="2"/>
  <c r="B59" i="2"/>
  <c r="G58" i="2"/>
  <c r="F58" i="2"/>
  <c r="W28" i="2" l="1"/>
  <c r="X28" i="2" s="1"/>
  <c r="E28" i="2"/>
  <c r="F28" i="2" s="1"/>
  <c r="B62" i="1"/>
  <c r="G61" i="1"/>
  <c r="E61" i="1"/>
  <c r="F61" i="1"/>
  <c r="A27" i="2"/>
  <c r="H28" i="2"/>
  <c r="C28" i="2"/>
  <c r="I28" i="2"/>
  <c r="L28" i="2"/>
  <c r="B60" i="2"/>
  <c r="G59" i="2"/>
  <c r="E59" i="2"/>
  <c r="F59" i="2"/>
  <c r="F62" i="1" l="1"/>
  <c r="E62" i="1"/>
  <c r="G62" i="1"/>
  <c r="B63" i="1"/>
  <c r="J28" i="2"/>
  <c r="M32" i="2"/>
  <c r="N32" i="2"/>
  <c r="E60" i="2"/>
  <c r="B61" i="2"/>
  <c r="G60" i="2"/>
  <c r="F60" i="2"/>
  <c r="G63" i="1" l="1"/>
  <c r="B64" i="1"/>
  <c r="E63" i="1"/>
  <c r="F63" i="1"/>
  <c r="K28" i="2"/>
  <c r="O28" i="2" s="1"/>
  <c r="P28" i="2" s="1"/>
  <c r="F61" i="2"/>
  <c r="G61" i="2"/>
  <c r="B62" i="2"/>
  <c r="E61" i="2"/>
  <c r="G64" i="1" l="1"/>
  <c r="B65" i="1"/>
  <c r="F64" i="1"/>
  <c r="E64" i="1"/>
  <c r="D28" i="2" a="1"/>
  <c r="D28" i="2" s="1"/>
  <c r="B63" i="2"/>
  <c r="G62" i="2"/>
  <c r="F62" i="2"/>
  <c r="E62" i="2"/>
  <c r="W29" i="2" l="1"/>
  <c r="X29" i="2" s="1"/>
  <c r="E29" i="2"/>
  <c r="F29" i="2" s="1"/>
  <c r="B66" i="1"/>
  <c r="G65" i="1"/>
  <c r="E65" i="1"/>
  <c r="F65" i="1"/>
  <c r="A28" i="2"/>
  <c r="L29" i="2"/>
  <c r="H29" i="2"/>
  <c r="C29" i="2"/>
  <c r="I29" i="2"/>
  <c r="F63" i="2"/>
  <c r="G63" i="2"/>
  <c r="B64" i="2"/>
  <c r="E63" i="2"/>
  <c r="E66" i="1" l="1"/>
  <c r="B67" i="1"/>
  <c r="F66" i="1"/>
  <c r="G66" i="1"/>
  <c r="J29" i="2"/>
  <c r="K29" i="2" s="1"/>
  <c r="M33" i="2"/>
  <c r="N33" i="2"/>
  <c r="F64" i="2"/>
  <c r="E64" i="2"/>
  <c r="G64" i="2"/>
  <c r="B65" i="2"/>
  <c r="G67" i="1" l="1"/>
  <c r="B68" i="1"/>
  <c r="F67" i="1"/>
  <c r="E67" i="1"/>
  <c r="O29" i="2"/>
  <c r="P29" i="2" s="1"/>
  <c r="D29" i="2" a="1"/>
  <c r="D29" i="2" s="1"/>
  <c r="E65" i="2"/>
  <c r="G65" i="2"/>
  <c r="F65" i="2"/>
  <c r="B66" i="2"/>
  <c r="W30" i="2" l="1"/>
  <c r="X30" i="2" s="1"/>
  <c r="E30" i="2"/>
  <c r="F30" i="2" s="1"/>
  <c r="B69" i="1"/>
  <c r="F68" i="1"/>
  <c r="G68" i="1"/>
  <c r="E68" i="1"/>
  <c r="A29" i="2"/>
  <c r="H30" i="2"/>
  <c r="C30" i="2"/>
  <c r="I30" i="2"/>
  <c r="L30" i="2"/>
  <c r="B67" i="2"/>
  <c r="G66" i="2"/>
  <c r="F66" i="2"/>
  <c r="E66" i="2"/>
  <c r="F69" i="1" l="1"/>
  <c r="E69" i="1"/>
  <c r="G69" i="1"/>
  <c r="B70" i="1"/>
  <c r="M34" i="2"/>
  <c r="N34" i="2"/>
  <c r="J30" i="2"/>
  <c r="E67" i="2"/>
  <c r="B68" i="2"/>
  <c r="G67" i="2"/>
  <c r="F67" i="2"/>
  <c r="G70" i="1" l="1"/>
  <c r="B71" i="1"/>
  <c r="F70" i="1"/>
  <c r="E70" i="1"/>
  <c r="K30" i="2"/>
  <c r="O30" i="2" s="1"/>
  <c r="P30" i="2" s="1"/>
  <c r="F68" i="2"/>
  <c r="E68" i="2"/>
  <c r="B69" i="2"/>
  <c r="G68" i="2"/>
  <c r="G71" i="1" l="1"/>
  <c r="F71" i="1"/>
  <c r="B72" i="1"/>
  <c r="E71" i="1"/>
  <c r="D30" i="2" a="1"/>
  <c r="D30" i="2" s="1"/>
  <c r="B70" i="2"/>
  <c r="G69" i="2"/>
  <c r="F69" i="2"/>
  <c r="E69" i="2"/>
  <c r="W31" i="2" l="1"/>
  <c r="X31" i="2" s="1"/>
  <c r="E31" i="2"/>
  <c r="F31" i="2" s="1"/>
  <c r="G72" i="1"/>
  <c r="F72" i="1"/>
  <c r="E72" i="1"/>
  <c r="B73" i="1"/>
  <c r="A30" i="2"/>
  <c r="C31" i="2"/>
  <c r="H31" i="2"/>
  <c r="I31" i="2"/>
  <c r="L31" i="2"/>
  <c r="G70" i="2"/>
  <c r="F70" i="2"/>
  <c r="E70" i="2"/>
  <c r="B71" i="2"/>
  <c r="B74" i="1" l="1"/>
  <c r="F73" i="1"/>
  <c r="E73" i="1"/>
  <c r="G73" i="1"/>
  <c r="M35" i="2"/>
  <c r="N35" i="2"/>
  <c r="J31" i="2"/>
  <c r="B72" i="2"/>
  <c r="E71" i="2"/>
  <c r="G71" i="2"/>
  <c r="F71" i="2"/>
  <c r="E74" i="1" l="1"/>
  <c r="G74" i="1"/>
  <c r="B75" i="1"/>
  <c r="F74" i="1"/>
  <c r="K31" i="2"/>
  <c r="O31" i="2" s="1"/>
  <c r="P31" i="2" s="1"/>
  <c r="B73" i="2"/>
  <c r="F72" i="2"/>
  <c r="E72" i="2"/>
  <c r="G72" i="2"/>
  <c r="G75" i="1" l="1"/>
  <c r="F75" i="1"/>
  <c r="E75" i="1"/>
  <c r="B76" i="1"/>
  <c r="D31" i="2" a="1"/>
  <c r="D31" i="2" s="1"/>
  <c r="E32" i="2" s="1"/>
  <c r="F32" i="2" s="1"/>
  <c r="G73" i="2"/>
  <c r="F73" i="2"/>
  <c r="E73" i="2"/>
  <c r="B74" i="2"/>
  <c r="E76" i="1" l="1"/>
  <c r="B77" i="1"/>
  <c r="F76" i="1"/>
  <c r="G76" i="1"/>
  <c r="H32" i="2"/>
  <c r="J32" i="2" s="1"/>
  <c r="W32" i="2"/>
  <c r="X32" i="2" s="1"/>
  <c r="L32" i="2"/>
  <c r="M36" i="2" s="1"/>
  <c r="A31" i="2"/>
  <c r="C32" i="2"/>
  <c r="I32" i="2"/>
  <c r="F74" i="2"/>
  <c r="E74" i="2"/>
  <c r="B75" i="2"/>
  <c r="G74" i="2"/>
  <c r="N36" i="2" l="1"/>
  <c r="B78" i="1"/>
  <c r="F77" i="1"/>
  <c r="E77" i="1"/>
  <c r="G77" i="1"/>
  <c r="K32" i="2"/>
  <c r="O32" i="2" s="1"/>
  <c r="P32" i="2" s="1"/>
  <c r="B76" i="2"/>
  <c r="E75" i="2"/>
  <c r="G75" i="2"/>
  <c r="F75" i="2"/>
  <c r="F78" i="1" l="1"/>
  <c r="G78" i="1"/>
  <c r="E78" i="1"/>
  <c r="B79" i="1"/>
  <c r="D32" i="2" a="1"/>
  <c r="D32" i="2" s="1"/>
  <c r="B77" i="2"/>
  <c r="G76" i="2"/>
  <c r="F76" i="2"/>
  <c r="E76" i="2"/>
  <c r="W33" i="2" l="1"/>
  <c r="X33" i="2" s="1"/>
  <c r="E33" i="2"/>
  <c r="F33" i="2" s="1"/>
  <c r="B80" i="1"/>
  <c r="F79" i="1"/>
  <c r="G79" i="1"/>
  <c r="E79" i="1"/>
  <c r="H33" i="2"/>
  <c r="L33" i="2"/>
  <c r="A32" i="2"/>
  <c r="C33" i="2"/>
  <c r="I33" i="2"/>
  <c r="E77" i="2"/>
  <c r="F77" i="2"/>
  <c r="G77" i="2"/>
  <c r="B78" i="2"/>
  <c r="E80" i="1" l="1"/>
  <c r="G80" i="1"/>
  <c r="B81" i="1"/>
  <c r="F80" i="1"/>
  <c r="M37" i="2"/>
  <c r="N37" i="2"/>
  <c r="J33" i="2"/>
  <c r="G78" i="2"/>
  <c r="B79" i="2"/>
  <c r="F78" i="2"/>
  <c r="E78" i="2"/>
  <c r="B82" i="1" l="1"/>
  <c r="G81" i="1"/>
  <c r="F81" i="1"/>
  <c r="E81" i="1"/>
  <c r="K33" i="2"/>
  <c r="O33" i="2" s="1"/>
  <c r="P33" i="2" s="1"/>
  <c r="B80" i="2"/>
  <c r="G79" i="2"/>
  <c r="F79" i="2"/>
  <c r="E79" i="2"/>
  <c r="F82" i="1" l="1"/>
  <c r="E82" i="1"/>
  <c r="B83" i="1"/>
  <c r="G82" i="1"/>
  <c r="D33" i="2" a="1"/>
  <c r="D33" i="2" s="1"/>
  <c r="G80" i="2"/>
  <c r="B81" i="2"/>
  <c r="E80" i="2"/>
  <c r="F80" i="2"/>
  <c r="W34" i="2" l="1"/>
  <c r="X34" i="2" s="1"/>
  <c r="E34" i="2"/>
  <c r="F34" i="2" s="1"/>
  <c r="F83" i="1"/>
  <c r="B84" i="1"/>
  <c r="G83" i="1"/>
  <c r="E83" i="1"/>
  <c r="I34" i="2"/>
  <c r="H34" i="2"/>
  <c r="J34" i="2" s="1"/>
  <c r="A33" i="2"/>
  <c r="L34" i="2"/>
  <c r="C34" i="2"/>
  <c r="F81" i="2"/>
  <c r="E81" i="2"/>
  <c r="G81" i="2"/>
  <c r="B82" i="2"/>
  <c r="G84" i="1" l="1"/>
  <c r="F84" i="1"/>
  <c r="B85" i="1"/>
  <c r="E84" i="1"/>
  <c r="K34" i="2"/>
  <c r="N38" i="2"/>
  <c r="M38" i="2"/>
  <c r="B83" i="2"/>
  <c r="E82" i="2"/>
  <c r="G82" i="2"/>
  <c r="F82" i="2"/>
  <c r="F85" i="1" l="1"/>
  <c r="E85" i="1"/>
  <c r="B86" i="1"/>
  <c r="G85" i="1"/>
  <c r="O34" i="2"/>
  <c r="P34" i="2" s="1"/>
  <c r="D34" i="2" a="1"/>
  <c r="D34" i="2" s="1"/>
  <c r="B84" i="2"/>
  <c r="G83" i="2"/>
  <c r="F83" i="2"/>
  <c r="E83" i="2"/>
  <c r="W35" i="2" l="1"/>
  <c r="X35" i="2" s="1"/>
  <c r="E35" i="2"/>
  <c r="F35" i="2" s="1"/>
  <c r="E86" i="1"/>
  <c r="B87" i="1"/>
  <c r="F86" i="1"/>
  <c r="G86" i="1"/>
  <c r="A34" i="2"/>
  <c r="I35" i="2"/>
  <c r="H35" i="2"/>
  <c r="C35" i="2"/>
  <c r="L35" i="2"/>
  <c r="E84" i="2"/>
  <c r="F84" i="2"/>
  <c r="G84" i="2"/>
  <c r="B85" i="2"/>
  <c r="B88" i="1" l="1"/>
  <c r="G87" i="1"/>
  <c r="F87" i="1"/>
  <c r="E87" i="1"/>
  <c r="J35" i="2"/>
  <c r="K35" i="2" s="1"/>
  <c r="O35" i="2" s="1"/>
  <c r="P35" i="2" s="1"/>
  <c r="M39" i="2"/>
  <c r="N39" i="2"/>
  <c r="F85" i="2"/>
  <c r="E85" i="2"/>
  <c r="B86" i="2"/>
  <c r="G85" i="2"/>
  <c r="G88" i="1" l="1"/>
  <c r="F88" i="1"/>
  <c r="E88" i="1"/>
  <c r="B89" i="1"/>
  <c r="D35" i="2" a="1"/>
  <c r="D35" i="2" s="1"/>
  <c r="B87" i="2"/>
  <c r="G86" i="2"/>
  <c r="E86" i="2"/>
  <c r="F86" i="2"/>
  <c r="W36" i="2" l="1"/>
  <c r="X36" i="2" s="1"/>
  <c r="E36" i="2"/>
  <c r="B90" i="1"/>
  <c r="E89" i="1"/>
  <c r="F89" i="1"/>
  <c r="G89" i="1"/>
  <c r="C36" i="2"/>
  <c r="H36" i="2"/>
  <c r="L36" i="2"/>
  <c r="A35" i="2"/>
  <c r="I36" i="2"/>
  <c r="E87" i="2"/>
  <c r="G87" i="2"/>
  <c r="F87" i="2"/>
  <c r="B88" i="2"/>
  <c r="F90" i="1" l="1"/>
  <c r="B91" i="1"/>
  <c r="G90" i="1"/>
  <c r="E90" i="1"/>
  <c r="J36" i="2"/>
  <c r="K36" i="2" s="1"/>
  <c r="O36" i="2" s="1"/>
  <c r="P36" i="2" s="1"/>
  <c r="M40" i="2"/>
  <c r="N40" i="2"/>
  <c r="F88" i="2"/>
  <c r="E88" i="2"/>
  <c r="B89" i="2"/>
  <c r="G88" i="2"/>
  <c r="G91" i="1" l="1"/>
  <c r="B92" i="1"/>
  <c r="F91" i="1"/>
  <c r="E91" i="1"/>
  <c r="D36" i="2" a="1"/>
  <c r="D36" i="2" s="1"/>
  <c r="I37" i="2" s="1"/>
  <c r="F89" i="2"/>
  <c r="G89" i="2"/>
  <c r="E89" i="2"/>
  <c r="B90" i="2"/>
  <c r="H37" i="2" l="1"/>
  <c r="B93" i="1"/>
  <c r="G92" i="1"/>
  <c r="E92" i="1"/>
  <c r="F92" i="1"/>
  <c r="L37" i="2"/>
  <c r="N41" i="2" s="1"/>
  <c r="A36" i="2"/>
  <c r="W37" i="2"/>
  <c r="X37" i="2" s="1"/>
  <c r="C37" i="2"/>
  <c r="M41" i="2"/>
  <c r="J37" i="2"/>
  <c r="B91" i="2"/>
  <c r="G90" i="2"/>
  <c r="F90" i="2"/>
  <c r="E90" i="2"/>
  <c r="B94" i="1" l="1"/>
  <c r="F93" i="1"/>
  <c r="G93" i="1"/>
  <c r="E93" i="1"/>
  <c r="K37" i="2"/>
  <c r="O37" i="2" s="1"/>
  <c r="P37" i="2" s="1"/>
  <c r="E91" i="2"/>
  <c r="G91" i="2"/>
  <c r="B92" i="2"/>
  <c r="F91" i="2"/>
  <c r="B95" i="1" l="1"/>
  <c r="G94" i="1"/>
  <c r="F94" i="1"/>
  <c r="E94" i="1"/>
  <c r="D37" i="2" a="1"/>
  <c r="D37" i="2" s="1"/>
  <c r="W38" i="2" s="1"/>
  <c r="X38" i="2" s="1"/>
  <c r="G92" i="2"/>
  <c r="B93" i="2"/>
  <c r="F92" i="2"/>
  <c r="E92" i="2"/>
  <c r="B96" i="1" l="1"/>
  <c r="G95" i="1"/>
  <c r="E95" i="1"/>
  <c r="F95" i="1"/>
  <c r="L38" i="2"/>
  <c r="C38" i="2"/>
  <c r="H38" i="2"/>
  <c r="A37" i="2"/>
  <c r="I38" i="2"/>
  <c r="E93" i="2"/>
  <c r="G93" i="2"/>
  <c r="B94" i="2"/>
  <c r="F93" i="2"/>
  <c r="G96" i="1" l="1"/>
  <c r="F96" i="1"/>
  <c r="E96" i="1"/>
  <c r="B97" i="1"/>
  <c r="J38" i="2"/>
  <c r="K38" i="2" s="1"/>
  <c r="O38" i="2" s="1"/>
  <c r="P38" i="2" s="1"/>
  <c r="M42" i="2"/>
  <c r="N42" i="2"/>
  <c r="F94" i="2"/>
  <c r="E94" i="2"/>
  <c r="B95" i="2"/>
  <c r="G94" i="2"/>
  <c r="B98" i="1" l="1"/>
  <c r="E97" i="1"/>
  <c r="G97" i="1"/>
  <c r="F97" i="1"/>
  <c r="D38" i="2" a="1"/>
  <c r="D38" i="2" s="1"/>
  <c r="W39" i="2" s="1"/>
  <c r="X39" i="2" s="1"/>
  <c r="B96" i="2"/>
  <c r="G95" i="2"/>
  <c r="E95" i="2"/>
  <c r="F95" i="2"/>
  <c r="H39" i="2" l="1"/>
  <c r="G98" i="1"/>
  <c r="F98" i="1"/>
  <c r="B99" i="1"/>
  <c r="E98" i="1"/>
  <c r="L39" i="2"/>
  <c r="M43" i="2" s="1"/>
  <c r="I39" i="2"/>
  <c r="J39" i="2" s="1"/>
  <c r="C39" i="2"/>
  <c r="A38" i="2"/>
  <c r="G96" i="2"/>
  <c r="F96" i="2"/>
  <c r="E96" i="2"/>
  <c r="B97" i="2"/>
  <c r="N43" i="2" l="1"/>
  <c r="G99" i="1"/>
  <c r="B100" i="1"/>
  <c r="E99" i="1"/>
  <c r="F99" i="1"/>
  <c r="K39" i="2"/>
  <c r="O39" i="2" s="1"/>
  <c r="P39" i="2" s="1"/>
  <c r="F97" i="2"/>
  <c r="E97" i="2"/>
  <c r="G97" i="2"/>
  <c r="B98" i="2"/>
  <c r="D39" i="2" l="1" a="1"/>
  <c r="D39" i="2" s="1"/>
  <c r="W40" i="2" s="1"/>
  <c r="X40" i="2" s="1"/>
  <c r="G100" i="1"/>
  <c r="F100" i="1"/>
  <c r="E100" i="1"/>
  <c r="B101" i="1"/>
  <c r="L40" i="2"/>
  <c r="C40" i="2"/>
  <c r="I40" i="2"/>
  <c r="H40" i="2"/>
  <c r="A39" i="2"/>
  <c r="F98" i="2"/>
  <c r="B99" i="2"/>
  <c r="G98" i="2"/>
  <c r="E98" i="2"/>
  <c r="B102" i="1" l="1"/>
  <c r="G101" i="1"/>
  <c r="F101" i="1"/>
  <c r="E101" i="1"/>
  <c r="J40" i="2"/>
  <c r="N44" i="2"/>
  <c r="M44" i="2"/>
  <c r="E99" i="2"/>
  <c r="B100" i="2"/>
  <c r="G99" i="2"/>
  <c r="F99" i="2"/>
  <c r="G102" i="1" l="1"/>
  <c r="F102" i="1"/>
  <c r="E102" i="1"/>
  <c r="B103" i="1"/>
  <c r="K40" i="2"/>
  <c r="O40" i="2" s="1"/>
  <c r="P40" i="2" s="1"/>
  <c r="D40" i="2" a="1"/>
  <c r="D40" i="2" s="1"/>
  <c r="W41" i="2" s="1"/>
  <c r="X41" i="2" s="1"/>
  <c r="F100" i="2"/>
  <c r="E100" i="2"/>
  <c r="G100" i="2"/>
  <c r="B101" i="2"/>
  <c r="G103" i="1" l="1"/>
  <c r="F103" i="1"/>
  <c r="E103" i="1"/>
  <c r="B104" i="1"/>
  <c r="H41" i="2"/>
  <c r="I41" i="2"/>
  <c r="A40" i="2"/>
  <c r="L41" i="2"/>
  <c r="C41" i="2"/>
  <c r="G101" i="2"/>
  <c r="F101" i="2"/>
  <c r="E101" i="2"/>
  <c r="B102" i="2"/>
  <c r="F104" i="1" l="1"/>
  <c r="G104" i="1"/>
  <c r="E104" i="1"/>
  <c r="B105" i="1"/>
  <c r="N45" i="2"/>
  <c r="M45" i="2"/>
  <c r="J41" i="2"/>
  <c r="B103" i="2"/>
  <c r="G102" i="2"/>
  <c r="E102" i="2"/>
  <c r="F102" i="2"/>
  <c r="G105" i="1" l="1"/>
  <c r="F105" i="1"/>
  <c r="B106" i="1"/>
  <c r="E105" i="1"/>
  <c r="K41" i="2"/>
  <c r="O41" i="2" s="1"/>
  <c r="P41" i="2" s="1"/>
  <c r="G103" i="2"/>
  <c r="B104" i="2"/>
  <c r="F103" i="2"/>
  <c r="E103" i="2"/>
  <c r="B107" i="1" l="1"/>
  <c r="G106" i="1"/>
  <c r="F106" i="1"/>
  <c r="E106" i="1"/>
  <c r="D41" i="2" a="1"/>
  <c r="D41" i="2" s="1"/>
  <c r="W42" i="2" s="1"/>
  <c r="X42" i="2" s="1"/>
  <c r="F104" i="2"/>
  <c r="E104" i="2"/>
  <c r="B105" i="2"/>
  <c r="G104" i="2"/>
  <c r="G107" i="1" l="1"/>
  <c r="F107" i="1"/>
  <c r="B108" i="1"/>
  <c r="E107" i="1"/>
  <c r="A41" i="2"/>
  <c r="C42" i="2"/>
  <c r="I42" i="2"/>
  <c r="H42" i="2"/>
  <c r="L42" i="2"/>
  <c r="G105" i="2"/>
  <c r="E105" i="2"/>
  <c r="B106" i="2"/>
  <c r="F105" i="2"/>
  <c r="E108" i="1" l="1"/>
  <c r="B109" i="1"/>
  <c r="G108" i="1"/>
  <c r="F108" i="1"/>
  <c r="M46" i="2"/>
  <c r="N46" i="2"/>
  <c r="J42" i="2"/>
  <c r="K42" i="2" s="1"/>
  <c r="O42" i="2" s="1"/>
  <c r="P42" i="2" s="1"/>
  <c r="F106" i="2"/>
  <c r="G106" i="2"/>
  <c r="E106" i="2"/>
  <c r="B107" i="2"/>
  <c r="F109" i="1" l="1"/>
  <c r="B110" i="1"/>
  <c r="G109" i="1"/>
  <c r="E109" i="1"/>
  <c r="D42" i="2" a="1"/>
  <c r="D42" i="2" s="1"/>
  <c r="W43" i="2" s="1"/>
  <c r="X43" i="2" s="1"/>
  <c r="F107" i="2"/>
  <c r="E107" i="2"/>
  <c r="B108" i="2"/>
  <c r="G107" i="2"/>
  <c r="B111" i="1" l="1"/>
  <c r="F110" i="1"/>
  <c r="E110" i="1"/>
  <c r="G110" i="1"/>
  <c r="H43" i="2"/>
  <c r="C43" i="2"/>
  <c r="L43" i="2"/>
  <c r="M47" i="2" s="1"/>
  <c r="I43" i="2"/>
  <c r="J43" i="2" s="1"/>
  <c r="K43" i="2" s="1"/>
  <c r="O43" i="2" s="1"/>
  <c r="P43" i="2" s="1"/>
  <c r="A42" i="2"/>
  <c r="E108" i="2"/>
  <c r="G108" i="2"/>
  <c r="B109" i="2"/>
  <c r="F108" i="2"/>
  <c r="E111" i="1" l="1"/>
  <c r="F111" i="1"/>
  <c r="G111" i="1"/>
  <c r="B112" i="1"/>
  <c r="N47" i="2"/>
  <c r="D43" i="2" a="1"/>
  <c r="D43" i="2" s="1"/>
  <c r="W44" i="2" s="1"/>
  <c r="X44" i="2" s="1"/>
  <c r="B110" i="2"/>
  <c r="G109" i="2"/>
  <c r="F109" i="2"/>
  <c r="E109" i="2"/>
  <c r="G112" i="1" l="1"/>
  <c r="B113" i="1"/>
  <c r="F112" i="1"/>
  <c r="E112" i="1"/>
  <c r="L44" i="2"/>
  <c r="I44" i="2"/>
  <c r="C44" i="2"/>
  <c r="A43" i="2"/>
  <c r="H44" i="2"/>
  <c r="B111" i="2"/>
  <c r="G110" i="2"/>
  <c r="F110" i="2"/>
  <c r="E110" i="2"/>
  <c r="J44" i="2" l="1"/>
  <c r="K44" i="2" s="1"/>
  <c r="O44" i="2" s="1"/>
  <c r="P44" i="2" s="1"/>
  <c r="G113" i="1"/>
  <c r="B114" i="1"/>
  <c r="F113" i="1"/>
  <c r="E113" i="1"/>
  <c r="M48" i="2"/>
  <c r="N48" i="2"/>
  <c r="F111" i="2"/>
  <c r="G111" i="2"/>
  <c r="E111" i="2"/>
  <c r="B112" i="2"/>
  <c r="D44" i="2" l="1" a="1"/>
  <c r="D44" i="2" s="1"/>
  <c r="W45" i="2" s="1"/>
  <c r="X45" i="2" s="1"/>
  <c r="G114" i="1"/>
  <c r="B115" i="1"/>
  <c r="F114" i="1"/>
  <c r="E114" i="1"/>
  <c r="L45" i="2"/>
  <c r="A44" i="2"/>
  <c r="C45" i="2"/>
  <c r="H45" i="2"/>
  <c r="I45" i="2"/>
  <c r="G112" i="2"/>
  <c r="F112" i="2"/>
  <c r="B113" i="2"/>
  <c r="E112" i="2"/>
  <c r="E115" i="1" l="1"/>
  <c r="G115" i="1"/>
  <c r="B116" i="1"/>
  <c r="F115" i="1"/>
  <c r="J45" i="2"/>
  <c r="K45" i="2" s="1"/>
  <c r="O45" i="2" s="1"/>
  <c r="P45" i="2" s="1"/>
  <c r="M49" i="2"/>
  <c r="N49" i="2"/>
  <c r="F113" i="2"/>
  <c r="G113" i="2"/>
  <c r="B114" i="2"/>
  <c r="E113" i="2"/>
  <c r="G116" i="1" l="1"/>
  <c r="F116" i="1"/>
  <c r="B117" i="1"/>
  <c r="E116" i="1"/>
  <c r="D45" i="2" a="1"/>
  <c r="D45" i="2" s="1"/>
  <c r="W46" i="2" s="1"/>
  <c r="X46" i="2" s="1"/>
  <c r="F114" i="2"/>
  <c r="E114" i="2"/>
  <c r="G114" i="2"/>
  <c r="B115" i="2"/>
  <c r="B118" i="1" l="1"/>
  <c r="E117" i="1"/>
  <c r="G117" i="1"/>
  <c r="F117" i="1"/>
  <c r="L46" i="2"/>
  <c r="I46" i="2"/>
  <c r="A45" i="2"/>
  <c r="C46" i="2"/>
  <c r="H46" i="2"/>
  <c r="J46" i="2" s="1"/>
  <c r="E115" i="2"/>
  <c r="G115" i="2"/>
  <c r="B116" i="2"/>
  <c r="F115" i="2"/>
  <c r="G118" i="1" l="1"/>
  <c r="E118" i="1"/>
  <c r="B119" i="1"/>
  <c r="F118" i="1"/>
  <c r="K46" i="2"/>
  <c r="O46" i="2" s="1"/>
  <c r="P46" i="2" s="1"/>
  <c r="N50" i="2"/>
  <c r="M50" i="2"/>
  <c r="B117" i="2"/>
  <c r="G116" i="2"/>
  <c r="F116" i="2"/>
  <c r="E116" i="2"/>
  <c r="B120" i="1" l="1"/>
  <c r="E119" i="1"/>
  <c r="G119" i="1"/>
  <c r="F119" i="1"/>
  <c r="D46" i="2" a="1"/>
  <c r="D46" i="2" s="1"/>
  <c r="W47" i="2" s="1"/>
  <c r="X47" i="2" s="1"/>
  <c r="B118" i="2"/>
  <c r="G117" i="2"/>
  <c r="F117" i="2"/>
  <c r="E117" i="2"/>
  <c r="B121" i="1" l="1"/>
  <c r="G120" i="1"/>
  <c r="E120" i="1"/>
  <c r="F120" i="1"/>
  <c r="H47" i="2"/>
  <c r="I47" i="2"/>
  <c r="L47" i="2"/>
  <c r="N51" i="2" s="1"/>
  <c r="C47" i="2"/>
  <c r="A46" i="2"/>
  <c r="B119" i="2"/>
  <c r="F118" i="2"/>
  <c r="G118" i="2"/>
  <c r="E118" i="2"/>
  <c r="J47" i="2" l="1"/>
  <c r="F121" i="1"/>
  <c r="E121" i="1"/>
  <c r="B122" i="1"/>
  <c r="G121" i="1"/>
  <c r="M51" i="2"/>
  <c r="K47" i="2"/>
  <c r="O47" i="2" s="1"/>
  <c r="P47" i="2" s="1"/>
  <c r="F119" i="2"/>
  <c r="B120" i="2"/>
  <c r="E119" i="2"/>
  <c r="G119" i="2"/>
  <c r="G122" i="1" l="1"/>
  <c r="F122" i="1"/>
  <c r="E122" i="1"/>
  <c r="B123" i="1"/>
  <c r="D47" i="2" a="1"/>
  <c r="D47" i="2" s="1"/>
  <c r="W48" i="2" s="1"/>
  <c r="X48" i="2" s="1"/>
  <c r="B121" i="2"/>
  <c r="F120" i="2"/>
  <c r="G120" i="2"/>
  <c r="E120" i="2"/>
  <c r="E123" i="1" l="1"/>
  <c r="B124" i="1"/>
  <c r="G123" i="1"/>
  <c r="F123" i="1"/>
  <c r="L48" i="2"/>
  <c r="N52" i="2" s="1"/>
  <c r="I48" i="2"/>
  <c r="A47" i="2"/>
  <c r="H48" i="2"/>
  <c r="J48" i="2" s="1"/>
  <c r="C48" i="2"/>
  <c r="B122" i="2"/>
  <c r="F121" i="2"/>
  <c r="G121" i="2"/>
  <c r="E121" i="2"/>
  <c r="M52" i="2" l="1"/>
  <c r="K48" i="2"/>
  <c r="O48" i="2" s="1"/>
  <c r="P48" i="2" s="1"/>
  <c r="G124" i="1"/>
  <c r="F124" i="1"/>
  <c r="E124" i="1"/>
  <c r="B125" i="1"/>
  <c r="B123" i="2"/>
  <c r="F122" i="2"/>
  <c r="E122" i="2"/>
  <c r="G122" i="2"/>
  <c r="D48" i="2" l="1" a="1"/>
  <c r="D48" i="2" s="1"/>
  <c r="W49" i="2" s="1"/>
  <c r="X49" i="2" s="1"/>
  <c r="B126" i="1"/>
  <c r="G125" i="1"/>
  <c r="F125" i="1"/>
  <c r="E125" i="1"/>
  <c r="B124" i="2"/>
  <c r="F123" i="2"/>
  <c r="G123" i="2"/>
  <c r="E123" i="2"/>
  <c r="A48" i="2" l="1"/>
  <c r="H49" i="2"/>
  <c r="L49" i="2"/>
  <c r="C49" i="2"/>
  <c r="I49" i="2"/>
  <c r="G126" i="1"/>
  <c r="F126" i="1"/>
  <c r="B127" i="1"/>
  <c r="E126" i="1"/>
  <c r="G124" i="2"/>
  <c r="E124" i="2"/>
  <c r="F124" i="2"/>
  <c r="B125" i="2"/>
  <c r="M53" i="2" l="1"/>
  <c r="N53" i="2"/>
  <c r="J49" i="2"/>
  <c r="K49" i="2" s="1"/>
  <c r="O49" i="2" s="1"/>
  <c r="P49" i="2" s="1"/>
  <c r="G127" i="1"/>
  <c r="F127" i="1"/>
  <c r="E127" i="1"/>
  <c r="B128" i="1"/>
  <c r="B126" i="2"/>
  <c r="F125" i="2"/>
  <c r="E125" i="2"/>
  <c r="G125" i="2"/>
  <c r="D49" i="2" l="1" a="1"/>
  <c r="D49" i="2" s="1"/>
  <c r="A49" i="2" s="1"/>
  <c r="E128" i="1"/>
  <c r="G128" i="1"/>
  <c r="B129" i="1"/>
  <c r="F128" i="1"/>
  <c r="W50" i="2"/>
  <c r="X50" i="2" s="1"/>
  <c r="L50" i="2"/>
  <c r="I50" i="2"/>
  <c r="C50" i="2"/>
  <c r="H50" i="2"/>
  <c r="F126" i="2"/>
  <c r="G126" i="2"/>
  <c r="B127" i="2"/>
  <c r="E126" i="2"/>
  <c r="B130" i="1" l="1"/>
  <c r="E129" i="1"/>
  <c r="G129" i="1"/>
  <c r="F129" i="1"/>
  <c r="J50" i="2"/>
  <c r="K50" i="2"/>
  <c r="O50" i="2" s="1"/>
  <c r="P50" i="2" s="1"/>
  <c r="M54" i="2"/>
  <c r="N54" i="2"/>
  <c r="G127" i="2"/>
  <c r="E127" i="2"/>
  <c r="F127" i="2"/>
  <c r="B128" i="2"/>
  <c r="G130" i="1" l="1"/>
  <c r="E130" i="1"/>
  <c r="F130" i="1"/>
  <c r="B131" i="1"/>
  <c r="D50" i="2" a="1"/>
  <c r="D50" i="2" s="1"/>
  <c r="W51" i="2" s="1"/>
  <c r="X51" i="2" s="1"/>
  <c r="B129" i="2"/>
  <c r="F128" i="2"/>
  <c r="E128" i="2"/>
  <c r="G128" i="2"/>
  <c r="E131" i="1" l="1"/>
  <c r="F131" i="1"/>
  <c r="G131" i="1"/>
  <c r="B132" i="1"/>
  <c r="C51" i="2"/>
  <c r="A50" i="2"/>
  <c r="L51" i="2"/>
  <c r="M55" i="2" s="1"/>
  <c r="I51" i="2"/>
  <c r="H51" i="2"/>
  <c r="E129" i="2"/>
  <c r="G129" i="2"/>
  <c r="B130" i="2"/>
  <c r="F129" i="2"/>
  <c r="E132" i="1" l="1"/>
  <c r="G132" i="1"/>
  <c r="F132" i="1"/>
  <c r="B133" i="1"/>
  <c r="N55" i="2"/>
  <c r="J51" i="2"/>
  <c r="K51" i="2" s="1"/>
  <c r="O51" i="2" s="1"/>
  <c r="P51" i="2" s="1"/>
  <c r="G130" i="2"/>
  <c r="E130" i="2"/>
  <c r="F130" i="2"/>
  <c r="B131" i="2"/>
  <c r="B134" i="1" l="1"/>
  <c r="F133" i="1"/>
  <c r="G133" i="1"/>
  <c r="E133" i="1"/>
  <c r="D51" i="2" a="1"/>
  <c r="D51" i="2" s="1"/>
  <c r="G131" i="2"/>
  <c r="B132" i="2"/>
  <c r="F131" i="2"/>
  <c r="E131" i="2"/>
  <c r="F134" i="1" l="1"/>
  <c r="G134" i="1"/>
  <c r="E134" i="1"/>
  <c r="B135" i="1"/>
  <c r="W52" i="2"/>
  <c r="X52" i="2" s="1"/>
  <c r="C52" i="2"/>
  <c r="A51" i="2"/>
  <c r="I52" i="2"/>
  <c r="H52" i="2"/>
  <c r="J52" i="2" s="1"/>
  <c r="L52" i="2"/>
  <c r="E132" i="2"/>
  <c r="G132" i="2"/>
  <c r="B133" i="2"/>
  <c r="F132" i="2"/>
  <c r="F135" i="1" l="1"/>
  <c r="G135" i="1"/>
  <c r="E135" i="1"/>
  <c r="B136" i="1"/>
  <c r="M56" i="2"/>
  <c r="N56" i="2"/>
  <c r="K52" i="2"/>
  <c r="O52" i="2" s="1"/>
  <c r="P52" i="2" s="1"/>
  <c r="F133" i="2"/>
  <c r="B134" i="2"/>
  <c r="E133" i="2"/>
  <c r="G133" i="2"/>
  <c r="G136" i="1" l="1"/>
  <c r="B137" i="1"/>
  <c r="E136" i="1"/>
  <c r="F136" i="1"/>
  <c r="D52" i="2" a="1"/>
  <c r="D52" i="2" s="1"/>
  <c r="G134" i="2"/>
  <c r="B135" i="2"/>
  <c r="F134" i="2"/>
  <c r="E134" i="2"/>
  <c r="F137" i="1" l="1"/>
  <c r="E137" i="1"/>
  <c r="G137" i="1"/>
  <c r="B138" i="1"/>
  <c r="W53" i="2"/>
  <c r="X53" i="2" s="1"/>
  <c r="L53" i="2"/>
  <c r="C53" i="2"/>
  <c r="H53" i="2"/>
  <c r="A52" i="2"/>
  <c r="I53" i="2"/>
  <c r="E135" i="2"/>
  <c r="G135" i="2"/>
  <c r="F135" i="2"/>
  <c r="B136" i="2"/>
  <c r="F138" i="1" l="1"/>
  <c r="E138" i="1"/>
  <c r="B139" i="1"/>
  <c r="G138" i="1"/>
  <c r="J53" i="2"/>
  <c r="K53" i="2" s="1"/>
  <c r="O53" i="2" s="1"/>
  <c r="P53" i="2" s="1"/>
  <c r="N57" i="2"/>
  <c r="M57" i="2"/>
  <c r="B137" i="2"/>
  <c r="F136" i="2"/>
  <c r="E136" i="2"/>
  <c r="G136" i="2"/>
  <c r="E139" i="1" l="1"/>
  <c r="G139" i="1"/>
  <c r="F139" i="1"/>
  <c r="B140" i="1"/>
  <c r="D53" i="2" a="1"/>
  <c r="D53" i="2" s="1"/>
  <c r="G137" i="2"/>
  <c r="B138" i="2"/>
  <c r="F137" i="2"/>
  <c r="E137" i="2"/>
  <c r="F140" i="1" l="1"/>
  <c r="E140" i="1"/>
  <c r="G140" i="1"/>
  <c r="B141" i="1"/>
  <c r="W54" i="2"/>
  <c r="X54" i="2" s="1"/>
  <c r="I54" i="2"/>
  <c r="A53" i="2"/>
  <c r="H54" i="2"/>
  <c r="J54" i="2" s="1"/>
  <c r="L54" i="2"/>
  <c r="C54" i="2"/>
  <c r="E138" i="2"/>
  <c r="B139" i="2"/>
  <c r="G138" i="2"/>
  <c r="F138" i="2"/>
  <c r="B142" i="1" l="1"/>
  <c r="G141" i="1"/>
  <c r="E141" i="1"/>
  <c r="F141" i="1"/>
  <c r="M58" i="2"/>
  <c r="N58" i="2"/>
  <c r="K54" i="2"/>
  <c r="F139" i="2"/>
  <c r="E139" i="2"/>
  <c r="B140" i="2"/>
  <c r="G139" i="2"/>
  <c r="G142" i="1" l="1"/>
  <c r="F142" i="1"/>
  <c r="E142" i="1"/>
  <c r="B143" i="1"/>
  <c r="O54" i="2"/>
  <c r="P54" i="2" s="1"/>
  <c r="D54" i="2" a="1"/>
  <c r="D54" i="2" s="1"/>
  <c r="E140" i="2"/>
  <c r="B141" i="2"/>
  <c r="F140" i="2"/>
  <c r="G140" i="2"/>
  <c r="F143" i="1" l="1"/>
  <c r="E143" i="1"/>
  <c r="G143" i="1"/>
  <c r="B144" i="1"/>
  <c r="W55" i="2"/>
  <c r="X55" i="2" s="1"/>
  <c r="A54" i="2"/>
  <c r="H55" i="2"/>
  <c r="C55" i="2"/>
  <c r="L55" i="2"/>
  <c r="I55" i="2"/>
  <c r="B142" i="2"/>
  <c r="E141" i="2"/>
  <c r="G141" i="2"/>
  <c r="F141" i="2"/>
  <c r="F144" i="1" l="1"/>
  <c r="E144" i="1"/>
  <c r="B145" i="1"/>
  <c r="G144" i="1"/>
  <c r="M59" i="2"/>
  <c r="N59" i="2"/>
  <c r="J55" i="2"/>
  <c r="B143" i="2"/>
  <c r="G142" i="2"/>
  <c r="F142" i="2"/>
  <c r="E142" i="2"/>
  <c r="G145" i="1" l="1"/>
  <c r="E145" i="1"/>
  <c r="B146" i="1"/>
  <c r="F145" i="1"/>
  <c r="K55" i="2"/>
  <c r="O55" i="2" s="1"/>
  <c r="P55" i="2" s="1"/>
  <c r="F143" i="2"/>
  <c r="E143" i="2"/>
  <c r="B144" i="2"/>
  <c r="G143" i="2"/>
  <c r="F146" i="1" l="1"/>
  <c r="E146" i="1"/>
  <c r="B147" i="1"/>
  <c r="G146" i="1"/>
  <c r="D55" i="2" a="1"/>
  <c r="D55" i="2" s="1"/>
  <c r="E144" i="2"/>
  <c r="F144" i="2"/>
  <c r="G144" i="2"/>
  <c r="B145" i="2"/>
  <c r="F147" i="1" l="1"/>
  <c r="E147" i="1"/>
  <c r="G147" i="1"/>
  <c r="B148" i="1"/>
  <c r="W56" i="2"/>
  <c r="X56" i="2" s="1"/>
  <c r="H56" i="2"/>
  <c r="A55" i="2"/>
  <c r="I56" i="2"/>
  <c r="C56" i="2"/>
  <c r="L56" i="2"/>
  <c r="B146" i="2"/>
  <c r="F145" i="2"/>
  <c r="G145" i="2"/>
  <c r="E145" i="2"/>
  <c r="F148" i="1" l="1"/>
  <c r="E148" i="1"/>
  <c r="B149" i="1"/>
  <c r="G148" i="1"/>
  <c r="J56" i="2"/>
  <c r="K56" i="2" s="1"/>
  <c r="O56" i="2" s="1"/>
  <c r="P56" i="2" s="1"/>
  <c r="N60" i="2"/>
  <c r="M60" i="2"/>
  <c r="B147" i="2"/>
  <c r="G146" i="2"/>
  <c r="E146" i="2"/>
  <c r="F146" i="2"/>
  <c r="D56" i="2" l="1" a="1"/>
  <c r="D56" i="2" s="1"/>
  <c r="W57" i="2" s="1"/>
  <c r="X57" i="2" s="1"/>
  <c r="G149" i="1"/>
  <c r="F149" i="1"/>
  <c r="E149" i="1"/>
  <c r="B150" i="1"/>
  <c r="E147" i="2"/>
  <c r="F147" i="2"/>
  <c r="B148" i="2"/>
  <c r="G147" i="2"/>
  <c r="L57" i="2" l="1"/>
  <c r="H57" i="2"/>
  <c r="A56" i="2"/>
  <c r="I57" i="2"/>
  <c r="C57" i="2"/>
  <c r="B151" i="1"/>
  <c r="F150" i="1"/>
  <c r="E150" i="1"/>
  <c r="G150" i="1"/>
  <c r="M61" i="2"/>
  <c r="N61" i="2"/>
  <c r="B149" i="2"/>
  <c r="G148" i="2"/>
  <c r="F148" i="2"/>
  <c r="E148" i="2"/>
  <c r="J57" i="2" l="1"/>
  <c r="K57" i="2" s="1"/>
  <c r="O57" i="2" s="1"/>
  <c r="P57" i="2" s="1"/>
  <c r="G151" i="1"/>
  <c r="E151" i="1"/>
  <c r="F151" i="1"/>
  <c r="B152" i="1"/>
  <c r="D57" i="2" a="1"/>
  <c r="D57" i="2" s="1"/>
  <c r="G149" i="2"/>
  <c r="B150" i="2"/>
  <c r="F149" i="2"/>
  <c r="E149" i="2"/>
  <c r="E152" i="1" l="1"/>
  <c r="G152" i="1"/>
  <c r="F152" i="1"/>
  <c r="B153" i="1"/>
  <c r="W58" i="2"/>
  <c r="X58" i="2" s="1"/>
  <c r="C58" i="2"/>
  <c r="L58" i="2"/>
  <c r="A57" i="2"/>
  <c r="I58" i="2"/>
  <c r="H58" i="2"/>
  <c r="J58" i="2" s="1"/>
  <c r="K58" i="2" s="1"/>
  <c r="O58" i="2" s="1"/>
  <c r="P58" i="2" s="1"/>
  <c r="E150" i="2"/>
  <c r="G150" i="2"/>
  <c r="F150" i="2"/>
  <c r="B151" i="2"/>
  <c r="G153" i="1" l="1"/>
  <c r="E153" i="1"/>
  <c r="B154" i="1"/>
  <c r="F153" i="1"/>
  <c r="D58" i="2" a="1"/>
  <c r="D58" i="2" s="1"/>
  <c r="W59" i="2" s="1"/>
  <c r="X59" i="2" s="1"/>
  <c r="M62" i="2"/>
  <c r="N62" i="2"/>
  <c r="G151" i="2"/>
  <c r="E151" i="2"/>
  <c r="B152" i="2"/>
  <c r="F151" i="2"/>
  <c r="G154" i="1" l="1"/>
  <c r="B155" i="1"/>
  <c r="F154" i="1"/>
  <c r="E154" i="1"/>
  <c r="L59" i="2"/>
  <c r="M63" i="2" s="1"/>
  <c r="I59" i="2"/>
  <c r="H59" i="2"/>
  <c r="A58" i="2"/>
  <c r="C59" i="2"/>
  <c r="B153" i="2"/>
  <c r="G152" i="2"/>
  <c r="F152" i="2"/>
  <c r="E152" i="2"/>
  <c r="J59" i="2" l="1"/>
  <c r="N63" i="2"/>
  <c r="B156" i="1"/>
  <c r="F155" i="1"/>
  <c r="G155" i="1"/>
  <c r="E155" i="1"/>
  <c r="K59" i="2"/>
  <c r="O59" i="2" s="1"/>
  <c r="P59" i="2" s="1"/>
  <c r="G153" i="2"/>
  <c r="E153" i="2"/>
  <c r="B154" i="2"/>
  <c r="F153" i="2"/>
  <c r="F156" i="1" l="1"/>
  <c r="B157" i="1"/>
  <c r="G156" i="1"/>
  <c r="E156" i="1"/>
  <c r="D59" i="2" a="1"/>
  <c r="D59" i="2" s="1"/>
  <c r="G154" i="2"/>
  <c r="E154" i="2"/>
  <c r="F154" i="2"/>
  <c r="B155" i="2"/>
  <c r="F157" i="1" l="1"/>
  <c r="E157" i="1"/>
  <c r="B158" i="1"/>
  <c r="G157" i="1"/>
  <c r="W60" i="2"/>
  <c r="X60" i="2" s="1"/>
  <c r="L60" i="2"/>
  <c r="H60" i="2"/>
  <c r="A59" i="2"/>
  <c r="I60" i="2"/>
  <c r="C60" i="2"/>
  <c r="B156" i="2"/>
  <c r="G155" i="2"/>
  <c r="F155" i="2"/>
  <c r="E155" i="2"/>
  <c r="E158" i="1" l="1"/>
  <c r="G158" i="1"/>
  <c r="F158" i="1"/>
  <c r="B159" i="1"/>
  <c r="J60" i="2"/>
  <c r="K60" i="2" s="1"/>
  <c r="N64" i="2"/>
  <c r="M64" i="2"/>
  <c r="B157" i="2"/>
  <c r="F156" i="2"/>
  <c r="E156" i="2"/>
  <c r="G156" i="2"/>
  <c r="F159" i="1" l="1"/>
  <c r="B160" i="1"/>
  <c r="G159" i="1"/>
  <c r="E159" i="1"/>
  <c r="O60" i="2"/>
  <c r="P60" i="2" s="1"/>
  <c r="D60" i="2" a="1"/>
  <c r="D60" i="2" s="1"/>
  <c r="W61" i="2" s="1"/>
  <c r="X61" i="2" s="1"/>
  <c r="E157" i="2"/>
  <c r="B158" i="2"/>
  <c r="G157" i="2"/>
  <c r="F157" i="2"/>
  <c r="G160" i="1" l="1"/>
  <c r="B161" i="1"/>
  <c r="F160" i="1"/>
  <c r="E160" i="1"/>
  <c r="A60" i="2"/>
  <c r="C61" i="2"/>
  <c r="H61" i="2"/>
  <c r="I61" i="2"/>
  <c r="J61" i="2" s="1"/>
  <c r="L61" i="2"/>
  <c r="M65" i="2" s="1"/>
  <c r="E158" i="2"/>
  <c r="F158" i="2"/>
  <c r="G158" i="2"/>
  <c r="B159" i="2"/>
  <c r="B162" i="1" l="1"/>
  <c r="G161" i="1"/>
  <c r="E161" i="1"/>
  <c r="F161" i="1"/>
  <c r="N65" i="2"/>
  <c r="K61" i="2"/>
  <c r="O61" i="2" s="1"/>
  <c r="P61" i="2" s="1"/>
  <c r="B160" i="2"/>
  <c r="G159" i="2"/>
  <c r="E159" i="2"/>
  <c r="F159" i="2"/>
  <c r="D61" i="2" l="1" a="1"/>
  <c r="D61" i="2" s="1"/>
  <c r="C62" i="2" s="1"/>
  <c r="E162" i="1"/>
  <c r="B163" i="1"/>
  <c r="G162" i="1"/>
  <c r="F162" i="1"/>
  <c r="F160" i="2"/>
  <c r="E160" i="2"/>
  <c r="G160" i="2"/>
  <c r="B161" i="2"/>
  <c r="I62" i="2" l="1"/>
  <c r="L62" i="2"/>
  <c r="W62" i="2"/>
  <c r="X62" i="2" s="1"/>
  <c r="H62" i="2"/>
  <c r="J62" i="2" s="1"/>
  <c r="K62" i="2" s="1"/>
  <c r="O62" i="2" s="1"/>
  <c r="P62" i="2" s="1"/>
  <c r="A61" i="2"/>
  <c r="E163" i="1"/>
  <c r="F163" i="1"/>
  <c r="B164" i="1"/>
  <c r="G163" i="1"/>
  <c r="M66" i="2"/>
  <c r="N66" i="2"/>
  <c r="E161" i="2"/>
  <c r="G161" i="2"/>
  <c r="B162" i="2"/>
  <c r="F161" i="2"/>
  <c r="D62" i="2" l="1" a="1"/>
  <c r="D62" i="2" s="1"/>
  <c r="A62" i="2" s="1"/>
  <c r="G164" i="1"/>
  <c r="B165" i="1"/>
  <c r="E164" i="1"/>
  <c r="F164" i="1"/>
  <c r="F162" i="2"/>
  <c r="B163" i="2"/>
  <c r="G162" i="2"/>
  <c r="E162" i="2"/>
  <c r="L63" i="2" l="1"/>
  <c r="C63" i="2"/>
  <c r="H63" i="2"/>
  <c r="I63" i="2"/>
  <c r="W63" i="2"/>
  <c r="X63" i="2" s="1"/>
  <c r="G165" i="1"/>
  <c r="B166" i="1"/>
  <c r="F165" i="1"/>
  <c r="E165" i="1"/>
  <c r="J63" i="2"/>
  <c r="M67" i="2"/>
  <c r="N67" i="2"/>
  <c r="B164" i="2"/>
  <c r="G163" i="2"/>
  <c r="F163" i="2"/>
  <c r="E163" i="2"/>
  <c r="E166" i="1" l="1"/>
  <c r="F166" i="1"/>
  <c r="B167" i="1"/>
  <c r="G166" i="1"/>
  <c r="K63" i="2"/>
  <c r="O63" i="2" s="1"/>
  <c r="P63" i="2" s="1"/>
  <c r="E164" i="2"/>
  <c r="B165" i="2"/>
  <c r="F164" i="2"/>
  <c r="G164" i="2"/>
  <c r="E167" i="1" l="1"/>
  <c r="G167" i="1"/>
  <c r="F167" i="1"/>
  <c r="B168" i="1"/>
  <c r="D63" i="2" a="1"/>
  <c r="D63" i="2" s="1"/>
  <c r="B166" i="2"/>
  <c r="E165" i="2"/>
  <c r="F165" i="2"/>
  <c r="G165" i="2"/>
  <c r="B169" i="1" l="1"/>
  <c r="E168" i="1"/>
  <c r="F168" i="1"/>
  <c r="G168" i="1"/>
  <c r="C64" i="2"/>
  <c r="H64" i="2"/>
  <c r="A63" i="2"/>
  <c r="L64" i="2"/>
  <c r="W64" i="2"/>
  <c r="X64" i="2" s="1"/>
  <c r="I64" i="2"/>
  <c r="B167" i="2"/>
  <c r="G166" i="2"/>
  <c r="E166" i="2"/>
  <c r="F166" i="2"/>
  <c r="G169" i="1" l="1"/>
  <c r="F169" i="1"/>
  <c r="E169" i="1"/>
  <c r="B170" i="1"/>
  <c r="M68" i="2"/>
  <c r="N68" i="2"/>
  <c r="J64" i="2"/>
  <c r="K64" i="2" s="1"/>
  <c r="O64" i="2" s="1"/>
  <c r="P64" i="2" s="1"/>
  <c r="F167" i="2"/>
  <c r="E167" i="2"/>
  <c r="G167" i="2"/>
  <c r="B168" i="2"/>
  <c r="F170" i="1" l="1"/>
  <c r="E170" i="1"/>
  <c r="G170" i="1"/>
  <c r="B171" i="1"/>
  <c r="D64" i="2" a="1"/>
  <c r="D64" i="2" s="1"/>
  <c r="E168" i="2"/>
  <c r="F168" i="2"/>
  <c r="B169" i="2"/>
  <c r="G168" i="2"/>
  <c r="F171" i="1" l="1"/>
  <c r="E171" i="1"/>
  <c r="B172" i="1"/>
  <c r="G171" i="1"/>
  <c r="L65" i="2"/>
  <c r="H65" i="2"/>
  <c r="A64" i="2"/>
  <c r="I65" i="2"/>
  <c r="W65" i="2"/>
  <c r="X65" i="2" s="1"/>
  <c r="C65" i="2"/>
  <c r="E169" i="2"/>
  <c r="F169" i="2"/>
  <c r="B170" i="2"/>
  <c r="G169" i="2"/>
  <c r="G172" i="1" l="1"/>
  <c r="E172" i="1"/>
  <c r="B173" i="1"/>
  <c r="F172" i="1"/>
  <c r="J65" i="2"/>
  <c r="M69" i="2"/>
  <c r="N69" i="2"/>
  <c r="B171" i="2"/>
  <c r="G170" i="2"/>
  <c r="E170" i="2"/>
  <c r="F170" i="2"/>
  <c r="E173" i="1" l="1"/>
  <c r="G173" i="1"/>
  <c r="B174" i="1"/>
  <c r="F173" i="1"/>
  <c r="K65" i="2"/>
  <c r="O65" i="2" s="1"/>
  <c r="P65" i="2" s="1"/>
  <c r="E171" i="2"/>
  <c r="B172" i="2"/>
  <c r="F171" i="2"/>
  <c r="G171" i="2"/>
  <c r="F174" i="1" l="1"/>
  <c r="B175" i="1"/>
  <c r="G174" i="1"/>
  <c r="E174" i="1"/>
  <c r="D65" i="2" a="1"/>
  <c r="D65" i="2" s="1"/>
  <c r="G172" i="2"/>
  <c r="F172" i="2"/>
  <c r="E172" i="2"/>
  <c r="B173" i="2"/>
  <c r="G175" i="1" l="1"/>
  <c r="F175" i="1"/>
  <c r="E175" i="1"/>
  <c r="B176" i="1"/>
  <c r="W66" i="2"/>
  <c r="X66" i="2" s="1"/>
  <c r="H66" i="2"/>
  <c r="A65" i="2"/>
  <c r="C66" i="2"/>
  <c r="L66" i="2"/>
  <c r="I66" i="2"/>
  <c r="B174" i="2"/>
  <c r="G173" i="2"/>
  <c r="F173" i="2"/>
  <c r="E173" i="2"/>
  <c r="E176" i="1" l="1"/>
  <c r="G176" i="1"/>
  <c r="F176" i="1"/>
  <c r="B177" i="1"/>
  <c r="M70" i="2"/>
  <c r="N70" i="2"/>
  <c r="J66" i="2"/>
  <c r="B175" i="2"/>
  <c r="E174" i="2"/>
  <c r="F174" i="2"/>
  <c r="G174" i="2"/>
  <c r="G177" i="1" l="1"/>
  <c r="F177" i="1"/>
  <c r="B178" i="1"/>
  <c r="E177" i="1"/>
  <c r="K66" i="2"/>
  <c r="O66" i="2" s="1"/>
  <c r="P66" i="2" s="1"/>
  <c r="E175" i="2"/>
  <c r="G175" i="2"/>
  <c r="F175" i="2"/>
  <c r="B176" i="2"/>
  <c r="B179" i="1" l="1"/>
  <c r="G178" i="1"/>
  <c r="E178" i="1"/>
  <c r="F178" i="1"/>
  <c r="D66" i="2" a="1"/>
  <c r="D66" i="2" s="1"/>
  <c r="G176" i="2"/>
  <c r="B177" i="2"/>
  <c r="F176" i="2"/>
  <c r="E176" i="2"/>
  <c r="G179" i="1" l="1"/>
  <c r="E179" i="1"/>
  <c r="F179" i="1"/>
  <c r="B180" i="1"/>
  <c r="W67" i="2"/>
  <c r="X67" i="2" s="1"/>
  <c r="H67" i="2"/>
  <c r="I67" i="2"/>
  <c r="L67" i="2"/>
  <c r="A66" i="2"/>
  <c r="C67" i="2"/>
  <c r="B178" i="2"/>
  <c r="G177" i="2"/>
  <c r="F177" i="2"/>
  <c r="E177" i="2"/>
  <c r="F180" i="1" l="1"/>
  <c r="G180" i="1"/>
  <c r="B181" i="1"/>
  <c r="E180" i="1"/>
  <c r="M71" i="2"/>
  <c r="N71" i="2"/>
  <c r="J67" i="2"/>
  <c r="E178" i="2"/>
  <c r="G178" i="2"/>
  <c r="F178" i="2"/>
  <c r="B179" i="2"/>
  <c r="B182" i="1" l="1"/>
  <c r="F181" i="1"/>
  <c r="E181" i="1"/>
  <c r="G181" i="1"/>
  <c r="K67" i="2"/>
  <c r="O67" i="2" s="1"/>
  <c r="P67" i="2" s="1"/>
  <c r="B180" i="2"/>
  <c r="E179" i="2"/>
  <c r="G179" i="2"/>
  <c r="F179" i="2"/>
  <c r="B183" i="1" l="1"/>
  <c r="G182" i="1"/>
  <c r="E182" i="1"/>
  <c r="F182" i="1"/>
  <c r="D67" i="2" a="1"/>
  <c r="D67" i="2" s="1"/>
  <c r="B181" i="2"/>
  <c r="G180" i="2"/>
  <c r="F180" i="2"/>
  <c r="E180" i="2"/>
  <c r="F183" i="1" l="1"/>
  <c r="B184" i="1"/>
  <c r="G183" i="1"/>
  <c r="E183" i="1"/>
  <c r="C68" i="2"/>
  <c r="I68" i="2"/>
  <c r="H68" i="2"/>
  <c r="J68" i="2" s="1"/>
  <c r="W68" i="2"/>
  <c r="X68" i="2" s="1"/>
  <c r="L68" i="2"/>
  <c r="A67" i="2"/>
  <c r="G181" i="2"/>
  <c r="F181" i="2"/>
  <c r="B182" i="2"/>
  <c r="E181" i="2"/>
  <c r="F184" i="1" l="1"/>
  <c r="B185" i="1"/>
  <c r="E184" i="1"/>
  <c r="G184" i="1"/>
  <c r="M72" i="2"/>
  <c r="N72" i="2"/>
  <c r="K68" i="2"/>
  <c r="E182" i="2"/>
  <c r="G182" i="2"/>
  <c r="B183" i="2"/>
  <c r="F182" i="2"/>
  <c r="E185" i="1" l="1"/>
  <c r="B186" i="1"/>
  <c r="F185" i="1"/>
  <c r="G185" i="1"/>
  <c r="O68" i="2"/>
  <c r="P68" i="2" s="1"/>
  <c r="D68" i="2" a="1"/>
  <c r="D68" i="2" s="1"/>
  <c r="E183" i="2"/>
  <c r="F183" i="2"/>
  <c r="B184" i="2"/>
  <c r="G183" i="2"/>
  <c r="B187" i="1" l="1"/>
  <c r="G186" i="1"/>
  <c r="E186" i="1"/>
  <c r="F186" i="1"/>
  <c r="W69" i="2"/>
  <c r="X69" i="2" s="1"/>
  <c r="H69" i="2"/>
  <c r="I69" i="2"/>
  <c r="C69" i="2"/>
  <c r="A68" i="2"/>
  <c r="L69" i="2"/>
  <c r="B185" i="2"/>
  <c r="G184" i="2"/>
  <c r="E184" i="2"/>
  <c r="F184" i="2"/>
  <c r="B188" i="1" l="1"/>
  <c r="G187" i="1"/>
  <c r="F187" i="1"/>
  <c r="E187" i="1"/>
  <c r="N73" i="2"/>
  <c r="M73" i="2"/>
  <c r="J69" i="2"/>
  <c r="E185" i="2"/>
  <c r="G185" i="2"/>
  <c r="B186" i="2"/>
  <c r="F185" i="2"/>
  <c r="G188" i="1" l="1"/>
  <c r="F188" i="1"/>
  <c r="B189" i="1"/>
  <c r="E188" i="1"/>
  <c r="K69" i="2"/>
  <c r="O69" i="2" s="1"/>
  <c r="P69" i="2" s="1"/>
  <c r="G186" i="2"/>
  <c r="B187" i="2"/>
  <c r="E186" i="2"/>
  <c r="F186" i="2"/>
  <c r="E189" i="1" l="1"/>
  <c r="G189" i="1"/>
  <c r="F189" i="1"/>
  <c r="B190" i="1"/>
  <c r="D69" i="2" a="1"/>
  <c r="D69" i="2" s="1"/>
  <c r="B188" i="2"/>
  <c r="G187" i="2"/>
  <c r="E187" i="2"/>
  <c r="F187" i="2"/>
  <c r="B191" i="1" l="1"/>
  <c r="G190" i="1"/>
  <c r="E190" i="1"/>
  <c r="F190" i="1"/>
  <c r="W70" i="2"/>
  <c r="X70" i="2" s="1"/>
  <c r="I70" i="2"/>
  <c r="A69" i="2"/>
  <c r="H70" i="2"/>
  <c r="L70" i="2"/>
  <c r="C70" i="2"/>
  <c r="B189" i="2"/>
  <c r="G188" i="2"/>
  <c r="F188" i="2"/>
  <c r="E188" i="2"/>
  <c r="J70" i="2" l="1"/>
  <c r="K70" i="2" s="1"/>
  <c r="F191" i="1"/>
  <c r="B192" i="1"/>
  <c r="E191" i="1"/>
  <c r="G191" i="1"/>
  <c r="N74" i="2"/>
  <c r="M74" i="2"/>
  <c r="E189" i="2"/>
  <c r="B190" i="2"/>
  <c r="F189" i="2"/>
  <c r="G189" i="2"/>
  <c r="B193" i="1" l="1"/>
  <c r="G192" i="1"/>
  <c r="F192" i="1"/>
  <c r="E192" i="1"/>
  <c r="O70" i="2"/>
  <c r="P70" i="2" s="1"/>
  <c r="D70" i="2" a="1"/>
  <c r="D70" i="2" s="1"/>
  <c r="G190" i="2"/>
  <c r="E190" i="2"/>
  <c r="B191" i="2"/>
  <c r="F190" i="2"/>
  <c r="F193" i="1" l="1"/>
  <c r="E193" i="1"/>
  <c r="G193" i="1"/>
  <c r="B194" i="1"/>
  <c r="W71" i="2"/>
  <c r="X71" i="2" s="1"/>
  <c r="I71" i="2"/>
  <c r="L71" i="2"/>
  <c r="H71" i="2"/>
  <c r="J71" i="2" s="1"/>
  <c r="C71" i="2"/>
  <c r="A70" i="2"/>
  <c r="B192" i="2"/>
  <c r="G191" i="2"/>
  <c r="F191" i="2"/>
  <c r="E191" i="2"/>
  <c r="E194" i="1" l="1"/>
  <c r="G194" i="1"/>
  <c r="B195" i="1"/>
  <c r="F194" i="1"/>
  <c r="K71" i="2"/>
  <c r="O71" i="2" s="1"/>
  <c r="P71" i="2" s="1"/>
  <c r="N75" i="2"/>
  <c r="M75" i="2"/>
  <c r="E192" i="2"/>
  <c r="G192" i="2"/>
  <c r="B193" i="2"/>
  <c r="F192" i="2"/>
  <c r="B196" i="1" l="1"/>
  <c r="G195" i="1"/>
  <c r="F195" i="1"/>
  <c r="E195" i="1"/>
  <c r="D71" i="2" a="1"/>
  <c r="D71" i="2" s="1"/>
  <c r="W72" i="2" s="1"/>
  <c r="X72" i="2" s="1"/>
  <c r="G193" i="2"/>
  <c r="B194" i="2"/>
  <c r="E193" i="2"/>
  <c r="F193" i="2"/>
  <c r="F196" i="1" l="1"/>
  <c r="B197" i="1"/>
  <c r="G196" i="1"/>
  <c r="E196" i="1"/>
  <c r="I72" i="2"/>
  <c r="L72" i="2"/>
  <c r="N76" i="2" s="1"/>
  <c r="A71" i="2"/>
  <c r="H72" i="2"/>
  <c r="J72" i="2" s="1"/>
  <c r="C72" i="2"/>
  <c r="B195" i="2"/>
  <c r="G194" i="2"/>
  <c r="F194" i="2"/>
  <c r="E194" i="2"/>
  <c r="K72" i="2" l="1"/>
  <c r="O72" i="2"/>
  <c r="P72" i="2" s="1"/>
  <c r="F197" i="1"/>
  <c r="G197" i="1"/>
  <c r="E197" i="1"/>
  <c r="B198" i="1"/>
  <c r="M76" i="2"/>
  <c r="D72" i="2" a="1"/>
  <c r="D72" i="2" s="1"/>
  <c r="F195" i="2"/>
  <c r="B196" i="2"/>
  <c r="E195" i="2"/>
  <c r="G195" i="2"/>
  <c r="G198" i="1" l="1"/>
  <c r="F198" i="1"/>
  <c r="B199" i="1"/>
  <c r="E198" i="1"/>
  <c r="W73" i="2"/>
  <c r="X73" i="2" s="1"/>
  <c r="A72" i="2"/>
  <c r="C73" i="2"/>
  <c r="H73" i="2"/>
  <c r="L73" i="2"/>
  <c r="I73" i="2"/>
  <c r="E196" i="2"/>
  <c r="G196" i="2"/>
  <c r="F196" i="2"/>
  <c r="B197" i="2"/>
  <c r="B200" i="1" l="1"/>
  <c r="G199" i="1"/>
  <c r="F199" i="1"/>
  <c r="E199" i="1"/>
  <c r="J73" i="2"/>
  <c r="M77" i="2"/>
  <c r="N77" i="2"/>
  <c r="K73" i="2"/>
  <c r="G197" i="2"/>
  <c r="F197" i="2"/>
  <c r="E197" i="2"/>
  <c r="B198" i="2"/>
  <c r="F200" i="1" l="1"/>
  <c r="B201" i="1"/>
  <c r="E200" i="1"/>
  <c r="G200" i="1"/>
  <c r="O73" i="2"/>
  <c r="P73" i="2" s="1"/>
  <c r="D73" i="2" a="1"/>
  <c r="D73" i="2" s="1"/>
  <c r="B199" i="2"/>
  <c r="G198" i="2"/>
  <c r="E198" i="2"/>
  <c r="F198" i="2"/>
  <c r="F201" i="1" l="1"/>
  <c r="E201" i="1"/>
  <c r="B202" i="1"/>
  <c r="G201" i="1"/>
  <c r="W74" i="2"/>
  <c r="X74" i="2" s="1"/>
  <c r="L74" i="2"/>
  <c r="C74" i="2"/>
  <c r="H74" i="2"/>
  <c r="I74" i="2"/>
  <c r="A73" i="2"/>
  <c r="E199" i="2"/>
  <c r="B200" i="2"/>
  <c r="F199" i="2"/>
  <c r="G199" i="2"/>
  <c r="B203" i="1" l="1"/>
  <c r="G202" i="1"/>
  <c r="F202" i="1"/>
  <c r="E202" i="1"/>
  <c r="J74" i="2"/>
  <c r="K74" i="2" s="1"/>
  <c r="O74" i="2" s="1"/>
  <c r="P74" i="2" s="1"/>
  <c r="N78" i="2"/>
  <c r="M78" i="2"/>
  <c r="F200" i="2"/>
  <c r="E200" i="2"/>
  <c r="B201" i="2"/>
  <c r="G200" i="2"/>
  <c r="G203" i="1" l="1"/>
  <c r="E203" i="1"/>
  <c r="F203" i="1"/>
  <c r="B204" i="1"/>
  <c r="D74" i="2" a="1"/>
  <c r="D74" i="2" s="1"/>
  <c r="B202" i="2"/>
  <c r="G201" i="2"/>
  <c r="F201" i="2"/>
  <c r="E201" i="2"/>
  <c r="G204" i="1" l="1"/>
  <c r="F204" i="1"/>
  <c r="E204" i="1"/>
  <c r="B205" i="1"/>
  <c r="W75" i="2"/>
  <c r="X75" i="2" s="1"/>
  <c r="I75" i="2"/>
  <c r="L75" i="2"/>
  <c r="A74" i="2"/>
  <c r="H75" i="2"/>
  <c r="C75" i="2"/>
  <c r="G202" i="2"/>
  <c r="F202" i="2"/>
  <c r="B203" i="2"/>
  <c r="E202" i="2"/>
  <c r="B206" i="1" l="1"/>
  <c r="F205" i="1"/>
  <c r="E205" i="1"/>
  <c r="G205" i="1"/>
  <c r="J75" i="2"/>
  <c r="N79" i="2"/>
  <c r="M79" i="2"/>
  <c r="E203" i="2"/>
  <c r="B204" i="2"/>
  <c r="F203" i="2"/>
  <c r="G203" i="2"/>
  <c r="G206" i="1" l="1"/>
  <c r="E206" i="1"/>
  <c r="B207" i="1"/>
  <c r="F206" i="1"/>
  <c r="K75" i="2"/>
  <c r="O75" i="2" s="1"/>
  <c r="P75" i="2" s="1"/>
  <c r="B205" i="2"/>
  <c r="F204" i="2"/>
  <c r="G204" i="2"/>
  <c r="E204" i="2"/>
  <c r="G207" i="1" l="1"/>
  <c r="F207" i="1"/>
  <c r="B208" i="1"/>
  <c r="E207" i="1"/>
  <c r="D75" i="2" a="1"/>
  <c r="D75" i="2" s="1"/>
  <c r="B206" i="2"/>
  <c r="G205" i="2"/>
  <c r="F205" i="2"/>
  <c r="E205" i="2"/>
  <c r="B209" i="1" l="1"/>
  <c r="E208" i="1"/>
  <c r="F208" i="1"/>
  <c r="G208" i="1"/>
  <c r="W76" i="2"/>
  <c r="X76" i="2" s="1"/>
  <c r="H76" i="2"/>
  <c r="C76" i="2"/>
  <c r="I76" i="2"/>
  <c r="L76" i="2"/>
  <c r="A75" i="2"/>
  <c r="E206" i="2"/>
  <c r="G206" i="2"/>
  <c r="F206" i="2"/>
  <c r="B207" i="2"/>
  <c r="G209" i="1" l="1"/>
  <c r="E209" i="1"/>
  <c r="B210" i="1"/>
  <c r="F209" i="1"/>
  <c r="M80" i="2"/>
  <c r="N80" i="2"/>
  <c r="J76" i="2"/>
  <c r="F207" i="2"/>
  <c r="E207" i="2"/>
  <c r="G207" i="2"/>
  <c r="B208" i="2"/>
  <c r="G210" i="1" l="1"/>
  <c r="F210" i="1"/>
  <c r="E210" i="1"/>
  <c r="B211" i="1"/>
  <c r="K76" i="2"/>
  <c r="O76" i="2" s="1"/>
  <c r="P76" i="2" s="1"/>
  <c r="B209" i="2"/>
  <c r="G208" i="2"/>
  <c r="E208" i="2"/>
  <c r="F208" i="2"/>
  <c r="G211" i="1" l="1"/>
  <c r="E211" i="1"/>
  <c r="F211" i="1"/>
  <c r="B212" i="1"/>
  <c r="D76" i="2" a="1"/>
  <c r="D76" i="2" s="1"/>
  <c r="F209" i="2"/>
  <c r="B210" i="2"/>
  <c r="G209" i="2"/>
  <c r="E209" i="2"/>
  <c r="G212" i="1" l="1"/>
  <c r="F212" i="1"/>
  <c r="B213" i="1"/>
  <c r="E212" i="1"/>
  <c r="W77" i="2"/>
  <c r="X77" i="2" s="1"/>
  <c r="C77" i="2"/>
  <c r="A76" i="2"/>
  <c r="H77" i="2"/>
  <c r="L77" i="2"/>
  <c r="I77" i="2"/>
  <c r="E210" i="2"/>
  <c r="G210" i="2"/>
  <c r="B211" i="2"/>
  <c r="F210" i="2"/>
  <c r="G213" i="1" l="1"/>
  <c r="F213" i="1"/>
  <c r="E213" i="1"/>
  <c r="B214" i="1"/>
  <c r="M81" i="2"/>
  <c r="N81" i="2"/>
  <c r="J77" i="2"/>
  <c r="K77" i="2" s="1"/>
  <c r="O77" i="2" s="1"/>
  <c r="P77" i="2" s="1"/>
  <c r="B212" i="2"/>
  <c r="F211" i="2"/>
  <c r="G211" i="2"/>
  <c r="E211" i="2"/>
  <c r="F214" i="1" l="1"/>
  <c r="B215" i="1"/>
  <c r="G214" i="1"/>
  <c r="E214" i="1"/>
  <c r="D77" i="2" a="1"/>
  <c r="D77" i="2" s="1"/>
  <c r="B213" i="2"/>
  <c r="G212" i="2"/>
  <c r="F212" i="2"/>
  <c r="E212" i="2"/>
  <c r="E215" i="1" l="1"/>
  <c r="B216" i="1"/>
  <c r="G215" i="1"/>
  <c r="F215" i="1"/>
  <c r="A77" i="2"/>
  <c r="I78" i="2"/>
  <c r="H78" i="2"/>
  <c r="W78" i="2"/>
  <c r="X78" i="2" s="1"/>
  <c r="C78" i="2"/>
  <c r="L78" i="2"/>
  <c r="E213" i="2"/>
  <c r="G213" i="2"/>
  <c r="F213" i="2"/>
  <c r="B214" i="2"/>
  <c r="G216" i="1" l="1"/>
  <c r="F216" i="1"/>
  <c r="E216" i="1"/>
  <c r="B217" i="1"/>
  <c r="J78" i="2"/>
  <c r="K78" i="2" s="1"/>
  <c r="N82" i="2"/>
  <c r="M82" i="2"/>
  <c r="G214" i="2"/>
  <c r="F214" i="2"/>
  <c r="B215" i="2"/>
  <c r="E214" i="2"/>
  <c r="O78" i="2" l="1"/>
  <c r="P78" i="2" s="1"/>
  <c r="D78" i="2" a="1"/>
  <c r="D78" i="2" s="1"/>
  <c r="H79" i="2" s="1"/>
  <c r="G217" i="1"/>
  <c r="F217" i="1"/>
  <c r="E217" i="1"/>
  <c r="B218" i="1"/>
  <c r="B216" i="2"/>
  <c r="G215" i="2"/>
  <c r="E215" i="2"/>
  <c r="F215" i="2"/>
  <c r="C79" i="2" l="1"/>
  <c r="L79" i="2"/>
  <c r="M83" i="2" s="1"/>
  <c r="I79" i="2"/>
  <c r="W79" i="2"/>
  <c r="X79" i="2" s="1"/>
  <c r="A78" i="2"/>
  <c r="B219" i="1"/>
  <c r="F218" i="1"/>
  <c r="G218" i="1"/>
  <c r="E218" i="1"/>
  <c r="N83" i="2"/>
  <c r="J79" i="2"/>
  <c r="F216" i="2"/>
  <c r="G216" i="2"/>
  <c r="E216" i="2"/>
  <c r="B217" i="2"/>
  <c r="G219" i="1" l="1"/>
  <c r="B220" i="1"/>
  <c r="F219" i="1"/>
  <c r="E219" i="1"/>
  <c r="K79" i="2"/>
  <c r="O79" i="2" s="1"/>
  <c r="P79" i="2" s="1"/>
  <c r="I218" i="2"/>
  <c r="J218" i="2" s="1"/>
  <c r="K217" i="2"/>
  <c r="B218" i="2"/>
  <c r="I221" i="1" l="1"/>
  <c r="J221" i="1" s="1"/>
  <c r="B221" i="1"/>
  <c r="K220" i="1"/>
  <c r="D79" i="2" a="1"/>
  <c r="D79" i="2" s="1"/>
  <c r="L218" i="2"/>
  <c r="K218" i="2"/>
  <c r="I219" i="2"/>
  <c r="J219" i="2" s="1"/>
  <c r="B219" i="2"/>
  <c r="L221" i="1" l="1"/>
  <c r="K221" i="1"/>
  <c r="I222" i="1"/>
  <c r="J222" i="1" s="1"/>
  <c r="B222" i="1"/>
  <c r="A79" i="2"/>
  <c r="C80" i="2"/>
  <c r="W80" i="2"/>
  <c r="X80" i="2" s="1"/>
  <c r="I80" i="2"/>
  <c r="L80" i="2"/>
  <c r="H80" i="2"/>
  <c r="L219" i="2"/>
  <c r="I220" i="2"/>
  <c r="J220" i="2" s="1"/>
  <c r="B220" i="2"/>
  <c r="K219" i="2"/>
  <c r="N222" i="2"/>
  <c r="O222" i="2" s="1"/>
  <c r="P222" i="2" s="1"/>
  <c r="M222" i="2"/>
  <c r="J80" i="2" l="1"/>
  <c r="L222" i="1"/>
  <c r="I223" i="1"/>
  <c r="J223" i="1" s="1"/>
  <c r="K222" i="1"/>
  <c r="B223" i="1"/>
  <c r="M225" i="1"/>
  <c r="N225" i="1"/>
  <c r="O225" i="1" s="1"/>
  <c r="P225" i="1" s="1"/>
  <c r="M84" i="2"/>
  <c r="N84" i="2"/>
  <c r="K80" i="2"/>
  <c r="O80" i="2" s="1"/>
  <c r="P80" i="2" s="1"/>
  <c r="L220" i="2"/>
  <c r="K220" i="2"/>
  <c r="I221" i="2"/>
  <c r="M223" i="2"/>
  <c r="N223" i="2"/>
  <c r="O223" i="2" s="1"/>
  <c r="P223" i="2" s="1"/>
  <c r="I224" i="1" l="1"/>
  <c r="J224" i="1" s="1"/>
  <c r="K224" i="1" s="1"/>
  <c r="L223" i="1"/>
  <c r="K223" i="1"/>
  <c r="M226" i="1"/>
  <c r="N226" i="1"/>
  <c r="O226" i="1" s="1"/>
  <c r="P226" i="1" s="1"/>
  <c r="D80" i="2" a="1"/>
  <c r="D80" i="2" s="1"/>
  <c r="J221" i="2"/>
  <c r="K221" i="2" s="1"/>
  <c r="M224" i="2"/>
  <c r="N224" i="2"/>
  <c r="N227" i="1" l="1"/>
  <c r="O227" i="1" s="1"/>
  <c r="P227" i="1" s="1"/>
  <c r="M227" i="1"/>
  <c r="H81" i="2"/>
  <c r="C81" i="2"/>
  <c r="W81" i="2"/>
  <c r="X81" i="2" s="1"/>
  <c r="A80" i="2"/>
  <c r="L81" i="2"/>
  <c r="I81" i="2"/>
  <c r="O224" i="2"/>
  <c r="N85" i="2" l="1"/>
  <c r="M85" i="2"/>
  <c r="J81" i="2"/>
  <c r="P224" i="2"/>
  <c r="K81" i="2" l="1"/>
  <c r="O81" i="2" s="1"/>
  <c r="P81" i="2" s="1"/>
  <c r="D81" i="2" l="1" a="1"/>
  <c r="D81" i="2" s="1"/>
  <c r="W82" i="2" l="1"/>
  <c r="X82" i="2" s="1"/>
  <c r="H82" i="2"/>
  <c r="C82" i="2"/>
  <c r="A81" i="2"/>
  <c r="I82" i="2"/>
  <c r="L82" i="2"/>
  <c r="N86" i="2" l="1"/>
  <c r="M86" i="2"/>
  <c r="J82" i="2"/>
  <c r="K82" i="2" l="1"/>
  <c r="O82" i="2" s="1"/>
  <c r="P82" i="2" s="1"/>
  <c r="D82" i="2" l="1" a="1"/>
  <c r="D82" i="2" s="1"/>
  <c r="H83" i="2" l="1"/>
  <c r="I83" i="2"/>
  <c r="L83" i="2"/>
  <c r="C83" i="2"/>
  <c r="A82" i="2"/>
  <c r="W83" i="2"/>
  <c r="X83" i="2" s="1"/>
  <c r="N87" i="2" l="1"/>
  <c r="M87" i="2"/>
  <c r="J83" i="2"/>
  <c r="K83" i="2" l="1"/>
  <c r="O83" i="2" s="1"/>
  <c r="P83" i="2" s="1"/>
  <c r="D83" i="2" l="1" a="1"/>
  <c r="D83" i="2" s="1"/>
  <c r="I84" i="2" l="1"/>
  <c r="A83" i="2"/>
  <c r="H84" i="2"/>
  <c r="W84" i="2"/>
  <c r="X84" i="2" s="1"/>
  <c r="L84" i="2"/>
  <c r="C84" i="2"/>
  <c r="J84" i="2" l="1"/>
  <c r="K84" i="2" s="1"/>
  <c r="O84" i="2" s="1"/>
  <c r="P84" i="2" s="1"/>
  <c r="M88" i="2"/>
  <c r="N88" i="2"/>
  <c r="D84" i="2" l="1" a="1"/>
  <c r="D84" i="2" s="1"/>
  <c r="L85" i="2" s="1"/>
  <c r="C85" i="2" l="1"/>
  <c r="A84" i="2"/>
  <c r="I85" i="2"/>
  <c r="W85" i="2"/>
  <c r="X85" i="2" s="1"/>
  <c r="H85" i="2"/>
  <c r="J85" i="2" s="1"/>
  <c r="K85" i="2" s="1"/>
  <c r="M89" i="2"/>
  <c r="N89" i="2"/>
  <c r="O85" i="2" l="1"/>
  <c r="P85" i="2" s="1"/>
  <c r="D85" i="2" a="1"/>
  <c r="D85" i="2" s="1"/>
  <c r="W86" i="2" l="1"/>
  <c r="X86" i="2" s="1"/>
  <c r="H86" i="2"/>
  <c r="I86" i="2"/>
  <c r="C86" i="2"/>
  <c r="A85" i="2"/>
  <c r="L86" i="2"/>
  <c r="M90" i="2" l="1"/>
  <c r="N90" i="2"/>
  <c r="J86" i="2"/>
  <c r="K86" i="2" l="1"/>
  <c r="O86" i="2" s="1"/>
  <c r="P86" i="2" s="1"/>
  <c r="D86" i="2" a="1"/>
  <c r="D86" i="2" s="1"/>
  <c r="W87" i="2" l="1"/>
  <c r="X87" i="2" s="1"/>
  <c r="H87" i="2"/>
  <c r="L87" i="2"/>
  <c r="C87" i="2"/>
  <c r="I87" i="2"/>
  <c r="A86" i="2"/>
  <c r="M91" i="2" l="1"/>
  <c r="N91" i="2"/>
  <c r="J87" i="2"/>
  <c r="K87" i="2" l="1"/>
  <c r="O87" i="2" s="1"/>
  <c r="P87" i="2" s="1"/>
  <c r="D87" i="2" l="1" a="1"/>
  <c r="D87" i="2" s="1"/>
  <c r="W88" i="2" l="1"/>
  <c r="X88" i="2" s="1"/>
  <c r="A87" i="2"/>
  <c r="L88" i="2"/>
  <c r="C88" i="2"/>
  <c r="I88" i="2"/>
  <c r="H88" i="2"/>
  <c r="J88" i="2" s="1"/>
  <c r="K88" i="2" l="1"/>
  <c r="M92" i="2"/>
  <c r="N92" i="2"/>
  <c r="O88" i="2" l="1"/>
  <c r="P88" i="2" s="1"/>
  <c r="D88" i="2" a="1"/>
  <c r="D88" i="2" s="1"/>
  <c r="W89" i="2" l="1"/>
  <c r="X89" i="2" s="1"/>
  <c r="C89" i="2"/>
  <c r="A88" i="2"/>
  <c r="H89" i="2"/>
  <c r="I89" i="2"/>
  <c r="L89" i="2"/>
  <c r="M93" i="2" l="1"/>
  <c r="N93" i="2"/>
  <c r="J89" i="2"/>
  <c r="K89" i="2" s="1"/>
  <c r="O89" i="2" s="1"/>
  <c r="P89" i="2" s="1"/>
  <c r="D89" i="2" l="1" a="1"/>
  <c r="D89" i="2" s="1"/>
  <c r="W90" i="2" l="1"/>
  <c r="X90" i="2" s="1"/>
  <c r="L90" i="2"/>
  <c r="H90" i="2"/>
  <c r="A89" i="2"/>
  <c r="I90" i="2"/>
  <c r="C90" i="2"/>
  <c r="J90" i="2" l="1"/>
  <c r="M94" i="2"/>
  <c r="N94" i="2"/>
  <c r="K90" i="2" l="1"/>
  <c r="O90" i="2" s="1"/>
  <c r="P90" i="2" s="1"/>
  <c r="D90" i="2" l="1" a="1"/>
  <c r="D90" i="2" s="1"/>
  <c r="W91" i="2" l="1"/>
  <c r="X91" i="2" s="1"/>
  <c r="H91" i="2"/>
  <c r="I91" i="2"/>
  <c r="C91" i="2"/>
  <c r="L91" i="2"/>
  <c r="A90" i="2"/>
  <c r="N95" i="2" l="1"/>
  <c r="M95" i="2"/>
  <c r="J91" i="2"/>
  <c r="K91" i="2" l="1"/>
  <c r="O91" i="2" s="1"/>
  <c r="P91" i="2" s="1"/>
  <c r="D91" i="2" l="1" a="1"/>
  <c r="D91" i="2" s="1"/>
  <c r="W92" i="2" l="1"/>
  <c r="X92" i="2" s="1"/>
  <c r="L92" i="2"/>
  <c r="I92" i="2"/>
  <c r="H92" i="2"/>
  <c r="C92" i="2"/>
  <c r="A91" i="2"/>
  <c r="J92" i="2" l="1"/>
  <c r="K92" i="2" s="1"/>
  <c r="O92" i="2" s="1"/>
  <c r="P92" i="2" s="1"/>
  <c r="M96" i="2"/>
  <c r="N96" i="2"/>
  <c r="D92" i="2" l="1" a="1"/>
  <c r="D92" i="2" s="1"/>
  <c r="I93" i="2" l="1"/>
  <c r="H93" i="2"/>
  <c r="J93" i="2" s="1"/>
  <c r="A92" i="2"/>
  <c r="W93" i="2"/>
  <c r="X93" i="2" s="1"/>
  <c r="L93" i="2"/>
  <c r="C93" i="2"/>
  <c r="K93" i="2" l="1"/>
  <c r="D93" i="2" s="1" a="1"/>
  <c r="D93" i="2" s="1"/>
  <c r="A93" i="2" s="1"/>
  <c r="M97" i="2"/>
  <c r="N97" i="2"/>
  <c r="O93" i="2" l="1"/>
  <c r="P93" i="2" s="1"/>
  <c r="W94" i="2"/>
  <c r="X94" i="2" s="1"/>
  <c r="I94" i="2"/>
  <c r="H94" i="2"/>
  <c r="C94" i="2"/>
  <c r="L94" i="2"/>
  <c r="M98" i="2" s="1"/>
  <c r="J94" i="2"/>
  <c r="K94" i="2" s="1"/>
  <c r="N98" i="2"/>
  <c r="O94" i="2" l="1"/>
  <c r="P94" i="2" s="1"/>
  <c r="D94" i="2" a="1"/>
  <c r="D94" i="2" s="1"/>
  <c r="W95" i="2" l="1"/>
  <c r="X95" i="2" s="1"/>
  <c r="H95" i="2"/>
  <c r="L95" i="2"/>
  <c r="I95" i="2"/>
  <c r="J95" i="2" s="1"/>
  <c r="A94" i="2"/>
  <c r="C95" i="2"/>
  <c r="K95" i="2" l="1"/>
  <c r="M99" i="2"/>
  <c r="N99" i="2"/>
  <c r="O95" i="2" l="1"/>
  <c r="P95" i="2" s="1"/>
  <c r="D95" i="2" a="1"/>
  <c r="D95" i="2" s="1"/>
  <c r="I96" i="2" l="1"/>
  <c r="W96" i="2"/>
  <c r="X96" i="2" s="1"/>
  <c r="L96" i="2"/>
  <c r="C96" i="2"/>
  <c r="A95" i="2"/>
  <c r="H96" i="2"/>
  <c r="J96" i="2" s="1"/>
  <c r="K96" i="2" s="1"/>
  <c r="O96" i="2" s="1"/>
  <c r="P96" i="2" s="1"/>
  <c r="D96" i="2" l="1" a="1"/>
  <c r="D96" i="2" s="1"/>
  <c r="H97" i="2" s="1"/>
  <c r="N100" i="2"/>
  <c r="M100" i="2"/>
  <c r="L97" i="2" l="1"/>
  <c r="I97" i="2"/>
  <c r="C97" i="2"/>
  <c r="A96" i="2"/>
  <c r="W97" i="2"/>
  <c r="X97" i="2" s="1"/>
  <c r="M101" i="2"/>
  <c r="N101" i="2"/>
  <c r="J97" i="2"/>
  <c r="K97" i="2" l="1"/>
  <c r="O97" i="2" s="1"/>
  <c r="P97" i="2" s="1"/>
  <c r="D97" i="2" l="1" a="1"/>
  <c r="D97" i="2" s="1"/>
  <c r="A97" i="2" l="1"/>
  <c r="L98" i="2"/>
  <c r="C98" i="2"/>
  <c r="W98" i="2"/>
  <c r="X98" i="2" s="1"/>
  <c r="I98" i="2"/>
  <c r="H98" i="2"/>
  <c r="J98" i="2" l="1"/>
  <c r="K98" i="2"/>
  <c r="O98" i="2" s="1"/>
  <c r="P98" i="2" s="1"/>
  <c r="M102" i="2"/>
  <c r="N102" i="2"/>
  <c r="D98" i="2" l="1" a="1"/>
  <c r="D98" i="2" s="1"/>
  <c r="C99" i="2" l="1"/>
  <c r="L99" i="2"/>
  <c r="W99" i="2"/>
  <c r="X99" i="2" s="1"/>
  <c r="A98" i="2"/>
  <c r="I99" i="2"/>
  <c r="H99" i="2"/>
  <c r="J99" i="2" s="1"/>
  <c r="K99" i="2" l="1"/>
  <c r="O99" i="2" s="1"/>
  <c r="P99" i="2" s="1"/>
  <c r="M103" i="2"/>
  <c r="N103" i="2"/>
  <c r="D99" i="2" l="1" a="1"/>
  <c r="D99" i="2" s="1"/>
  <c r="W100" i="2" s="1"/>
  <c r="X100" i="2" s="1"/>
  <c r="I100" i="2" l="1"/>
  <c r="A99" i="2"/>
  <c r="H100" i="2"/>
  <c r="J100" i="2" s="1"/>
  <c r="L100" i="2"/>
  <c r="C100" i="2"/>
  <c r="N104" i="2"/>
  <c r="M104" i="2"/>
  <c r="K100" i="2" l="1"/>
  <c r="O100" i="2" s="1"/>
  <c r="P100" i="2" s="1"/>
  <c r="D100" i="2" l="1" a="1"/>
  <c r="D100" i="2" s="1"/>
  <c r="L101" i="2" s="1"/>
  <c r="I101" i="2" l="1"/>
  <c r="H101" i="2"/>
  <c r="A100" i="2"/>
  <c r="C101" i="2"/>
  <c r="W101" i="2"/>
  <c r="X101" i="2" s="1"/>
  <c r="N105" i="2"/>
  <c r="M105" i="2"/>
  <c r="J101" i="2" l="1"/>
  <c r="K101" i="2" s="1"/>
  <c r="O101" i="2" s="1"/>
  <c r="P101" i="2" s="1"/>
  <c r="D101" i="2" l="1" a="1"/>
  <c r="D101" i="2" s="1"/>
  <c r="H102" i="2" s="1"/>
  <c r="A101" i="2" l="1"/>
  <c r="C102" i="2"/>
  <c r="L102" i="2"/>
  <c r="N106" i="2" s="1"/>
  <c r="W102" i="2"/>
  <c r="X102" i="2" s="1"/>
  <c r="I102" i="2"/>
  <c r="J102" i="2" s="1"/>
  <c r="K102" i="2" s="1"/>
  <c r="O102" i="2" s="1"/>
  <c r="P102" i="2" s="1"/>
  <c r="M106" i="2" l="1"/>
  <c r="D102" i="2" a="1"/>
  <c r="D102" i="2" s="1"/>
  <c r="L103" i="2" l="1"/>
  <c r="W103" i="2"/>
  <c r="X103" i="2" s="1"/>
  <c r="A102" i="2"/>
  <c r="I103" i="2"/>
  <c r="H103" i="2"/>
  <c r="C103" i="2"/>
  <c r="J103" i="2" l="1"/>
  <c r="N107" i="2"/>
  <c r="M107" i="2"/>
  <c r="K103" i="2" l="1"/>
  <c r="O103" i="2" s="1"/>
  <c r="P103" i="2" s="1"/>
  <c r="D103" i="2" l="1" a="1"/>
  <c r="D103" i="2" s="1"/>
  <c r="H104" i="2" l="1"/>
  <c r="W104" i="2"/>
  <c r="X104" i="2" s="1"/>
  <c r="I104" i="2"/>
  <c r="L104" i="2"/>
  <c r="C104" i="2"/>
  <c r="A103" i="2"/>
  <c r="N108" i="2" l="1"/>
  <c r="M108" i="2"/>
  <c r="J104" i="2"/>
  <c r="K104" i="2" l="1"/>
  <c r="O104" i="2" s="1"/>
  <c r="P104" i="2" s="1"/>
  <c r="D104" i="2" l="1" a="1"/>
  <c r="D104" i="2" s="1"/>
  <c r="W105" i="2" l="1"/>
  <c r="X105" i="2" s="1"/>
  <c r="I105" i="2"/>
  <c r="H105" i="2"/>
  <c r="L105" i="2"/>
  <c r="C105" i="2"/>
  <c r="A104" i="2"/>
  <c r="J105" i="2" l="1"/>
  <c r="K105" i="2" s="1"/>
  <c r="N109" i="2"/>
  <c r="M109" i="2"/>
  <c r="O105" i="2" l="1"/>
  <c r="P105" i="2" s="1"/>
  <c r="D105" i="2" a="1"/>
  <c r="D105" i="2" s="1"/>
  <c r="C106" i="2" l="1"/>
  <c r="A105" i="2"/>
  <c r="W106" i="2"/>
  <c r="X106" i="2" s="1"/>
  <c r="I106" i="2"/>
  <c r="L106" i="2"/>
  <c r="H106" i="2"/>
  <c r="J106" i="2" s="1"/>
  <c r="K106" i="2" l="1"/>
  <c r="M110" i="2"/>
  <c r="N110" i="2"/>
  <c r="O106" i="2" l="1"/>
  <c r="P106" i="2" s="1"/>
  <c r="D106" i="2" a="1"/>
  <c r="D106" i="2" s="1"/>
  <c r="C107" i="2" l="1"/>
  <c r="A106" i="2"/>
  <c r="I107" i="2"/>
  <c r="W107" i="2"/>
  <c r="X107" i="2" s="1"/>
  <c r="H107" i="2"/>
  <c r="J107" i="2" s="1"/>
  <c r="L107" i="2"/>
  <c r="M111" i="2" l="1"/>
  <c r="N111" i="2"/>
  <c r="K107" i="2"/>
  <c r="O107" i="2" l="1"/>
  <c r="P107" i="2" s="1"/>
  <c r="D107" i="2" a="1"/>
  <c r="D107" i="2" s="1"/>
  <c r="I108" i="2" l="1"/>
  <c r="A107" i="2"/>
  <c r="L108" i="2"/>
  <c r="H108" i="2"/>
  <c r="J108" i="2" s="1"/>
  <c r="W108" i="2"/>
  <c r="X108" i="2" s="1"/>
  <c r="C108" i="2"/>
  <c r="K108" i="2" l="1"/>
  <c r="O108" i="2" s="1"/>
  <c r="P108" i="2" s="1"/>
  <c r="D108" i="2" a="1"/>
  <c r="D108" i="2" s="1"/>
  <c r="M112" i="2"/>
  <c r="N112" i="2"/>
  <c r="H109" i="2" l="1"/>
  <c r="C109" i="2"/>
  <c r="I109" i="2"/>
  <c r="J109" i="2" s="1"/>
  <c r="A108" i="2"/>
  <c r="L109" i="2"/>
  <c r="W109" i="2"/>
  <c r="X109" i="2" s="1"/>
  <c r="M113" i="2" l="1"/>
  <c r="N113" i="2"/>
  <c r="K109" i="2"/>
  <c r="O109" i="2" l="1"/>
  <c r="P109" i="2" s="1"/>
  <c r="D109" i="2" a="1"/>
  <c r="D109" i="2" s="1"/>
  <c r="W110" i="2" l="1"/>
  <c r="X110" i="2" s="1"/>
  <c r="C110" i="2"/>
  <c r="A109" i="2"/>
  <c r="H110" i="2"/>
  <c r="I110" i="2"/>
  <c r="L110" i="2"/>
  <c r="N114" i="2" l="1"/>
  <c r="M114" i="2"/>
  <c r="J110" i="2"/>
  <c r="K110" i="2" s="1"/>
  <c r="O110" i="2" s="1"/>
  <c r="P110" i="2" s="1"/>
  <c r="D110" i="2" l="1" a="1"/>
  <c r="D110" i="2" s="1"/>
  <c r="W111" i="2" s="1"/>
  <c r="X111" i="2" s="1"/>
  <c r="C111" i="2" l="1"/>
  <c r="I111" i="2"/>
  <c r="H111" i="2"/>
  <c r="J111" i="2" s="1"/>
  <c r="K111" i="2" s="1"/>
  <c r="A110" i="2"/>
  <c r="L111" i="2"/>
  <c r="N115" i="2" s="1"/>
  <c r="M115" i="2" l="1"/>
  <c r="O111" i="2"/>
  <c r="P111" i="2" s="1"/>
  <c r="D111" i="2" a="1"/>
  <c r="D111" i="2" s="1"/>
  <c r="W112" i="2" s="1"/>
  <c r="X112" i="2" s="1"/>
  <c r="H112" i="2" l="1"/>
  <c r="L112" i="2"/>
  <c r="N116" i="2" s="1"/>
  <c r="C112" i="2"/>
  <c r="I112" i="2"/>
  <c r="A111" i="2"/>
  <c r="J112" i="2" l="1"/>
  <c r="M116" i="2"/>
  <c r="K112" i="2"/>
  <c r="O112" i="2" s="1"/>
  <c r="P112" i="2" s="1"/>
  <c r="D112" i="2" l="1" a="1"/>
  <c r="D112" i="2" s="1"/>
  <c r="L113" i="2" s="1"/>
  <c r="A112" i="2" l="1"/>
  <c r="H113" i="2"/>
  <c r="W113" i="2"/>
  <c r="X113" i="2" s="1"/>
  <c r="I113" i="2"/>
  <c r="C113" i="2"/>
  <c r="N117" i="2"/>
  <c r="M117" i="2"/>
  <c r="J113" i="2" l="1"/>
  <c r="K113" i="2" s="1"/>
  <c r="O113" i="2" s="1"/>
  <c r="P113" i="2" s="1"/>
  <c r="D113" i="2" a="1"/>
  <c r="D113" i="2" s="1"/>
  <c r="W114" i="2" l="1"/>
  <c r="X114" i="2" s="1"/>
  <c r="L114" i="2"/>
  <c r="A113" i="2"/>
  <c r="H114" i="2"/>
  <c r="I114" i="2"/>
  <c r="C114" i="2"/>
  <c r="J114" i="2" l="1"/>
  <c r="N118" i="2"/>
  <c r="M118" i="2"/>
  <c r="K114" i="2" l="1"/>
  <c r="O114" i="2" s="1"/>
  <c r="P114" i="2" s="1"/>
  <c r="D114" i="2" l="1" a="1"/>
  <c r="D114" i="2" s="1"/>
  <c r="H115" i="2" l="1"/>
  <c r="I115" i="2"/>
  <c r="W115" i="2"/>
  <c r="X115" i="2" s="1"/>
  <c r="L115" i="2"/>
  <c r="C115" i="2"/>
  <c r="A114" i="2"/>
  <c r="N119" i="2" l="1"/>
  <c r="M119" i="2"/>
  <c r="J115" i="2"/>
  <c r="K115" i="2" l="1"/>
  <c r="O115" i="2" s="1"/>
  <c r="P115" i="2" s="1"/>
  <c r="D115" i="2" l="1" a="1"/>
  <c r="D115" i="2" s="1"/>
  <c r="C116" i="2" l="1"/>
  <c r="W116" i="2"/>
  <c r="X116" i="2" s="1"/>
  <c r="L116" i="2"/>
  <c r="I116" i="2"/>
  <c r="H116" i="2"/>
  <c r="J116" i="2" s="1"/>
  <c r="A115" i="2"/>
  <c r="M120" i="2" l="1"/>
  <c r="N120" i="2"/>
  <c r="K116" i="2"/>
  <c r="O116" i="2" l="1"/>
  <c r="P116" i="2" s="1"/>
  <c r="D116" i="2" a="1"/>
  <c r="D116" i="2" s="1"/>
  <c r="W117" i="2" l="1"/>
  <c r="X117" i="2" s="1"/>
  <c r="A116" i="2"/>
  <c r="H117" i="2"/>
  <c r="C117" i="2"/>
  <c r="L117" i="2"/>
  <c r="I117" i="2"/>
  <c r="M121" i="2" l="1"/>
  <c r="N121" i="2"/>
  <c r="J117" i="2"/>
  <c r="K117" i="2" l="1"/>
  <c r="O117" i="2" s="1"/>
  <c r="P117" i="2" s="1"/>
  <c r="D117" i="2" l="1" a="1"/>
  <c r="D117" i="2" s="1"/>
  <c r="H118" i="2" l="1"/>
  <c r="W118" i="2"/>
  <c r="X118" i="2" s="1"/>
  <c r="I118" i="2"/>
  <c r="L118" i="2"/>
  <c r="C118" i="2"/>
  <c r="A117" i="2"/>
  <c r="J118" i="2" l="1"/>
  <c r="K118" i="2"/>
  <c r="O118" i="2" s="1"/>
  <c r="P118" i="2" s="1"/>
  <c r="M122" i="2"/>
  <c r="N122" i="2"/>
  <c r="D118" i="2" l="1" a="1"/>
  <c r="D118" i="2" s="1"/>
  <c r="H119" i="2" l="1"/>
  <c r="W119" i="2"/>
  <c r="X119" i="2" s="1"/>
  <c r="I119" i="2"/>
  <c r="C119" i="2"/>
  <c r="A118" i="2"/>
  <c r="L119" i="2"/>
  <c r="J119" i="2" l="1"/>
  <c r="M123" i="2"/>
  <c r="N123" i="2"/>
  <c r="K119" i="2" l="1"/>
  <c r="O119" i="2" s="1"/>
  <c r="P119" i="2" s="1"/>
  <c r="D119" i="2" l="1" a="1"/>
  <c r="D119" i="2" s="1"/>
  <c r="W120" i="2" l="1"/>
  <c r="X120" i="2" s="1"/>
  <c r="A119" i="2"/>
  <c r="H120" i="2"/>
  <c r="C120" i="2"/>
  <c r="L120" i="2"/>
  <c r="I120" i="2"/>
  <c r="N124" i="2" l="1"/>
  <c r="M124" i="2"/>
  <c r="J120" i="2"/>
  <c r="K120" i="2" s="1"/>
  <c r="O120" i="2" s="1"/>
  <c r="P120" i="2" s="1"/>
  <c r="D120" i="2" l="1" a="1"/>
  <c r="D120" i="2" s="1"/>
  <c r="L121" i="2" l="1"/>
  <c r="I121" i="2"/>
  <c r="A120" i="2"/>
  <c r="C121" i="2"/>
  <c r="H121" i="2"/>
  <c r="W121" i="2"/>
  <c r="X121" i="2" s="1"/>
  <c r="J121" i="2" l="1"/>
  <c r="K121" i="2" s="1"/>
  <c r="O121" i="2" s="1"/>
  <c r="P121" i="2" s="1"/>
  <c r="N125" i="2"/>
  <c r="M125" i="2"/>
  <c r="D121" i="2" l="1" a="1"/>
  <c r="D121" i="2" s="1"/>
  <c r="W122" i="2" l="1"/>
  <c r="X122" i="2" s="1"/>
  <c r="I122" i="2"/>
  <c r="A121" i="2"/>
  <c r="L122" i="2"/>
  <c r="H122" i="2"/>
  <c r="J122" i="2" s="1"/>
  <c r="C122" i="2"/>
  <c r="K122" i="2" l="1"/>
  <c r="O122" i="2" s="1"/>
  <c r="P122" i="2" s="1"/>
  <c r="D122" i="2" a="1"/>
  <c r="D122" i="2" s="1"/>
  <c r="C123" i="2" s="1"/>
  <c r="N126" i="2"/>
  <c r="M126" i="2"/>
  <c r="I123" i="2" l="1"/>
  <c r="A122" i="2"/>
  <c r="L123" i="2"/>
  <c r="N127" i="2" s="1"/>
  <c r="H123" i="2"/>
  <c r="J123" i="2" s="1"/>
  <c r="W123" i="2"/>
  <c r="X123" i="2" s="1"/>
  <c r="M127" i="2" l="1"/>
  <c r="K123" i="2"/>
  <c r="O123" i="2" s="1"/>
  <c r="P123" i="2" s="1"/>
  <c r="D123" i="2" l="1" a="1"/>
  <c r="D123" i="2" s="1"/>
  <c r="C124" i="2" l="1"/>
  <c r="A123" i="2"/>
  <c r="H124" i="2"/>
  <c r="W124" i="2"/>
  <c r="X124" i="2" s="1"/>
  <c r="I124" i="2"/>
  <c r="L124" i="2"/>
  <c r="M128" i="2" l="1"/>
  <c r="N128" i="2"/>
  <c r="J124" i="2"/>
  <c r="K124" i="2"/>
  <c r="O124" i="2" s="1"/>
  <c r="P124" i="2" s="1"/>
  <c r="D124" i="2" l="1" a="1"/>
  <c r="D124" i="2" s="1"/>
  <c r="W125" i="2" l="1"/>
  <c r="X125" i="2" s="1"/>
  <c r="A124" i="2"/>
  <c r="C125" i="2"/>
  <c r="I125" i="2"/>
  <c r="H125" i="2"/>
  <c r="J125" i="2" s="1"/>
  <c r="K125" i="2" s="1"/>
  <c r="L125" i="2"/>
  <c r="D125" i="2" l="1" a="1"/>
  <c r="D125" i="2" s="1"/>
  <c r="H126" i="2" s="1"/>
  <c r="M129" i="2"/>
  <c r="N129" i="2"/>
  <c r="O125" i="2"/>
  <c r="P125" i="2" s="1"/>
  <c r="I126" i="2" l="1"/>
  <c r="J126" i="2" s="1"/>
  <c r="A125" i="2"/>
  <c r="C126" i="2"/>
  <c r="L126" i="2"/>
  <c r="M130" i="2" s="1"/>
  <c r="W126" i="2"/>
  <c r="X126" i="2" s="1"/>
  <c r="K126" i="2" l="1"/>
  <c r="O126" i="2" s="1"/>
  <c r="P126" i="2" s="1"/>
  <c r="N130" i="2"/>
  <c r="D126" i="2" a="1"/>
  <c r="D126" i="2" s="1"/>
  <c r="I127" i="2" l="1"/>
  <c r="A126" i="2"/>
  <c r="H127" i="2"/>
  <c r="L127" i="2"/>
  <c r="C127" i="2"/>
  <c r="W127" i="2"/>
  <c r="X127" i="2" s="1"/>
  <c r="J127" i="2" l="1"/>
  <c r="K127" i="2"/>
  <c r="O127" i="2" s="1"/>
  <c r="P127" i="2" s="1"/>
  <c r="M131" i="2"/>
  <c r="N131" i="2"/>
  <c r="D127" i="2" l="1" a="1"/>
  <c r="D127" i="2" s="1"/>
  <c r="W128" i="2" s="1"/>
  <c r="X128" i="2" s="1"/>
  <c r="C128" i="2"/>
  <c r="I128" i="2"/>
  <c r="A127" i="2"/>
  <c r="H128" i="2"/>
  <c r="J128" i="2" s="1"/>
  <c r="L128" i="2" l="1"/>
  <c r="K128" i="2"/>
  <c r="M132" i="2"/>
  <c r="N132" i="2"/>
  <c r="O128" i="2" l="1"/>
  <c r="P128" i="2" s="1"/>
  <c r="D128" i="2" a="1"/>
  <c r="D128" i="2" s="1"/>
  <c r="W129" i="2" l="1"/>
  <c r="X129" i="2" s="1"/>
  <c r="H129" i="2"/>
  <c r="A128" i="2"/>
  <c r="I129" i="2"/>
  <c r="L129" i="2"/>
  <c r="C129" i="2"/>
  <c r="M133" i="2" l="1"/>
  <c r="N133" i="2"/>
  <c r="J129" i="2"/>
  <c r="K129" i="2" l="1"/>
  <c r="O129" i="2" s="1"/>
  <c r="P129" i="2" s="1"/>
  <c r="D129" i="2" l="1" a="1"/>
  <c r="D129" i="2" s="1"/>
  <c r="A129" i="2" l="1"/>
  <c r="I130" i="2"/>
  <c r="L130" i="2"/>
  <c r="H130" i="2"/>
  <c r="J130" i="2" s="1"/>
  <c r="C130" i="2"/>
  <c r="W130" i="2"/>
  <c r="X130" i="2" s="1"/>
  <c r="K130" i="2" l="1"/>
  <c r="O130" i="2" s="1"/>
  <c r="P130" i="2" s="1"/>
  <c r="D130" i="2" a="1"/>
  <c r="D130" i="2" s="1"/>
  <c r="L131" i="2" s="1"/>
  <c r="M134" i="2"/>
  <c r="N134" i="2"/>
  <c r="I131" i="2" l="1"/>
  <c r="H131" i="2"/>
  <c r="J131" i="2" s="1"/>
  <c r="A130" i="2"/>
  <c r="C131" i="2"/>
  <c r="W131" i="2"/>
  <c r="X131" i="2" s="1"/>
  <c r="N135" i="2"/>
  <c r="M135" i="2"/>
  <c r="K131" i="2" l="1"/>
  <c r="O131" i="2"/>
  <c r="P131" i="2" s="1"/>
  <c r="D131" i="2" a="1"/>
  <c r="D131" i="2" s="1"/>
  <c r="W132" i="2" l="1"/>
  <c r="X132" i="2" s="1"/>
  <c r="A131" i="2"/>
  <c r="H132" i="2"/>
  <c r="C132" i="2"/>
  <c r="L132" i="2"/>
  <c r="I132" i="2"/>
  <c r="M136" i="2" l="1"/>
  <c r="N136" i="2"/>
  <c r="J132" i="2"/>
  <c r="K132" i="2" l="1"/>
  <c r="O132" i="2" s="1"/>
  <c r="P132" i="2" s="1"/>
  <c r="D132" i="2" l="1" a="1"/>
  <c r="D132" i="2" s="1"/>
  <c r="C133" i="2" s="1"/>
  <c r="I133" i="2" l="1"/>
  <c r="A132" i="2"/>
  <c r="L133" i="2"/>
  <c r="N137" i="2" s="1"/>
  <c r="H133" i="2"/>
  <c r="J133" i="2" s="1"/>
  <c r="K133" i="2" s="1"/>
  <c r="O133" i="2" s="1"/>
  <c r="P133" i="2" s="1"/>
  <c r="W133" i="2"/>
  <c r="X133" i="2" s="1"/>
  <c r="M137" i="2" l="1"/>
  <c r="D133" i="2" a="1"/>
  <c r="D133" i="2" s="1"/>
  <c r="W134" i="2" l="1"/>
  <c r="X134" i="2" s="1"/>
  <c r="C134" i="2"/>
  <c r="I134" i="2"/>
  <c r="A133" i="2"/>
  <c r="H134" i="2"/>
  <c r="L134" i="2"/>
  <c r="J134" i="2" l="1"/>
  <c r="M138" i="2"/>
  <c r="N138" i="2"/>
  <c r="K134" i="2"/>
  <c r="O134" i="2" l="1"/>
  <c r="P134" i="2" s="1"/>
  <c r="D134" i="2" a="1"/>
  <c r="D134" i="2" s="1"/>
  <c r="W135" i="2" l="1"/>
  <c r="X135" i="2" s="1"/>
  <c r="I135" i="2"/>
  <c r="C135" i="2"/>
  <c r="H135" i="2"/>
  <c r="J135" i="2" s="1"/>
  <c r="L135" i="2"/>
  <c r="A134" i="2"/>
  <c r="M139" i="2" l="1"/>
  <c r="N139" i="2"/>
  <c r="K135" i="2"/>
  <c r="O135" i="2" l="1"/>
  <c r="P135" i="2" s="1"/>
  <c r="D135" i="2" a="1"/>
  <c r="D135" i="2" s="1"/>
  <c r="W136" i="2" l="1"/>
  <c r="X136" i="2" s="1"/>
  <c r="H136" i="2"/>
  <c r="C136" i="2"/>
  <c r="L136" i="2"/>
  <c r="I136" i="2"/>
  <c r="A135" i="2"/>
  <c r="M140" i="2" l="1"/>
  <c r="N140" i="2"/>
  <c r="J136" i="2"/>
  <c r="K136" i="2" l="1"/>
  <c r="O136" i="2" s="1"/>
  <c r="P136" i="2" s="1"/>
  <c r="D136" i="2" l="1" a="1"/>
  <c r="D136" i="2" s="1"/>
  <c r="W137" i="2" l="1"/>
  <c r="X137" i="2" s="1"/>
  <c r="L137" i="2"/>
  <c r="A136" i="2"/>
  <c r="H137" i="2"/>
  <c r="I137" i="2"/>
  <c r="C137" i="2"/>
  <c r="J137" i="2" l="1"/>
  <c r="M141" i="2"/>
  <c r="N141" i="2"/>
  <c r="K137" i="2" l="1"/>
  <c r="O137" i="2" s="1"/>
  <c r="P137" i="2" s="1"/>
  <c r="D137" i="2" l="1" a="1"/>
  <c r="D137" i="2" s="1"/>
  <c r="W138" i="2" l="1"/>
  <c r="X138" i="2" s="1"/>
  <c r="H138" i="2"/>
  <c r="A137" i="2"/>
  <c r="C138" i="2"/>
  <c r="L138" i="2"/>
  <c r="I138" i="2"/>
  <c r="N142" i="2" l="1"/>
  <c r="M142" i="2"/>
  <c r="J138" i="2"/>
  <c r="K138" i="2" l="1"/>
  <c r="O138" i="2" s="1"/>
  <c r="P138" i="2" s="1"/>
  <c r="D138" i="2" l="1" a="1"/>
  <c r="D138" i="2" s="1"/>
  <c r="W139" i="2" l="1"/>
  <c r="X139" i="2" s="1"/>
  <c r="L139" i="2"/>
  <c r="H139" i="2"/>
  <c r="I139" i="2"/>
  <c r="C139" i="2"/>
  <c r="A138" i="2"/>
  <c r="J139" i="2" l="1"/>
  <c r="M143" i="2"/>
  <c r="N143" i="2"/>
  <c r="K139" i="2" l="1"/>
  <c r="O139" i="2" s="1"/>
  <c r="P139" i="2" s="1"/>
  <c r="D139" i="2" l="1" a="1"/>
  <c r="D139" i="2" s="1"/>
  <c r="W140" i="2" l="1"/>
  <c r="X140" i="2" s="1"/>
  <c r="C140" i="2"/>
  <c r="L140" i="2"/>
  <c r="I140" i="2"/>
  <c r="A139" i="2"/>
  <c r="H140" i="2"/>
  <c r="J140" i="2" l="1"/>
  <c r="M144" i="2"/>
  <c r="N144" i="2"/>
  <c r="K140" i="2" l="1"/>
  <c r="O140" i="2" s="1"/>
  <c r="P140" i="2" s="1"/>
  <c r="D140" i="2" l="1" a="1"/>
  <c r="D140" i="2" s="1"/>
  <c r="H141" i="2" s="1"/>
  <c r="C141" i="2" l="1"/>
  <c r="I141" i="2"/>
  <c r="L141" i="2"/>
  <c r="A140" i="2"/>
  <c r="W141" i="2"/>
  <c r="X141" i="2" s="1"/>
  <c r="N145" i="2"/>
  <c r="M145" i="2"/>
  <c r="J141" i="2"/>
  <c r="K141" i="2" s="1"/>
  <c r="O141" i="2" l="1"/>
  <c r="P141" i="2" s="1"/>
  <c r="D141" i="2" a="1"/>
  <c r="D141" i="2" s="1"/>
  <c r="W142" i="2" s="1"/>
  <c r="X142" i="2" s="1"/>
  <c r="H142" i="2" l="1"/>
  <c r="L142" i="2"/>
  <c r="M146" i="2" s="1"/>
  <c r="C142" i="2"/>
  <c r="I142" i="2"/>
  <c r="A141" i="2"/>
  <c r="N146" i="2" l="1"/>
  <c r="J142" i="2"/>
  <c r="K142" i="2" s="1"/>
  <c r="O142" i="2" s="1"/>
  <c r="P142" i="2" s="1"/>
  <c r="D142" i="2" a="1"/>
  <c r="D142" i="2" s="1"/>
  <c r="W143" i="2" l="1"/>
  <c r="X143" i="2" s="1"/>
  <c r="A142" i="2"/>
  <c r="H143" i="2"/>
  <c r="I143" i="2"/>
  <c r="L143" i="2"/>
  <c r="C143" i="2"/>
  <c r="J143" i="2" l="1"/>
  <c r="M147" i="2"/>
  <c r="N147" i="2"/>
  <c r="K143" i="2" l="1"/>
  <c r="O143" i="2" s="1"/>
  <c r="P143" i="2" s="1"/>
  <c r="D143" i="2" l="1" a="1"/>
  <c r="D143" i="2" s="1"/>
  <c r="W144" i="2" s="1"/>
  <c r="X144" i="2" s="1"/>
  <c r="A143" i="2" l="1"/>
  <c r="I144" i="2"/>
  <c r="C144" i="2"/>
  <c r="H144" i="2"/>
  <c r="J144" i="2" s="1"/>
  <c r="L144" i="2"/>
  <c r="N148" i="2" s="1"/>
  <c r="K144" i="2"/>
  <c r="M148" i="2" l="1"/>
  <c r="O144" i="2"/>
  <c r="P144" i="2" s="1"/>
  <c r="D144" i="2" a="1"/>
  <c r="D144" i="2" s="1"/>
  <c r="W145" i="2" l="1"/>
  <c r="X145" i="2" s="1"/>
  <c r="H145" i="2"/>
  <c r="A144" i="2"/>
  <c r="I145" i="2"/>
  <c r="C145" i="2"/>
  <c r="L145" i="2"/>
  <c r="M149" i="2" l="1"/>
  <c r="N149" i="2"/>
  <c r="J145" i="2"/>
  <c r="K145" i="2" l="1"/>
  <c r="O145" i="2" s="1"/>
  <c r="P145" i="2" s="1"/>
  <c r="D145" i="2" l="1" a="1"/>
  <c r="D145" i="2" s="1"/>
  <c r="I146" i="2" l="1"/>
  <c r="W146" i="2"/>
  <c r="X146" i="2" s="1"/>
  <c r="C146" i="2"/>
  <c r="A145" i="2"/>
  <c r="H146" i="2"/>
  <c r="J146" i="2" s="1"/>
  <c r="K146" i="2" s="1"/>
  <c r="L146" i="2"/>
  <c r="D146" i="2" l="1" a="1"/>
  <c r="D146" i="2" s="1"/>
  <c r="L147" i="2" s="1"/>
  <c r="M150" i="2"/>
  <c r="N150" i="2"/>
  <c r="O146" i="2"/>
  <c r="P146" i="2" s="1"/>
  <c r="I147" i="2" l="1"/>
  <c r="A146" i="2"/>
  <c r="C147" i="2"/>
  <c r="W147" i="2"/>
  <c r="X147" i="2" s="1"/>
  <c r="H147" i="2"/>
  <c r="N151" i="2"/>
  <c r="M151" i="2"/>
  <c r="J147" i="2" l="1"/>
  <c r="K147" i="2"/>
  <c r="O147" i="2" s="1"/>
  <c r="P147" i="2" s="1"/>
  <c r="D147" i="2" l="1" a="1"/>
  <c r="D147" i="2" s="1"/>
  <c r="A147" i="2" l="1"/>
  <c r="C148" i="2"/>
  <c r="I148" i="2"/>
  <c r="L148" i="2"/>
  <c r="H148" i="2"/>
  <c r="J148" i="2" s="1"/>
  <c r="W148" i="2"/>
  <c r="X148" i="2" s="1"/>
  <c r="N152" i="2" l="1"/>
  <c r="M152" i="2"/>
  <c r="K148" i="2"/>
  <c r="O148" i="2" s="1"/>
  <c r="P148" i="2" s="1"/>
  <c r="D148" i="2" l="1" a="1"/>
  <c r="D148" i="2" s="1"/>
  <c r="W149" i="2" l="1"/>
  <c r="X149" i="2" s="1"/>
  <c r="H149" i="2"/>
  <c r="I149" i="2"/>
  <c r="J149" i="2" s="1"/>
  <c r="C149" i="2"/>
  <c r="A148" i="2"/>
  <c r="L149" i="2"/>
  <c r="K149" i="2" l="1"/>
  <c r="O149" i="2" s="1"/>
  <c r="P149" i="2" s="1"/>
  <c r="N153" i="2"/>
  <c r="M153" i="2"/>
  <c r="D149" i="2" a="1"/>
  <c r="D149" i="2" s="1"/>
  <c r="W150" i="2" l="1"/>
  <c r="X150" i="2" s="1"/>
  <c r="H150" i="2"/>
  <c r="C150" i="2"/>
  <c r="A149" i="2"/>
  <c r="I150" i="2"/>
  <c r="L150" i="2"/>
  <c r="M154" i="2" l="1"/>
  <c r="N154" i="2"/>
  <c r="J150" i="2"/>
  <c r="K150" i="2" l="1"/>
  <c r="O150" i="2" s="1"/>
  <c r="P150" i="2" s="1"/>
  <c r="D150" i="2" a="1"/>
  <c r="D150" i="2" s="1"/>
  <c r="A150" i="2" l="1"/>
  <c r="L151" i="2"/>
  <c r="W151" i="2"/>
  <c r="X151" i="2" s="1"/>
  <c r="H151" i="2"/>
  <c r="C151" i="2"/>
  <c r="I151" i="2"/>
  <c r="J151" i="2" l="1"/>
  <c r="N155" i="2"/>
  <c r="M155" i="2"/>
  <c r="K151" i="2" l="1"/>
  <c r="O151" i="2" s="1"/>
  <c r="P151" i="2" s="1"/>
  <c r="D151" i="2" l="1" a="1"/>
  <c r="D151" i="2" s="1"/>
  <c r="W152" i="2" l="1"/>
  <c r="X152" i="2" s="1"/>
  <c r="H152" i="2"/>
  <c r="C152" i="2"/>
  <c r="I152" i="2"/>
  <c r="A151" i="2"/>
  <c r="L152" i="2"/>
  <c r="M156" i="2" l="1"/>
  <c r="N156" i="2"/>
  <c r="J152" i="2"/>
  <c r="K152" i="2" l="1"/>
  <c r="O152" i="2" s="1"/>
  <c r="P152" i="2" s="1"/>
  <c r="D152" i="2" l="1" a="1"/>
  <c r="D152" i="2" s="1"/>
  <c r="A152" i="2" l="1"/>
  <c r="L153" i="2"/>
  <c r="C153" i="2"/>
  <c r="H153" i="2"/>
  <c r="I153" i="2"/>
  <c r="W153" i="2"/>
  <c r="X153" i="2" s="1"/>
  <c r="J153" i="2" l="1"/>
  <c r="K153" i="2"/>
  <c r="O153" i="2" s="1"/>
  <c r="P153" i="2" s="1"/>
  <c r="N157" i="2"/>
  <c r="M157" i="2"/>
  <c r="D153" i="2" l="1" a="1"/>
  <c r="D153" i="2" s="1"/>
  <c r="C154" i="2" l="1"/>
  <c r="I154" i="2"/>
  <c r="A153" i="2"/>
  <c r="L154" i="2"/>
  <c r="W154" i="2"/>
  <c r="X154" i="2" s="1"/>
  <c r="H154" i="2"/>
  <c r="J154" i="2" s="1"/>
  <c r="M158" i="2" l="1"/>
  <c r="N158" i="2"/>
  <c r="K154" i="2"/>
  <c r="O154" i="2" l="1"/>
  <c r="P154" i="2" s="1"/>
  <c r="D154" i="2" a="1"/>
  <c r="D154" i="2" s="1"/>
  <c r="W155" i="2" l="1"/>
  <c r="X155" i="2" s="1"/>
  <c r="I155" i="2"/>
  <c r="C155" i="2"/>
  <c r="H155" i="2"/>
  <c r="J155" i="2" s="1"/>
  <c r="L155" i="2"/>
  <c r="A154" i="2"/>
  <c r="N159" i="2" l="1"/>
  <c r="M159" i="2"/>
  <c r="K155" i="2"/>
  <c r="O155" i="2" l="1"/>
  <c r="P155" i="2" s="1"/>
  <c r="D155" i="2" a="1"/>
  <c r="D155" i="2" s="1"/>
  <c r="W156" i="2" l="1"/>
  <c r="X156" i="2" s="1"/>
  <c r="L156" i="2"/>
  <c r="H156" i="2"/>
  <c r="A155" i="2"/>
  <c r="C156" i="2"/>
  <c r="I156" i="2"/>
  <c r="J156" i="2" l="1"/>
  <c r="M160" i="2"/>
  <c r="N160" i="2"/>
  <c r="K156" i="2" l="1"/>
  <c r="O156" i="2" s="1"/>
  <c r="P156" i="2" s="1"/>
  <c r="D156" i="2" l="1" a="1"/>
  <c r="D156" i="2" s="1"/>
  <c r="W157" i="2" l="1"/>
  <c r="X157" i="2" s="1"/>
  <c r="H157" i="2"/>
  <c r="A156" i="2"/>
  <c r="C157" i="2"/>
  <c r="L157" i="2"/>
  <c r="I157" i="2"/>
  <c r="M161" i="2" l="1"/>
  <c r="N161" i="2"/>
  <c r="J157" i="2"/>
  <c r="K157" i="2" l="1"/>
  <c r="O157" i="2" s="1"/>
  <c r="P157" i="2" s="1"/>
  <c r="D157" i="2" l="1" a="1"/>
  <c r="D157" i="2" s="1"/>
  <c r="A157" i="2" l="1"/>
  <c r="C158" i="2"/>
  <c r="H158" i="2"/>
  <c r="L158" i="2"/>
  <c r="I158" i="2"/>
  <c r="W158" i="2"/>
  <c r="X158" i="2" s="1"/>
  <c r="M162" i="2" l="1"/>
  <c r="N162" i="2"/>
  <c r="J158" i="2"/>
  <c r="K158" i="2" s="1"/>
  <c r="O158" i="2" s="1"/>
  <c r="P158" i="2" s="1"/>
  <c r="D158" i="2" l="1" a="1"/>
  <c r="D158" i="2" s="1"/>
  <c r="C159" i="2" l="1"/>
  <c r="A158" i="2"/>
  <c r="H159" i="2"/>
  <c r="L159" i="2"/>
  <c r="W159" i="2"/>
  <c r="X159" i="2" s="1"/>
  <c r="I159" i="2"/>
  <c r="N163" i="2" l="1"/>
  <c r="M163" i="2"/>
  <c r="J159" i="2"/>
  <c r="K159" i="2" s="1"/>
  <c r="O159" i="2" s="1"/>
  <c r="P159" i="2" s="1"/>
  <c r="D159" i="2" l="1" a="1"/>
  <c r="D159" i="2" s="1"/>
  <c r="W160" i="2" l="1"/>
  <c r="X160" i="2" s="1"/>
  <c r="H160" i="2"/>
  <c r="A159" i="2"/>
  <c r="L160" i="2"/>
  <c r="C160" i="2"/>
  <c r="I160" i="2"/>
  <c r="N164" i="2" l="1"/>
  <c r="M164" i="2"/>
  <c r="J160" i="2"/>
  <c r="K160" i="2" l="1"/>
  <c r="O160" i="2" s="1"/>
  <c r="P160" i="2" s="1"/>
  <c r="D160" i="2" l="1" a="1"/>
  <c r="D160" i="2" s="1"/>
  <c r="I161" i="2" l="1"/>
  <c r="L161" i="2"/>
  <c r="C161" i="2"/>
  <c r="A160" i="2"/>
  <c r="W161" i="2"/>
  <c r="X161" i="2" s="1"/>
  <c r="H161" i="2"/>
  <c r="J161" i="2" l="1"/>
  <c r="K161" i="2"/>
  <c r="O161" i="2" s="1"/>
  <c r="P161" i="2" s="1"/>
  <c r="M165" i="2"/>
  <c r="N165" i="2"/>
  <c r="D161" i="2" l="1" a="1"/>
  <c r="D161" i="2" s="1"/>
  <c r="L162" i="2" l="1"/>
  <c r="A161" i="2"/>
  <c r="I162" i="2"/>
  <c r="C162" i="2"/>
  <c r="W162" i="2"/>
  <c r="X162" i="2" s="1"/>
  <c r="H162" i="2"/>
  <c r="J162" i="2" s="1"/>
  <c r="K162" i="2" l="1"/>
  <c r="M166" i="2"/>
  <c r="N166" i="2"/>
  <c r="O162" i="2" l="1"/>
  <c r="P162" i="2" s="1"/>
  <c r="D162" i="2" a="1"/>
  <c r="D162" i="2" s="1"/>
  <c r="L163" i="2" l="1"/>
  <c r="A162" i="2"/>
  <c r="W163" i="2"/>
  <c r="X163" i="2" s="1"/>
  <c r="H163" i="2"/>
  <c r="I163" i="2"/>
  <c r="C163" i="2"/>
  <c r="J163" i="2" l="1"/>
  <c r="N167" i="2"/>
  <c r="M167" i="2"/>
  <c r="K163" i="2" l="1"/>
  <c r="O163" i="2" s="1"/>
  <c r="P163" i="2" s="1"/>
  <c r="D163" i="2" l="1" a="1"/>
  <c r="D163" i="2" s="1"/>
  <c r="W164" i="2" l="1"/>
  <c r="X164" i="2" s="1"/>
  <c r="I164" i="2"/>
  <c r="L164" i="2"/>
  <c r="H164" i="2"/>
  <c r="C164" i="2"/>
  <c r="A163" i="2"/>
  <c r="J164" i="2" l="1"/>
  <c r="K164" i="2"/>
  <c r="N168" i="2"/>
  <c r="M168" i="2"/>
  <c r="O164" i="2" l="1"/>
  <c r="P164" i="2" s="1"/>
  <c r="D164" i="2" a="1"/>
  <c r="D164" i="2" s="1"/>
  <c r="I165" i="2" l="1"/>
  <c r="H165" i="2"/>
  <c r="W165" i="2"/>
  <c r="X165" i="2" s="1"/>
  <c r="C165" i="2"/>
  <c r="L165" i="2"/>
  <c r="A164" i="2"/>
  <c r="J165" i="2" l="1"/>
  <c r="K165" i="2" s="1"/>
  <c r="O165" i="2" s="1"/>
  <c r="P165" i="2" s="1"/>
  <c r="N169" i="2"/>
  <c r="M169" i="2"/>
  <c r="D165" i="2" a="1"/>
  <c r="D165" i="2" s="1"/>
  <c r="A165" i="2" l="1"/>
  <c r="W166" i="2"/>
  <c r="X166" i="2" s="1"/>
  <c r="L166" i="2"/>
  <c r="C166" i="2"/>
  <c r="I166" i="2"/>
  <c r="H166" i="2"/>
  <c r="J166" i="2" s="1"/>
  <c r="K166" i="2" l="1"/>
  <c r="M170" i="2"/>
  <c r="N170" i="2"/>
  <c r="O166" i="2" l="1"/>
  <c r="P166" i="2" s="1"/>
  <c r="D166" i="2" a="1"/>
  <c r="D166" i="2" s="1"/>
  <c r="I167" i="2" l="1"/>
  <c r="H167" i="2"/>
  <c r="J167" i="2" s="1"/>
  <c r="C167" i="2"/>
  <c r="L167" i="2"/>
  <c r="A166" i="2"/>
  <c r="W167" i="2"/>
  <c r="X167" i="2" s="1"/>
  <c r="K167" i="2" l="1"/>
  <c r="D167" i="2" s="1" a="1"/>
  <c r="D167" i="2" s="1"/>
  <c r="N171" i="2"/>
  <c r="M171" i="2"/>
  <c r="O167" i="2" l="1"/>
  <c r="P167" i="2" s="1"/>
  <c r="I168" i="2"/>
  <c r="A167" i="2"/>
  <c r="H168" i="2"/>
  <c r="J168" i="2" s="1"/>
  <c r="L168" i="2"/>
  <c r="M172" i="2" s="1"/>
  <c r="W168" i="2"/>
  <c r="X168" i="2" s="1"/>
  <c r="C168" i="2"/>
  <c r="K168" i="2" l="1"/>
  <c r="O168" i="2" s="1"/>
  <c r="P168" i="2" s="1"/>
  <c r="N172" i="2"/>
  <c r="D168" i="2" a="1"/>
  <c r="D168" i="2" s="1"/>
  <c r="W169" i="2" l="1"/>
  <c r="X169" i="2" s="1"/>
  <c r="H169" i="2"/>
  <c r="C169" i="2"/>
  <c r="I169" i="2"/>
  <c r="A168" i="2"/>
  <c r="L169" i="2"/>
  <c r="M173" i="2" l="1"/>
  <c r="N173" i="2"/>
  <c r="J169" i="2"/>
  <c r="K169" i="2" l="1"/>
  <c r="O169" i="2" s="1"/>
  <c r="P169" i="2" s="1"/>
  <c r="D169" i="2" l="1" a="1"/>
  <c r="D169" i="2" s="1"/>
  <c r="C170" i="2" l="1"/>
  <c r="A169" i="2"/>
  <c r="W170" i="2"/>
  <c r="X170" i="2" s="1"/>
  <c r="L170" i="2"/>
  <c r="H170" i="2"/>
  <c r="I170" i="2"/>
  <c r="J170" i="2" l="1"/>
  <c r="K170" i="2" s="1"/>
  <c r="O170" i="2" s="1"/>
  <c r="P170" i="2" s="1"/>
  <c r="M174" i="2"/>
  <c r="N174" i="2"/>
  <c r="D170" i="2" l="1" a="1"/>
  <c r="D170" i="2" s="1"/>
  <c r="W171" i="2" l="1"/>
  <c r="X171" i="2" s="1"/>
  <c r="C171" i="2"/>
  <c r="I171" i="2"/>
  <c r="H171" i="2"/>
  <c r="J171" i="2" s="1"/>
  <c r="L171" i="2"/>
  <c r="A170" i="2"/>
  <c r="N175" i="2" l="1"/>
  <c r="M175" i="2"/>
  <c r="K171" i="2"/>
  <c r="O171" i="2" l="1"/>
  <c r="P171" i="2" s="1"/>
  <c r="D171" i="2" a="1"/>
  <c r="D171" i="2" s="1"/>
  <c r="W172" i="2" l="1"/>
  <c r="X172" i="2" s="1"/>
  <c r="C172" i="2"/>
  <c r="I172" i="2"/>
  <c r="H172" i="2"/>
  <c r="J172" i="2" s="1"/>
  <c r="A171" i="2"/>
  <c r="L172" i="2"/>
  <c r="M176" i="2" l="1"/>
  <c r="N176" i="2"/>
  <c r="K172" i="2"/>
  <c r="O172" i="2" l="1"/>
  <c r="P172" i="2" s="1"/>
  <c r="D172" i="2" a="1"/>
  <c r="D172" i="2" s="1"/>
  <c r="C173" i="2" l="1"/>
  <c r="W173" i="2"/>
  <c r="X173" i="2" s="1"/>
  <c r="H173" i="2"/>
  <c r="A172" i="2"/>
  <c r="I173" i="2"/>
  <c r="L173" i="2"/>
  <c r="N177" i="2" l="1"/>
  <c r="M177" i="2"/>
  <c r="J173" i="2"/>
  <c r="K173" i="2" s="1"/>
  <c r="O173" i="2" s="1"/>
  <c r="P173" i="2" s="1"/>
  <c r="D173" i="2" l="1" a="1"/>
  <c r="D173" i="2" s="1"/>
  <c r="H174" i="2" l="1"/>
  <c r="I174" i="2"/>
  <c r="W174" i="2"/>
  <c r="X174" i="2" s="1"/>
  <c r="L174" i="2"/>
  <c r="A173" i="2"/>
  <c r="C174" i="2"/>
  <c r="M178" i="2" l="1"/>
  <c r="N178" i="2"/>
  <c r="J174" i="2"/>
  <c r="K174" i="2" l="1"/>
  <c r="O174" i="2" s="1"/>
  <c r="P174" i="2" s="1"/>
  <c r="D174" i="2" l="1" a="1"/>
  <c r="D174" i="2" s="1"/>
  <c r="W175" i="2" l="1"/>
  <c r="X175" i="2" s="1"/>
  <c r="I175" i="2"/>
  <c r="H175" i="2"/>
  <c r="J175" i="2" s="1"/>
  <c r="L175" i="2"/>
  <c r="A174" i="2"/>
  <c r="C175" i="2"/>
  <c r="K175" i="2" l="1"/>
  <c r="O175" i="2" s="1"/>
  <c r="P175" i="2" s="1"/>
  <c r="D175" i="2" a="1"/>
  <c r="D175" i="2" s="1"/>
  <c r="W176" i="2" s="1"/>
  <c r="X176" i="2" s="1"/>
  <c r="M179" i="2"/>
  <c r="N179" i="2"/>
  <c r="I176" i="2" l="1"/>
  <c r="C176" i="2"/>
  <c r="H176" i="2"/>
  <c r="J176" i="2" s="1"/>
  <c r="A175" i="2"/>
  <c r="L176" i="2"/>
  <c r="M180" i="2" s="1"/>
  <c r="N180" i="2" l="1"/>
  <c r="K176" i="2"/>
  <c r="O176" i="2" s="1"/>
  <c r="P176" i="2" s="1"/>
  <c r="D176" i="2" l="1" a="1"/>
  <c r="D176" i="2" s="1"/>
  <c r="W177" i="2" l="1"/>
  <c r="X177" i="2" s="1"/>
  <c r="A176" i="2"/>
  <c r="H177" i="2"/>
  <c r="C177" i="2"/>
  <c r="I177" i="2"/>
  <c r="L177" i="2"/>
  <c r="N181" i="2" l="1"/>
  <c r="M181" i="2"/>
  <c r="J177" i="2"/>
  <c r="K177" i="2" l="1"/>
  <c r="O177" i="2" s="1"/>
  <c r="P177" i="2" s="1"/>
  <c r="D177" i="2" l="1" a="1"/>
  <c r="D177" i="2" s="1"/>
  <c r="W178" i="2" l="1"/>
  <c r="X178" i="2" s="1"/>
  <c r="A177" i="2"/>
  <c r="C178" i="2"/>
  <c r="L178" i="2"/>
  <c r="I178" i="2"/>
  <c r="H178" i="2"/>
  <c r="J178" i="2" l="1"/>
  <c r="N182" i="2"/>
  <c r="M182" i="2"/>
  <c r="K178" i="2"/>
  <c r="O178" i="2" s="1"/>
  <c r="P178" i="2" s="1"/>
  <c r="D178" i="2" l="1" a="1"/>
  <c r="D178" i="2" s="1"/>
  <c r="C179" i="2" l="1"/>
  <c r="H179" i="2"/>
  <c r="W179" i="2"/>
  <c r="X179" i="2" s="1"/>
  <c r="L179" i="2"/>
  <c r="I179" i="2"/>
  <c r="A178" i="2"/>
  <c r="M183" i="2" l="1"/>
  <c r="N183" i="2"/>
  <c r="J179" i="2"/>
  <c r="K179" i="2" s="1"/>
  <c r="O179" i="2" s="1"/>
  <c r="P179" i="2" s="1"/>
  <c r="D179" i="2" l="1" a="1"/>
  <c r="D179" i="2" s="1"/>
  <c r="W180" i="2" l="1"/>
  <c r="X180" i="2" s="1"/>
  <c r="I180" i="2"/>
  <c r="L180" i="2"/>
  <c r="C180" i="2"/>
  <c r="A179" i="2"/>
  <c r="H180" i="2"/>
  <c r="J180" i="2" s="1"/>
  <c r="K180" i="2" l="1"/>
  <c r="N184" i="2"/>
  <c r="M184" i="2"/>
  <c r="O180" i="2" l="1"/>
  <c r="P180" i="2" s="1"/>
  <c r="D180" i="2" a="1"/>
  <c r="D180" i="2" s="1"/>
  <c r="W181" i="2" l="1"/>
  <c r="X181" i="2" s="1"/>
  <c r="I181" i="2"/>
  <c r="C181" i="2"/>
  <c r="H181" i="2"/>
  <c r="J181" i="2" s="1"/>
  <c r="L181" i="2"/>
  <c r="A180" i="2"/>
  <c r="M185" i="2" l="1"/>
  <c r="N185" i="2"/>
  <c r="K181" i="2"/>
  <c r="O181" i="2" l="1"/>
  <c r="P181" i="2" s="1"/>
  <c r="D181" i="2" a="1"/>
  <c r="D181" i="2" s="1"/>
  <c r="L182" i="2" l="1"/>
  <c r="H182" i="2"/>
  <c r="C182" i="2"/>
  <c r="A181" i="2"/>
  <c r="W182" i="2"/>
  <c r="X182" i="2" s="1"/>
  <c r="I182" i="2"/>
  <c r="J182" i="2" l="1"/>
  <c r="N186" i="2"/>
  <c r="M186" i="2"/>
  <c r="K182" i="2" l="1"/>
  <c r="O182" i="2" s="1"/>
  <c r="P182" i="2" s="1"/>
  <c r="D182" i="2" l="1" a="1"/>
  <c r="D182" i="2" s="1"/>
  <c r="H183" i="2" l="1"/>
  <c r="W183" i="2"/>
  <c r="X183" i="2" s="1"/>
  <c r="L183" i="2"/>
  <c r="I183" i="2"/>
  <c r="C183" i="2"/>
  <c r="A182" i="2"/>
  <c r="N187" i="2" l="1"/>
  <c r="M187" i="2"/>
  <c r="J183" i="2"/>
  <c r="K183" i="2" l="1"/>
  <c r="O183" i="2" s="1"/>
  <c r="P183" i="2" s="1"/>
  <c r="D183" i="2" l="1" a="1"/>
  <c r="D183" i="2" s="1"/>
  <c r="A183" i="2" l="1"/>
  <c r="I184" i="2"/>
  <c r="H184" i="2"/>
  <c r="J184" i="2" s="1"/>
  <c r="C184" i="2"/>
  <c r="W184" i="2"/>
  <c r="X184" i="2" s="1"/>
  <c r="L184" i="2"/>
  <c r="K184" i="2" l="1"/>
  <c r="D184" i="2" s="1" a="1"/>
  <c r="D184" i="2" s="1"/>
  <c r="N188" i="2"/>
  <c r="M188" i="2"/>
  <c r="O184" i="2" l="1"/>
  <c r="P184" i="2" s="1"/>
  <c r="W185" i="2"/>
  <c r="X185" i="2" s="1"/>
  <c r="H185" i="2"/>
  <c r="A184" i="2"/>
  <c r="I185" i="2"/>
  <c r="J185" i="2" s="1"/>
  <c r="C185" i="2"/>
  <c r="L185" i="2"/>
  <c r="N189" i="2" s="1"/>
  <c r="M189" i="2" l="1"/>
  <c r="K185" i="2"/>
  <c r="O185" i="2" s="1"/>
  <c r="P185" i="2" s="1"/>
  <c r="D185" i="2" l="1" a="1"/>
  <c r="D185" i="2" s="1"/>
  <c r="W186" i="2" l="1"/>
  <c r="X186" i="2" s="1"/>
  <c r="L186" i="2"/>
  <c r="A185" i="2"/>
  <c r="I186" i="2"/>
  <c r="H186" i="2"/>
  <c r="C186" i="2"/>
  <c r="J186" i="2" l="1"/>
  <c r="K186" i="2" s="1"/>
  <c r="M190" i="2"/>
  <c r="N190" i="2"/>
  <c r="O186" i="2" l="1"/>
  <c r="P186" i="2" s="1"/>
  <c r="D186" i="2" a="1"/>
  <c r="D186" i="2" s="1"/>
  <c r="C187" i="2" s="1"/>
  <c r="W187" i="2" l="1"/>
  <c r="X187" i="2" s="1"/>
  <c r="I187" i="2"/>
  <c r="L187" i="2"/>
  <c r="H187" i="2"/>
  <c r="A186" i="2"/>
  <c r="M191" i="2"/>
  <c r="N191" i="2"/>
  <c r="J187" i="2"/>
  <c r="K187" i="2" l="1"/>
  <c r="O187" i="2" s="1"/>
  <c r="P187" i="2" s="1"/>
  <c r="D187" i="2" l="1" a="1"/>
  <c r="D187" i="2" s="1"/>
  <c r="W188" i="2" l="1"/>
  <c r="X188" i="2" s="1"/>
  <c r="L188" i="2"/>
  <c r="A187" i="2"/>
  <c r="H188" i="2"/>
  <c r="C188" i="2"/>
  <c r="I188" i="2"/>
  <c r="J188" i="2" l="1"/>
  <c r="M192" i="2"/>
  <c r="N192" i="2"/>
  <c r="K188" i="2" l="1"/>
  <c r="O188" i="2" s="1"/>
  <c r="P188" i="2" s="1"/>
  <c r="D188" i="2" l="1" a="1"/>
  <c r="D188" i="2" s="1"/>
  <c r="W189" i="2" l="1"/>
  <c r="X189" i="2" s="1"/>
  <c r="L189" i="2"/>
  <c r="H189" i="2"/>
  <c r="A188" i="2"/>
  <c r="C189" i="2"/>
  <c r="I189" i="2"/>
  <c r="J189" i="2" l="1"/>
  <c r="M193" i="2"/>
  <c r="N193" i="2"/>
  <c r="K189" i="2" l="1"/>
  <c r="O189" i="2" s="1"/>
  <c r="P189" i="2" s="1"/>
  <c r="D189" i="2" l="1" a="1"/>
  <c r="D189" i="2" s="1"/>
  <c r="W190" i="2" l="1"/>
  <c r="X190" i="2" s="1"/>
  <c r="I190" i="2"/>
  <c r="A189" i="2"/>
  <c r="H190" i="2"/>
  <c r="J190" i="2" s="1"/>
  <c r="C190" i="2"/>
  <c r="L190" i="2"/>
  <c r="K190" i="2" l="1"/>
  <c r="D190" i="2" s="1" a="1"/>
  <c r="D190" i="2" s="1"/>
  <c r="C191" i="2" s="1"/>
  <c r="M194" i="2"/>
  <c r="N194" i="2"/>
  <c r="O190" i="2" l="1"/>
  <c r="P190" i="2" s="1"/>
  <c r="W191" i="2"/>
  <c r="X191" i="2" s="1"/>
  <c r="I191" i="2"/>
  <c r="A190" i="2"/>
  <c r="L191" i="2"/>
  <c r="N195" i="2" s="1"/>
  <c r="H191" i="2"/>
  <c r="J191" i="2" s="1"/>
  <c r="K191" i="2" s="1"/>
  <c r="M195" i="2"/>
  <c r="O191" i="2" l="1"/>
  <c r="P191" i="2" s="1"/>
  <c r="D191" i="2" a="1"/>
  <c r="D191" i="2" s="1"/>
  <c r="I192" i="2" l="1"/>
  <c r="L192" i="2"/>
  <c r="A191" i="2"/>
  <c r="W192" i="2"/>
  <c r="X192" i="2" s="1"/>
  <c r="H192" i="2"/>
  <c r="C192" i="2"/>
  <c r="J192" i="2" l="1"/>
  <c r="K192" i="2" s="1"/>
  <c r="O192" i="2" s="1"/>
  <c r="P192" i="2" s="1"/>
  <c r="M196" i="2"/>
  <c r="N196" i="2"/>
  <c r="D192" i="2" l="1" a="1"/>
  <c r="D192" i="2" s="1"/>
  <c r="I193" i="2" l="1"/>
  <c r="W193" i="2"/>
  <c r="X193" i="2" s="1"/>
  <c r="H193" i="2"/>
  <c r="L193" i="2"/>
  <c r="A192" i="2"/>
  <c r="C193" i="2"/>
  <c r="M197" i="2" l="1"/>
  <c r="N197" i="2"/>
  <c r="J193" i="2"/>
  <c r="K193" i="2"/>
  <c r="O193" i="2" s="1"/>
  <c r="P193" i="2" s="1"/>
  <c r="D193" i="2" l="1" a="1"/>
  <c r="D193" i="2" s="1"/>
  <c r="H194" i="2" l="1"/>
  <c r="L194" i="2"/>
  <c r="C194" i="2"/>
  <c r="A193" i="2"/>
  <c r="I194" i="2"/>
  <c r="W194" i="2"/>
  <c r="X194" i="2" s="1"/>
  <c r="M198" i="2" l="1"/>
  <c r="N198" i="2"/>
  <c r="J194" i="2"/>
  <c r="K194" i="2" s="1"/>
  <c r="O194" i="2" s="1"/>
  <c r="P194" i="2" s="1"/>
  <c r="D194" i="2" l="1" a="1"/>
  <c r="D194" i="2" s="1"/>
  <c r="C195" i="2" s="1"/>
  <c r="H195" i="2" l="1"/>
  <c r="L195" i="2"/>
  <c r="M199" i="2" s="1"/>
  <c r="I195" i="2"/>
  <c r="W195" i="2"/>
  <c r="X195" i="2" s="1"/>
  <c r="A194" i="2"/>
  <c r="N199" i="2" l="1"/>
  <c r="J195" i="2"/>
  <c r="K195" i="2" s="1"/>
  <c r="O195" i="2" s="1"/>
  <c r="P195" i="2" s="1"/>
  <c r="D195" i="2" a="1"/>
  <c r="D195" i="2" s="1"/>
  <c r="W196" i="2" l="1"/>
  <c r="X196" i="2" s="1"/>
  <c r="H196" i="2"/>
  <c r="A195" i="2"/>
  <c r="I196" i="2"/>
  <c r="C196" i="2"/>
  <c r="L196" i="2"/>
  <c r="M200" i="2" l="1"/>
  <c r="N200" i="2"/>
  <c r="J196" i="2"/>
  <c r="K196" i="2" l="1"/>
  <c r="O196" i="2" s="1"/>
  <c r="P196" i="2" s="1"/>
  <c r="D196" i="2" l="1" a="1"/>
  <c r="D196" i="2" s="1"/>
  <c r="I197" i="2" l="1"/>
  <c r="W197" i="2"/>
  <c r="X197" i="2" s="1"/>
  <c r="H197" i="2"/>
  <c r="J197" i="2" s="1"/>
  <c r="C197" i="2"/>
  <c r="A196" i="2"/>
  <c r="L197" i="2"/>
  <c r="K197" i="2" l="1"/>
  <c r="O197" i="2" s="1"/>
  <c r="P197" i="2" s="1"/>
  <c r="D197" i="2" a="1"/>
  <c r="D197" i="2" s="1"/>
  <c r="N201" i="2"/>
  <c r="M201" i="2"/>
  <c r="L198" i="2" l="1"/>
  <c r="C198" i="2"/>
  <c r="A197" i="2"/>
  <c r="H198" i="2"/>
  <c r="I198" i="2"/>
  <c r="W198" i="2"/>
  <c r="X198" i="2" s="1"/>
  <c r="J198" i="2" l="1"/>
  <c r="K198" i="2"/>
  <c r="O198" i="2" s="1"/>
  <c r="P198" i="2" s="1"/>
  <c r="N202" i="2"/>
  <c r="M202" i="2"/>
  <c r="D198" i="2" l="1" a="1"/>
  <c r="D198" i="2" s="1"/>
  <c r="W199" i="2" l="1"/>
  <c r="X199" i="2" s="1"/>
  <c r="L199" i="2"/>
  <c r="A198" i="2"/>
  <c r="H199" i="2"/>
  <c r="C199" i="2"/>
  <c r="I199" i="2"/>
  <c r="J199" i="2" l="1"/>
  <c r="M203" i="2"/>
  <c r="N203" i="2"/>
  <c r="K199" i="2" l="1"/>
  <c r="O199" i="2" s="1"/>
  <c r="P199" i="2" s="1"/>
  <c r="D199" i="2" l="1" a="1"/>
  <c r="D199" i="2" s="1"/>
  <c r="C200" i="2" l="1"/>
  <c r="A199" i="2"/>
  <c r="L200" i="2"/>
  <c r="I200" i="2"/>
  <c r="H200" i="2"/>
  <c r="J200" i="2" s="1"/>
  <c r="W200" i="2"/>
  <c r="X200" i="2" s="1"/>
  <c r="N204" i="2" l="1"/>
  <c r="M204" i="2"/>
  <c r="K200" i="2"/>
  <c r="O200" i="2" l="1"/>
  <c r="P200" i="2" s="1"/>
  <c r="D200" i="2" a="1"/>
  <c r="D200" i="2" s="1"/>
  <c r="W201" i="2" l="1"/>
  <c r="X201" i="2" s="1"/>
  <c r="H201" i="2"/>
  <c r="I201" i="2"/>
  <c r="C201" i="2"/>
  <c r="A200" i="2"/>
  <c r="L201" i="2"/>
  <c r="M205" i="2" l="1"/>
  <c r="N205" i="2"/>
  <c r="J201" i="2"/>
  <c r="K201" i="2" l="1"/>
  <c r="O201" i="2" s="1"/>
  <c r="P201" i="2" s="1"/>
  <c r="D201" i="2" l="1" a="1"/>
  <c r="D201" i="2" s="1"/>
  <c r="I202" i="2" l="1"/>
  <c r="W202" i="2"/>
  <c r="X202" i="2" s="1"/>
  <c r="A201" i="2"/>
  <c r="L202" i="2"/>
  <c r="C202" i="2"/>
  <c r="H202" i="2"/>
  <c r="J202" i="2" s="1"/>
  <c r="M206" i="2" l="1"/>
  <c r="N206" i="2"/>
  <c r="K202" i="2"/>
  <c r="O202" i="2" s="1"/>
  <c r="P202" i="2" s="1"/>
  <c r="D202" i="2" l="1" a="1"/>
  <c r="D202" i="2" s="1"/>
  <c r="W203" i="2" l="1"/>
  <c r="X203" i="2" s="1"/>
  <c r="H203" i="2"/>
  <c r="C203" i="2"/>
  <c r="A202" i="2"/>
  <c r="L203" i="2"/>
  <c r="I203" i="2"/>
  <c r="M207" i="2" l="1"/>
  <c r="N207" i="2"/>
  <c r="J203" i="2"/>
  <c r="K203" i="2" l="1"/>
  <c r="O203" i="2" s="1"/>
  <c r="P203" i="2" s="1"/>
  <c r="D203" i="2" l="1" a="1"/>
  <c r="D203" i="2" s="1"/>
  <c r="W204" i="2" l="1"/>
  <c r="X204" i="2" s="1"/>
  <c r="C204" i="2"/>
  <c r="H204" i="2"/>
  <c r="I204" i="2"/>
  <c r="L204" i="2"/>
  <c r="A203" i="2"/>
  <c r="J204" i="2" l="1"/>
  <c r="K204" i="2" s="1"/>
  <c r="O204" i="2" s="1"/>
  <c r="P204" i="2" s="1"/>
  <c r="M208" i="2"/>
  <c r="N208" i="2"/>
  <c r="D204" i="2" l="1" a="1"/>
  <c r="D204" i="2" s="1"/>
  <c r="W205" i="2" l="1"/>
  <c r="X205" i="2" s="1"/>
  <c r="A204" i="2"/>
  <c r="I205" i="2"/>
  <c r="C205" i="2"/>
  <c r="H205" i="2"/>
  <c r="J205" i="2" s="1"/>
  <c r="L205" i="2"/>
  <c r="M209" i="2" l="1"/>
  <c r="N209" i="2"/>
  <c r="K205" i="2"/>
  <c r="O205" i="2" l="1"/>
  <c r="P205" i="2" s="1"/>
  <c r="D205" i="2" a="1"/>
  <c r="D205" i="2" s="1"/>
  <c r="A205" i="2" l="1"/>
  <c r="W206" i="2"/>
  <c r="X206" i="2" s="1"/>
  <c r="C206" i="2"/>
  <c r="I206" i="2"/>
  <c r="L206" i="2"/>
  <c r="H206" i="2"/>
  <c r="J206" i="2" s="1"/>
  <c r="N210" i="2" l="1"/>
  <c r="M210" i="2"/>
  <c r="K206" i="2"/>
  <c r="O206" i="2" l="1"/>
  <c r="P206" i="2" s="1"/>
  <c r="D206" i="2" a="1"/>
  <c r="D206" i="2" s="1"/>
  <c r="W207" i="2" l="1"/>
  <c r="X207" i="2" s="1"/>
  <c r="H207" i="2"/>
  <c r="C207" i="2"/>
  <c r="L207" i="2"/>
  <c r="A206" i="2"/>
  <c r="I207" i="2"/>
  <c r="J207" i="2" l="1"/>
  <c r="K207" i="2" s="1"/>
  <c r="O207" i="2" s="1"/>
  <c r="P207" i="2" s="1"/>
  <c r="N211" i="2"/>
  <c r="M211" i="2"/>
  <c r="D207" i="2" l="1" a="1"/>
  <c r="D207" i="2" s="1"/>
  <c r="L208" i="2" l="1"/>
  <c r="A207" i="2"/>
  <c r="C208" i="2"/>
  <c r="I208" i="2"/>
  <c r="W208" i="2"/>
  <c r="X208" i="2" s="1"/>
  <c r="H208" i="2"/>
  <c r="J208" i="2" s="1"/>
  <c r="K208" i="2" l="1"/>
  <c r="O208" i="2" s="1"/>
  <c r="P208" i="2" s="1"/>
  <c r="N212" i="2"/>
  <c r="M212" i="2"/>
  <c r="D208" i="2" l="1" a="1"/>
  <c r="D208" i="2" s="1"/>
  <c r="W209" i="2" s="1"/>
  <c r="X209" i="2" s="1"/>
  <c r="H209" i="2" l="1"/>
  <c r="I209" i="2"/>
  <c r="A208" i="2"/>
  <c r="C209" i="2"/>
  <c r="L209" i="2"/>
  <c r="M213" i="2"/>
  <c r="N213" i="2"/>
  <c r="J209" i="2" l="1"/>
  <c r="K209" i="2" s="1"/>
  <c r="O209" i="2" s="1"/>
  <c r="P209" i="2" s="1"/>
  <c r="D209" i="2" a="1"/>
  <c r="D209" i="2" s="1"/>
  <c r="A209" i="2" s="1"/>
  <c r="L210" i="2" l="1"/>
  <c r="M214" i="2" s="1"/>
  <c r="H210" i="2"/>
  <c r="C210" i="2"/>
  <c r="I210" i="2"/>
  <c r="W210" i="2"/>
  <c r="X210" i="2" s="1"/>
  <c r="N214" i="2" l="1"/>
  <c r="J210" i="2"/>
  <c r="K210" i="2" s="1"/>
  <c r="O210" i="2" s="1"/>
  <c r="P210" i="2" s="1"/>
  <c r="D210" i="2" l="1" a="1"/>
  <c r="D210" i="2" s="1"/>
  <c r="L211" i="2" s="1"/>
  <c r="I211" i="2" l="1"/>
  <c r="A210" i="2"/>
  <c r="H211" i="2"/>
  <c r="W211" i="2"/>
  <c r="X211" i="2" s="1"/>
  <c r="C211" i="2"/>
  <c r="M215" i="2"/>
  <c r="N215" i="2"/>
  <c r="J211" i="2" l="1"/>
  <c r="K211" i="2" s="1"/>
  <c r="O211" i="2"/>
  <c r="P211" i="2" s="1"/>
  <c r="D211" i="2" a="1"/>
  <c r="D211" i="2" s="1"/>
  <c r="H212" i="2" l="1"/>
  <c r="W212" i="2"/>
  <c r="X212" i="2" s="1"/>
  <c r="L212" i="2"/>
  <c r="A211" i="2"/>
  <c r="C212" i="2"/>
  <c r="I212" i="2"/>
  <c r="I1" i="1" l="1"/>
  <c r="M216" i="2"/>
  <c r="N216" i="2"/>
  <c r="J212" i="2"/>
  <c r="K212" i="2" l="1"/>
  <c r="O212" i="2" s="1"/>
  <c r="P212" i="2" s="1"/>
  <c r="D212" i="2" l="1" a="1"/>
  <c r="D212" i="2" s="1"/>
  <c r="I213" i="2" l="1"/>
  <c r="A212" i="2"/>
  <c r="H213" i="2"/>
  <c r="C213" i="2"/>
  <c r="W213" i="2"/>
  <c r="X213" i="2" s="1"/>
  <c r="L213" i="2"/>
  <c r="J213" i="2" l="1"/>
  <c r="K213" i="2"/>
  <c r="O213" i="2" s="1"/>
  <c r="P213" i="2" s="1"/>
  <c r="M217" i="2"/>
  <c r="N217" i="2"/>
  <c r="D213" i="2" a="1"/>
  <c r="D213" i="2" s="1"/>
  <c r="W214" i="2" l="1"/>
  <c r="X214" i="2" s="1"/>
  <c r="A213" i="2"/>
  <c r="H214" i="2"/>
  <c r="I214" i="2"/>
  <c r="C214" i="2"/>
  <c r="L214" i="2"/>
  <c r="M218" i="2" l="1"/>
  <c r="N218" i="2"/>
  <c r="O218" i="2" s="1"/>
  <c r="P218" i="2" s="1"/>
  <c r="J214" i="2"/>
  <c r="K214" i="2" l="1"/>
  <c r="O214" i="2" s="1"/>
  <c r="P214" i="2" s="1"/>
  <c r="D214" i="2" l="1" a="1"/>
  <c r="D214" i="2" s="1"/>
  <c r="W215" i="2" l="1"/>
  <c r="X215" i="2" s="1"/>
  <c r="H215" i="2"/>
  <c r="C215" i="2"/>
  <c r="L215" i="2"/>
  <c r="A214" i="2"/>
  <c r="I215" i="2"/>
  <c r="M219" i="2" l="1"/>
  <c r="N219" i="2"/>
  <c r="O219" i="2" s="1"/>
  <c r="P219" i="2" s="1"/>
  <c r="J215" i="2"/>
  <c r="K215" i="2" l="1"/>
  <c r="O215" i="2" l="1"/>
  <c r="P215" i="2" s="1"/>
  <c r="D215" i="2" a="1"/>
  <c r="D215" i="2" s="1"/>
  <c r="W216" i="2" l="1"/>
  <c r="X216" i="2" s="1"/>
  <c r="I216" i="2"/>
  <c r="C216" i="2"/>
  <c r="L216" i="2"/>
  <c r="A215" i="2"/>
  <c r="H216" i="2"/>
  <c r="J216" i="2" l="1"/>
  <c r="J8" i="2" s="1"/>
  <c r="M220" i="2"/>
  <c r="N220" i="2"/>
  <c r="K216" i="2" l="1"/>
  <c r="O216" i="2" s="1"/>
  <c r="K8" i="2"/>
  <c r="D216" i="2" a="1"/>
  <c r="D216" i="2" s="1"/>
  <c r="O220" i="2"/>
  <c r="P220" i="2" s="1"/>
  <c r="L217" i="2" l="1"/>
  <c r="A216" i="2"/>
  <c r="P216" i="2"/>
  <c r="N221" i="2" l="1"/>
  <c r="M221" i="2"/>
  <c r="M8" i="2" s="1"/>
  <c r="O217" i="2"/>
  <c r="L8" i="2"/>
  <c r="P217" i="2" l="1"/>
  <c r="N1" i="2"/>
  <c r="O221" i="2"/>
  <c r="P221" i="2" s="1"/>
  <c r="P8" i="2" s="1"/>
  <c r="N8" i="2"/>
  <c r="T8" i="2" s="1"/>
  <c r="I1" i="2" s="1"/>
  <c r="M2" i="2" l="1"/>
  <c r="O8" i="2"/>
  <c r="M19" i="5" l="1"/>
  <c r="N19" i="5"/>
  <c r="I12" i="5"/>
  <c r="G12" i="5" s="1"/>
  <c r="W15" i="5"/>
  <c r="V15" i="5"/>
  <c r="A14" i="5"/>
  <c r="F12" i="5"/>
  <c r="E12" i="5" s="1"/>
  <c r="K12" i="5" l="1"/>
  <c r="O15" i="5"/>
  <c r="P15" i="5" s="1"/>
  <c r="D11" i="5"/>
  <c r="D12" i="5" l="1"/>
  <c r="C16" i="5" l="1"/>
  <c r="A15" i="5"/>
  <c r="X16" i="5"/>
  <c r="L16" i="5"/>
  <c r="N20" i="5" s="1"/>
  <c r="L4" i="5"/>
  <c r="J16" i="5"/>
  <c r="K8" i="5"/>
  <c r="N16" i="5" s="1"/>
  <c r="K16" i="5" l="1"/>
  <c r="D16" i="5" s="1" a="1"/>
  <c r="D16" i="5" s="1"/>
  <c r="M20" i="5"/>
  <c r="L17" i="5" l="1"/>
  <c r="M21" i="5" s="1"/>
  <c r="O16" i="5"/>
  <c r="P16" i="5" s="1"/>
  <c r="I17" i="5"/>
  <c r="A16" i="5"/>
  <c r="H17" i="5"/>
  <c r="C17" i="5"/>
  <c r="N21" i="5" l="1"/>
  <c r="J17" i="5"/>
  <c r="K17" i="5" s="1"/>
  <c r="O17" i="5" s="1"/>
  <c r="P17" i="5" s="1"/>
  <c r="D17" i="5" l="1" a="1"/>
  <c r="D17" i="5" s="1"/>
  <c r="C18" i="5" s="1"/>
  <c r="A17" i="5" l="1"/>
  <c r="L18" i="5"/>
  <c r="M22" i="5" s="1"/>
  <c r="I18" i="5"/>
  <c r="H18" i="5"/>
  <c r="N22" i="5" l="1"/>
  <c r="J18" i="5"/>
  <c r="K18" i="5" s="1"/>
  <c r="O18" i="5" s="1"/>
  <c r="P18" i="5" s="1"/>
  <c r="D18" i="5" l="1" a="1"/>
  <c r="D18" i="5" s="1"/>
  <c r="A18" i="5" s="1"/>
  <c r="L19" i="5"/>
  <c r="H19" i="5"/>
  <c r="I19" i="5" l="1"/>
  <c r="C19" i="5"/>
  <c r="J19" i="5"/>
  <c r="K19" i="5" s="1"/>
  <c r="O19" i="5" s="1"/>
  <c r="M23" i="5"/>
  <c r="N23" i="5"/>
  <c r="D19" i="5" l="1" a="1"/>
  <c r="D19" i="5" s="1"/>
  <c r="L20" i="5" s="1"/>
  <c r="P19" i="5"/>
  <c r="H20" i="5" l="1"/>
  <c r="A19" i="5"/>
  <c r="I20" i="5"/>
  <c r="C20" i="5"/>
  <c r="N24" i="5"/>
  <c r="M24" i="5"/>
  <c r="J20" i="5" l="1"/>
  <c r="K20" i="5" s="1"/>
  <c r="O20" i="5" s="1"/>
  <c r="P20" i="5" s="1"/>
  <c r="D20" i="5" l="1" a="1"/>
  <c r="D20" i="5" s="1"/>
  <c r="I21" i="5" s="1"/>
  <c r="C21" i="5" l="1"/>
  <c r="L21" i="5"/>
  <c r="M25" i="5" s="1"/>
  <c r="H21" i="5"/>
  <c r="J21" i="5" s="1"/>
  <c r="A20" i="5"/>
  <c r="N25" i="5" l="1"/>
  <c r="K21" i="5"/>
  <c r="O21" i="5" s="1"/>
  <c r="P21" i="5" s="1"/>
  <c r="D21" i="5" l="1" a="1"/>
  <c r="D21" i="5" s="1"/>
  <c r="L22" i="5" l="1"/>
  <c r="H22" i="5"/>
  <c r="I22" i="5"/>
  <c r="A21" i="5"/>
  <c r="C22" i="5"/>
  <c r="J22" i="5" l="1"/>
  <c r="K22" i="5" s="1"/>
  <c r="O22" i="5" s="1"/>
  <c r="P22" i="5" s="1"/>
  <c r="N26" i="5"/>
  <c r="M26" i="5"/>
  <c r="D22" i="5" l="1" a="1"/>
  <c r="D22" i="5" s="1"/>
  <c r="A22" i="5" s="1"/>
  <c r="C23" i="5" l="1"/>
  <c r="I23" i="5"/>
  <c r="H23" i="5"/>
  <c r="L23" i="5"/>
  <c r="M27" i="5" s="1"/>
  <c r="J23" i="5" l="1"/>
  <c r="K23" i="5" s="1"/>
  <c r="O23" i="5" s="1"/>
  <c r="P23" i="5" s="1"/>
  <c r="N27" i="5"/>
  <c r="D23" i="5" a="1"/>
  <c r="D23" i="5" s="1"/>
  <c r="C24" i="5" l="1"/>
  <c r="L24" i="5"/>
  <c r="A23" i="5"/>
  <c r="H24" i="5"/>
  <c r="I24" i="5"/>
  <c r="J24" i="5" l="1"/>
  <c r="K24" i="5" s="1"/>
  <c r="O24" i="5" s="1"/>
  <c r="P24" i="5" s="1"/>
  <c r="M28" i="5"/>
  <c r="N28" i="5"/>
  <c r="D24" i="5" l="1" a="1"/>
  <c r="D24" i="5" s="1"/>
  <c r="I25" i="5" l="1"/>
  <c r="H25" i="5"/>
  <c r="L25" i="5"/>
  <c r="C25" i="5"/>
  <c r="A24" i="5"/>
  <c r="J25" i="5" l="1"/>
  <c r="K25" i="5" s="1"/>
  <c r="O25" i="5" s="1"/>
  <c r="P25" i="5" s="1"/>
  <c r="M29" i="5"/>
  <c r="N29" i="5"/>
  <c r="D25" i="5" l="1" a="1"/>
  <c r="D25" i="5" s="1"/>
  <c r="A25" i="5" l="1"/>
  <c r="I26" i="5"/>
  <c r="C26" i="5"/>
  <c r="H26" i="5"/>
  <c r="L26" i="5"/>
  <c r="J26" i="5" l="1"/>
  <c r="K26" i="5" s="1"/>
  <c r="O26" i="5" s="1"/>
  <c r="P26" i="5" s="1"/>
  <c r="N30" i="5"/>
  <c r="M30" i="5"/>
  <c r="D26" i="5" l="1" a="1"/>
  <c r="D26" i="5" s="1"/>
  <c r="L27" i="5" l="1"/>
  <c r="A26" i="5"/>
  <c r="I27" i="5"/>
  <c r="C27" i="5"/>
  <c r="H27" i="5"/>
  <c r="J27" i="5" l="1"/>
  <c r="K27" i="5" s="1"/>
  <c r="O27" i="5" s="1"/>
  <c r="P27" i="5" s="1"/>
  <c r="M31" i="5"/>
  <c r="N31" i="5"/>
  <c r="D27" i="5" l="1" a="1"/>
  <c r="D27" i="5" s="1"/>
  <c r="H28" i="5" l="1"/>
  <c r="A27" i="5"/>
  <c r="I28" i="5"/>
  <c r="L28" i="5"/>
  <c r="C28" i="5"/>
  <c r="N32" i="5" l="1"/>
  <c r="M32" i="5"/>
  <c r="J28" i="5"/>
  <c r="K28" i="5" l="1"/>
  <c r="O28" i="5" s="1"/>
  <c r="P28" i="5" s="1"/>
  <c r="D28" i="5" l="1" a="1"/>
  <c r="D28" i="5" s="1"/>
  <c r="H29" i="5" l="1"/>
  <c r="L29" i="5"/>
  <c r="A28" i="5"/>
  <c r="I29" i="5"/>
  <c r="C29" i="5"/>
  <c r="N33" i="5" l="1"/>
  <c r="M33" i="5"/>
  <c r="J29" i="5"/>
  <c r="K29" i="5" l="1"/>
  <c r="O29" i="5" s="1"/>
  <c r="P29" i="5" s="1"/>
  <c r="D29" i="5" l="1" a="1"/>
  <c r="D29" i="5" s="1"/>
  <c r="L30" i="5" l="1"/>
  <c r="H30" i="5"/>
  <c r="I30" i="5"/>
  <c r="A29" i="5"/>
  <c r="C30" i="5"/>
  <c r="J30" i="5" l="1"/>
  <c r="M34" i="5"/>
  <c r="N34" i="5"/>
  <c r="K30" i="5" l="1"/>
  <c r="O30" i="5" s="1"/>
  <c r="P30" i="5" s="1"/>
  <c r="D30" i="5" l="1" a="1"/>
  <c r="D30" i="5" s="1"/>
  <c r="C31" i="5" l="1"/>
  <c r="I31" i="5"/>
  <c r="H31" i="5"/>
  <c r="L31" i="5"/>
  <c r="A30" i="5"/>
  <c r="J31" i="5" l="1"/>
  <c r="M35" i="5"/>
  <c r="N35" i="5"/>
  <c r="K31" i="5"/>
  <c r="O31" i="5" l="1"/>
  <c r="P31" i="5" s="1"/>
  <c r="D31" i="5" a="1"/>
  <c r="D31" i="5" s="1"/>
  <c r="I32" i="5" l="1"/>
  <c r="C32" i="5"/>
  <c r="H32" i="5"/>
  <c r="J32" i="5" s="1"/>
  <c r="L32" i="5"/>
  <c r="A31" i="5"/>
  <c r="M36" i="5" l="1"/>
  <c r="N36" i="5"/>
  <c r="K32" i="5"/>
  <c r="O32" i="5" s="1"/>
  <c r="P32" i="5" s="1"/>
  <c r="D32" i="5" l="1" a="1"/>
  <c r="D32" i="5" s="1"/>
  <c r="I33" i="5" l="1"/>
  <c r="A32" i="5"/>
  <c r="C33" i="5"/>
  <c r="L33" i="5"/>
  <c r="H33" i="5"/>
  <c r="J33" i="5" l="1"/>
  <c r="K33" i="5" s="1"/>
  <c r="O33" i="5" s="1"/>
  <c r="P33" i="5" s="1"/>
  <c r="M37" i="5"/>
  <c r="N37" i="5"/>
  <c r="D33" i="5" l="1" a="1"/>
  <c r="D33" i="5" s="1"/>
  <c r="H34" i="5" l="1"/>
  <c r="A33" i="5"/>
  <c r="I34" i="5"/>
  <c r="C34" i="5"/>
  <c r="L34" i="5"/>
  <c r="N38" i="5" l="1"/>
  <c r="M38" i="5"/>
  <c r="J34" i="5"/>
  <c r="K34" i="5" l="1"/>
  <c r="O34" i="5" s="1"/>
  <c r="P34" i="5" s="1"/>
  <c r="D34" i="5" l="1" a="1"/>
  <c r="D34" i="5" s="1"/>
  <c r="L35" i="5" l="1"/>
  <c r="H35" i="5"/>
  <c r="A34" i="5"/>
  <c r="I35" i="5"/>
  <c r="C35" i="5"/>
  <c r="J35" i="5" l="1"/>
  <c r="K35" i="5" s="1"/>
  <c r="O35" i="5" s="1"/>
  <c r="P35" i="5" s="1"/>
  <c r="N39" i="5"/>
  <c r="M39" i="5"/>
  <c r="D35" i="5" l="1" a="1"/>
  <c r="D35" i="5" s="1"/>
  <c r="A35" i="5" l="1"/>
  <c r="H36" i="5"/>
  <c r="L36" i="5"/>
  <c r="I36" i="5"/>
  <c r="C36" i="5"/>
  <c r="M40" i="5" l="1"/>
  <c r="N40" i="5"/>
  <c r="J36" i="5"/>
  <c r="K36" i="5" l="1"/>
  <c r="O36" i="5" s="1"/>
  <c r="P36" i="5" s="1"/>
  <c r="D36" i="5" l="1" a="1"/>
  <c r="D36" i="5" s="1"/>
  <c r="H37" i="5" l="1"/>
  <c r="L37" i="5"/>
  <c r="A36" i="5"/>
  <c r="I37" i="5"/>
  <c r="C37" i="5"/>
  <c r="N41" i="5" l="1"/>
  <c r="M41" i="5"/>
  <c r="J37" i="5"/>
  <c r="K37" i="5" l="1"/>
  <c r="O37" i="5" s="1"/>
  <c r="P37" i="5" s="1"/>
  <c r="D37" i="5" l="1" a="1"/>
  <c r="D37" i="5" s="1"/>
  <c r="C38" i="5" l="1"/>
  <c r="L38" i="5"/>
  <c r="H38" i="5"/>
  <c r="I38" i="5"/>
  <c r="A37" i="5"/>
  <c r="J38" i="5" l="1"/>
  <c r="K38" i="5" s="1"/>
  <c r="M42" i="5"/>
  <c r="N42" i="5"/>
  <c r="O38" i="5" l="1"/>
  <c r="P38" i="5" s="1"/>
  <c r="D38" i="5" a="1"/>
  <c r="D38" i="5" s="1"/>
  <c r="I39" i="5" l="1"/>
  <c r="L39" i="5"/>
  <c r="C39" i="5"/>
  <c r="H39" i="5"/>
  <c r="A38" i="5"/>
  <c r="J39" i="5" l="1"/>
  <c r="K39" i="5" s="1"/>
  <c r="O39" i="5" s="1"/>
  <c r="P39" i="5" s="1"/>
  <c r="N43" i="5"/>
  <c r="M43" i="5"/>
  <c r="D39" i="5" l="1" a="1"/>
  <c r="D39" i="5" s="1"/>
  <c r="I40" i="5" l="1"/>
  <c r="A39" i="5"/>
  <c r="C40" i="5"/>
  <c r="L40" i="5"/>
  <c r="H40" i="5"/>
  <c r="J40" i="5" l="1"/>
  <c r="K40" i="5" s="1"/>
  <c r="O40" i="5" s="1"/>
  <c r="P40" i="5" s="1"/>
  <c r="N44" i="5"/>
  <c r="M44" i="5"/>
  <c r="D40" i="5" l="1" a="1"/>
  <c r="D40" i="5" s="1"/>
  <c r="H41" i="5" l="1"/>
  <c r="A40" i="5"/>
  <c r="I41" i="5"/>
  <c r="C41" i="5"/>
  <c r="L41" i="5"/>
  <c r="M45" i="5" l="1"/>
  <c r="N45" i="5"/>
  <c r="J41" i="5"/>
  <c r="K41" i="5" l="1"/>
  <c r="O41" i="5" s="1"/>
  <c r="P41" i="5" s="1"/>
  <c r="D41" i="5" l="1" a="1"/>
  <c r="D41" i="5" s="1"/>
  <c r="L42" i="5" l="1"/>
  <c r="H42" i="5"/>
  <c r="A41" i="5"/>
  <c r="I42" i="5"/>
  <c r="C42" i="5"/>
  <c r="J42" i="5" l="1"/>
  <c r="K42" i="5" s="1"/>
  <c r="O42" i="5" s="1"/>
  <c r="P42" i="5" s="1"/>
  <c r="N46" i="5"/>
  <c r="M46" i="5"/>
  <c r="D42" i="5" l="1" a="1"/>
  <c r="D42" i="5" s="1"/>
  <c r="A42" i="5" l="1"/>
  <c r="H43" i="5"/>
  <c r="I43" i="5"/>
  <c r="L43" i="5"/>
  <c r="C43" i="5"/>
  <c r="J43" i="5" l="1"/>
  <c r="K43" i="5" s="1"/>
  <c r="N47" i="5"/>
  <c r="M47" i="5"/>
  <c r="O43" i="5" l="1"/>
  <c r="P43" i="5" s="1"/>
  <c r="D43" i="5" a="1"/>
  <c r="D43" i="5" s="1"/>
  <c r="A43" i="5" s="1"/>
  <c r="I44" i="5" l="1"/>
  <c r="H44" i="5"/>
  <c r="C44" i="5"/>
  <c r="L44" i="5"/>
  <c r="N48" i="5" s="1"/>
  <c r="J44" i="5" l="1"/>
  <c r="K44" i="5" s="1"/>
  <c r="O44" i="5" s="1"/>
  <c r="P44" i="5" s="1"/>
  <c r="M48" i="5"/>
  <c r="D44" i="5" l="1" a="1"/>
  <c r="D44" i="5" s="1"/>
  <c r="A44" i="5" l="1"/>
  <c r="C45" i="5"/>
  <c r="L45" i="5"/>
  <c r="H45" i="5"/>
  <c r="I45" i="5"/>
  <c r="J45" i="5" l="1"/>
  <c r="K45" i="5" s="1"/>
  <c r="N49" i="5"/>
  <c r="M49" i="5"/>
  <c r="O45" i="5" l="1"/>
  <c r="P45" i="5" s="1"/>
  <c r="D45" i="5" a="1"/>
  <c r="D45" i="5" s="1"/>
  <c r="A45" i="5" l="1"/>
  <c r="H46" i="5"/>
  <c r="C46" i="5"/>
  <c r="L46" i="5"/>
  <c r="I46" i="5"/>
  <c r="N50" i="5" l="1"/>
  <c r="M50" i="5"/>
  <c r="J46" i="5"/>
  <c r="K46" i="5" l="1"/>
  <c r="O46" i="5" s="1"/>
  <c r="P46" i="5" s="1"/>
  <c r="D46" i="5" l="1" a="1"/>
  <c r="D46" i="5" s="1"/>
  <c r="I47" i="5" l="1"/>
  <c r="A46" i="5"/>
  <c r="C47" i="5"/>
  <c r="H47" i="5"/>
  <c r="L47" i="5"/>
  <c r="J47" i="5" l="1"/>
  <c r="N51" i="5"/>
  <c r="M51" i="5"/>
  <c r="K47" i="5"/>
  <c r="O47" i="5" s="1"/>
  <c r="P47" i="5" s="1"/>
  <c r="D47" i="5" l="1" a="1"/>
  <c r="D47" i="5" s="1"/>
  <c r="H48" i="5" l="1"/>
  <c r="I48" i="5"/>
  <c r="A47" i="5"/>
  <c r="C48" i="5"/>
  <c r="L48" i="5"/>
  <c r="N52" i="5" l="1"/>
  <c r="M52" i="5"/>
  <c r="J48" i="5"/>
  <c r="K48" i="5" l="1"/>
  <c r="O48" i="5" s="1"/>
  <c r="P48" i="5" s="1"/>
  <c r="D48" i="5" l="1" a="1"/>
  <c r="D48" i="5" s="1"/>
  <c r="L49" i="5" l="1"/>
  <c r="H49" i="5"/>
  <c r="I49" i="5"/>
  <c r="A48" i="5"/>
  <c r="C49" i="5"/>
  <c r="J49" i="5" l="1"/>
  <c r="N53" i="5"/>
  <c r="M53" i="5"/>
  <c r="K49" i="5" l="1"/>
  <c r="O49" i="5" s="1"/>
  <c r="P49" i="5" s="1"/>
  <c r="D49" i="5" l="1" a="1"/>
  <c r="D49" i="5" s="1"/>
  <c r="C50" i="5" s="1"/>
  <c r="H50" i="5" l="1"/>
  <c r="I50" i="5"/>
  <c r="A49" i="5"/>
  <c r="L50" i="5"/>
  <c r="M54" i="5" s="1"/>
  <c r="J50" i="5" l="1"/>
  <c r="K50" i="5" s="1"/>
  <c r="O50" i="5" s="1"/>
  <c r="P50" i="5" s="1"/>
  <c r="N54" i="5"/>
  <c r="D50" i="5" l="1" a="1"/>
  <c r="D50" i="5" s="1"/>
  <c r="I51" i="5" s="1"/>
  <c r="C51" i="5" l="1"/>
  <c r="A50" i="5"/>
  <c r="L51" i="5"/>
  <c r="M55" i="5" s="1"/>
  <c r="H51" i="5"/>
  <c r="J51" i="5" s="1"/>
  <c r="K51" i="5" s="1"/>
  <c r="N55" i="5" l="1"/>
  <c r="O51" i="5"/>
  <c r="P51" i="5" s="1"/>
  <c r="D51" i="5" a="1"/>
  <c r="D51" i="5" s="1"/>
  <c r="C52" i="5" l="1"/>
  <c r="L52" i="5"/>
  <c r="A51" i="5"/>
  <c r="I52" i="5"/>
  <c r="H52" i="5"/>
  <c r="J52" i="5" l="1"/>
  <c r="M56" i="5"/>
  <c r="N56" i="5"/>
  <c r="K52" i="5"/>
  <c r="O52" i="5" l="1"/>
  <c r="P52" i="5" s="1"/>
  <c r="D52" i="5" a="1"/>
  <c r="D52" i="5" s="1"/>
  <c r="I53" i="5" l="1"/>
  <c r="H53" i="5"/>
  <c r="J53" i="5" s="1"/>
  <c r="L53" i="5"/>
  <c r="C53" i="5"/>
  <c r="A52" i="5"/>
  <c r="K53" i="5" l="1"/>
  <c r="O53" i="5" s="1"/>
  <c r="P53" i="5" s="1"/>
  <c r="M57" i="5"/>
  <c r="N57" i="5"/>
  <c r="D53" i="5" l="1" a="1"/>
  <c r="D53" i="5" s="1"/>
  <c r="H54" i="5" s="1"/>
  <c r="A53" i="5" l="1"/>
  <c r="I54" i="5"/>
  <c r="J54" i="5" s="1"/>
  <c r="C54" i="5"/>
  <c r="L54" i="5"/>
  <c r="K54" i="5" l="1"/>
  <c r="D54" i="5" s="1" a="1"/>
  <c r="D54" i="5" s="1"/>
  <c r="I55" i="5" s="1"/>
  <c r="M58" i="5"/>
  <c r="N58" i="5"/>
  <c r="O54" i="5" l="1"/>
  <c r="P54" i="5" s="1"/>
  <c r="H55" i="5"/>
  <c r="J55" i="5" s="1"/>
  <c r="C55" i="5"/>
  <c r="L55" i="5"/>
  <c r="M59" i="5" s="1"/>
  <c r="A54" i="5"/>
  <c r="N59" i="5" l="1"/>
  <c r="K55" i="5"/>
  <c r="O55" i="5" s="1"/>
  <c r="P55" i="5" s="1"/>
  <c r="D55" i="5" l="1" a="1"/>
  <c r="D55" i="5" s="1"/>
  <c r="L56" i="5" l="1"/>
  <c r="H56" i="5"/>
  <c r="A55" i="5"/>
  <c r="I56" i="5"/>
  <c r="C56" i="5"/>
  <c r="J56" i="5" l="1"/>
  <c r="N60" i="5"/>
  <c r="M60" i="5"/>
  <c r="K56" i="5" l="1"/>
  <c r="O56" i="5" s="1"/>
  <c r="P56" i="5" s="1"/>
  <c r="D56" i="5" l="1" a="1"/>
  <c r="D56" i="5" s="1"/>
  <c r="C57" i="5" l="1"/>
  <c r="I57" i="5"/>
  <c r="A56" i="5"/>
  <c r="H57" i="5"/>
  <c r="J57" i="5" s="1"/>
  <c r="L57" i="5"/>
  <c r="M61" i="5" l="1"/>
  <c r="N61" i="5"/>
  <c r="K57" i="5"/>
  <c r="O57" i="5" s="1"/>
  <c r="P57" i="5" s="1"/>
  <c r="D57" i="5" l="1" a="1"/>
  <c r="D57" i="5" s="1"/>
  <c r="C58" i="5" l="1"/>
  <c r="L58" i="5"/>
  <c r="H58" i="5"/>
  <c r="I58" i="5"/>
  <c r="A57" i="5"/>
  <c r="J58" i="5" l="1"/>
  <c r="K58" i="5" s="1"/>
  <c r="N62" i="5"/>
  <c r="M62" i="5"/>
  <c r="O58" i="5" l="1"/>
  <c r="P58" i="5" s="1"/>
  <c r="D58" i="5" a="1"/>
  <c r="D58" i="5" s="1"/>
  <c r="L59" i="5" l="1"/>
  <c r="C59" i="5"/>
  <c r="H59" i="5"/>
  <c r="I59" i="5"/>
  <c r="A58" i="5"/>
  <c r="J59" i="5" l="1"/>
  <c r="N63" i="5"/>
  <c r="M63" i="5"/>
  <c r="K59" i="5" l="1"/>
  <c r="O59" i="5" s="1"/>
  <c r="P59" i="5" s="1"/>
  <c r="D59" i="5" l="1" a="1"/>
  <c r="D59" i="5" s="1"/>
  <c r="H60" i="5" l="1"/>
  <c r="A59" i="5"/>
  <c r="I60" i="5"/>
  <c r="C60" i="5"/>
  <c r="L60" i="5"/>
  <c r="N64" i="5" l="1"/>
  <c r="M64" i="5"/>
  <c r="J60" i="5"/>
  <c r="K60" i="5" l="1"/>
  <c r="O60" i="5" s="1"/>
  <c r="P60" i="5" s="1"/>
  <c r="D60" i="5" l="1" a="1"/>
  <c r="D60" i="5" s="1"/>
  <c r="L61" i="5" l="1"/>
  <c r="H61" i="5"/>
  <c r="A60" i="5"/>
  <c r="I61" i="5"/>
  <c r="C61" i="5"/>
  <c r="J61" i="5" l="1"/>
  <c r="M65" i="5"/>
  <c r="N65" i="5"/>
  <c r="K61" i="5" l="1"/>
  <c r="O61" i="5" s="1"/>
  <c r="P61" i="5" s="1"/>
  <c r="D61" i="5" l="1" a="1"/>
  <c r="D61" i="5" s="1"/>
  <c r="C62" i="5" l="1"/>
  <c r="L62" i="5"/>
  <c r="H62" i="5"/>
  <c r="A61" i="5"/>
  <c r="I62" i="5"/>
  <c r="J62" i="5" l="1"/>
  <c r="K62" i="5" s="1"/>
  <c r="O62" i="5" s="1"/>
  <c r="P62" i="5" s="1"/>
  <c r="N66" i="5"/>
  <c r="M66" i="5"/>
  <c r="D62" i="5" l="1" a="1"/>
  <c r="D62" i="5" s="1"/>
  <c r="C63" i="5" s="1"/>
  <c r="H63" i="5" l="1"/>
  <c r="A62" i="5"/>
  <c r="L63" i="5"/>
  <c r="M67" i="5" s="1"/>
  <c r="I63" i="5"/>
  <c r="J63" i="5" l="1"/>
  <c r="K63" i="5" s="1"/>
  <c r="O63" i="5" s="1"/>
  <c r="P63" i="5" s="1"/>
  <c r="N67" i="5"/>
  <c r="D63" i="5" l="1" a="1"/>
  <c r="D63" i="5" s="1"/>
  <c r="A63" i="5" s="1"/>
  <c r="L64" i="5" l="1"/>
  <c r="M68" i="5" s="1"/>
  <c r="C64" i="5"/>
  <c r="I64" i="5"/>
  <c r="H64" i="5"/>
  <c r="J64" i="5" s="1"/>
  <c r="K64" i="5" s="1"/>
  <c r="O64" i="5" s="1"/>
  <c r="P64" i="5" s="1"/>
  <c r="N68" i="5" l="1"/>
  <c r="D64" i="5" a="1"/>
  <c r="D64" i="5" s="1"/>
  <c r="A64" i="5" l="1"/>
  <c r="C65" i="5"/>
  <c r="L65" i="5"/>
  <c r="H65" i="5"/>
  <c r="I65" i="5"/>
  <c r="N69" i="5" l="1"/>
  <c r="M69" i="5"/>
  <c r="J65" i="5"/>
  <c r="K65" i="5" l="1"/>
  <c r="O65" i="5" s="1"/>
  <c r="P65" i="5" s="1"/>
  <c r="D65" i="5" l="1" a="1"/>
  <c r="D65" i="5" s="1"/>
  <c r="L66" i="5" l="1"/>
  <c r="C66" i="5"/>
  <c r="I66" i="5"/>
  <c r="H66" i="5"/>
  <c r="A65" i="5"/>
  <c r="J66" i="5" l="1"/>
  <c r="K66" i="5" s="1"/>
  <c r="O66" i="5" s="1"/>
  <c r="P66" i="5" s="1"/>
  <c r="N70" i="5"/>
  <c r="M70" i="5"/>
  <c r="D66" i="5" l="1" a="1"/>
  <c r="D66" i="5" s="1"/>
  <c r="L67" i="5" l="1"/>
  <c r="A66" i="5"/>
  <c r="C67" i="5"/>
  <c r="I67" i="5"/>
  <c r="H67" i="5"/>
  <c r="J67" i="5" l="1"/>
  <c r="K67" i="5" s="1"/>
  <c r="O67" i="5" s="1"/>
  <c r="P67" i="5" s="1"/>
  <c r="M71" i="5"/>
  <c r="N71" i="5"/>
  <c r="D67" i="5" l="1" a="1"/>
  <c r="D67" i="5" s="1"/>
  <c r="C68" i="5" l="1"/>
  <c r="H68" i="5"/>
  <c r="A67" i="5"/>
  <c r="L68" i="5"/>
  <c r="I68" i="5"/>
  <c r="J68" i="5" l="1"/>
  <c r="K68" i="5" s="1"/>
  <c r="N72" i="5"/>
  <c r="M72" i="5"/>
  <c r="O68" i="5" l="1"/>
  <c r="P68" i="5" s="1"/>
  <c r="D68" i="5" a="1"/>
  <c r="D68" i="5" s="1"/>
  <c r="C69" i="5" l="1"/>
  <c r="H69" i="5"/>
  <c r="L69" i="5"/>
  <c r="A68" i="5"/>
  <c r="I69" i="5"/>
  <c r="J69" i="5" l="1"/>
  <c r="K69" i="5" s="1"/>
  <c r="M73" i="5"/>
  <c r="N73" i="5"/>
  <c r="O69" i="5" l="1"/>
  <c r="P69" i="5" s="1"/>
  <c r="D69" i="5" a="1"/>
  <c r="D69" i="5" s="1"/>
  <c r="C70" i="5" l="1"/>
  <c r="A69" i="5"/>
  <c r="L70" i="5"/>
  <c r="H70" i="5"/>
  <c r="I70" i="5"/>
  <c r="J70" i="5" l="1"/>
  <c r="K70" i="5" s="1"/>
  <c r="O70" i="5" s="1"/>
  <c r="P70" i="5" s="1"/>
  <c r="M74" i="5"/>
  <c r="N74" i="5"/>
  <c r="D70" i="5" l="1" a="1"/>
  <c r="D70" i="5" s="1"/>
  <c r="A70" i="5" l="1"/>
  <c r="H71" i="5"/>
  <c r="L71" i="5"/>
  <c r="I71" i="5"/>
  <c r="C71" i="5"/>
  <c r="M75" i="5" l="1"/>
  <c r="N75" i="5"/>
  <c r="J71" i="5"/>
  <c r="K71" i="5" l="1"/>
  <c r="O71" i="5" s="1"/>
  <c r="P71" i="5" s="1"/>
  <c r="D71" i="5" l="1" a="1"/>
  <c r="D71" i="5" s="1"/>
  <c r="A71" i="5" l="1"/>
  <c r="L72" i="5"/>
  <c r="H72" i="5"/>
  <c r="I72" i="5"/>
  <c r="C72" i="5"/>
  <c r="J72" i="5" l="1"/>
  <c r="K72" i="5" s="1"/>
  <c r="M76" i="5"/>
  <c r="N76" i="5"/>
  <c r="O72" i="5" l="1"/>
  <c r="P72" i="5" s="1"/>
  <c r="D72" i="5" a="1"/>
  <c r="D72" i="5" s="1"/>
  <c r="A72" i="5" l="1"/>
  <c r="C73" i="5"/>
  <c r="L73" i="5"/>
  <c r="H73" i="5"/>
  <c r="I73" i="5"/>
  <c r="J73" i="5" l="1"/>
  <c r="K73" i="5" s="1"/>
  <c r="O73" i="5" s="1"/>
  <c r="P73" i="5" s="1"/>
  <c r="M77" i="5"/>
  <c r="N77" i="5"/>
  <c r="D73" i="5" l="1" a="1"/>
  <c r="D73" i="5" s="1"/>
  <c r="H74" i="5" l="1"/>
  <c r="L74" i="5"/>
  <c r="C74" i="5"/>
  <c r="A73" i="5"/>
  <c r="I74" i="5"/>
  <c r="J74" i="5" l="1"/>
  <c r="M78" i="5"/>
  <c r="N78" i="5"/>
  <c r="K74" i="5" l="1"/>
  <c r="O74" i="5" s="1"/>
  <c r="P74" i="5" s="1"/>
  <c r="D74" i="5" l="1" a="1"/>
  <c r="D74" i="5" s="1"/>
  <c r="A74" i="5" l="1"/>
  <c r="H75" i="5"/>
  <c r="C75" i="5"/>
  <c r="I75" i="5"/>
  <c r="L75" i="5"/>
  <c r="N79" i="5" l="1"/>
  <c r="M79" i="5"/>
  <c r="J75" i="5"/>
  <c r="K75" i="5" l="1"/>
  <c r="O75" i="5" s="1"/>
  <c r="P75" i="5" s="1"/>
  <c r="D75" i="5" l="1" a="1"/>
  <c r="D75" i="5" s="1"/>
  <c r="A75" i="5" l="1"/>
  <c r="C76" i="5"/>
  <c r="L76" i="5"/>
  <c r="H76" i="5"/>
  <c r="I76" i="5"/>
  <c r="M80" i="5" l="1"/>
  <c r="N80" i="5"/>
  <c r="J76" i="5"/>
  <c r="K76" i="5" l="1"/>
  <c r="O76" i="5" s="1"/>
  <c r="P76" i="5" s="1"/>
  <c r="D76" i="5" l="1" a="1"/>
  <c r="D76" i="5" s="1"/>
  <c r="A76" i="5" l="1"/>
  <c r="I77" i="5"/>
  <c r="C77" i="5"/>
  <c r="L77" i="5"/>
  <c r="H77" i="5"/>
  <c r="J77" i="5" l="1"/>
  <c r="K77" i="5" s="1"/>
  <c r="M81" i="5"/>
  <c r="N81" i="5"/>
  <c r="O77" i="5" l="1"/>
  <c r="P77" i="5" s="1"/>
  <c r="D77" i="5" a="1"/>
  <c r="D77" i="5" s="1"/>
  <c r="I78" i="5" l="1"/>
  <c r="L78" i="5"/>
  <c r="C78" i="5"/>
  <c r="A77" i="5"/>
  <c r="H78" i="5"/>
  <c r="J78" i="5" l="1"/>
  <c r="K78" i="5" s="1"/>
  <c r="M82" i="5"/>
  <c r="N82" i="5"/>
  <c r="O78" i="5" l="1"/>
  <c r="P78" i="5" s="1"/>
  <c r="D78" i="5" a="1"/>
  <c r="D78" i="5" s="1"/>
  <c r="L79" i="5" l="1"/>
  <c r="A78" i="5"/>
  <c r="H79" i="5"/>
  <c r="I79" i="5"/>
  <c r="C79" i="5"/>
  <c r="J79" i="5" l="1"/>
  <c r="N83" i="5"/>
  <c r="M83" i="5"/>
  <c r="K79" i="5" l="1"/>
  <c r="O79" i="5" s="1"/>
  <c r="P79" i="5" s="1"/>
  <c r="D79" i="5" l="1" a="1"/>
  <c r="D79" i="5" s="1"/>
  <c r="L80" i="5" s="1"/>
  <c r="I80" i="5" l="1"/>
  <c r="C80" i="5"/>
  <c r="H80" i="5"/>
  <c r="A79" i="5"/>
  <c r="N84" i="5"/>
  <c r="M84" i="5"/>
  <c r="J80" i="5" l="1"/>
  <c r="K80" i="5" s="1"/>
  <c r="O80" i="5" s="1"/>
  <c r="P80" i="5" s="1"/>
  <c r="D80" i="5" l="1" a="1"/>
  <c r="D80" i="5" s="1"/>
  <c r="A80" i="5" s="1"/>
  <c r="L81" i="5" l="1"/>
  <c r="M85" i="5" s="1"/>
  <c r="H81" i="5"/>
  <c r="C81" i="5"/>
  <c r="I81" i="5"/>
  <c r="J81" i="5" l="1"/>
  <c r="K81" i="5" s="1"/>
  <c r="O81" i="5" s="1"/>
  <c r="P81" i="5" s="1"/>
  <c r="N85" i="5"/>
  <c r="D81" i="5" a="1"/>
  <c r="D81" i="5" s="1"/>
  <c r="L82" i="5" l="1"/>
  <c r="H82" i="5"/>
  <c r="A81" i="5"/>
  <c r="C82" i="5"/>
  <c r="I82" i="5"/>
  <c r="J82" i="5" l="1"/>
  <c r="K82" i="5" s="1"/>
  <c r="O82" i="5" s="1"/>
  <c r="P82" i="5" s="1"/>
  <c r="N86" i="5"/>
  <c r="M86" i="5"/>
  <c r="D82" i="5" l="1" a="1"/>
  <c r="D82" i="5" s="1"/>
  <c r="H83" i="5" l="1"/>
  <c r="C83" i="5"/>
  <c r="L83" i="5"/>
  <c r="A82" i="5"/>
  <c r="I83" i="5"/>
  <c r="N87" i="5" l="1"/>
  <c r="M87" i="5"/>
  <c r="J83" i="5"/>
  <c r="K83" i="5" l="1"/>
  <c r="O83" i="5" s="1"/>
  <c r="P83" i="5" s="1"/>
  <c r="D83" i="5" l="1" a="1"/>
  <c r="D83" i="5" s="1"/>
  <c r="H84" i="5" l="1"/>
  <c r="I84" i="5"/>
  <c r="C84" i="5"/>
  <c r="A83" i="5"/>
  <c r="L84" i="5"/>
  <c r="M88" i="5" l="1"/>
  <c r="N88" i="5"/>
  <c r="J84" i="5"/>
  <c r="K84" i="5" s="1"/>
  <c r="O84" i="5" s="1"/>
  <c r="P84" i="5" s="1"/>
  <c r="D84" i="5" l="1" a="1"/>
  <c r="D84" i="5" s="1"/>
  <c r="L85" i="5" s="1"/>
  <c r="A84" i="5" l="1"/>
  <c r="C85" i="5"/>
  <c r="H85" i="5"/>
  <c r="I85" i="5"/>
  <c r="M89" i="5"/>
  <c r="N89" i="5"/>
  <c r="J85" i="5" l="1"/>
  <c r="K85" i="5" s="1"/>
  <c r="O85" i="5" s="1"/>
  <c r="P85" i="5" s="1"/>
  <c r="D85" i="5" l="1" a="1"/>
  <c r="D85" i="5" s="1"/>
  <c r="I86" i="5" l="1"/>
  <c r="C86" i="5"/>
  <c r="H86" i="5"/>
  <c r="A85" i="5"/>
  <c r="L86" i="5"/>
  <c r="J86" i="5" l="1"/>
  <c r="K86" i="5" s="1"/>
  <c r="O86" i="5" s="1"/>
  <c r="P86" i="5" s="1"/>
  <c r="M90" i="5"/>
  <c r="N90" i="5"/>
  <c r="D86" i="5" l="1" a="1"/>
  <c r="D86" i="5" s="1"/>
  <c r="H87" i="5" l="1"/>
  <c r="C87" i="5"/>
  <c r="L87" i="5"/>
  <c r="A86" i="5"/>
  <c r="I87" i="5"/>
  <c r="N91" i="5" l="1"/>
  <c r="M91" i="5"/>
  <c r="J87" i="5"/>
  <c r="K87" i="5" l="1"/>
  <c r="O87" i="5" s="1"/>
  <c r="P87" i="5" s="1"/>
  <c r="D87" i="5" l="1" a="1"/>
  <c r="D87" i="5" s="1"/>
  <c r="L88" i="5" l="1"/>
  <c r="H88" i="5"/>
  <c r="C88" i="5"/>
  <c r="A87" i="5"/>
  <c r="I88" i="5"/>
  <c r="J88" i="5" l="1"/>
  <c r="M92" i="5"/>
  <c r="N92" i="5"/>
  <c r="K88" i="5" l="1"/>
  <c r="O88" i="5" s="1"/>
  <c r="P88" i="5" s="1"/>
  <c r="D88" i="5" l="1" a="1"/>
  <c r="D88" i="5" s="1"/>
  <c r="H89" i="5" s="1"/>
  <c r="I89" i="5" l="1"/>
  <c r="J89" i="5" s="1"/>
  <c r="L89" i="5"/>
  <c r="N93" i="5" s="1"/>
  <c r="C89" i="5"/>
  <c r="A88" i="5"/>
  <c r="M93" i="5" l="1"/>
  <c r="K89" i="5"/>
  <c r="O89" i="5" s="1"/>
  <c r="P89" i="5" s="1"/>
  <c r="D89" i="5" l="1" a="1"/>
  <c r="D89" i="5" s="1"/>
  <c r="L90" i="5" l="1"/>
  <c r="A89" i="5"/>
  <c r="I90" i="5"/>
  <c r="C90" i="5"/>
  <c r="H90" i="5"/>
  <c r="J90" i="5" l="1"/>
  <c r="K90" i="5" s="1"/>
  <c r="N94" i="5"/>
  <c r="M94" i="5"/>
  <c r="O90" i="5" l="1"/>
  <c r="P90" i="5" s="1"/>
  <c r="D90" i="5" a="1"/>
  <c r="D90" i="5" s="1"/>
  <c r="I91" i="5" l="1"/>
  <c r="C91" i="5"/>
  <c r="H91" i="5"/>
  <c r="A90" i="5"/>
  <c r="L91" i="5"/>
  <c r="J91" i="5" l="1"/>
  <c r="K91" i="5" s="1"/>
  <c r="O91" i="5" s="1"/>
  <c r="P91" i="5" s="1"/>
  <c r="N95" i="5"/>
  <c r="M95" i="5"/>
  <c r="D91" i="5" l="1" a="1"/>
  <c r="D91" i="5" s="1"/>
  <c r="C92" i="5" s="1"/>
  <c r="I92" i="5" l="1"/>
  <c r="L92" i="5"/>
  <c r="M96" i="5" s="1"/>
  <c r="A91" i="5"/>
  <c r="H92" i="5"/>
  <c r="N96" i="5" l="1"/>
  <c r="J92" i="5"/>
  <c r="K92" i="5" s="1"/>
  <c r="O92" i="5" s="1"/>
  <c r="P92" i="5" s="1"/>
  <c r="D92" i="5" l="1" a="1"/>
  <c r="D92" i="5" s="1"/>
  <c r="I93" i="5" s="1"/>
  <c r="L93" i="5" l="1"/>
  <c r="N97" i="5" s="1"/>
  <c r="H93" i="5"/>
  <c r="J93" i="5" s="1"/>
  <c r="C93" i="5"/>
  <c r="A92" i="5"/>
  <c r="M97" i="5" l="1"/>
  <c r="K93" i="5"/>
  <c r="O93" i="5" s="1"/>
  <c r="P93" i="5" s="1"/>
  <c r="D93" i="5" l="1" a="1"/>
  <c r="D93" i="5" s="1"/>
  <c r="H94" i="5" s="1"/>
  <c r="I94" i="5" l="1"/>
  <c r="J94" i="5" s="1"/>
  <c r="C94" i="5"/>
  <c r="L94" i="5"/>
  <c r="N98" i="5" s="1"/>
  <c r="A93" i="5"/>
  <c r="M98" i="5" l="1"/>
  <c r="K94" i="5"/>
  <c r="O94" i="5" s="1"/>
  <c r="P94" i="5" s="1"/>
  <c r="D94" i="5" l="1" a="1"/>
  <c r="D94" i="5" s="1"/>
  <c r="H95" i="5" l="1"/>
  <c r="A94" i="5"/>
  <c r="L95" i="5"/>
  <c r="C95" i="5"/>
  <c r="I95" i="5"/>
  <c r="M99" i="5" l="1"/>
  <c r="N99" i="5"/>
  <c r="J95" i="5"/>
  <c r="K95" i="5" l="1"/>
  <c r="O95" i="5" s="1"/>
  <c r="P95" i="5" s="1"/>
  <c r="D95" i="5" l="1" a="1"/>
  <c r="D95" i="5" s="1"/>
  <c r="H96" i="5" l="1"/>
  <c r="L96" i="5"/>
  <c r="C96" i="5"/>
  <c r="I96" i="5"/>
  <c r="A95" i="5"/>
  <c r="J96" i="5" l="1"/>
  <c r="K96" i="5" s="1"/>
  <c r="O96" i="5" s="1"/>
  <c r="P96" i="5" s="1"/>
  <c r="M100" i="5"/>
  <c r="N100" i="5"/>
  <c r="D96" i="5" l="1" a="1"/>
  <c r="D96" i="5" s="1"/>
  <c r="H97" i="5" l="1"/>
  <c r="L97" i="5"/>
  <c r="I97" i="5"/>
  <c r="A96" i="5"/>
  <c r="C97" i="5"/>
  <c r="J97" i="5" l="1"/>
  <c r="K97" i="5" s="1"/>
  <c r="O97" i="5" s="1"/>
  <c r="P97" i="5" s="1"/>
  <c r="N101" i="5"/>
  <c r="M101" i="5"/>
  <c r="D97" i="5" l="1" a="1"/>
  <c r="D97" i="5" s="1"/>
  <c r="H98" i="5" l="1"/>
  <c r="I98" i="5"/>
  <c r="C98" i="5"/>
  <c r="L98" i="5"/>
  <c r="A97" i="5"/>
  <c r="M102" i="5" l="1"/>
  <c r="N102" i="5"/>
  <c r="J98" i="5"/>
  <c r="K98" i="5" s="1"/>
  <c r="O98" i="5" s="1"/>
  <c r="P98" i="5" s="1"/>
  <c r="D98" i="5" l="1" a="1"/>
  <c r="D98" i="5" s="1"/>
  <c r="C99" i="5" l="1"/>
  <c r="I99" i="5"/>
  <c r="H99" i="5"/>
  <c r="L99" i="5"/>
  <c r="A98" i="5"/>
  <c r="J99" i="5" l="1"/>
  <c r="K99" i="5" s="1"/>
  <c r="O99" i="5" s="1"/>
  <c r="P99" i="5" s="1"/>
  <c r="N103" i="5"/>
  <c r="M103" i="5"/>
  <c r="D99" i="5" l="1" a="1"/>
  <c r="D99" i="5" s="1"/>
  <c r="A99" i="5" l="1"/>
  <c r="C100" i="5"/>
  <c r="H100" i="5"/>
  <c r="I100" i="5"/>
  <c r="L100" i="5"/>
  <c r="J100" i="5" l="1"/>
  <c r="K100" i="5" s="1"/>
  <c r="O100" i="5" s="1"/>
  <c r="P100" i="5" s="1"/>
  <c r="M104" i="5"/>
  <c r="N104" i="5"/>
  <c r="D100" i="5" l="1" a="1"/>
  <c r="D100" i="5" s="1"/>
  <c r="A100" i="5" l="1"/>
  <c r="C101" i="5"/>
  <c r="I101" i="5"/>
  <c r="L101" i="5"/>
  <c r="H101" i="5"/>
  <c r="J101" i="5" l="1"/>
  <c r="K101" i="5" s="1"/>
  <c r="M105" i="5"/>
  <c r="N105" i="5"/>
  <c r="O101" i="5" l="1"/>
  <c r="P101" i="5" s="1"/>
  <c r="D101" i="5" a="1"/>
  <c r="D101" i="5" s="1"/>
  <c r="H102" i="5" l="1"/>
  <c r="A101" i="5"/>
  <c r="I102" i="5"/>
  <c r="L102" i="5"/>
  <c r="C102" i="5"/>
  <c r="J102" i="5" l="1"/>
  <c r="K102" i="5" s="1"/>
  <c r="O102" i="5" s="1"/>
  <c r="P102" i="5" s="1"/>
  <c r="M106" i="5"/>
  <c r="N106" i="5"/>
  <c r="D102" i="5" l="1" a="1"/>
  <c r="D102" i="5" s="1"/>
  <c r="A102" i="5" s="1"/>
  <c r="H103" i="5" l="1"/>
  <c r="I103" i="5"/>
  <c r="C103" i="5"/>
  <c r="L103" i="5"/>
  <c r="M107" i="5" s="1"/>
  <c r="J103" i="5" l="1"/>
  <c r="K103" i="5" s="1"/>
  <c r="N107" i="5"/>
  <c r="O103" i="5" l="1"/>
  <c r="P103" i="5" s="1"/>
  <c r="D103" i="5" a="1"/>
  <c r="D103" i="5" s="1"/>
  <c r="I104" i="5" s="1"/>
  <c r="A103" i="5" l="1"/>
  <c r="C104" i="5"/>
  <c r="H104" i="5"/>
  <c r="J104" i="5" s="1"/>
  <c r="L104" i="5"/>
  <c r="N108" i="5" s="1"/>
  <c r="K104" i="5" l="1"/>
  <c r="O104" i="5" s="1"/>
  <c r="P104" i="5" s="1"/>
  <c r="M108" i="5"/>
  <c r="D104" i="5" l="1" a="1"/>
  <c r="D104" i="5" s="1"/>
  <c r="L105" i="5" s="1"/>
  <c r="H105" i="5"/>
  <c r="C105" i="5" l="1"/>
  <c r="I105" i="5"/>
  <c r="A104" i="5"/>
  <c r="J105" i="5"/>
  <c r="N109" i="5"/>
  <c r="M109" i="5"/>
  <c r="K105" i="5" l="1"/>
  <c r="O105" i="5" s="1"/>
  <c r="P105" i="5" s="1"/>
  <c r="D105" i="5" l="1" a="1"/>
  <c r="D105" i="5" s="1"/>
  <c r="A105" i="5" l="1"/>
  <c r="I106" i="5"/>
  <c r="L106" i="5"/>
  <c r="C106" i="5"/>
  <c r="H106" i="5"/>
  <c r="J106" i="5" l="1"/>
  <c r="K106" i="5" s="1"/>
  <c r="O106" i="5" s="1"/>
  <c r="P106" i="5" s="1"/>
  <c r="M110" i="5"/>
  <c r="N110" i="5"/>
  <c r="D106" i="5" l="1" a="1"/>
  <c r="D106" i="5" s="1"/>
  <c r="A106" i="5" s="1"/>
  <c r="H107" i="5" l="1"/>
  <c r="I107" i="5"/>
  <c r="C107" i="5"/>
  <c r="L107" i="5"/>
  <c r="N111" i="5" s="1"/>
  <c r="J107" i="5" l="1"/>
  <c r="K107" i="5" s="1"/>
  <c r="O107" i="5" s="1"/>
  <c r="P107" i="5" s="1"/>
  <c r="M111" i="5"/>
  <c r="D107" i="5" a="1"/>
  <c r="D107" i="5" s="1"/>
  <c r="I108" i="5" l="1"/>
  <c r="A107" i="5"/>
  <c r="H108" i="5"/>
  <c r="J108" i="5" s="1"/>
  <c r="L108" i="5"/>
  <c r="C108" i="5"/>
  <c r="K108" i="5" l="1"/>
  <c r="O108" i="5" s="1"/>
  <c r="P108" i="5" s="1"/>
  <c r="M112" i="5"/>
  <c r="N112" i="5"/>
  <c r="D108" i="5" l="1" a="1"/>
  <c r="D108" i="5" s="1"/>
  <c r="I109" i="5" s="1"/>
  <c r="L109" i="5" l="1"/>
  <c r="M113" i="5" s="1"/>
  <c r="A108" i="5"/>
  <c r="C109" i="5"/>
  <c r="H109" i="5"/>
  <c r="J109" i="5" s="1"/>
  <c r="K109" i="5" s="1"/>
  <c r="O109" i="5" l="1"/>
  <c r="P109" i="5" s="1"/>
  <c r="N113" i="5"/>
  <c r="D109" i="5" a="1"/>
  <c r="D109" i="5" s="1"/>
  <c r="I110" i="5" s="1"/>
  <c r="H110" i="5" l="1"/>
  <c r="J110" i="5" s="1"/>
  <c r="C110" i="5"/>
  <c r="A109" i="5"/>
  <c r="L110" i="5"/>
  <c r="M114" i="5" s="1"/>
  <c r="K110" i="5" l="1"/>
  <c r="O110" i="5" s="1"/>
  <c r="P110" i="5" s="1"/>
  <c r="N114" i="5"/>
  <c r="D110" i="5" l="1" a="1"/>
  <c r="D110" i="5" s="1"/>
  <c r="A110" i="5" s="1"/>
  <c r="L111" i="5" l="1"/>
  <c r="N115" i="5" s="1"/>
  <c r="C111" i="5"/>
  <c r="H111" i="5"/>
  <c r="I111" i="5"/>
  <c r="M115" i="5" l="1"/>
  <c r="J111" i="5"/>
  <c r="K111" i="5" s="1"/>
  <c r="O111" i="5" s="1"/>
  <c r="P111" i="5" s="1"/>
  <c r="D111" i="5" l="1" a="1"/>
  <c r="D111" i="5" s="1"/>
  <c r="H112" i="5" l="1"/>
  <c r="I112" i="5"/>
  <c r="A111" i="5"/>
  <c r="C112" i="5"/>
  <c r="L112" i="5"/>
  <c r="N116" i="5" l="1"/>
  <c r="M116" i="5"/>
  <c r="J112" i="5"/>
  <c r="K112" i="5" l="1"/>
  <c r="O112" i="5" s="1"/>
  <c r="P112" i="5" s="1"/>
  <c r="D112" i="5" l="1" a="1"/>
  <c r="D112" i="5" s="1"/>
  <c r="I113" i="5" s="1"/>
  <c r="C113" i="5" l="1"/>
  <c r="L113" i="5"/>
  <c r="N117" i="5" s="1"/>
  <c r="A112" i="5"/>
  <c r="H113" i="5"/>
  <c r="J113" i="5" s="1"/>
  <c r="M117" i="5" l="1"/>
  <c r="K113" i="5"/>
  <c r="O113" i="5" s="1"/>
  <c r="P113" i="5" s="1"/>
  <c r="D113" i="5" l="1" a="1"/>
  <c r="D113" i="5" s="1"/>
  <c r="L114" i="5" s="1"/>
  <c r="I114" i="5" l="1"/>
  <c r="H114" i="5"/>
  <c r="A113" i="5"/>
  <c r="J114" i="5"/>
  <c r="C114" i="5"/>
  <c r="N118" i="5"/>
  <c r="M118" i="5"/>
  <c r="K114" i="5" l="1"/>
  <c r="O114" i="5" s="1"/>
  <c r="P114" i="5" s="1"/>
  <c r="D114" i="5" l="1" a="1"/>
  <c r="D114" i="5" s="1"/>
  <c r="A114" i="5" s="1"/>
  <c r="H115" i="5"/>
  <c r="L115" i="5"/>
  <c r="I115" i="5"/>
  <c r="J115" i="5" s="1"/>
  <c r="C115" i="5" l="1"/>
  <c r="K115" i="5" s="1"/>
  <c r="M119" i="5"/>
  <c r="N119" i="5"/>
  <c r="O115" i="5" l="1"/>
  <c r="P115" i="5" s="1"/>
  <c r="D115" i="5" a="1"/>
  <c r="D115" i="5" s="1"/>
  <c r="L116" i="5" s="1"/>
  <c r="I116" i="5"/>
  <c r="C116" i="5" l="1"/>
  <c r="H116" i="5"/>
  <c r="A115" i="5"/>
  <c r="J116" i="5"/>
  <c r="K116" i="5" s="1"/>
  <c r="O116" i="5" s="1"/>
  <c r="P116" i="5" s="1"/>
  <c r="M120" i="5"/>
  <c r="N120" i="5"/>
  <c r="D116" i="5" l="1" a="1"/>
  <c r="D116" i="5" s="1"/>
  <c r="C117" i="5" l="1"/>
  <c r="H117" i="5"/>
  <c r="I117" i="5"/>
  <c r="L117" i="5"/>
  <c r="A116" i="5"/>
  <c r="J117" i="5" l="1"/>
  <c r="K117" i="5" s="1"/>
  <c r="O117" i="5" s="1"/>
  <c r="P117" i="5" s="1"/>
  <c r="N121" i="5"/>
  <c r="M121" i="5"/>
  <c r="D117" i="5" l="1" a="1"/>
  <c r="D117" i="5" s="1"/>
  <c r="H118" i="5" s="1"/>
  <c r="L118" i="5" l="1"/>
  <c r="M122" i="5" s="1"/>
  <c r="I118" i="5"/>
  <c r="A117" i="5"/>
  <c r="C118" i="5"/>
  <c r="J118" i="5"/>
  <c r="N122" i="5" l="1"/>
  <c r="K118" i="5"/>
  <c r="O118" i="5" s="1"/>
  <c r="P118" i="5" s="1"/>
  <c r="D118" i="5" l="1" a="1"/>
  <c r="D118" i="5" s="1"/>
  <c r="C119" i="5" l="1"/>
  <c r="H119" i="5"/>
  <c r="I119" i="5"/>
  <c r="L119" i="5"/>
  <c r="A118" i="5"/>
  <c r="N123" i="5" l="1"/>
  <c r="M123" i="5"/>
  <c r="J119" i="5"/>
  <c r="K119" i="5" s="1"/>
  <c r="O119" i="5" s="1"/>
  <c r="P119" i="5" s="1"/>
  <c r="D119" i="5" l="1" a="1"/>
  <c r="D119" i="5" s="1"/>
  <c r="I120" i="5" l="1"/>
  <c r="C120" i="5"/>
  <c r="L120" i="5"/>
  <c r="H120" i="5"/>
  <c r="A119" i="5"/>
  <c r="J120" i="5" l="1"/>
  <c r="K120" i="5" s="1"/>
  <c r="O120" i="5" s="1"/>
  <c r="P120" i="5" s="1"/>
  <c r="N124" i="5"/>
  <c r="M124" i="5"/>
  <c r="D120" i="5" l="1" a="1"/>
  <c r="D120" i="5" s="1"/>
  <c r="I121" i="5" l="1"/>
  <c r="A120" i="5"/>
  <c r="C121" i="5"/>
  <c r="L121" i="5"/>
  <c r="H121" i="5"/>
  <c r="J121" i="5" s="1"/>
  <c r="N125" i="5" l="1"/>
  <c r="M125" i="5"/>
  <c r="K121" i="5"/>
  <c r="O121" i="5" s="1"/>
  <c r="P121" i="5" s="1"/>
  <c r="D121" i="5" l="1" a="1"/>
  <c r="D121" i="5" s="1"/>
  <c r="I122" i="5" l="1"/>
  <c r="H122" i="5"/>
  <c r="J122" i="5" s="1"/>
  <c r="A121" i="5"/>
  <c r="C122" i="5"/>
  <c r="L122" i="5"/>
  <c r="K122" i="5" l="1"/>
  <c r="O122" i="5" s="1"/>
  <c r="P122" i="5" s="1"/>
  <c r="N126" i="5"/>
  <c r="M126" i="5"/>
  <c r="D122" i="5" l="1" a="1"/>
  <c r="D122" i="5" s="1"/>
  <c r="L123" i="5" s="1"/>
  <c r="C123" i="5" l="1"/>
  <c r="H123" i="5"/>
  <c r="I123" i="5"/>
  <c r="A122" i="5"/>
  <c r="M127" i="5"/>
  <c r="N127" i="5"/>
  <c r="J123" i="5" l="1"/>
  <c r="K123" i="5" s="1"/>
  <c r="O123" i="5" s="1"/>
  <c r="P123" i="5" s="1"/>
  <c r="D123" i="5" l="1" a="1"/>
  <c r="D123" i="5" s="1"/>
  <c r="C124" i="5" l="1"/>
  <c r="L124" i="5"/>
  <c r="H124" i="5"/>
  <c r="A123" i="5"/>
  <c r="I124" i="5"/>
  <c r="J124" i="5" l="1"/>
  <c r="K124" i="5" s="1"/>
  <c r="O124" i="5" s="1"/>
  <c r="P124" i="5" s="1"/>
  <c r="N128" i="5"/>
  <c r="M128" i="5"/>
  <c r="D124" i="5" l="1" a="1"/>
  <c r="D124" i="5" s="1"/>
  <c r="H125" i="5" l="1"/>
  <c r="L125" i="5"/>
  <c r="A124" i="5"/>
  <c r="I125" i="5"/>
  <c r="C125" i="5"/>
  <c r="N129" i="5" l="1"/>
  <c r="M129" i="5"/>
  <c r="J125" i="5"/>
  <c r="K125" i="5" l="1"/>
  <c r="O125" i="5" s="1"/>
  <c r="P125" i="5" s="1"/>
  <c r="D125" i="5" l="1" a="1"/>
  <c r="D125" i="5" s="1"/>
  <c r="C126" i="5" l="1"/>
  <c r="L126" i="5"/>
  <c r="I126" i="5"/>
  <c r="H126" i="5"/>
  <c r="A125" i="5"/>
  <c r="J126" i="5" l="1"/>
  <c r="K126" i="5" s="1"/>
  <c r="O126" i="5" s="1"/>
  <c r="P126" i="5" s="1"/>
  <c r="M130" i="5"/>
  <c r="N130" i="5"/>
  <c r="D126" i="5" l="1" a="1"/>
  <c r="D126" i="5" s="1"/>
  <c r="I127" i="5" l="1"/>
  <c r="C127" i="5"/>
  <c r="H127" i="5"/>
  <c r="L127" i="5"/>
  <c r="A126" i="5"/>
  <c r="J127" i="5" l="1"/>
  <c r="K127" i="5" s="1"/>
  <c r="O127" i="5" s="1"/>
  <c r="P127" i="5" s="1"/>
  <c r="N131" i="5"/>
  <c r="M131" i="5"/>
  <c r="D127" i="5" l="1" a="1"/>
  <c r="D127" i="5" s="1"/>
  <c r="I128" i="5" l="1"/>
  <c r="A127" i="5"/>
  <c r="L128" i="5"/>
  <c r="C128" i="5"/>
  <c r="H128" i="5"/>
  <c r="J128" i="5" l="1"/>
  <c r="K128" i="5"/>
  <c r="O128" i="5" s="1"/>
  <c r="P128" i="5" s="1"/>
  <c r="M132" i="5"/>
  <c r="N132" i="5"/>
  <c r="D128" i="5" l="1" a="1"/>
  <c r="D128" i="5" s="1"/>
  <c r="L129" i="5" l="1"/>
  <c r="I129" i="5"/>
  <c r="A128" i="5"/>
  <c r="C129" i="5"/>
  <c r="H129" i="5"/>
  <c r="J129" i="5" l="1"/>
  <c r="K129" i="5" s="1"/>
  <c r="O129" i="5" s="1"/>
  <c r="P129" i="5" s="1"/>
  <c r="M133" i="5"/>
  <c r="N133" i="5"/>
  <c r="D129" i="5" l="1" a="1"/>
  <c r="D129" i="5" s="1"/>
  <c r="L130" i="5" l="1"/>
  <c r="H130" i="5"/>
  <c r="A129" i="5"/>
  <c r="I130" i="5"/>
  <c r="C130" i="5"/>
  <c r="J130" i="5" l="1"/>
  <c r="M134" i="5"/>
  <c r="N134" i="5"/>
  <c r="K130" i="5" l="1"/>
  <c r="O130" i="5" s="1"/>
  <c r="P130" i="5" s="1"/>
  <c r="D130" i="5" l="1" a="1"/>
  <c r="D130" i="5" s="1"/>
  <c r="C131" i="5" l="1"/>
  <c r="H131" i="5"/>
  <c r="I131" i="5"/>
  <c r="A130" i="5"/>
  <c r="L131" i="5"/>
  <c r="N135" i="5" l="1"/>
  <c r="M135" i="5"/>
  <c r="J131" i="5"/>
  <c r="K131" i="5" s="1"/>
  <c r="O131" i="5" s="1"/>
  <c r="P131" i="5" s="1"/>
  <c r="D131" i="5" l="1" a="1"/>
  <c r="D131" i="5" s="1"/>
  <c r="L132" i="5" l="1"/>
  <c r="C132" i="5"/>
  <c r="H132" i="5"/>
  <c r="I132" i="5"/>
  <c r="A131" i="5"/>
  <c r="J132" i="5" l="1"/>
  <c r="K132" i="5" s="1"/>
  <c r="O132" i="5" s="1"/>
  <c r="P132" i="5" s="1"/>
  <c r="N136" i="5"/>
  <c r="M136" i="5"/>
  <c r="D132" i="5" l="1" a="1"/>
  <c r="D132" i="5" s="1"/>
  <c r="L133" i="5" l="1"/>
  <c r="C133" i="5"/>
  <c r="H133" i="5"/>
  <c r="A132" i="5"/>
  <c r="I133" i="5"/>
  <c r="J133" i="5" l="1"/>
  <c r="K133" i="5" s="1"/>
  <c r="O133" i="5" s="1"/>
  <c r="P133" i="5" s="1"/>
  <c r="M137" i="5"/>
  <c r="N137" i="5"/>
  <c r="D133" i="5" l="1" a="1"/>
  <c r="D133" i="5" s="1"/>
  <c r="I134" i="5" l="1"/>
  <c r="C134" i="5"/>
  <c r="L134" i="5"/>
  <c r="A133" i="5"/>
  <c r="H134" i="5"/>
  <c r="J134" i="5" l="1"/>
  <c r="K134" i="5" s="1"/>
  <c r="O134" i="5" s="1"/>
  <c r="P134" i="5" s="1"/>
  <c r="N138" i="5"/>
  <c r="M138" i="5"/>
  <c r="D134" i="5" l="1" a="1"/>
  <c r="D134" i="5" s="1"/>
  <c r="I135" i="5" l="1"/>
  <c r="A134" i="5"/>
  <c r="C135" i="5"/>
  <c r="L135" i="5"/>
  <c r="H135" i="5"/>
  <c r="J135" i="5" l="1"/>
  <c r="K135" i="5" s="1"/>
  <c r="O135" i="5" s="1"/>
  <c r="P135" i="5" s="1"/>
  <c r="M139" i="5"/>
  <c r="N139" i="5"/>
  <c r="D135" i="5" l="1" a="1"/>
  <c r="D135" i="5" s="1"/>
  <c r="L136" i="5" l="1"/>
  <c r="I136" i="5"/>
  <c r="A135" i="5"/>
  <c r="C136" i="5"/>
  <c r="H136" i="5"/>
  <c r="J136" i="5" l="1"/>
  <c r="K136" i="5" s="1"/>
  <c r="O136" i="5" s="1"/>
  <c r="P136" i="5" s="1"/>
  <c r="N140" i="5"/>
  <c r="M140" i="5"/>
  <c r="D136" i="5" l="1" a="1"/>
  <c r="D136" i="5" s="1"/>
  <c r="H137" i="5" l="1"/>
  <c r="L137" i="5"/>
  <c r="I137" i="5"/>
  <c r="A136" i="5"/>
  <c r="C137" i="5"/>
  <c r="N141" i="5" l="1"/>
  <c r="M141" i="5"/>
  <c r="J137" i="5"/>
  <c r="K137" i="5" l="1"/>
  <c r="O137" i="5" s="1"/>
  <c r="P137" i="5" s="1"/>
  <c r="D137" i="5" l="1" a="1"/>
  <c r="D137" i="5" s="1"/>
  <c r="H138" i="5" l="1"/>
  <c r="L138" i="5"/>
  <c r="I138" i="5"/>
  <c r="A137" i="5"/>
  <c r="C138" i="5"/>
  <c r="N142" i="5" l="1"/>
  <c r="M142" i="5"/>
  <c r="J138" i="5"/>
  <c r="K138" i="5" l="1"/>
  <c r="O138" i="5" s="1"/>
  <c r="P138" i="5" s="1"/>
  <c r="D138" i="5" l="1" a="1"/>
  <c r="D138" i="5" s="1"/>
  <c r="H139" i="5" l="1"/>
  <c r="L139" i="5"/>
  <c r="A138" i="5"/>
  <c r="I139" i="5"/>
  <c r="C139" i="5"/>
  <c r="N143" i="5" l="1"/>
  <c r="M143" i="5"/>
  <c r="J139" i="5"/>
  <c r="K139" i="5" l="1"/>
  <c r="O139" i="5" s="1"/>
  <c r="P139" i="5" s="1"/>
  <c r="D139" i="5" l="1" a="1"/>
  <c r="D139" i="5" s="1"/>
  <c r="C140" i="5" l="1"/>
  <c r="L140" i="5"/>
  <c r="H140" i="5"/>
  <c r="I140" i="5"/>
  <c r="A139" i="5"/>
  <c r="J140" i="5" l="1"/>
  <c r="K140" i="5" s="1"/>
  <c r="O140" i="5" s="1"/>
  <c r="P140" i="5" s="1"/>
  <c r="N144" i="5"/>
  <c r="M144" i="5"/>
  <c r="D140" i="5" l="1" a="1"/>
  <c r="D140" i="5" s="1"/>
  <c r="H141" i="5" l="1"/>
  <c r="I141" i="5"/>
  <c r="C141" i="5"/>
  <c r="L141" i="5"/>
  <c r="A140" i="5"/>
  <c r="N145" i="5" l="1"/>
  <c r="M145" i="5"/>
  <c r="J141" i="5"/>
  <c r="K141" i="5" l="1"/>
  <c r="O141" i="5" s="1"/>
  <c r="P141" i="5" s="1"/>
  <c r="D141" i="5" l="1" a="1"/>
  <c r="D141" i="5" s="1"/>
  <c r="L142" i="5" l="1"/>
  <c r="H142" i="5"/>
  <c r="I142" i="5"/>
  <c r="A141" i="5"/>
  <c r="C142" i="5"/>
  <c r="J142" i="5" l="1"/>
  <c r="N146" i="5"/>
  <c r="M146" i="5"/>
  <c r="K142" i="5" l="1"/>
  <c r="O142" i="5" s="1"/>
  <c r="P142" i="5" s="1"/>
  <c r="D142" i="5" l="1" a="1"/>
  <c r="D142" i="5" s="1"/>
  <c r="H143" i="5" l="1"/>
  <c r="L143" i="5"/>
  <c r="A142" i="5"/>
  <c r="C143" i="5"/>
  <c r="I143" i="5"/>
  <c r="M147" i="5" l="1"/>
  <c r="N147" i="5"/>
  <c r="J143" i="5"/>
  <c r="K143" i="5" l="1"/>
  <c r="O143" i="5" s="1"/>
  <c r="P143" i="5" s="1"/>
  <c r="D143" i="5" l="1" a="1"/>
  <c r="D143" i="5" s="1"/>
  <c r="H144" i="5" l="1"/>
  <c r="L144" i="5"/>
  <c r="I144" i="5"/>
  <c r="C144" i="5"/>
  <c r="A143" i="5"/>
  <c r="N148" i="5" l="1"/>
  <c r="M148" i="5"/>
  <c r="J144" i="5"/>
  <c r="K144" i="5" l="1"/>
  <c r="O144" i="5" s="1"/>
  <c r="P144" i="5" s="1"/>
  <c r="D144" i="5" l="1" a="1"/>
  <c r="D144" i="5" s="1"/>
  <c r="C145" i="5" l="1"/>
  <c r="L145" i="5"/>
  <c r="H145" i="5"/>
  <c r="I145" i="5"/>
  <c r="A144" i="5"/>
  <c r="J145" i="5" l="1"/>
  <c r="K145" i="5" s="1"/>
  <c r="O145" i="5" s="1"/>
  <c r="P145" i="5" s="1"/>
  <c r="N149" i="5"/>
  <c r="M149" i="5"/>
  <c r="D145" i="5" l="1" a="1"/>
  <c r="D145" i="5" s="1"/>
  <c r="A145" i="5" l="1"/>
  <c r="C146" i="5"/>
  <c r="L146" i="5"/>
  <c r="H146" i="5"/>
  <c r="I146" i="5"/>
  <c r="N150" i="5" l="1"/>
  <c r="M150" i="5"/>
  <c r="J146" i="5"/>
  <c r="K146" i="5" s="1"/>
  <c r="O146" i="5" s="1"/>
  <c r="P146" i="5" s="1"/>
  <c r="D146" i="5" l="1" a="1"/>
  <c r="D146" i="5" s="1"/>
  <c r="A146" i="5" l="1"/>
  <c r="I147" i="5"/>
  <c r="C147" i="5"/>
  <c r="H147" i="5"/>
  <c r="J147" i="5" s="1"/>
  <c r="L147" i="5"/>
  <c r="N151" i="5" l="1"/>
  <c r="M151" i="5"/>
  <c r="K147" i="5"/>
  <c r="O147" i="5" s="1"/>
  <c r="P147" i="5" s="1"/>
  <c r="D147" i="5" l="1" a="1"/>
  <c r="D147" i="5" s="1"/>
  <c r="L148" i="5" l="1"/>
  <c r="A147" i="5"/>
  <c r="I148" i="5"/>
  <c r="C148" i="5"/>
  <c r="H148" i="5"/>
  <c r="J148" i="5" l="1"/>
  <c r="K148" i="5" s="1"/>
  <c r="O148" i="5" s="1"/>
  <c r="P148" i="5" s="1"/>
  <c r="N152" i="5"/>
  <c r="M152" i="5"/>
  <c r="D148" i="5" l="1" a="1"/>
  <c r="D148" i="5" s="1"/>
  <c r="L149" i="5" l="1"/>
  <c r="H149" i="5"/>
  <c r="A148" i="5"/>
  <c r="I149" i="5"/>
  <c r="C149" i="5"/>
  <c r="J149" i="5" l="1"/>
  <c r="K149" i="5" s="1"/>
  <c r="O149" i="5" s="1"/>
  <c r="P149" i="5" s="1"/>
  <c r="M153" i="5"/>
  <c r="N153" i="5"/>
  <c r="D149" i="5" l="1" a="1"/>
  <c r="D149" i="5" s="1"/>
  <c r="C150" i="5" s="1"/>
  <c r="L150" i="5" l="1"/>
  <c r="N154" i="5" s="1"/>
  <c r="A149" i="5"/>
  <c r="I150" i="5"/>
  <c r="H150" i="5"/>
  <c r="J150" i="5" l="1"/>
  <c r="K150" i="5" s="1"/>
  <c r="O150" i="5" s="1"/>
  <c r="P150" i="5" s="1"/>
  <c r="M154" i="5"/>
  <c r="D150" i="5" l="1" a="1"/>
  <c r="D150" i="5" s="1"/>
  <c r="H151" i="5" s="1"/>
  <c r="I151" i="5" l="1"/>
  <c r="A150" i="5"/>
  <c r="C151" i="5"/>
  <c r="L151" i="5"/>
  <c r="M155" i="5" s="1"/>
  <c r="J151" i="5"/>
  <c r="N155" i="5" l="1"/>
  <c r="K151" i="5"/>
  <c r="O151" i="5" s="1"/>
  <c r="P151" i="5" s="1"/>
  <c r="D151" i="5" l="1" a="1"/>
  <c r="D151" i="5" s="1"/>
  <c r="C152" i="5" l="1"/>
  <c r="L152" i="5"/>
  <c r="I152" i="5"/>
  <c r="H152" i="5"/>
  <c r="A151" i="5"/>
  <c r="J152" i="5" l="1"/>
  <c r="K152" i="5" s="1"/>
  <c r="O152" i="5" s="1"/>
  <c r="P152" i="5" s="1"/>
  <c r="N156" i="5"/>
  <c r="M156" i="5"/>
  <c r="D152" i="5" l="1" a="1"/>
  <c r="D152" i="5" s="1"/>
  <c r="A152" i="5" l="1"/>
  <c r="C153" i="5"/>
  <c r="L153" i="5"/>
  <c r="H153" i="5"/>
  <c r="I153" i="5"/>
  <c r="J153" i="5" l="1"/>
  <c r="M157" i="5"/>
  <c r="N157" i="5"/>
  <c r="K153" i="5"/>
  <c r="O153" i="5" s="1"/>
  <c r="P153" i="5" s="1"/>
  <c r="D153" i="5" l="1" a="1"/>
  <c r="D153" i="5" s="1"/>
  <c r="I154" i="5" l="1"/>
  <c r="A153" i="5"/>
  <c r="C154" i="5"/>
  <c r="H154" i="5"/>
  <c r="J154" i="5" s="1"/>
  <c r="L154" i="5"/>
  <c r="K154" i="5" l="1"/>
  <c r="O154" i="5" s="1"/>
  <c r="P154" i="5" s="1"/>
  <c r="M158" i="5"/>
  <c r="N158" i="5"/>
  <c r="D154" i="5" l="1" a="1"/>
  <c r="D154" i="5" s="1"/>
  <c r="C155" i="5" s="1"/>
  <c r="I155" i="5" l="1"/>
  <c r="L155" i="5"/>
  <c r="N159" i="5" s="1"/>
  <c r="A154" i="5"/>
  <c r="H155" i="5"/>
  <c r="J155" i="5" l="1"/>
  <c r="K155" i="5" s="1"/>
  <c r="O155" i="5" s="1"/>
  <c r="P155" i="5" s="1"/>
  <c r="M159" i="5"/>
  <c r="D155" i="5" l="1" a="1"/>
  <c r="D155" i="5" s="1"/>
  <c r="H156" i="5" s="1"/>
  <c r="I156" i="5" l="1"/>
  <c r="J156" i="5" s="1"/>
  <c r="A155" i="5"/>
  <c r="L156" i="5"/>
  <c r="C156" i="5"/>
  <c r="K156" i="5" l="1"/>
  <c r="D156" i="5" s="1" a="1"/>
  <c r="D156" i="5" s="1"/>
  <c r="N160" i="5"/>
  <c r="M160" i="5"/>
  <c r="O156" i="5" l="1"/>
  <c r="P156" i="5" s="1"/>
  <c r="H157" i="5"/>
  <c r="L157" i="5"/>
  <c r="A156" i="5"/>
  <c r="I157" i="5"/>
  <c r="C157" i="5"/>
  <c r="M161" i="5" l="1"/>
  <c r="N161" i="5"/>
  <c r="J157" i="5"/>
  <c r="K157" i="5" l="1"/>
  <c r="O157" i="5" s="1"/>
  <c r="P157" i="5" s="1"/>
  <c r="D157" i="5" l="1" a="1"/>
  <c r="D157" i="5" s="1"/>
  <c r="C158" i="5" l="1"/>
  <c r="L158" i="5"/>
  <c r="H158" i="5"/>
  <c r="A157" i="5"/>
  <c r="I158" i="5"/>
  <c r="J158" i="5" l="1"/>
  <c r="K158" i="5" s="1"/>
  <c r="O158" i="5" s="1"/>
  <c r="P158" i="5" s="1"/>
  <c r="M162" i="5"/>
  <c r="N162" i="5"/>
  <c r="D158" i="5" l="1" a="1"/>
  <c r="D158" i="5" s="1"/>
  <c r="C159" i="5" l="1"/>
  <c r="L159" i="5"/>
  <c r="H159" i="5"/>
  <c r="A158" i="5"/>
  <c r="I159" i="5"/>
  <c r="J159" i="5" l="1"/>
  <c r="K159" i="5" s="1"/>
  <c r="O159" i="5" s="1"/>
  <c r="P159" i="5" s="1"/>
  <c r="M163" i="5"/>
  <c r="N163" i="5"/>
  <c r="D159" i="5" l="1" a="1"/>
  <c r="D159" i="5" s="1"/>
  <c r="A159" i="5" l="1"/>
  <c r="C160" i="5"/>
  <c r="L160" i="5"/>
  <c r="H160" i="5"/>
  <c r="I160" i="5"/>
  <c r="J160" i="5" l="1"/>
  <c r="K160" i="5" s="1"/>
  <c r="O160" i="5" s="1"/>
  <c r="P160" i="5" s="1"/>
  <c r="N164" i="5"/>
  <c r="M164" i="5"/>
  <c r="D160" i="5" l="1" a="1"/>
  <c r="D160" i="5" s="1"/>
  <c r="A160" i="5" l="1"/>
  <c r="I161" i="5"/>
  <c r="C161" i="5"/>
  <c r="H161" i="5"/>
  <c r="L161" i="5"/>
  <c r="J161" i="5" l="1"/>
  <c r="K161" i="5" s="1"/>
  <c r="O161" i="5" s="1"/>
  <c r="P161" i="5" s="1"/>
  <c r="M165" i="5"/>
  <c r="N165" i="5"/>
  <c r="D161" i="5" l="1" a="1"/>
  <c r="D161" i="5" s="1"/>
  <c r="H162" i="5" s="1"/>
  <c r="C162" i="5" l="1"/>
  <c r="A161" i="5"/>
  <c r="L162" i="5"/>
  <c r="I162" i="5"/>
  <c r="J162" i="5" s="1"/>
  <c r="K162" i="5" l="1"/>
  <c r="O162" i="5" s="1"/>
  <c r="P162" i="5" s="1"/>
  <c r="M166" i="5"/>
  <c r="N166" i="5"/>
  <c r="D162" i="5" l="1" a="1"/>
  <c r="D162" i="5" s="1"/>
  <c r="L163" i="5" s="1"/>
  <c r="H163" i="5" l="1"/>
  <c r="C163" i="5"/>
  <c r="I163" i="5"/>
  <c r="J163" i="5" s="1"/>
  <c r="A162" i="5"/>
  <c r="M167" i="5"/>
  <c r="N167" i="5"/>
  <c r="K163" i="5" l="1"/>
  <c r="O163" i="5" s="1"/>
  <c r="P163" i="5" s="1"/>
  <c r="D163" i="5" l="1" a="1"/>
  <c r="D163" i="5" s="1"/>
  <c r="H164" i="5" l="1"/>
  <c r="L164" i="5"/>
  <c r="I164" i="5"/>
  <c r="A163" i="5"/>
  <c r="C164" i="5"/>
  <c r="M168" i="5" l="1"/>
  <c r="N168" i="5"/>
  <c r="J164" i="5"/>
  <c r="K164" i="5" l="1"/>
  <c r="O164" i="5" s="1"/>
  <c r="P164" i="5" s="1"/>
  <c r="D164" i="5" l="1" a="1"/>
  <c r="D164" i="5" s="1"/>
  <c r="L165" i="5" l="1"/>
  <c r="C165" i="5"/>
  <c r="H165" i="5"/>
  <c r="I165" i="5"/>
  <c r="A164" i="5"/>
  <c r="J165" i="5" l="1"/>
  <c r="K165" i="5" s="1"/>
  <c r="O165" i="5" s="1"/>
  <c r="P165" i="5" s="1"/>
  <c r="N169" i="5"/>
  <c r="M169" i="5"/>
  <c r="D165" i="5" l="1" a="1"/>
  <c r="D165" i="5" s="1"/>
  <c r="L166" i="5" l="1"/>
  <c r="C166" i="5"/>
  <c r="H166" i="5"/>
  <c r="I166" i="5"/>
  <c r="A165" i="5"/>
  <c r="J166" i="5" l="1"/>
  <c r="K166" i="5" s="1"/>
  <c r="O166" i="5" s="1"/>
  <c r="P166" i="5" s="1"/>
  <c r="N170" i="5"/>
  <c r="M170" i="5"/>
  <c r="D166" i="5" l="1" a="1"/>
  <c r="D166" i="5" s="1"/>
  <c r="I167" i="5" l="1"/>
  <c r="C167" i="5"/>
  <c r="H167" i="5"/>
  <c r="L167" i="5"/>
  <c r="A166" i="5"/>
  <c r="J167" i="5" l="1"/>
  <c r="K167" i="5" s="1"/>
  <c r="O167" i="5" s="1"/>
  <c r="P167" i="5" s="1"/>
  <c r="M171" i="5"/>
  <c r="N171" i="5"/>
  <c r="D167" i="5" l="1" a="1"/>
  <c r="D167" i="5" s="1"/>
  <c r="I168" i="5" l="1"/>
  <c r="A167" i="5"/>
  <c r="C168" i="5"/>
  <c r="H168" i="5"/>
  <c r="L168" i="5"/>
  <c r="J168" i="5" l="1"/>
  <c r="K168" i="5" s="1"/>
  <c r="O168" i="5" s="1"/>
  <c r="P168" i="5" s="1"/>
  <c r="M172" i="5"/>
  <c r="N172" i="5"/>
  <c r="D168" i="5" l="1" a="1"/>
  <c r="D168" i="5" s="1"/>
  <c r="L169" i="5" l="1"/>
  <c r="A168" i="5"/>
  <c r="I169" i="5"/>
  <c r="C169" i="5"/>
  <c r="H169" i="5"/>
  <c r="J169" i="5" l="1"/>
  <c r="K169" i="5" s="1"/>
  <c r="O169" i="5" s="1"/>
  <c r="P169" i="5" s="1"/>
  <c r="M173" i="5"/>
  <c r="N173" i="5"/>
  <c r="D169" i="5" l="1" a="1"/>
  <c r="D169" i="5" s="1"/>
  <c r="H170" i="5" s="1"/>
  <c r="L170" i="5" l="1"/>
  <c r="N174" i="5" s="1"/>
  <c r="I170" i="5"/>
  <c r="J170" i="5" s="1"/>
  <c r="C170" i="5"/>
  <c r="A169" i="5"/>
  <c r="K170" i="5" l="1"/>
  <c r="O170" i="5" s="1"/>
  <c r="P170" i="5" s="1"/>
  <c r="M174" i="5"/>
  <c r="D170" i="5" l="1" a="1"/>
  <c r="D170" i="5" s="1"/>
  <c r="C171" i="5" s="1"/>
  <c r="H171" i="5" l="1"/>
  <c r="A170" i="5"/>
  <c r="L171" i="5"/>
  <c r="M175" i="5" s="1"/>
  <c r="I171" i="5"/>
  <c r="J171" i="5" l="1"/>
  <c r="K171" i="5" s="1"/>
  <c r="O171" i="5" s="1"/>
  <c r="P171" i="5" s="1"/>
  <c r="N175" i="5"/>
  <c r="D171" i="5" l="1" a="1"/>
  <c r="D171" i="5" s="1"/>
  <c r="H172" i="5" s="1"/>
  <c r="I172" i="5" l="1"/>
  <c r="J172" i="5" s="1"/>
  <c r="C172" i="5"/>
  <c r="A171" i="5"/>
  <c r="L172" i="5"/>
  <c r="M176" i="5" s="1"/>
  <c r="N176" i="5" l="1"/>
  <c r="K172" i="5"/>
  <c r="O172" i="5" s="1"/>
  <c r="P172" i="5" s="1"/>
  <c r="D172" i="5" l="1" a="1"/>
  <c r="D172" i="5" s="1"/>
  <c r="C173" i="5" l="1"/>
  <c r="L173" i="5"/>
  <c r="H173" i="5"/>
  <c r="A172" i="5"/>
  <c r="I173" i="5"/>
  <c r="N177" i="5" l="1"/>
  <c r="M177" i="5"/>
  <c r="J173" i="5"/>
  <c r="K173" i="5" s="1"/>
  <c r="O173" i="5" s="1"/>
  <c r="P173" i="5" s="1"/>
  <c r="D173" i="5" l="1" a="1"/>
  <c r="D173" i="5" s="1"/>
  <c r="C174" i="5" l="1"/>
  <c r="I174" i="5"/>
  <c r="A173" i="5"/>
  <c r="H174" i="5"/>
  <c r="J174" i="5" s="1"/>
  <c r="L174" i="5"/>
  <c r="M178" i="5" l="1"/>
  <c r="N178" i="5"/>
  <c r="K174" i="5"/>
  <c r="O174" i="5" s="1"/>
  <c r="P174" i="5" s="1"/>
  <c r="D174" i="5" l="1" a="1"/>
  <c r="D174" i="5" s="1"/>
  <c r="I175" i="5" l="1"/>
  <c r="A174" i="5"/>
  <c r="C175" i="5"/>
  <c r="H175" i="5"/>
  <c r="L175" i="5"/>
  <c r="J175" i="5" l="1"/>
  <c r="K175" i="5" s="1"/>
  <c r="O175" i="5" s="1"/>
  <c r="P175" i="5" s="1"/>
  <c r="M179" i="5"/>
  <c r="N179" i="5"/>
  <c r="D175" i="5" l="1" a="1"/>
  <c r="D175" i="5" s="1"/>
  <c r="L176" i="5" l="1"/>
  <c r="I176" i="5"/>
  <c r="A175" i="5"/>
  <c r="C176" i="5"/>
  <c r="H176" i="5"/>
  <c r="J176" i="5" s="1"/>
  <c r="K176" i="5" l="1"/>
  <c r="O176" i="5" s="1"/>
  <c r="P176" i="5" s="1"/>
  <c r="N180" i="5"/>
  <c r="M180" i="5"/>
  <c r="D176" i="5" l="1" a="1"/>
  <c r="D176" i="5" s="1"/>
  <c r="H177" i="5" l="1"/>
  <c r="L177" i="5"/>
  <c r="I177" i="5"/>
  <c r="A176" i="5"/>
  <c r="C177" i="5"/>
  <c r="M181" i="5" l="1"/>
  <c r="N181" i="5"/>
  <c r="J177" i="5"/>
  <c r="K177" i="5" l="1"/>
  <c r="O177" i="5" s="1"/>
  <c r="P177" i="5" s="1"/>
  <c r="D177" i="5" l="1" a="1"/>
  <c r="D177" i="5" s="1"/>
  <c r="H178" i="5" l="1"/>
  <c r="L178" i="5"/>
  <c r="A177" i="5"/>
  <c r="I178" i="5"/>
  <c r="C178" i="5"/>
  <c r="M182" i="5" l="1"/>
  <c r="N182" i="5"/>
  <c r="J178" i="5"/>
  <c r="K178" i="5" l="1"/>
  <c r="O178" i="5" s="1"/>
  <c r="P178" i="5" s="1"/>
  <c r="D178" i="5" l="1" a="1"/>
  <c r="D178" i="5" s="1"/>
  <c r="L179" i="5" l="1"/>
  <c r="H179" i="5"/>
  <c r="I179" i="5"/>
  <c r="A178" i="5"/>
  <c r="C179" i="5"/>
  <c r="J179" i="5" l="1"/>
  <c r="N183" i="5"/>
  <c r="M183" i="5"/>
  <c r="K179" i="5" l="1"/>
  <c r="O179" i="5" s="1"/>
  <c r="P179" i="5" s="1"/>
  <c r="D179" i="5" l="1" a="1"/>
  <c r="D179" i="5" s="1"/>
  <c r="C180" i="5" l="1"/>
  <c r="H180" i="5"/>
  <c r="L180" i="5"/>
  <c r="I180" i="5"/>
  <c r="A179" i="5"/>
  <c r="M184" i="5" l="1"/>
  <c r="N184" i="5"/>
  <c r="J180" i="5"/>
  <c r="K180" i="5" s="1"/>
  <c r="O180" i="5" s="1"/>
  <c r="P180" i="5" s="1"/>
  <c r="D180" i="5" l="1" a="1"/>
  <c r="D180" i="5" s="1"/>
  <c r="I181" i="5" l="1"/>
  <c r="C181" i="5"/>
  <c r="H181" i="5"/>
  <c r="L181" i="5"/>
  <c r="A180" i="5"/>
  <c r="J181" i="5" l="1"/>
  <c r="K181" i="5" s="1"/>
  <c r="O181" i="5" s="1"/>
  <c r="P181" i="5" s="1"/>
  <c r="M185" i="5"/>
  <c r="N185" i="5"/>
  <c r="D181" i="5" l="1" a="1"/>
  <c r="D181" i="5" s="1"/>
  <c r="I182" i="5" l="1"/>
  <c r="A181" i="5"/>
  <c r="C182" i="5"/>
  <c r="H182" i="5"/>
  <c r="L182" i="5"/>
  <c r="J182" i="5" l="1"/>
  <c r="K182" i="5" s="1"/>
  <c r="O182" i="5" s="1"/>
  <c r="P182" i="5" s="1"/>
  <c r="N186" i="5"/>
  <c r="M186" i="5"/>
  <c r="D182" i="5" l="1" a="1"/>
  <c r="D182" i="5" s="1"/>
  <c r="H183" i="5" l="1"/>
  <c r="I183" i="5"/>
  <c r="A182" i="5"/>
  <c r="L183" i="5"/>
  <c r="C183" i="5"/>
  <c r="N187" i="5" l="1"/>
  <c r="M187" i="5"/>
  <c r="J183" i="5"/>
  <c r="K183" i="5" l="1"/>
  <c r="O183" i="5" s="1"/>
  <c r="P183" i="5" s="1"/>
  <c r="D183" i="5" l="1" a="1"/>
  <c r="D183" i="5" s="1"/>
  <c r="L184" i="5" l="1"/>
  <c r="H184" i="5"/>
  <c r="A183" i="5"/>
  <c r="I184" i="5"/>
  <c r="C184" i="5"/>
  <c r="J184" i="5" l="1"/>
  <c r="M188" i="5"/>
  <c r="N188" i="5"/>
  <c r="K184" i="5" l="1"/>
  <c r="O184" i="5" s="1"/>
  <c r="P184" i="5" s="1"/>
  <c r="D184" i="5" l="1" a="1"/>
  <c r="D184" i="5" s="1"/>
  <c r="C185" i="5" l="1"/>
  <c r="H185" i="5"/>
  <c r="I185" i="5"/>
  <c r="A184" i="5"/>
  <c r="L185" i="5"/>
  <c r="N189" i="5" l="1"/>
  <c r="M189" i="5"/>
  <c r="J185" i="5"/>
  <c r="K185" i="5" s="1"/>
  <c r="O185" i="5" s="1"/>
  <c r="P185" i="5" s="1"/>
  <c r="D185" i="5" l="1" a="1"/>
  <c r="D185" i="5" s="1"/>
  <c r="H186" i="5" l="1"/>
  <c r="L186" i="5"/>
  <c r="A185" i="5"/>
  <c r="I186" i="5"/>
  <c r="C186" i="5"/>
  <c r="N190" i="5" l="1"/>
  <c r="M190" i="5"/>
  <c r="J186" i="5"/>
  <c r="K186" i="5" l="1"/>
  <c r="O186" i="5" s="1"/>
  <c r="P186" i="5" s="1"/>
  <c r="D186" i="5" l="1" a="1"/>
  <c r="D186" i="5" s="1"/>
  <c r="C187" i="5" l="1"/>
  <c r="L187" i="5"/>
  <c r="H187" i="5"/>
  <c r="A186" i="5"/>
  <c r="I187" i="5"/>
  <c r="J187" i="5" l="1"/>
  <c r="K187" i="5" s="1"/>
  <c r="O187" i="5" s="1"/>
  <c r="P187" i="5" s="1"/>
  <c r="N191" i="5"/>
  <c r="M191" i="5"/>
  <c r="D187" i="5" l="1" a="1"/>
  <c r="D187" i="5" s="1"/>
  <c r="A187" i="5" l="1"/>
  <c r="L188" i="5"/>
  <c r="C188" i="5"/>
  <c r="I188" i="5"/>
  <c r="H188" i="5"/>
  <c r="J188" i="5" l="1"/>
  <c r="K188" i="5" s="1"/>
  <c r="O188" i="5" s="1"/>
  <c r="P188" i="5" s="1"/>
  <c r="N192" i="5"/>
  <c r="M192" i="5"/>
  <c r="D188" i="5" l="1" a="1"/>
  <c r="D188" i="5" s="1"/>
  <c r="A188" i="5" l="1"/>
  <c r="I189" i="5"/>
  <c r="C189" i="5"/>
  <c r="H189" i="5"/>
  <c r="L189" i="5"/>
  <c r="J189" i="5" l="1"/>
  <c r="K189" i="5" s="1"/>
  <c r="O189" i="5" s="1"/>
  <c r="P189" i="5" s="1"/>
  <c r="N193" i="5"/>
  <c r="M193" i="5"/>
  <c r="D189" i="5" l="1" a="1"/>
  <c r="D189" i="5" s="1"/>
  <c r="H190" i="5" l="1"/>
  <c r="I190" i="5"/>
  <c r="A189" i="5"/>
  <c r="L190" i="5"/>
  <c r="C190" i="5"/>
  <c r="M194" i="5" l="1"/>
  <c r="N194" i="5"/>
  <c r="J190" i="5"/>
  <c r="K190" i="5" l="1"/>
  <c r="O190" i="5" s="1"/>
  <c r="P190" i="5" s="1"/>
  <c r="D190" i="5" l="1" a="1"/>
  <c r="D190" i="5" s="1"/>
  <c r="L191" i="5" l="1"/>
  <c r="H191" i="5"/>
  <c r="I191" i="5"/>
  <c r="A190" i="5"/>
  <c r="C191" i="5"/>
  <c r="J191" i="5" l="1"/>
  <c r="K191" i="5" s="1"/>
  <c r="O191" i="5" s="1"/>
  <c r="P191" i="5" s="1"/>
  <c r="N195" i="5"/>
  <c r="M195" i="5"/>
  <c r="D191" i="5" l="1" a="1"/>
  <c r="D191" i="5" s="1"/>
  <c r="C192" i="5" l="1"/>
  <c r="H192" i="5"/>
  <c r="A191" i="5"/>
  <c r="I192" i="5"/>
  <c r="L192" i="5"/>
  <c r="M196" i="5" l="1"/>
  <c r="N196" i="5"/>
  <c r="J192" i="5"/>
  <c r="K192" i="5" s="1"/>
  <c r="O192" i="5" s="1"/>
  <c r="P192" i="5" s="1"/>
  <c r="D192" i="5" l="1" a="1"/>
  <c r="D192" i="5" s="1"/>
  <c r="L193" i="5" l="1"/>
  <c r="H193" i="5"/>
  <c r="A192" i="5"/>
  <c r="I193" i="5"/>
  <c r="C193" i="5"/>
  <c r="J193" i="5" l="1"/>
  <c r="N197" i="5"/>
  <c r="M197" i="5"/>
  <c r="K193" i="5" l="1"/>
  <c r="O193" i="5" s="1"/>
  <c r="P193" i="5" s="1"/>
  <c r="D193" i="5" l="1" a="1"/>
  <c r="D193" i="5" s="1"/>
  <c r="C194" i="5" l="1"/>
  <c r="L194" i="5"/>
  <c r="A193" i="5"/>
  <c r="H194" i="5"/>
  <c r="I194" i="5"/>
  <c r="J194" i="5" l="1"/>
  <c r="K194" i="5" s="1"/>
  <c r="O194" i="5" s="1"/>
  <c r="P194" i="5" s="1"/>
  <c r="M198" i="5"/>
  <c r="N198" i="5"/>
  <c r="D194" i="5" l="1" a="1"/>
  <c r="D194" i="5" s="1"/>
  <c r="I195" i="5" l="1"/>
  <c r="L195" i="5"/>
  <c r="C195" i="5"/>
  <c r="A194" i="5"/>
  <c r="H195" i="5"/>
  <c r="J195" i="5" l="1"/>
  <c r="K195" i="5" s="1"/>
  <c r="O195" i="5" s="1"/>
  <c r="P195" i="5" s="1"/>
  <c r="M199" i="5"/>
  <c r="N199" i="5"/>
  <c r="D195" i="5" l="1" a="1"/>
  <c r="D195" i="5" s="1"/>
  <c r="A195" i="5" l="1"/>
  <c r="I196" i="5"/>
  <c r="C196" i="5"/>
  <c r="H196" i="5"/>
  <c r="L196" i="5"/>
  <c r="J196" i="5" l="1"/>
  <c r="K196" i="5" s="1"/>
  <c r="O196" i="5" s="1"/>
  <c r="P196" i="5" s="1"/>
  <c r="N200" i="5"/>
  <c r="M200" i="5"/>
  <c r="D196" i="5" l="1" a="1"/>
  <c r="D196" i="5" s="1"/>
  <c r="C197" i="5" l="1"/>
  <c r="L197" i="5"/>
  <c r="H197" i="5"/>
  <c r="A196" i="5"/>
  <c r="I197" i="5"/>
  <c r="M201" i="5" l="1"/>
  <c r="N201" i="5"/>
  <c r="J197" i="5"/>
  <c r="K197" i="5" s="1"/>
  <c r="O197" i="5" s="1"/>
  <c r="P197" i="5" s="1"/>
  <c r="D197" i="5" l="1" a="1"/>
  <c r="D197" i="5" s="1"/>
  <c r="H198" i="5" s="1"/>
  <c r="C198" i="5" l="1"/>
  <c r="A197" i="5"/>
  <c r="I198" i="5"/>
  <c r="J198" i="5" s="1"/>
  <c r="L198" i="5"/>
  <c r="M202" i="5" s="1"/>
  <c r="N202" i="5" l="1"/>
  <c r="K198" i="5"/>
  <c r="O198" i="5" s="1"/>
  <c r="P198" i="5" s="1"/>
  <c r="D198" i="5" l="1" a="1"/>
  <c r="D198" i="5" s="1"/>
  <c r="H199" i="5" l="1"/>
  <c r="L199" i="5"/>
  <c r="A198" i="5"/>
  <c r="I199" i="5"/>
  <c r="C199" i="5"/>
  <c r="N203" i="5" l="1"/>
  <c r="M203" i="5"/>
  <c r="J199" i="5"/>
  <c r="K199" i="5" l="1"/>
  <c r="O199" i="5" s="1"/>
  <c r="P199" i="5" s="1"/>
  <c r="D199" i="5" l="1" a="1"/>
  <c r="D199" i="5" s="1"/>
  <c r="H200" i="5" l="1"/>
  <c r="L200" i="5"/>
  <c r="A199" i="5"/>
  <c r="I200" i="5"/>
  <c r="C200" i="5"/>
  <c r="M204" i="5" l="1"/>
  <c r="N204" i="5"/>
  <c r="J200" i="5"/>
  <c r="K200" i="5" l="1"/>
  <c r="O200" i="5" s="1"/>
  <c r="P200" i="5" s="1"/>
  <c r="D200" i="5" l="1" a="1"/>
  <c r="D200" i="5" s="1"/>
  <c r="C201" i="5" l="1"/>
  <c r="L201" i="5"/>
  <c r="A200" i="5"/>
  <c r="H201" i="5"/>
  <c r="I201" i="5"/>
  <c r="J201" i="5" l="1"/>
  <c r="K201" i="5" s="1"/>
  <c r="O201" i="5" s="1"/>
  <c r="P201" i="5" s="1"/>
  <c r="M205" i="5"/>
  <c r="N205" i="5"/>
  <c r="D201" i="5" l="1" a="1"/>
  <c r="D201" i="5" s="1"/>
  <c r="I202" i="5" l="1"/>
  <c r="C202" i="5"/>
  <c r="L202" i="5"/>
  <c r="A201" i="5"/>
  <c r="H202" i="5"/>
  <c r="J202" i="5" l="1"/>
  <c r="K202" i="5" s="1"/>
  <c r="O202" i="5" s="1"/>
  <c r="P202" i="5" s="1"/>
  <c r="M206" i="5"/>
  <c r="N206" i="5"/>
  <c r="D202" i="5" l="1" a="1"/>
  <c r="D202" i="5" s="1"/>
  <c r="I203" i="5" l="1"/>
  <c r="A202" i="5"/>
  <c r="C203" i="5"/>
  <c r="H203" i="5"/>
  <c r="L203" i="5"/>
  <c r="J203" i="5" l="1"/>
  <c r="K203" i="5" s="1"/>
  <c r="O203" i="5" s="1"/>
  <c r="P203" i="5" s="1"/>
  <c r="N207" i="5"/>
  <c r="M207" i="5"/>
  <c r="D203" i="5" l="1" a="1"/>
  <c r="D203" i="5" s="1"/>
  <c r="H204" i="5" l="1"/>
  <c r="I204" i="5"/>
  <c r="A203" i="5"/>
  <c r="C204" i="5"/>
  <c r="L204" i="5"/>
  <c r="M208" i="5" l="1"/>
  <c r="N208" i="5"/>
  <c r="J204" i="5"/>
  <c r="K204" i="5" l="1"/>
  <c r="O204" i="5" s="1"/>
  <c r="P204" i="5" s="1"/>
  <c r="D204" i="5" l="1" a="1"/>
  <c r="D204" i="5" s="1"/>
  <c r="H205" i="5" l="1"/>
  <c r="L205" i="5"/>
  <c r="A204" i="5"/>
  <c r="I205" i="5"/>
  <c r="C205" i="5"/>
  <c r="M209" i="5" l="1"/>
  <c r="N209" i="5"/>
  <c r="J205" i="5"/>
  <c r="K205" i="5" l="1"/>
  <c r="O205" i="5" s="1"/>
  <c r="P205" i="5" s="1"/>
  <c r="D205" i="5" l="1" a="1"/>
  <c r="D205" i="5" s="1"/>
  <c r="H206" i="5" l="1"/>
  <c r="L206" i="5"/>
  <c r="A205" i="5"/>
  <c r="I206" i="5"/>
  <c r="C206" i="5"/>
  <c r="M210" i="5" l="1"/>
  <c r="N210" i="5"/>
  <c r="J206" i="5"/>
  <c r="K206" i="5" l="1"/>
  <c r="O206" i="5" s="1"/>
  <c r="P206" i="5" s="1"/>
  <c r="D206" i="5" l="1" a="1"/>
  <c r="D206" i="5" s="1"/>
  <c r="A206" i="5" l="1"/>
  <c r="C207" i="5"/>
  <c r="H207" i="5"/>
  <c r="L207" i="5"/>
  <c r="I207" i="5"/>
  <c r="M211" i="5" l="1"/>
  <c r="N211" i="5"/>
  <c r="J207" i="5"/>
  <c r="K207" i="5" s="1"/>
  <c r="O207" i="5" s="1"/>
  <c r="P207" i="5" s="1"/>
  <c r="D207" i="5" l="1" a="1"/>
  <c r="D207" i="5" s="1"/>
  <c r="I208" i="5" l="1"/>
  <c r="L208" i="5"/>
  <c r="C208" i="5"/>
  <c r="H208" i="5"/>
  <c r="A207" i="5"/>
  <c r="J208" i="5" l="1"/>
  <c r="K208" i="5" s="1"/>
  <c r="M212" i="5"/>
  <c r="N212" i="5"/>
  <c r="O208" i="5" l="1"/>
  <c r="P208" i="5" s="1"/>
  <c r="D208" i="5" a="1"/>
  <c r="D208" i="5" s="1"/>
  <c r="I209" i="5" l="1"/>
  <c r="C209" i="5"/>
  <c r="H209" i="5"/>
  <c r="L209" i="5"/>
  <c r="A208" i="5"/>
  <c r="J209" i="5" l="1"/>
  <c r="K209" i="5" s="1"/>
  <c r="O209" i="5" s="1"/>
  <c r="P209" i="5" s="1"/>
  <c r="N213" i="5"/>
  <c r="M213" i="5"/>
  <c r="D209" i="5" l="1" a="1"/>
  <c r="D209" i="5" s="1"/>
  <c r="A209" i="5" l="1"/>
  <c r="I210" i="5"/>
  <c r="L210" i="5"/>
  <c r="C210" i="5"/>
  <c r="H210" i="5"/>
  <c r="J210" i="5" l="1"/>
  <c r="K210" i="5" s="1"/>
  <c r="O210" i="5" s="1"/>
  <c r="P210" i="5" s="1"/>
  <c r="M214" i="5"/>
  <c r="N214" i="5"/>
  <c r="D210" i="5" l="1" a="1"/>
  <c r="D210" i="5" s="1"/>
  <c r="L211" i="5" l="1"/>
  <c r="A210" i="5"/>
  <c r="I211" i="5"/>
  <c r="C211" i="5"/>
  <c r="H211" i="5"/>
  <c r="J211" i="5" l="1"/>
  <c r="K211" i="5" s="1"/>
  <c r="O211" i="5" s="1"/>
  <c r="P211" i="5" s="1"/>
  <c r="M215" i="5"/>
  <c r="N215" i="5"/>
  <c r="D211" i="5" l="1" a="1"/>
  <c r="D211" i="5" s="1"/>
  <c r="H212" i="5" l="1"/>
  <c r="L212" i="5"/>
  <c r="I212" i="5"/>
  <c r="A211" i="5"/>
  <c r="C212" i="5"/>
  <c r="M216" i="5" l="1"/>
  <c r="N216" i="5"/>
  <c r="J212" i="5"/>
  <c r="K212" i="5" l="1"/>
  <c r="O212" i="5" s="1"/>
  <c r="P212" i="5" s="1"/>
  <c r="D212" i="5" l="1" a="1"/>
  <c r="D212" i="5" s="1"/>
  <c r="C213" i="5" l="1"/>
  <c r="H213" i="5"/>
  <c r="I213" i="5"/>
  <c r="A212" i="5"/>
  <c r="L213" i="5"/>
  <c r="N217" i="5" l="1"/>
  <c r="M217" i="5"/>
  <c r="J213" i="5"/>
  <c r="K213" i="5" s="1"/>
  <c r="O213" i="5" s="1"/>
  <c r="P213" i="5" s="1"/>
  <c r="D213" i="5" l="1" a="1"/>
  <c r="D213" i="5" s="1"/>
  <c r="H214" i="5" l="1"/>
  <c r="L214" i="5"/>
  <c r="I214" i="5"/>
  <c r="A213" i="5"/>
  <c r="C214" i="5"/>
  <c r="N218" i="5" l="1"/>
  <c r="M218" i="5"/>
  <c r="J214" i="5"/>
  <c r="K214" i="5" l="1"/>
  <c r="O214" i="5" s="1"/>
  <c r="P214" i="5" s="1"/>
  <c r="D214" i="5" l="1" a="1"/>
  <c r="D214" i="5" s="1"/>
  <c r="C215" i="5" l="1"/>
  <c r="H215" i="5"/>
  <c r="L215" i="5"/>
  <c r="I215" i="5"/>
  <c r="A214" i="5"/>
  <c r="M219" i="5" l="1"/>
  <c r="N219" i="5"/>
  <c r="J215" i="5"/>
  <c r="K215" i="5" s="1"/>
  <c r="O215" i="5" s="1"/>
  <c r="P215" i="5" s="1"/>
  <c r="D215" i="5" l="1" a="1"/>
  <c r="D215" i="5" s="1"/>
  <c r="I216" i="5" l="1"/>
  <c r="C216" i="5"/>
  <c r="L216" i="5"/>
  <c r="A215" i="5"/>
  <c r="H216" i="5"/>
  <c r="J216" i="5" s="1"/>
  <c r="N220" i="5" l="1"/>
  <c r="M220" i="5"/>
  <c r="K216" i="5"/>
  <c r="O216" i="5" s="1"/>
  <c r="P216" i="5" s="1"/>
  <c r="D216" i="5" l="1" a="1"/>
  <c r="D216" i="5" s="1"/>
  <c r="A216" i="5" l="1"/>
  <c r="I217" i="5"/>
  <c r="L217" i="5"/>
  <c r="C217" i="5"/>
  <c r="H217" i="5"/>
  <c r="J217" i="5" l="1"/>
  <c r="K217" i="5" s="1"/>
  <c r="O217" i="5" s="1"/>
  <c r="P217" i="5" s="1"/>
  <c r="N221" i="5"/>
  <c r="O221" i="5" s="1"/>
  <c r="P221" i="5" s="1"/>
  <c r="M221" i="5"/>
  <c r="D217" i="5" l="1" a="1"/>
  <c r="D217" i="5" s="1"/>
  <c r="A217" i="5" l="1"/>
  <c r="I218" i="5"/>
  <c r="C218" i="5"/>
  <c r="H218" i="5"/>
  <c r="L218" i="5"/>
  <c r="J218" i="5" l="1"/>
  <c r="K218" i="5" s="1"/>
  <c r="O218" i="5" s="1"/>
  <c r="P218" i="5" s="1"/>
  <c r="N222" i="5"/>
  <c r="O222" i="5" s="1"/>
  <c r="P222" i="5" s="1"/>
  <c r="M222" i="5"/>
  <c r="D218" i="5" l="1" a="1"/>
  <c r="D218" i="5" s="1"/>
  <c r="C219" i="5" l="1"/>
  <c r="I219" i="5"/>
  <c r="A218" i="5"/>
  <c r="H219" i="5"/>
  <c r="L219" i="5"/>
  <c r="J219" i="5" l="1"/>
  <c r="J8" i="5" s="1"/>
  <c r="M223" i="5"/>
  <c r="N223" i="5"/>
  <c r="O223" i="5" s="1"/>
  <c r="P223" i="5" s="1"/>
  <c r="K219" i="5" l="1"/>
  <c r="O219" i="5" s="1"/>
  <c r="P219" i="5" s="1"/>
  <c r="D219" i="5" l="1" a="1"/>
  <c r="D219" i="5" s="1"/>
  <c r="L220" i="5" s="1"/>
  <c r="A219" i="5" l="1"/>
  <c r="N224" i="5"/>
  <c r="M224" i="5"/>
  <c r="M8" i="5" s="1"/>
  <c r="O220" i="5"/>
  <c r="P220" i="5" s="1"/>
  <c r="L8" i="5"/>
  <c r="N1" i="5" l="1"/>
  <c r="O224" i="5"/>
  <c r="N8" i="5"/>
  <c r="M2" i="5" s="1"/>
  <c r="P224" i="5" l="1"/>
  <c r="P8" i="5" s="1"/>
  <c r="O8" i="5"/>
  <c r="O16" i="1"/>
  <c r="D16" i="1" a="1"/>
  <c r="D16" i="1" s="1"/>
  <c r="I17" i="1" l="1"/>
  <c r="L17" i="1"/>
  <c r="A16" i="1"/>
  <c r="P16" i="1"/>
  <c r="N21" i="1" l="1"/>
  <c r="M21" i="1"/>
  <c r="C17" i="1"/>
  <c r="H17" i="1" s="1"/>
  <c r="J17" i="1" s="1"/>
  <c r="K17" i="1" l="1"/>
  <c r="O17" i="1" s="1"/>
  <c r="D17" i="1" l="1" a="1"/>
  <c r="D17" i="1" s="1"/>
  <c r="I18" i="1" s="1"/>
  <c r="P17" i="1"/>
  <c r="L18" i="1" l="1"/>
  <c r="A17" i="1"/>
  <c r="N22" i="1" l="1"/>
  <c r="M22" i="1"/>
  <c r="C18" i="1"/>
  <c r="H18" i="1" l="1"/>
  <c r="J18" i="1" s="1"/>
  <c r="K18" i="1" s="1"/>
  <c r="O18" i="1" l="1"/>
  <c r="P18" i="1" s="1"/>
  <c r="D18" i="1" a="1"/>
  <c r="D18" i="1" s="1"/>
  <c r="L19" i="1" s="1"/>
  <c r="M23" i="1" s="1"/>
  <c r="I19" i="1" l="1"/>
  <c r="A18" i="1"/>
  <c r="C19" i="1"/>
  <c r="H19" i="1" s="1"/>
  <c r="J19" i="1" s="1"/>
  <c r="K19" i="1" s="1"/>
  <c r="O19" i="1" s="1"/>
  <c r="P19" i="1" s="1"/>
  <c r="N23" i="1"/>
  <c r="D19" i="1" l="1" a="1"/>
  <c r="D19" i="1" s="1"/>
  <c r="L20" i="1" s="1"/>
  <c r="C20" i="1" s="1"/>
  <c r="H20" i="1" s="1"/>
  <c r="A19" i="1" l="1"/>
  <c r="I20" i="1"/>
  <c r="M24" i="1"/>
  <c r="N24" i="1"/>
  <c r="J20" i="1" l="1"/>
  <c r="K20" i="1" s="1"/>
  <c r="O20" i="1" s="1"/>
  <c r="P20" i="1" s="1"/>
  <c r="D20" i="1" l="1" a="1"/>
  <c r="D20" i="1" s="1"/>
  <c r="A20" i="1" s="1"/>
  <c r="L21" i="1" l="1"/>
  <c r="I21" i="1"/>
  <c r="C21" i="1" l="1"/>
  <c r="H21" i="1" s="1"/>
  <c r="J21" i="1" s="1"/>
  <c r="K21" i="1" s="1"/>
  <c r="M25" i="1"/>
  <c r="N25" i="1"/>
  <c r="O21" i="1" l="1"/>
  <c r="P21" i="1" s="1"/>
  <c r="D21" i="1" a="1"/>
  <c r="D21" i="1" s="1"/>
  <c r="I22" i="1" s="1"/>
  <c r="L22" i="1" l="1"/>
  <c r="A21" i="1"/>
  <c r="N26" i="1" l="1"/>
  <c r="M26" i="1"/>
  <c r="C22" i="1"/>
  <c r="H22" i="1" s="1"/>
  <c r="J22" i="1" s="1"/>
  <c r="K22" i="1" s="1"/>
  <c r="O22" i="1" s="1"/>
  <c r="P22" i="1" s="1"/>
  <c r="D22" i="1" l="1" a="1"/>
  <c r="D22" i="1" s="1"/>
  <c r="L23" i="1" s="1"/>
  <c r="I23" i="1" l="1"/>
  <c r="A22" i="1"/>
  <c r="C23" i="1"/>
  <c r="H23" i="1" s="1"/>
  <c r="M27" i="1"/>
  <c r="N27" i="1"/>
  <c r="J23" i="1" l="1"/>
  <c r="K23" i="1"/>
  <c r="O23" i="1" s="1"/>
  <c r="P23" i="1" s="1"/>
  <c r="D23" i="1" l="1" a="1"/>
  <c r="D23" i="1" s="1"/>
  <c r="I24" i="1" s="1"/>
  <c r="A23" i="1" l="1"/>
  <c r="L24" i="1"/>
  <c r="C24" i="1" s="1"/>
  <c r="H24" i="1" s="1"/>
  <c r="J24" i="1" l="1"/>
  <c r="K24" i="1" s="1"/>
  <c r="O24" i="1" s="1"/>
  <c r="P24" i="1" s="1"/>
  <c r="N28" i="1"/>
  <c r="M28" i="1"/>
  <c r="D24" i="1" l="1" a="1"/>
  <c r="D24" i="1" s="1"/>
  <c r="A24" i="1" l="1"/>
  <c r="L25" i="1"/>
  <c r="I25" i="1"/>
  <c r="M29" i="1" l="1"/>
  <c r="N29" i="1"/>
  <c r="C25" i="1"/>
  <c r="H25" i="1" s="1"/>
  <c r="J25" i="1" s="1"/>
  <c r="K25" i="1" l="1"/>
  <c r="O25" i="1" s="1"/>
  <c r="P25" i="1" s="1"/>
  <c r="I26" i="1" l="1"/>
  <c r="L26" i="1" l="1"/>
  <c r="C26" i="1" s="1"/>
  <c r="H26" i="1" s="1"/>
  <c r="A25" i="1"/>
  <c r="J26" i="1" l="1"/>
  <c r="K26" i="1" s="1"/>
  <c r="O26" i="1" s="1"/>
  <c r="P26" i="1" s="1"/>
  <c r="M30" i="1"/>
  <c r="N30" i="1"/>
  <c r="D26" i="1" l="1" a="1"/>
  <c r="D26" i="1" s="1"/>
  <c r="L27" i="1" l="1"/>
  <c r="C27" i="1" s="1"/>
  <c r="H27" i="1" s="1"/>
  <c r="I27" i="1"/>
  <c r="A26" i="1"/>
  <c r="J27" i="1" l="1"/>
  <c r="K27" i="1" s="1"/>
  <c r="O27" i="1" s="1"/>
  <c r="P27" i="1" s="1"/>
  <c r="N31" i="1"/>
  <c r="M31" i="1"/>
  <c r="D27" i="1" l="1" a="1"/>
  <c r="D27" i="1" s="1"/>
  <c r="I28" i="1" l="1"/>
  <c r="L28" i="1"/>
  <c r="C28" i="1" s="1"/>
  <c r="H28" i="1" s="1"/>
  <c r="A27" i="1"/>
  <c r="J28" i="1" l="1"/>
  <c r="K28" i="1" s="1"/>
  <c r="O28" i="1" s="1"/>
  <c r="P28" i="1" s="1"/>
  <c r="M32" i="1"/>
  <c r="N32" i="1"/>
  <c r="D28" i="1" l="1" a="1"/>
  <c r="D28" i="1" s="1"/>
  <c r="A28" i="1" s="1"/>
  <c r="I29" i="1" l="1"/>
  <c r="L29" i="1"/>
  <c r="C29" i="1" s="1"/>
  <c r="H29" i="1" s="1"/>
  <c r="N33" i="1" l="1"/>
  <c r="M33" i="1"/>
  <c r="J29" i="1"/>
  <c r="K29" i="1" l="1"/>
  <c r="O29" i="1" s="1"/>
  <c r="P29" i="1" s="1"/>
  <c r="D29" i="1" l="1" a="1"/>
  <c r="D29" i="1" s="1"/>
  <c r="A29" i="1" l="1"/>
  <c r="L30" i="1"/>
  <c r="I30" i="1"/>
  <c r="C30" i="1" l="1"/>
  <c r="H30" i="1" s="1"/>
  <c r="J30" i="1" s="1"/>
  <c r="M34" i="1"/>
  <c r="N34" i="1"/>
  <c r="K30" i="1" l="1"/>
  <c r="O30" i="1" s="1"/>
  <c r="P30" i="1" s="1"/>
  <c r="D30" i="1" l="1" a="1"/>
  <c r="D30" i="1" s="1"/>
  <c r="L31" i="1" s="1"/>
  <c r="A30" i="1" l="1"/>
  <c r="I31" i="1"/>
  <c r="C31" i="1"/>
  <c r="H31" i="1" s="1"/>
  <c r="J31" i="1" s="1"/>
  <c r="N35" i="1"/>
  <c r="M35" i="1"/>
  <c r="K31" i="1" l="1"/>
  <c r="O31" i="1" s="1"/>
  <c r="P31" i="1" s="1"/>
  <c r="D31" i="1" l="1" a="1"/>
  <c r="D31" i="1" s="1"/>
  <c r="L32" i="1" s="1"/>
  <c r="I32" i="1" l="1"/>
  <c r="A31" i="1"/>
  <c r="C32" i="1"/>
  <c r="H32" i="1" s="1"/>
  <c r="M36" i="1"/>
  <c r="N36" i="1"/>
  <c r="J32" i="1" l="1"/>
  <c r="K32" i="1"/>
  <c r="O32" i="1" s="1"/>
  <c r="P32" i="1" s="1"/>
  <c r="D32" i="1" l="1" a="1"/>
  <c r="D32" i="1" s="1"/>
  <c r="L33" i="1" s="1"/>
  <c r="C33" i="1" l="1"/>
  <c r="H33" i="1" s="1"/>
  <c r="A32" i="1"/>
  <c r="I33" i="1"/>
  <c r="M37" i="1"/>
  <c r="N37" i="1"/>
  <c r="J33" i="1" l="1"/>
  <c r="K33" i="1" s="1"/>
  <c r="O33" i="1" s="1"/>
  <c r="P33" i="1" s="1"/>
  <c r="D33" i="1" l="1" a="1"/>
  <c r="D33" i="1" s="1"/>
  <c r="L34" i="1" s="1"/>
  <c r="C34" i="1" s="1"/>
  <c r="H34" i="1" s="1"/>
  <c r="I34" i="1" l="1"/>
  <c r="A33" i="1"/>
  <c r="M38" i="1"/>
  <c r="N38" i="1"/>
  <c r="J34" i="1" l="1"/>
  <c r="K34" i="1" s="1"/>
  <c r="O34" i="1" s="1"/>
  <c r="P34" i="1" s="1"/>
  <c r="D34" i="1" l="1" a="1"/>
  <c r="D34" i="1" s="1"/>
  <c r="I35" i="1" s="1"/>
  <c r="L35" i="1" l="1"/>
  <c r="A34" i="1"/>
  <c r="C35" i="1" l="1"/>
  <c r="H35" i="1" s="1"/>
  <c r="J35" i="1" s="1"/>
  <c r="K35" i="1" s="1"/>
  <c r="O35" i="1" s="1"/>
  <c r="P35" i="1" s="1"/>
  <c r="N39" i="1"/>
  <c r="M39" i="1"/>
  <c r="D35" i="1" l="1" a="1"/>
  <c r="D35" i="1" s="1"/>
  <c r="I36" i="1" s="1"/>
  <c r="A35" i="1" l="1"/>
  <c r="L36" i="1"/>
  <c r="C36" i="1" l="1"/>
  <c r="N40" i="1"/>
  <c r="M40" i="1"/>
  <c r="H36" i="1" l="1"/>
  <c r="J36" i="1" s="1"/>
  <c r="K36" i="1" s="1"/>
  <c r="O36" i="1" l="1"/>
  <c r="P36" i="1" s="1"/>
  <c r="D36" i="1" a="1"/>
  <c r="D36" i="1" s="1"/>
  <c r="A36" i="1" s="1"/>
  <c r="I37" i="1" l="1"/>
  <c r="L37" i="1"/>
  <c r="C37" i="1" s="1"/>
  <c r="H37" i="1" s="1"/>
  <c r="J37" i="1" s="1"/>
  <c r="K37" i="1" s="1"/>
  <c r="M41" i="1" l="1"/>
  <c r="N41" i="1"/>
  <c r="O37" i="1"/>
  <c r="P37" i="1" s="1"/>
  <c r="D37" i="1" a="1"/>
  <c r="D37" i="1" s="1"/>
  <c r="A37" i="1" s="1"/>
  <c r="I38" i="1" l="1"/>
  <c r="L38" i="1"/>
  <c r="C38" i="1" s="1"/>
  <c r="H38" i="1" s="1"/>
  <c r="J38" i="1" l="1"/>
  <c r="N42" i="1"/>
  <c r="M42" i="1"/>
  <c r="K38" i="1" l="1"/>
  <c r="O38" i="1" s="1"/>
  <c r="P38" i="1" s="1"/>
  <c r="D38" i="1" l="1" a="1"/>
  <c r="D38" i="1" s="1"/>
  <c r="A38" i="1" s="1"/>
  <c r="I39" i="1" l="1"/>
  <c r="L39" i="1"/>
  <c r="C39" i="1" l="1"/>
  <c r="H39" i="1" s="1"/>
  <c r="J39" i="1" s="1"/>
  <c r="M43" i="1"/>
  <c r="N43" i="1"/>
  <c r="K39" i="1" l="1"/>
  <c r="O39" i="1" s="1"/>
  <c r="P39" i="1" s="1"/>
  <c r="D39" i="1" l="1" a="1"/>
  <c r="D39" i="1" s="1"/>
  <c r="I40" i="1" l="1"/>
  <c r="L40" i="1"/>
  <c r="A39" i="1"/>
  <c r="C40" i="1" l="1"/>
  <c r="N44" i="1"/>
  <c r="M44" i="1"/>
  <c r="H40" i="1" l="1"/>
  <c r="J40" i="1" s="1"/>
  <c r="K40" i="1" s="1"/>
  <c r="O40" i="1" s="1"/>
  <c r="P40" i="1" s="1"/>
  <c r="D40" i="1" l="1" a="1"/>
  <c r="D40" i="1" s="1"/>
  <c r="A40" i="1" l="1"/>
  <c r="I41" i="1"/>
  <c r="L41" i="1"/>
  <c r="N45" i="1" l="1"/>
  <c r="M45" i="1"/>
  <c r="C41" i="1"/>
  <c r="H41" i="1" l="1"/>
  <c r="J41" i="1" s="1"/>
  <c r="K41" i="1" l="1"/>
  <c r="O41" i="1" s="1"/>
  <c r="P41" i="1" s="1"/>
  <c r="D41" i="1" l="1" a="1"/>
  <c r="D41" i="1" s="1"/>
  <c r="L42" i="1" l="1"/>
  <c r="A41" i="1"/>
  <c r="I42" i="1"/>
  <c r="C42" i="1"/>
  <c r="H42" i="1" l="1"/>
  <c r="J42" i="1" s="1"/>
  <c r="N46" i="1"/>
  <c r="M46" i="1"/>
  <c r="K42" i="1" l="1"/>
  <c r="O42" i="1" s="1"/>
  <c r="P42" i="1" s="1"/>
  <c r="D42" i="1" l="1" a="1"/>
  <c r="D42" i="1" s="1"/>
  <c r="L43" i="1" s="1"/>
  <c r="I43" i="1" l="1"/>
  <c r="C43" i="1"/>
  <c r="A42" i="1"/>
  <c r="H43" i="1"/>
  <c r="J43" i="1" s="1"/>
  <c r="K43" i="1" s="1"/>
  <c r="O43" i="1" s="1"/>
  <c r="P43" i="1" s="1"/>
  <c r="N47" i="1"/>
  <c r="M47" i="1"/>
  <c r="D43" i="1" l="1" a="1"/>
  <c r="D43" i="1" s="1"/>
  <c r="I44" i="1" l="1"/>
  <c r="L44" i="1"/>
  <c r="C44" i="1" s="1"/>
  <c r="A43" i="1"/>
  <c r="M48" i="1" l="1"/>
  <c r="N48" i="1"/>
  <c r="H44" i="1"/>
  <c r="J44" i="1" s="1"/>
  <c r="K44" i="1" l="1"/>
  <c r="O44" i="1" s="1"/>
  <c r="P44" i="1" s="1"/>
  <c r="D44" i="1" l="1" a="1"/>
  <c r="D44" i="1" s="1"/>
  <c r="A44" i="1" l="1"/>
  <c r="I45" i="1"/>
  <c r="L45" i="1"/>
  <c r="C45" i="1" s="1"/>
  <c r="H45" i="1" l="1"/>
  <c r="J45" i="1" s="1"/>
  <c r="N49" i="1"/>
  <c r="M49" i="1"/>
  <c r="K45" i="1" l="1"/>
  <c r="O45" i="1" s="1"/>
  <c r="P45" i="1" s="1"/>
  <c r="D45" i="1" l="1" a="1"/>
  <c r="D45" i="1" s="1"/>
  <c r="A45" i="1" l="1"/>
  <c r="L46" i="1"/>
  <c r="C46" i="1" s="1"/>
  <c r="I46" i="1"/>
  <c r="H46" i="1" l="1"/>
  <c r="J46" i="1" s="1"/>
  <c r="K46" i="1" s="1"/>
  <c r="O46" i="1" s="1"/>
  <c r="P46" i="1" s="1"/>
  <c r="N50" i="1"/>
  <c r="M50" i="1"/>
  <c r="D46" i="1" l="1" a="1"/>
  <c r="D46" i="1" s="1"/>
  <c r="L47" i="1" l="1"/>
  <c r="A46" i="1"/>
  <c r="I47" i="1"/>
  <c r="C47" i="1" l="1"/>
  <c r="N51" i="1"/>
  <c r="M51" i="1"/>
  <c r="H47" i="1" l="1"/>
  <c r="J47" i="1" s="1"/>
  <c r="K47" i="1" s="1"/>
  <c r="O47" i="1" s="1"/>
  <c r="P47" i="1" s="1"/>
  <c r="D47" i="1" l="1" a="1"/>
  <c r="D47" i="1" s="1"/>
  <c r="I48" i="1" l="1"/>
  <c r="A47" i="1"/>
  <c r="L48" i="1"/>
  <c r="C48" i="1" l="1"/>
  <c r="H48" i="1" s="1"/>
  <c r="J48" i="1" s="1"/>
  <c r="M52" i="1"/>
  <c r="N52" i="1"/>
  <c r="K48" i="1" l="1"/>
  <c r="O48" i="1" s="1"/>
  <c r="P48" i="1" s="1"/>
  <c r="D48" i="1" l="1" a="1"/>
  <c r="D48" i="1" s="1"/>
  <c r="I49" i="1" s="1"/>
  <c r="L49" i="1" l="1"/>
  <c r="M53" i="1" s="1"/>
  <c r="A48" i="1"/>
  <c r="N53" i="1"/>
  <c r="C49" i="1"/>
  <c r="H49" i="1" l="1"/>
  <c r="J49" i="1" s="1"/>
  <c r="K49" i="1" l="1"/>
  <c r="O49" i="1" s="1"/>
  <c r="P49" i="1" s="1"/>
  <c r="D49" i="1" l="1" a="1"/>
  <c r="D49" i="1" s="1"/>
  <c r="L50" i="1" l="1"/>
  <c r="C50" i="1" s="1"/>
  <c r="A49" i="1"/>
  <c r="I50" i="1"/>
  <c r="H50" i="1" l="1"/>
  <c r="J50" i="1" s="1"/>
  <c r="K50" i="1" s="1"/>
  <c r="O50" i="1" s="1"/>
  <c r="P50" i="1" s="1"/>
  <c r="M54" i="1"/>
  <c r="N54" i="1"/>
  <c r="D50" i="1" l="1" a="1"/>
  <c r="D50" i="1" s="1"/>
  <c r="A50" i="1" l="1"/>
  <c r="L51" i="1"/>
  <c r="C51" i="1" s="1"/>
  <c r="I51" i="1"/>
  <c r="H51" i="1" l="1"/>
  <c r="J51" i="1" s="1"/>
  <c r="K51" i="1" s="1"/>
  <c r="O51" i="1" s="1"/>
  <c r="P51" i="1" s="1"/>
  <c r="N55" i="1"/>
  <c r="M55" i="1"/>
  <c r="D51" i="1" l="1" a="1"/>
  <c r="D51" i="1" s="1"/>
  <c r="I52" i="1" l="1"/>
  <c r="A51" i="1"/>
  <c r="L52" i="1"/>
  <c r="C52" i="1" s="1"/>
  <c r="H52" i="1" l="1"/>
  <c r="J52" i="1" s="1"/>
  <c r="K52" i="1" s="1"/>
  <c r="O52" i="1" s="1"/>
  <c r="P52" i="1" s="1"/>
  <c r="M56" i="1"/>
  <c r="N56" i="1"/>
  <c r="D52" i="1" l="1" a="1"/>
  <c r="D52" i="1" s="1"/>
  <c r="A52" i="1" l="1"/>
  <c r="L53" i="1"/>
  <c r="I53" i="1"/>
  <c r="C53" i="1"/>
  <c r="H53" i="1" l="1"/>
  <c r="J53" i="1" s="1"/>
  <c r="N57" i="1"/>
  <c r="M57" i="1"/>
  <c r="K53" i="1" l="1"/>
  <c r="O53" i="1" s="1"/>
  <c r="P53" i="1" s="1"/>
  <c r="D53" i="1" l="1" a="1"/>
  <c r="D53" i="1" s="1"/>
  <c r="A53" i="1" l="1"/>
  <c r="I54" i="1"/>
  <c r="L54" i="1"/>
  <c r="C54" i="1" s="1"/>
  <c r="M58" i="1" l="1"/>
  <c r="N58" i="1"/>
  <c r="H54" i="1"/>
  <c r="J54" i="1" s="1"/>
  <c r="K54" i="1" s="1"/>
  <c r="O54" i="1" s="1"/>
  <c r="P54" i="1" s="1"/>
  <c r="D54" i="1" l="1" a="1"/>
  <c r="D54" i="1" s="1"/>
  <c r="I55" i="1" l="1"/>
  <c r="A54" i="1"/>
  <c r="L55" i="1"/>
  <c r="C55" i="1" l="1"/>
  <c r="H55" i="1" s="1"/>
  <c r="J55" i="1" s="1"/>
  <c r="N59" i="1"/>
  <c r="M59" i="1"/>
  <c r="K55" i="1" l="1"/>
  <c r="O55" i="1" s="1"/>
  <c r="P55" i="1" s="1"/>
  <c r="D55" i="1" l="1" a="1"/>
  <c r="D55" i="1" s="1"/>
  <c r="A55" i="1" l="1"/>
  <c r="L56" i="1"/>
  <c r="I56" i="1"/>
  <c r="C56" i="1" l="1"/>
  <c r="H56" i="1" s="1"/>
  <c r="J56" i="1" s="1"/>
  <c r="M60" i="1"/>
  <c r="N60" i="1"/>
  <c r="K56" i="1" l="1"/>
  <c r="O56" i="1" s="1"/>
  <c r="P56" i="1" s="1"/>
  <c r="D56" i="1" a="1"/>
  <c r="D56" i="1" s="1"/>
  <c r="I57" i="1" l="1"/>
  <c r="A56" i="1"/>
  <c r="L57" i="1"/>
  <c r="C57" i="1" s="1"/>
  <c r="H57" i="1" l="1"/>
  <c r="J57" i="1" s="1"/>
  <c r="K57" i="1" s="1"/>
  <c r="O57" i="1" s="1"/>
  <c r="P57" i="1" s="1"/>
  <c r="M61" i="1"/>
  <c r="N61" i="1"/>
  <c r="D57" i="1" l="1" a="1"/>
  <c r="D57" i="1" s="1"/>
  <c r="A57" i="1" l="1"/>
  <c r="L58" i="1"/>
  <c r="I58" i="1"/>
  <c r="C58" i="1" l="1"/>
  <c r="M62" i="1"/>
  <c r="N62" i="1"/>
  <c r="H58" i="1" l="1"/>
  <c r="J58" i="1" s="1"/>
  <c r="K58" i="1" s="1"/>
  <c r="O58" i="1" s="1"/>
  <c r="P58" i="1" s="1"/>
  <c r="D58" i="1" l="1" a="1"/>
  <c r="D58" i="1" s="1"/>
  <c r="L59" i="1" l="1"/>
  <c r="C59" i="1" s="1"/>
  <c r="A58" i="1"/>
  <c r="I59" i="1"/>
  <c r="H59" i="1" l="1"/>
  <c r="J59" i="1" s="1"/>
  <c r="K59" i="1" s="1"/>
  <c r="O59" i="1" s="1"/>
  <c r="P59" i="1" s="1"/>
  <c r="N63" i="1"/>
  <c r="M63" i="1"/>
  <c r="D59" i="1" l="1" a="1"/>
  <c r="D59" i="1" s="1"/>
  <c r="I60" i="1" l="1"/>
  <c r="A59" i="1"/>
  <c r="L60" i="1"/>
  <c r="C60" i="1" s="1"/>
  <c r="H60" i="1" l="1"/>
  <c r="J60" i="1" s="1"/>
  <c r="N64" i="1"/>
  <c r="M64" i="1"/>
  <c r="K60" i="1" l="1"/>
  <c r="O60" i="1" s="1"/>
  <c r="P60" i="1" s="1"/>
  <c r="D60" i="1" l="1" a="1"/>
  <c r="D60" i="1" s="1"/>
  <c r="L61" i="1" l="1"/>
  <c r="C61" i="1" s="1"/>
  <c r="I61" i="1"/>
  <c r="A60" i="1"/>
  <c r="H61" i="1" l="1"/>
  <c r="J61" i="1" s="1"/>
  <c r="K61" i="1" s="1"/>
  <c r="O61" i="1" s="1"/>
  <c r="P61" i="1" s="1"/>
  <c r="M65" i="1"/>
  <c r="N65" i="1"/>
  <c r="D61" i="1" l="1" a="1"/>
  <c r="D61" i="1" s="1"/>
  <c r="A61" i="1" l="1"/>
  <c r="I62" i="1"/>
  <c r="L62" i="1"/>
  <c r="C62" i="1" s="1"/>
  <c r="H62" i="1" l="1"/>
  <c r="J62" i="1" s="1"/>
  <c r="K62" i="1" s="1"/>
  <c r="O62" i="1" s="1"/>
  <c r="P62" i="1" s="1"/>
  <c r="N66" i="1"/>
  <c r="M66" i="1"/>
  <c r="D62" i="1" l="1" a="1"/>
  <c r="D62" i="1" s="1"/>
  <c r="A62" i="1" l="1"/>
  <c r="L63" i="1"/>
  <c r="C63" i="1" s="1"/>
  <c r="I63" i="1"/>
  <c r="H63" i="1" l="1"/>
  <c r="J63" i="1" s="1"/>
  <c r="M67" i="1"/>
  <c r="N67" i="1"/>
  <c r="K63" i="1" l="1"/>
  <c r="O63" i="1" s="1"/>
  <c r="P63" i="1" s="1"/>
  <c r="D63" i="1" l="1" a="1"/>
  <c r="D63" i="1" s="1"/>
  <c r="A63" i="1" s="1"/>
  <c r="L64" i="1" l="1"/>
  <c r="I64" i="1"/>
  <c r="N68" i="1"/>
  <c r="M68" i="1"/>
  <c r="C64" i="1"/>
  <c r="H64" i="1" l="1"/>
  <c r="J64" i="1" s="1"/>
  <c r="K64" i="1" s="1"/>
  <c r="O64" i="1" s="1"/>
  <c r="P64" i="1" s="1"/>
  <c r="D64" i="1" l="1" a="1"/>
  <c r="D64" i="1" s="1"/>
  <c r="I65" i="1" l="1"/>
  <c r="A64" i="1"/>
  <c r="L65" i="1"/>
  <c r="C65" i="1" l="1"/>
  <c r="N69" i="1"/>
  <c r="M69" i="1"/>
  <c r="H65" i="1" l="1"/>
  <c r="J65" i="1" s="1"/>
  <c r="K65" i="1" s="1"/>
  <c r="O65" i="1" s="1"/>
  <c r="P65" i="1" s="1"/>
  <c r="D65" i="1" l="1" a="1"/>
  <c r="D65" i="1" s="1"/>
  <c r="I66" i="1" l="1"/>
  <c r="L66" i="1"/>
  <c r="A65" i="1"/>
  <c r="M70" i="1" l="1"/>
  <c r="N70" i="1"/>
  <c r="C66" i="1"/>
  <c r="H66" i="1" l="1"/>
  <c r="J66" i="1" s="1"/>
  <c r="K66" i="1" l="1"/>
  <c r="O66" i="1" s="1"/>
  <c r="P66" i="1" s="1"/>
  <c r="D66" i="1" l="1" a="1"/>
  <c r="D66" i="1" s="1"/>
  <c r="A66" i="1" s="1"/>
  <c r="I67" i="1" l="1"/>
  <c r="L67" i="1"/>
  <c r="C67" i="1" s="1"/>
  <c r="H67" i="1" s="1"/>
  <c r="J67" i="1" s="1"/>
  <c r="N71" i="1" l="1"/>
  <c r="M71" i="1"/>
  <c r="K67" i="1"/>
  <c r="O67" i="1" s="1"/>
  <c r="P67" i="1" s="1"/>
  <c r="D67" i="1" l="1" a="1"/>
  <c r="D67" i="1" s="1"/>
  <c r="I68" i="1" l="1"/>
  <c r="A67" i="1"/>
  <c r="L68" i="1"/>
  <c r="C68" i="1" l="1"/>
  <c r="H68" i="1" s="1"/>
  <c r="J68" i="1" s="1"/>
  <c r="M72" i="1"/>
  <c r="N72" i="1"/>
  <c r="K68" i="1" l="1"/>
  <c r="O68" i="1" s="1"/>
  <c r="P68" i="1" s="1"/>
  <c r="D68" i="1" l="1" a="1"/>
  <c r="D68" i="1" s="1"/>
  <c r="A68" i="1" s="1"/>
  <c r="L69" i="1" l="1"/>
  <c r="I69" i="1"/>
  <c r="N73" i="1"/>
  <c r="M73" i="1"/>
  <c r="C69" i="1"/>
  <c r="H69" i="1" l="1"/>
  <c r="J69" i="1" s="1"/>
  <c r="K69" i="1" s="1"/>
  <c r="O69" i="1" s="1"/>
  <c r="P69" i="1" s="1"/>
  <c r="D69" i="1" l="1" a="1"/>
  <c r="D69" i="1" s="1"/>
  <c r="A69" i="1" l="1"/>
  <c r="L70" i="1"/>
  <c r="C70" i="1" s="1"/>
  <c r="I70" i="1"/>
  <c r="H70" i="1" l="1"/>
  <c r="J70" i="1" s="1"/>
  <c r="K70" i="1" s="1"/>
  <c r="O70" i="1" s="1"/>
  <c r="P70" i="1" s="1"/>
  <c r="N74" i="1"/>
  <c r="M74" i="1"/>
  <c r="D70" i="1" l="1" a="1"/>
  <c r="D70" i="1" s="1"/>
  <c r="I71" i="1" l="1"/>
  <c r="L71" i="1"/>
  <c r="C71" i="1" s="1"/>
  <c r="A70" i="1"/>
  <c r="H71" i="1" l="1"/>
  <c r="J71" i="1" s="1"/>
  <c r="M75" i="1"/>
  <c r="N75" i="1"/>
  <c r="K71" i="1" l="1"/>
  <c r="O71" i="1" s="1"/>
  <c r="P71" i="1" s="1"/>
  <c r="D71" i="1" l="1" a="1"/>
  <c r="D71" i="1" s="1"/>
  <c r="I72" i="1" s="1"/>
  <c r="A71" i="1" l="1"/>
  <c r="L72" i="1"/>
  <c r="C72" i="1" s="1"/>
  <c r="N76" i="1" l="1"/>
  <c r="M76" i="1"/>
  <c r="H72" i="1"/>
  <c r="J72" i="1" s="1"/>
  <c r="K72" i="1" s="1"/>
  <c r="O72" i="1" s="1"/>
  <c r="P72" i="1" s="1"/>
  <c r="D72" i="1" l="1" a="1"/>
  <c r="D72" i="1" s="1"/>
  <c r="A72" i="1" l="1"/>
  <c r="L73" i="1"/>
  <c r="C73" i="1" s="1"/>
  <c r="I73" i="1"/>
  <c r="H73" i="1" l="1"/>
  <c r="J73" i="1" s="1"/>
  <c r="K73" i="1" s="1"/>
  <c r="O73" i="1" s="1"/>
  <c r="P73" i="1" s="1"/>
  <c r="N77" i="1"/>
  <c r="M77" i="1"/>
  <c r="D73" i="1" l="1" a="1"/>
  <c r="D73" i="1" s="1"/>
  <c r="L74" i="1" s="1"/>
  <c r="C74" i="1" s="1"/>
  <c r="H74" i="1" s="1"/>
  <c r="I74" i="1" l="1"/>
  <c r="A73" i="1"/>
  <c r="J74" i="1"/>
  <c r="K74" i="1" s="1"/>
  <c r="O74" i="1" s="1"/>
  <c r="P74" i="1" s="1"/>
  <c r="M78" i="1"/>
  <c r="N78" i="1"/>
  <c r="D74" i="1" l="1" a="1"/>
  <c r="D74" i="1" s="1"/>
  <c r="A74" i="1" s="1"/>
  <c r="L75" i="1" l="1"/>
  <c r="I75" i="1"/>
  <c r="N79" i="1"/>
  <c r="M79" i="1"/>
  <c r="C75" i="1"/>
  <c r="H75" i="1" l="1"/>
  <c r="J75" i="1" s="1"/>
  <c r="K75" i="1" l="1"/>
  <c r="O75" i="1" s="1"/>
  <c r="P75" i="1" s="1"/>
  <c r="D75" i="1" l="1" a="1"/>
  <c r="D75" i="1" s="1"/>
  <c r="L76" i="1" l="1"/>
  <c r="A75" i="1"/>
  <c r="I76" i="1"/>
  <c r="C76" i="1"/>
  <c r="H76" i="1" l="1"/>
  <c r="J76" i="1" s="1"/>
  <c r="K76" i="1" s="1"/>
  <c r="O76" i="1" s="1"/>
  <c r="P76" i="1" s="1"/>
  <c r="M80" i="1"/>
  <c r="N80" i="1"/>
  <c r="D76" i="1" l="1" a="1"/>
  <c r="D76" i="1" s="1"/>
  <c r="I77" i="1" l="1"/>
  <c r="L77" i="1"/>
  <c r="C77" i="1" s="1"/>
  <c r="A76" i="1"/>
  <c r="H77" i="1" l="1"/>
  <c r="J77" i="1" s="1"/>
  <c r="K77" i="1" s="1"/>
  <c r="O77" i="1" s="1"/>
  <c r="P77" i="1" s="1"/>
  <c r="M81" i="1"/>
  <c r="N81" i="1"/>
  <c r="D77" i="1" l="1" a="1"/>
  <c r="D77" i="1" s="1"/>
  <c r="L78" i="1" l="1"/>
  <c r="C78" i="1" s="1"/>
  <c r="A77" i="1"/>
  <c r="I78" i="1"/>
  <c r="H78" i="1" l="1"/>
  <c r="J78" i="1" s="1"/>
  <c r="M82" i="1"/>
  <c r="N82" i="1"/>
  <c r="K78" i="1" l="1"/>
  <c r="O78" i="1" s="1"/>
  <c r="P78" i="1" s="1"/>
  <c r="D78" i="1" l="1" a="1"/>
  <c r="D78" i="1" s="1"/>
  <c r="A78" i="1" l="1"/>
  <c r="L79" i="1"/>
  <c r="I79" i="1"/>
  <c r="C79" i="1" l="1"/>
  <c r="H79" i="1" s="1"/>
  <c r="J79" i="1" s="1"/>
  <c r="N83" i="1"/>
  <c r="M83" i="1"/>
  <c r="K79" i="1" l="1"/>
  <c r="O79" i="1" s="1"/>
  <c r="P79" i="1" s="1"/>
  <c r="D79" i="1" a="1"/>
  <c r="D79" i="1" s="1"/>
  <c r="A79" i="1" l="1"/>
  <c r="I80" i="1"/>
  <c r="L80" i="1"/>
  <c r="C80" i="1" l="1"/>
  <c r="H80" i="1" s="1"/>
  <c r="J80" i="1" s="1"/>
  <c r="M84" i="1"/>
  <c r="N84" i="1"/>
  <c r="K80" i="1" l="1"/>
  <c r="O80" i="1" s="1"/>
  <c r="P80" i="1" s="1"/>
  <c r="D80" i="1" a="1"/>
  <c r="D80" i="1" s="1"/>
  <c r="A80" i="1" l="1"/>
  <c r="I81" i="1"/>
  <c r="L81" i="1"/>
  <c r="C81" i="1" l="1"/>
  <c r="H81" i="1" s="1"/>
  <c r="J81" i="1" s="1"/>
  <c r="M85" i="1"/>
  <c r="N85" i="1"/>
  <c r="K81" i="1" l="1"/>
  <c r="O81" i="1" s="1"/>
  <c r="P81" i="1" s="1"/>
  <c r="D81" i="1" a="1"/>
  <c r="D81" i="1" s="1"/>
  <c r="A81" i="1" l="1"/>
  <c r="I82" i="1"/>
  <c r="L82" i="1"/>
  <c r="M86" i="1" l="1"/>
  <c r="N86" i="1"/>
  <c r="C82" i="1"/>
  <c r="H82" i="1" l="1"/>
  <c r="J82" i="1" s="1"/>
  <c r="K82" i="1" s="1"/>
  <c r="O82" i="1" s="1"/>
  <c r="P82" i="1" s="1"/>
  <c r="D82" i="1" l="1" a="1"/>
  <c r="D82" i="1" s="1"/>
  <c r="I83" i="1" l="1"/>
  <c r="L83" i="1"/>
  <c r="C83" i="1" s="1"/>
  <c r="H83" i="1" s="1"/>
  <c r="J83" i="1" s="1"/>
  <c r="K83" i="1" s="1"/>
  <c r="O83" i="1" s="1"/>
  <c r="P83" i="1" s="1"/>
  <c r="A82" i="1"/>
  <c r="D83" i="1" l="1" a="1"/>
  <c r="D83" i="1" s="1"/>
  <c r="N87" i="1"/>
  <c r="M87" i="1"/>
  <c r="A83" i="1" l="1"/>
  <c r="L84" i="1"/>
  <c r="I84" i="1"/>
  <c r="C84" i="1" l="1"/>
  <c r="H84" i="1" s="1"/>
  <c r="J84" i="1" s="1"/>
  <c r="N88" i="1"/>
  <c r="M88" i="1"/>
  <c r="K84" i="1" l="1"/>
  <c r="O84" i="1" s="1"/>
  <c r="P84" i="1" s="1"/>
  <c r="D84" i="1" l="1" a="1"/>
  <c r="D84" i="1" s="1"/>
  <c r="A84" i="1" l="1"/>
  <c r="L85" i="1"/>
  <c r="I85" i="1"/>
  <c r="C85" i="1"/>
  <c r="H85" i="1" l="1"/>
  <c r="J85" i="1" s="1"/>
  <c r="K85" i="1" s="1"/>
  <c r="O85" i="1" s="1"/>
  <c r="P85" i="1" s="1"/>
  <c r="M89" i="1"/>
  <c r="N89" i="1"/>
  <c r="D85" i="1" l="1" a="1"/>
  <c r="D85" i="1" s="1"/>
  <c r="I86" i="1" l="1"/>
  <c r="A85" i="1"/>
  <c r="L86" i="1"/>
  <c r="C86" i="1" s="1"/>
  <c r="H86" i="1" s="1"/>
  <c r="J86" i="1" l="1"/>
  <c r="K86" i="1" s="1"/>
  <c r="O86" i="1" s="1"/>
  <c r="P86" i="1" s="1"/>
  <c r="N90" i="1"/>
  <c r="M90" i="1"/>
  <c r="D86" i="1" l="1" a="1"/>
  <c r="D86" i="1" s="1"/>
  <c r="A86" i="1" s="1"/>
  <c r="L87" i="1" l="1"/>
  <c r="C87" i="1" s="1"/>
  <c r="H87" i="1" s="1"/>
  <c r="I87" i="1"/>
  <c r="J87" i="1" l="1"/>
  <c r="M91" i="1"/>
  <c r="N91" i="1"/>
  <c r="K87" i="1"/>
  <c r="O87" i="1" s="1"/>
  <c r="P87" i="1" s="1"/>
  <c r="D87" i="1" l="1" a="1"/>
  <c r="D87" i="1" s="1"/>
  <c r="I88" i="1" s="1"/>
  <c r="L88" i="1" l="1"/>
  <c r="A87" i="1"/>
  <c r="C88" i="1"/>
  <c r="H88" i="1" s="1"/>
  <c r="J88" i="1" s="1"/>
  <c r="N92" i="1"/>
  <c r="M92" i="1"/>
  <c r="K88" i="1" l="1"/>
  <c r="O88" i="1" s="1"/>
  <c r="P88" i="1" s="1"/>
  <c r="D88" i="1" l="1" a="1"/>
  <c r="D88" i="1" s="1"/>
  <c r="L89" i="1" l="1"/>
  <c r="I89" i="1"/>
  <c r="A88" i="1"/>
  <c r="C89" i="1" l="1"/>
  <c r="M93" i="1"/>
  <c r="N93" i="1"/>
  <c r="H89" i="1" l="1"/>
  <c r="J89" i="1" s="1"/>
  <c r="K89" i="1" s="1"/>
  <c r="O89" i="1" s="1"/>
  <c r="P89" i="1" s="1"/>
  <c r="D89" i="1" l="1" a="1"/>
  <c r="D89" i="1" s="1"/>
  <c r="L90" i="1" s="1"/>
  <c r="I90" i="1" l="1"/>
  <c r="A89" i="1"/>
  <c r="C90" i="1"/>
  <c r="N94" i="1"/>
  <c r="M94" i="1"/>
  <c r="H90" i="1" l="1"/>
  <c r="J90" i="1" s="1"/>
  <c r="K90" i="1" s="1"/>
  <c r="O90" i="1" s="1"/>
  <c r="P90" i="1" s="1"/>
  <c r="D90" i="1" l="1" a="1"/>
  <c r="D90" i="1" s="1"/>
  <c r="A90" i="1" l="1"/>
  <c r="I91" i="1"/>
  <c r="L91" i="1"/>
  <c r="C91" i="1" s="1"/>
  <c r="H91" i="1" l="1"/>
  <c r="J91" i="1" s="1"/>
  <c r="M95" i="1"/>
  <c r="N95" i="1"/>
  <c r="K91" i="1" l="1"/>
  <c r="O91" i="1" s="1"/>
  <c r="P91" i="1" s="1"/>
  <c r="D91" i="1" l="1" a="1"/>
  <c r="D91" i="1" s="1"/>
  <c r="A91" i="1" l="1"/>
  <c r="L92" i="1"/>
  <c r="I92" i="1"/>
  <c r="C92" i="1" l="1"/>
  <c r="H92" i="1" s="1"/>
  <c r="J92" i="1" s="1"/>
  <c r="N96" i="1"/>
  <c r="M96" i="1"/>
  <c r="K92" i="1" l="1"/>
  <c r="O92" i="1" s="1"/>
  <c r="P92" i="1" s="1"/>
  <c r="D92" i="1" l="1" a="1"/>
  <c r="D92" i="1" s="1"/>
  <c r="L93" i="1" s="1"/>
  <c r="C93" i="1" s="1"/>
  <c r="A92" i="1" l="1"/>
  <c r="I93" i="1"/>
  <c r="H93" i="1"/>
  <c r="J93" i="1" s="1"/>
  <c r="K93" i="1" s="1"/>
  <c r="O93" i="1" s="1"/>
  <c r="P93" i="1" s="1"/>
  <c r="M97" i="1"/>
  <c r="N97" i="1"/>
  <c r="D93" i="1" l="1" a="1"/>
  <c r="D93" i="1" s="1"/>
  <c r="L94" i="1" l="1"/>
  <c r="A93" i="1"/>
  <c r="I94" i="1"/>
  <c r="C94" i="1" l="1"/>
  <c r="H94" i="1" s="1"/>
  <c r="J94" i="1" s="1"/>
  <c r="N98" i="1"/>
  <c r="M98" i="1"/>
  <c r="K94" i="1" l="1"/>
  <c r="O94" i="1" s="1"/>
  <c r="P94" i="1" s="1"/>
  <c r="D94" i="1" l="1" a="1"/>
  <c r="D94" i="1" s="1"/>
  <c r="A94" i="1" s="1"/>
  <c r="L95" i="1" l="1"/>
  <c r="C95" i="1" s="1"/>
  <c r="I95" i="1"/>
  <c r="H95" i="1"/>
  <c r="M99" i="1"/>
  <c r="N99" i="1"/>
  <c r="J95" i="1" l="1"/>
  <c r="K95" i="1" s="1"/>
  <c r="O95" i="1" s="1"/>
  <c r="P95" i="1" s="1"/>
  <c r="D95" i="1" l="1" a="1"/>
  <c r="D95" i="1" s="1"/>
  <c r="L96" i="1" s="1"/>
  <c r="C96" i="1" s="1"/>
  <c r="I96" i="1"/>
  <c r="A95" i="1" l="1"/>
  <c r="H96" i="1"/>
  <c r="J96" i="1" s="1"/>
  <c r="K96" i="1" s="1"/>
  <c r="O96" i="1" s="1"/>
  <c r="P96" i="1" s="1"/>
  <c r="N100" i="1"/>
  <c r="M100" i="1"/>
  <c r="D96" i="1" l="1" a="1"/>
  <c r="D96" i="1" s="1"/>
  <c r="A96" i="1" l="1"/>
  <c r="L97" i="1"/>
  <c r="I97" i="1"/>
  <c r="C97" i="1" l="1"/>
  <c r="H97" i="1" s="1"/>
  <c r="J97" i="1" s="1"/>
  <c r="M101" i="1"/>
  <c r="N101" i="1"/>
  <c r="K97" i="1" l="1"/>
  <c r="O97" i="1" s="1"/>
  <c r="P97" i="1" s="1"/>
  <c r="D97" i="1" l="1" a="1"/>
  <c r="D97" i="1" s="1"/>
  <c r="A97" i="1" s="1"/>
  <c r="L98" i="1" l="1"/>
  <c r="C98" i="1" s="1"/>
  <c r="I98" i="1"/>
  <c r="N102" i="1" l="1"/>
  <c r="M102" i="1"/>
  <c r="H98" i="1"/>
  <c r="J98" i="1" s="1"/>
  <c r="K98" i="1" s="1"/>
  <c r="O98" i="1" s="1"/>
  <c r="P98" i="1" s="1"/>
  <c r="D98" i="1" l="1" a="1"/>
  <c r="D98" i="1" s="1"/>
  <c r="L99" i="1" l="1"/>
  <c r="I99" i="1"/>
  <c r="A98" i="1"/>
  <c r="C99" i="1" l="1"/>
  <c r="M103" i="1"/>
  <c r="N103" i="1"/>
  <c r="H99" i="1" l="1"/>
  <c r="J99" i="1" s="1"/>
  <c r="K99" i="1" s="1"/>
  <c r="O99" i="1" s="1"/>
  <c r="P99" i="1" s="1"/>
  <c r="D99" i="1" l="1" a="1"/>
  <c r="D99" i="1" s="1"/>
  <c r="A99" i="1" l="1"/>
  <c r="L100" i="1"/>
  <c r="I100" i="1"/>
  <c r="C100" i="1" l="1"/>
  <c r="H100" i="1" s="1"/>
  <c r="J100" i="1" s="1"/>
  <c r="N104" i="1"/>
  <c r="M104" i="1"/>
  <c r="K100" i="1" l="1"/>
  <c r="O100" i="1" s="1"/>
  <c r="P100" i="1" s="1"/>
  <c r="D100" i="1" l="1" a="1"/>
  <c r="D100" i="1" s="1"/>
  <c r="A100" i="1" s="1"/>
  <c r="L101" i="1" l="1"/>
  <c r="I101" i="1"/>
  <c r="C101" i="1"/>
  <c r="H101" i="1" s="1"/>
  <c r="J101" i="1" s="1"/>
  <c r="M105" i="1"/>
  <c r="N105" i="1"/>
  <c r="K101" i="1" l="1"/>
  <c r="O101" i="1" s="1"/>
  <c r="P101" i="1" s="1"/>
  <c r="D101" i="1" l="1" a="1"/>
  <c r="D101" i="1" s="1"/>
  <c r="I102" i="1" s="1"/>
  <c r="A101" i="1" l="1"/>
  <c r="L102" i="1"/>
  <c r="C102" i="1" s="1"/>
  <c r="H102" i="1"/>
  <c r="J102" i="1" s="1"/>
  <c r="M106" i="1"/>
  <c r="N106" i="1"/>
  <c r="K102" i="1" l="1"/>
  <c r="O102" i="1" s="1"/>
  <c r="P102" i="1" s="1"/>
  <c r="D102" i="1" l="1" a="1"/>
  <c r="D102" i="1" s="1"/>
  <c r="L103" i="1" l="1"/>
  <c r="C103" i="1" s="1"/>
  <c r="A102" i="1"/>
  <c r="I103" i="1"/>
  <c r="H103" i="1" l="1"/>
  <c r="J103" i="1" s="1"/>
  <c r="N107" i="1"/>
  <c r="M107" i="1"/>
  <c r="K103" i="1" l="1"/>
  <c r="O103" i="1" s="1"/>
  <c r="P103" i="1" s="1"/>
  <c r="D103" i="1" l="1" a="1"/>
  <c r="D103" i="1" s="1"/>
  <c r="L104" i="1" l="1"/>
  <c r="A103" i="1"/>
  <c r="I104" i="1"/>
  <c r="C104" i="1" l="1"/>
  <c r="N108" i="1"/>
  <c r="M108" i="1"/>
  <c r="H104" i="1" l="1"/>
  <c r="J104" i="1" s="1"/>
  <c r="K104" i="1" s="1"/>
  <c r="O104" i="1" s="1"/>
  <c r="P104" i="1" s="1"/>
  <c r="D104" i="1" l="1" a="1"/>
  <c r="D104" i="1" s="1"/>
  <c r="A104" i="1" l="1"/>
  <c r="L105" i="1"/>
  <c r="I105" i="1"/>
  <c r="C105" i="1" l="1"/>
  <c r="N109" i="1"/>
  <c r="M109" i="1"/>
  <c r="H105" i="1" l="1"/>
  <c r="J105" i="1" s="1"/>
  <c r="K105" i="1" s="1"/>
  <c r="O105" i="1" s="1"/>
  <c r="P105" i="1" s="1"/>
  <c r="D105" i="1" l="1" a="1"/>
  <c r="D105" i="1" s="1"/>
  <c r="A105" i="1" l="1"/>
  <c r="L106" i="1"/>
  <c r="I106" i="1"/>
  <c r="C106" i="1" l="1"/>
  <c r="H106" i="1" s="1"/>
  <c r="J106" i="1" s="1"/>
  <c r="N110" i="1"/>
  <c r="M110" i="1"/>
  <c r="K106" i="1" l="1"/>
  <c r="O106" i="1" s="1"/>
  <c r="P106" i="1" s="1"/>
  <c r="D106" i="1" l="1" a="1"/>
  <c r="D106" i="1" s="1"/>
  <c r="A106" i="1" s="1"/>
  <c r="I107" i="1"/>
  <c r="L107" i="1"/>
  <c r="C107" i="1" l="1"/>
  <c r="M111" i="1"/>
  <c r="N111" i="1"/>
  <c r="H107" i="1" l="1"/>
  <c r="J107" i="1" s="1"/>
  <c r="K107" i="1" s="1"/>
  <c r="O107" i="1" s="1"/>
  <c r="P107" i="1" s="1"/>
  <c r="D107" i="1" l="1" a="1"/>
  <c r="D107" i="1" s="1"/>
  <c r="A107" i="1" l="1"/>
  <c r="I108" i="1"/>
  <c r="L108" i="1"/>
  <c r="C108" i="1" l="1"/>
  <c r="H108" i="1" s="1"/>
  <c r="J108" i="1" s="1"/>
  <c r="N112" i="1"/>
  <c r="M112" i="1"/>
  <c r="K108" i="1" l="1"/>
  <c r="O108" i="1" s="1"/>
  <c r="P108" i="1" s="1"/>
  <c r="D108" i="1" a="1"/>
  <c r="D108" i="1" s="1"/>
  <c r="A108" i="1" l="1"/>
  <c r="I109" i="1"/>
  <c r="L109" i="1"/>
  <c r="C109" i="1" l="1"/>
  <c r="H109" i="1" s="1"/>
  <c r="J109" i="1" s="1"/>
  <c r="M113" i="1"/>
  <c r="N113" i="1"/>
  <c r="K109" i="1" l="1"/>
  <c r="O109" i="1" s="1"/>
  <c r="P109" i="1" s="1"/>
  <c r="D109" i="1" a="1"/>
  <c r="D109" i="1" s="1"/>
  <c r="I110" i="1" l="1"/>
  <c r="A109" i="1"/>
  <c r="L110" i="1"/>
  <c r="C110" i="1" l="1"/>
  <c r="H110" i="1" s="1"/>
  <c r="J110" i="1" s="1"/>
  <c r="M114" i="1"/>
  <c r="N114" i="1"/>
  <c r="K110" i="1" l="1"/>
  <c r="O110" i="1" s="1"/>
  <c r="P110" i="1" s="1"/>
  <c r="D110" i="1" a="1"/>
  <c r="D110" i="1" s="1"/>
  <c r="A110" i="1" l="1"/>
  <c r="I111" i="1"/>
  <c r="L111" i="1"/>
  <c r="C111" i="1" l="1"/>
  <c r="H111" i="1" s="1"/>
  <c r="J111" i="1" s="1"/>
  <c r="N115" i="1"/>
  <c r="M115" i="1"/>
  <c r="K111" i="1" l="1"/>
  <c r="O111" i="1" s="1"/>
  <c r="P111" i="1" s="1"/>
  <c r="D111" i="1" l="1" a="1"/>
  <c r="D111" i="1" s="1"/>
  <c r="A111" i="1" s="1"/>
  <c r="I112" i="1"/>
  <c r="L112" i="1" l="1"/>
  <c r="C112" i="1"/>
  <c r="H112" i="1" s="1"/>
  <c r="J112" i="1" s="1"/>
  <c r="M116" i="1"/>
  <c r="N116" i="1"/>
  <c r="K112" i="1" l="1"/>
  <c r="O112" i="1" s="1"/>
  <c r="P112" i="1" s="1"/>
  <c r="D112" i="1" l="1" a="1"/>
  <c r="D112" i="1" s="1"/>
  <c r="L113" i="1" s="1"/>
  <c r="C113" i="1" s="1"/>
  <c r="A112" i="1" l="1"/>
  <c r="I113" i="1"/>
  <c r="H113" i="1"/>
  <c r="J113" i="1" s="1"/>
  <c r="N117" i="1"/>
  <c r="M117" i="1"/>
  <c r="K113" i="1" l="1"/>
  <c r="O113" i="1" s="1"/>
  <c r="P113" i="1" s="1"/>
  <c r="D113" i="1" l="1" a="1"/>
  <c r="D113" i="1" s="1"/>
  <c r="A113" i="1" l="1"/>
  <c r="L114" i="1"/>
  <c r="I114" i="1"/>
  <c r="C114" i="1" l="1"/>
  <c r="H114" i="1" s="1"/>
  <c r="J114" i="1" s="1"/>
  <c r="M118" i="1"/>
  <c r="N118" i="1"/>
  <c r="K114" i="1" l="1"/>
  <c r="O114" i="1" s="1"/>
  <c r="P114" i="1" s="1"/>
  <c r="D114" i="1" a="1"/>
  <c r="D114" i="1" s="1"/>
  <c r="I115" i="1" l="1"/>
  <c r="L115" i="1"/>
  <c r="A114" i="1"/>
  <c r="N119" i="1" l="1"/>
  <c r="M119" i="1"/>
  <c r="C115" i="1"/>
  <c r="H115" i="1" l="1"/>
  <c r="J115" i="1" s="1"/>
  <c r="K115" i="1" s="1"/>
  <c r="O115" i="1" s="1"/>
  <c r="P115" i="1" s="1"/>
  <c r="D115" i="1" l="1" a="1"/>
  <c r="D115" i="1" s="1"/>
  <c r="A115" i="1" l="1"/>
  <c r="L116" i="1"/>
  <c r="C116" i="1" s="1"/>
  <c r="H116" i="1" s="1"/>
  <c r="I116" i="1"/>
  <c r="J116" i="1" l="1"/>
  <c r="K116" i="1" s="1"/>
  <c r="O116" i="1" s="1"/>
  <c r="P116" i="1" s="1"/>
  <c r="N120" i="1"/>
  <c r="M120" i="1"/>
  <c r="D116" i="1" l="1" a="1"/>
  <c r="D116" i="1" s="1"/>
  <c r="A116" i="1" s="1"/>
  <c r="L117" i="1" l="1"/>
  <c r="C117" i="1" s="1"/>
  <c r="I117" i="1"/>
  <c r="H117" i="1"/>
  <c r="N121" i="1"/>
  <c r="M121" i="1"/>
  <c r="J117" i="1" l="1"/>
  <c r="K117" i="1" s="1"/>
  <c r="O117" i="1" s="1"/>
  <c r="P117" i="1" s="1"/>
  <c r="D117" i="1" a="1"/>
  <c r="D117" i="1" s="1"/>
  <c r="L118" i="1" l="1"/>
  <c r="A117" i="1"/>
  <c r="I118" i="1"/>
  <c r="C118" i="1"/>
  <c r="H118" i="1" s="1"/>
  <c r="J118" i="1" l="1"/>
  <c r="K118" i="1" s="1"/>
  <c r="O118" i="1" s="1"/>
  <c r="P118" i="1" s="1"/>
  <c r="D118" i="1" a="1"/>
  <c r="D118" i="1" s="1"/>
  <c r="M122" i="1"/>
  <c r="N122" i="1"/>
  <c r="I119" i="1" l="1"/>
  <c r="A118" i="1"/>
  <c r="L119" i="1"/>
  <c r="M123" i="1" l="1"/>
  <c r="N123" i="1"/>
  <c r="C119" i="1"/>
  <c r="H119" i="1" l="1"/>
  <c r="J119" i="1" s="1"/>
  <c r="K119" i="1" l="1"/>
  <c r="O119" i="1" s="1"/>
  <c r="P119" i="1" s="1"/>
  <c r="D119" i="1" l="1" a="1"/>
  <c r="D119" i="1" s="1"/>
  <c r="L120" i="1" l="1"/>
  <c r="C120" i="1" s="1"/>
  <c r="A119" i="1"/>
  <c r="I120" i="1"/>
  <c r="H120" i="1" l="1"/>
  <c r="J120" i="1" s="1"/>
  <c r="M124" i="1"/>
  <c r="N124" i="1"/>
  <c r="K120" i="1" l="1"/>
  <c r="O120" i="1" s="1"/>
  <c r="P120" i="1" s="1"/>
  <c r="D120" i="1" l="1" a="1"/>
  <c r="D120" i="1" s="1"/>
  <c r="L121" i="1" l="1"/>
  <c r="A120" i="1"/>
  <c r="I121" i="1"/>
  <c r="C121" i="1" l="1"/>
  <c r="N125" i="1"/>
  <c r="M125" i="1"/>
  <c r="H121" i="1" l="1"/>
  <c r="J121" i="1" s="1"/>
  <c r="K121" i="1" s="1"/>
  <c r="O121" i="1" s="1"/>
  <c r="P121" i="1" s="1"/>
  <c r="D121" i="1" l="1" a="1"/>
  <c r="D121" i="1" s="1"/>
  <c r="A121" i="1" l="1"/>
  <c r="I122" i="1"/>
  <c r="L122" i="1"/>
  <c r="C122" i="1" l="1"/>
  <c r="M126" i="1"/>
  <c r="N126" i="1"/>
  <c r="H122" i="1" l="1"/>
  <c r="J122" i="1" s="1"/>
  <c r="K122" i="1" s="1"/>
  <c r="O122" i="1" s="1"/>
  <c r="P122" i="1" s="1"/>
  <c r="D122" i="1" l="1" a="1"/>
  <c r="D122" i="1" s="1"/>
  <c r="L123" i="1" l="1"/>
  <c r="A122" i="1"/>
  <c r="I123" i="1"/>
  <c r="C123" i="1" l="1"/>
  <c r="H123" i="1" s="1"/>
  <c r="J123" i="1" s="1"/>
  <c r="M127" i="1"/>
  <c r="N127" i="1"/>
  <c r="K123" i="1" l="1"/>
  <c r="O123" i="1" s="1"/>
  <c r="P123" i="1" s="1"/>
  <c r="D123" i="1" l="1" a="1"/>
  <c r="D123" i="1" s="1"/>
  <c r="I124" i="1" s="1"/>
  <c r="A123" i="1" l="1"/>
  <c r="L124" i="1"/>
  <c r="C124" i="1" s="1"/>
  <c r="H124" i="1" s="1"/>
  <c r="J124" i="1" s="1"/>
  <c r="K124" i="1" s="1"/>
  <c r="O124" i="1" s="1"/>
  <c r="P124" i="1" s="1"/>
  <c r="M128" i="1" l="1"/>
  <c r="N128" i="1"/>
  <c r="D124" i="1" a="1"/>
  <c r="D124" i="1" s="1"/>
  <c r="I125" i="1" l="1"/>
  <c r="A124" i="1"/>
  <c r="L125" i="1"/>
  <c r="C125" i="1" l="1"/>
  <c r="H125" i="1" s="1"/>
  <c r="J125" i="1" s="1"/>
  <c r="M129" i="1"/>
  <c r="N129" i="1"/>
  <c r="K125" i="1" l="1"/>
  <c r="O125" i="1" s="1"/>
  <c r="P125" i="1" s="1"/>
  <c r="D125" i="1" l="1" a="1"/>
  <c r="D125" i="1" s="1"/>
  <c r="A125" i="1" s="1"/>
  <c r="I126" i="1" l="1"/>
  <c r="L126" i="1"/>
  <c r="C126" i="1" s="1"/>
  <c r="M130" i="1" l="1"/>
  <c r="N130" i="1"/>
  <c r="H126" i="1"/>
  <c r="J126" i="1" s="1"/>
  <c r="K126" i="1" s="1"/>
  <c r="O126" i="1" s="1"/>
  <c r="P126" i="1" s="1"/>
  <c r="D126" i="1" l="1" a="1"/>
  <c r="D126" i="1" s="1"/>
  <c r="L127" i="1" l="1"/>
  <c r="A126" i="1"/>
  <c r="I127" i="1"/>
  <c r="C127" i="1" l="1"/>
  <c r="H127" i="1" s="1"/>
  <c r="J127" i="1" s="1"/>
  <c r="M131" i="1"/>
  <c r="N131" i="1"/>
  <c r="K127" i="1" l="1"/>
  <c r="O127" i="1" s="1"/>
  <c r="P127" i="1" s="1"/>
  <c r="D127" i="1" a="1"/>
  <c r="D127" i="1" s="1"/>
  <c r="A127" i="1" l="1"/>
  <c r="I128" i="1"/>
  <c r="L128" i="1"/>
  <c r="C128" i="1" s="1"/>
  <c r="H128" i="1" s="1"/>
  <c r="J128" i="1" s="1"/>
  <c r="K128" i="1" s="1"/>
  <c r="O128" i="1" s="1"/>
  <c r="P128" i="1" s="1"/>
  <c r="D128" i="1" l="1" a="1"/>
  <c r="D128" i="1" s="1"/>
  <c r="M132" i="1"/>
  <c r="N132" i="1"/>
  <c r="I129" i="1" l="1"/>
  <c r="L129" i="1"/>
  <c r="A128" i="1"/>
  <c r="C129" i="1" l="1"/>
  <c r="M133" i="1"/>
  <c r="N133" i="1"/>
  <c r="H129" i="1" l="1"/>
  <c r="J129" i="1" s="1"/>
  <c r="K129" i="1" s="1"/>
  <c r="O129" i="1" s="1"/>
  <c r="P129" i="1" s="1"/>
  <c r="D129" i="1" l="1" a="1"/>
  <c r="D129" i="1" s="1"/>
  <c r="A129" i="1" l="1"/>
  <c r="I130" i="1"/>
  <c r="L130" i="1"/>
  <c r="C130" i="1" s="1"/>
  <c r="M134" i="1" l="1"/>
  <c r="N134" i="1"/>
  <c r="H130" i="1"/>
  <c r="J130" i="1" s="1"/>
  <c r="K130" i="1" s="1"/>
  <c r="O130" i="1" s="1"/>
  <c r="P130" i="1" s="1"/>
  <c r="D130" i="1" l="1" a="1"/>
  <c r="D130" i="1" s="1"/>
  <c r="A130" i="1" l="1"/>
  <c r="L131" i="1"/>
  <c r="I131" i="1"/>
  <c r="C131" i="1" l="1"/>
  <c r="N135" i="1"/>
  <c r="M135" i="1"/>
  <c r="H131" i="1" l="1"/>
  <c r="J131" i="1" s="1"/>
  <c r="K131" i="1" s="1"/>
  <c r="O131" i="1" s="1"/>
  <c r="P131" i="1" s="1"/>
  <c r="D131" i="1" l="1" a="1"/>
  <c r="D131" i="1" s="1"/>
  <c r="A131" i="1" l="1"/>
  <c r="I132" i="1"/>
  <c r="L132" i="1"/>
  <c r="C132" i="1" l="1"/>
  <c r="N136" i="1"/>
  <c r="M136" i="1"/>
  <c r="H132" i="1" l="1"/>
  <c r="J132" i="1" s="1"/>
  <c r="K132" i="1" s="1"/>
  <c r="O132" i="1" s="1"/>
  <c r="P132" i="1" s="1"/>
  <c r="D132" i="1" l="1" a="1"/>
  <c r="D132" i="1" s="1"/>
  <c r="I133" i="1" l="1"/>
  <c r="L133" i="1"/>
  <c r="C133" i="1" s="1"/>
  <c r="A132" i="1"/>
  <c r="H133" i="1" l="1"/>
  <c r="J133" i="1" s="1"/>
  <c r="K133" i="1" s="1"/>
  <c r="O133" i="1" s="1"/>
  <c r="P133" i="1" s="1"/>
  <c r="N137" i="1"/>
  <c r="M137" i="1"/>
  <c r="D133" i="1" l="1" a="1"/>
  <c r="D133" i="1" s="1"/>
  <c r="A133" i="1" l="1"/>
  <c r="I134" i="1"/>
  <c r="L134" i="1"/>
  <c r="M138" i="1" l="1"/>
  <c r="N138" i="1"/>
  <c r="C134" i="1"/>
  <c r="H134" i="1" l="1"/>
  <c r="J134" i="1" s="1"/>
  <c r="K134" i="1" s="1"/>
  <c r="O134" i="1" s="1"/>
  <c r="P134" i="1" s="1"/>
  <c r="D134" i="1" l="1" a="1"/>
  <c r="D134" i="1" s="1"/>
  <c r="I135" i="1" l="1"/>
  <c r="A134" i="1"/>
  <c r="L135" i="1"/>
  <c r="C135" i="1" s="1"/>
  <c r="H135" i="1" l="1"/>
  <c r="J135" i="1" s="1"/>
  <c r="N139" i="1"/>
  <c r="M139" i="1"/>
  <c r="K135" i="1" l="1"/>
  <c r="O135" i="1" s="1"/>
  <c r="P135" i="1" s="1"/>
  <c r="D135" i="1" l="1" a="1"/>
  <c r="D135" i="1" s="1"/>
  <c r="L136" i="1" l="1"/>
  <c r="C136" i="1" s="1"/>
  <c r="H136" i="1" s="1"/>
  <c r="A135" i="1"/>
  <c r="I136" i="1"/>
  <c r="J136" i="1" l="1"/>
  <c r="K136" i="1" s="1"/>
  <c r="O136" i="1" s="1"/>
  <c r="P136" i="1" s="1"/>
  <c r="M140" i="1"/>
  <c r="N140" i="1"/>
  <c r="D136" i="1" l="1" a="1"/>
  <c r="D136" i="1" s="1"/>
  <c r="A136" i="1" s="1"/>
  <c r="I137" i="1" l="1"/>
  <c r="L137" i="1"/>
  <c r="C137" i="1" s="1"/>
  <c r="H137" i="1" s="1"/>
  <c r="J137" i="1" s="1"/>
  <c r="M141" i="1" l="1"/>
  <c r="N141" i="1"/>
  <c r="K137" i="1"/>
  <c r="O137" i="1" s="1"/>
  <c r="P137" i="1" s="1"/>
  <c r="D137" i="1" l="1" a="1"/>
  <c r="D137" i="1" s="1"/>
  <c r="A137" i="1" s="1"/>
  <c r="I138" i="1" l="1"/>
  <c r="L138" i="1"/>
  <c r="C138" i="1" s="1"/>
  <c r="H138" i="1" s="1"/>
  <c r="J138" i="1" s="1"/>
  <c r="K138" i="1" s="1"/>
  <c r="O138" i="1" s="1"/>
  <c r="P138" i="1" s="1"/>
  <c r="M142" i="1" l="1"/>
  <c r="N142" i="1"/>
  <c r="D138" i="1" a="1"/>
  <c r="D138" i="1" s="1"/>
  <c r="L139" i="1" l="1"/>
  <c r="C139" i="1" s="1"/>
  <c r="H139" i="1" s="1"/>
  <c r="I139" i="1"/>
  <c r="A138" i="1"/>
  <c r="J139" i="1" l="1"/>
  <c r="K139" i="1" s="1"/>
  <c r="O139" i="1" s="1"/>
  <c r="P139" i="1" s="1"/>
  <c r="N143" i="1"/>
  <c r="M143" i="1"/>
  <c r="D139" i="1" l="1" a="1"/>
  <c r="D139" i="1" s="1"/>
  <c r="A139" i="1" s="1"/>
  <c r="I140" i="1" l="1"/>
  <c r="L140" i="1"/>
  <c r="C140" i="1" s="1"/>
  <c r="N144" i="1" l="1"/>
  <c r="M144" i="1"/>
  <c r="H140" i="1"/>
  <c r="J140" i="1" s="1"/>
  <c r="K140" i="1" s="1"/>
  <c r="O140" i="1" s="1"/>
  <c r="P140" i="1" s="1"/>
  <c r="D140" i="1" l="1" a="1"/>
  <c r="D140" i="1" s="1"/>
  <c r="L141" i="1" l="1"/>
  <c r="A140" i="1"/>
  <c r="I141" i="1"/>
  <c r="C141" i="1"/>
  <c r="H141" i="1" l="1"/>
  <c r="J141" i="1" s="1"/>
  <c r="K141" i="1" s="1"/>
  <c r="O141" i="1" s="1"/>
  <c r="P141" i="1" s="1"/>
  <c r="N145" i="1"/>
  <c r="M145" i="1"/>
  <c r="D141" i="1" l="1" a="1"/>
  <c r="D141" i="1" s="1"/>
  <c r="A141" i="1" l="1"/>
  <c r="L142" i="1"/>
  <c r="C142" i="1" s="1"/>
  <c r="H142" i="1" s="1"/>
  <c r="I142" i="1"/>
  <c r="J142" i="1" l="1"/>
  <c r="K142" i="1" s="1"/>
  <c r="O142" i="1" s="1"/>
  <c r="P142" i="1" s="1"/>
  <c r="M146" i="1"/>
  <c r="N146" i="1"/>
  <c r="D142" i="1" l="1" a="1"/>
  <c r="D142" i="1" s="1"/>
  <c r="L143" i="1" s="1"/>
  <c r="A142" i="1" l="1"/>
  <c r="I143" i="1"/>
  <c r="C143" i="1"/>
  <c r="H143" i="1" s="1"/>
  <c r="J143" i="1" s="1"/>
  <c r="M147" i="1"/>
  <c r="N147" i="1"/>
  <c r="K143" i="1" l="1"/>
  <c r="O143" i="1" s="1"/>
  <c r="P143" i="1" s="1"/>
  <c r="D143" i="1" l="1" a="1"/>
  <c r="D143" i="1" s="1"/>
  <c r="L144" i="1" l="1"/>
  <c r="C144" i="1" s="1"/>
  <c r="I144" i="1"/>
  <c r="A143" i="1"/>
  <c r="H144" i="1" l="1"/>
  <c r="J144" i="1" s="1"/>
  <c r="N148" i="1"/>
  <c r="M148" i="1"/>
  <c r="K144" i="1" l="1"/>
  <c r="O144" i="1" s="1"/>
  <c r="P144" i="1" s="1"/>
  <c r="D144" i="1" l="1" a="1"/>
  <c r="D144" i="1" s="1"/>
  <c r="I145" i="1" l="1"/>
  <c r="L145" i="1"/>
  <c r="C145" i="1" s="1"/>
  <c r="A144" i="1"/>
  <c r="H145" i="1" l="1"/>
  <c r="J145" i="1" s="1"/>
  <c r="K145" i="1" s="1"/>
  <c r="O145" i="1" s="1"/>
  <c r="P145" i="1" s="1"/>
  <c r="M149" i="1"/>
  <c r="N149" i="1"/>
  <c r="D145" i="1" l="1" a="1"/>
  <c r="D145" i="1" s="1"/>
  <c r="I146" i="1" l="1"/>
  <c r="L146" i="1"/>
  <c r="A145" i="1"/>
  <c r="C146" i="1" l="1"/>
  <c r="N150" i="1"/>
  <c r="M150" i="1"/>
  <c r="H146" i="1" l="1"/>
  <c r="J146" i="1" s="1"/>
  <c r="K146" i="1" s="1"/>
  <c r="O146" i="1" s="1"/>
  <c r="P146" i="1" s="1"/>
  <c r="D146" i="1" l="1" a="1"/>
  <c r="D146" i="1" s="1"/>
  <c r="A146" i="1" l="1"/>
  <c r="L147" i="1"/>
  <c r="I147" i="1"/>
  <c r="C147" i="1" l="1"/>
  <c r="H147" i="1" s="1"/>
  <c r="J147" i="1" s="1"/>
  <c r="N151" i="1"/>
  <c r="M151" i="1"/>
  <c r="K147" i="1" l="1"/>
  <c r="O147" i="1" s="1"/>
  <c r="P147" i="1" s="1"/>
  <c r="D147" i="1" l="1" a="1"/>
  <c r="D147" i="1" s="1"/>
  <c r="L148" i="1" s="1"/>
  <c r="C148" i="1" l="1"/>
  <c r="H148" i="1" s="1"/>
  <c r="A147" i="1"/>
  <c r="I148" i="1"/>
  <c r="N152" i="1"/>
  <c r="M152" i="1"/>
  <c r="J148" i="1" l="1"/>
  <c r="K148" i="1" s="1"/>
  <c r="O148" i="1" s="1"/>
  <c r="P148" i="1" s="1"/>
  <c r="D148" i="1" a="1"/>
  <c r="D148" i="1" s="1"/>
  <c r="A148" i="1" l="1"/>
  <c r="I149" i="1"/>
  <c r="L149" i="1"/>
  <c r="C149" i="1" s="1"/>
  <c r="H149" i="1" s="1"/>
  <c r="J149" i="1" s="1"/>
  <c r="K149" i="1" l="1"/>
  <c r="O149" i="1" s="1"/>
  <c r="P149" i="1" s="1"/>
  <c r="N153" i="1"/>
  <c r="M153" i="1"/>
  <c r="D149" i="1" l="1" a="1"/>
  <c r="D149" i="1" s="1"/>
  <c r="A149" i="1" s="1"/>
  <c r="I150" i="1" l="1"/>
  <c r="L150" i="1"/>
  <c r="C150" i="1" s="1"/>
  <c r="H150" i="1" s="1"/>
  <c r="M154" i="1" l="1"/>
  <c r="N154" i="1"/>
  <c r="J150" i="1"/>
  <c r="K150" i="1" s="1"/>
  <c r="O150" i="1" s="1"/>
  <c r="P150" i="1" s="1"/>
  <c r="D150" i="1" l="1" a="1"/>
  <c r="D150" i="1" s="1"/>
  <c r="I151" i="1" s="1"/>
  <c r="A150" i="1" l="1"/>
  <c r="L151" i="1"/>
  <c r="C151" i="1" s="1"/>
  <c r="H151" i="1" s="1"/>
  <c r="J151" i="1" s="1"/>
  <c r="N155" i="1" l="1"/>
  <c r="M155" i="1"/>
  <c r="K151" i="1"/>
  <c r="O151" i="1" s="1"/>
  <c r="P151" i="1" s="1"/>
  <c r="D151" i="1" l="1" a="1"/>
  <c r="D151" i="1" s="1"/>
  <c r="I152" i="1" l="1"/>
  <c r="A151" i="1"/>
  <c r="L152" i="1"/>
  <c r="N156" i="1" l="1"/>
  <c r="M156" i="1"/>
  <c r="C152" i="1"/>
  <c r="H152" i="1" l="1"/>
  <c r="J152" i="1" s="1"/>
  <c r="K152" i="1" s="1"/>
  <c r="O152" i="1" s="1"/>
  <c r="P152" i="1" s="1"/>
  <c r="D152" i="1" l="1" a="1"/>
  <c r="D152" i="1" s="1"/>
  <c r="A152" i="1" l="1"/>
  <c r="I153" i="1"/>
  <c r="L153" i="1"/>
  <c r="C153" i="1" l="1"/>
  <c r="N157" i="1"/>
  <c r="M157" i="1"/>
  <c r="H153" i="1" l="1"/>
  <c r="J153" i="1" s="1"/>
  <c r="K153" i="1" s="1"/>
  <c r="O153" i="1" s="1"/>
  <c r="P153" i="1" s="1"/>
  <c r="D153" i="1" l="1" a="1"/>
  <c r="D153" i="1" s="1"/>
  <c r="A153" i="1" l="1"/>
  <c r="I154" i="1"/>
  <c r="L154" i="1"/>
  <c r="C154" i="1" s="1"/>
  <c r="H154" i="1" l="1"/>
  <c r="J154" i="1" s="1"/>
  <c r="M158" i="1"/>
  <c r="N158" i="1"/>
  <c r="K154" i="1" l="1"/>
  <c r="O154" i="1" s="1"/>
  <c r="P154" i="1" s="1"/>
  <c r="D154" i="1" l="1" a="1"/>
  <c r="D154" i="1" s="1"/>
  <c r="A154" i="1" l="1"/>
  <c r="L155" i="1"/>
  <c r="C155" i="1" s="1"/>
  <c r="I155" i="1"/>
  <c r="H155" i="1" l="1"/>
  <c r="J155" i="1" s="1"/>
  <c r="N159" i="1"/>
  <c r="M159" i="1"/>
  <c r="K155" i="1" l="1"/>
  <c r="O155" i="1" s="1"/>
  <c r="P155" i="1" s="1"/>
  <c r="D155" i="1" l="1" a="1"/>
  <c r="D155" i="1" s="1"/>
  <c r="A155" i="1" l="1"/>
  <c r="L156" i="1"/>
  <c r="C156" i="1" s="1"/>
  <c r="I156" i="1"/>
  <c r="H156" i="1" l="1"/>
  <c r="J156" i="1" s="1"/>
  <c r="M160" i="1"/>
  <c r="N160" i="1"/>
  <c r="K156" i="1" l="1"/>
  <c r="O156" i="1" s="1"/>
  <c r="P156" i="1" s="1"/>
  <c r="D156" i="1" l="1" a="1"/>
  <c r="D156" i="1" s="1"/>
  <c r="L157" i="1" l="1"/>
  <c r="I157" i="1"/>
  <c r="A156" i="1"/>
  <c r="C157" i="1"/>
  <c r="H157" i="1" l="1"/>
  <c r="J157" i="1" s="1"/>
  <c r="N161" i="1"/>
  <c r="M161" i="1"/>
  <c r="K157" i="1" l="1"/>
  <c r="O157" i="1" s="1"/>
  <c r="P157" i="1" s="1"/>
  <c r="D157" i="1" l="1" a="1"/>
  <c r="D157" i="1" s="1"/>
  <c r="L158" i="1" l="1"/>
  <c r="C158" i="1" s="1"/>
  <c r="I158" i="1"/>
  <c r="A157" i="1"/>
  <c r="H158" i="1" l="1"/>
  <c r="J158" i="1" s="1"/>
  <c r="N162" i="1"/>
  <c r="M162" i="1"/>
  <c r="K158" i="1" l="1"/>
  <c r="O158" i="1" s="1"/>
  <c r="P158" i="1" s="1"/>
  <c r="D158" i="1" l="1" a="1"/>
  <c r="D158" i="1" s="1"/>
  <c r="A158" i="1" l="1"/>
  <c r="L159" i="1"/>
  <c r="C159" i="1" s="1"/>
  <c r="I159" i="1"/>
  <c r="H159" i="1" l="1"/>
  <c r="J159" i="1" s="1"/>
  <c r="K159" i="1" s="1"/>
  <c r="O159" i="1" s="1"/>
  <c r="P159" i="1" s="1"/>
  <c r="N163" i="1"/>
  <c r="M163" i="1"/>
  <c r="D159" i="1" l="1" a="1"/>
  <c r="D159" i="1" s="1"/>
  <c r="A159" i="1" l="1"/>
  <c r="L160" i="1"/>
  <c r="C160" i="1" s="1"/>
  <c r="I160" i="1"/>
  <c r="H160" i="1" l="1"/>
  <c r="J160" i="1" s="1"/>
  <c r="K160" i="1" s="1"/>
  <c r="O160" i="1" s="1"/>
  <c r="P160" i="1" s="1"/>
  <c r="N164" i="1"/>
  <c r="M164" i="1"/>
  <c r="D160" i="1" l="1" a="1"/>
  <c r="D160" i="1" s="1"/>
  <c r="I161" i="1" l="1"/>
  <c r="A160" i="1"/>
  <c r="L161" i="1"/>
  <c r="C161" i="1" s="1"/>
  <c r="H161" i="1" l="1"/>
  <c r="J161" i="1" s="1"/>
  <c r="M165" i="1"/>
  <c r="N165" i="1"/>
  <c r="K161" i="1" l="1"/>
  <c r="O161" i="1" s="1"/>
  <c r="P161" i="1" s="1"/>
  <c r="D161" i="1" l="1" a="1"/>
  <c r="D161" i="1" s="1"/>
  <c r="I162" i="1" l="1"/>
  <c r="A161" i="1"/>
  <c r="L162" i="1"/>
  <c r="C162" i="1" s="1"/>
  <c r="H162" i="1" s="1"/>
  <c r="J162" i="1" s="1"/>
  <c r="K162" i="1" l="1"/>
  <c r="O162" i="1" s="1"/>
  <c r="P162" i="1" s="1"/>
  <c r="N166" i="1"/>
  <c r="M166" i="1"/>
  <c r="D162" i="1" l="1" a="1"/>
  <c r="D162" i="1" s="1"/>
  <c r="A162" i="1" s="1"/>
  <c r="L163" i="1" l="1"/>
  <c r="C163" i="1" s="1"/>
  <c r="I163" i="1"/>
  <c r="H163" i="1"/>
  <c r="J163" i="1" s="1"/>
  <c r="K163" i="1" s="1"/>
  <c r="O163" i="1" s="1"/>
  <c r="P163" i="1" s="1"/>
  <c r="N167" i="1"/>
  <c r="M167" i="1"/>
  <c r="D163" i="1" l="1" a="1"/>
  <c r="D163" i="1" s="1"/>
  <c r="L164" i="1" l="1"/>
  <c r="C164" i="1" s="1"/>
  <c r="A163" i="1"/>
  <c r="I164" i="1"/>
  <c r="H164" i="1" l="1"/>
  <c r="J164" i="1" s="1"/>
  <c r="K164" i="1" s="1"/>
  <c r="O164" i="1" s="1"/>
  <c r="P164" i="1" s="1"/>
  <c r="N168" i="1"/>
  <c r="M168" i="1"/>
  <c r="D164" i="1" l="1" a="1"/>
  <c r="D164" i="1" s="1"/>
  <c r="I165" i="1" l="1"/>
  <c r="A164" i="1"/>
  <c r="L165" i="1"/>
  <c r="C165" i="1" l="1"/>
  <c r="H165" i="1" s="1"/>
  <c r="J165" i="1" s="1"/>
  <c r="M169" i="1"/>
  <c r="N169" i="1"/>
  <c r="K165" i="1" l="1"/>
  <c r="O165" i="1" s="1"/>
  <c r="P165" i="1" s="1"/>
  <c r="D165" i="1" l="1" a="1"/>
  <c r="D165" i="1" s="1"/>
  <c r="L166" i="1" s="1"/>
  <c r="C166" i="1" s="1"/>
  <c r="I166" i="1" l="1"/>
  <c r="A165" i="1"/>
  <c r="H166" i="1"/>
  <c r="J166" i="1" s="1"/>
  <c r="K166" i="1" s="1"/>
  <c r="O166" i="1" s="1"/>
  <c r="P166" i="1" s="1"/>
  <c r="N170" i="1"/>
  <c r="M170" i="1"/>
  <c r="D166" i="1" l="1" a="1"/>
  <c r="D166" i="1" s="1"/>
  <c r="A166" i="1" s="1"/>
  <c r="I167" i="1" l="1"/>
  <c r="L167" i="1"/>
  <c r="M171" i="1" s="1"/>
  <c r="C167" i="1" l="1"/>
  <c r="N171" i="1"/>
  <c r="H167" i="1"/>
  <c r="J167" i="1" s="1"/>
  <c r="K167" i="1" l="1"/>
  <c r="O167" i="1" s="1"/>
  <c r="P167" i="1" s="1"/>
  <c r="D167" i="1" l="1" a="1"/>
  <c r="D167" i="1" s="1"/>
  <c r="A167" i="1" l="1"/>
  <c r="L168" i="1"/>
  <c r="C168" i="1" s="1"/>
  <c r="I168" i="1"/>
  <c r="H168" i="1" l="1"/>
  <c r="J168" i="1" s="1"/>
  <c r="K168" i="1" s="1"/>
  <c r="O168" i="1" s="1"/>
  <c r="P168" i="1" s="1"/>
  <c r="M172" i="1"/>
  <c r="N172" i="1"/>
  <c r="D168" i="1" l="1" a="1"/>
  <c r="D168" i="1" s="1"/>
  <c r="A168" i="1" l="1"/>
  <c r="I169" i="1"/>
  <c r="L169" i="1"/>
  <c r="C169" i="1" l="1"/>
  <c r="H169" i="1" s="1"/>
  <c r="J169" i="1" s="1"/>
  <c r="M173" i="1"/>
  <c r="N173" i="1"/>
  <c r="K169" i="1" l="1"/>
  <c r="O169" i="1" s="1"/>
  <c r="P169" i="1" s="1"/>
  <c r="D169" i="1" l="1" a="1"/>
  <c r="D169" i="1" s="1"/>
  <c r="L170" i="1" s="1"/>
  <c r="C170" i="1" s="1"/>
  <c r="H170" i="1" s="1"/>
  <c r="A169" i="1" l="1"/>
  <c r="I170" i="1"/>
  <c r="J170" i="1" s="1"/>
  <c r="K170" i="1" s="1"/>
  <c r="O170" i="1" s="1"/>
  <c r="P170" i="1" s="1"/>
  <c r="M174" i="1"/>
  <c r="N174" i="1"/>
  <c r="D170" i="1" l="1" a="1"/>
  <c r="D170" i="1" s="1"/>
  <c r="A170" i="1" s="1"/>
  <c r="I171" i="1"/>
  <c r="L171" i="1"/>
  <c r="C171" i="1" s="1"/>
  <c r="H171" i="1" l="1"/>
  <c r="J171" i="1" s="1"/>
  <c r="M175" i="1"/>
  <c r="N175" i="1"/>
  <c r="K171" i="1" l="1"/>
  <c r="O171" i="1" s="1"/>
  <c r="P171" i="1" s="1"/>
  <c r="D171" i="1" l="1" a="1"/>
  <c r="D171" i="1" s="1"/>
  <c r="I172" i="1" l="1"/>
  <c r="L172" i="1"/>
  <c r="A171" i="1"/>
  <c r="C172" i="1" l="1"/>
  <c r="H172" i="1" s="1"/>
  <c r="J172" i="1" s="1"/>
  <c r="N176" i="1"/>
  <c r="M176" i="1"/>
  <c r="K172" i="1" l="1"/>
  <c r="O172" i="1" s="1"/>
  <c r="P172" i="1" s="1"/>
  <c r="D172" i="1" l="1" a="1"/>
  <c r="D172" i="1" s="1"/>
  <c r="L173" i="1" s="1"/>
  <c r="I173" i="1"/>
  <c r="C173" i="1" l="1"/>
  <c r="A172" i="1"/>
  <c r="H173" i="1"/>
  <c r="J173" i="1" s="1"/>
  <c r="M177" i="1"/>
  <c r="N177" i="1"/>
  <c r="K173" i="1" l="1"/>
  <c r="O173" i="1" s="1"/>
  <c r="P173" i="1" s="1"/>
  <c r="D173" i="1" l="1" a="1"/>
  <c r="D173" i="1" s="1"/>
  <c r="I174" i="1" l="1"/>
  <c r="A173" i="1"/>
  <c r="L174" i="1"/>
  <c r="M178" i="1" l="1"/>
  <c r="N178" i="1"/>
  <c r="C174" i="1"/>
  <c r="H174" i="1" l="1"/>
  <c r="J174" i="1" s="1"/>
  <c r="K174" i="1" s="1"/>
  <c r="O174" i="1" s="1"/>
  <c r="P174" i="1" s="1"/>
  <c r="D174" i="1" l="1" a="1"/>
  <c r="D174" i="1" s="1"/>
  <c r="A174" i="1" l="1"/>
  <c r="I175" i="1"/>
  <c r="L175" i="1"/>
  <c r="C175" i="1" s="1"/>
  <c r="H175" i="1" l="1"/>
  <c r="J175" i="1" s="1"/>
  <c r="N179" i="1"/>
  <c r="M179" i="1"/>
  <c r="K175" i="1" l="1"/>
  <c r="O175" i="1" s="1"/>
  <c r="P175" i="1" s="1"/>
  <c r="D175" i="1" l="1" a="1"/>
  <c r="D175" i="1" s="1"/>
  <c r="A175" i="1" l="1"/>
  <c r="I176" i="1"/>
  <c r="L176" i="1"/>
  <c r="C176" i="1" l="1"/>
  <c r="H176" i="1" s="1"/>
  <c r="J176" i="1" s="1"/>
  <c r="M180" i="1"/>
  <c r="N180" i="1"/>
  <c r="K176" i="1" l="1"/>
  <c r="O176" i="1" s="1"/>
  <c r="P176" i="1" s="1"/>
  <c r="D176" i="1" l="1" a="1"/>
  <c r="D176" i="1" s="1"/>
  <c r="A176" i="1" l="1"/>
  <c r="L177" i="1"/>
  <c r="I177" i="1"/>
  <c r="C177" i="1" l="1"/>
  <c r="M181" i="1"/>
  <c r="N181" i="1"/>
  <c r="H177" i="1" l="1"/>
  <c r="J177" i="1" s="1"/>
  <c r="K177" i="1" l="1"/>
  <c r="O177" i="1" s="1"/>
  <c r="P177" i="1" s="1"/>
  <c r="D177" i="1" l="1" a="1"/>
  <c r="D177" i="1" s="1"/>
  <c r="A177" i="1" l="1"/>
  <c r="L178" i="1"/>
  <c r="I178" i="1"/>
  <c r="C178" i="1" l="1"/>
  <c r="M182" i="1"/>
  <c r="N182" i="1"/>
  <c r="H178" i="1" l="1"/>
  <c r="J178" i="1" s="1"/>
  <c r="K178" i="1" s="1"/>
  <c r="O178" i="1" s="1"/>
  <c r="P178" i="1" s="1"/>
  <c r="D178" i="1" l="1" a="1"/>
  <c r="D178" i="1" s="1"/>
  <c r="L179" i="1" l="1"/>
  <c r="C179" i="1" s="1"/>
  <c r="I179" i="1"/>
  <c r="A178" i="1"/>
  <c r="H179" i="1" l="1"/>
  <c r="J179" i="1" s="1"/>
  <c r="N183" i="1"/>
  <c r="M183" i="1"/>
  <c r="K179" i="1" l="1"/>
  <c r="O179" i="1" s="1"/>
  <c r="P179" i="1" s="1"/>
  <c r="D179" i="1" l="1" a="1"/>
  <c r="D179" i="1" s="1"/>
  <c r="A179" i="1" l="1"/>
  <c r="I180" i="1"/>
  <c r="L180" i="1"/>
  <c r="C180" i="1" s="1"/>
  <c r="H180" i="1" l="1"/>
  <c r="J180" i="1" s="1"/>
  <c r="K180" i="1" s="1"/>
  <c r="O180" i="1" s="1"/>
  <c r="P180" i="1" s="1"/>
  <c r="M184" i="1"/>
  <c r="N184" i="1"/>
  <c r="D180" i="1" l="1" a="1"/>
  <c r="D180" i="1" s="1"/>
  <c r="I181" i="1" l="1"/>
  <c r="L181" i="1"/>
  <c r="A180" i="1"/>
  <c r="C181" i="1" l="1"/>
  <c r="M185" i="1"/>
  <c r="N185" i="1"/>
  <c r="H181" i="1" l="1"/>
  <c r="J181" i="1" s="1"/>
  <c r="K181" i="1" s="1"/>
  <c r="O181" i="1" s="1"/>
  <c r="P181" i="1" s="1"/>
  <c r="D181" i="1" l="1" a="1"/>
  <c r="D181" i="1" s="1"/>
  <c r="L182" i="1" l="1"/>
  <c r="A181" i="1"/>
  <c r="I182" i="1"/>
  <c r="C182" i="1" l="1"/>
  <c r="H182" i="1" s="1"/>
  <c r="J182" i="1" s="1"/>
  <c r="N186" i="1"/>
  <c r="M186" i="1"/>
  <c r="K182" i="1" l="1"/>
  <c r="O182" i="1" s="1"/>
  <c r="P182" i="1" s="1"/>
  <c r="D182" i="1" a="1"/>
  <c r="D182" i="1" s="1"/>
  <c r="L183" i="1" l="1"/>
  <c r="C183" i="1" s="1"/>
  <c r="I183" i="1"/>
  <c r="A182" i="1"/>
  <c r="H183" i="1" l="1"/>
  <c r="J183" i="1" s="1"/>
  <c r="K183" i="1" s="1"/>
  <c r="O183" i="1" s="1"/>
  <c r="P183" i="1" s="1"/>
  <c r="M187" i="1"/>
  <c r="N187" i="1"/>
  <c r="D183" i="1" l="1" a="1"/>
  <c r="D183" i="1" s="1"/>
  <c r="A183" i="1" l="1"/>
  <c r="L184" i="1"/>
  <c r="C184" i="1" s="1"/>
  <c r="I184" i="1"/>
  <c r="H184" i="1" l="1"/>
  <c r="J184" i="1" s="1"/>
  <c r="K184" i="1" s="1"/>
  <c r="O184" i="1" s="1"/>
  <c r="P184" i="1" s="1"/>
  <c r="N188" i="1"/>
  <c r="M188" i="1"/>
  <c r="D184" i="1" l="1" a="1"/>
  <c r="D184" i="1" s="1"/>
  <c r="L185" i="1" l="1"/>
  <c r="C185" i="1" s="1"/>
  <c r="I185" i="1"/>
  <c r="A184" i="1"/>
  <c r="H185" i="1" l="1"/>
  <c r="J185" i="1" s="1"/>
  <c r="K185" i="1" s="1"/>
  <c r="O185" i="1" s="1"/>
  <c r="P185" i="1" s="1"/>
  <c r="M189" i="1"/>
  <c r="N189" i="1"/>
  <c r="D185" i="1" l="1" a="1"/>
  <c r="D185" i="1" s="1"/>
  <c r="A185" i="1" l="1"/>
  <c r="I186" i="1"/>
  <c r="L186" i="1"/>
  <c r="M190" i="1" l="1"/>
  <c r="N190" i="1"/>
  <c r="C186" i="1"/>
  <c r="H186" i="1" l="1"/>
  <c r="J186" i="1" s="1"/>
  <c r="K186" i="1" s="1"/>
  <c r="O186" i="1" s="1"/>
  <c r="P186" i="1" s="1"/>
  <c r="D186" i="1" l="1" a="1"/>
  <c r="D186" i="1" s="1"/>
  <c r="A186" i="1" l="1"/>
  <c r="L187" i="1"/>
  <c r="I187" i="1"/>
  <c r="C187" i="1" l="1"/>
  <c r="H187" i="1" s="1"/>
  <c r="J187" i="1" s="1"/>
  <c r="N191" i="1"/>
  <c r="M191" i="1"/>
  <c r="K187" i="1" l="1"/>
  <c r="O187" i="1" s="1"/>
  <c r="P187" i="1" s="1"/>
  <c r="D187" i="1" l="1" a="1"/>
  <c r="D187" i="1" s="1"/>
  <c r="L188" i="1" s="1"/>
  <c r="C188" i="1" s="1"/>
  <c r="I188" i="1" l="1"/>
  <c r="A187" i="1"/>
  <c r="H188" i="1"/>
  <c r="J188" i="1" s="1"/>
  <c r="N192" i="1"/>
  <c r="M192" i="1"/>
  <c r="K188" i="1" l="1"/>
  <c r="O188" i="1" s="1"/>
  <c r="P188" i="1" s="1"/>
  <c r="D188" i="1" l="1" a="1"/>
  <c r="D188" i="1" s="1"/>
  <c r="A188" i="1" l="1"/>
  <c r="L189" i="1"/>
  <c r="C189" i="1" s="1"/>
  <c r="I189" i="1"/>
  <c r="H189" i="1" l="1"/>
  <c r="J189" i="1" s="1"/>
  <c r="M193" i="1"/>
  <c r="N193" i="1"/>
  <c r="K189" i="1" l="1"/>
  <c r="O189" i="1" s="1"/>
  <c r="P189" i="1" s="1"/>
  <c r="D189" i="1" l="1" a="1"/>
  <c r="D189" i="1" s="1"/>
  <c r="A189" i="1" l="1"/>
  <c r="L190" i="1"/>
  <c r="C190" i="1" s="1"/>
  <c r="I190" i="1"/>
  <c r="H190" i="1" l="1"/>
  <c r="J190" i="1" s="1"/>
  <c r="M194" i="1"/>
  <c r="N194" i="1"/>
  <c r="K190" i="1" l="1"/>
  <c r="O190" i="1" s="1"/>
  <c r="P190" i="1" s="1"/>
  <c r="D190" i="1" l="1" a="1"/>
  <c r="D190" i="1" s="1"/>
  <c r="L191" i="1" l="1"/>
  <c r="A190" i="1"/>
  <c r="I191" i="1"/>
  <c r="C191" i="1"/>
  <c r="H191" i="1" l="1"/>
  <c r="J191" i="1" s="1"/>
  <c r="M195" i="1"/>
  <c r="N195" i="1"/>
  <c r="K191" i="1" l="1"/>
  <c r="O191" i="1" s="1"/>
  <c r="P191" i="1" s="1"/>
  <c r="D191" i="1" l="1" a="1"/>
  <c r="D191" i="1" s="1"/>
  <c r="I192" i="1" l="1"/>
  <c r="L192" i="1"/>
  <c r="C192" i="1" s="1"/>
  <c r="A191" i="1"/>
  <c r="H192" i="1" l="1"/>
  <c r="J192" i="1" s="1"/>
  <c r="K192" i="1" s="1"/>
  <c r="O192" i="1" s="1"/>
  <c r="P192" i="1" s="1"/>
  <c r="N196" i="1"/>
  <c r="M196" i="1"/>
  <c r="D192" i="1" l="1" a="1"/>
  <c r="D192" i="1" s="1"/>
  <c r="I193" i="1" l="1"/>
  <c r="A192" i="1"/>
  <c r="L193" i="1"/>
  <c r="N197" i="1" l="1"/>
  <c r="M197" i="1"/>
  <c r="C193" i="1"/>
  <c r="H193" i="1" l="1"/>
  <c r="J193" i="1" s="1"/>
  <c r="K193" i="1" s="1"/>
  <c r="O193" i="1" s="1"/>
  <c r="P193" i="1" s="1"/>
  <c r="D193" i="1" l="1" a="1"/>
  <c r="D193" i="1" s="1"/>
  <c r="A193" i="1" l="1"/>
  <c r="L194" i="1"/>
  <c r="C194" i="1" s="1"/>
  <c r="I194" i="1"/>
  <c r="H194" i="1" l="1"/>
  <c r="J194" i="1" s="1"/>
  <c r="N198" i="1"/>
  <c r="M198" i="1"/>
  <c r="K194" i="1" l="1"/>
  <c r="O194" i="1" s="1"/>
  <c r="P194" i="1" s="1"/>
  <c r="D194" i="1" l="1" a="1"/>
  <c r="D194" i="1" s="1"/>
  <c r="A194" i="1" l="1"/>
  <c r="L195" i="1"/>
  <c r="I195" i="1"/>
  <c r="C195" i="1" l="1"/>
  <c r="H195" i="1" s="1"/>
  <c r="J195" i="1" s="1"/>
  <c r="N199" i="1"/>
  <c r="M199" i="1"/>
  <c r="K195" i="1" l="1"/>
  <c r="O195" i="1" s="1"/>
  <c r="P195" i="1" s="1"/>
  <c r="D195" i="1" l="1" a="1"/>
  <c r="D195" i="1" s="1"/>
  <c r="A195" i="1" s="1"/>
  <c r="L196" i="1" l="1"/>
  <c r="C196" i="1" s="1"/>
  <c r="I196" i="1"/>
  <c r="H196" i="1"/>
  <c r="J196" i="1" l="1"/>
  <c r="N200" i="1"/>
  <c r="M200" i="1"/>
  <c r="K196" i="1"/>
  <c r="O196" i="1" s="1"/>
  <c r="P196" i="1" s="1"/>
  <c r="D196" i="1" l="1" a="1"/>
  <c r="D196" i="1" s="1"/>
  <c r="A196" i="1" l="1"/>
  <c r="I197" i="1"/>
  <c r="L197" i="1"/>
  <c r="C197" i="1" l="1"/>
  <c r="M201" i="1"/>
  <c r="N201" i="1"/>
  <c r="H197" i="1" l="1"/>
  <c r="J197" i="1" s="1"/>
  <c r="K197" i="1" s="1"/>
  <c r="O197" i="1" s="1"/>
  <c r="P197" i="1" s="1"/>
  <c r="D197" i="1" l="1" a="1"/>
  <c r="D197" i="1" s="1"/>
  <c r="I198" i="1" l="1"/>
  <c r="A197" i="1"/>
  <c r="L198" i="1"/>
  <c r="C198" i="1" l="1"/>
  <c r="N202" i="1"/>
  <c r="M202" i="1"/>
  <c r="H198" i="1" l="1"/>
  <c r="J198" i="1" s="1"/>
  <c r="K198" i="1" s="1"/>
  <c r="O198" i="1" s="1"/>
  <c r="P198" i="1" s="1"/>
  <c r="D198" i="1" l="1" a="1"/>
  <c r="D198" i="1" s="1"/>
  <c r="A198" i="1" l="1"/>
  <c r="I199" i="1"/>
  <c r="L199" i="1"/>
  <c r="C199" i="1" s="1"/>
  <c r="H199" i="1" l="1"/>
  <c r="J199" i="1" s="1"/>
  <c r="K199" i="1" s="1"/>
  <c r="O199" i="1" s="1"/>
  <c r="P199" i="1" s="1"/>
  <c r="N203" i="1"/>
  <c r="M203" i="1"/>
  <c r="D199" i="1" l="1" a="1"/>
  <c r="D199" i="1" s="1"/>
  <c r="L200" i="1" l="1"/>
  <c r="I200" i="1"/>
  <c r="A199" i="1"/>
  <c r="C200" i="1" l="1"/>
  <c r="N204" i="1"/>
  <c r="M204" i="1"/>
  <c r="H200" i="1" l="1"/>
  <c r="J200" i="1" s="1"/>
  <c r="K200" i="1" s="1"/>
  <c r="O200" i="1" s="1"/>
  <c r="P200" i="1" s="1"/>
  <c r="D200" i="1" l="1" a="1"/>
  <c r="D200" i="1" s="1"/>
  <c r="I201" i="1" l="1"/>
  <c r="L201" i="1"/>
  <c r="C201" i="1" s="1"/>
  <c r="A200" i="1"/>
  <c r="H201" i="1" l="1"/>
  <c r="J201" i="1" s="1"/>
  <c r="N205" i="1"/>
  <c r="M205" i="1"/>
  <c r="K201" i="1" l="1"/>
  <c r="O201" i="1" s="1"/>
  <c r="P201" i="1" s="1"/>
  <c r="D201" i="1" l="1" a="1"/>
  <c r="D201" i="1" s="1"/>
  <c r="A201" i="1" l="1"/>
  <c r="I202" i="1"/>
  <c r="L202" i="1"/>
  <c r="C202" i="1" l="1"/>
  <c r="H202" i="1" s="1"/>
  <c r="J202" i="1" s="1"/>
  <c r="N206" i="1"/>
  <c r="M206" i="1"/>
  <c r="K202" i="1" l="1"/>
  <c r="O202" i="1" s="1"/>
  <c r="P202" i="1" s="1"/>
  <c r="D202" i="1" l="1" a="1"/>
  <c r="D202" i="1" s="1"/>
  <c r="A202" i="1" s="1"/>
  <c r="I203" i="1"/>
  <c r="L203" i="1"/>
  <c r="C203" i="1" l="1"/>
  <c r="H203" i="1" s="1"/>
  <c r="J203" i="1" s="1"/>
  <c r="N207" i="1"/>
  <c r="M207" i="1"/>
  <c r="K203" i="1" l="1"/>
  <c r="O203" i="1" s="1"/>
  <c r="P203" i="1" s="1"/>
  <c r="D203" i="1" a="1"/>
  <c r="D203" i="1" s="1"/>
  <c r="L204" i="1" l="1"/>
  <c r="C204" i="1" s="1"/>
  <c r="I204" i="1"/>
  <c r="A203" i="1"/>
  <c r="H204" i="1" l="1"/>
  <c r="J204" i="1" s="1"/>
  <c r="K204" i="1" s="1"/>
  <c r="O204" i="1" s="1"/>
  <c r="P204" i="1" s="1"/>
  <c r="N208" i="1"/>
  <c r="M208" i="1"/>
  <c r="D204" i="1" l="1" a="1"/>
  <c r="D204" i="1" s="1"/>
  <c r="A204" i="1" l="1"/>
  <c r="L205" i="1"/>
  <c r="C205" i="1" s="1"/>
  <c r="I205" i="1"/>
  <c r="H205" i="1" l="1"/>
  <c r="J205" i="1" s="1"/>
  <c r="M209" i="1"/>
  <c r="N209" i="1"/>
  <c r="K205" i="1" l="1"/>
  <c r="O205" i="1" s="1"/>
  <c r="P205" i="1" s="1"/>
  <c r="D205" i="1" l="1" a="1"/>
  <c r="D205" i="1" s="1"/>
  <c r="L206" i="1" l="1"/>
  <c r="A205" i="1"/>
  <c r="I206" i="1"/>
  <c r="C206" i="1" l="1"/>
  <c r="M210" i="1"/>
  <c r="N210" i="1"/>
  <c r="H206" i="1" l="1"/>
  <c r="J206" i="1" s="1"/>
  <c r="K206" i="1" s="1"/>
  <c r="O206" i="1" s="1"/>
  <c r="P206" i="1" s="1"/>
  <c r="D206" i="1" l="1" a="1"/>
  <c r="D206" i="1" s="1"/>
  <c r="I207" i="1" l="1"/>
  <c r="A206" i="1"/>
  <c r="L207" i="1"/>
  <c r="C207" i="1" s="1"/>
  <c r="H207" i="1" l="1"/>
  <c r="J207" i="1" s="1"/>
  <c r="K207" i="1" s="1"/>
  <c r="O207" i="1" s="1"/>
  <c r="M211" i="1"/>
  <c r="N211" i="1"/>
  <c r="P207" i="1" l="1"/>
  <c r="D207" i="1" a="1"/>
  <c r="D207" i="1" s="1"/>
  <c r="A207" i="1" l="1"/>
  <c r="L208" i="1"/>
  <c r="I208" i="1"/>
  <c r="C208" i="1" l="1"/>
  <c r="N212" i="1"/>
  <c r="M212" i="1"/>
  <c r="H208" i="1" l="1"/>
  <c r="J208" i="1" s="1"/>
  <c r="K208" i="1" s="1"/>
  <c r="O208" i="1" s="1"/>
  <c r="P208" i="1" l="1"/>
  <c r="D208" i="1" a="1"/>
  <c r="D208" i="1" s="1"/>
  <c r="A208" i="1" l="1"/>
  <c r="I209" i="1"/>
  <c r="L209" i="1"/>
  <c r="C209" i="1" s="1"/>
  <c r="H209" i="1" l="1"/>
  <c r="J209" i="1" s="1"/>
  <c r="K209" i="1" s="1"/>
  <c r="O209" i="1" s="1"/>
  <c r="N213" i="1"/>
  <c r="M213" i="1"/>
  <c r="P209" i="1" l="1"/>
  <c r="D209" i="1" a="1"/>
  <c r="D209" i="1" s="1"/>
  <c r="A209" i="1" l="1"/>
  <c r="L210" i="1"/>
  <c r="I210" i="1"/>
  <c r="C210" i="1" l="1"/>
  <c r="M214" i="1"/>
  <c r="N214" i="1"/>
  <c r="H210" i="1" l="1"/>
  <c r="J210" i="1" s="1"/>
  <c r="K210" i="1" s="1"/>
  <c r="O210" i="1" s="1"/>
  <c r="P210" i="1" l="1"/>
  <c r="D210" i="1" a="1"/>
  <c r="D210" i="1" s="1"/>
  <c r="A210" i="1" l="1"/>
  <c r="I211" i="1"/>
  <c r="L211" i="1"/>
  <c r="C211" i="1" l="1"/>
  <c r="N215" i="1"/>
  <c r="M215" i="1"/>
  <c r="H211" i="1" l="1"/>
  <c r="J211" i="1" s="1"/>
  <c r="K211" i="1" s="1"/>
  <c r="O211" i="1" s="1"/>
  <c r="P211" i="1" l="1"/>
  <c r="D211" i="1" a="1"/>
  <c r="D211" i="1" s="1"/>
  <c r="A211" i="1" l="1"/>
  <c r="L212" i="1"/>
  <c r="C212" i="1" s="1"/>
  <c r="I212" i="1"/>
  <c r="H212" i="1" l="1"/>
  <c r="J212" i="1" s="1"/>
  <c r="M216" i="1"/>
  <c r="N216" i="1"/>
  <c r="K212" i="1" l="1"/>
  <c r="O212" i="1" s="1"/>
  <c r="P212" i="1" s="1"/>
  <c r="D212" i="1" l="1" a="1"/>
  <c r="D212" i="1" s="1"/>
  <c r="A212" i="1" l="1"/>
  <c r="I213" i="1"/>
  <c r="L213" i="1"/>
  <c r="C213" i="1" s="1"/>
  <c r="H213" i="1" s="1"/>
  <c r="J213" i="1" s="1"/>
  <c r="K213" i="1" s="1"/>
  <c r="O213" i="1" s="1"/>
  <c r="P213" i="1" s="1"/>
  <c r="D213" i="1" l="1" a="1"/>
  <c r="D213" i="1" s="1"/>
  <c r="N217" i="1"/>
  <c r="M217" i="1"/>
  <c r="I214" i="1" l="1"/>
  <c r="L214" i="1"/>
  <c r="A213" i="1"/>
  <c r="C214" i="1" l="1"/>
  <c r="H214" i="1" s="1"/>
  <c r="J214" i="1" s="1"/>
  <c r="N218" i="1"/>
  <c r="M218" i="1"/>
  <c r="K214" i="1" l="1"/>
  <c r="O214" i="1" s="1"/>
  <c r="P214" i="1" s="1"/>
  <c r="D214" i="1" l="1" a="1"/>
  <c r="D214" i="1" s="1"/>
  <c r="I215" i="1" l="1"/>
  <c r="L215" i="1"/>
  <c r="C215" i="1" s="1"/>
  <c r="A214" i="1"/>
  <c r="M219" i="1" l="1"/>
  <c r="N219" i="1"/>
  <c r="H215" i="1"/>
  <c r="J215" i="1" s="1"/>
  <c r="K215" i="1" s="1"/>
  <c r="O215" i="1" s="1"/>
  <c r="P215" i="1" s="1"/>
  <c r="D215" i="1" l="1" a="1"/>
  <c r="D215" i="1" s="1"/>
  <c r="A215" i="1" l="1"/>
  <c r="I216" i="1"/>
  <c r="L216" i="1"/>
  <c r="C216" i="1" s="1"/>
  <c r="H216" i="1" s="1"/>
  <c r="J216" i="1" s="1"/>
  <c r="K216" i="1" l="1"/>
  <c r="O216" i="1" s="1"/>
  <c r="P216" i="1" s="1"/>
  <c r="D216" i="1" a="1"/>
  <c r="D216" i="1" s="1"/>
  <c r="M220" i="1"/>
  <c r="N220" i="1"/>
  <c r="A216" i="1" l="1"/>
  <c r="I217" i="1"/>
  <c r="L217" i="1"/>
  <c r="M221" i="1" l="1"/>
  <c r="N221" i="1"/>
  <c r="O221" i="1" s="1"/>
  <c r="P221" i="1" s="1"/>
  <c r="C217" i="1"/>
  <c r="H217" i="1" s="1"/>
  <c r="J217" i="1" s="1"/>
  <c r="K217" i="1" l="1"/>
  <c r="O217" i="1" s="1"/>
  <c r="P217" i="1" s="1"/>
  <c r="D217" i="1" a="1"/>
  <c r="D217" i="1" s="1"/>
  <c r="I218" i="1" l="1"/>
  <c r="A217" i="1"/>
  <c r="L218" i="1"/>
  <c r="C218" i="1" s="1"/>
  <c r="H218" i="1" l="1"/>
  <c r="J218" i="1" s="1"/>
  <c r="K218" i="1" s="1"/>
  <c r="O218" i="1" s="1"/>
  <c r="P218" i="1" s="1"/>
  <c r="N222" i="1"/>
  <c r="O222" i="1" s="1"/>
  <c r="P222" i="1" s="1"/>
  <c r="M222" i="1"/>
  <c r="D218" i="1" l="1" a="1"/>
  <c r="D218" i="1" s="1"/>
  <c r="A218" i="1" l="1"/>
  <c r="L219" i="1"/>
  <c r="I219" i="1"/>
  <c r="C219" i="1" l="1"/>
  <c r="H219" i="1" s="1"/>
  <c r="J219" i="1" s="1"/>
  <c r="M223" i="1"/>
  <c r="N223" i="1"/>
  <c r="O223" i="1" s="1"/>
  <c r="P223" i="1" s="1"/>
  <c r="K219" i="1" l="1"/>
  <c r="O219" i="1" s="1"/>
  <c r="P219" i="1" s="1"/>
  <c r="J8" i="1"/>
  <c r="D219" i="1" a="1"/>
  <c r="D219" i="1" s="1"/>
  <c r="L220" i="1" l="1"/>
  <c r="A219" i="1"/>
  <c r="O220" i="1" l="1"/>
  <c r="P220" i="1" s="1"/>
  <c r="N224" i="1"/>
  <c r="M224" i="1"/>
  <c r="M8" i="1" s="1"/>
  <c r="N1" i="1" s="1"/>
  <c r="L8" i="1"/>
  <c r="O224" i="1" l="1"/>
  <c r="N8" i="1"/>
  <c r="M2" i="1" s="1"/>
  <c r="P224" i="1" l="1"/>
  <c r="P8" i="1" s="1"/>
  <c r="O8" i="1"/>
  <c r="L13" i="9"/>
  <c r="L4" i="9"/>
  <c r="N17" i="9" l="1"/>
  <c r="K13" i="9"/>
  <c r="M17" i="9"/>
  <c r="C13" i="9"/>
  <c r="V13" i="9" l="1"/>
  <c r="W13" i="9" s="1"/>
  <c r="O13" i="9"/>
  <c r="P13" i="9"/>
  <c r="L14" i="9" l="1"/>
  <c r="C14" i="9" s="1"/>
  <c r="H14" i="9"/>
  <c r="I14" i="9"/>
  <c r="M18" i="9" l="1"/>
  <c r="N18" i="9"/>
  <c r="J14" i="9"/>
  <c r="D14" i="9" l="1"/>
  <c r="H15" i="9"/>
  <c r="K14" i="9" l="1"/>
  <c r="I15" i="9"/>
  <c r="L15" i="9"/>
  <c r="N19" i="9" s="1"/>
  <c r="J15" i="9" l="1"/>
  <c r="O14" i="9"/>
  <c r="P14" i="9" s="1"/>
  <c r="V14" i="9"/>
  <c r="M19" i="9"/>
  <c r="C15" i="9"/>
  <c r="D15" i="9" l="1"/>
  <c r="H16" i="9"/>
  <c r="K15" i="9" l="1"/>
  <c r="L16" i="9"/>
  <c r="I16" i="9"/>
  <c r="J16" i="9" l="1"/>
  <c r="O15" i="9"/>
  <c r="P15" i="9" s="1"/>
  <c r="V15" i="9"/>
  <c r="M20" i="9"/>
  <c r="N20" i="9"/>
  <c r="C16" i="9"/>
  <c r="D16" i="9" l="1"/>
  <c r="H17" i="9"/>
  <c r="K16" i="9" l="1"/>
  <c r="L17" i="9"/>
  <c r="I17" i="9"/>
  <c r="J17" i="9" l="1"/>
  <c r="O16" i="9"/>
  <c r="P16" i="9" s="1"/>
  <c r="V16" i="9"/>
  <c r="N21" i="9"/>
  <c r="M21" i="9"/>
  <c r="C17" i="9"/>
  <c r="D17" i="9" l="1"/>
  <c r="H18" i="9"/>
  <c r="K17" i="9" l="1"/>
  <c r="I18" i="9"/>
  <c r="L18" i="9"/>
  <c r="J18" i="9" l="1"/>
  <c r="O17" i="9"/>
  <c r="P17" i="9" s="1"/>
  <c r="V17" i="9"/>
  <c r="N22" i="9"/>
  <c r="M22" i="9"/>
  <c r="C18" i="9"/>
  <c r="D18" i="9" l="1"/>
  <c r="H19" i="9"/>
  <c r="K18" i="9" l="1"/>
  <c r="I19" i="9"/>
  <c r="L19" i="9"/>
  <c r="J19" i="9" l="1"/>
  <c r="O18" i="9"/>
  <c r="P18" i="9" s="1"/>
  <c r="V18" i="9"/>
  <c r="C19" i="9"/>
  <c r="N23" i="9"/>
  <c r="M23" i="9"/>
  <c r="D19" i="9" l="1"/>
  <c r="H20" i="9"/>
  <c r="L20" i="9"/>
  <c r="N24" i="9" s="1"/>
  <c r="I20" i="9"/>
  <c r="K19" i="9" l="1"/>
  <c r="J20" i="9"/>
  <c r="D20" i="9" s="1"/>
  <c r="M24" i="9"/>
  <c r="C20" i="9"/>
  <c r="O19" i="9" l="1"/>
  <c r="P19" i="9" s="1"/>
  <c r="V19" i="9"/>
  <c r="K20" i="9"/>
  <c r="V20" i="9" l="1"/>
  <c r="O20" i="9"/>
  <c r="P20" i="9" s="1"/>
  <c r="L21" i="9"/>
  <c r="M25" i="9" s="1"/>
  <c r="H21" i="9"/>
  <c r="I21" i="9"/>
  <c r="C21" i="9"/>
  <c r="N25" i="9" l="1"/>
  <c r="J21" i="9"/>
  <c r="D21" i="9" l="1"/>
  <c r="I22" i="9"/>
  <c r="K21" i="9" l="1"/>
  <c r="L22" i="9"/>
  <c r="M26" i="9" s="1"/>
  <c r="H22" i="9"/>
  <c r="N26" i="9" l="1"/>
  <c r="O21" i="9"/>
  <c r="P21" i="9" s="1"/>
  <c r="V21" i="9"/>
  <c r="C22" i="9"/>
  <c r="J22" i="9"/>
  <c r="D22" i="9" l="1"/>
  <c r="H23" i="9"/>
  <c r="K22" i="9" l="1"/>
  <c r="L23" i="9"/>
  <c r="C23" i="9" s="1"/>
  <c r="I23" i="9"/>
  <c r="M27" i="9"/>
  <c r="N27" i="9" l="1"/>
  <c r="J23" i="9"/>
  <c r="D23" i="9" s="1"/>
  <c r="V22" i="9"/>
  <c r="O22" i="9"/>
  <c r="P22" i="9" s="1"/>
  <c r="K23" i="9" l="1"/>
  <c r="H24" i="9"/>
  <c r="V23" i="9" l="1"/>
  <c r="O23" i="9"/>
  <c r="P23" i="9" s="1"/>
  <c r="L24" i="9"/>
  <c r="I24" i="9"/>
  <c r="J24" i="9" l="1"/>
  <c r="D24" i="9" s="1"/>
  <c r="C24" i="9"/>
  <c r="N28" i="9"/>
  <c r="M28" i="9"/>
  <c r="K24" i="9" l="1"/>
  <c r="H25" i="9"/>
  <c r="V24" i="9" l="1"/>
  <c r="O24" i="9"/>
  <c r="P24" i="9" s="1"/>
  <c r="I25" i="9"/>
  <c r="L25" i="9"/>
  <c r="J25" i="9" l="1"/>
  <c r="N29" i="9"/>
  <c r="M29" i="9"/>
  <c r="C25" i="9"/>
  <c r="D25" i="9" l="1"/>
  <c r="K25" i="9" l="1"/>
  <c r="H26" i="9"/>
  <c r="I26" i="9"/>
  <c r="L26" i="9"/>
  <c r="C26" i="9" s="1"/>
  <c r="O25" i="9" l="1"/>
  <c r="P25" i="9" s="1"/>
  <c r="V25" i="9"/>
  <c r="J26" i="9"/>
  <c r="M30" i="9"/>
  <c r="N30" i="9"/>
  <c r="D26" i="9" l="1"/>
  <c r="L27" i="9"/>
  <c r="C27" i="9" s="1"/>
  <c r="H27" i="9"/>
  <c r="I27" i="9"/>
  <c r="N31" i="9"/>
  <c r="M31" i="9"/>
  <c r="K26" i="9" l="1"/>
  <c r="J27" i="9"/>
  <c r="O26" i="9" l="1"/>
  <c r="P26" i="9" s="1"/>
  <c r="V26" i="9"/>
  <c r="D27" i="9"/>
  <c r="H28" i="9"/>
  <c r="I28" i="9"/>
  <c r="L28" i="9"/>
  <c r="M32" i="9" s="1"/>
  <c r="K27" i="9" l="1"/>
  <c r="J28" i="9"/>
  <c r="C28" i="9"/>
  <c r="N32" i="9"/>
  <c r="D28" i="9" l="1"/>
  <c r="O27" i="9"/>
  <c r="P27" i="9" s="1"/>
  <c r="V27" i="9"/>
  <c r="H29" i="9"/>
  <c r="I29" i="9"/>
  <c r="L29" i="9"/>
  <c r="C29" i="9" s="1"/>
  <c r="K28" i="9" l="1"/>
  <c r="J29" i="9"/>
  <c r="N33" i="9"/>
  <c r="M33" i="9"/>
  <c r="D29" i="9" l="1"/>
  <c r="O28" i="9"/>
  <c r="P28" i="9" s="1"/>
  <c r="V28" i="9"/>
  <c r="H30" i="9"/>
  <c r="K29" i="9" l="1"/>
  <c r="L30" i="9"/>
  <c r="M34" i="9" s="1"/>
  <c r="I30" i="9"/>
  <c r="J30" i="9" l="1"/>
  <c r="O29" i="9"/>
  <c r="P29" i="9" s="1"/>
  <c r="V29" i="9"/>
  <c r="N34" i="9"/>
  <c r="C30" i="9"/>
  <c r="D30" i="9" l="1"/>
  <c r="L31" i="9"/>
  <c r="M35" i="9" s="1"/>
  <c r="H31" i="9"/>
  <c r="I31" i="9"/>
  <c r="K30" i="9" l="1"/>
  <c r="J31" i="9"/>
  <c r="C31" i="9"/>
  <c r="N35" i="9"/>
  <c r="O30" i="9" l="1"/>
  <c r="P30" i="9" s="1"/>
  <c r="V30" i="9"/>
  <c r="D31" i="9"/>
  <c r="K31" i="9" l="1"/>
  <c r="I32" i="9"/>
  <c r="H32" i="9"/>
  <c r="L32" i="9"/>
  <c r="C32" i="9" s="1"/>
  <c r="O31" i="9" l="1"/>
  <c r="P31" i="9" s="1"/>
  <c r="V31" i="9"/>
  <c r="J32" i="9"/>
  <c r="N36" i="9"/>
  <c r="M36" i="9"/>
  <c r="D32" i="9" l="1"/>
  <c r="H33" i="9"/>
  <c r="I33" i="9"/>
  <c r="L33" i="9"/>
  <c r="K32" i="9" l="1"/>
  <c r="J33" i="9"/>
  <c r="N37" i="9"/>
  <c r="C33" i="9"/>
  <c r="M37" i="9"/>
  <c r="D33" i="9" l="1"/>
  <c r="O32" i="9"/>
  <c r="P32" i="9" s="1"/>
  <c r="V32" i="9"/>
  <c r="H34" i="9"/>
  <c r="I34" i="9"/>
  <c r="L34" i="9"/>
  <c r="N38" i="9" s="1"/>
  <c r="K33" i="9" l="1"/>
  <c r="J34" i="9"/>
  <c r="D34" i="9" s="1"/>
  <c r="C34" i="9"/>
  <c r="M38" i="9"/>
  <c r="O33" i="9" l="1"/>
  <c r="P33" i="9" s="1"/>
  <c r="V33" i="9"/>
  <c r="K34" i="9"/>
  <c r="L35" i="9"/>
  <c r="N39" i="9" s="1"/>
  <c r="H35" i="9"/>
  <c r="I35" i="9"/>
  <c r="C35" i="9" l="1"/>
  <c r="V34" i="9"/>
  <c r="O34" i="9"/>
  <c r="P34" i="9" s="1"/>
  <c r="M39" i="9"/>
  <c r="J35" i="9"/>
  <c r="D35" i="9" l="1"/>
  <c r="L36" i="9"/>
  <c r="M40" i="9" s="1"/>
  <c r="I36" i="9"/>
  <c r="H36" i="9"/>
  <c r="J36" i="9" s="1"/>
  <c r="D36" i="9" s="1"/>
  <c r="N40" i="9" l="1"/>
  <c r="K36" i="9"/>
  <c r="V36" i="9" s="1"/>
  <c r="K35" i="9"/>
  <c r="C36" i="9"/>
  <c r="O36" i="9" l="1"/>
  <c r="P36" i="9" s="1"/>
  <c r="O35" i="9"/>
  <c r="P35" i="9" s="1"/>
  <c r="V35" i="9"/>
  <c r="H37" i="9"/>
  <c r="L37" i="9"/>
  <c r="C37" i="9" s="1"/>
  <c r="I37" i="9"/>
  <c r="J37" i="9" l="1"/>
  <c r="D37" i="9" s="1"/>
  <c r="N41" i="9"/>
  <c r="M41" i="9"/>
  <c r="K37" i="9" l="1"/>
  <c r="L38" i="9"/>
  <c r="C38" i="9" s="1"/>
  <c r="I38" i="9"/>
  <c r="H38" i="9"/>
  <c r="J38" i="9" s="1"/>
  <c r="D38" i="9" s="1"/>
  <c r="K38" i="9" l="1"/>
  <c r="V38" i="9" s="1"/>
  <c r="O38" i="9"/>
  <c r="V37" i="9"/>
  <c r="O37" i="9"/>
  <c r="P37" i="9" s="1"/>
  <c r="P38" i="9"/>
  <c r="H39" i="9"/>
  <c r="M42" i="9"/>
  <c r="N42" i="9"/>
  <c r="L39" i="9" l="1"/>
  <c r="C39" i="9" s="1"/>
  <c r="I39" i="9"/>
  <c r="N43" i="9"/>
  <c r="M43" i="9"/>
  <c r="J39" i="9" l="1"/>
  <c r="D39" i="9" l="1"/>
  <c r="H40" i="9"/>
  <c r="I40" i="9"/>
  <c r="L40" i="9"/>
  <c r="K39" i="9" l="1"/>
  <c r="J40" i="9"/>
  <c r="N44" i="9"/>
  <c r="M44" i="9"/>
  <c r="C40" i="9"/>
  <c r="D40" i="9" l="1"/>
  <c r="O39" i="9"/>
  <c r="P39" i="9" s="1"/>
  <c r="V39" i="9"/>
  <c r="K40" i="9" l="1"/>
  <c r="H41" i="9"/>
  <c r="L41" i="9"/>
  <c r="N45" i="9" s="1"/>
  <c r="I41" i="9"/>
  <c r="O40" i="9" l="1"/>
  <c r="P40" i="9" s="1"/>
  <c r="V40" i="9"/>
  <c r="J41" i="9"/>
  <c r="C41" i="9"/>
  <c r="M45" i="9"/>
  <c r="D41" i="9" l="1"/>
  <c r="K41" i="9" l="1"/>
  <c r="H42" i="9"/>
  <c r="I42" i="9"/>
  <c r="O41" i="9" l="1"/>
  <c r="P41" i="9" s="1"/>
  <c r="V41" i="9"/>
  <c r="L42" i="9"/>
  <c r="C42" i="9" s="1"/>
  <c r="J42" i="9"/>
  <c r="D42" i="9" l="1"/>
  <c r="N46" i="9"/>
  <c r="M46" i="9"/>
  <c r="K42" i="9" l="1"/>
  <c r="H43" i="9"/>
  <c r="O42" i="9" l="1"/>
  <c r="P42" i="9" s="1"/>
  <c r="V42" i="9"/>
  <c r="L43" i="9"/>
  <c r="I43" i="9"/>
  <c r="J43" i="9" l="1"/>
  <c r="C43" i="9"/>
  <c r="N47" i="9"/>
  <c r="M47" i="9"/>
  <c r="D43" i="9" l="1"/>
  <c r="K43" i="9" l="1"/>
  <c r="H44" i="9"/>
  <c r="O43" i="9" l="1"/>
  <c r="P43" i="9" s="1"/>
  <c r="V43" i="9"/>
  <c r="L44" i="9"/>
  <c r="C44" i="9" s="1"/>
  <c r="I44" i="9"/>
  <c r="J44" i="9" l="1"/>
  <c r="N48" i="9"/>
  <c r="M48" i="9"/>
  <c r="D44" i="9" l="1"/>
  <c r="H45" i="9"/>
  <c r="K44" i="9" l="1"/>
  <c r="L45" i="9"/>
  <c r="C45" i="9" s="1"/>
  <c r="I45" i="9"/>
  <c r="J45" i="9" l="1"/>
  <c r="O44" i="9"/>
  <c r="P44" i="9" s="1"/>
  <c r="V44" i="9"/>
  <c r="N49" i="9"/>
  <c r="M49" i="9"/>
  <c r="D45" i="9" l="1"/>
  <c r="H46" i="9"/>
  <c r="I46" i="9"/>
  <c r="L46" i="9"/>
  <c r="M50" i="9" s="1"/>
  <c r="K45" i="9" l="1"/>
  <c r="J46" i="9"/>
  <c r="N50" i="9"/>
  <c r="C46" i="9"/>
  <c r="D46" i="9" l="1"/>
  <c r="O45" i="9"/>
  <c r="P45" i="9" s="1"/>
  <c r="V45" i="9"/>
  <c r="K46" i="9" l="1"/>
  <c r="H47" i="9"/>
  <c r="O46" i="9" l="1"/>
  <c r="P46" i="9" s="1"/>
  <c r="V46" i="9"/>
  <c r="L47" i="9"/>
  <c r="I47" i="9"/>
  <c r="J47" i="9" l="1"/>
  <c r="N51" i="9"/>
  <c r="M51" i="9"/>
  <c r="C47" i="9"/>
  <c r="D47" i="9" l="1"/>
  <c r="K47" i="9" l="1"/>
  <c r="H48" i="9"/>
  <c r="L48" i="9"/>
  <c r="C48" i="9" s="1"/>
  <c r="I48" i="9"/>
  <c r="O47" i="9" l="1"/>
  <c r="P47" i="9" s="1"/>
  <c r="V47" i="9"/>
  <c r="J48" i="9"/>
  <c r="D48" i="9" s="1"/>
  <c r="M52" i="9"/>
  <c r="N52" i="9"/>
  <c r="K48" i="9" l="1"/>
  <c r="L49" i="9"/>
  <c r="N53" i="9" s="1"/>
  <c r="H49" i="9"/>
  <c r="C49" i="9"/>
  <c r="I49" i="9"/>
  <c r="V48" i="9" l="1"/>
  <c r="O48" i="9"/>
  <c r="P48" i="9" s="1"/>
  <c r="J49" i="9"/>
  <c r="M53" i="9"/>
  <c r="D49" i="9" l="1"/>
  <c r="H50" i="9"/>
  <c r="K49" i="9" l="1"/>
  <c r="I50" i="9"/>
  <c r="L50" i="9"/>
  <c r="C50" i="9" s="1"/>
  <c r="J50" i="9" l="1"/>
  <c r="D50" i="9" s="1"/>
  <c r="O49" i="9"/>
  <c r="P49" i="9" s="1"/>
  <c r="V49" i="9"/>
  <c r="M54" i="9"/>
  <c r="N54" i="9"/>
  <c r="H51" i="9"/>
  <c r="K50" i="9" l="1"/>
  <c r="L51" i="9"/>
  <c r="C51" i="9" s="1"/>
  <c r="I51" i="9"/>
  <c r="J51" i="9" l="1"/>
  <c r="D51" i="9" s="1"/>
  <c r="V50" i="9"/>
  <c r="O50" i="9"/>
  <c r="P50" i="9" s="1"/>
  <c r="N55" i="9"/>
  <c r="M55" i="9"/>
  <c r="K51" i="9" l="1"/>
  <c r="H52" i="9"/>
  <c r="V51" i="9" l="1"/>
  <c r="O51" i="9"/>
  <c r="P51" i="9" s="1"/>
  <c r="L52" i="9"/>
  <c r="I52" i="9"/>
  <c r="J52" i="9" l="1"/>
  <c r="D52" i="9" s="1"/>
  <c r="C52" i="9"/>
  <c r="N56" i="9"/>
  <c r="M56" i="9"/>
  <c r="K52" i="9" l="1"/>
  <c r="V52" i="9" l="1"/>
  <c r="O52" i="9"/>
  <c r="P52" i="9" s="1"/>
  <c r="L53" i="9"/>
  <c r="M57" i="9" l="1"/>
  <c r="N57" i="9"/>
  <c r="C53" i="9"/>
  <c r="I53" i="9"/>
  <c r="H53" i="9"/>
  <c r="J53" i="9" s="1"/>
  <c r="D53" i="9" l="1"/>
  <c r="K53" i="9" l="1"/>
  <c r="H54" i="9"/>
  <c r="I54" i="9"/>
  <c r="L54" i="9"/>
  <c r="V53" i="9" l="1"/>
  <c r="O53" i="9"/>
  <c r="P53" i="9" s="1"/>
  <c r="J54" i="9"/>
  <c r="N58" i="9"/>
  <c r="M58" i="9"/>
  <c r="C54" i="9"/>
  <c r="D54" i="9" l="1"/>
  <c r="K54" i="9" l="1"/>
  <c r="H55" i="9"/>
  <c r="I55" i="9"/>
  <c r="L55" i="9"/>
  <c r="O54" i="9" l="1"/>
  <c r="P54" i="9" s="1"/>
  <c r="V54" i="9"/>
  <c r="J55" i="9"/>
  <c r="D55" i="9" s="1"/>
  <c r="N59" i="9"/>
  <c r="M59" i="9"/>
  <c r="C55" i="9"/>
  <c r="K55" i="9" l="1"/>
  <c r="O55" i="9" s="1"/>
  <c r="P55" i="9" s="1"/>
  <c r="H56" i="9"/>
  <c r="I56" i="9"/>
  <c r="L56" i="9"/>
  <c r="J56" i="9" l="1"/>
  <c r="D56" i="9" s="1"/>
  <c r="C56" i="9"/>
  <c r="N60" i="9"/>
  <c r="M60" i="9"/>
  <c r="K56" i="9" l="1"/>
  <c r="O56" i="9" s="1"/>
  <c r="P56" i="9"/>
  <c r="H57" i="9" l="1"/>
  <c r="L57" i="9"/>
  <c r="I57" i="9"/>
  <c r="J57" i="9" l="1"/>
  <c r="D57" i="9" s="1"/>
  <c r="C57" i="9"/>
  <c r="N61" i="9"/>
  <c r="M61" i="9"/>
  <c r="K57" i="9" l="1"/>
  <c r="O57" i="9" s="1"/>
  <c r="P57" i="9" s="1"/>
  <c r="H58" i="9"/>
  <c r="L58" i="9" l="1"/>
  <c r="N62" i="9" s="1"/>
  <c r="I58" i="9"/>
  <c r="M62" i="9"/>
  <c r="C58" i="9"/>
  <c r="J58" i="9" l="1"/>
  <c r="D58" i="9" s="1"/>
  <c r="K58" i="9" l="1"/>
  <c r="O58" i="9" s="1"/>
  <c r="P58" i="9" s="1"/>
  <c r="H59" i="9"/>
  <c r="L59" i="9" l="1"/>
  <c r="I59" i="9"/>
  <c r="J59" i="9" l="1"/>
  <c r="D59" i="9" s="1"/>
  <c r="C59" i="9"/>
  <c r="N63" i="9"/>
  <c r="M63" i="9"/>
  <c r="K59" i="9" l="1"/>
  <c r="O59" i="9" s="1"/>
  <c r="P59" i="9"/>
  <c r="I60" i="9" l="1"/>
  <c r="H60" i="9"/>
  <c r="J60" i="9" s="1"/>
  <c r="D60" i="9" s="1"/>
  <c r="L60" i="9"/>
  <c r="N64" i="9" s="1"/>
  <c r="K60" i="9" l="1"/>
  <c r="O60" i="9"/>
  <c r="C60" i="9"/>
  <c r="M64" i="9"/>
  <c r="P60" i="9"/>
  <c r="H61" i="9" l="1"/>
  <c r="I61" i="9" l="1"/>
  <c r="L61" i="9"/>
  <c r="J61" i="9" l="1"/>
  <c r="D61" i="9" s="1"/>
  <c r="C61" i="9"/>
  <c r="N65" i="9"/>
  <c r="M65" i="9"/>
  <c r="K61" i="9" l="1"/>
  <c r="O61" i="9" s="1"/>
  <c r="P61" i="9"/>
  <c r="L62" i="9" l="1"/>
  <c r="I62" i="9" l="1"/>
  <c r="H62" i="9"/>
  <c r="N66" i="9"/>
  <c r="C62" i="9"/>
  <c r="M66" i="9"/>
  <c r="J62" i="9" l="1"/>
  <c r="D62" i="9" s="1"/>
  <c r="K62" i="9" l="1"/>
  <c r="O62" i="9" s="1"/>
  <c r="P62" i="9" s="1"/>
  <c r="I63" i="9"/>
  <c r="H63" i="9"/>
  <c r="J63" i="9" s="1"/>
  <c r="D63" i="9" s="1"/>
  <c r="L63" i="9"/>
  <c r="N67" i="9" s="1"/>
  <c r="K63" i="9" l="1"/>
  <c r="O63" i="9" s="1"/>
  <c r="P63" i="9" s="1"/>
  <c r="C63" i="9"/>
  <c r="M67" i="9"/>
  <c r="H64" i="9" l="1"/>
  <c r="L64" i="9" l="1"/>
  <c r="I64" i="9"/>
  <c r="C64" i="9"/>
  <c r="J64" i="9" l="1"/>
  <c r="D64" i="9" s="1"/>
  <c r="N68" i="9"/>
  <c r="M68" i="9"/>
  <c r="K64" i="9" l="1"/>
  <c r="O64" i="9" s="1"/>
  <c r="P64" i="9"/>
  <c r="H65" i="9" l="1"/>
  <c r="I65" i="9" l="1"/>
  <c r="L65" i="9"/>
  <c r="C65" i="9" s="1"/>
  <c r="J65" i="9" l="1"/>
  <c r="D65" i="9" s="1"/>
  <c r="M69" i="9"/>
  <c r="N69" i="9"/>
  <c r="K65" i="9" l="1"/>
  <c r="O65" i="9" s="1"/>
  <c r="P65" i="9"/>
  <c r="H66" i="9" l="1"/>
  <c r="L66" i="9" l="1"/>
  <c r="I66" i="9"/>
  <c r="J66" i="9" l="1"/>
  <c r="D66" i="9" s="1"/>
  <c r="C66" i="9"/>
  <c r="M70" i="9"/>
  <c r="N70" i="9"/>
  <c r="K66" i="9" l="1"/>
  <c r="O66" i="9" s="1"/>
  <c r="P66" i="9"/>
  <c r="I67" i="9" l="1"/>
  <c r="H67" i="9"/>
  <c r="L67" i="9"/>
  <c r="M71" i="9" s="1"/>
  <c r="J67" i="9" l="1"/>
  <c r="D67" i="9" s="1"/>
  <c r="C67" i="9"/>
  <c r="N71" i="9"/>
  <c r="K67" i="9" l="1"/>
  <c r="O67" i="9" s="1"/>
  <c r="P67" i="9" s="1"/>
  <c r="I68" i="9"/>
  <c r="H68" i="9"/>
  <c r="J68" i="9" s="1"/>
  <c r="D68" i="9" s="1"/>
  <c r="L68" i="9"/>
  <c r="K68" i="9" l="1"/>
  <c r="O68" i="9" s="1"/>
  <c r="P68" i="9" s="1"/>
  <c r="M72" i="9"/>
  <c r="N72" i="9"/>
  <c r="C68" i="9"/>
  <c r="I69" i="9" l="1"/>
  <c r="H69" i="9"/>
  <c r="J69" i="9" s="1"/>
  <c r="D69" i="9" s="1"/>
  <c r="L69" i="9"/>
  <c r="C69" i="9" s="1"/>
  <c r="K69" i="9" l="1"/>
  <c r="O69" i="9"/>
  <c r="M73" i="9"/>
  <c r="N73" i="9"/>
  <c r="P69" i="9"/>
  <c r="H70" i="9"/>
  <c r="I70" i="9" l="1"/>
  <c r="L70" i="9"/>
  <c r="C70" i="9" s="1"/>
  <c r="J70" i="9" l="1"/>
  <c r="D70" i="9" s="1"/>
  <c r="M74" i="9"/>
  <c r="N74" i="9"/>
  <c r="K70" i="9" l="1"/>
  <c r="O70" i="9" s="1"/>
  <c r="P70" i="9"/>
  <c r="H71" i="9" l="1"/>
  <c r="I71" i="9" l="1"/>
  <c r="L71" i="9"/>
  <c r="C71" i="9" s="1"/>
  <c r="J71" i="9" l="1"/>
  <c r="D71" i="9" s="1"/>
  <c r="N75" i="9"/>
  <c r="M75" i="9"/>
  <c r="K71" i="9" l="1"/>
  <c r="O71" i="9" s="1"/>
  <c r="P71" i="9"/>
  <c r="H72" i="9" l="1"/>
  <c r="I72" i="9" l="1"/>
  <c r="L72" i="9"/>
  <c r="C72" i="9" s="1"/>
  <c r="J72" i="9" l="1"/>
  <c r="D72" i="9" s="1"/>
  <c r="M76" i="9"/>
  <c r="N76" i="9"/>
  <c r="K72" i="9" l="1"/>
  <c r="O72" i="9" s="1"/>
  <c r="P72" i="9" s="1"/>
  <c r="H73" i="9" l="1"/>
  <c r="I73" i="9" l="1"/>
  <c r="L73" i="9"/>
  <c r="J73" i="9" l="1"/>
  <c r="D73" i="9" s="1"/>
  <c r="M77" i="9"/>
  <c r="N77" i="9"/>
  <c r="C73" i="9"/>
  <c r="K73" i="9" l="1"/>
  <c r="O73" i="9" s="1"/>
  <c r="P73" i="9" s="1"/>
  <c r="H74" i="9" l="1"/>
  <c r="I74" i="9" l="1"/>
  <c r="L74" i="9"/>
  <c r="J74" i="9" l="1"/>
  <c r="D74" i="9" s="1"/>
  <c r="N78" i="9"/>
  <c r="M78" i="9"/>
  <c r="C74" i="9"/>
  <c r="K74" i="9" l="1"/>
  <c r="O74" i="9" s="1"/>
  <c r="P74" i="9" s="1"/>
  <c r="H75" i="9"/>
  <c r="I75" i="9" l="1"/>
  <c r="L75" i="9"/>
  <c r="J75" i="9" l="1"/>
  <c r="D75" i="9" s="1"/>
  <c r="C75" i="9"/>
  <c r="M79" i="9"/>
  <c r="N79" i="9"/>
  <c r="K75" i="9" l="1"/>
  <c r="O75" i="9" s="1"/>
  <c r="P75" i="9" s="1"/>
  <c r="H76" i="9"/>
  <c r="L76" i="9" l="1"/>
  <c r="I76" i="9"/>
  <c r="J76" i="9" l="1"/>
  <c r="D76" i="9" s="1"/>
  <c r="C76" i="9"/>
  <c r="M80" i="9"/>
  <c r="N80" i="9"/>
  <c r="K76" i="9" l="1"/>
  <c r="O76" i="9" s="1"/>
  <c r="P76" i="9" s="1"/>
  <c r="I77" i="9" l="1"/>
  <c r="H77" i="9"/>
  <c r="J77" i="9" s="1"/>
  <c r="D77" i="9" s="1"/>
  <c r="L77" i="9"/>
  <c r="M81" i="9" s="1"/>
  <c r="K77" i="9" l="1"/>
  <c r="O77" i="9"/>
  <c r="C77" i="9"/>
  <c r="N81" i="9"/>
  <c r="P77" i="9"/>
  <c r="I78" i="9" l="1"/>
  <c r="H78" i="9"/>
  <c r="L78" i="9"/>
  <c r="J78" i="9" l="1"/>
  <c r="D78" i="9" s="1"/>
  <c r="N82" i="9"/>
  <c r="M82" i="9"/>
  <c r="C78" i="9"/>
  <c r="K78" i="9" l="1"/>
  <c r="O78" i="9" s="1"/>
  <c r="P78" i="9" s="1"/>
  <c r="H79" i="9"/>
  <c r="L79" i="9"/>
  <c r="I79" i="9"/>
  <c r="J79" i="9" l="1"/>
  <c r="D79" i="9" s="1"/>
  <c r="N83" i="9"/>
  <c r="M83" i="9"/>
  <c r="C79" i="9"/>
  <c r="K79" i="9" l="1"/>
  <c r="O79" i="9" s="1"/>
  <c r="P79" i="9" s="1"/>
  <c r="L80" i="9"/>
  <c r="C80" i="9" s="1"/>
  <c r="H80" i="9"/>
  <c r="I80" i="9"/>
  <c r="M84" i="9" l="1"/>
  <c r="N84" i="9"/>
  <c r="J80" i="9"/>
  <c r="D80" i="9" l="1"/>
  <c r="I81" i="9"/>
  <c r="H81" i="9"/>
  <c r="L81" i="9"/>
  <c r="K80" i="9" l="1"/>
  <c r="O80" i="9" s="1"/>
  <c r="P80" i="9" s="1"/>
  <c r="J81" i="9"/>
  <c r="D81" i="9" s="1"/>
  <c r="C81" i="9"/>
  <c r="N85" i="9"/>
  <c r="M85" i="9"/>
  <c r="H82" i="9" l="1"/>
  <c r="K81" i="9"/>
  <c r="O81" i="9" s="1"/>
  <c r="P81" i="9"/>
  <c r="I82" i="9"/>
  <c r="L82" i="9"/>
  <c r="J82" i="9" l="1"/>
  <c r="D82" i="9" s="1"/>
  <c r="N86" i="9"/>
  <c r="M86" i="9"/>
  <c r="C82" i="9"/>
  <c r="K82" i="9" l="1"/>
  <c r="O82" i="9" s="1"/>
  <c r="P82" i="9" s="1"/>
  <c r="H83" i="9" l="1"/>
  <c r="I83" i="9" l="1"/>
  <c r="L83" i="9"/>
  <c r="J83" i="9" l="1"/>
  <c r="D83" i="9" s="1"/>
  <c r="M87" i="9"/>
  <c r="N87" i="9"/>
  <c r="C83" i="9"/>
  <c r="K83" i="9" l="1"/>
  <c r="O83" i="9" s="1"/>
  <c r="P83" i="9" s="1"/>
  <c r="H84" i="9" l="1"/>
  <c r="I84" i="9" l="1"/>
  <c r="L84" i="9"/>
  <c r="C84" i="9" s="1"/>
  <c r="J84" i="9" l="1"/>
  <c r="D84" i="9" s="1"/>
  <c r="N88" i="9"/>
  <c r="M88" i="9"/>
  <c r="K84" i="9" l="1"/>
  <c r="O84" i="9" s="1"/>
  <c r="P84" i="9" s="1"/>
  <c r="H85" i="9"/>
  <c r="L85" i="9"/>
  <c r="I85" i="9"/>
  <c r="J85" i="9" l="1"/>
  <c r="D85" i="9" s="1"/>
  <c r="C85" i="9"/>
  <c r="N89" i="9"/>
  <c r="M89" i="9"/>
  <c r="K85" i="9" l="1"/>
  <c r="O85" i="9" s="1"/>
  <c r="P85" i="9" s="1"/>
  <c r="I86" i="9"/>
  <c r="H86" i="9"/>
  <c r="L86" i="9"/>
  <c r="J86" i="9" l="1"/>
  <c r="D86" i="9" s="1"/>
  <c r="C86" i="9"/>
  <c r="M90" i="9"/>
  <c r="N90" i="9"/>
  <c r="K86" i="9" l="1"/>
  <c r="O86" i="9" s="1"/>
  <c r="P86" i="9"/>
  <c r="I87" i="9"/>
  <c r="H87" i="9"/>
  <c r="J87" i="9" s="1"/>
  <c r="D87" i="9" s="1"/>
  <c r="L87" i="9"/>
  <c r="C87" i="9" s="1"/>
  <c r="K87" i="9" l="1"/>
  <c r="O87" i="9" s="1"/>
  <c r="N91" i="9"/>
  <c r="M91" i="9"/>
  <c r="P87" i="9" l="1"/>
  <c r="H88" i="9"/>
  <c r="I88" i="9" l="1"/>
  <c r="L88" i="9"/>
  <c r="C88" i="9" s="1"/>
  <c r="J88" i="9" l="1"/>
  <c r="D88" i="9" s="1"/>
  <c r="N92" i="9"/>
  <c r="M92" i="9"/>
  <c r="K88" i="9" l="1"/>
  <c r="O88" i="9" s="1"/>
  <c r="P88" i="9" s="1"/>
  <c r="H89" i="9"/>
  <c r="I89" i="9"/>
  <c r="L89" i="9"/>
  <c r="N93" i="9" s="1"/>
  <c r="J89" i="9" l="1"/>
  <c r="D89" i="9" s="1"/>
  <c r="M93" i="9"/>
  <c r="C89" i="9"/>
  <c r="K89" i="9" l="1"/>
  <c r="O89" i="9" s="1"/>
  <c r="P89" i="9" s="1"/>
  <c r="H90" i="9"/>
  <c r="I90" i="9"/>
  <c r="L90" i="9"/>
  <c r="C90" i="9" s="1"/>
  <c r="J90" i="9" l="1"/>
  <c r="M94" i="9"/>
  <c r="N94" i="9"/>
  <c r="D90" i="9" l="1"/>
  <c r="L91" i="9"/>
  <c r="C91" i="9" s="1"/>
  <c r="I91" i="9"/>
  <c r="H91" i="9" l="1"/>
  <c r="K90" i="9"/>
  <c r="O90" i="9" s="1"/>
  <c r="P90" i="9" s="1"/>
  <c r="N95" i="9"/>
  <c r="J91" i="9"/>
  <c r="M95" i="9"/>
  <c r="D91" i="9" l="1"/>
  <c r="I92" i="9"/>
  <c r="L92" i="9"/>
  <c r="C92" i="9" s="1"/>
  <c r="H92" i="9" l="1"/>
  <c r="K91" i="9"/>
  <c r="O91" i="9" s="1"/>
  <c r="P91" i="9" s="1"/>
  <c r="J92" i="9"/>
  <c r="D92" i="9" s="1"/>
  <c r="N96" i="9"/>
  <c r="M96" i="9"/>
  <c r="K92" i="9" l="1"/>
  <c r="O92" i="9" s="1"/>
  <c r="P92" i="9"/>
  <c r="H93" i="9"/>
  <c r="I93" i="9" l="1"/>
  <c r="L93" i="9"/>
  <c r="C93" i="9" s="1"/>
  <c r="J93" i="9" l="1"/>
  <c r="D93" i="9" s="1"/>
  <c r="N97" i="9"/>
  <c r="M97" i="9"/>
  <c r="K93" i="9" l="1"/>
  <c r="O93" i="9" s="1"/>
  <c r="P93" i="9" s="1"/>
  <c r="H94" i="9"/>
  <c r="L94" i="9" l="1"/>
  <c r="C94" i="9" s="1"/>
  <c r="I94" i="9"/>
  <c r="J94" i="9" l="1"/>
  <c r="D94" i="9" s="1"/>
  <c r="N98" i="9"/>
  <c r="M98" i="9"/>
  <c r="K94" i="9" l="1"/>
  <c r="O94" i="9" s="1"/>
  <c r="P94" i="9"/>
  <c r="H95" i="9"/>
  <c r="L95" i="9" l="1"/>
  <c r="C95" i="9" s="1"/>
  <c r="I95" i="9"/>
  <c r="J95" i="9" l="1"/>
  <c r="D95" i="9" s="1"/>
  <c r="N99" i="9"/>
  <c r="M99" i="9"/>
  <c r="K95" i="9" l="1"/>
  <c r="O95" i="9" s="1"/>
  <c r="P95" i="9" s="1"/>
  <c r="L96" i="9"/>
  <c r="C96" i="9" s="1"/>
  <c r="H96" i="9"/>
  <c r="I96" i="9"/>
  <c r="M100" i="9" l="1"/>
  <c r="N100" i="9"/>
  <c r="J96" i="9"/>
  <c r="D96" i="9" s="1"/>
  <c r="K96" i="9" l="1"/>
  <c r="O96" i="9" s="1"/>
  <c r="P96" i="9" s="1"/>
  <c r="H97" i="9"/>
  <c r="I97" i="9" l="1"/>
  <c r="L97" i="9"/>
  <c r="C97" i="9" s="1"/>
  <c r="J97" i="9" l="1"/>
  <c r="D97" i="9" s="1"/>
  <c r="N101" i="9"/>
  <c r="M101" i="9"/>
  <c r="K97" i="9" l="1"/>
  <c r="O97" i="9" s="1"/>
  <c r="P97" i="9" s="1"/>
  <c r="H98" i="9"/>
  <c r="L98" i="9" l="1"/>
  <c r="I98" i="9"/>
  <c r="J98" i="9" l="1"/>
  <c r="D98" i="9" s="1"/>
  <c r="C98" i="9"/>
  <c r="M102" i="9"/>
  <c r="N102" i="9"/>
  <c r="K98" i="9" l="1"/>
  <c r="O98" i="9" s="1"/>
  <c r="P98" i="9" s="1"/>
  <c r="H99" i="9"/>
  <c r="L99" i="9" l="1"/>
  <c r="C99" i="9" s="1"/>
  <c r="I99" i="9"/>
  <c r="J99" i="9" l="1"/>
  <c r="D99" i="9" s="1"/>
  <c r="N103" i="9"/>
  <c r="M103" i="9"/>
  <c r="K99" i="9" l="1"/>
  <c r="O99" i="9" s="1"/>
  <c r="P99" i="9" s="1"/>
  <c r="H100" i="9"/>
  <c r="L100" i="9" l="1"/>
  <c r="I100" i="9"/>
  <c r="J100" i="9" l="1"/>
  <c r="D100" i="9" s="1"/>
  <c r="C100" i="9"/>
  <c r="M104" i="9"/>
  <c r="N104" i="9"/>
  <c r="K100" i="9" l="1"/>
  <c r="O100" i="9" s="1"/>
  <c r="P100" i="9" s="1"/>
  <c r="H101" i="9"/>
  <c r="I101" i="9" l="1"/>
  <c r="L101" i="9"/>
  <c r="J101" i="9" l="1"/>
  <c r="D101" i="9" s="1"/>
  <c r="M105" i="9"/>
  <c r="N105" i="9"/>
  <c r="C101" i="9"/>
  <c r="K101" i="9" l="1"/>
  <c r="O101" i="9" s="1"/>
  <c r="P101" i="9" s="1"/>
  <c r="H102" i="9"/>
  <c r="L102" i="9" l="1"/>
  <c r="I102" i="9"/>
  <c r="J102" i="9" l="1"/>
  <c r="D102" i="9" s="1"/>
  <c r="M106" i="9"/>
  <c r="N106" i="9"/>
  <c r="C102" i="9"/>
  <c r="K102" i="9" l="1"/>
  <c r="O102" i="9" s="1"/>
  <c r="P102" i="9"/>
  <c r="L103" i="9" l="1"/>
  <c r="H103" i="9" l="1"/>
  <c r="I103" i="9"/>
  <c r="C103" i="9"/>
  <c r="M107" i="9"/>
  <c r="N107" i="9"/>
  <c r="J103" i="9" l="1"/>
  <c r="D103" i="9" s="1"/>
  <c r="K103" i="9" l="1"/>
  <c r="O103" i="9" s="1"/>
  <c r="P103" i="9" s="1"/>
  <c r="H104" i="9"/>
  <c r="I104" i="9" l="1"/>
  <c r="L104" i="9"/>
  <c r="J104" i="9" l="1"/>
  <c r="D104" i="9" s="1"/>
  <c r="C104" i="9"/>
  <c r="N108" i="9"/>
  <c r="M108" i="9"/>
  <c r="K104" i="9" l="1"/>
  <c r="O104" i="9" s="1"/>
  <c r="P104" i="9" s="1"/>
  <c r="H105" i="9"/>
  <c r="I105" i="9" l="1"/>
  <c r="L105" i="9"/>
  <c r="J105" i="9" l="1"/>
  <c r="D105" i="9" s="1"/>
  <c r="N109" i="9"/>
  <c r="M109" i="9"/>
  <c r="C105" i="9"/>
  <c r="K105" i="9" l="1"/>
  <c r="O105" i="9" s="1"/>
  <c r="P105" i="9" s="1"/>
  <c r="H106" i="9" l="1"/>
  <c r="L106" i="9" l="1"/>
  <c r="I106" i="9"/>
  <c r="J106" i="9" l="1"/>
  <c r="D106" i="9" s="1"/>
  <c r="N110" i="9"/>
  <c r="M110" i="9"/>
  <c r="C106" i="9"/>
  <c r="K106" i="9" l="1"/>
  <c r="O106" i="9" s="1"/>
  <c r="P106" i="9" s="1"/>
  <c r="H107" i="9" l="1"/>
  <c r="I107" i="9" l="1"/>
  <c r="L107" i="9"/>
  <c r="J107" i="9" l="1"/>
  <c r="D107" i="9" s="1"/>
  <c r="C107" i="9"/>
  <c r="N111" i="9"/>
  <c r="M111" i="9"/>
  <c r="K107" i="9" l="1"/>
  <c r="O107" i="9" s="1"/>
  <c r="P107" i="9" s="1"/>
  <c r="H108" i="9" l="1"/>
  <c r="I108" i="9" l="1"/>
  <c r="L108" i="9"/>
  <c r="J108" i="9" l="1"/>
  <c r="D108" i="9" s="1"/>
  <c r="N112" i="9"/>
  <c r="M112" i="9"/>
  <c r="C108" i="9"/>
  <c r="K108" i="9" l="1"/>
  <c r="O108" i="9" s="1"/>
  <c r="P108" i="9" s="1"/>
  <c r="H109" i="9"/>
  <c r="L109" i="9" l="1"/>
  <c r="C109" i="9" s="1"/>
  <c r="I109" i="9"/>
  <c r="J109" i="9" l="1"/>
  <c r="D109" i="9" s="1"/>
  <c r="M113" i="9"/>
  <c r="N113" i="9"/>
  <c r="K109" i="9" l="1"/>
  <c r="O109" i="9" s="1"/>
  <c r="P109" i="9" s="1"/>
  <c r="H110" i="9"/>
  <c r="I110" i="9" l="1"/>
  <c r="L110" i="9"/>
  <c r="J110" i="9" l="1"/>
  <c r="D110" i="9" s="1"/>
  <c r="C110" i="9"/>
  <c r="M114" i="9"/>
  <c r="N114" i="9"/>
  <c r="K110" i="9" l="1"/>
  <c r="O110" i="9" s="1"/>
  <c r="P110" i="9" s="1"/>
  <c r="H111" i="9"/>
  <c r="I111" i="9"/>
  <c r="L111" i="9"/>
  <c r="J111" i="9" l="1"/>
  <c r="D111" i="9" s="1"/>
  <c r="C111" i="9"/>
  <c r="M115" i="9"/>
  <c r="N115" i="9"/>
  <c r="K111" i="9" l="1"/>
  <c r="O111" i="9" s="1"/>
  <c r="P111" i="9"/>
  <c r="H112" i="9" l="1"/>
  <c r="L112" i="9" l="1"/>
  <c r="C112" i="9" s="1"/>
  <c r="I112" i="9"/>
  <c r="J112" i="9" l="1"/>
  <c r="D112" i="9" s="1"/>
  <c r="N116" i="9"/>
  <c r="M116" i="9"/>
  <c r="K112" i="9" l="1"/>
  <c r="O112" i="9" s="1"/>
  <c r="P112" i="9" s="1"/>
  <c r="L113" i="9"/>
  <c r="C113" i="9" s="1"/>
  <c r="H113" i="9"/>
  <c r="I113" i="9"/>
  <c r="N117" i="9"/>
  <c r="M117" i="9" l="1"/>
  <c r="J113" i="9"/>
  <c r="D113" i="9" s="1"/>
  <c r="K113" i="9" l="1"/>
  <c r="O113" i="9" s="1"/>
  <c r="P113" i="9" s="1"/>
  <c r="I114" i="9"/>
  <c r="H114" i="9"/>
  <c r="J114" i="9" s="1"/>
  <c r="D114" i="9" s="1"/>
  <c r="L114" i="9"/>
  <c r="K114" i="9" l="1"/>
  <c r="O114" i="9" s="1"/>
  <c r="P114" i="9" s="1"/>
  <c r="M118" i="9"/>
  <c r="N118" i="9"/>
  <c r="C114" i="9"/>
  <c r="L115" i="9" l="1"/>
  <c r="C115" i="9" s="1"/>
  <c r="H115" i="9"/>
  <c r="I115" i="9"/>
  <c r="M119" i="9"/>
  <c r="N119" i="9" l="1"/>
  <c r="J115" i="9"/>
  <c r="D115" i="9" s="1"/>
  <c r="K115" i="9" l="1"/>
  <c r="O115" i="9" s="1"/>
  <c r="P115" i="9" s="1"/>
  <c r="H116" i="9"/>
  <c r="I116" i="9" l="1"/>
  <c r="L116" i="9"/>
  <c r="J116" i="9" l="1"/>
  <c r="D116" i="9" s="1"/>
  <c r="M120" i="9"/>
  <c r="N120" i="9"/>
  <c r="C116" i="9"/>
  <c r="K116" i="9" l="1"/>
  <c r="O116" i="9" s="1"/>
  <c r="P116" i="9"/>
  <c r="H117" i="9" l="1"/>
  <c r="I117" i="9" l="1"/>
  <c r="L117" i="9"/>
  <c r="J117" i="9" l="1"/>
  <c r="D117" i="9" s="1"/>
  <c r="C117" i="9"/>
  <c r="M121" i="9"/>
  <c r="N121" i="9"/>
  <c r="K117" i="9" l="1"/>
  <c r="O117" i="9" s="1"/>
  <c r="P117" i="9" s="1"/>
  <c r="H118" i="9"/>
  <c r="I118" i="9" l="1"/>
  <c r="L118" i="9"/>
  <c r="J118" i="9" l="1"/>
  <c r="D118" i="9" s="1"/>
  <c r="C118" i="9"/>
  <c r="N122" i="9"/>
  <c r="M122" i="9"/>
  <c r="K118" i="9" l="1"/>
  <c r="O118" i="9" s="1"/>
  <c r="P118" i="9"/>
  <c r="I119" i="9" l="1"/>
  <c r="H119" i="9"/>
  <c r="J119" i="9" s="1"/>
  <c r="D119" i="9" s="1"/>
  <c r="L119" i="9"/>
  <c r="C119" i="9" s="1"/>
  <c r="K119" i="9" l="1"/>
  <c r="O119" i="9"/>
  <c r="P119" i="9"/>
  <c r="N123" i="9"/>
  <c r="M123" i="9"/>
  <c r="H120" i="9" l="1"/>
  <c r="I120" i="9" l="1"/>
  <c r="L120" i="9"/>
  <c r="M124" i="9" s="1"/>
  <c r="J120" i="9" l="1"/>
  <c r="D120" i="9" s="1"/>
  <c r="N124" i="9"/>
  <c r="C120" i="9"/>
  <c r="K120" i="9" l="1"/>
  <c r="O120" i="9" s="1"/>
  <c r="P120" i="9" s="1"/>
  <c r="H121" i="9"/>
  <c r="L121" i="9" l="1"/>
  <c r="C121" i="9" s="1"/>
  <c r="I121" i="9"/>
  <c r="J121" i="9" l="1"/>
  <c r="D121" i="9" s="1"/>
  <c r="M125" i="9"/>
  <c r="N125" i="9"/>
  <c r="K121" i="9" l="1"/>
  <c r="O121" i="9" s="1"/>
  <c r="P121" i="9" s="1"/>
  <c r="L122" i="9"/>
  <c r="H122" i="9"/>
  <c r="I122" i="9"/>
  <c r="C122" i="9"/>
  <c r="M126" i="9"/>
  <c r="N126" i="9"/>
  <c r="J122" i="9" l="1"/>
  <c r="D122" i="9" s="1"/>
  <c r="K122" i="9" l="1"/>
  <c r="O122" i="9" s="1"/>
  <c r="P122" i="9" s="1"/>
  <c r="H123" i="9"/>
  <c r="L123" i="9" l="1"/>
  <c r="N127" i="9" s="1"/>
  <c r="I123" i="9"/>
  <c r="J123" i="9" l="1"/>
  <c r="D123" i="9" s="1"/>
  <c r="M127" i="9"/>
  <c r="C123" i="9"/>
  <c r="K123" i="9" l="1"/>
  <c r="O123" i="9" s="1"/>
  <c r="P123" i="9" s="1"/>
  <c r="H124" i="9"/>
  <c r="L124" i="9" l="1"/>
  <c r="C124" i="9" s="1"/>
  <c r="I124" i="9"/>
  <c r="J124" i="9" l="1"/>
  <c r="D124" i="9" s="1"/>
  <c r="N128" i="9"/>
  <c r="M128" i="9"/>
  <c r="K124" i="9" l="1"/>
  <c r="O124" i="9" s="1"/>
  <c r="P124" i="9" s="1"/>
  <c r="H125" i="9"/>
  <c r="L125" i="9" l="1"/>
  <c r="I125" i="9"/>
  <c r="J125" i="9" l="1"/>
  <c r="D125" i="9" s="1"/>
  <c r="C125" i="9"/>
  <c r="M129" i="9"/>
  <c r="N129" i="9"/>
  <c r="K125" i="9" l="1"/>
  <c r="O125" i="9" s="1"/>
  <c r="P125" i="9"/>
  <c r="H126" i="9"/>
  <c r="I126" i="9" l="1"/>
  <c r="L126" i="9"/>
  <c r="J126" i="9" l="1"/>
  <c r="D126" i="9" s="1"/>
  <c r="C126" i="9"/>
  <c r="N130" i="9"/>
  <c r="M130" i="9"/>
  <c r="K126" i="9" l="1"/>
  <c r="O126" i="9" s="1"/>
  <c r="P126" i="9" s="1"/>
  <c r="H127" i="9"/>
  <c r="I127" i="9" l="1"/>
  <c r="L127" i="9"/>
  <c r="J127" i="9" l="1"/>
  <c r="D127" i="9" s="1"/>
  <c r="C127" i="9"/>
  <c r="N131" i="9"/>
  <c r="M131" i="9"/>
  <c r="K127" i="9" l="1"/>
  <c r="O127" i="9" s="1"/>
  <c r="P127" i="9" s="1"/>
  <c r="L128" i="9" l="1"/>
  <c r="M132" i="9" s="1"/>
  <c r="H128" i="9"/>
  <c r="I128" i="9"/>
  <c r="J128" i="9" l="1"/>
  <c r="C128" i="9"/>
  <c r="N132" i="9"/>
  <c r="D128" i="9" l="1"/>
  <c r="H129" i="9"/>
  <c r="K128" i="9" l="1"/>
  <c r="O128" i="9" s="1"/>
  <c r="P128" i="9" s="1"/>
  <c r="I129" i="9"/>
  <c r="L129" i="9"/>
  <c r="J129" i="9" l="1"/>
  <c r="D129" i="9" s="1"/>
  <c r="C129" i="9"/>
  <c r="M133" i="9"/>
  <c r="N133" i="9"/>
  <c r="K129" i="9" l="1"/>
  <c r="O129" i="9" s="1"/>
  <c r="P129" i="9" s="1"/>
  <c r="H130" i="9"/>
  <c r="L130" i="9" l="1"/>
  <c r="I130" i="9"/>
  <c r="J130" i="9" l="1"/>
  <c r="D130" i="9" s="1"/>
  <c r="C130" i="9"/>
  <c r="M134" i="9"/>
  <c r="N134" i="9"/>
  <c r="K130" i="9" l="1"/>
  <c r="O130" i="9" s="1"/>
  <c r="P130" i="9" s="1"/>
  <c r="H131" i="9"/>
  <c r="I131" i="9" l="1"/>
  <c r="L131" i="9"/>
  <c r="J131" i="9" l="1"/>
  <c r="D131" i="9" s="1"/>
  <c r="M135" i="9"/>
  <c r="N135" i="9"/>
  <c r="C131" i="9"/>
  <c r="K131" i="9" l="1"/>
  <c r="O131" i="9" s="1"/>
  <c r="P131" i="9"/>
  <c r="L132" i="9" l="1"/>
  <c r="C132" i="9" s="1"/>
  <c r="H132" i="9"/>
  <c r="I132" i="9"/>
  <c r="M136" i="9"/>
  <c r="N136" i="9"/>
  <c r="J132" i="9" l="1"/>
  <c r="D132" i="9" s="1"/>
  <c r="K132" i="9" l="1"/>
  <c r="O132" i="9" s="1"/>
  <c r="P132" i="9" s="1"/>
  <c r="I133" i="9"/>
  <c r="H133" i="9" l="1"/>
  <c r="J133" i="9" s="1"/>
  <c r="D133" i="9" s="1"/>
  <c r="L133" i="9"/>
  <c r="N137" i="9" s="1"/>
  <c r="K133" i="9" l="1"/>
  <c r="O133" i="9" s="1"/>
  <c r="C133" i="9"/>
  <c r="M137" i="9"/>
  <c r="P133" i="9"/>
  <c r="H134" i="9" l="1"/>
  <c r="L134" i="9" l="1"/>
  <c r="C134" i="9" s="1"/>
  <c r="I134" i="9"/>
  <c r="J134" i="9" l="1"/>
  <c r="D134" i="9" s="1"/>
  <c r="N138" i="9"/>
  <c r="M138" i="9"/>
  <c r="K134" i="9" l="1"/>
  <c r="O134" i="9" s="1"/>
  <c r="P134" i="9"/>
  <c r="L135" i="9" l="1"/>
  <c r="M139" i="9" s="1"/>
  <c r="H135" i="9"/>
  <c r="I135" i="9"/>
  <c r="C135" i="9" l="1"/>
  <c r="N139" i="9"/>
  <c r="J135" i="9"/>
  <c r="D135" i="9" s="1"/>
  <c r="K135" i="9" l="1"/>
  <c r="O135" i="9" s="1"/>
  <c r="P135" i="9" s="1"/>
  <c r="H136" i="9"/>
  <c r="I136" i="9" l="1"/>
  <c r="L136" i="9"/>
  <c r="J136" i="9" l="1"/>
  <c r="D136" i="9" s="1"/>
  <c r="N140" i="9"/>
  <c r="M140" i="9"/>
  <c r="C136" i="9"/>
  <c r="K136" i="9" l="1"/>
  <c r="O136" i="9" s="1"/>
  <c r="P136" i="9"/>
  <c r="H137" i="9" l="1"/>
  <c r="I137" i="9"/>
  <c r="L137" i="9"/>
  <c r="J137" i="9" l="1"/>
  <c r="D137" i="9" s="1"/>
  <c r="M141" i="9"/>
  <c r="C137" i="9"/>
  <c r="N141" i="9"/>
  <c r="K137" i="9" l="1"/>
  <c r="O137" i="9" s="1"/>
  <c r="P137" i="9" s="1"/>
  <c r="I138" i="9"/>
  <c r="L138" i="9"/>
  <c r="H138" i="9" l="1"/>
  <c r="J138" i="9" s="1"/>
  <c r="D138" i="9" s="1"/>
  <c r="N142" i="9"/>
  <c r="M142" i="9"/>
  <c r="C138" i="9"/>
  <c r="K138" i="9" l="1"/>
  <c r="O138" i="9" s="1"/>
  <c r="P138" i="9"/>
  <c r="H139" i="9" l="1"/>
  <c r="L139" i="9"/>
  <c r="I139" i="9"/>
  <c r="J139" i="9" l="1"/>
  <c r="D139" i="9" s="1"/>
  <c r="N143" i="9"/>
  <c r="M143" i="9"/>
  <c r="C139" i="9"/>
  <c r="K139" i="9" l="1"/>
  <c r="O139" i="9" s="1"/>
  <c r="P139" i="9" s="1"/>
  <c r="I140" i="9"/>
  <c r="H140" i="9" l="1"/>
  <c r="J140" i="9" s="1"/>
  <c r="D140" i="9" s="1"/>
  <c r="L140" i="9"/>
  <c r="K140" i="9" l="1"/>
  <c r="O140" i="9" s="1"/>
  <c r="C140" i="9"/>
  <c r="N144" i="9"/>
  <c r="M144" i="9"/>
  <c r="P140" i="9" l="1"/>
  <c r="H141" i="9" l="1"/>
  <c r="L141" i="9"/>
  <c r="I141" i="9"/>
  <c r="J141" i="9" l="1"/>
  <c r="D141" i="9" s="1"/>
  <c r="N145" i="9"/>
  <c r="M145" i="9"/>
  <c r="C141" i="9"/>
  <c r="K141" i="9" l="1"/>
  <c r="O141" i="9" s="1"/>
  <c r="P141" i="9"/>
  <c r="I142" i="9" l="1"/>
  <c r="L142" i="9"/>
  <c r="C142" i="9" s="1"/>
  <c r="H142" i="9"/>
  <c r="J142" i="9" s="1"/>
  <c r="D142" i="9" s="1"/>
  <c r="K142" i="9" l="1"/>
  <c r="O142" i="9"/>
  <c r="H143" i="9"/>
  <c r="M146" i="9"/>
  <c r="N146" i="9"/>
  <c r="L143" i="9"/>
  <c r="M147" i="9" s="1"/>
  <c r="I143" i="9" l="1"/>
  <c r="P142" i="9"/>
  <c r="C143" i="9"/>
  <c r="N147" i="9"/>
  <c r="J143" i="9" l="1"/>
  <c r="D143" i="9"/>
  <c r="L144" i="9"/>
  <c r="H144" i="9"/>
  <c r="I144" i="9"/>
  <c r="C144" i="9"/>
  <c r="M148" i="9"/>
  <c r="N148" i="9"/>
  <c r="K143" i="9" l="1"/>
  <c r="O143" i="9" s="1"/>
  <c r="P143" i="9" s="1"/>
  <c r="J144" i="9"/>
  <c r="D144" i="9" s="1"/>
  <c r="K144" i="9" l="1"/>
  <c r="O144" i="9" s="1"/>
  <c r="P144" i="9"/>
  <c r="H145" i="9"/>
  <c r="L145" i="9" l="1"/>
  <c r="I145" i="9"/>
  <c r="J145" i="9" l="1"/>
  <c r="D145" i="9" s="1"/>
  <c r="M149" i="9"/>
  <c r="N149" i="9"/>
  <c r="C145" i="9"/>
  <c r="K145" i="9" l="1"/>
  <c r="O145" i="9" s="1"/>
  <c r="P145" i="9"/>
  <c r="H146" i="9" l="1"/>
  <c r="L146" i="9"/>
  <c r="I146" i="9"/>
  <c r="J146" i="9" l="1"/>
  <c r="D146" i="9" s="1"/>
  <c r="N150" i="9"/>
  <c r="C146" i="9"/>
  <c r="M150" i="9"/>
  <c r="K146" i="9" l="1"/>
  <c r="O146" i="9" s="1"/>
  <c r="P146" i="9" s="1"/>
  <c r="H147" i="9"/>
  <c r="I147" i="9"/>
  <c r="L147" i="9"/>
  <c r="C147" i="9" s="1"/>
  <c r="J147" i="9" l="1"/>
  <c r="N151" i="9"/>
  <c r="M151" i="9"/>
  <c r="D147" i="9" l="1"/>
  <c r="H148" i="9"/>
  <c r="I148" i="9"/>
  <c r="L148" i="9"/>
  <c r="N152" i="9" s="1"/>
  <c r="K147" i="9" l="1"/>
  <c r="O147" i="9" s="1"/>
  <c r="P147" i="9" s="1"/>
  <c r="J148" i="9"/>
  <c r="D148" i="9" s="1"/>
  <c r="M152" i="9"/>
  <c r="C148" i="9"/>
  <c r="K148" i="9" l="1"/>
  <c r="O148" i="9" s="1"/>
  <c r="P148" i="9"/>
  <c r="H149" i="9"/>
  <c r="L149" i="9" l="1"/>
  <c r="C149" i="9" s="1"/>
  <c r="I149" i="9"/>
  <c r="J149" i="9" l="1"/>
  <c r="D149" i="9" s="1"/>
  <c r="M153" i="9"/>
  <c r="N153" i="9"/>
  <c r="K149" i="9" l="1"/>
  <c r="O149" i="9" s="1"/>
  <c r="P149" i="9"/>
  <c r="H150" i="9" l="1"/>
  <c r="I150" i="9" l="1"/>
  <c r="L150" i="9"/>
  <c r="J150" i="9" l="1"/>
  <c r="D150" i="9" s="1"/>
  <c r="M154" i="9"/>
  <c r="N154" i="9"/>
  <c r="C150" i="9"/>
  <c r="K150" i="9" l="1"/>
  <c r="O150" i="9" s="1"/>
  <c r="P150" i="9" s="1"/>
  <c r="H151" i="9"/>
  <c r="L151" i="9" l="1"/>
  <c r="C151" i="9" s="1"/>
  <c r="I151" i="9"/>
  <c r="J151" i="9" l="1"/>
  <c r="D151" i="9" s="1"/>
  <c r="N155" i="9"/>
  <c r="M155" i="9"/>
  <c r="K151" i="9" l="1"/>
  <c r="O151" i="9" s="1"/>
  <c r="P151" i="9" s="1"/>
  <c r="H152" i="9" l="1"/>
  <c r="I152" i="9" l="1"/>
  <c r="L152" i="9"/>
  <c r="J152" i="9" l="1"/>
  <c r="D152" i="9" s="1"/>
  <c r="N156" i="9"/>
  <c r="M156" i="9"/>
  <c r="C152" i="9"/>
  <c r="P152" i="9" l="1"/>
  <c r="K152" i="9"/>
  <c r="O152" i="9" s="1"/>
  <c r="H153" i="9"/>
  <c r="L153" i="9" l="1"/>
  <c r="C153" i="9" s="1"/>
  <c r="I153" i="9"/>
  <c r="J153" i="9" l="1"/>
  <c r="D153" i="9" s="1"/>
  <c r="M157" i="9"/>
  <c r="N157" i="9"/>
  <c r="K153" i="9" l="1"/>
  <c r="O153" i="9" s="1"/>
  <c r="P153" i="9" s="1"/>
  <c r="H154" i="9"/>
  <c r="L154" i="9" l="1"/>
  <c r="C154" i="9" s="1"/>
  <c r="I154" i="9"/>
  <c r="J154" i="9" l="1"/>
  <c r="D154" i="9" s="1"/>
  <c r="N158" i="9"/>
  <c r="M158" i="9"/>
  <c r="K154" i="9" l="1"/>
  <c r="O154" i="9" s="1"/>
  <c r="P154" i="9" s="1"/>
  <c r="H155" i="9" l="1"/>
  <c r="I155" i="9" l="1"/>
  <c r="L155" i="9"/>
  <c r="J155" i="9" l="1"/>
  <c r="D155" i="9" s="1"/>
  <c r="C155" i="9"/>
  <c r="N159" i="9"/>
  <c r="M159" i="9"/>
  <c r="K155" i="9" l="1"/>
  <c r="O155" i="9" s="1"/>
  <c r="P155" i="9" s="1"/>
  <c r="L156" i="9"/>
  <c r="N160" i="9" s="1"/>
  <c r="H156" i="9"/>
  <c r="J156" i="9" s="1"/>
  <c r="D156" i="9" s="1"/>
  <c r="I156" i="9"/>
  <c r="C156" i="9"/>
  <c r="M160" i="9" l="1"/>
  <c r="K156" i="9"/>
  <c r="O156" i="9" s="1"/>
  <c r="P156" i="9" s="1"/>
  <c r="H157" i="9" l="1"/>
  <c r="I157" i="9"/>
  <c r="L157" i="9"/>
  <c r="N161" i="9" s="1"/>
  <c r="J157" i="9" l="1"/>
  <c r="D157" i="9" s="1"/>
  <c r="C157" i="9"/>
  <c r="M161" i="9"/>
  <c r="K157" i="9" l="1"/>
  <c r="O157" i="9" s="1"/>
  <c r="P157" i="9"/>
  <c r="H158" i="9"/>
  <c r="L158" i="9" l="1"/>
  <c r="I158" i="9"/>
  <c r="J158" i="9" l="1"/>
  <c r="D158" i="9" s="1"/>
  <c r="C158" i="9"/>
  <c r="N162" i="9"/>
  <c r="M162" i="9"/>
  <c r="K158" i="9" l="1"/>
  <c r="O158" i="9" s="1"/>
  <c r="P158" i="9"/>
  <c r="H159" i="9" l="1"/>
  <c r="L159" i="9" l="1"/>
  <c r="I159" i="9"/>
  <c r="J159" i="9" l="1"/>
  <c r="D159" i="9" s="1"/>
  <c r="M163" i="9"/>
  <c r="N163" i="9"/>
  <c r="C159" i="9"/>
  <c r="K159" i="9" l="1"/>
  <c r="O159" i="9" s="1"/>
  <c r="P159" i="9" s="1"/>
  <c r="H160" i="9" l="1"/>
  <c r="L160" i="9"/>
  <c r="I160" i="9" l="1"/>
  <c r="M164" i="9"/>
  <c r="N164" i="9"/>
  <c r="C160" i="9"/>
  <c r="J160" i="9" l="1"/>
  <c r="D160" i="9" s="1"/>
  <c r="H161" i="9"/>
  <c r="K160" i="9" l="1"/>
  <c r="O160" i="9" s="1"/>
  <c r="P160" i="9" s="1"/>
  <c r="I161" i="9"/>
  <c r="L161" i="9"/>
  <c r="J161" i="9" l="1"/>
  <c r="D161" i="9" s="1"/>
  <c r="M165" i="9"/>
  <c r="N165" i="9"/>
  <c r="C161" i="9"/>
  <c r="K161" i="9" l="1"/>
  <c r="O161" i="9" s="1"/>
  <c r="P161" i="9"/>
  <c r="H162" i="9" l="1"/>
  <c r="I162" i="9" l="1"/>
  <c r="L162" i="9"/>
  <c r="J162" i="9" l="1"/>
  <c r="D162" i="9" s="1"/>
  <c r="M166" i="9"/>
  <c r="N166" i="9"/>
  <c r="C162" i="9"/>
  <c r="K162" i="9" l="1"/>
  <c r="O162" i="9" s="1"/>
  <c r="P162" i="9" s="1"/>
  <c r="H163" i="9" l="1"/>
  <c r="L163" i="9" l="1"/>
  <c r="I163" i="9"/>
  <c r="J163" i="9" l="1"/>
  <c r="D163" i="9" s="1"/>
  <c r="C163" i="9"/>
  <c r="N167" i="9"/>
  <c r="M167" i="9"/>
  <c r="K163" i="9" l="1"/>
  <c r="O163" i="9" s="1"/>
  <c r="P163" i="9"/>
  <c r="H164" i="9" l="1"/>
  <c r="L164" i="9" l="1"/>
  <c r="I164" i="9"/>
  <c r="J164" i="9" l="1"/>
  <c r="D164" i="9" s="1"/>
  <c r="C164" i="9"/>
  <c r="M168" i="9"/>
  <c r="N168" i="9"/>
  <c r="K164" i="9" l="1"/>
  <c r="O164" i="9" s="1"/>
  <c r="P164" i="9" s="1"/>
  <c r="H165" i="9" l="1"/>
  <c r="L165" i="9" l="1"/>
  <c r="I165" i="9"/>
  <c r="J165" i="9" l="1"/>
  <c r="D165" i="9" s="1"/>
  <c r="C165" i="9"/>
  <c r="N169" i="9"/>
  <c r="M169" i="9"/>
  <c r="K165" i="9" l="1"/>
  <c r="O165" i="9" s="1"/>
  <c r="P165" i="9"/>
  <c r="I166" i="9" l="1"/>
  <c r="L166" i="9" l="1"/>
  <c r="H166" i="9"/>
  <c r="J166" i="9" s="1"/>
  <c r="D166" i="9" s="1"/>
  <c r="K166" i="9" l="1"/>
  <c r="O166" i="9" s="1"/>
  <c r="M170" i="9"/>
  <c r="N170" i="9"/>
  <c r="C166" i="9"/>
  <c r="P166" i="9" s="1"/>
  <c r="L167" i="9" l="1"/>
  <c r="C167" i="9" s="1"/>
  <c r="H167" i="9"/>
  <c r="I167" i="9"/>
  <c r="M171" i="9" l="1"/>
  <c r="N171" i="9"/>
  <c r="J167" i="9"/>
  <c r="D167" i="9" l="1"/>
  <c r="H168" i="9"/>
  <c r="K167" i="9" l="1"/>
  <c r="O167" i="9" s="1"/>
  <c r="P167" i="9" s="1"/>
  <c r="I168" i="9"/>
  <c r="L168" i="9"/>
  <c r="M172" i="9" s="1"/>
  <c r="J168" i="9" l="1"/>
  <c r="D168" i="9" s="1"/>
  <c r="C168" i="9"/>
  <c r="N172" i="9"/>
  <c r="K168" i="9" l="1"/>
  <c r="O168" i="9" s="1"/>
  <c r="P168" i="9" s="1"/>
  <c r="L169" i="9" l="1"/>
  <c r="I169" i="9"/>
  <c r="H169" i="9"/>
  <c r="J169" i="9" l="1"/>
  <c r="D169" i="9" s="1"/>
  <c r="C169" i="9"/>
  <c r="N173" i="9"/>
  <c r="M173" i="9"/>
  <c r="K169" i="9" l="1"/>
  <c r="O169" i="9" s="1"/>
  <c r="P169" i="9" s="1"/>
  <c r="H170" i="9" l="1"/>
  <c r="L170" i="9"/>
  <c r="C170" i="9" s="1"/>
  <c r="I170" i="9"/>
  <c r="J170" i="9" l="1"/>
  <c r="D170" i="9" s="1"/>
  <c r="N174" i="9"/>
  <c r="M174" i="9"/>
  <c r="K170" i="9" l="1"/>
  <c r="O170" i="9" s="1"/>
  <c r="P170" i="9" s="1"/>
  <c r="I171" i="9"/>
  <c r="L171" i="9"/>
  <c r="N175" i="9" s="1"/>
  <c r="H171" i="9" l="1"/>
  <c r="J171" i="9" s="1"/>
  <c r="D171" i="9" s="1"/>
  <c r="C171" i="9"/>
  <c r="M175" i="9"/>
  <c r="K171" i="9" l="1"/>
  <c r="O171" i="9" s="1"/>
  <c r="P171" i="9" s="1"/>
  <c r="L172" i="9" l="1"/>
  <c r="M176" i="9" s="1"/>
  <c r="H172" i="9"/>
  <c r="I172" i="9"/>
  <c r="J172" i="9" l="1"/>
  <c r="D172" i="9" s="1"/>
  <c r="C172" i="9"/>
  <c r="N176" i="9"/>
  <c r="K172" i="9" l="1"/>
  <c r="O172" i="9" s="1"/>
  <c r="P172" i="9" s="1"/>
  <c r="H173" i="9"/>
  <c r="L173" i="9" l="1"/>
  <c r="I173" i="9"/>
  <c r="J173" i="9" l="1"/>
  <c r="D173" i="9" s="1"/>
  <c r="N177" i="9"/>
  <c r="M177" i="9"/>
  <c r="C173" i="9"/>
  <c r="K173" i="9" l="1"/>
  <c r="O173" i="9" s="1"/>
  <c r="P173" i="9" s="1"/>
  <c r="H174" i="9" l="1"/>
  <c r="I174" i="9"/>
  <c r="L174" i="9"/>
  <c r="J174" i="9" l="1"/>
  <c r="D174" i="9" s="1"/>
  <c r="C174" i="9"/>
  <c r="N178" i="9"/>
  <c r="M178" i="9"/>
  <c r="K174" i="9" l="1"/>
  <c r="O174" i="9" s="1"/>
  <c r="P174" i="9" s="1"/>
  <c r="I175" i="9"/>
  <c r="H175" i="9"/>
  <c r="J175" i="9" s="1"/>
  <c r="D175" i="9" s="1"/>
  <c r="L175" i="9"/>
  <c r="M179" i="9" s="1"/>
  <c r="K175" i="9" l="1"/>
  <c r="O175" i="9" s="1"/>
  <c r="C175" i="9"/>
  <c r="N179" i="9"/>
  <c r="P175" i="9" l="1"/>
  <c r="I176" i="9"/>
  <c r="H176" i="9"/>
  <c r="J176" i="9" s="1"/>
  <c r="D176" i="9" s="1"/>
  <c r="L176" i="9"/>
  <c r="C176" i="9" s="1"/>
  <c r="K176" i="9" l="1"/>
  <c r="O176" i="9" s="1"/>
  <c r="P176" i="9" s="1"/>
  <c r="M180" i="9"/>
  <c r="N180" i="9"/>
  <c r="H177" i="9" l="1"/>
  <c r="I177" i="9" l="1"/>
  <c r="L177" i="9"/>
  <c r="J177" i="9" l="1"/>
  <c r="D177" i="9" s="1"/>
  <c r="M181" i="9"/>
  <c r="N181" i="9"/>
  <c r="C177" i="9"/>
  <c r="K177" i="9" l="1"/>
  <c r="O177" i="9" s="1"/>
  <c r="P177" i="9" s="1"/>
  <c r="H178" i="9" l="1"/>
  <c r="L178" i="9" l="1"/>
  <c r="I178" i="9"/>
  <c r="J178" i="9" l="1"/>
  <c r="D178" i="9" s="1"/>
  <c r="C178" i="9"/>
  <c r="N182" i="9"/>
  <c r="M182" i="9"/>
  <c r="K178" i="9" l="1"/>
  <c r="O178" i="9" s="1"/>
  <c r="P178" i="9" s="1"/>
  <c r="H179" i="9" l="1"/>
  <c r="L179" i="9"/>
  <c r="C179" i="9" s="1"/>
  <c r="I179" i="9"/>
  <c r="J179" i="9" l="1"/>
  <c r="M183" i="9"/>
  <c r="N183" i="9"/>
  <c r="D179" i="9" l="1"/>
  <c r="L180" i="9"/>
  <c r="K179" i="9" l="1"/>
  <c r="O179" i="9" s="1"/>
  <c r="P179" i="9" s="1"/>
  <c r="H180" i="9"/>
  <c r="I180" i="9"/>
  <c r="M184" i="9"/>
  <c r="N184" i="9"/>
  <c r="C180" i="9"/>
  <c r="J180" i="9" l="1"/>
  <c r="D180" i="9" s="1"/>
  <c r="K180" i="9" l="1"/>
  <c r="O180" i="9" s="1"/>
  <c r="P180" i="9" s="1"/>
  <c r="H181" i="9"/>
  <c r="I181" i="9" l="1"/>
  <c r="L181" i="9"/>
  <c r="N185" i="9" s="1"/>
  <c r="J181" i="9" l="1"/>
  <c r="D181" i="9" s="1"/>
  <c r="C181" i="9"/>
  <c r="M185" i="9"/>
  <c r="K181" i="9" l="1"/>
  <c r="O181" i="9" s="1"/>
  <c r="P181" i="9" s="1"/>
  <c r="H182" i="9"/>
  <c r="L182" i="9" l="1"/>
  <c r="M186" i="9" s="1"/>
  <c r="I182" i="9"/>
  <c r="C182" i="9"/>
  <c r="N186" i="9" l="1"/>
  <c r="J182" i="9"/>
  <c r="D182" i="9" s="1"/>
  <c r="K182" i="9" l="1"/>
  <c r="O182" i="9" s="1"/>
  <c r="P182" i="9" s="1"/>
  <c r="H183" i="9"/>
  <c r="I183" i="9" l="1"/>
  <c r="L183" i="9"/>
  <c r="C183" i="9" s="1"/>
  <c r="J183" i="9" l="1"/>
  <c r="D183" i="9" s="1"/>
  <c r="N187" i="9"/>
  <c r="M187" i="9"/>
  <c r="K183" i="9" l="1"/>
  <c r="O183" i="9" s="1"/>
  <c r="P183" i="9" s="1"/>
  <c r="H184" i="9" l="1"/>
  <c r="L184" i="9" l="1"/>
  <c r="I184" i="9"/>
  <c r="J184" i="9" l="1"/>
  <c r="D184" i="9" s="1"/>
  <c r="C184" i="9"/>
  <c r="N188" i="9"/>
  <c r="M188" i="9"/>
  <c r="K184" i="9" l="1"/>
  <c r="O184" i="9" s="1"/>
  <c r="P184" i="9" s="1"/>
  <c r="H185" i="9" l="1"/>
  <c r="L185" i="9" l="1"/>
  <c r="I185" i="9"/>
  <c r="J185" i="9" l="1"/>
  <c r="D185" i="9" s="1"/>
  <c r="C185" i="9"/>
  <c r="N189" i="9"/>
  <c r="M189" i="9"/>
  <c r="K185" i="9" l="1"/>
  <c r="O185" i="9" s="1"/>
  <c r="P185" i="9" s="1"/>
  <c r="H186" i="9" l="1"/>
  <c r="L186" i="9" l="1"/>
  <c r="I186" i="9"/>
  <c r="J186" i="9" l="1"/>
  <c r="D186" i="9" s="1"/>
  <c r="N190" i="9"/>
  <c r="M190" i="9"/>
  <c r="C186" i="9"/>
  <c r="K186" i="9" l="1"/>
  <c r="O186" i="9" s="1"/>
  <c r="P186" i="9"/>
  <c r="L187" i="9" l="1"/>
  <c r="N191" i="9" s="1"/>
  <c r="H187" i="9"/>
  <c r="I187" i="9"/>
  <c r="M191" i="9"/>
  <c r="C187" i="9"/>
  <c r="J187" i="9" l="1"/>
  <c r="D187" i="9" s="1"/>
  <c r="K187" i="9" l="1"/>
  <c r="O187" i="9" s="1"/>
  <c r="P187" i="9" s="1"/>
  <c r="H188" i="9"/>
  <c r="L188" i="9"/>
  <c r="I188" i="9" l="1"/>
  <c r="C188" i="9"/>
  <c r="N192" i="9"/>
  <c r="M192" i="9"/>
  <c r="J188" i="9" l="1"/>
  <c r="D188" i="9" s="1"/>
  <c r="K188" i="9" l="1"/>
  <c r="O188" i="9" s="1"/>
  <c r="P188" i="9" s="1"/>
  <c r="H189" i="9"/>
  <c r="I189" i="9"/>
  <c r="L189" i="9"/>
  <c r="C189" i="9" s="1"/>
  <c r="J189" i="9" l="1"/>
  <c r="D189" i="9" s="1"/>
  <c r="M193" i="9"/>
  <c r="N193" i="9"/>
  <c r="K189" i="9" l="1"/>
  <c r="O189" i="9" s="1"/>
  <c r="P189" i="9" s="1"/>
  <c r="H190" i="9" l="1"/>
  <c r="I190" i="9" l="1"/>
  <c r="L190" i="9"/>
  <c r="J190" i="9" l="1"/>
  <c r="D190" i="9" s="1"/>
  <c r="N194" i="9"/>
  <c r="M194" i="9"/>
  <c r="C190" i="9"/>
  <c r="K190" i="9" l="1"/>
  <c r="O190" i="9" s="1"/>
  <c r="P190" i="9" s="1"/>
  <c r="L191" i="9" l="1"/>
  <c r="C191" i="9" s="1"/>
  <c r="H191" i="9"/>
  <c r="I191" i="9"/>
  <c r="J191" i="9" l="1"/>
  <c r="N195" i="9"/>
  <c r="M195" i="9"/>
  <c r="D191" i="9" l="1"/>
  <c r="I192" i="9"/>
  <c r="H192" i="9"/>
  <c r="J192" i="9" s="1"/>
  <c r="L192" i="9"/>
  <c r="M196" i="9" s="1"/>
  <c r="K191" i="9" l="1"/>
  <c r="O191" i="9" s="1"/>
  <c r="P191" i="9" s="1"/>
  <c r="D192" i="9"/>
  <c r="C192" i="9"/>
  <c r="N196" i="9"/>
  <c r="K192" i="9" l="1"/>
  <c r="O192" i="9" s="1"/>
  <c r="P192" i="9" s="1"/>
  <c r="H193" i="9" l="1"/>
  <c r="I193" i="9" l="1"/>
  <c r="L193" i="9"/>
  <c r="C193" i="9" s="1"/>
  <c r="J193" i="9" l="1"/>
  <c r="D193" i="9" s="1"/>
  <c r="M197" i="9"/>
  <c r="N197" i="9"/>
  <c r="K193" i="9" l="1"/>
  <c r="O193" i="9" s="1"/>
  <c r="P193" i="9" s="1"/>
  <c r="L194" i="9"/>
  <c r="H194" i="9"/>
  <c r="I194" i="9"/>
  <c r="N198" i="9"/>
  <c r="M198" i="9"/>
  <c r="C194" i="9"/>
  <c r="J194" i="9" l="1"/>
  <c r="D194" i="9" s="1"/>
  <c r="K194" i="9" l="1"/>
  <c r="O194" i="9" s="1"/>
  <c r="P194" i="9" s="1"/>
  <c r="H195" i="9"/>
  <c r="L195" i="9" l="1"/>
  <c r="C195" i="9" s="1"/>
  <c r="I195" i="9"/>
  <c r="J195" i="9" l="1"/>
  <c r="D195" i="9" s="1"/>
  <c r="N199" i="9"/>
  <c r="M199" i="9"/>
  <c r="K195" i="9" l="1"/>
  <c r="O195" i="9" s="1"/>
  <c r="P195" i="9" s="1"/>
  <c r="H196" i="9"/>
  <c r="I196" i="9" l="1"/>
  <c r="L196" i="9"/>
  <c r="J196" i="9" l="1"/>
  <c r="D196" i="9" s="1"/>
  <c r="N200" i="9"/>
  <c r="M200" i="9"/>
  <c r="C196" i="9"/>
  <c r="K196" i="9" l="1"/>
  <c r="O196" i="9" s="1"/>
  <c r="P196" i="9" s="1"/>
  <c r="H197" i="9" l="1"/>
  <c r="I197" i="9" l="1"/>
  <c r="L197" i="9"/>
  <c r="J197" i="9" l="1"/>
  <c r="D197" i="9" s="1"/>
  <c r="M201" i="9"/>
  <c r="N201" i="9"/>
  <c r="C197" i="9"/>
  <c r="K197" i="9" l="1"/>
  <c r="O197" i="9" s="1"/>
  <c r="P197" i="9" s="1"/>
  <c r="H198" i="9" l="1"/>
  <c r="I198" i="9"/>
  <c r="L198" i="9"/>
  <c r="M202" i="9" s="1"/>
  <c r="J198" i="9" l="1"/>
  <c r="D198" i="9" s="1"/>
  <c r="C198" i="9"/>
  <c r="N202" i="9"/>
  <c r="K198" i="9" l="1"/>
  <c r="O198" i="9" s="1"/>
  <c r="P198" i="9" s="1"/>
  <c r="H199" i="9"/>
  <c r="L199" i="9" l="1"/>
  <c r="I199" i="9"/>
  <c r="J199" i="9" l="1"/>
  <c r="D199" i="9" s="1"/>
  <c r="N203" i="9"/>
  <c r="M203" i="9"/>
  <c r="C199" i="9"/>
  <c r="K199" i="9" l="1"/>
  <c r="O199" i="9" s="1"/>
  <c r="P199" i="9" s="1"/>
  <c r="L200" i="9" l="1"/>
  <c r="H200" i="9"/>
  <c r="I200" i="9"/>
  <c r="M204" i="9"/>
  <c r="N204" i="9"/>
  <c r="C200" i="9"/>
  <c r="J200" i="9" l="1"/>
  <c r="D200" i="9" s="1"/>
  <c r="K200" i="9" l="1"/>
  <c r="O200" i="9" s="1"/>
  <c r="P200" i="9" s="1"/>
  <c r="L201" i="9"/>
  <c r="N205" i="9" s="1"/>
  <c r="H201" i="9"/>
  <c r="I201" i="9"/>
  <c r="C201" i="9"/>
  <c r="M205" i="9" l="1"/>
  <c r="J201" i="9"/>
  <c r="D201" i="9" s="1"/>
  <c r="K201" i="9" l="1"/>
  <c r="O201" i="9" s="1"/>
  <c r="P201" i="9" s="1"/>
  <c r="I202" i="9"/>
  <c r="H202" i="9"/>
  <c r="J202" i="9" s="1"/>
  <c r="D202" i="9" s="1"/>
  <c r="L202" i="9"/>
  <c r="C202" i="9" s="1"/>
  <c r="K202" i="9" l="1"/>
  <c r="O202" i="9" s="1"/>
  <c r="P202" i="9" s="1"/>
  <c r="M206" i="9"/>
  <c r="N206" i="9"/>
  <c r="H203" i="9" l="1"/>
  <c r="L203" i="9" l="1"/>
  <c r="M207" i="9" s="1"/>
  <c r="I203" i="9"/>
  <c r="N207" i="9"/>
  <c r="C203" i="9"/>
  <c r="J203" i="9" l="1"/>
  <c r="D203" i="9" s="1"/>
  <c r="K203" i="9" l="1"/>
  <c r="O203" i="9" s="1"/>
  <c r="P203" i="9" s="1"/>
  <c r="H204" i="9"/>
  <c r="I204" i="9" l="1"/>
  <c r="L204" i="9"/>
  <c r="J204" i="9" l="1"/>
  <c r="D204" i="9" s="1"/>
  <c r="M208" i="9"/>
  <c r="N208" i="9"/>
  <c r="C204" i="9"/>
  <c r="K204" i="9" l="1"/>
  <c r="O204" i="9" s="1"/>
  <c r="P204" i="9" s="1"/>
  <c r="L205" i="9" l="1"/>
  <c r="C205" i="9" s="1"/>
  <c r="H205" i="9"/>
  <c r="I205" i="9"/>
  <c r="J205" i="9" l="1"/>
  <c r="D205" i="9" s="1"/>
  <c r="M209" i="9"/>
  <c r="N209" i="9"/>
  <c r="K205" i="9" l="1"/>
  <c r="O205" i="9" s="1"/>
  <c r="P205" i="9" s="1"/>
  <c r="H206" i="9"/>
  <c r="L206" i="9" l="1"/>
  <c r="I206" i="9"/>
  <c r="J206" i="9" l="1"/>
  <c r="D206" i="9" s="1"/>
  <c r="M210" i="9"/>
  <c r="N210" i="9"/>
  <c r="C206" i="9"/>
  <c r="K206" i="9" l="1"/>
  <c r="O206" i="9" s="1"/>
  <c r="P206" i="9" s="1"/>
  <c r="L207" i="9" l="1"/>
  <c r="C207" i="9" s="1"/>
  <c r="H207" i="9"/>
  <c r="I207" i="9"/>
  <c r="M211" i="9" l="1"/>
  <c r="N211" i="9"/>
  <c r="J207" i="9"/>
  <c r="D207" i="9" s="1"/>
  <c r="K207" i="9" l="1"/>
  <c r="O207" i="9" s="1"/>
  <c r="P207" i="9" s="1"/>
  <c r="H208" i="9"/>
  <c r="I208" i="9"/>
  <c r="L208" i="9"/>
  <c r="J208" i="9" l="1"/>
  <c r="D208" i="9" s="1"/>
  <c r="N212" i="9"/>
  <c r="C208" i="9"/>
  <c r="M212" i="9"/>
  <c r="K208" i="9" l="1"/>
  <c r="O208" i="9" s="1"/>
  <c r="P208" i="9" s="1"/>
  <c r="H209" i="9"/>
  <c r="L209" i="9"/>
  <c r="C209" i="9" s="1"/>
  <c r="I209" i="9" l="1"/>
  <c r="M213" i="9"/>
  <c r="N213" i="9"/>
  <c r="J209" i="9" l="1"/>
  <c r="D209" i="9"/>
  <c r="I210" i="9"/>
  <c r="H210" i="9"/>
  <c r="L210" i="9"/>
  <c r="C210" i="9" s="1"/>
  <c r="K209" i="9" l="1"/>
  <c r="O209" i="9" s="1"/>
  <c r="P209" i="9" s="1"/>
  <c r="J210" i="9"/>
  <c r="D210" i="9" s="1"/>
  <c r="N214" i="9"/>
  <c r="M214" i="9"/>
  <c r="K210" i="9" l="1"/>
  <c r="O210" i="9" s="1"/>
  <c r="P210" i="9" s="1"/>
  <c r="H211" i="9"/>
  <c r="I211" i="9" l="1"/>
  <c r="L211" i="9"/>
  <c r="C211" i="9" s="1"/>
  <c r="J211" i="9" l="1"/>
  <c r="D211" i="9" s="1"/>
  <c r="M215" i="9"/>
  <c r="N215" i="9"/>
  <c r="K211" i="9" l="1"/>
  <c r="O211" i="9" s="1"/>
  <c r="P211" i="9" s="1"/>
  <c r="H212" i="9" l="1"/>
  <c r="L212" i="9" l="1"/>
  <c r="C212" i="9" s="1"/>
  <c r="I212" i="9"/>
  <c r="J212" i="9" l="1"/>
  <c r="D212" i="9" s="1"/>
  <c r="N216" i="9"/>
  <c r="M216" i="9"/>
  <c r="K212" i="9" l="1"/>
  <c r="O212" i="9" s="1"/>
  <c r="P212" i="9" s="1"/>
  <c r="H213" i="9" l="1"/>
  <c r="L213" i="9" l="1"/>
  <c r="I213" i="9"/>
  <c r="J213" i="9" l="1"/>
  <c r="D213" i="9" s="1"/>
  <c r="N217" i="9"/>
  <c r="M217" i="9"/>
  <c r="C213" i="9"/>
  <c r="K213" i="9" l="1"/>
  <c r="O213" i="9" s="1"/>
  <c r="P213" i="9" s="1"/>
  <c r="I214" i="9" l="1"/>
  <c r="H214" i="9" l="1"/>
  <c r="J214" i="9" s="1"/>
  <c r="D214" i="9" s="1"/>
  <c r="L214" i="9"/>
  <c r="K214" i="9" l="1"/>
  <c r="O214" i="9" s="1"/>
  <c r="N218" i="9"/>
  <c r="P218" i="9" s="1"/>
  <c r="C214" i="9"/>
  <c r="M218" i="9"/>
  <c r="P214" i="9"/>
  <c r="H215" i="9" l="1"/>
  <c r="L215" i="9"/>
  <c r="C215" i="9" s="1"/>
  <c r="I215" i="9"/>
  <c r="J215" i="9" l="1"/>
  <c r="D215" i="9" s="1"/>
  <c r="M219" i="9"/>
  <c r="N219" i="9"/>
  <c r="P219" i="9" s="1"/>
  <c r="K215" i="9" l="1"/>
  <c r="O215" i="9" s="1"/>
  <c r="P215" i="9" s="1"/>
  <c r="H216" i="9"/>
  <c r="L216" i="9"/>
  <c r="C216" i="9" s="1"/>
  <c r="I216" i="9"/>
  <c r="J216" i="9" l="1"/>
  <c r="D216" i="9" s="1"/>
  <c r="M220" i="9"/>
  <c r="N220" i="9"/>
  <c r="P220" i="9" s="1"/>
  <c r="J8" i="9"/>
  <c r="K216" i="9" l="1"/>
  <c r="O216" i="9" s="1"/>
  <c r="P216" i="9" s="1"/>
  <c r="L217" i="9" l="1"/>
  <c r="M221" i="9" l="1"/>
  <c r="N1" i="9" s="1"/>
  <c r="K217" i="9"/>
  <c r="O217" i="9" s="1"/>
  <c r="P217" i="9"/>
  <c r="N221" i="9"/>
  <c r="M2" i="9"/>
  <c r="P221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<sst xmlns="http://schemas.openxmlformats.org/spreadsheetml/2006/main" count="301" uniqueCount="89">
  <si>
    <t>CURRENT UPB</t>
  </si>
  <si>
    <t>OUTPUT</t>
  </si>
  <si>
    <t>REPLINE PV</t>
  </si>
  <si>
    <t>CNL</t>
  </si>
  <si>
    <t>WAC</t>
  </si>
  <si>
    <t>REPLINE PRICE</t>
  </si>
  <si>
    <t>Target CNL</t>
  </si>
  <si>
    <t>Amortization term</t>
  </si>
  <si>
    <t>POOL PV</t>
  </si>
  <si>
    <t>CDR GOAL SEEK</t>
  </si>
  <si>
    <t>months to repay</t>
  </si>
  <si>
    <t>Pool Price</t>
  </si>
  <si>
    <t xml:space="preserve"> Accrued Interest to be capitalized</t>
  </si>
  <si>
    <t>WAL</t>
  </si>
  <si>
    <t>Fixed pay</t>
  </si>
  <si>
    <t>Target Price</t>
  </si>
  <si>
    <t>Capitalize Interest</t>
  </si>
  <si>
    <t>Yield Output</t>
  </si>
  <si>
    <t>Yield</t>
  </si>
  <si>
    <t>Period</t>
  </si>
  <si>
    <t>Starting balance</t>
  </si>
  <si>
    <t>Ending balance</t>
  </si>
  <si>
    <t>Accrued Interest to be capped</t>
  </si>
  <si>
    <t>Cumulative accrued int</t>
  </si>
  <si>
    <t>Fixed Pay</t>
  </si>
  <si>
    <t>scheduled payment</t>
  </si>
  <si>
    <t>Interest</t>
  </si>
  <si>
    <t>Scheduled Prin</t>
  </si>
  <si>
    <t>Prepay Prin</t>
  </si>
  <si>
    <t>Default</t>
  </si>
  <si>
    <t>Chargeoffs</t>
  </si>
  <si>
    <t>Recoveries</t>
  </si>
  <si>
    <t>Cashflow</t>
  </si>
  <si>
    <t>PV</t>
  </si>
  <si>
    <t>CPR</t>
  </si>
  <si>
    <t>SMM</t>
  </si>
  <si>
    <t>CDR</t>
  </si>
  <si>
    <t>MDR</t>
  </si>
  <si>
    <t>n</t>
  </si>
  <si>
    <t>decrease 5 wac</t>
  </si>
  <si>
    <t>25 increase</t>
  </si>
  <si>
    <t>term weighted wac</t>
  </si>
  <si>
    <t>wac threshold by term and o fee</t>
  </si>
  <si>
    <t>wac by term</t>
  </si>
  <si>
    <t>min term weighted aggredateg</t>
  </si>
  <si>
    <t>sumproduct of wac term upb /sumpro( term + upb)</t>
  </si>
  <si>
    <t>PRICE</t>
  </si>
  <si>
    <t>JP</t>
  </si>
  <si>
    <t>Yield used</t>
  </si>
  <si>
    <t>SoFi's prior run</t>
  </si>
  <si>
    <t>TOO BIG</t>
  </si>
  <si>
    <t>Ending Performing  balance</t>
  </si>
  <si>
    <t>y</t>
  </si>
  <si>
    <t>dur X MV</t>
  </si>
  <si>
    <t>Mod Duration</t>
  </si>
  <si>
    <t>Balance</t>
  </si>
  <si>
    <t>Mkt Value</t>
  </si>
  <si>
    <t>YIELD X MV</t>
  </si>
  <si>
    <t>YID SIZE</t>
  </si>
  <si>
    <t>collat</t>
  </si>
  <si>
    <t>SNR</t>
  </si>
  <si>
    <t>sub</t>
  </si>
  <si>
    <t>PRIN</t>
  </si>
  <si>
    <t>INT</t>
  </si>
  <si>
    <t>SHIFTING INT</t>
  </si>
  <si>
    <t>PRIN PCT</t>
  </si>
  <si>
    <t>INT PCT</t>
  </si>
  <si>
    <t>CAPPED_OPTIMAL_INTPMT("SNR#1","SUBORD#1")</t>
  </si>
  <si>
    <t>=80%+SHIFT%*(1-80%)</t>
  </si>
  <si>
    <t>#SenPrep ?</t>
  </si>
  <si>
    <t>=1</t>
  </si>
  <si>
    <t>sub pct = 1-( snr bal /coll prev)</t>
  </si>
  <si>
    <t>collat bal</t>
  </si>
  <si>
    <t>snr</t>
  </si>
  <si>
    <t>sm</t>
  </si>
  <si>
    <t>1 RAMP 5 11.4136</t>
  </si>
  <si>
    <t>B/E CDR</t>
  </si>
  <si>
    <t>B/E CNL</t>
  </si>
  <si>
    <t>25C</t>
  </si>
  <si>
    <t>1 RAMP 5 11.4818</t>
  </si>
  <si>
    <t>27.5C</t>
  </si>
  <si>
    <t>Class A write down</t>
  </si>
  <si>
    <t>25 CPR</t>
  </si>
  <si>
    <t>27.5 CPR</t>
  </si>
  <si>
    <t xml:space="preserve">It would take a 11+ CDR for class A to start taking loss.  SSL is protected from the hard credit enhancement from MEZZ and RESID, and the soft CE from the ~6% excess spread </t>
  </si>
  <si>
    <t>2 cnl</t>
  </si>
  <si>
    <t>intex prepay</t>
  </si>
  <si>
    <t>sch bal ( starting bal - sche prin)</t>
  </si>
  <si>
    <t>ACT PRIN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</si>
</sst>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0.000%"/>
    <numFmt numFmtId="165" formatCode="_(* #,##0.0000_);_(* \(#,##0.0000\);_(* &quot;-&quot;??_);_(@_)"/>
    <numFmt numFmtId="166" formatCode="_(* #,##0.000_);_(* \(#,##0.000\);_(* &quot;-&quot;??_);_(@_)"/>
    <numFmt numFmtId="167" formatCode="0.00000000"/>
    <numFmt numFmtId="168" formatCode="0.000000000000000%"/>
    <numFmt numFmtId="169" formatCode="0.0%"/>
    <numFmt numFmtId="171" formatCode="0.0000%"/>
    <numFmt numFmtId="173" formatCode="_(* #,##0.00000_);_(* \(#,##0.00000\);_(* &quot;-&quot;??_);_(@_)"/>
    <numFmt numFmtId="176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b/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2" fillId="0" borderId="0" xfId="0" applyFont="1" applyAlignment="1">
      <alignment horizontal="right"/>
    </xf>
    <xf numFmtId="0" fontId="3" fillId="0" borderId="1" xfId="0" applyFont="1" applyBorder="1"/>
    <xf numFmtId="4" fontId="3" fillId="2" borderId="2" xfId="0" applyNumberFormat="1" applyFont="1" applyFill="1" applyBorder="1"/>
    <xf numFmtId="0" fontId="2" fillId="0" borderId="0" xfId="0" applyFont="1" applyAlignment="1">
      <alignment horizontal="right" indent="1"/>
    </xf>
    <xf numFmtId="9" fontId="2" fillId="0" borderId="1" xfId="0" applyNumberFormat="1" applyFont="1" applyBorder="1"/>
    <xf numFmtId="43" fontId="2" fillId="3" borderId="2" xfId="0" applyNumberFormat="1" applyFont="1" applyFill="1" applyBorder="1"/>
    <xf numFmtId="0" fontId="4" fillId="0" borderId="0" xfId="0" applyFont="1"/>
    <xf numFmtId="0" fontId="2" fillId="0" borderId="1" xfId="0" applyFont="1" applyBorder="1"/>
    <xf numFmtId="164" fontId="2" fillId="3" borderId="2" xfId="2" applyNumberFormat="1" applyFont="1" applyFill="1" applyBorder="1"/>
    <xf numFmtId="165" fontId="4" fillId="0" borderId="0" xfId="0" applyNumberFormat="1" applyFont="1"/>
    <xf numFmtId="0" fontId="2" fillId="0" borderId="0" xfId="0" applyFont="1"/>
    <xf numFmtId="0" fontId="3" fillId="0" borderId="3" xfId="0" applyFont="1" applyBorder="1"/>
    <xf numFmtId="10" fontId="3" fillId="2" borderId="4" xfId="2" applyNumberFormat="1" applyFont="1" applyFill="1" applyBorder="1"/>
    <xf numFmtId="0" fontId="2" fillId="0" borderId="0" xfId="0" applyFont="1" applyAlignment="1">
      <alignment horizontal="left" indent="1"/>
    </xf>
    <xf numFmtId="9" fontId="2" fillId="0" borderId="3" xfId="0" applyNumberFormat="1" applyFont="1" applyBorder="1"/>
    <xf numFmtId="9" fontId="2" fillId="3" borderId="4" xfId="2" applyFont="1" applyFill="1" applyBorder="1"/>
    <xf numFmtId="0" fontId="2" fillId="0" borderId="3" xfId="0" applyFont="1" applyBorder="1"/>
    <xf numFmtId="9" fontId="2" fillId="2" borderId="4" xfId="0" applyNumberFormat="1" applyFont="1" applyFill="1" applyBorder="1"/>
    <xf numFmtId="166" fontId="4" fillId="0" borderId="0" xfId="0" applyNumberFormat="1" applyFont="1"/>
    <xf numFmtId="0" fontId="3" fillId="2" borderId="4" xfId="0" applyFont="1" applyFill="1" applyBorder="1"/>
    <xf numFmtId="43" fontId="4" fillId="3" borderId="4" xfId="1" applyFont="1" applyFill="1" applyBorder="1"/>
    <xf numFmtId="9" fontId="2" fillId="3" borderId="4" xfId="0" applyNumberFormat="1" applyFont="1" applyFill="1" applyBorder="1"/>
    <xf numFmtId="10" fontId="4" fillId="3" borderId="4" xfId="2" applyNumberFormat="1" applyFont="1" applyFill="1" applyBorder="1"/>
    <xf numFmtId="0" fontId="2" fillId="0" borderId="4" xfId="0" applyFont="1" applyBorder="1"/>
    <xf numFmtId="43" fontId="3" fillId="2" borderId="4" xfId="1" applyFont="1" applyFill="1" applyBorder="1"/>
    <xf numFmtId="0" fontId="4" fillId="3" borderId="4" xfId="0" applyFont="1" applyFill="1" applyBorder="1"/>
    <xf numFmtId="9" fontId="4" fillId="3" borderId="4" xfId="0" applyNumberFormat="1" applyFont="1" applyFill="1" applyBorder="1"/>
    <xf numFmtId="0" fontId="2" fillId="2" borderId="4" xfId="0" applyFont="1" applyFill="1" applyBorder="1" applyAlignment="1">
      <alignment horizontal="right"/>
    </xf>
    <xf numFmtId="0" fontId="4" fillId="0" borderId="3" xfId="0" applyFont="1" applyBorder="1"/>
    <xf numFmtId="0" fontId="4" fillId="0" borderId="4" xfId="0" applyFont="1" applyBorder="1"/>
    <xf numFmtId="43" fontId="2" fillId="0" borderId="0" xfId="0" applyNumberFormat="1" applyFont="1"/>
    <xf numFmtId="0" fontId="2" fillId="0" borderId="5" xfId="0" applyFont="1" applyBorder="1"/>
    <xf numFmtId="10" fontId="4" fillId="2" borderId="6" xfId="0" applyNumberFormat="1" applyFont="1" applyFill="1" applyBorder="1"/>
    <xf numFmtId="43" fontId="2" fillId="0" borderId="5" xfId="0" applyNumberFormat="1" applyFont="1" applyBorder="1"/>
    <xf numFmtId="0" fontId="4" fillId="3" borderId="6" xfId="0" applyFont="1" applyFill="1" applyBorder="1"/>
    <xf numFmtId="0" fontId="4" fillId="0" borderId="5" xfId="0" applyFont="1" applyBorder="1"/>
    <xf numFmtId="0" fontId="4" fillId="0" borderId="6" xfId="0" applyFont="1" applyBorder="1"/>
    <xf numFmtId="43" fontId="4" fillId="0" borderId="0" xfId="0" applyNumberFormat="1" applyFont="1"/>
    <xf numFmtId="9" fontId="3" fillId="0" borderId="0" xfId="2" applyFont="1"/>
    <xf numFmtId="10" fontId="2" fillId="0" borderId="0" xfId="0" applyNumberFormat="1" applyFont="1"/>
    <xf numFmtId="9" fontId="2" fillId="0" borderId="0" xfId="0" applyNumberFormat="1" applyFont="1"/>
    <xf numFmtId="0" fontId="5" fillId="4" borderId="0" xfId="0" applyFont="1" applyFill="1"/>
    <xf numFmtId="0" fontId="5" fillId="4" borderId="0" xfId="0" applyFont="1" applyFill="1" applyAlignment="1">
      <alignment horizontal="right"/>
    </xf>
    <xf numFmtId="0" fontId="5" fillId="4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4" fontId="4" fillId="0" borderId="0" xfId="0" applyNumberFormat="1" applyFont="1"/>
    <xf numFmtId="4" fontId="4" fillId="0" borderId="0" xfId="0" quotePrefix="1" applyNumberFormat="1" applyFont="1"/>
    <xf numFmtId="43" fontId="4" fillId="0" borderId="0" xfId="1" applyFont="1" applyAlignment="1">
      <alignment horizontal="center"/>
    </xf>
    <xf numFmtId="43" fontId="4" fillId="0" borderId="0" xfId="1" applyFont="1"/>
    <xf numFmtId="43" fontId="4" fillId="0" borderId="0" xfId="0" applyNumberFormat="1" applyFont="1" applyAlignment="1">
      <alignment horizontal="center" vertical="top"/>
    </xf>
    <xf numFmtId="43" fontId="4" fillId="0" borderId="0" xfId="1" applyFont="1" applyFill="1"/>
    <xf numFmtId="43" fontId="4" fillId="0" borderId="0" xfId="1" quotePrefix="1" applyFont="1" applyFill="1"/>
    <xf numFmtId="10" fontId="4" fillId="0" borderId="0" xfId="0" applyNumberFormat="1" applyFont="1"/>
    <xf numFmtId="0" fontId="4" fillId="3" borderId="0" xfId="0" applyFont="1" applyFill="1" applyAlignment="1">
      <alignment horizontal="left"/>
    </xf>
    <xf numFmtId="43" fontId="4" fillId="3" borderId="0" xfId="1" applyFont="1" applyFill="1"/>
    <xf numFmtId="43" fontId="4" fillId="3" borderId="0" xfId="0" applyNumberFormat="1" applyFont="1" applyFill="1" applyAlignment="1">
      <alignment horizontal="center" vertical="top"/>
    </xf>
    <xf numFmtId="43" fontId="4" fillId="3" borderId="0" xfId="1" quotePrefix="1" applyFont="1" applyFill="1"/>
    <xf numFmtId="43" fontId="4" fillId="3" borderId="0" xfId="0" applyNumberFormat="1" applyFont="1" applyFill="1"/>
    <xf numFmtId="0" fontId="4" fillId="3" borderId="0" xfId="0" applyFont="1" applyFill="1"/>
    <xf numFmtId="4" fontId="4" fillId="3" borderId="0" xfId="0" quotePrefix="1" applyNumberFormat="1" applyFont="1" applyFill="1"/>
    <xf numFmtId="43" fontId="4" fillId="0" borderId="0" xfId="1" applyFont="1" applyFill="1" applyAlignment="1">
      <alignment horizontal="center"/>
    </xf>
    <xf numFmtId="167" fontId="4" fillId="0" borderId="0" xfId="0" applyNumberFormat="1" applyFont="1"/>
    <xf numFmtId="2" fontId="4" fillId="0" borderId="0" xfId="0" applyNumberFormat="1" applyFont="1"/>
    <xf numFmtId="164" fontId="4" fillId="0" borderId="0" xfId="2" applyNumberFormat="1" applyFont="1"/>
    <xf numFmtId="168" fontId="4" fillId="0" borderId="0" xfId="0" applyNumberFormat="1" applyFont="1"/>
    <xf numFmtId="4" fontId="0" fillId="0" borderId="0" xfId="0" applyNumberFormat="1"/>
    <xf numFmtId="43" fontId="0" fillId="0" borderId="0" xfId="1" applyFont="1"/>
    <xf numFmtId="43" fontId="0" fillId="0" borderId="0" xfId="0" applyNumberFormat="1"/>
    <xf numFmtId="10" fontId="0" fillId="0" borderId="0" xfId="2" applyNumberFormat="1" applyFont="1"/>
    <xf numFmtId="164" fontId="0" fillId="0" borderId="0" xfId="0" applyNumberFormat="1"/>
    <xf numFmtId="6" fontId="0" fillId="0" borderId="0" xfId="0" applyNumberFormat="1"/>
    <xf numFmtId="0" fontId="0" fillId="0" borderId="1" xfId="0" applyBorder="1"/>
    <xf numFmtId="0" fontId="0" fillId="0" borderId="7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3" xfId="0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6" xfId="0" applyBorder="1"/>
    <xf numFmtId="169" fontId="0" fillId="0" borderId="0" xfId="2" applyNumberFormat="1" applyFont="1"/>
    <xf numFmtId="164" fontId="4" fillId="0" borderId="0" xfId="0" applyNumberFormat="1" applyFont="1"/>
    <xf numFmtId="10" fontId="4" fillId="0" borderId="0" xfId="2" applyNumberFormat="1" applyFont="1"/>
    <xf numFmtId="171" fontId="4" fillId="0" borderId="0" xfId="0" applyNumberFormat="1" applyFont="1"/>
    <xf numFmtId="8" fontId="4" fillId="0" borderId="0" xfId="0" applyNumberFormat="1" applyFont="1"/>
    <xf numFmtId="173" fontId="4" fillId="0" borderId="0" xfId="0" applyNumberFormat="1" applyFont="1"/>
    <xf numFmtId="176" fontId="4" fillId="0" borderId="0" xfId="2" applyNumberFormat="1" applyFont="1"/>
    <xf numFmtId="0" fontId="2" fillId="0" borderId="0" xfId="0" applyFont="1" applyBorder="1"/>
    <xf numFmtId="10" fontId="4" fillId="2" borderId="0" xfId="0" applyNumberFormat="1" applyFont="1" applyFill="1" applyBorder="1"/>
    <xf numFmtId="43" fontId="2" fillId="0" borderId="0" xfId="0" applyNumberFormat="1" applyFont="1" applyBorder="1"/>
    <xf numFmtId="0" fontId="4" fillId="3" borderId="0" xfId="0" applyFont="1" applyFill="1" applyBorder="1"/>
    <xf numFmtId="0" fontId="4" fillId="0" borderId="0" xfId="0" applyFont="1" applyBorder="1"/>
    <xf numFmtId="43" fontId="4" fillId="2" borderId="0" xfId="1" applyFont="1" applyFill="1" applyBorder="1"/>
    <xf numFmtId="167" fontId="4" fillId="3" borderId="0" xfId="0" applyNumberFormat="1" applyFont="1" applyFill="1"/>
    <xf numFmtId="43" fontId="4" fillId="3" borderId="0" xfId="1" applyFont="1" applyFill="1" applyAlignment="1">
      <alignment horizontal="center"/>
    </xf>
    <xf numFmtId="10" fontId="4" fillId="3" borderId="0" xfId="0" applyNumberFormat="1" applyFont="1" applyFill="1"/>
    <xf numFmtId="171" fontId="4" fillId="3" borderId="0" xfId="0" applyNumberFormat="1" applyFont="1" applyFill="1"/>
    <xf numFmtId="4" fontId="4" fillId="3" borderId="0" xfId="0" applyNumberFormat="1" applyFont="1" applyFill="1"/>
    <xf numFmtId="0" fontId="0" fillId="0" borderId="0" xfId="0" quotePrefix="1"/>
    <xf numFmtId="10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7" fillId="0" borderId="3" xfId="0" applyFont="1" applyBorder="1"/>
    <xf numFmtId="0" fontId="8" fillId="0" borderId="3" xfId="0" applyFont="1" applyBorder="1"/>
    <xf numFmtId="43" fontId="4" fillId="0" borderId="0" xfId="0" applyNumberFormat="1" applyFont="1" applyBorder="1"/>
    <xf numFmtId="43" fontId="2" fillId="5" borderId="0" xfId="0" applyNumberFormat="1" applyFont="1" applyFill="1"/>
    <xf numFmtId="43" fontId="4" fillId="5" borderId="0" xfId="0" applyNumberFormat="1" applyFont="1" applyFill="1"/>
    <xf numFmtId="8" fontId="4" fillId="3" borderId="0" xfId="0" applyNumberFormat="1" applyFont="1" applyFill="1" applyBorder="1"/>
    <xf numFmtId="167" fontId="4" fillId="5" borderId="0" xfId="0" applyNumberFormat="1" applyFont="1" applyFill="1"/>
    <xf numFmtId="0" fontId="4" fillId="5" borderId="0" xfId="0" applyFont="1" applyFill="1" applyAlignment="1">
      <alignment horizontal="left"/>
    </xf>
    <xf numFmtId="43" fontId="4" fillId="5" borderId="0" xfId="1" applyFont="1" applyFill="1"/>
    <xf numFmtId="4" fontId="4" fillId="5" borderId="0" xfId="0" quotePrefix="1" applyNumberFormat="1" applyFont="1" applyFill="1"/>
    <xf numFmtId="43" fontId="4" fillId="5" borderId="0" xfId="1" applyFont="1" applyFill="1" applyAlignment="1">
      <alignment horizontal="center"/>
    </xf>
    <xf numFmtId="43" fontId="4" fillId="5" borderId="0" xfId="0" applyNumberFormat="1" applyFont="1" applyFill="1" applyAlignment="1">
      <alignment horizontal="center" vertical="top"/>
    </xf>
    <xf numFmtId="43" fontId="4" fillId="5" borderId="0" xfId="1" quotePrefix="1" applyFont="1" applyFill="1"/>
    <xf numFmtId="10" fontId="4" fillId="5" borderId="0" xfId="0" applyNumberFormat="1" applyFont="1" applyFill="1"/>
    <xf numFmtId="0" fontId="4" fillId="5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4D50-9DE6-4C44-B8DE-2F422318FCB0}">
  <sheetPr codeName="Sheet10"/>
  <dimension ref="A1:W235"/>
  <sheetViews>
    <sheetView showGridLines="0" topLeftCell="A6" zoomScaleNormal="100" workbookViewId="0">
      <selection activeCell="M12" sqref="M12"/>
    </sheetView>
  </sheetViews>
  <sheetFormatPr defaultColWidth="9.1796875" defaultRowHeight="10" x14ac:dyDescent="0.2"/>
  <cols>
    <col min="1" max="1" width="12.54296875" style="7" customWidth="1"/>
    <col min="2" max="2" width="15.453125" style="7" customWidth="1"/>
    <col min="3" max="3" width="15.7265625" style="7" customWidth="1"/>
    <col min="4" max="4" width="15.81640625" style="7" customWidth="1"/>
    <col min="5" max="5" width="13.1796875" style="7" customWidth="1"/>
    <col min="6" max="6" width="15.26953125" style="7" customWidth="1"/>
    <col min="7" max="7" width="17" style="7" customWidth="1"/>
    <col min="8" max="8" width="18" style="7" customWidth="1"/>
    <col min="9" max="15" width="17" style="7" customWidth="1"/>
    <col min="16" max="16" width="15.81640625" style="7" customWidth="1"/>
    <col min="17" max="19" width="9.1796875" style="7"/>
    <col min="20" max="20" width="11.1796875" style="7" bestFit="1" customWidth="1"/>
    <col min="21" max="21" width="12.90625" style="7" customWidth="1"/>
    <col min="22" max="22" width="11.453125" style="7" bestFit="1" customWidth="1"/>
    <col min="23" max="23" width="12.6328125" style="7" bestFit="1" customWidth="1"/>
    <col min="24" max="16384" width="9.1796875" style="7"/>
  </cols>
  <sheetData>
    <row r="1" spans="1:23" ht="11.5" x14ac:dyDescent="0.25">
      <c r="A1" s="1"/>
      <c r="B1" s="2" t="s">
        <v>0</v>
      </c>
      <c r="C1" s="3">
        <v>100000000</v>
      </c>
      <c r="D1" s="4" t="s">
        <v>1</v>
      </c>
      <c r="E1" s="5" t="s">
        <v>2</v>
      </c>
      <c r="F1" s="6"/>
      <c r="H1" s="8" t="s">
        <v>3</v>
      </c>
      <c r="I1" s="9">
        <f>T8*(-1)/C1</f>
        <v>-2.2688788903808988E-10</v>
      </c>
      <c r="N1" s="10">
        <f>M8*0.9/C1</f>
        <v>-9.2497751032432171E-2</v>
      </c>
    </row>
    <row r="2" spans="1:23" ht="11.5" x14ac:dyDescent="0.25">
      <c r="A2" s="11"/>
      <c r="B2" s="12" t="s">
        <v>4</v>
      </c>
      <c r="C2" s="13">
        <v>0.05</v>
      </c>
      <c r="D2" s="14"/>
      <c r="E2" s="15" t="s">
        <v>5</v>
      </c>
      <c r="F2" s="16"/>
      <c r="H2" s="17" t="s">
        <v>6</v>
      </c>
      <c r="I2" s="18">
        <v>0.05</v>
      </c>
      <c r="M2" s="19">
        <f>(M8+N8)/C1</f>
        <v>-0.10277527892492462</v>
      </c>
    </row>
    <row r="3" spans="1:23" ht="11.5" x14ac:dyDescent="0.25">
      <c r="A3" s="11"/>
      <c r="B3" s="12" t="s">
        <v>7</v>
      </c>
      <c r="C3" s="20">
        <v>60</v>
      </c>
      <c r="E3" s="17" t="s">
        <v>8</v>
      </c>
      <c r="F3" s="21"/>
      <c r="H3" s="17" t="s">
        <v>9</v>
      </c>
      <c r="I3" s="22">
        <f>T12</f>
        <v>0.05</v>
      </c>
      <c r="K3" s="46">
        <v>419512.21</v>
      </c>
      <c r="L3" s="49">
        <f>K3/U16</f>
        <v>98354245.456870854</v>
      </c>
      <c r="T3" s="46">
        <v>2339837.2599999998</v>
      </c>
      <c r="U3" s="46">
        <v>3564282.02</v>
      </c>
      <c r="V3" s="46"/>
    </row>
    <row r="4" spans="1:23" ht="11.5" x14ac:dyDescent="0.25">
      <c r="B4" s="105" t="s">
        <v>10</v>
      </c>
      <c r="C4" s="20">
        <v>0</v>
      </c>
      <c r="E4" s="17" t="s">
        <v>11</v>
      </c>
      <c r="F4" s="23"/>
      <c r="H4" s="17"/>
      <c r="I4" s="24"/>
      <c r="L4" s="38">
        <f>L3-D15</f>
        <v>1281107.4233556092</v>
      </c>
    </row>
    <row r="5" spans="1:23" ht="11.5" x14ac:dyDescent="0.25">
      <c r="B5" s="106" t="s">
        <v>12</v>
      </c>
      <c r="C5" s="25">
        <v>0</v>
      </c>
      <c r="E5" s="17" t="s">
        <v>13</v>
      </c>
      <c r="F5" s="26"/>
      <c r="H5" s="17"/>
      <c r="I5" s="24"/>
      <c r="J5" s="38">
        <f>H15-I15</f>
        <v>1456135.5484482485</v>
      </c>
      <c r="T5" s="46"/>
      <c r="U5" s="46"/>
    </row>
    <row r="6" spans="1:23" ht="11.5" x14ac:dyDescent="0.25">
      <c r="B6" s="106" t="s">
        <v>14</v>
      </c>
      <c r="C6" s="25">
        <v>0</v>
      </c>
      <c r="E6" s="17" t="s">
        <v>15</v>
      </c>
      <c r="F6" s="27"/>
      <c r="H6" s="17"/>
      <c r="I6" s="24"/>
      <c r="V6" s="46"/>
    </row>
    <row r="7" spans="1:23" ht="10.5" x14ac:dyDescent="0.25">
      <c r="B7" s="106" t="s">
        <v>16</v>
      </c>
      <c r="C7" s="28" t="s">
        <v>38</v>
      </c>
      <c r="E7" s="17" t="s">
        <v>17</v>
      </c>
      <c r="F7" s="26"/>
      <c r="H7" s="29"/>
      <c r="I7" s="30"/>
      <c r="J7" s="31"/>
      <c r="T7" s="86">
        <f>1-T8</f>
        <v>0.97731121109619101</v>
      </c>
    </row>
    <row r="8" spans="1:23" ht="11" thickBot="1" x14ac:dyDescent="0.3">
      <c r="B8" s="32" t="s">
        <v>18</v>
      </c>
      <c r="C8" s="33">
        <v>0.12</v>
      </c>
      <c r="E8" s="34"/>
      <c r="F8" s="35"/>
      <c r="H8" s="36"/>
      <c r="I8" s="37"/>
      <c r="J8" s="31">
        <f t="shared" ref="J8:Q8" si="0">_xlfn.AGGREGATE(9, 6, J14:J303)</f>
        <v>64984267.70934882</v>
      </c>
      <c r="K8" s="38">
        <f>D15+J12</f>
        <v>195602681.34232044</v>
      </c>
      <c r="L8" s="31">
        <f>_xlfn.AGGREGATE(9, 6, L14:L303)</f>
        <v>10277527.892492462</v>
      </c>
      <c r="M8" s="31">
        <f t="shared" si="0"/>
        <v>-10277527.892492462</v>
      </c>
      <c r="N8" s="31">
        <f t="shared" si="0"/>
        <v>0</v>
      </c>
      <c r="O8" s="31">
        <f t="shared" si="0"/>
        <v>89438586.519007921</v>
      </c>
      <c r="P8" s="31">
        <f>_xlfn.AGGREGATE(9, 6, P14:P303)</f>
        <v>89438586.519007921</v>
      </c>
      <c r="Q8" s="31">
        <f t="shared" si="0"/>
        <v>0</v>
      </c>
      <c r="T8" s="86">
        <v>2.2688788903808987E-2</v>
      </c>
      <c r="V8" s="46"/>
      <c r="W8" s="46"/>
    </row>
    <row r="9" spans="1:23" ht="10.5" x14ac:dyDescent="0.25">
      <c r="B9" s="90"/>
      <c r="C9" s="91"/>
      <c r="E9" s="92"/>
      <c r="F9" s="93"/>
      <c r="H9" s="94"/>
      <c r="I9" s="94"/>
      <c r="J9" s="31"/>
      <c r="K9" s="38"/>
      <c r="L9" s="31"/>
      <c r="M9" s="31"/>
      <c r="N9" s="31"/>
      <c r="O9" s="31"/>
      <c r="P9" s="31"/>
      <c r="Q9" s="31"/>
      <c r="T9" s="86"/>
      <c r="V9" s="46"/>
      <c r="W9" s="46"/>
    </row>
    <row r="10" spans="1:23" ht="29.5" customHeight="1" x14ac:dyDescent="0.25">
      <c r="B10" s="90"/>
      <c r="C10" s="91"/>
      <c r="D10" s="38">
        <f>D14-L15</f>
        <v>99573468.122243941</v>
      </c>
      <c r="E10" s="92"/>
      <c r="F10" s="110">
        <f>-1*PMT(C2/12,60,D10)</f>
        <v>1879074.1816793401</v>
      </c>
      <c r="G10" s="87">
        <f>F10-I15</f>
        <v>1464184.7311699903</v>
      </c>
      <c r="H10" s="107">
        <f>C14-G10</f>
        <v>98535815.268830016</v>
      </c>
      <c r="I10" s="107">
        <f>S15*H10</f>
        <v>1044109.2492001868</v>
      </c>
      <c r="J10" s="108" t="s">
        <v>86</v>
      </c>
      <c r="K10" s="38"/>
      <c r="L10" s="31"/>
      <c r="M10" s="31"/>
      <c r="N10" s="31"/>
      <c r="O10" s="31"/>
      <c r="P10" s="31"/>
      <c r="Q10" s="31"/>
      <c r="T10" s="86"/>
      <c r="V10" s="46"/>
      <c r="W10" s="46"/>
    </row>
    <row r="11" spans="1:23" ht="34" customHeight="1" x14ac:dyDescent="0.25">
      <c r="A11" s="87">
        <f>B12+I15</f>
        <v>-1464184.7288630963</v>
      </c>
      <c r="B11" s="92">
        <f>C12+D11</f>
        <v>-243185.5127057794</v>
      </c>
      <c r="C11" s="91"/>
      <c r="D11" s="49">
        <v>1219222</v>
      </c>
      <c r="E11" s="92">
        <f>D11-J15</f>
        <v>-236913.54844824853</v>
      </c>
      <c r="F11" s="93"/>
      <c r="G11" s="38">
        <f>D14-L15</f>
        <v>99573468.122243941</v>
      </c>
      <c r="H11" s="94"/>
      <c r="I11" s="107">
        <f>D14-M11</f>
        <v>100014321.14274654</v>
      </c>
      <c r="J11" s="108">
        <v>1044042.79</v>
      </c>
      <c r="K11" s="38">
        <f>J12+J15</f>
        <v>99985678.857253462</v>
      </c>
      <c r="L11" s="31"/>
      <c r="M11" s="31">
        <f>K11-C14</f>
        <v>-14321.142746537924</v>
      </c>
      <c r="N11" s="31"/>
      <c r="O11" s="31"/>
      <c r="P11" s="31"/>
      <c r="Q11" s="31"/>
      <c r="T11" s="86"/>
      <c r="V11" s="46" t="s">
        <v>85</v>
      </c>
      <c r="W11" s="46"/>
    </row>
    <row r="12" spans="1:23" ht="41" customHeight="1" x14ac:dyDescent="0.25">
      <c r="B12" s="87">
        <f>PMT(C2/12,60,99573468)</f>
        <v>-1879074.1793724461</v>
      </c>
      <c r="C12" s="38">
        <f>B12+C1*C2/12</f>
        <v>-1462407.5127057794</v>
      </c>
      <c r="D12" s="88">
        <f>D15-W16</f>
        <v>-1281107.4233556092</v>
      </c>
      <c r="E12" s="38">
        <f>D14-F12-L15</f>
        <v>102702443.12328634</v>
      </c>
      <c r="F12" s="55">
        <f>H15-C1*C2/1</f>
        <v>-3128975.0010424014</v>
      </c>
      <c r="G12" s="38">
        <f>(G11-J15)*S15</f>
        <v>1039674.9056944932</v>
      </c>
      <c r="H12" s="46"/>
      <c r="I12" s="38" t="s">
        <v>87</v>
      </c>
      <c r="J12" s="109">
        <f>J11/S15</f>
        <v>98529543.308805212</v>
      </c>
      <c r="K12" s="38">
        <f>D14-J12</f>
        <v>1470456.6911947876</v>
      </c>
      <c r="L12" s="38"/>
      <c r="N12" s="39">
        <v>1</v>
      </c>
      <c r="O12" s="11"/>
      <c r="P12" s="40"/>
      <c r="Q12" s="11"/>
      <c r="R12" s="40">
        <v>0.12</v>
      </c>
      <c r="S12" s="11"/>
      <c r="T12" s="41">
        <v>0.05</v>
      </c>
      <c r="U12" s="11"/>
      <c r="V12" s="49"/>
    </row>
    <row r="13" spans="1:23" ht="22.5" customHeight="1" x14ac:dyDescent="0.25">
      <c r="B13" s="42" t="s">
        <v>19</v>
      </c>
      <c r="C13" s="43" t="s">
        <v>20</v>
      </c>
      <c r="D13" s="43" t="s">
        <v>21</v>
      </c>
      <c r="E13" s="44" t="s">
        <v>22</v>
      </c>
      <c r="F13" s="44" t="s">
        <v>23</v>
      </c>
      <c r="G13" s="44" t="s">
        <v>24</v>
      </c>
      <c r="H13" s="43" t="s">
        <v>25</v>
      </c>
      <c r="I13" s="43" t="s">
        <v>26</v>
      </c>
      <c r="J13" s="43" t="s">
        <v>27</v>
      </c>
      <c r="K13" s="43" t="s">
        <v>28</v>
      </c>
      <c r="L13" s="43" t="s">
        <v>29</v>
      </c>
      <c r="M13" s="43" t="s">
        <v>30</v>
      </c>
      <c r="N13" s="43" t="s">
        <v>31</v>
      </c>
      <c r="O13" s="43" t="s">
        <v>32</v>
      </c>
      <c r="P13" s="43" t="s">
        <v>33</v>
      </c>
      <c r="Q13" s="43"/>
      <c r="R13" s="43" t="s">
        <v>34</v>
      </c>
      <c r="S13" s="43" t="s">
        <v>35</v>
      </c>
      <c r="T13" s="43" t="s">
        <v>36</v>
      </c>
      <c r="U13" s="43" t="s">
        <v>37</v>
      </c>
      <c r="V13" s="38"/>
      <c r="W13" s="38"/>
    </row>
    <row r="14" spans="1:23" x14ac:dyDescent="0.2">
      <c r="A14" s="62">
        <f>D14/C$1</f>
        <v>1</v>
      </c>
      <c r="B14" s="45">
        <v>0</v>
      </c>
      <c r="C14" s="46">
        <f>C1</f>
        <v>100000000</v>
      </c>
      <c r="D14" s="47">
        <f>C1</f>
        <v>100000000</v>
      </c>
      <c r="E14" s="38">
        <f>C5</f>
        <v>0</v>
      </c>
      <c r="F14" s="38">
        <f>C$5</f>
        <v>0</v>
      </c>
      <c r="O14" s="48">
        <f>K14+I14+J14+M14+N14+G14</f>
        <v>0</v>
      </c>
      <c r="P14" s="38">
        <f>O14*(1/((1+P$12)^(B14/12)))</f>
        <v>0</v>
      </c>
    </row>
    <row r="15" spans="1:23" x14ac:dyDescent="0.2">
      <c r="A15" s="62">
        <f t="shared" ref="A15:A78" si="1">D15/C$1</f>
        <v>0.97073138033515249</v>
      </c>
      <c r="B15" s="45">
        <f>B14+1</f>
        <v>1</v>
      </c>
      <c r="C15" s="51">
        <f>IF(B15&lt;C$4,C$1,D14-L15+N15)</f>
        <v>99573468.122243941</v>
      </c>
      <c r="D15" s="47" cm="1">
        <f t="array" ref="D15">_xlfn.IFS(AND($C$7="Y",B15&lt;C$4),C15,AND($C$7="Y",B15=C$4),D14+F15-J15-K15-L15+N15,AND($C$7="Y",B15&gt;$C$4),D14-J15-K15-L15+N15, TRUE, D14-J15-K15-L15+N15)</f>
        <v>97073138.033515245</v>
      </c>
      <c r="E15" s="48">
        <f>IF(AND($C$7="Y",B15&lt;=$C$4),D14*C$2/12-G15,0)</f>
        <v>0</v>
      </c>
      <c r="F15" s="50">
        <f>IF(AND($C$7="Y",B15&lt;=C$4),E15+F14,0)</f>
        <v>0</v>
      </c>
      <c r="G15" s="50">
        <f>IF(AND(C$7="Y",$B15&lt;=$C$4),C$6,0)</f>
        <v>0</v>
      </c>
      <c r="H15" s="51">
        <f>IF(AND($B15&lt;=$C$4,C$7="Y"),0,IF(AND(C$7="N",C$4&gt;0,B15&lt;=C$4),0,(C15-L15+N15)*C$2/12/(1-(1/(1+C$2/12))^(C$3+C$4-B15+1))))</f>
        <v>1871024.9989575983</v>
      </c>
      <c r="I15" s="52">
        <f>IF(AND(C$7="Y",$B15&lt;=C$4),0,IF(AND(C$7="Y",$B15&gt;C$4),(1-U15)*C$2*D14/12,IF(AND($C$7="N",C$4&gt;0),(1-U15)*D14*C$2/12, (1-U15)*D14*C$2/12)))</f>
        <v>414889.45050934976</v>
      </c>
      <c r="J15" s="57">
        <f>IF(AND($B15&lt;=$C$4,C$7="Y"),0,IF(AND(C$7="N",C$4&gt;0,B15&lt;=C$4),0,H15-I15))</f>
        <v>1456135.5484482485</v>
      </c>
      <c r="K15" s="51">
        <f>IF(AND(C$7="Y",$B15&lt;=$C$4),0,IF(AND(C$7="N",C$4&gt;0,B15&lt;=C$4),0,S15*(D14-J15)))</f>
        <v>1044194.5402804436</v>
      </c>
      <c r="L15" s="49">
        <f>IF(AND(C$7="Y",$B15&lt;=$C$4),0,IF(AND(C$7="N",C$4&gt;0,B15&lt;=C$4),0,U15*C14))</f>
        <v>426531.87775606447</v>
      </c>
      <c r="M15" s="49">
        <f>IFERROR(#REF!*-1,0)</f>
        <v>0</v>
      </c>
      <c r="N15" s="49">
        <f>IFERROR((1-$N$12)*#REF!,0)</f>
        <v>0</v>
      </c>
      <c r="O15" s="48">
        <f>K15+I15+J15-L15+N15+G15</f>
        <v>2488687.6614819779</v>
      </c>
      <c r="P15" s="38">
        <f>O15*(1/((1+P$12)^(B15/12)))</f>
        <v>2488687.6614819779</v>
      </c>
      <c r="Q15" s="53"/>
      <c r="R15" s="53">
        <f>R$12</f>
        <v>0.12</v>
      </c>
      <c r="S15" s="53">
        <f>1-(1-R15)^(1/12)</f>
        <v>1.0596241035318976E-2</v>
      </c>
      <c r="T15" s="53">
        <f>T$12</f>
        <v>0.05</v>
      </c>
      <c r="U15" s="53">
        <f>1-(1-T15)^(1/12)</f>
        <v>4.2653187775606449E-3</v>
      </c>
      <c r="V15" s="38">
        <f>C$2*D14/12</f>
        <v>416666.66666666669</v>
      </c>
      <c r="W15" s="89">
        <f>S15*D14</f>
        <v>1059624.1035318975</v>
      </c>
    </row>
    <row r="16" spans="1:23" s="59" customFormat="1" x14ac:dyDescent="0.2">
      <c r="A16" s="96">
        <f t="shared" si="1"/>
        <v>0.94213897262729374</v>
      </c>
      <c r="B16" s="54">
        <f t="shared" ref="B16:B79" si="2">B15+1</f>
        <v>2</v>
      </c>
      <c r="C16" s="51">
        <f>IF(B16&lt;C$4,C$1,D15-L16+N16)</f>
        <v>96659090.155064151</v>
      </c>
      <c r="D16" s="60" cm="1">
        <f t="array" ref="D16">_xlfn.IFS(AND($C$7="Y",B16&lt;C$4),C16,AND($C$7="Y",B16=C$4),D15+F16-J16-K16-L16+N16,AND($C$7="Y",B16&gt;$C$4),D15-J16-K16-L16+N16, TRUE, D15-J16-K16-L16+N16)</f>
        <v>94213897.262729377</v>
      </c>
      <c r="E16" s="97">
        <f t="shared" ref="E16:E79" si="3">IF(AND($C$7="Y",B16&lt;=$C$4),D15*C$2/12-G16,0)</f>
        <v>0</v>
      </c>
      <c r="F16" s="56">
        <f t="shared" ref="F16:F79" si="4">IF(AND($C$7="Y",B16&lt;=C$4),E16+F15,0)</f>
        <v>0</v>
      </c>
      <c r="G16" s="56">
        <f>IF(AND(C$7="Y",$B16&lt;=$C$4),C$6,0)</f>
        <v>0</v>
      </c>
      <c r="H16" s="51">
        <f t="shared" ref="H16:H79" si="5">IF(AND($B16&lt;=$C$4,C$7="Y"),0,IF(AND(C$7="N",C$4&gt;0,B16&lt;=C$4),0,(C16-L16+N16)*C$2/12/(1-(1/(1+C$2/12))^(C$3+C$4-B16+1))))</f>
        <v>1843368.6171748682</v>
      </c>
      <c r="I16" s="52">
        <f>IF(AND(C$7="Y",$B16&lt;=C$4),0,IF(AND(C$7="Y",$B16&gt;C$4),(1-U16)*C$2*D15/12,IF(AND($C$7="N",C$4&gt;0),(1-U16)*D15*C$2/12, (1-U16)*D15*C$2/12)))</f>
        <v>402746.20897943393</v>
      </c>
      <c r="J16" s="52">
        <f>IF(AND($B16&lt;=$C$4,C$7="Y"),0,IF(AND(C$7="N",C$4&gt;0,B16&lt;=C$4),0,H16-I16))</f>
        <v>1440622.4081954344</v>
      </c>
      <c r="K16" s="51">
        <f>IF(AND(C$7="Y",$B16&lt;=$C$4),0,IF(AND(C$7="N",C$4&gt;0,B16&lt;=C$4),0,S16*(C16-J16-L16)))</f>
        <v>1004570.4841393364</v>
      </c>
      <c r="L16" s="51">
        <f>IF(AND(C$7="Y",$B16&lt;=$C$4),0,IF(AND(C$7="N",C$4&gt;0,B16&lt;=C$4),0,U16*D15))</f>
        <v>414047.87845108897</v>
      </c>
      <c r="M16" s="55">
        <f>IFERROR(L12*-1,0)</f>
        <v>0</v>
      </c>
      <c r="N16" s="55">
        <f>IFERROR((1-$N$12)*K8,0)</f>
        <v>0</v>
      </c>
      <c r="O16" s="97">
        <f>K16+I16+J16-L16+N16+G16</f>
        <v>2433891.2228631158</v>
      </c>
      <c r="P16" s="58">
        <f>O16*(1/((1+P$12)^(B16/12)))</f>
        <v>2433891.2228631158</v>
      </c>
      <c r="Q16" s="98"/>
      <c r="R16" s="98">
        <f t="shared" ref="R16:R79" si="6">R$12</f>
        <v>0.12</v>
      </c>
      <c r="S16" s="99">
        <f t="shared" ref="S16:S79" si="7">1-(1-R16)^(1/12)</f>
        <v>1.0596241035318976E-2</v>
      </c>
      <c r="T16" s="98">
        <f t="shared" ref="T16:T79" si="8">T$12</f>
        <v>0.05</v>
      </c>
      <c r="U16" s="99">
        <f>1-(1-T16)^(1/12)</f>
        <v>4.2653187775606449E-3</v>
      </c>
      <c r="V16" s="100">
        <v>419512.21</v>
      </c>
      <c r="W16" s="55">
        <f>V16/U16</f>
        <v>98354245.456870854</v>
      </c>
    </row>
    <row r="17" spans="1:21" x14ac:dyDescent="0.2">
      <c r="A17" s="62">
        <f t="shared" si="1"/>
        <v>0.91407684973951087</v>
      </c>
      <c r="B17" s="45">
        <f t="shared" si="2"/>
        <v>3</v>
      </c>
      <c r="C17" s="51">
        <f>IF(B17&lt;C$4,C$1,D16-L17+N17)</f>
        <v>93812044.95762749</v>
      </c>
      <c r="D17" s="47" cm="1">
        <f t="array" ref="D17">_xlfn.IFS(AND($C$7="Y",B17&lt;C$4),C17,AND($C$7="Y",B17=C$4),D16+F17-J17-K17-L17+N17,AND($C$7="Y",B17&gt;$C$4),D16-J17-K17-L17+N17, TRUE, D16-J17-K17-L17+N17)</f>
        <v>91407684.973951086</v>
      </c>
      <c r="E17" s="48">
        <f t="shared" si="3"/>
        <v>0</v>
      </c>
      <c r="F17" s="50">
        <f t="shared" si="4"/>
        <v>0</v>
      </c>
      <c r="G17" s="50">
        <f>IF(AND(C$7="Y",$B17&lt;=$C$4),C$6,0)</f>
        <v>0</v>
      </c>
      <c r="H17" s="51">
        <f t="shared" si="5"/>
        <v>1816292.4404338377</v>
      </c>
      <c r="I17" s="52">
        <f>IF(AND(C$7="Y",$B17&lt;=C$4),0,IF(AND(C$7="Y",$B17&gt;C$4),(1-U17)*C$2*D16/12,IF(AND($C$7="N",C$4&gt;0),(1-U17)*D16*C$2/12, (1-U17)*D16*C$2/12)))</f>
        <v>390883.52065678121</v>
      </c>
      <c r="J17" s="52">
        <f>IF(AND($B17&lt;=$C$4,C$7="Y"),0,IF(AND(C$7="N",C$4&gt;0,B17&lt;=C$4),0,H17-I17))</f>
        <v>1425408.9197770564</v>
      </c>
      <c r="K17" s="51">
        <f>IF(AND(C$7="Y",$B17&lt;=$C$4),0,IF(AND(C$7="N",C$4&gt;0,B17&lt;=C$4),0,S17*(C17-J17)))</f>
        <v>978951.06389934977</v>
      </c>
      <c r="L17" s="49">
        <f>IF(AND(C$7="Y",$B17&lt;=$C$4),0,IF(AND(C$7="N",C$4&gt;0,B17&lt;=C$4),0,U17*D16))</f>
        <v>401852.30510188907</v>
      </c>
      <c r="M17" s="55">
        <f t="shared" ref="M17:M18" si="9">IFERROR(L13*-1,0)</f>
        <v>0</v>
      </c>
      <c r="N17" s="49">
        <f t="shared" ref="N17:N24" si="10">IFERROR((1-$N$12)*L13,0)</f>
        <v>0</v>
      </c>
      <c r="O17" s="48">
        <f>K17+I17+J17-L17+N17+G17</f>
        <v>2393391.1992312982</v>
      </c>
      <c r="P17" s="38">
        <f>O17*(1/((1+P$12)^(B17/12)))</f>
        <v>2393391.1992312982</v>
      </c>
      <c r="Q17" s="53"/>
      <c r="R17" s="53">
        <f t="shared" si="6"/>
        <v>0.12</v>
      </c>
      <c r="S17" s="53">
        <f t="shared" si="7"/>
        <v>1.0596241035318976E-2</v>
      </c>
      <c r="T17" s="53">
        <f t="shared" si="8"/>
        <v>0.05</v>
      </c>
      <c r="U17" s="53">
        <f t="shared" ref="U17:U80" si="11">1-(1-T17)^(1/12)</f>
        <v>4.2653187775606449E-3</v>
      </c>
    </row>
    <row r="18" spans="1:21" x14ac:dyDescent="0.2">
      <c r="A18" s="62">
        <f t="shared" si="1"/>
        <v>0.88658007183053245</v>
      </c>
      <c r="B18" s="45">
        <f t="shared" si="2"/>
        <v>4</v>
      </c>
      <c r="C18" s="51">
        <f>IF(B18&lt;C$4,C$1,D17-L18+N18)</f>
        <v>91017802.05881834</v>
      </c>
      <c r="D18" s="47" cm="1">
        <f t="array" ref="D18">_xlfn.IFS(AND($C$7="Y",B18&lt;C$4),C18,AND($C$7="Y",B18=C$4),D17+F18-J18-K18-L18+N18,AND($C$7="Y",B18&gt;$C$4),D17-J18-K18-L18+N18, TRUE, D17-J18-K18-L18+N18)</f>
        <v>88658007.18305324</v>
      </c>
      <c r="E18" s="48">
        <f t="shared" si="3"/>
        <v>0</v>
      </c>
      <c r="F18" s="50">
        <f t="shared" si="4"/>
        <v>0</v>
      </c>
      <c r="G18" s="50">
        <f t="shared" ref="G18:G81" si="12">IF($B18&lt;=$C$4,C$6,0)</f>
        <v>0</v>
      </c>
      <c r="H18" s="51">
        <f t="shared" si="5"/>
        <v>1789532.9435963093</v>
      </c>
      <c r="I18" s="52">
        <f>IF(AND(C$7="Y",$B18&lt;=C$4),0,IF(AND(C$7="Y",$B18&gt;C$4),(1-U18)*C$2*D17/12,IF(AND($C$7="N",C$4&gt;0),(1-U18)*D17*C$2/12, (1-U18)*D17*C$2/12)))</f>
        <v>379240.8419117431</v>
      </c>
      <c r="J18" s="52">
        <f>IF(AND($B18&lt;=$C$4,C$7="Y"),0,IF(AND(C$7="N",C$4&gt;0,B18&lt;=C$4),0,H18-I18))</f>
        <v>1410292.1016845661</v>
      </c>
      <c r="K18" s="51">
        <f>IF(AND(C$7="Y",$B18&lt;=$C$4),0,IF(AND(C$7="N",C$4&gt;0,B18&lt;=C$4),0,S18*(C18-J18)))</f>
        <v>949502.77408053458</v>
      </c>
      <c r="L18" s="49">
        <f>IF(AND(C$7="Y",$B18&lt;=$C$4),0,IF(AND(C$7="N",C$4&gt;0,B18&lt;=C$4),0,U18*D17))</f>
        <v>389882.91513274156</v>
      </c>
      <c r="M18" s="55">
        <f>IFERROR(L14*-1,0)</f>
        <v>0</v>
      </c>
      <c r="N18" s="49">
        <f>IFERROR((1-$N$12)*L14,0)</f>
        <v>0</v>
      </c>
      <c r="O18" s="48">
        <f>K18+I18+J18-L18+N18+G18</f>
        <v>2349152.8025441021</v>
      </c>
      <c r="P18" s="38">
        <f>O18*(1/((1+P$12)^(B18/12)))</f>
        <v>2349152.8025441021</v>
      </c>
      <c r="Q18" s="53"/>
      <c r="R18" s="53">
        <f t="shared" si="6"/>
        <v>0.12</v>
      </c>
      <c r="S18" s="53">
        <f t="shared" si="7"/>
        <v>1.0596241035318976E-2</v>
      </c>
      <c r="T18" s="53">
        <f t="shared" si="8"/>
        <v>0.05</v>
      </c>
      <c r="U18" s="53">
        <f t="shared" si="11"/>
        <v>4.2653187775606449E-3</v>
      </c>
    </row>
    <row r="19" spans="1:21" x14ac:dyDescent="0.2">
      <c r="A19" s="62">
        <f t="shared" si="1"/>
        <v>0.85963865918648019</v>
      </c>
      <c r="B19" s="45">
        <f t="shared" si="2"/>
        <v>5</v>
      </c>
      <c r="C19" s="51">
        <f>IF(B19&lt;C$4,C$1,D18-L19+N19)</f>
        <v>88279852.520234257</v>
      </c>
      <c r="D19" s="47" cm="1">
        <f t="array" ref="D19">_xlfn.IFS(AND($C$7="Y",B19&lt;C$4),C19,AND($C$7="Y",B19=C$4),D18+F19-J19-K19-L19+N19,AND($C$7="Y",B19&gt;$C$4),D18-J19-K19-L19+N19, TRUE, D18-J19-K19-L19+N19)</f>
        <v>85963865.918648019</v>
      </c>
      <c r="E19" s="48">
        <f t="shared" si="3"/>
        <v>0</v>
      </c>
      <c r="F19" s="50">
        <f t="shared" si="4"/>
        <v>0</v>
      </c>
      <c r="G19" s="50">
        <f t="shared" si="12"/>
        <v>0</v>
      </c>
      <c r="H19" s="51">
        <f t="shared" si="5"/>
        <v>1763170.0552964685</v>
      </c>
      <c r="I19" s="52">
        <f>IF(AND(C$7="Y",$B19&lt;=C$4),0,IF(AND(C$7="Y",$B19&gt;C$4),(1-U19)*C$2*D18/12,IF(AND($C$7="N",C$4&gt;0),(1-U19)*D18*C$2/12, (1-U19)*D18*C$2/12)))</f>
        <v>367832.71883430943</v>
      </c>
      <c r="J19" s="52">
        <f>IF(AND($B19&lt;=$C$4,C$7="Y"),0,IF(AND(C$7="N",C$4&gt;0,B19&lt;=C$4),0,H19-I19))</f>
        <v>1395337.3364621592</v>
      </c>
      <c r="K19" s="51">
        <f>IF(AND(C$7="Y",$B19&lt;=$C$4),0,IF(AND(C$7="N",C$4&gt;0,B19&lt;=C$4),0,S19*(C19-J19)))</f>
        <v>920649.26512408059</v>
      </c>
      <c r="L19" s="49">
        <f>IF(AND(C$7="Y",$B19&lt;=$C$4),0,IF(AND(C$7="N",C$4&gt;0,B19&lt;=C$4),0,U19*D18))</f>
        <v>378154.66281898355</v>
      </c>
      <c r="M19" s="49">
        <f>IFERROR(L15*-1,0)</f>
        <v>-426531.87775606447</v>
      </c>
      <c r="N19" s="49">
        <f>IFERROR((1-$N$12)*L15,0)</f>
        <v>0</v>
      </c>
      <c r="O19" s="48">
        <f>K19+I19+J19-L19+N19+G19</f>
        <v>2305664.6576015656</v>
      </c>
      <c r="P19" s="38">
        <f>O19*(1/((1+P$12)^(B19/12)))</f>
        <v>2305664.6576015656</v>
      </c>
      <c r="Q19" s="53"/>
      <c r="R19" s="53">
        <f t="shared" si="6"/>
        <v>0.12</v>
      </c>
      <c r="S19" s="53">
        <f t="shared" si="7"/>
        <v>1.0596241035318976E-2</v>
      </c>
      <c r="T19" s="53">
        <f t="shared" si="8"/>
        <v>0.05</v>
      </c>
      <c r="U19" s="53">
        <f t="shared" si="11"/>
        <v>4.2653187775606449E-3</v>
      </c>
    </row>
    <row r="20" spans="1:21" x14ac:dyDescent="0.2">
      <c r="A20" s="62">
        <f t="shared" si="1"/>
        <v>0.83324279665134804</v>
      </c>
      <c r="B20" s="45">
        <f t="shared" si="2"/>
        <v>6</v>
      </c>
      <c r="C20" s="51">
        <f>IF(B20&lt;C$4,C$1,D19-L20+N20)</f>
        <v>85597202.627153501</v>
      </c>
      <c r="D20" s="47" cm="1">
        <f t="array" ref="D20">_xlfn.IFS(AND($C$7="Y",B20&lt;C$4),C20,AND($C$7="Y",B20=C$4),D19+F20-J20-K20-L20+N20,AND($C$7="Y",B20&gt;$C$4),D19-J20-K20-L20+N20, TRUE, D19-J20-K20-L20+N20)</f>
        <v>83324279.665134802</v>
      </c>
      <c r="E20" s="48">
        <f t="shared" si="3"/>
        <v>0</v>
      </c>
      <c r="F20" s="50">
        <f t="shared" si="4"/>
        <v>0</v>
      </c>
      <c r="G20" s="50">
        <f t="shared" si="12"/>
        <v>0</v>
      </c>
      <c r="H20" s="51">
        <f t="shared" si="5"/>
        <v>1737197.9476962187</v>
      </c>
      <c r="I20" s="52">
        <f>IF(AND(C$7="Y",$B20&lt;=C$4),0,IF(AND(C$7="Y",$B20&gt;C$4),(1-U20)*C$2*D19/12,IF(AND($C$7="N",C$4&gt;0),(1-U20)*D19*C$2/12, (1-U20)*D19*C$2/12)))</f>
        <v>356655.01094647293</v>
      </c>
      <c r="J20" s="52">
        <f>IF(AND($B20&lt;=$C$4,C$7="Y"),0,IF(AND(C$7="N",C$4&gt;0,B20&lt;=C$4),0,H20-I20))</f>
        <v>1380542.9367497459</v>
      </c>
      <c r="K20" s="51">
        <f>IF(AND(C$7="Y",$B20&lt;=$C$4),0,IF(AND(C$7="N",C$4&gt;0,B20&lt;=C$4),0,S20*(C20-J20)))</f>
        <v>892380.0252689498</v>
      </c>
      <c r="L20" s="49">
        <f>IF(AND(C$7="Y",$B20&lt;=$C$4),0,IF(AND(C$7="N",C$4&gt;0,B20&lt;=C$4),0,U20*D19))</f>
        <v>366663.29149451497</v>
      </c>
      <c r="M20" s="49">
        <f t="shared" ref="M20:M23" si="13">IFERROR(L16*-1,0)</f>
        <v>-414047.87845108897</v>
      </c>
      <c r="N20" s="49">
        <f>IFERROR((1-$N$12)*L16,0)</f>
        <v>0</v>
      </c>
      <c r="O20" s="48">
        <f>K20+I20+J20-L20+N20+G20</f>
        <v>2262914.681470654</v>
      </c>
      <c r="P20" s="38">
        <f>O20*(1/((1+P$12)^(B20/12)))</f>
        <v>2262914.681470654</v>
      </c>
      <c r="Q20" s="53"/>
      <c r="R20" s="53">
        <f t="shared" si="6"/>
        <v>0.12</v>
      </c>
      <c r="S20" s="53">
        <f t="shared" si="7"/>
        <v>1.0596241035318976E-2</v>
      </c>
      <c r="T20" s="53">
        <f t="shared" si="8"/>
        <v>0.05</v>
      </c>
      <c r="U20" s="53">
        <f t="shared" si="11"/>
        <v>4.2653187775606449E-3</v>
      </c>
    </row>
    <row r="21" spans="1:21" x14ac:dyDescent="0.2">
      <c r="A21" s="62">
        <f t="shared" si="1"/>
        <v>0.80738283099067198</v>
      </c>
      <c r="B21" s="45">
        <f t="shared" si="2"/>
        <v>7</v>
      </c>
      <c r="C21" s="51">
        <f>IF(B21&lt;C$4,C$1,D20-L21+N21)</f>
        <v>82968875.050452381</v>
      </c>
      <c r="D21" s="47" cm="1">
        <f t="array" ref="D21">_xlfn.IFS(AND($C$7="Y",B21&lt;C$4),C21,AND($C$7="Y",B21=C$4),D20+F21-J21-K21-L21+N21,AND($C$7="Y",B21&gt;$C$4),D20-J21-K21-L21+N21, TRUE, D20-J21-K21-L21+N21)</f>
        <v>80738283.099067196</v>
      </c>
      <c r="E21" s="48">
        <f t="shared" si="3"/>
        <v>0</v>
      </c>
      <c r="F21" s="50">
        <f t="shared" si="4"/>
        <v>0</v>
      </c>
      <c r="G21" s="50">
        <f t="shared" si="12"/>
        <v>0</v>
      </c>
      <c r="H21" s="51">
        <f t="shared" si="5"/>
        <v>1711610.8812611315</v>
      </c>
      <c r="I21" s="52">
        <f>IF(AND(C$7="Y",$B21&lt;=C$4),0,IF(AND(C$7="Y",$B21&gt;C$4),(1-U21)*C$2*D20/12,IF(AND($C$7="N",C$4&gt;0),(1-U21)*D20*C$2/12, (1-U21)*D20*C$2/12)))</f>
        <v>345703.64604355162</v>
      </c>
      <c r="J21" s="52">
        <f>IF(AND($B21&lt;=$C$4,C$7="Y"),0,IF(AND(C$7="N",C$4&gt;0,B21&lt;=C$4),0,H21-I21))</f>
        <v>1365907.2352175799</v>
      </c>
      <c r="K21" s="51">
        <f>IF(AND(C$7="Y",$B21&lt;=$C$4),0,IF(AND(C$7="N",C$4&gt;0,B21&lt;=C$4),0,S21*(C21-J21)))</f>
        <v>864684.71616760467</v>
      </c>
      <c r="L21" s="49">
        <f>IF(AND(C$7="Y",$B21&lt;=$C$4),0,IF(AND(C$7="N",C$4&gt;0,B21&lt;=C$4),0,U21*D20))</f>
        <v>355404.6146824141</v>
      </c>
      <c r="M21" s="49">
        <f>IFERROR(L17*-1,0)</f>
        <v>-401852.30510188907</v>
      </c>
      <c r="N21" s="49">
        <f t="shared" si="10"/>
        <v>0</v>
      </c>
      <c r="O21" s="48">
        <f>K21+I21+J21-L21+N21+G21</f>
        <v>2220890.9827463222</v>
      </c>
      <c r="P21" s="38">
        <f>O21*(1/((1+P$12)^(B21/12)))</f>
        <v>2220890.9827463222</v>
      </c>
      <c r="Q21" s="53"/>
      <c r="R21" s="53">
        <f t="shared" si="6"/>
        <v>0.12</v>
      </c>
      <c r="S21" s="53">
        <f t="shared" si="7"/>
        <v>1.0596241035318976E-2</v>
      </c>
      <c r="T21" s="53">
        <f t="shared" si="8"/>
        <v>0.05</v>
      </c>
      <c r="U21" s="53">
        <f t="shared" si="11"/>
        <v>4.2653187775606449E-3</v>
      </c>
    </row>
    <row r="22" spans="1:21" x14ac:dyDescent="0.2">
      <c r="A22" s="62">
        <f t="shared" si="1"/>
        <v>0.78204926829479871</v>
      </c>
      <c r="B22" s="45">
        <f t="shared" si="2"/>
        <v>8</v>
      </c>
      <c r="C22" s="51">
        <f>IF(B22&lt;C$4,C$1,D21-L22+N22)</f>
        <v>80393908.584096745</v>
      </c>
      <c r="D22" s="47" cm="1">
        <f t="array" ref="D22">_xlfn.IFS(AND($C$7="Y",B22&lt;C$4),C22,AND($C$7="Y",B22=C$4),D21+F22-J22-K22-L22+N22,AND($C$7="Y",B22&gt;$C$4),D21-J22-K22-L22+N22, TRUE, D21-J22-K22-L22+N22)</f>
        <v>78204926.829479873</v>
      </c>
      <c r="E22" s="48">
        <f t="shared" si="3"/>
        <v>0</v>
      </c>
      <c r="F22" s="50">
        <f t="shared" si="4"/>
        <v>0</v>
      </c>
      <c r="G22" s="50">
        <f t="shared" si="12"/>
        <v>0</v>
      </c>
      <c r="H22" s="51">
        <f t="shared" si="5"/>
        <v>1686403.2036122889</v>
      </c>
      <c r="I22" s="52">
        <f>IF(AND(C$7="Y",$B22&lt;=C$4),0,IF(AND(C$7="Y",$B22&gt;C$4),(1-U22)*C$2*D21/12,IF(AND($C$7="N",C$4&gt;0),(1-U22)*D21*C$2/12, (1-U22)*D21*C$2/12)))</f>
        <v>334974.6191004031</v>
      </c>
      <c r="J22" s="52">
        <f>IF(AND($B22&lt;=$C$4,C$7="Y"),0,IF(AND(C$7="N",C$4&gt;0,B22&lt;=C$4),0,H22-I22))</f>
        <v>1351428.5845118859</v>
      </c>
      <c r="K22" s="51">
        <f>IF(AND(C$7="Y",$B22&lt;=$C$4),0,IF(AND(C$7="N",C$4&gt;0,B22&lt;=C$4),0,S22*(C22-J22)))</f>
        <v>837553.17010498047</v>
      </c>
      <c r="L22" s="49">
        <f>IF(AND(C$7="Y",$B22&lt;=$C$4),0,IF(AND(C$7="N",C$4&gt;0,B22&lt;=C$4),0,U22*D21))</f>
        <v>344374.51497045858</v>
      </c>
      <c r="M22" s="49">
        <f t="shared" si="13"/>
        <v>-389882.91513274156</v>
      </c>
      <c r="N22" s="49">
        <f t="shared" si="10"/>
        <v>0</v>
      </c>
      <c r="O22" s="48">
        <f>K22+I22+J22-L22+N22+G22</f>
        <v>2179581.8587468108</v>
      </c>
      <c r="P22" s="38">
        <f>O22*(1/((1+P$12)^(B22/12)))</f>
        <v>2179581.8587468108</v>
      </c>
      <c r="Q22" s="53"/>
      <c r="R22" s="53">
        <f t="shared" si="6"/>
        <v>0.12</v>
      </c>
      <c r="S22" s="53">
        <f t="shared" si="7"/>
        <v>1.0596241035318976E-2</v>
      </c>
      <c r="T22" s="53">
        <f t="shared" si="8"/>
        <v>0.05</v>
      </c>
      <c r="U22" s="53">
        <f t="shared" si="11"/>
        <v>4.2653187775606449E-3</v>
      </c>
    </row>
    <row r="23" spans="1:21" x14ac:dyDescent="0.2">
      <c r="A23" s="62">
        <f t="shared" si="1"/>
        <v>0.75723277142100986</v>
      </c>
      <c r="B23" s="45">
        <f t="shared" si="2"/>
        <v>9</v>
      </c>
      <c r="C23" s="51">
        <f>IF(B23&lt;C$4,C$1,D22-L23+N23)</f>
        <v>77871357.88657634</v>
      </c>
      <c r="D23" s="47" cm="1">
        <f t="array" ref="D23">_xlfn.IFS(AND($C$7="Y",B23&lt;C$4),C23,AND($C$7="Y",B23=C$4),D22+F23-J23-K23-L23+N23,AND($C$7="Y",B23&gt;$C$4),D22-J23-K23-L23+N23, TRUE, D22-J23-K23-L23+N23)</f>
        <v>75723277.14210099</v>
      </c>
      <c r="E23" s="48">
        <f t="shared" si="3"/>
        <v>0</v>
      </c>
      <c r="F23" s="50">
        <f t="shared" si="4"/>
        <v>0</v>
      </c>
      <c r="G23" s="50">
        <f t="shared" si="12"/>
        <v>0</v>
      </c>
      <c r="H23" s="51">
        <f t="shared" si="5"/>
        <v>1661569.3484103547</v>
      </c>
      <c r="I23" s="52">
        <f>IF(AND(C$7="Y",$B23&lt;=C$4),0,IF(AND(C$7="Y",$B23&gt;C$4),(1-U23)*C$2*D22/12,IF(AND($C$7="N",C$4&gt;0),(1-U23)*D22*C$2/12, (1-U23)*D22*C$2/12)))</f>
        <v>324463.9911940681</v>
      </c>
      <c r="J23" s="52">
        <f>IF(AND($B23&lt;=$C$4,C$7="Y"),0,IF(AND(C$7="N",C$4&gt;0,B23&lt;=C$4),0,H23-I23))</f>
        <v>1337105.3572162865</v>
      </c>
      <c r="K23" s="51">
        <f>IF(AND(C$7="Y",$B23&lt;=$C$4),0,IF(AND(C$7="N",C$4&gt;0,B23&lt;=C$4),0,S23*(C23-J23)))</f>
        <v>810975.38725907018</v>
      </c>
      <c r="L23" s="49">
        <f>IF(AND(C$7="Y",$B23&lt;=$C$4),0,IF(AND(C$7="N",C$4&gt;0,B23&lt;=C$4),0,U23*D22))</f>
        <v>333568.94290353678</v>
      </c>
      <c r="M23" s="49">
        <f t="shared" si="13"/>
        <v>-378154.66281898355</v>
      </c>
      <c r="N23" s="49">
        <f t="shared" si="10"/>
        <v>0</v>
      </c>
      <c r="O23" s="48">
        <f>K23+I23+J23-L23+N23+G23</f>
        <v>2138975.7927658879</v>
      </c>
      <c r="P23" s="38">
        <f>O23*(1/((1+P$12)^(B23/12)))</f>
        <v>2138975.7927658879</v>
      </c>
      <c r="Q23" s="53"/>
      <c r="R23" s="53">
        <f t="shared" si="6"/>
        <v>0.12</v>
      </c>
      <c r="S23" s="53">
        <f t="shared" si="7"/>
        <v>1.0596241035318976E-2</v>
      </c>
      <c r="T23" s="53">
        <f t="shared" si="8"/>
        <v>0.05</v>
      </c>
      <c r="U23" s="53">
        <f t="shared" si="11"/>
        <v>4.2653187775606449E-3</v>
      </c>
    </row>
    <row r="24" spans="1:21" x14ac:dyDescent="0.2">
      <c r="A24" s="62">
        <f t="shared" si="1"/>
        <v>0.73292415747375395</v>
      </c>
      <c r="B24" s="45">
        <f t="shared" si="2"/>
        <v>10</v>
      </c>
      <c r="C24" s="51">
        <f>IF(B24&lt;C$4,C$1,D23-L24+N24)</f>
        <v>75400293.226208359</v>
      </c>
      <c r="D24" s="47" cm="1">
        <f t="array" ref="D24">_xlfn.IFS(AND($C$7="Y",B24&lt;C$4),C24,AND($C$7="Y",B24=C$4),D23+F24-J24-K24-L24+N24,AND($C$7="Y",B24&gt;$C$4),D23-J24-K24-L24+N24, TRUE, D23-J24-K24-L24+N24)</f>
        <v>73292415.747375399</v>
      </c>
      <c r="E24" s="48">
        <f t="shared" si="3"/>
        <v>0</v>
      </c>
      <c r="F24" s="50">
        <f t="shared" si="4"/>
        <v>0</v>
      </c>
      <c r="G24" s="50">
        <f t="shared" si="12"/>
        <v>0</v>
      </c>
      <c r="H24" s="51">
        <f t="shared" si="5"/>
        <v>1637103.8342731742</v>
      </c>
      <c r="I24" s="52">
        <f>IF(AND(C$7="Y",$B24&lt;=C$4),0,IF(AND(C$7="Y",$B24&gt;C$4),(1-U24)*C$2*D23/12,IF(AND($C$7="N",C$4&gt;0),(1-U24)*D23*C$2/12, (1-U24)*D23*C$2/12)))</f>
        <v>314167.88844253484</v>
      </c>
      <c r="J24" s="52">
        <f>IF(AND($B24&lt;=$C$4,C$7="Y"),0,IF(AND(C$7="N",C$4&gt;0,B24&lt;=C$4),0,H24-I24))</f>
        <v>1322935.9458306395</v>
      </c>
      <c r="K24" s="51">
        <f>IF(AND(C$7="Y",$B24&lt;=$C$4),0,IF(AND(C$7="N",C$4&gt;0,B24&lt;=C$4),0,S24*(C24-J24)))</f>
        <v>784941.53300232324</v>
      </c>
      <c r="L24" s="49">
        <f>IF(AND(C$7="Y",$B24&lt;=$C$4),0,IF(AND(C$7="N",C$4&gt;0,B24&lt;=C$4),0,U24*D23))</f>
        <v>322983.9158926321</v>
      </c>
      <c r="M24" s="49">
        <f>IFERROR(L20*-1,0)</f>
        <v>-366663.29149451497</v>
      </c>
      <c r="N24" s="49">
        <f t="shared" si="10"/>
        <v>0</v>
      </c>
      <c r="O24" s="48">
        <f>K24+I24+J24-L24+N24+G24</f>
        <v>2099061.4513828652</v>
      </c>
      <c r="P24" s="38">
        <f>O24*(1/((1+P$12)^(B24/12)))</f>
        <v>2099061.4513828652</v>
      </c>
      <c r="Q24" s="53"/>
      <c r="R24" s="53">
        <f t="shared" si="6"/>
        <v>0.12</v>
      </c>
      <c r="S24" s="53">
        <f t="shared" si="7"/>
        <v>1.0596241035318976E-2</v>
      </c>
      <c r="T24" s="53">
        <f t="shared" si="8"/>
        <v>0.05</v>
      </c>
      <c r="U24" s="53">
        <f t="shared" si="11"/>
        <v>4.2653187775606449E-3</v>
      </c>
    </row>
    <row r="25" spans="1:21" x14ac:dyDescent="0.2">
      <c r="A25" s="62">
        <f t="shared" si="1"/>
        <v>0.70911439532223164</v>
      </c>
      <c r="B25" s="45">
        <f t="shared" si="2"/>
        <v>11</v>
      </c>
      <c r="C25" s="51">
        <f>IF(B25&lt;C$4,C$1,D24-L25+N25)</f>
        <v>72979800.230235338</v>
      </c>
      <c r="D25" s="47" cm="1">
        <f t="array" ref="D25">_xlfn.IFS(AND($C$7="Y",B25&lt;C$4),C25,AND($C$7="Y",B25=C$4),D24+F25-J25-K25-L25+N25,AND($C$7="Y",B25&gt;$C$4),D24-J25-K25-L25+N25, TRUE, D24-J25-K25-L25+N25)</f>
        <v>70911439.532223165</v>
      </c>
      <c r="E25" s="48">
        <f t="shared" si="3"/>
        <v>0</v>
      </c>
      <c r="F25" s="50">
        <f t="shared" si="4"/>
        <v>0</v>
      </c>
      <c r="G25" s="50">
        <f t="shared" si="12"/>
        <v>0</v>
      </c>
      <c r="H25" s="51">
        <f t="shared" si="5"/>
        <v>1613001.2637284447</v>
      </c>
      <c r="I25" s="52">
        <f>IF(AND(C$7="Y",$B25&lt;=C$4),0,IF(AND(C$7="Y",$B25&gt;C$4),(1-U25)*C$2*D24/12,IF(AND($C$7="N",C$4&gt;0),(1-U25)*D24*C$2/12, (1-U25)*D24*C$2/12)))</f>
        <v>304082.50095931394</v>
      </c>
      <c r="J25" s="52">
        <f>IF(AND($B25&lt;=$C$4,C$7="Y"),0,IF(AND(C$7="N",C$4&gt;0,B25&lt;=C$4),0,H25-I25))</f>
        <v>1308918.7627691308</v>
      </c>
      <c r="K25" s="51">
        <f>IF(AND(C$7="Y",$B25&lt;=$C$4),0,IF(AND(C$7="N",C$4&gt;0,B25&lt;=C$4),0,S25*(C25-J25)))</f>
        <v>759441.93524304777</v>
      </c>
      <c r="L25" s="49">
        <f>IF(AND(C$7="Y",$B25&lt;=$C$4),0,IF(AND(C$7="N",C$4&gt;0,B25&lt;=C$4),0,U25*D24))</f>
        <v>312615.51714006177</v>
      </c>
      <c r="M25" s="49">
        <f t="shared" ref="M25:M28" si="14">IFERROR(L21*-1,0)</f>
        <v>-355404.6146824141</v>
      </c>
      <c r="N25" s="49">
        <f>IFERROR((1-$N$12)*L21,0)</f>
        <v>0</v>
      </c>
      <c r="O25" s="48">
        <f>K25+I25+J25-L25+N25+G25</f>
        <v>2059827.6818314304</v>
      </c>
      <c r="P25" s="38">
        <f>O25*(1/((1+P$12)^(B25/12)))</f>
        <v>2059827.6818314304</v>
      </c>
      <c r="Q25" s="53"/>
      <c r="R25" s="53">
        <f t="shared" si="6"/>
        <v>0.12</v>
      </c>
      <c r="S25" s="53">
        <f t="shared" si="7"/>
        <v>1.0596241035318976E-2</v>
      </c>
      <c r="T25" s="53">
        <f t="shared" si="8"/>
        <v>0.05</v>
      </c>
      <c r="U25" s="53">
        <f t="shared" si="11"/>
        <v>4.2653187775606449E-3</v>
      </c>
    </row>
    <row r="26" spans="1:21" x14ac:dyDescent="0.2">
      <c r="A26" s="62">
        <f t="shared" si="1"/>
        <v>0.68579460315456731</v>
      </c>
      <c r="B26" s="45">
        <f t="shared" si="2"/>
        <v>12</v>
      </c>
      <c r="C26" s="51">
        <f>IF(B26&lt;C$4,C$1,D25-L26+N26)</f>
        <v>70608979.637642518</v>
      </c>
      <c r="D26" s="47" cm="1">
        <f t="array" ref="D26">_xlfn.IFS(AND($C$7="Y",B26&lt;C$4),C26,AND($C$7="Y",B26=C$4),D25+F26-J26-K26-L26+N26,AND($C$7="Y",B26&gt;$C$4),D25-J26-K26-L26+N26, TRUE, D25-J26-K26-L26+N26)</f>
        <v>68579460.315456733</v>
      </c>
      <c r="E26" s="48">
        <f t="shared" si="3"/>
        <v>0</v>
      </c>
      <c r="F26" s="50">
        <f t="shared" si="4"/>
        <v>0</v>
      </c>
      <c r="G26" s="50">
        <f t="shared" si="12"/>
        <v>0</v>
      </c>
      <c r="H26" s="51">
        <f t="shared" si="5"/>
        <v>1589256.3222033</v>
      </c>
      <c r="I26" s="52">
        <f>IF(AND(C$7="Y",$B26&lt;=C$4),0,IF(AND(C$7="Y",$B26&gt;C$4),(1-U26)*C$2*D25/12,IF(AND($C$7="N",C$4&gt;0),(1-U26)*D25*C$2/12, (1-U26)*D25*C$2/12)))</f>
        <v>294204.08182351053</v>
      </c>
      <c r="J26" s="52">
        <f>IF(AND($B26&lt;=$C$4,C$7="Y"),0,IF(AND(C$7="N",C$4&gt;0,B26&lt;=C$4),0,H26-I26))</f>
        <v>1295052.2403797894</v>
      </c>
      <c r="K26" s="51">
        <f>IF(AND(C$7="Y",$B26&lt;=$C$4),0,IF(AND(C$7="N",C$4&gt;0,B26&lt;=C$4),0,S26*(C26-J26)))</f>
        <v>734467.08180599555</v>
      </c>
      <c r="L26" s="49">
        <f>IF(AND(C$7="Y",$B26&lt;=$C$4),0,IF(AND(C$7="N",C$4&gt;0,B26&lt;=C$4),0,U26*D25))</f>
        <v>302459.8945806477</v>
      </c>
      <c r="M26" s="49">
        <f t="shared" si="14"/>
        <v>-344374.51497045858</v>
      </c>
      <c r="N26" s="49">
        <f t="shared" ref="N26:N33" si="15">IFERROR((1-$N$12)*L22,0)</f>
        <v>0</v>
      </c>
      <c r="O26" s="48">
        <f>K26+I26+J26-L26+N26+G26</f>
        <v>2021263.5094286478</v>
      </c>
      <c r="P26" s="38">
        <f>O26*(1/((1+P$12)^(B26/12)))</f>
        <v>2021263.5094286478</v>
      </c>
      <c r="Q26" s="53"/>
      <c r="R26" s="53">
        <f t="shared" si="6"/>
        <v>0.12</v>
      </c>
      <c r="S26" s="53">
        <f t="shared" si="7"/>
        <v>1.0596241035318976E-2</v>
      </c>
      <c r="T26" s="53">
        <f t="shared" si="8"/>
        <v>0.05</v>
      </c>
      <c r="U26" s="53">
        <f t="shared" si="11"/>
        <v>4.2653187775606449E-3</v>
      </c>
    </row>
    <row r="27" spans="1:21" x14ac:dyDescent="0.2">
      <c r="A27" s="62">
        <f t="shared" si="1"/>
        <v>0.66295604606779102</v>
      </c>
      <c r="B27" s="45">
        <f t="shared" si="2"/>
        <v>13</v>
      </c>
      <c r="C27" s="51">
        <f>IF(B27&lt;C$4,C$1,D26-L27+N27)</f>
        <v>68286947.055618241</v>
      </c>
      <c r="D27" s="47" cm="1">
        <f t="array" ref="D27">_xlfn.IFS(AND($C$7="Y",B27&lt;C$4),C27,AND($C$7="Y",B27=C$4),D26+F27-J27-K27-L27+N27,AND($C$7="Y",B27&gt;$C$4),D26-J27-K27-L27+N27, TRUE, D26-J27-K27-L27+N27)</f>
        <v>66295604.606779099</v>
      </c>
      <c r="E27" s="48">
        <f t="shared" si="3"/>
        <v>0</v>
      </c>
      <c r="F27" s="50">
        <f t="shared" si="4"/>
        <v>0</v>
      </c>
      <c r="G27" s="50">
        <f t="shared" si="12"/>
        <v>0</v>
      </c>
      <c r="H27" s="51">
        <f t="shared" si="5"/>
        <v>1565863.7770529096</v>
      </c>
      <c r="I27" s="52">
        <f>IF(AND(C$7="Y",$B27&lt;=C$4),0,IF(AND(C$7="Y",$B27&gt;C$4),(1-U27)*C$2*D26/12,IF(AND($C$7="N",C$4&gt;0),(1-U27)*D26*C$2/12, (1-U27)*D26*C$2/12)))</f>
        <v>284528.94606507599</v>
      </c>
      <c r="J27" s="52">
        <f>IF(AND($B27&lt;=$C$4,C$7="Y"),0,IF(AND(C$7="N",C$4&gt;0,B27&lt;=C$4),0,H27-I27))</f>
        <v>1281334.8309878337</v>
      </c>
      <c r="K27" s="51">
        <f>IF(AND(C$7="Y",$B27&lt;=$C$4),0,IF(AND(C$7="N",C$4&gt;0,B27&lt;=C$4),0,S27*(C27-J27)))</f>
        <v>710007.61785129958</v>
      </c>
      <c r="L27" s="49">
        <f>IF(AND(C$7="Y",$B27&lt;=$C$4),0,IF(AND(C$7="N",C$4&gt;0,B27&lt;=C$4),0,U27*D26))</f>
        <v>292513.25983849267</v>
      </c>
      <c r="M27" s="49">
        <f t="shared" si="14"/>
        <v>-333568.94290353678</v>
      </c>
      <c r="N27" s="49">
        <f t="shared" si="15"/>
        <v>0</v>
      </c>
      <c r="O27" s="48">
        <f>K27+I27+J27-L27+N27+G27</f>
        <v>1983358.1350657167</v>
      </c>
      <c r="P27" s="38">
        <f>O27*(1/((1+P$12)^(B27/12)))</f>
        <v>1983358.1350657167</v>
      </c>
      <c r="Q27" s="53"/>
      <c r="R27" s="53">
        <f t="shared" si="6"/>
        <v>0.12</v>
      </c>
      <c r="S27" s="53">
        <f t="shared" si="7"/>
        <v>1.0596241035318976E-2</v>
      </c>
      <c r="T27" s="53">
        <f t="shared" si="8"/>
        <v>0.05</v>
      </c>
      <c r="U27" s="53">
        <f t="shared" si="11"/>
        <v>4.2653187775606449E-3</v>
      </c>
    </row>
    <row r="28" spans="1:21" x14ac:dyDescent="0.2">
      <c r="A28" s="62">
        <f t="shared" si="1"/>
        <v>0.64059013369283457</v>
      </c>
      <c r="B28" s="45">
        <f t="shared" si="2"/>
        <v>14</v>
      </c>
      <c r="C28" s="51">
        <f>IF(B28&lt;C$4,C$1,D27-L28+N28)</f>
        <v>66012832.719580069</v>
      </c>
      <c r="D28" s="47" cm="1">
        <f t="array" ref="D28">_xlfn.IFS(AND($C$7="Y",B28&lt;C$4),C28,AND($C$7="Y",B28=C$4),D27+F28-J28-K28-L28+N28,AND($C$7="Y",B28&gt;$C$4),D27-J28-K28-L28+N28, TRUE, D27-J28-K28-L28+N28)</f>
        <v>64059013.36928346</v>
      </c>
      <c r="E28" s="48">
        <f t="shared" si="3"/>
        <v>0</v>
      </c>
      <c r="F28" s="50">
        <f t="shared" si="4"/>
        <v>0</v>
      </c>
      <c r="G28" s="50">
        <f t="shared" si="12"/>
        <v>0</v>
      </c>
      <c r="H28" s="51">
        <f t="shared" si="5"/>
        <v>1542818.4766306153</v>
      </c>
      <c r="I28" s="52">
        <f>IF(AND(C$7="Y",$B28&lt;=C$4),0,IF(AND(C$7="Y",$B28&gt;C$4),(1-U28)*C$2*D27/12,IF(AND($C$7="N",C$4&gt;0),(1-U28)*D27*C$2/12, (1-U28)*D27*C$2/12)))</f>
        <v>275053.46966491698</v>
      </c>
      <c r="J28" s="52">
        <f>IF(AND($B28&lt;=$C$4,C$7="Y"),0,IF(AND(C$7="N",C$4&gt;0,B28&lt;=C$4),0,H28-I28))</f>
        <v>1267765.0069656982</v>
      </c>
      <c r="K28" s="51">
        <f>IF(AND(C$7="Y",$B28&lt;=$C$4),0,IF(AND(C$7="N",C$4&gt;0,B28&lt;=C$4),0,S28*(C28-J28)))</f>
        <v>686054.34333091008</v>
      </c>
      <c r="L28" s="49">
        <f>IF(AND(C$7="Y",$B28&lt;=$C$4),0,IF(AND(C$7="N",C$4&gt;0,B28&lt;=C$4),0,U28*D27))</f>
        <v>282771.8871990309</v>
      </c>
      <c r="M28" s="49">
        <f t="shared" si="14"/>
        <v>-322983.9158926321</v>
      </c>
      <c r="N28" s="49">
        <f t="shared" si="15"/>
        <v>0</v>
      </c>
      <c r="O28" s="48">
        <f>K28+I28+J28-L28+N28+G28</f>
        <v>1946100.9327624945</v>
      </c>
      <c r="P28" s="38">
        <f>O28*(1/((1+P$12)^(B28/12)))</f>
        <v>1946100.9327624945</v>
      </c>
      <c r="Q28" s="53"/>
      <c r="R28" s="53">
        <f t="shared" si="6"/>
        <v>0.12</v>
      </c>
      <c r="S28" s="53">
        <f t="shared" si="7"/>
        <v>1.0596241035318976E-2</v>
      </c>
      <c r="T28" s="53">
        <f t="shared" si="8"/>
        <v>0.05</v>
      </c>
      <c r="U28" s="53">
        <f t="shared" si="11"/>
        <v>4.2653187775606449E-3</v>
      </c>
    </row>
    <row r="29" spans="1:21" x14ac:dyDescent="0.2">
      <c r="A29" s="62">
        <f t="shared" si="1"/>
        <v>0.61868841785372797</v>
      </c>
      <c r="B29" s="45">
        <f t="shared" si="2"/>
        <v>15</v>
      </c>
      <c r="C29" s="51">
        <f>IF(B29&lt;C$4,C$1,D28-L29+N29)</f>
        <v>63785781.256687447</v>
      </c>
      <c r="D29" s="47" cm="1">
        <f t="array" ref="D29">_xlfn.IFS(AND($C$7="Y",B29&lt;C$4),C29,AND($C$7="Y",B29=C$4),D28+F29-J29-K29-L29+N29,AND($C$7="Y",B29&gt;$C$4),D28-J29-K29-L29+N29, TRUE, D28-J29-K29-L29+N29)</f>
        <v>61868841.785372801</v>
      </c>
      <c r="E29" s="48">
        <f t="shared" si="3"/>
        <v>0</v>
      </c>
      <c r="F29" s="50">
        <f t="shared" si="4"/>
        <v>0</v>
      </c>
      <c r="G29" s="50">
        <f t="shared" si="12"/>
        <v>0</v>
      </c>
      <c r="H29" s="51">
        <f t="shared" si="5"/>
        <v>1520115.3494025175</v>
      </c>
      <c r="I29" s="52">
        <f>IF(AND(C$7="Y",$B29&lt;=C$4),0,IF(AND(C$7="Y",$B29&gt;C$4),(1-U29)*C$2*D28/12,IF(AND($C$7="N",C$4&gt;0),(1-U29)*D28*C$2/12, (1-U29)*D28*C$2/12)))</f>
        <v>265774.08856953104</v>
      </c>
      <c r="J29" s="52">
        <f>IF(AND($B29&lt;=$C$4,C$7="Y"),0,IF(AND(C$7="N",C$4&gt;0,B29&lt;=C$4),0,H29-I29))</f>
        <v>1254341.2608329866</v>
      </c>
      <c r="K29" s="51">
        <f>IF(AND(C$7="Y",$B29&lt;=$C$4),0,IF(AND(C$7="N",C$4&gt;0,B29&lt;=C$4),0,S29*(C29-J29)))</f>
        <v>662598.21048165928</v>
      </c>
      <c r="L29" s="51">
        <f>IF(AND(C$7="Y",$B29&lt;=$C$4),0,IF(AND(C$7="N",C$4&gt;0,B29&lt;=C$4),0,U29*D28))</f>
        <v>273232.11259601312</v>
      </c>
      <c r="M29" s="51">
        <f>IFERROR(L25*-1,0)</f>
        <v>-312615.51714006177</v>
      </c>
      <c r="N29" s="51">
        <f t="shared" si="15"/>
        <v>0</v>
      </c>
      <c r="O29" s="48">
        <f>K29+I29+J29-L29+N29+G29</f>
        <v>1909481.4472881635</v>
      </c>
      <c r="P29" s="38">
        <f>O29*(1/((1+P$12)^(B29/12)))</f>
        <v>1909481.4472881635</v>
      </c>
      <c r="Q29" s="53"/>
      <c r="R29" s="53">
        <f t="shared" si="6"/>
        <v>0.12</v>
      </c>
      <c r="S29" s="53">
        <f t="shared" si="7"/>
        <v>1.0596241035318976E-2</v>
      </c>
      <c r="T29" s="53">
        <f t="shared" si="8"/>
        <v>0.05</v>
      </c>
      <c r="U29" s="53">
        <f t="shared" si="11"/>
        <v>4.2653187775606449E-3</v>
      </c>
    </row>
    <row r="30" spans="1:21" x14ac:dyDescent="0.2">
      <c r="A30" s="62">
        <f t="shared" si="1"/>
        <v>0.59724259026015547</v>
      </c>
      <c r="B30" s="45">
        <f t="shared" si="2"/>
        <v>16</v>
      </c>
      <c r="C30" s="51">
        <f>IF(B30&lt;C$4,C$1,D29-L30+N30)</f>
        <v>61604951.45275972</v>
      </c>
      <c r="D30" s="47" cm="1">
        <f t="array" ref="D30">_xlfn.IFS(AND($C$7="Y",B30&lt;C$4),C30,AND($C$7="Y",B30=C$4),D29+F30-J30-K30-L30+N30,AND($C$7="Y",B30&gt;$C$4),D29-J30-K30-L30+N30, TRUE, D29-J30-K30-L30+N30)</f>
        <v>59724259.026015542</v>
      </c>
      <c r="E30" s="48">
        <f t="shared" si="3"/>
        <v>0</v>
      </c>
      <c r="F30" s="50">
        <f t="shared" si="4"/>
        <v>0</v>
      </c>
      <c r="G30" s="50">
        <f t="shared" si="12"/>
        <v>0</v>
      </c>
      <c r="H30" s="51">
        <f t="shared" si="5"/>
        <v>1497749.4031099579</v>
      </c>
      <c r="I30" s="52">
        <f>IF(AND(C$7="Y",$B30&lt;=C$4),0,IF(AND(C$7="Y",$B30&gt;C$4),(1-U30)*C$2*D29/12,IF(AND($C$7="N",C$4&gt;0),(1-U30)*D29*C$2/12, (1-U30)*D29*C$2/12)))</f>
        <v>256687.29771983219</v>
      </c>
      <c r="J30" s="52">
        <f>IF(AND($B30&lt;=$C$4,C$7="Y"),0,IF(AND(C$7="N",C$4&gt;0,B30&lt;=C$4),0,H30-I30))</f>
        <v>1241062.1053901257</v>
      </c>
      <c r="K30" s="51">
        <f>IF(AND(C$7="Y",$B30&lt;=$C$4),0,IF(AND(C$7="N",C$4&gt;0,B30&lt;=C$4),0,S30*(C30-J30)))</f>
        <v>639630.3213540517</v>
      </c>
      <c r="L30" s="49">
        <f>IF(AND(C$7="Y",$B30&lt;=$C$4),0,IF(AND(C$7="N",C$4&gt;0,B30&lt;=C$4),0,U30*D29))</f>
        <v>263890.33261307928</v>
      </c>
      <c r="M30" s="49">
        <f t="shared" ref="M30:M43" si="16">IFERROR(L26*-1,0)</f>
        <v>-302459.8945806477</v>
      </c>
      <c r="N30" s="49">
        <f t="shared" si="15"/>
        <v>0</v>
      </c>
      <c r="O30" s="48">
        <f>K30+I30+J30-L30+N30+G30</f>
        <v>1873489.3918509302</v>
      </c>
      <c r="P30" s="38">
        <f>O30*(1/((1+P$12)^(B30/12)))</f>
        <v>1873489.3918509302</v>
      </c>
      <c r="Q30" s="53"/>
      <c r="R30" s="53">
        <f t="shared" si="6"/>
        <v>0.12</v>
      </c>
      <c r="S30" s="53">
        <f t="shared" si="7"/>
        <v>1.0596241035318976E-2</v>
      </c>
      <c r="T30" s="53">
        <f t="shared" si="8"/>
        <v>0.05</v>
      </c>
      <c r="U30" s="53">
        <f t="shared" si="11"/>
        <v>4.2653187775606449E-3</v>
      </c>
    </row>
    <row r="31" spans="1:21" x14ac:dyDescent="0.2">
      <c r="A31" s="62">
        <f t="shared" si="1"/>
        <v>0.57624448023250019</v>
      </c>
      <c r="B31" s="45">
        <f t="shared" si="2"/>
        <v>17</v>
      </c>
      <c r="C31" s="51">
        <f>IF(B31&lt;C$4,C$1,D30-L31+N31)</f>
        <v>59469516.022515982</v>
      </c>
      <c r="D31" s="47" cm="1">
        <f t="array" ref="D31">_xlfn.IFS(AND($C$7="Y",B31&lt;C$4),C31,AND($C$7="Y",B31=C$4),D30+F31-J31-K31-L31+N31,AND($C$7="Y",B31&gt;$C$4),D30-J31-K31-L31+N31, TRUE, D30-J31-K31-L31+N31)</f>
        <v>57624448.023250014</v>
      </c>
      <c r="E31" s="48">
        <f t="shared" si="3"/>
        <v>0</v>
      </c>
      <c r="F31" s="50">
        <f t="shared" si="4"/>
        <v>0</v>
      </c>
      <c r="G31" s="50">
        <f t="shared" si="12"/>
        <v>0</v>
      </c>
      <c r="H31" s="51">
        <f t="shared" si="5"/>
        <v>1475715.7239839372</v>
      </c>
      <c r="I31" s="52">
        <f>IF(AND(C$7="Y",$B31&lt;=C$4),0,IF(AND(C$7="Y",$B31&gt;C$4),(1-U31)*C$2*D30/12,IF(AND($C$7="N",C$4&gt;0),(1-U31)*D30*C$2/12, (1-U31)*D30*C$2/12)))</f>
        <v>247789.6500938166</v>
      </c>
      <c r="J31" s="52">
        <f>IF(AND($B31&lt;=$C$4,C$7="Y"),0,IF(AND(C$7="N",C$4&gt;0,B31&lt;=C$4),0,H31-I31))</f>
        <v>1227926.0738901205</v>
      </c>
      <c r="K31" s="51">
        <f>IF(AND(C$7="Y",$B31&lt;=$C$4),0,IF(AND(C$7="N",C$4&gt;0,B31&lt;=C$4),0,S31*(C31-J31)))</f>
        <v>617141.92537585064</v>
      </c>
      <c r="L31" s="49">
        <f>IF(AND(C$7="Y",$B31&lt;=$C$4),0,IF(AND(C$7="N",C$4&gt;0,B31&lt;=C$4),0,U31*D30))</f>
        <v>254743.00349955994</v>
      </c>
      <c r="M31" s="49">
        <f t="shared" si="16"/>
        <v>-292513.25983849267</v>
      </c>
      <c r="N31" s="49">
        <f t="shared" si="15"/>
        <v>0</v>
      </c>
      <c r="O31" s="48">
        <f>K31+I31+J31-L31+N31+G31</f>
        <v>1838114.6458602278</v>
      </c>
      <c r="P31" s="38">
        <f>O31*(1/((1+P$12)^(B31/12)))</f>
        <v>1838114.6458602278</v>
      </c>
      <c r="Q31" s="53"/>
      <c r="R31" s="53">
        <f t="shared" si="6"/>
        <v>0.12</v>
      </c>
      <c r="S31" s="53">
        <f t="shared" si="7"/>
        <v>1.0596241035318976E-2</v>
      </c>
      <c r="T31" s="53">
        <f t="shared" si="8"/>
        <v>0.05</v>
      </c>
      <c r="U31" s="53">
        <f t="shared" si="11"/>
        <v>4.2653187775606449E-3</v>
      </c>
    </row>
    <row r="32" spans="1:21" x14ac:dyDescent="0.2">
      <c r="A32" s="62">
        <f t="shared" si="1"/>
        <v>0.5556860524584688</v>
      </c>
      <c r="B32" s="45">
        <f t="shared" si="2"/>
        <v>18</v>
      </c>
      <c r="C32" s="51">
        <f>IF(B32&lt;C$4,C$1,D31-L32+N32)</f>
        <v>57378661.383049875</v>
      </c>
      <c r="D32" s="47" cm="1">
        <f t="array" ref="D32">_xlfn.IFS(AND($C$7="Y",B32&lt;C$4),C32,AND($C$7="Y",B32=C$4),D31+F32-J32-K32-L32+N32,AND($C$7="Y",B32&gt;$C$4),D31-J32-K32-L32+N32, TRUE, D31-J32-K32-L32+N32)</f>
        <v>55568605.245846882</v>
      </c>
      <c r="E32" s="48">
        <f t="shared" si="3"/>
        <v>0</v>
      </c>
      <c r="F32" s="50">
        <f t="shared" si="4"/>
        <v>0</v>
      </c>
      <c r="G32" s="50">
        <f t="shared" si="12"/>
        <v>0</v>
      </c>
      <c r="H32" s="51">
        <f t="shared" si="5"/>
        <v>1454009.4760162183</v>
      </c>
      <c r="I32" s="52">
        <f>IF(AND(C$7="Y",$B32&lt;=C$4),0,IF(AND(C$7="Y",$B32&gt;C$4),(1-U32)*C$2*D31/12,IF(AND($C$7="N",C$4&gt;0),(1-U32)*D31*C$2/12, (1-U32)*D31*C$2/12)))</f>
        <v>239077.75576270782</v>
      </c>
      <c r="J32" s="52">
        <f>IF(AND($B32&lt;=$C$4,C$7="Y"),0,IF(AND(C$7="N",C$4&gt;0,B32&lt;=C$4),0,H32-I32))</f>
        <v>1214931.7202535104</v>
      </c>
      <c r="K32" s="51">
        <f>IF(AND(C$7="Y",$B32&lt;=$C$4),0,IF(AND(C$7="N",C$4&gt;0,B32&lt;=C$4),0,S32*(C32-J32)))</f>
        <v>595124.41694948438</v>
      </c>
      <c r="L32" s="49">
        <f>IF(AND(C$7="Y",$B32&lt;=$C$4),0,IF(AND(C$7="N",C$4&gt;0,B32&lt;=C$4),0,U32*D31))</f>
        <v>245786.64020013568</v>
      </c>
      <c r="M32" s="49">
        <f t="shared" si="16"/>
        <v>-282771.8871990309</v>
      </c>
      <c r="N32" s="49">
        <f t="shared" si="15"/>
        <v>0</v>
      </c>
      <c r="O32" s="48">
        <f>K32+I32+J32-L32+N32+G32</f>
        <v>1803347.2527655668</v>
      </c>
      <c r="P32" s="38">
        <f>O32*(1/((1+P$12)^(B32/12)))</f>
        <v>1803347.2527655668</v>
      </c>
      <c r="Q32" s="53"/>
      <c r="R32" s="53">
        <f t="shared" si="6"/>
        <v>0.12</v>
      </c>
      <c r="S32" s="53">
        <f t="shared" si="7"/>
        <v>1.0596241035318976E-2</v>
      </c>
      <c r="T32" s="53">
        <f t="shared" si="8"/>
        <v>0.05</v>
      </c>
      <c r="U32" s="53">
        <f t="shared" si="11"/>
        <v>4.2653187775606449E-3</v>
      </c>
    </row>
    <row r="33" spans="1:23" x14ac:dyDescent="0.2">
      <c r="A33" s="62">
        <f t="shared" si="1"/>
        <v>0.53555940478034159</v>
      </c>
      <c r="B33" s="45">
        <f t="shared" si="2"/>
        <v>19</v>
      </c>
      <c r="C33" s="51">
        <f>IF(B33&lt;C$4,C$1,D32-L33+N33)</f>
        <v>55331587.43044892</v>
      </c>
      <c r="D33" s="47" cm="1">
        <f t="array" ref="D33">_xlfn.IFS(AND($C$7="Y",B33&lt;C$4),C33,AND($C$7="Y",B33=C$4),D32+F33-J33-K33-L33+N33,AND($C$7="Y",B33&gt;$C$4),D32-J33-K33-L33+N33, TRUE, D32-J33-K33-L33+N33)</f>
        <v>53555940.478034154</v>
      </c>
      <c r="E33" s="48">
        <f t="shared" si="3"/>
        <v>0</v>
      </c>
      <c r="F33" s="50">
        <f t="shared" si="4"/>
        <v>0</v>
      </c>
      <c r="G33" s="50">
        <f t="shared" si="12"/>
        <v>0</v>
      </c>
      <c r="H33" s="51">
        <f t="shared" si="5"/>
        <v>1432625.900292719</v>
      </c>
      <c r="I33" s="52">
        <f>IF(AND(C$7="Y",$B33&lt;=C$4),0,IF(AND(C$7="Y",$B33&gt;C$4),(1-U33)*C$2*D32/12,IF(AND($C$7="N",C$4&gt;0),(1-U33)*D32*C$2/12, (1-U33)*D32*C$2/12)))</f>
        <v>230548.28096020385</v>
      </c>
      <c r="J33" s="52">
        <f>IF(AND($B33&lt;=$C$4,C$7="Y"),0,IF(AND(C$7="N",C$4&gt;0,B33&lt;=C$4),0,H33-I33))</f>
        <v>1202077.6193325152</v>
      </c>
      <c r="K33" s="51">
        <f>IF(AND(C$7="Y",$B33&lt;=$C$4),0,IF(AND(C$7="N",C$4&gt;0,B33&lt;=C$4),0,S33*(C33-J33)))</f>
        <v>573569.33308225276</v>
      </c>
      <c r="L33" s="49">
        <f>IF(AND(C$7="Y",$B33&lt;=$C$4),0,IF(AND(C$7="N",C$4&gt;0,B33&lt;=C$4),0,U33*D32))</f>
        <v>237017.81539796566</v>
      </c>
      <c r="M33" s="49">
        <f t="shared" si="16"/>
        <v>-273232.11259601312</v>
      </c>
      <c r="N33" s="49">
        <f t="shared" si="15"/>
        <v>0</v>
      </c>
      <c r="O33" s="48">
        <f>K33+I33+J33-L33+N33+G33</f>
        <v>1769177.4179770062</v>
      </c>
      <c r="P33" s="38">
        <f>O33*(1/((1+P$12)^(B33/12)))</f>
        <v>1769177.4179770062</v>
      </c>
      <c r="Q33" s="53"/>
      <c r="R33" s="53">
        <f t="shared" si="6"/>
        <v>0.12</v>
      </c>
      <c r="S33" s="53">
        <f t="shared" si="7"/>
        <v>1.0596241035318976E-2</v>
      </c>
      <c r="T33" s="53">
        <f t="shared" si="8"/>
        <v>0.05</v>
      </c>
      <c r="U33" s="53">
        <f t="shared" si="11"/>
        <v>4.2653187775606449E-3</v>
      </c>
    </row>
    <row r="34" spans="1:23" x14ac:dyDescent="0.2">
      <c r="A34" s="62">
        <f t="shared" si="1"/>
        <v>0.5158567660118365</v>
      </c>
      <c r="B34" s="45">
        <f t="shared" si="2"/>
        <v>20</v>
      </c>
      <c r="C34" s="51">
        <f>IF(B34&lt;C$4,C$1,D33-L34+N34)</f>
        <v>53327507.319463275</v>
      </c>
      <c r="D34" s="47" cm="1">
        <f t="array" ref="D34">_xlfn.IFS(AND($C$7="Y",B34&lt;C$4),C34,AND($C$7="Y",B34=C$4),D33+F34-J34-K34-L34+N34,AND($C$7="Y",B34&gt;$C$4),D33-J34-K34-L34+N34, TRUE, D33-J34-K34-L34+N34)</f>
        <v>51585676.601183645</v>
      </c>
      <c r="E34" s="48">
        <f t="shared" si="3"/>
        <v>0</v>
      </c>
      <c r="F34" s="50">
        <f t="shared" si="4"/>
        <v>0</v>
      </c>
      <c r="G34" s="50">
        <f t="shared" si="12"/>
        <v>0</v>
      </c>
      <c r="H34" s="51">
        <f t="shared" si="5"/>
        <v>1411560.3143958109</v>
      </c>
      <c r="I34" s="52">
        <f>IF(AND(C$7="Y",$B34&lt;=C$4),0,IF(AND(C$7="Y",$B34&gt;C$4),(1-U34)*C$2*D33/12,IF(AND($C$7="N",C$4&gt;0),(1-U34)*D33*C$2/12, (1-U34)*D33*C$2/12)))</f>
        <v>222197.94716443031</v>
      </c>
      <c r="J34" s="52">
        <f>IF(AND($B34&lt;=$C$4,C$7="Y"),0,IF(AND(C$7="N",C$4&gt;0,B34&lt;=C$4),0,H34-I34))</f>
        <v>1189362.3672313807</v>
      </c>
      <c r="K34" s="51">
        <f>IF(AND(C$7="Y",$B34&lt;=$C$4),0,IF(AND(C$7="N",C$4&gt;0,B34&lt;=C$4),0,S34*(C34-J34)))</f>
        <v>552468.35104824847</v>
      </c>
      <c r="L34" s="49">
        <f>IF(AND(C$7="Y",$B34&lt;=$C$4),0,IF(AND(C$7="N",C$4&gt;0,B34&lt;=C$4),0,U34*D33))</f>
        <v>228433.15857087928</v>
      </c>
      <c r="M34" s="49">
        <f t="shared" si="16"/>
        <v>-263890.33261307928</v>
      </c>
      <c r="N34" s="49">
        <f>IFERROR((1-$N$12)*L30,0)</f>
        <v>0</v>
      </c>
      <c r="O34" s="48">
        <f>K34+I34+J34-L34+N34+G34</f>
        <v>1735595.5068731799</v>
      </c>
      <c r="P34" s="38">
        <f>O34*(1/((1+P$12)^(B34/12)))</f>
        <v>1735595.5068731799</v>
      </c>
      <c r="Q34" s="53"/>
      <c r="R34" s="53">
        <f t="shared" si="6"/>
        <v>0.12</v>
      </c>
      <c r="S34" s="53">
        <f t="shared" si="7"/>
        <v>1.0596241035318976E-2</v>
      </c>
      <c r="T34" s="53">
        <f t="shared" si="8"/>
        <v>0.05</v>
      </c>
      <c r="U34" s="53">
        <f t="shared" si="11"/>
        <v>4.2653187775606449E-3</v>
      </c>
    </row>
    <row r="35" spans="1:23" x14ac:dyDescent="0.2">
      <c r="A35" s="62">
        <f t="shared" si="1"/>
        <v>0.49657049378351403</v>
      </c>
      <c r="B35" s="45">
        <f t="shared" si="2"/>
        <v>21</v>
      </c>
      <c r="C35" s="51">
        <f>IF(B35&lt;C$4,C$1,D34-L35+N35)</f>
        <v>51365647.246123448</v>
      </c>
      <c r="D35" s="47" cm="1">
        <f t="array" ref="D35">_xlfn.IFS(AND($C$7="Y",B35&lt;C$4),C35,AND($C$7="Y",B35=C$4),D34+F35-J35-K35-L35+N35,AND($C$7="Y",B35&gt;$C$4),D34-J35-K35-L35+N35, TRUE, D34-J35-K35-L35+N35)</f>
        <v>49657049.378351405</v>
      </c>
      <c r="E35" s="48">
        <f t="shared" si="3"/>
        <v>0</v>
      </c>
      <c r="F35" s="50">
        <f t="shared" si="4"/>
        <v>0</v>
      </c>
      <c r="G35" s="50">
        <f t="shared" si="12"/>
        <v>0</v>
      </c>
      <c r="H35" s="51">
        <f t="shared" si="5"/>
        <v>1390808.1118833798</v>
      </c>
      <c r="I35" s="52">
        <f>IF(AND(C$7="Y",$B35&lt;=C$4),0,IF(AND(C$7="Y",$B35&gt;C$4),(1-U35)*C$2*D34/12,IF(AND($C$7="N",C$4&gt;0),(1-U35)*D34*C$2/12, (1-U35)*D34*C$2/12)))</f>
        <v>214023.53019218103</v>
      </c>
      <c r="J35" s="52">
        <f>IF(AND($B35&lt;=$C$4,C$7="Y"),0,IF(AND(C$7="N",C$4&gt;0,B35&lt;=C$4),0,H35-I35))</f>
        <v>1176784.5816911987</v>
      </c>
      <c r="K35" s="51">
        <f>IF(AND(C$7="Y",$B35&lt;=$C$4),0,IF(AND(C$7="N",C$4&gt;0,B35&lt;=C$4),0,S35*(C35-J35)))</f>
        <v>531813.28608084552</v>
      </c>
      <c r="L35" s="49">
        <f>IF(AND(C$7="Y",$B35&lt;=$C$4),0,IF(AND(C$7="N",C$4&gt;0,B35&lt;=C$4),0,U35*D34))</f>
        <v>220029.35506019939</v>
      </c>
      <c r="M35" s="49">
        <f t="shared" si="16"/>
        <v>-254743.00349955994</v>
      </c>
      <c r="N35" s="49">
        <f t="shared" ref="N35:N98" si="17">IFERROR((1-$N$12)*L31,0)</f>
        <v>0</v>
      </c>
      <c r="O35" s="48">
        <f>K35+I35+J35-L35+N35+G35</f>
        <v>1702592.0429040259</v>
      </c>
      <c r="P35" s="38">
        <f>O35*(1/((1+P$12)^(B35/12)))</f>
        <v>1702592.0429040259</v>
      </c>
      <c r="Q35" s="53"/>
      <c r="R35" s="53">
        <f t="shared" si="6"/>
        <v>0.12</v>
      </c>
      <c r="S35" s="53">
        <f t="shared" si="7"/>
        <v>1.0596241035318976E-2</v>
      </c>
      <c r="T35" s="53">
        <f t="shared" si="8"/>
        <v>0.05</v>
      </c>
      <c r="U35" s="53">
        <f t="shared" si="11"/>
        <v>4.2653187775606449E-3</v>
      </c>
    </row>
    <row r="36" spans="1:23" x14ac:dyDescent="0.2">
      <c r="A36" s="62">
        <f t="shared" si="1"/>
        <v>0.47769307241556203</v>
      </c>
      <c r="B36" s="45">
        <f t="shared" si="2"/>
        <v>22</v>
      </c>
      <c r="C36" s="51">
        <f>IF(B36&lt;C$4,C$1,D35-L36+N36)</f>
        <v>49445246.233199663</v>
      </c>
      <c r="D36" s="47" cm="1">
        <f t="array" ref="D36">_xlfn.IFS(AND($C$7="Y",B36&lt;C$4),C36,AND($C$7="Y",B36=C$4),D35+F36-J36-K36-L36+N36,AND($C$7="Y",B36&gt;$C$4),D35-J36-K36-L36+N36, TRUE, D35-J36-K36-L36+N36)</f>
        <v>47769307.241556205</v>
      </c>
      <c r="E36" s="48">
        <f t="shared" si="3"/>
        <v>0</v>
      </c>
      <c r="F36" s="50">
        <f t="shared" si="4"/>
        <v>0</v>
      </c>
      <c r="G36" s="50">
        <f t="shared" si="12"/>
        <v>0</v>
      </c>
      <c r="H36" s="51">
        <f t="shared" si="5"/>
        <v>1370364.7618539471</v>
      </c>
      <c r="I36" s="52">
        <f>IF(AND(C$7="Y",$B36&lt;=C$4),0,IF(AND(C$7="Y",$B36&gt;C$4),(1-U36)*C$2*D35/12,IF(AND($C$7="N",C$4&gt;0),(1-U36)*D35*C$2/12, (1-U36)*D35*C$2/12)))</f>
        <v>206021.85930499862</v>
      </c>
      <c r="J36" s="52">
        <f>IF(AND($B36&lt;=$C$4,C$7="Y"),0,IF(AND(C$7="N",C$4&gt;0,B36&lt;=C$4),0,H36-I36))</f>
        <v>1164342.9025489485</v>
      </c>
      <c r="K36" s="51">
        <f>IF(AND(C$7="Y",$B36&lt;=$C$4),0,IF(AND(C$7="N",C$4&gt;0,B36&lt;=C$4),0,S36*(C36-J36)))</f>
        <v>511596.08909450978</v>
      </c>
      <c r="L36" s="49">
        <f>IF(AND(C$7="Y",$B36&lt;=$C$4),0,IF(AND(C$7="N",C$4&gt;0,B36&lt;=C$4),0,U36*D35))</f>
        <v>211803.1451517384</v>
      </c>
      <c r="M36" s="49">
        <f t="shared" si="16"/>
        <v>-245786.64020013568</v>
      </c>
      <c r="N36" s="49">
        <f t="shared" si="17"/>
        <v>0</v>
      </c>
      <c r="O36" s="48">
        <f>K36+I36+J36-L36+N36+G36</f>
        <v>1670157.7057967186</v>
      </c>
      <c r="P36" s="38">
        <f>O36*(1/((1+P$12)^(B36/12)))</f>
        <v>1670157.7057967186</v>
      </c>
      <c r="Q36" s="53"/>
      <c r="R36" s="53">
        <f t="shared" si="6"/>
        <v>0.12</v>
      </c>
      <c r="S36" s="53">
        <f t="shared" si="7"/>
        <v>1.0596241035318976E-2</v>
      </c>
      <c r="T36" s="53">
        <f t="shared" si="8"/>
        <v>0.05</v>
      </c>
      <c r="U36" s="53">
        <f t="shared" si="11"/>
        <v>4.2653187775606449E-3</v>
      </c>
      <c r="W36" s="49"/>
    </row>
    <row r="37" spans="1:23" x14ac:dyDescent="0.2">
      <c r="A37" s="62">
        <f t="shared" si="1"/>
        <v>0.45921711081670785</v>
      </c>
      <c r="B37" s="45">
        <f t="shared" si="2"/>
        <v>23</v>
      </c>
      <c r="C37" s="51">
        <f>IF(B37&lt;C$4,C$1,D36-L37+N37)</f>
        <v>47565555.918387733</v>
      </c>
      <c r="D37" s="47" cm="1">
        <f t="array" ref="D37">_xlfn.IFS(AND($C$7="Y",B37&lt;C$4),C37,AND($C$7="Y",B37=C$4),D36+F37-J37-K37-L37+N37,AND($C$7="Y",B37&gt;$C$4),D36-J37-K37-L37+N37, TRUE, D36-J37-K37-L37+N37)</f>
        <v>45921711.081670783</v>
      </c>
      <c r="E37" s="48">
        <f t="shared" si="3"/>
        <v>0</v>
      </c>
      <c r="F37" s="50">
        <f t="shared" si="4"/>
        <v>0</v>
      </c>
      <c r="G37" s="50">
        <f t="shared" si="12"/>
        <v>0</v>
      </c>
      <c r="H37" s="51">
        <f t="shared" si="5"/>
        <v>1350225.8086089778</v>
      </c>
      <c r="I37" s="52">
        <f>IF(AND(C$7="Y",$B37&lt;=C$4),0,IF(AND(C$7="Y",$B37&gt;C$4),(1-U37)*C$2*D36/12,IF(AND($C$7="N",C$4&gt;0),(1-U37)*D36*C$2/12, (1-U37)*D36*C$2/12)))</f>
        <v>198189.81632661555</v>
      </c>
      <c r="J37" s="52">
        <f>IF(AND($B37&lt;=$C$4,C$7="Y"),0,IF(AND(C$7="N",C$4&gt;0,B37&lt;=C$4),0,H37-I37))</f>
        <v>1152035.9922823622</v>
      </c>
      <c r="K37" s="51">
        <f>IF(AND(C$7="Y",$B37&lt;=$C$4),0,IF(AND(C$7="N",C$4&gt;0,B37&lt;=C$4),0,S37*(C37-J37)))</f>
        <v>491808.8444345927</v>
      </c>
      <c r="L37" s="49">
        <f>IF(AND(C$7="Y",$B37&lt;=$C$4),0,IF(AND(C$7="N",C$4&gt;0,B37&lt;=C$4),0,U37*D36))</f>
        <v>203751.32316847338</v>
      </c>
      <c r="M37" s="49">
        <f t="shared" si="16"/>
        <v>-237017.81539796566</v>
      </c>
      <c r="N37" s="49">
        <f t="shared" si="17"/>
        <v>0</v>
      </c>
      <c r="O37" s="48">
        <f>K37+I37+J37-L37+N37+G37</f>
        <v>1638283.3298750971</v>
      </c>
      <c r="P37" s="38">
        <f>O37*(1/((1+P$12)^(B37/12)))</f>
        <v>1638283.3298750971</v>
      </c>
      <c r="Q37" s="53"/>
      <c r="R37" s="53">
        <f t="shared" si="6"/>
        <v>0.12</v>
      </c>
      <c r="S37" s="53">
        <f t="shared" si="7"/>
        <v>1.0596241035318976E-2</v>
      </c>
      <c r="T37" s="53">
        <f t="shared" si="8"/>
        <v>0.05</v>
      </c>
      <c r="U37" s="53">
        <f t="shared" si="11"/>
        <v>4.2653187775606449E-3</v>
      </c>
    </row>
    <row r="38" spans="1:23" x14ac:dyDescent="0.2">
      <c r="A38" s="62">
        <f t="shared" si="1"/>
        <v>0.4411353404078836</v>
      </c>
      <c r="B38" s="45">
        <f t="shared" si="2"/>
        <v>24</v>
      </c>
      <c r="C38" s="51">
        <f>IF(B38&lt;C$4,C$1,D37-L38+N38)</f>
        <v>45725840.345096417</v>
      </c>
      <c r="D38" s="47" cm="1">
        <f t="array" ref="D38">_xlfn.IFS(AND($C$7="Y",B38&lt;C$4),C38,AND($C$7="Y",B38=C$4),D37+F38-J38-K38-L38+N38,AND($C$7="Y",B38&gt;$C$4),D37-J38-K38-L38+N38, TRUE, D37-J38-K38-L38+N38)</f>
        <v>44113534.04078836</v>
      </c>
      <c r="E38" s="48">
        <f t="shared" si="3"/>
        <v>0</v>
      </c>
      <c r="F38" s="50">
        <f t="shared" si="4"/>
        <v>0</v>
      </c>
      <c r="G38" s="50">
        <f t="shared" si="12"/>
        <v>0</v>
      </c>
      <c r="H38" s="51">
        <f t="shared" si="5"/>
        <v>1330386.8714256538</v>
      </c>
      <c r="I38" s="52">
        <f>IF(AND(C$7="Y",$B38&lt;=C$4),0,IF(AND(C$7="Y",$B38&gt;C$4),(1-U38)*C$2*D37/12,IF(AND($C$7="N",C$4&gt;0),(1-U38)*D37*C$2/12, (1-U38)*D37*C$2/12)))</f>
        <v>190524.3347712351</v>
      </c>
      <c r="J38" s="52">
        <f>IF(AND($B38&lt;=$C$4,C$7="Y"),0,IF(AND(C$7="N",C$4&gt;0,B38&lt;=C$4),0,H38-I38))</f>
        <v>1139862.5366544188</v>
      </c>
      <c r="K38" s="51">
        <f>IF(AND(C$7="Y",$B38&lt;=$C$4),0,IF(AND(C$7="N",C$4&gt;0,B38&lt;=C$4),0,S38*(C38-J38)))</f>
        <v>472443.76765363431</v>
      </c>
      <c r="L38" s="49">
        <f>IF(AND(C$7="Y",$B38&lt;=$C$4),0,IF(AND(C$7="N",C$4&gt;0,B38&lt;=C$4),0,U38*D37))</f>
        <v>195870.73657436515</v>
      </c>
      <c r="M38" s="49">
        <f t="shared" si="16"/>
        <v>-228433.15857087928</v>
      </c>
      <c r="N38" s="49">
        <f t="shared" si="17"/>
        <v>0</v>
      </c>
      <c r="O38" s="48">
        <f>K38+I38+J38-L38+N38+G38</f>
        <v>1606959.9025049231</v>
      </c>
      <c r="P38" s="38">
        <f>O38*(1/((1+P$12)^(B38/12)))</f>
        <v>1606959.9025049231</v>
      </c>
      <c r="Q38" s="53"/>
      <c r="R38" s="53">
        <f t="shared" si="6"/>
        <v>0.12</v>
      </c>
      <c r="S38" s="53">
        <f t="shared" si="7"/>
        <v>1.0596241035318976E-2</v>
      </c>
      <c r="T38" s="53">
        <f t="shared" si="8"/>
        <v>0.05</v>
      </c>
      <c r="U38" s="53">
        <f t="shared" si="11"/>
        <v>4.2653187775606449E-3</v>
      </c>
    </row>
    <row r="39" spans="1:23" s="59" customFormat="1" x14ac:dyDescent="0.2">
      <c r="A39" s="62">
        <f t="shared" si="1"/>
        <v>0.42344061306913094</v>
      </c>
      <c r="B39" s="54">
        <f t="shared" si="2"/>
        <v>25</v>
      </c>
      <c r="C39" s="51">
        <f>IF(B39&lt;C$4,C$1,D38-L39+N39)</f>
        <v>43925375.755699627</v>
      </c>
      <c r="D39" s="47" cm="1">
        <f t="array" ref="D39">_xlfn.IFS(AND($C$7="Y",B39&lt;C$4),C39,AND($C$7="Y",B39=C$4),D38+F39-J39-K39-L39+N39,AND($C$7="Y",B39&gt;$C$4),D38-J39-K39-L39+N39, TRUE, D38-J39-K39-L39+N39)</f>
        <v>42344061.306913093</v>
      </c>
      <c r="E39" s="48">
        <f t="shared" si="3"/>
        <v>0</v>
      </c>
      <c r="F39" s="50">
        <f t="shared" si="4"/>
        <v>0</v>
      </c>
      <c r="G39" s="56">
        <f t="shared" si="12"/>
        <v>0</v>
      </c>
      <c r="H39" s="51">
        <f t="shared" si="5"/>
        <v>1310843.6444560636</v>
      </c>
      <c r="I39" s="52">
        <f>IF(AND(C$7="Y",$B39&lt;=C$4),0,IF(AND(C$7="Y",$B39&gt;C$4),(1-U39)*C$2*D38/12,IF(AND($C$7="N",C$4&gt;0),(1-U39)*D38*C$2/12, (1-U39)*D38*C$2/12)))</f>
        <v>183022.3989820818</v>
      </c>
      <c r="J39" s="57">
        <f>IF(AND($B39&lt;=$C$4,C$7="Y"),0,IF(AND(C$7="N",C$4&gt;0,B39&lt;=C$4),0,H39-I39))</f>
        <v>1127821.2454739818</v>
      </c>
      <c r="K39" s="55">
        <f>IF(AND(C$7="Y",$B39&lt;=$C$4),0,IF(AND(C$7="N",C$4&gt;0,B39&lt;=C$4),0,S39*(C39-J39)))</f>
        <v>453493.2033125537</v>
      </c>
      <c r="L39" s="55">
        <f>IF(AND(C$7="Y",$B39&lt;=$C$4),0,IF(AND(C$7="N",C$4&gt;0,B39&lt;=C$4),0,U39*D38))</f>
        <v>188158.28508873531</v>
      </c>
      <c r="M39" s="55">
        <f t="shared" si="16"/>
        <v>-220029.35506019939</v>
      </c>
      <c r="N39" s="55">
        <f t="shared" si="17"/>
        <v>0</v>
      </c>
      <c r="O39" s="48">
        <f>K39+I39+J39-L39+N39+G39</f>
        <v>1576178.5626798819</v>
      </c>
      <c r="P39" s="58">
        <f>O39*(1/((1+P$12)^(B39/12)))</f>
        <v>1576178.5626798819</v>
      </c>
      <c r="Q39" s="53"/>
      <c r="R39" s="53">
        <f t="shared" si="6"/>
        <v>0.12</v>
      </c>
      <c r="S39" s="53">
        <f t="shared" si="7"/>
        <v>1.0596241035318976E-2</v>
      </c>
      <c r="T39" s="53">
        <f t="shared" si="8"/>
        <v>0.05</v>
      </c>
      <c r="U39" s="53">
        <f t="shared" si="11"/>
        <v>4.2653187775606449E-3</v>
      </c>
    </row>
    <row r="40" spans="1:23" x14ac:dyDescent="0.2">
      <c r="A40" s="62">
        <f t="shared" si="1"/>
        <v>0.40612589910805152</v>
      </c>
      <c r="B40" s="45">
        <f t="shared" si="2"/>
        <v>26</v>
      </c>
      <c r="C40" s="51">
        <f>IF(B40&lt;C$4,C$1,D39-L40+N40)</f>
        <v>42163450.387102537</v>
      </c>
      <c r="D40" s="60" cm="1">
        <f t="array" ref="D40">_xlfn.IFS(AND($C$7="Y",B40&lt;C$4),C40,AND($C$7="Y",B40=C$4),D39+F40-J40-K40-L40+N40,AND($C$7="Y",B40&gt;$C$4),D39-J40-K40-L40+N40, TRUE, D39-J40-K40-L40+N40)</f>
        <v>40612589.910805151</v>
      </c>
      <c r="E40" s="48">
        <f t="shared" si="3"/>
        <v>0</v>
      </c>
      <c r="F40" s="50">
        <f t="shared" si="4"/>
        <v>0</v>
      </c>
      <c r="G40" s="50">
        <f t="shared" si="12"/>
        <v>0</v>
      </c>
      <c r="H40" s="51">
        <f t="shared" si="5"/>
        <v>1291591.8967720619</v>
      </c>
      <c r="I40" s="52">
        <f>IF(AND(C$7="Y",$B40&lt;=C$4),0,IF(AND(C$7="Y",$B40&gt;C$4),(1-U40)*C$2*D39/12,IF(AND($C$7="N",C$4&gt;0),(1-U40)*D39*C$2/12, (1-U40)*D39*C$2/12)))</f>
        <v>175681.04327959393</v>
      </c>
      <c r="J40" s="52">
        <f>IF(AND($B40&lt;=$C$4,C$7="Y"),0,IF(AND(C$7="N",C$4&gt;0,B40&lt;=C$4),0,H40-I40))</f>
        <v>1115910.8534924681</v>
      </c>
      <c r="K40" s="51">
        <f>IF(AND(C$7="Y",$B40&lt;=$C$4),0,IF(AND(C$7="N",C$4&gt;0,B40&lt;=C$4),0,S40*(C40-J40)))</f>
        <v>434949.62280491693</v>
      </c>
      <c r="L40" s="49">
        <f>IF(AND(C$7="Y",$B40&lt;=$C$4),0,IF(AND(C$7="N",C$4&gt;0,B40&lt;=C$4),0,U40*D39))</f>
        <v>180610.91981055556</v>
      </c>
      <c r="M40" s="49">
        <f t="shared" si="16"/>
        <v>-211803.1451517384</v>
      </c>
      <c r="N40" s="49">
        <f t="shared" si="17"/>
        <v>0</v>
      </c>
      <c r="O40" s="48">
        <f>K40+I40+J40-L40+N40+G40</f>
        <v>1545930.5997664232</v>
      </c>
      <c r="P40" s="38">
        <f>O40*(1/((1+P$12)^(B40/12)))</f>
        <v>1545930.5997664232</v>
      </c>
      <c r="Q40" s="53"/>
      <c r="R40" s="53">
        <f t="shared" si="6"/>
        <v>0.12</v>
      </c>
      <c r="S40" s="53">
        <f t="shared" si="7"/>
        <v>1.0596241035318976E-2</v>
      </c>
      <c r="T40" s="53">
        <f t="shared" si="8"/>
        <v>0.05</v>
      </c>
      <c r="U40" s="53">
        <f t="shared" si="11"/>
        <v>4.2653187775606449E-3</v>
      </c>
    </row>
    <row r="41" spans="1:23" x14ac:dyDescent="0.2">
      <c r="A41" s="62">
        <f t="shared" si="1"/>
        <v>0.38918428524790449</v>
      </c>
      <c r="B41" s="45">
        <f t="shared" si="2"/>
        <v>27</v>
      </c>
      <c r="C41" s="51">
        <f>IF(B41&lt;C$4,C$1,D40-L41+N41)</f>
        <v>40439364.268453225</v>
      </c>
      <c r="D41" s="47" cm="1">
        <f t="array" ref="D41">_xlfn.IFS(AND($C$7="Y",B41&lt;C$4),C41,AND($C$7="Y",B41=C$4),D40+F41-J41-K41-L41+N41,AND($C$7="Y",B41&gt;$C$4),D40-J41-K41-L41+N41, TRUE, D40-J41-K41-L41+N41)</f>
        <v>38918428.524790451</v>
      </c>
      <c r="E41" s="48">
        <f t="shared" si="3"/>
        <v>0</v>
      </c>
      <c r="F41" s="50">
        <f t="shared" si="4"/>
        <v>0</v>
      </c>
      <c r="G41" s="50">
        <f t="shared" si="12"/>
        <v>0</v>
      </c>
      <c r="H41" s="51">
        <f t="shared" si="5"/>
        <v>1272627.4725790857</v>
      </c>
      <c r="I41" s="52">
        <f>IF(AND(C$7="Y",$B41&lt;=C$4),0,IF(AND(C$7="Y",$B41&gt;C$4),(1-U41)*C$2*D40/12,IF(AND($C$7="N",C$4&gt;0),(1-U41)*D40*C$2/12, (1-U41)*D40*C$2/12)))</f>
        <v>168497.35111855512</v>
      </c>
      <c r="J41" s="52">
        <f>IF(AND($B41&lt;=$C$4,C$7="Y"),0,IF(AND(C$7="N",C$4&gt;0,B41&lt;=C$4),0,H41-I41))</f>
        <v>1104130.1214605307</v>
      </c>
      <c r="K41" s="51">
        <f>IF(AND(C$7="Y",$B41&lt;=$C$4),0,IF(AND(C$7="N",C$4&gt;0,B41&lt;=C$4),0,S41*(C41-J41)))</f>
        <v>416805.62220224424</v>
      </c>
      <c r="L41" s="49">
        <f>IF(AND(C$7="Y",$B41&lt;=$C$4),0,IF(AND(C$7="N",C$4&gt;0,B41&lt;=C$4),0,U41*D40))</f>
        <v>173225.64235192721</v>
      </c>
      <c r="M41" s="49">
        <f t="shared" si="16"/>
        <v>-203751.32316847338</v>
      </c>
      <c r="N41" s="49">
        <f t="shared" si="17"/>
        <v>0</v>
      </c>
      <c r="O41" s="48">
        <f>K41+I41+J41-L41+N41+G41</f>
        <v>1516207.4524294029</v>
      </c>
      <c r="P41" s="38">
        <f>O41*(1/((1+P$12)^(B41/12)))</f>
        <v>1516207.4524294029</v>
      </c>
      <c r="Q41" s="53"/>
      <c r="R41" s="53">
        <f t="shared" si="6"/>
        <v>0.12</v>
      </c>
      <c r="S41" s="53">
        <f t="shared" si="7"/>
        <v>1.0596241035318976E-2</v>
      </c>
      <c r="T41" s="53">
        <f t="shared" si="8"/>
        <v>0.05</v>
      </c>
      <c r="U41" s="53">
        <f t="shared" si="11"/>
        <v>4.2653187775606449E-3</v>
      </c>
    </row>
    <row r="42" spans="1:23" x14ac:dyDescent="0.2">
      <c r="A42" s="62">
        <f t="shared" si="1"/>
        <v>0.37260897263318538</v>
      </c>
      <c r="B42" s="45">
        <f t="shared" si="2"/>
        <v>28</v>
      </c>
      <c r="C42" s="51">
        <f>IF(B42&lt;C$4,C$1,D41-L42+N42)</f>
        <v>38752429.020810507</v>
      </c>
      <c r="D42" s="47" cm="1">
        <f t="array" ref="D42">_xlfn.IFS(AND($C$7="Y",B42&lt;C$4),C42,AND($C$7="Y",B42=C$4),D41+F42-J42-K42-L42+N42,AND($C$7="Y",B42&gt;$C$4),D41-J42-K42-L42+N42, TRUE, D41-J42-K42-L42+N42)</f>
        <v>37260897.263318539</v>
      </c>
      <c r="E42" s="48">
        <f t="shared" si="3"/>
        <v>0</v>
      </c>
      <c r="F42" s="50">
        <f t="shared" si="4"/>
        <v>0</v>
      </c>
      <c r="G42" s="50">
        <f t="shared" si="12"/>
        <v>0</v>
      </c>
      <c r="H42" s="51">
        <f t="shared" si="5"/>
        <v>1253946.2916273021</v>
      </c>
      <c r="I42" s="52">
        <f>IF(AND(C$7="Y",$B42&lt;=C$4),0,IF(AND(C$7="Y",$B42&gt;C$4),(1-U42)*C$2*D41/12,IF(AND($C$7="N",C$4&gt;0),(1-U42)*D41*C$2/12, (1-U42)*D41*C$2/12)))</f>
        <v>161468.45425337713</v>
      </c>
      <c r="J42" s="52">
        <f>IF(AND($B42&lt;=$C$4,C$7="Y"),0,IF(AND(C$7="N",C$4&gt;0,B42&lt;=C$4),0,H42-I42))</f>
        <v>1092477.8373739249</v>
      </c>
      <c r="K42" s="51">
        <f>IF(AND(C$7="Y",$B42&lt;=$C$4),0,IF(AND(C$7="N",C$4&gt;0,B42&lt;=C$4),0,S42*(C42-J42)))</f>
        <v>399053.92011804011</v>
      </c>
      <c r="L42" s="49">
        <f>IF(AND(C$7="Y",$B42&lt;=$C$4),0,IF(AND(C$7="N",C$4&gt;0,B42&lt;=C$4),0,U42*D41))</f>
        <v>165999.50397994055</v>
      </c>
      <c r="M42" s="49">
        <f t="shared" si="16"/>
        <v>-195870.73657436515</v>
      </c>
      <c r="N42" s="49">
        <f t="shared" si="17"/>
        <v>0</v>
      </c>
      <c r="O42" s="48">
        <f>K42+I42+J42-L42+N42+G42</f>
        <v>1487000.7077654018</v>
      </c>
      <c r="P42" s="38">
        <f>O42*(1/((1+P$12)^(B42/12)))</f>
        <v>1487000.7077654018</v>
      </c>
      <c r="Q42" s="53"/>
      <c r="R42" s="53">
        <f t="shared" si="6"/>
        <v>0.12</v>
      </c>
      <c r="S42" s="53">
        <f t="shared" si="7"/>
        <v>1.0596241035318976E-2</v>
      </c>
      <c r="T42" s="53">
        <f t="shared" si="8"/>
        <v>0.05</v>
      </c>
      <c r="U42" s="53">
        <f t="shared" si="11"/>
        <v>4.2653187775606449E-3</v>
      </c>
    </row>
    <row r="43" spans="1:23" x14ac:dyDescent="0.2">
      <c r="A43" s="62">
        <f t="shared" si="1"/>
        <v>0.35639327485020528</v>
      </c>
      <c r="B43" s="45">
        <f t="shared" si="2"/>
        <v>29</v>
      </c>
      <c r="C43" s="51">
        <f>IF(B43&lt;C$4,C$1,D42-L43+N43)</f>
        <v>37101967.65855255</v>
      </c>
      <c r="D43" s="47" cm="1">
        <f t="array" ref="D43">_xlfn.IFS(AND($C$7="Y",B43&lt;C$4),C43,AND($C$7="Y",B43=C$4),D42+F43-J43-K43-L43+N43,AND($C$7="Y",B43&gt;$C$4),D42-J43-K43-L43+N43, TRUE, D42-J43-K43-L43+N43)</f>
        <v>35639327.485020526</v>
      </c>
      <c r="E43" s="48">
        <f t="shared" si="3"/>
        <v>0</v>
      </c>
      <c r="F43" s="50">
        <f t="shared" si="4"/>
        <v>0</v>
      </c>
      <c r="G43" s="50">
        <f t="shared" si="12"/>
        <v>0</v>
      </c>
      <c r="H43" s="51">
        <f t="shared" si="5"/>
        <v>1235544.3498547685</v>
      </c>
      <c r="I43" s="52">
        <f>IF(AND(C$7="Y",$B43&lt;=C$4),0,IF(AND(C$7="Y",$B43&gt;C$4),(1-U43)*C$2*D42/12,IF(AND($C$7="N",C$4&gt;0),(1-U43)*D42*C$2/12, (1-U43)*D42*C$2/12)))</f>
        <v>154591.53191063562</v>
      </c>
      <c r="J43" s="52">
        <f>IF(AND($B43&lt;=$C$4,C$7="Y"),0,IF(AND(C$7="N",C$4&gt;0,B43&lt;=C$4),0,H43-I43))</f>
        <v>1080952.817944133</v>
      </c>
      <c r="K43" s="51">
        <f>IF(AND(C$7="Y",$B43&lt;=$C$4),0,IF(AND(C$7="N",C$4&gt;0,B43&lt;=C$4),0,S43*(C43-J43)))</f>
        <v>381687.35558788874</v>
      </c>
      <c r="L43" s="49">
        <f>IF(AND(C$7="Y",$B43&lt;=$C$4),0,IF(AND(C$7="N",C$4&gt;0,B43&lt;=C$4),0,U43*D42))</f>
        <v>158929.6047659906</v>
      </c>
      <c r="M43" s="49">
        <f t="shared" si="16"/>
        <v>-188158.28508873531</v>
      </c>
      <c r="N43" s="49">
        <f t="shared" si="17"/>
        <v>0</v>
      </c>
      <c r="O43" s="48">
        <f>K43+I43+J43-L43+N43+G43</f>
        <v>1458302.1006766667</v>
      </c>
      <c r="P43" s="38">
        <f>O43*(1/((1+P$12)^(B43/12)))</f>
        <v>1458302.1006766667</v>
      </c>
      <c r="Q43" s="53"/>
      <c r="R43" s="53">
        <f t="shared" si="6"/>
        <v>0.12</v>
      </c>
      <c r="S43" s="53">
        <f t="shared" si="7"/>
        <v>1.0596241035318976E-2</v>
      </c>
      <c r="T43" s="53">
        <f t="shared" si="8"/>
        <v>0.05</v>
      </c>
      <c r="U43" s="53">
        <f t="shared" si="11"/>
        <v>4.2653187775606449E-3</v>
      </c>
    </row>
    <row r="44" spans="1:23" x14ac:dyDescent="0.2">
      <c r="A44" s="62">
        <f t="shared" si="1"/>
        <v>0.34053061595979017</v>
      </c>
      <c r="B44" s="54">
        <f t="shared" si="2"/>
        <v>30</v>
      </c>
      <c r="C44" s="51">
        <f>IF(B44&lt;C$4,C$1,D43-L44+N44)</f>
        <v>35487314.392279036</v>
      </c>
      <c r="D44" s="60" cm="1">
        <f t="array" ref="D44">_xlfn.IFS(AND($C$7="Y",B44&lt;C$4),C44,AND($C$7="Y",B44=C$4),D43+F44-J44-K44-L44+N44,AND($C$7="Y",B44&gt;$C$4),D43-J44-K44-L44+N44, TRUE, D43-J44-K44-L44+N44)</f>
        <v>34053061.59597902</v>
      </c>
      <c r="E44" s="48">
        <f t="shared" si="3"/>
        <v>0</v>
      </c>
      <c r="F44" s="50">
        <f t="shared" si="4"/>
        <v>0</v>
      </c>
      <c r="G44" s="50">
        <f t="shared" si="12"/>
        <v>0</v>
      </c>
      <c r="H44" s="51">
        <f t="shared" si="5"/>
        <v>1217417.7203053148</v>
      </c>
      <c r="I44" s="52">
        <f>IF(AND(C$7="Y",$B44&lt;=C$4),0,IF(AND(C$7="Y",$B44&gt;C$4),(1-U44)*C$2*D43/12,IF(AND($C$7="N",C$4&gt;0),(1-U44)*D43*C$2/12, (1-U44)*D43*C$2/12)))</f>
        <v>147863.80996782932</v>
      </c>
      <c r="J44" s="52">
        <f>IF(AND($B44&lt;=$C$4,C$7="Y"),0,IF(AND(C$7="N",C$4&gt;0,B44&lt;=C$4),0,H44-I44))</f>
        <v>1069553.9103374854</v>
      </c>
      <c r="K44" s="51">
        <f>IF(AND(C$7="Y",$B44&lt;=$C$4),0,IF(AND(C$7="N",C$4&gt;0,B44&lt;=C$4),0,S44*(C44-J44)))</f>
        <v>364698.88596252888</v>
      </c>
      <c r="L44" s="49">
        <f>IF(AND(C$7="Y",$B44&lt;=$C$4),0,IF(AND(C$7="N",C$4&gt;0,B44&lt;=C$4),0,U44*D43))</f>
        <v>152013.09274149124</v>
      </c>
      <c r="M44" s="49">
        <f>IFERROR(L40*-1,0)</f>
        <v>-180610.91981055556</v>
      </c>
      <c r="N44" s="49">
        <f t="shared" si="17"/>
        <v>0</v>
      </c>
      <c r="O44" s="48">
        <f>K44+I44+J44-L44+N44+G44</f>
        <v>1430103.5135263524</v>
      </c>
      <c r="P44" s="38">
        <f>O44*(1/((1+P$12)^(B44/12)))</f>
        <v>1430103.5135263524</v>
      </c>
      <c r="Q44" s="53"/>
      <c r="R44" s="53">
        <f t="shared" si="6"/>
        <v>0.12</v>
      </c>
      <c r="S44" s="53">
        <f t="shared" si="7"/>
        <v>1.0596241035318976E-2</v>
      </c>
      <c r="T44" s="53">
        <f t="shared" si="8"/>
        <v>0.05</v>
      </c>
      <c r="U44" s="53">
        <f t="shared" si="11"/>
        <v>4.2653187775606449E-3</v>
      </c>
    </row>
    <row r="45" spans="1:23" x14ac:dyDescent="0.2">
      <c r="A45" s="62">
        <f t="shared" si="1"/>
        <v>0.32501452853873203</v>
      </c>
      <c r="B45" s="54">
        <f t="shared" si="2"/>
        <v>31</v>
      </c>
      <c r="C45" s="51">
        <f>IF(B45&lt;C$4,C$1,D44-L45+N45)</f>
        <v>33907814.432920262</v>
      </c>
      <c r="D45" s="60" cm="1">
        <f t="array" ref="D45">_xlfn.IFS(AND($C$7="Y",B45&lt;C$4),C45,AND($C$7="Y",B45=C$4),D44+F45-J45-K45-L45+N45,AND($C$7="Y",B45&gt;$C$4),D44-J45-K45-L45+N45, TRUE, D44-J45-K45-L45+N45)</f>
        <v>32501452.853873201</v>
      </c>
      <c r="E45" s="48">
        <f t="shared" si="3"/>
        <v>0</v>
      </c>
      <c r="F45" s="50">
        <f t="shared" si="4"/>
        <v>0</v>
      </c>
      <c r="G45" s="50">
        <f t="shared" si="12"/>
        <v>0</v>
      </c>
      <c r="H45" s="51">
        <f t="shared" si="5"/>
        <v>1199562.5543739274</v>
      </c>
      <c r="I45" s="52">
        <f>IF(AND(C$7="Y",$B45&lt;=C$4),0,IF(AND(C$7="Y",$B45&gt;C$4),(1-U45)*C$2*D44/12,IF(AND($C$7="N",C$4&gt;0),(1-U45)*D44*C$2/12, (1-U45)*D44*C$2/12)))</f>
        <v>141282.56013716778</v>
      </c>
      <c r="J45" s="52">
        <f>IF(AND($B45&lt;=$C$4,C$7="Y"),0,IF(AND(C$7="N",C$4&gt;0,B45&lt;=C$4),0,H45-I45))</f>
        <v>1058279.9942367596</v>
      </c>
      <c r="K45" s="51">
        <f>IF(AND(C$7="Y",$B45&lt;=$C$4),0,IF(AND(C$7="N",C$4&gt;0,B45&lt;=C$4),0,S45*(C45-J45)))</f>
        <v>348081.58481030201</v>
      </c>
      <c r="L45" s="49">
        <f>IF(AND(C$7="Y",$B45&lt;=$C$4),0,IF(AND(C$7="N",C$4&gt;0,B45&lt;=C$4),0,U45*D44))</f>
        <v>145247.16305875857</v>
      </c>
      <c r="M45" s="49">
        <f t="shared" ref="M45:M108" si="18">IFERROR(L41*-1,0)</f>
        <v>-173225.64235192721</v>
      </c>
      <c r="N45" s="49">
        <f t="shared" si="17"/>
        <v>0</v>
      </c>
      <c r="O45" s="48">
        <f>K45+I45+J45-L45+N45+G45</f>
        <v>1402396.9761254711</v>
      </c>
      <c r="P45" s="38">
        <f>O45*(1/((1+P$12)^(B45/12)))</f>
        <v>1402396.9761254711</v>
      </c>
      <c r="Q45" s="53"/>
      <c r="R45" s="53">
        <f t="shared" si="6"/>
        <v>0.12</v>
      </c>
      <c r="S45" s="53">
        <f t="shared" si="7"/>
        <v>1.0596241035318976E-2</v>
      </c>
      <c r="T45" s="53">
        <f t="shared" si="8"/>
        <v>0.05</v>
      </c>
      <c r="U45" s="53">
        <f t="shared" si="11"/>
        <v>4.2653187775606449E-3</v>
      </c>
    </row>
    <row r="46" spans="1:23" x14ac:dyDescent="0.2">
      <c r="A46" s="62">
        <f t="shared" si="1"/>
        <v>0.30983865172600411</v>
      </c>
      <c r="B46" s="45">
        <f t="shared" si="2"/>
        <v>32</v>
      </c>
      <c r="C46" s="51">
        <f>IF(B46&lt;C$4,C$1,D45-L46+N46)</f>
        <v>32362823.796717573</v>
      </c>
      <c r="D46" s="47" cm="1">
        <f t="array" ref="D46">_xlfn.IFS(AND($C$7="Y",B46&lt;C$4),C46,AND($C$7="Y",B46=C$4),D45+F46-J46-K46-L46+N46,AND($C$7="Y",B46&gt;$C$4),D45-J46-K46-L46+N46, TRUE, D45-J46-K46-L46+N46)</f>
        <v>30983865.172600411</v>
      </c>
      <c r="E46" s="48">
        <f t="shared" si="3"/>
        <v>0</v>
      </c>
      <c r="F46" s="50">
        <f t="shared" si="4"/>
        <v>0</v>
      </c>
      <c r="G46" s="50">
        <f t="shared" si="12"/>
        <v>0</v>
      </c>
      <c r="H46" s="51">
        <f t="shared" si="5"/>
        <v>1181975.0834454475</v>
      </c>
      <c r="I46" s="52">
        <f>IF(AND(C$7="Y",$B46&lt;=C$4),0,IF(AND(C$7="Y",$B46&gt;C$4),(1-U46)*C$2*D45/12,IF(AND($C$7="N",C$4&gt;0),(1-U46)*D45*C$2/12, (1-U46)*D45*C$2/12)))</f>
        <v>134845.09915298989</v>
      </c>
      <c r="J46" s="52">
        <f>IF(AND($B46&lt;=$C$4,C$7="Y"),0,IF(AND(C$7="N",C$4&gt;0,B46&lt;=C$4),0,H46-I46))</f>
        <v>1047129.9842924576</v>
      </c>
      <c r="K46" s="51">
        <f>IF(AND(C$7="Y",$B46&lt;=$C$4),0,IF(AND(C$7="N",C$4&gt;0,B46&lt;=C$4),0,S46*(C46-J46)))</f>
        <v>331828.63982470357</v>
      </c>
      <c r="L46" s="49">
        <f>IF(AND(C$7="Y",$B46&lt;=$C$4),0,IF(AND(C$7="N",C$4&gt;0,B46&lt;=C$4),0,U46*D45))</f>
        <v>138629.05715562738</v>
      </c>
      <c r="M46" s="49">
        <f t="shared" si="18"/>
        <v>-165999.50397994055</v>
      </c>
      <c r="N46" s="49">
        <f t="shared" si="17"/>
        <v>0</v>
      </c>
      <c r="O46" s="48">
        <f>K46+I46+J46-L46+N46+G46</f>
        <v>1375174.6661145238</v>
      </c>
      <c r="P46" s="38">
        <f>O46*(1/((1+P$12)^(B46/12)))</f>
        <v>1375174.6661145238</v>
      </c>
      <c r="Q46" s="53"/>
      <c r="R46" s="53">
        <f t="shared" si="6"/>
        <v>0.12</v>
      </c>
      <c r="S46" s="53">
        <f t="shared" si="7"/>
        <v>1.0596241035318976E-2</v>
      </c>
      <c r="T46" s="53">
        <f t="shared" si="8"/>
        <v>0.05</v>
      </c>
      <c r="U46" s="53">
        <f t="shared" si="11"/>
        <v>4.2653187775606449E-3</v>
      </c>
    </row>
    <row r="47" spans="1:23" x14ac:dyDescent="0.2">
      <c r="A47" s="62">
        <f t="shared" si="1"/>
        <v>0.29499672926898507</v>
      </c>
      <c r="B47" s="45">
        <f t="shared" si="2"/>
        <v>33</v>
      </c>
      <c r="C47" s="51">
        <f>IF(B47&lt;C$4,C$1,D46-L47+N47)</f>
        <v>30851709.110678311</v>
      </c>
      <c r="D47" s="47" cm="1">
        <f t="array" ref="D47">_xlfn.IFS(AND($C$7="Y",B47&lt;C$4),C47,AND($C$7="Y",B47=C$4),D46+F47-J47-K47-L47+N47,AND($C$7="Y",B47&gt;$C$4),D46-J47-K47-L47+N47, TRUE, D46-J47-K47-L47+N47)</f>
        <v>29499672.926898509</v>
      </c>
      <c r="E47" s="48">
        <f t="shared" si="3"/>
        <v>0</v>
      </c>
      <c r="F47" s="50">
        <f t="shared" si="4"/>
        <v>0</v>
      </c>
      <c r="G47" s="50">
        <f t="shared" si="12"/>
        <v>0</v>
      </c>
      <c r="H47" s="51">
        <f t="shared" si="5"/>
        <v>1164651.6210090178</v>
      </c>
      <c r="I47" s="52">
        <f>IF(AND(C$7="Y",$B47&lt;=C$4),0,IF(AND(C$7="Y",$B47&gt;C$4),(1-U47)*C$2*D46/12,IF(AND($C$7="N",C$4&gt;0),(1-U47)*D46*C$2/12, (1-U47)*D46*C$2/12)))</f>
        <v>128548.78796115964</v>
      </c>
      <c r="J47" s="52">
        <f>IF(AND($B47&lt;=$C$4,C$7="Y"),0,IF(AND(C$7="N",C$4&gt;0,B47&lt;=C$4),0,H47-I47))</f>
        <v>1036102.8330478582</v>
      </c>
      <c r="K47" s="51">
        <f>IF(AND(C$7="Y",$B47&lt;=$C$4),0,IF(AND(C$7="N",C$4&gt;0,B47&lt;=C$4),0,S47*(C47-J47)))</f>
        <v>315933.35073194187</v>
      </c>
      <c r="L47" s="49">
        <f>IF(AND(C$7="Y",$B47&lt;=$C$4),0,IF(AND(C$7="N",C$4&gt;0,B47&lt;=C$4),0,U47*D46))</f>
        <v>132156.06192209982</v>
      </c>
      <c r="M47" s="49">
        <f t="shared" si="18"/>
        <v>-158929.6047659906</v>
      </c>
      <c r="N47" s="49">
        <f t="shared" si="17"/>
        <v>0</v>
      </c>
      <c r="O47" s="48">
        <f>K47+I47+J47-L47+N47+G47</f>
        <v>1348428.9098188598</v>
      </c>
      <c r="P47" s="38">
        <f>O47*(1/((1+P$12)^(B47/12)))</f>
        <v>1348428.9098188598</v>
      </c>
      <c r="Q47" s="53"/>
      <c r="R47" s="53">
        <f t="shared" si="6"/>
        <v>0.12</v>
      </c>
      <c r="S47" s="53">
        <f t="shared" si="7"/>
        <v>1.0596241035318976E-2</v>
      </c>
      <c r="T47" s="53">
        <f t="shared" si="8"/>
        <v>0.05</v>
      </c>
      <c r="U47" s="53">
        <f t="shared" si="11"/>
        <v>4.2653187775606449E-3</v>
      </c>
    </row>
    <row r="48" spans="1:23" x14ac:dyDescent="0.2">
      <c r="A48" s="62">
        <f t="shared" si="1"/>
        <v>0.28048260756395177</v>
      </c>
      <c r="B48" s="45">
        <f t="shared" si="2"/>
        <v>34</v>
      </c>
      <c r="C48" s="51">
        <f>IF(B48&lt;C$4,C$1,D47-L48+N48)</f>
        <v>29373847.41803151</v>
      </c>
      <c r="D48" s="47" cm="1">
        <f t="array" ref="D48">_xlfn.IFS(AND($C$7="Y",B48&lt;C$4),C48,AND($C$7="Y",B48=C$4),D47+F48-J48-K48-L48+N48,AND($C$7="Y",B48&gt;$C$4),D47-J48-K48-L48+N48, TRUE, D47-J48-K48-L48+N48)</f>
        <v>28048260.756395176</v>
      </c>
      <c r="E48" s="48">
        <f t="shared" si="3"/>
        <v>0</v>
      </c>
      <c r="F48" s="50">
        <f t="shared" si="4"/>
        <v>0</v>
      </c>
      <c r="G48" s="50">
        <f t="shared" si="12"/>
        <v>0</v>
      </c>
      <c r="H48" s="51">
        <f t="shared" si="5"/>
        <v>1147588.5653524387</v>
      </c>
      <c r="I48" s="52">
        <f>IF(AND(C$7="Y",$B48&lt;=C$4),0,IF(AND(C$7="Y",$B48&gt;C$4),(1-U48)*C$2*D47/12,IF(AND($C$7="N",C$4&gt;0),(1-U48)*D47*C$2/12, (1-U48)*D47*C$2/12)))</f>
        <v>122391.03090846463</v>
      </c>
      <c r="J48" s="52">
        <f>IF(AND($B48&lt;=$C$4,C$7="Y"),0,IF(AND(C$7="N",C$4&gt;0,B48&lt;=C$4),0,H48-I48))</f>
        <v>1025197.534443974</v>
      </c>
      <c r="K48" s="51">
        <f>IF(AND(C$7="Y",$B48&lt;=$C$4),0,IF(AND(C$7="N",C$4&gt;0,B48&lt;=C$4),0,S48*(C48-J48)))</f>
        <v>300389.12719236076</v>
      </c>
      <c r="L48" s="49">
        <f>IF(AND(C$7="Y",$B48&lt;=$C$4),0,IF(AND(C$7="N",C$4&gt;0,B48&lt;=C$4),0,U48*D47))</f>
        <v>125825.5088669976</v>
      </c>
      <c r="M48" s="49">
        <f t="shared" si="18"/>
        <v>-152013.09274149124</v>
      </c>
      <c r="N48" s="49">
        <f t="shared" si="17"/>
        <v>0</v>
      </c>
      <c r="O48" s="48">
        <f>K48+I48+J48-L48+N48+G48</f>
        <v>1322152.1836778016</v>
      </c>
      <c r="P48" s="38">
        <f>O48*(1/((1+P$12)^(B48/12)))</f>
        <v>1322152.1836778016</v>
      </c>
      <c r="Q48" s="53"/>
      <c r="R48" s="53">
        <f t="shared" si="6"/>
        <v>0.12</v>
      </c>
      <c r="S48" s="53">
        <f t="shared" si="7"/>
        <v>1.0596241035318976E-2</v>
      </c>
      <c r="T48" s="53">
        <f t="shared" si="8"/>
        <v>0.05</v>
      </c>
      <c r="U48" s="53">
        <f t="shared" si="11"/>
        <v>4.2653187775606449E-3</v>
      </c>
    </row>
    <row r="49" spans="1:21" x14ac:dyDescent="0.2">
      <c r="A49" s="62">
        <f t="shared" si="1"/>
        <v>0.26629023368385402</v>
      </c>
      <c r="B49" s="45">
        <f t="shared" si="2"/>
        <v>35</v>
      </c>
      <c r="C49" s="51">
        <f>IF(B49&lt;C$4,C$1,D48-L49+N49)</f>
        <v>27928625.983113006</v>
      </c>
      <c r="D49" s="47" cm="1">
        <f t="array" ref="D49">_xlfn.IFS(AND($C$7="Y",B49&lt;C$4),C49,AND($C$7="Y",B49=C$4),D48+F49-J49-K49-L49+N49,AND($C$7="Y",B49&gt;$C$4),D48-J49-K49-L49+N49, TRUE, D48-J49-K49-L49+N49)</f>
        <v>26629023.368385401</v>
      </c>
      <c r="E49" s="48">
        <f t="shared" si="3"/>
        <v>0</v>
      </c>
      <c r="F49" s="50">
        <f t="shared" si="4"/>
        <v>0</v>
      </c>
      <c r="G49" s="50">
        <f t="shared" si="12"/>
        <v>0</v>
      </c>
      <c r="H49" s="51">
        <f t="shared" si="5"/>
        <v>1130782.402969003</v>
      </c>
      <c r="I49" s="52">
        <f>IF(AND(C$7="Y",$B49&lt;=C$4),0,IF(AND(C$7="Y",$B49&gt;C$4),(1-U49)*C$2*D48/12,IF(AND($C$7="N",C$4&gt;0),(1-U49)*D48*C$2/12, (1-U49)*D48*C$2/12)))</f>
        <v>116369.27492963754</v>
      </c>
      <c r="J49" s="52">
        <f>IF(AND($B49&lt;=$C$4,C$7="Y"),0,IF(AND(C$7="N",C$4&gt;0,B49&lt;=C$4),0,H49-I49))</f>
        <v>1014413.1280393654</v>
      </c>
      <c r="K49" s="51">
        <f>IF(AND(C$7="Y",$B49&lt;=$C$4),0,IF(AND(C$7="N",C$4&gt;0,B49&lt;=C$4),0,S49*(C49-J49)))</f>
        <v>285189.48668824084</v>
      </c>
      <c r="L49" s="49">
        <f>IF(AND(C$7="Y",$B49&lt;=$C$4),0,IF(AND(C$7="N",C$4&gt;0,B49&lt;=C$4),0,U49*D48))</f>
        <v>119634.77328216968</v>
      </c>
      <c r="M49" s="49">
        <f t="shared" si="18"/>
        <v>-145247.16305875857</v>
      </c>
      <c r="N49" s="49">
        <f t="shared" si="17"/>
        <v>0</v>
      </c>
      <c r="O49" s="48">
        <f>K49+I49+J49-L49+N49+G49</f>
        <v>1296337.1163750743</v>
      </c>
      <c r="P49" s="38">
        <f>O49*(1/((1+P$12)^(B49/12)))</f>
        <v>1296337.1163750743</v>
      </c>
      <c r="Q49" s="53"/>
      <c r="R49" s="53">
        <f t="shared" si="6"/>
        <v>0.12</v>
      </c>
      <c r="S49" s="53">
        <f t="shared" si="7"/>
        <v>1.0596241035318976E-2</v>
      </c>
      <c r="T49" s="53">
        <f t="shared" si="8"/>
        <v>0.05</v>
      </c>
      <c r="U49" s="53">
        <f t="shared" si="11"/>
        <v>4.2653187775606449E-3</v>
      </c>
    </row>
    <row r="50" spans="1:21" x14ac:dyDescent="0.2">
      <c r="A50" s="62">
        <f t="shared" si="1"/>
        <v>0.25241365338477539</v>
      </c>
      <c r="B50" s="45">
        <f t="shared" si="2"/>
        <v>36</v>
      </c>
      <c r="C50" s="51">
        <f>IF(B50&lt;C$4,C$1,D49-L50+N50)</f>
        <v>26515442.094984125</v>
      </c>
      <c r="D50" s="47" cm="1">
        <f t="array" ref="D50">_xlfn.IFS(AND($C$7="Y",B50&lt;C$4),C50,AND($C$7="Y",B50=C$4),D49+F50-J50-K50-L50+N50,AND($C$7="Y",B50&gt;$C$4),D49-J50-K50-L50+N50, TRUE, D49-J50-K50-L50+N50)</f>
        <v>25241365.338477537</v>
      </c>
      <c r="E50" s="48">
        <f t="shared" si="3"/>
        <v>0</v>
      </c>
      <c r="F50" s="50">
        <f t="shared" si="4"/>
        <v>0</v>
      </c>
      <c r="G50" s="50">
        <f t="shared" si="12"/>
        <v>0</v>
      </c>
      <c r="H50" s="51">
        <f t="shared" si="5"/>
        <v>1114229.7128469159</v>
      </c>
      <c r="I50" s="52">
        <f>IF(AND(C$7="Y",$B50&lt;=C$4),0,IF(AND(C$7="Y",$B50&gt;C$4),(1-U50)*C$2*D49/12,IF(AND($C$7="N",C$4&gt;0),(1-U50)*D49*C$2/12, (1-U50)*D49*C$2/12)))</f>
        <v>110481.00872910053</v>
      </c>
      <c r="J50" s="52">
        <f>IF(AND($B50&lt;=$C$4,C$7="Y"),0,IF(AND(C$7="N",C$4&gt;0,B50&lt;=C$4),0,H50-I50))</f>
        <v>1003748.7041178154</v>
      </c>
      <c r="K50" s="51">
        <f>IF(AND(C$7="Y",$B50&lt;=$C$4),0,IF(AND(C$7="N",C$4&gt;0,B50&lt;=C$4),0,S50*(C50-J50)))</f>
        <v>270328.05238877353</v>
      </c>
      <c r="L50" s="49">
        <f>IF(AND(C$7="Y",$B50&lt;=$C$4),0,IF(AND(C$7="N",C$4&gt;0,B50&lt;=C$4),0,U50*D49))</f>
        <v>113581.27340127547</v>
      </c>
      <c r="M50" s="49">
        <f t="shared" si="18"/>
        <v>-138629.05715562738</v>
      </c>
      <c r="N50" s="49">
        <f t="shared" si="17"/>
        <v>0</v>
      </c>
      <c r="O50" s="48">
        <f>K50+I50+J50-L50+N50+G50</f>
        <v>1270976.491834414</v>
      </c>
      <c r="P50" s="38">
        <f>O50*(1/((1+P$12)^(B50/12)))</f>
        <v>1270976.491834414</v>
      </c>
      <c r="Q50" s="53"/>
      <c r="R50" s="53">
        <f t="shared" si="6"/>
        <v>0.12</v>
      </c>
      <c r="S50" s="53">
        <f t="shared" si="7"/>
        <v>1.0596241035318976E-2</v>
      </c>
      <c r="T50" s="53">
        <f t="shared" si="8"/>
        <v>0.05</v>
      </c>
      <c r="U50" s="53">
        <f t="shared" si="11"/>
        <v>4.2653187775606449E-3</v>
      </c>
    </row>
    <row r="51" spans="1:21" x14ac:dyDescent="0.2">
      <c r="A51" s="62">
        <f t="shared" si="1"/>
        <v>0.23884700908039472</v>
      </c>
      <c r="B51" s="45">
        <f t="shared" si="2"/>
        <v>37</v>
      </c>
      <c r="C51" s="51">
        <f>IF(B51&lt;C$4,C$1,D50-L51+N51)</f>
        <v>25133702.86892806</v>
      </c>
      <c r="D51" s="47" cm="1">
        <f t="array" ref="D51">_xlfn.IFS(AND($C$7="Y",B51&lt;C$4),C51,AND($C$7="Y",B51=C$4),D50+F51-J51-K51-L51+N51,AND($C$7="Y",B51&gt;$C$4),D50-J51-K51-L51+N51, TRUE, D50-J51-K51-L51+N51)</f>
        <v>23884700.908039473</v>
      </c>
      <c r="E51" s="48">
        <f t="shared" si="3"/>
        <v>0</v>
      </c>
      <c r="F51" s="50">
        <f t="shared" si="4"/>
        <v>0</v>
      </c>
      <c r="G51" s="50">
        <f t="shared" si="12"/>
        <v>0</v>
      </c>
      <c r="H51" s="51">
        <f t="shared" si="5"/>
        <v>1097927.1718616867</v>
      </c>
      <c r="I51" s="52">
        <f>IF(AND(C$7="Y",$B51&lt;=C$4),0,IF(AND(C$7="Y",$B51&gt;C$4),(1-U51)*C$2*D50/12,IF(AND($C$7="N",C$4&gt;0),(1-U51)*D50*C$2/12, (1-U51)*D50*C$2/12)))</f>
        <v>104723.76195386692</v>
      </c>
      <c r="J51" s="52">
        <f>IF(AND($B51&lt;=$C$4,C$7="Y"),0,IF(AND(C$7="N",C$4&gt;0,B51&lt;=C$4),0,H51-I51))</f>
        <v>993203.40990781982</v>
      </c>
      <c r="K51" s="51">
        <f>IF(AND(C$7="Y",$B51&lt;=$C$4),0,IF(AND(C$7="N",C$4&gt;0,B51&lt;=C$4),0,S51*(C51-J51)))</f>
        <v>255798.55098076581</v>
      </c>
      <c r="L51" s="49">
        <f>IF(AND(C$7="Y",$B51&lt;=$C$4),0,IF(AND(C$7="N",C$4&gt;0,B51&lt;=C$4),0,U51*D50))</f>
        <v>107662.46954947665</v>
      </c>
      <c r="M51" s="49">
        <f t="shared" si="18"/>
        <v>-132156.06192209982</v>
      </c>
      <c r="N51" s="49">
        <f t="shared" si="17"/>
        <v>0</v>
      </c>
      <c r="O51" s="48">
        <f>K51+I51+J51-L51+N51+G51</f>
        <v>1246063.2532929759</v>
      </c>
      <c r="P51" s="38">
        <f>O51*(1/((1+P$12)^(B51/12)))</f>
        <v>1246063.2532929759</v>
      </c>
      <c r="Q51" s="53"/>
      <c r="R51" s="53">
        <f t="shared" si="6"/>
        <v>0.12</v>
      </c>
      <c r="S51" s="53">
        <f t="shared" si="7"/>
        <v>1.0596241035318976E-2</v>
      </c>
      <c r="T51" s="53">
        <f t="shared" si="8"/>
        <v>0.05</v>
      </c>
      <c r="U51" s="53">
        <f t="shared" si="11"/>
        <v>4.2653187775606449E-3</v>
      </c>
    </row>
    <row r="52" spans="1:21" x14ac:dyDescent="0.2">
      <c r="A52" s="62">
        <f t="shared" si="1"/>
        <v>0.22558453777102827</v>
      </c>
      <c r="B52" s="45">
        <f t="shared" si="2"/>
        <v>38</v>
      </c>
      <c r="C52" s="51">
        <f>IF(B52&lt;C$4,C$1,D51-L52+N52)</f>
        <v>23782825.044759993</v>
      </c>
      <c r="D52" s="47" cm="1">
        <f t="array" ref="D52">_xlfn.IFS(AND($C$7="Y",B52&lt;C$4),C52,AND($C$7="Y",B52=C$4),D51+F52-J52-K52-L52+N52,AND($C$7="Y",B52&gt;$C$4),D51-J52-K52-L52+N52, TRUE, D51-J52-K52-L52+N52)</f>
        <v>22558453.777102828</v>
      </c>
      <c r="E52" s="48">
        <f t="shared" si="3"/>
        <v>0</v>
      </c>
      <c r="F52" s="50">
        <f t="shared" si="4"/>
        <v>0</v>
      </c>
      <c r="G52" s="50">
        <f t="shared" si="12"/>
        <v>0</v>
      </c>
      <c r="H52" s="51">
        <f t="shared" si="5"/>
        <v>1081871.5615596294</v>
      </c>
      <c r="I52" s="52">
        <f>IF(AND(C$7="Y",$B52&lt;=C$4),0,IF(AND(C$7="Y",$B52&gt;C$4),(1-U52)*C$2*D51/12,IF(AND($C$7="N",C$4&gt;0),(1-U52)*D51*C$2/12, (1-U52)*D51*C$2/12)))</f>
        <v>99095.104353166636</v>
      </c>
      <c r="J52" s="52">
        <f>IF(AND($B52&lt;=$C$4,C$7="Y"),0,IF(AND(C$7="N",C$4&gt;0,B52&lt;=C$4),0,H52-I52))</f>
        <v>982776.45720646274</v>
      </c>
      <c r="K52" s="51">
        <f>IF(AND(C$7="Y",$B52&lt;=$C$4),0,IF(AND(C$7="N",C$4&gt;0,B52&lt;=C$4),0,S52*(C52-J52)))</f>
        <v>241594.81045070119</v>
      </c>
      <c r="L52" s="49">
        <f>IF(AND(C$7="Y",$B52&lt;=$C$4),0,IF(AND(C$7="N",C$4&gt;0,B52&lt;=C$4),0,U52*D51))</f>
        <v>101875.86327948055</v>
      </c>
      <c r="M52" s="49">
        <f t="shared" si="18"/>
        <v>-125825.5088669976</v>
      </c>
      <c r="N52" s="49">
        <f t="shared" si="17"/>
        <v>0</v>
      </c>
      <c r="O52" s="48">
        <f>K52+I52+J52-L52+N52+G52</f>
        <v>1221590.5087308502</v>
      </c>
      <c r="P52" s="38">
        <f>O52*(1/((1+P$12)^(B52/12)))</f>
        <v>1221590.5087308502</v>
      </c>
      <c r="Q52" s="53"/>
      <c r="R52" s="53">
        <f t="shared" si="6"/>
        <v>0.12</v>
      </c>
      <c r="S52" s="53">
        <f t="shared" si="7"/>
        <v>1.0596241035318976E-2</v>
      </c>
      <c r="T52" s="53">
        <f t="shared" si="8"/>
        <v>0.05</v>
      </c>
      <c r="U52" s="53">
        <f t="shared" si="11"/>
        <v>4.2653187775606449E-3</v>
      </c>
    </row>
    <row r="53" spans="1:21" x14ac:dyDescent="0.2">
      <c r="A53" s="62">
        <f t="shared" si="1"/>
        <v>0.21262056891020603</v>
      </c>
      <c r="B53" s="45">
        <f t="shared" si="2"/>
        <v>39</v>
      </c>
      <c r="C53" s="51">
        <f>IF(B53&lt;C$4,C$1,D52-L53+N53)</f>
        <v>22462234.780614618</v>
      </c>
      <c r="D53" s="47" cm="1">
        <f t="array" ref="D53">_xlfn.IFS(AND($C$7="Y",B53&lt;C$4),C53,AND($C$7="Y",B53=C$4),D52+F53-J53-K53-L53+N53,AND($C$7="Y",B53&gt;$C$4),D52-J53-K53-L53+N53, TRUE, D52-J53-K53-L53+N53)</f>
        <v>21262056.891020603</v>
      </c>
      <c r="E53" s="48">
        <f t="shared" si="3"/>
        <v>0</v>
      </c>
      <c r="F53" s="50">
        <f t="shared" si="4"/>
        <v>0</v>
      </c>
      <c r="G53" s="50">
        <f t="shared" si="12"/>
        <v>0</v>
      </c>
      <c r="H53" s="51">
        <f t="shared" si="5"/>
        <v>1066059.7767133398</v>
      </c>
      <c r="I53" s="52">
        <f>IF(AND(C$7="Y",$B53&lt;=C$4),0,IF(AND(C$7="Y",$B53&gt;C$4),(1-U53)*C$2*D52/12,IF(AND($C$7="N",C$4&gt;0),(1-U53)*D52*C$2/12, (1-U53)*D52*C$2/12)))</f>
        <v>93592.644919227576</v>
      </c>
      <c r="J53" s="52">
        <f>IF(AND($B53&lt;=$C$4,C$7="Y"),0,IF(AND(C$7="N",C$4&gt;0,B53&lt;=C$4),0,H53-I53))</f>
        <v>972467.13179411227</v>
      </c>
      <c r="K53" s="51">
        <f>IF(AND(C$7="Y",$B53&lt;=$C$4),0,IF(AND(C$7="N",C$4&gt;0,B53&lt;=C$4),0,S53*(C53-J53)))</f>
        <v>227710.75779990203</v>
      </c>
      <c r="L53" s="49">
        <f>IF(AND(C$7="Y",$B53&lt;=$C$4),0,IF(AND(C$7="N",C$4&gt;0,B53&lt;=C$4),0,U53*D52))</f>
        <v>96218.996488210541</v>
      </c>
      <c r="M53" s="49">
        <f t="shared" si="18"/>
        <v>-119634.77328216968</v>
      </c>
      <c r="N53" s="49">
        <f t="shared" si="17"/>
        <v>0</v>
      </c>
      <c r="O53" s="48">
        <f>K53+I53+J53-L53+N53+G53</f>
        <v>1197551.5380250313</v>
      </c>
      <c r="P53" s="38">
        <f>O53*(1/((1+P$12)^(B53/12)))</f>
        <v>1197551.5380250313</v>
      </c>
      <c r="Q53" s="53"/>
      <c r="R53" s="53">
        <f t="shared" si="6"/>
        <v>0.12</v>
      </c>
      <c r="S53" s="53">
        <f t="shared" si="7"/>
        <v>1.0596241035318976E-2</v>
      </c>
      <c r="T53" s="53">
        <f t="shared" si="8"/>
        <v>0.05</v>
      </c>
      <c r="U53" s="53">
        <f t="shared" si="11"/>
        <v>4.2653187775606449E-3</v>
      </c>
    </row>
    <row r="54" spans="1:21" x14ac:dyDescent="0.2">
      <c r="A54" s="62">
        <f t="shared" si="1"/>
        <v>0.19994952218688353</v>
      </c>
      <c r="B54" s="45">
        <f t="shared" si="2"/>
        <v>40</v>
      </c>
      <c r="C54" s="51">
        <f>IF(B54&lt;C$4,C$1,D53-L54+N54)</f>
        <v>21171367.440513771</v>
      </c>
      <c r="D54" s="47" cm="1">
        <f t="array" ref="D54">_xlfn.IFS(AND($C$7="Y",B54&lt;C$4),C54,AND($C$7="Y",B54=C$4),D53+F54-J54-K54-L54+N54,AND($C$7="Y",B54&gt;$C$4),D53-J54-K54-L54+N54, TRUE, D53-J54-K54-L54+N54)</f>
        <v>19994952.218688354</v>
      </c>
      <c r="E54" s="48">
        <f t="shared" si="3"/>
        <v>0</v>
      </c>
      <c r="F54" s="50">
        <f t="shared" si="4"/>
        <v>0</v>
      </c>
      <c r="G54" s="50">
        <f t="shared" si="12"/>
        <v>0</v>
      </c>
      <c r="H54" s="51">
        <f t="shared" si="5"/>
        <v>1050488.8361582179</v>
      </c>
      <c r="I54" s="52">
        <f>IF(AND(C$7="Y",$B54&lt;=C$4),0,IF(AND(C$7="Y",$B54&gt;C$4),(1-U54)*C$2*D53/12,IF(AND($C$7="N",C$4&gt;0),(1-U54)*D53*C$2/12, (1-U54)*D53*C$2/12)))</f>
        <v>88214.03100214072</v>
      </c>
      <c r="J54" s="52">
        <f>IF(AND($B54&lt;=$C$4,C$7="Y"),0,IF(AND(C$7="N",C$4&gt;0,B54&lt;=C$4),0,H54-I54))</f>
        <v>962274.80515607714</v>
      </c>
      <c r="K54" s="51">
        <f>IF(AND(C$7="Y",$B54&lt;=$C$4),0,IF(AND(C$7="N",C$4&gt;0,B54&lt;=C$4),0,S54*(C54-J54)))</f>
        <v>214140.4166693397</v>
      </c>
      <c r="L54" s="49">
        <f>IF(AND(C$7="Y",$B54&lt;=$C$4),0,IF(AND(C$7="N",C$4&gt;0,B54&lt;=C$4),0,U54*D53))</f>
        <v>90689.450506832887</v>
      </c>
      <c r="M54" s="49">
        <f t="shared" si="18"/>
        <v>-113581.27340127547</v>
      </c>
      <c r="N54" s="49">
        <f t="shared" si="17"/>
        <v>0</v>
      </c>
      <c r="O54" s="48">
        <f>K54+I54+J54-L54+N54+G54</f>
        <v>1173939.8023207246</v>
      </c>
      <c r="P54" s="38">
        <f>O54*(1/((1+P$12)^(B54/12)))</f>
        <v>1173939.8023207246</v>
      </c>
      <c r="Q54" s="53"/>
      <c r="R54" s="53">
        <f t="shared" si="6"/>
        <v>0.12</v>
      </c>
      <c r="S54" s="53">
        <f t="shared" si="7"/>
        <v>1.0596241035318976E-2</v>
      </c>
      <c r="T54" s="53">
        <f t="shared" si="8"/>
        <v>0.05</v>
      </c>
      <c r="U54" s="53">
        <f t="shared" si="11"/>
        <v>4.2653187775606449E-3</v>
      </c>
    </row>
    <row r="55" spans="1:21" x14ac:dyDescent="0.2">
      <c r="A55" s="62">
        <f t="shared" si="1"/>
        <v>0.18756590519480601</v>
      </c>
      <c r="B55" s="45">
        <f t="shared" si="2"/>
        <v>41</v>
      </c>
      <c r="C55" s="51">
        <f>IF(B55&lt;C$4,C$1,D54-L55+N55)</f>
        <v>19909667.373533554</v>
      </c>
      <c r="D55" s="47" cm="1">
        <f t="array" ref="D55">_xlfn.IFS(AND($C$7="Y",B55&lt;C$4),C55,AND($C$7="Y",B55=C$4),D54+F55-J55-K55-L55+N55,AND($C$7="Y",B55&gt;$C$4),D54-J55-K55-L55+N55, TRUE, D54-J55-K55-L55+N55)</f>
        <v>18756590.519480601</v>
      </c>
      <c r="E55" s="48">
        <f t="shared" si="3"/>
        <v>0</v>
      </c>
      <c r="F55" s="50">
        <f t="shared" si="4"/>
        <v>0</v>
      </c>
      <c r="G55" s="50">
        <f t="shared" si="12"/>
        <v>0</v>
      </c>
      <c r="H55" s="51">
        <f t="shared" si="5"/>
        <v>1035155.896599089</v>
      </c>
      <c r="I55" s="52">
        <f>IF(AND(C$7="Y",$B55&lt;=C$4),0,IF(AND(C$7="Y",$B55&gt;C$4),(1-U55)*C$2*D54/12,IF(AND($C$7="N",C$4&gt;0),(1-U55)*D54*C$2/12, (1-U55)*D54*C$2/12)))</f>
        <v>82956.947389723151</v>
      </c>
      <c r="J55" s="52">
        <f>IF(AND($B55&lt;=$C$4,C$7="Y"),0,IF(AND(C$7="N",C$4&gt;0,B55&lt;=C$4),0,H55-I55))</f>
        <v>952198.94920936588</v>
      </c>
      <c r="K55" s="51">
        <f>IF(AND(C$7="Y",$B55&lt;=$C$4),0,IF(AND(C$7="N",C$4&gt;0,B55&lt;=C$4),0,S55*(C55-J55)))</f>
        <v>200877.90484358775</v>
      </c>
      <c r="L55" s="49">
        <f>IF(AND(C$7="Y",$B55&lt;=$C$4),0,IF(AND(C$7="N",C$4&gt;0,B55&lt;=C$4),0,U55*D54))</f>
        <v>85284.845154799317</v>
      </c>
      <c r="M55" s="49">
        <f t="shared" si="18"/>
        <v>-107662.46954947665</v>
      </c>
      <c r="N55" s="49">
        <f t="shared" si="17"/>
        <v>0</v>
      </c>
      <c r="O55" s="48">
        <f>K55+I55+J55-L55+N55+G55</f>
        <v>1150748.9562878774</v>
      </c>
      <c r="P55" s="38">
        <f>O55*(1/((1+P$12)^(B55/12)))</f>
        <v>1150748.9562878774</v>
      </c>
      <c r="Q55" s="53"/>
      <c r="R55" s="53">
        <f t="shared" si="6"/>
        <v>0.12</v>
      </c>
      <c r="S55" s="53">
        <f t="shared" si="7"/>
        <v>1.0596241035318976E-2</v>
      </c>
      <c r="T55" s="53">
        <f t="shared" si="8"/>
        <v>0.05</v>
      </c>
      <c r="U55" s="53">
        <f t="shared" si="11"/>
        <v>4.2653187775606449E-3</v>
      </c>
    </row>
    <row r="56" spans="1:21" x14ac:dyDescent="0.2">
      <c r="A56" s="62">
        <f t="shared" si="1"/>
        <v>0.17546431095149495</v>
      </c>
      <c r="B56" s="45">
        <f t="shared" si="2"/>
        <v>42</v>
      </c>
      <c r="C56" s="51">
        <f>IF(B56&lt;C$4,C$1,D55-L56+N56)</f>
        <v>18676587.681734845</v>
      </c>
      <c r="D56" s="47" cm="1">
        <f t="array" ref="D56">_xlfn.IFS(AND($C$7="Y",B56&lt;C$4),C56,AND($C$7="Y",B56=C$4),D55+F56-J56-K56-L56+N56,AND($C$7="Y",B56&gt;$C$4),D55-J56-K56-L56+N56, TRUE, D55-J56-K56-L56+N56)</f>
        <v>17546431.095149495</v>
      </c>
      <c r="E56" s="48">
        <f t="shared" si="3"/>
        <v>0</v>
      </c>
      <c r="F56" s="50">
        <f t="shared" si="4"/>
        <v>0</v>
      </c>
      <c r="G56" s="50">
        <f t="shared" si="12"/>
        <v>0</v>
      </c>
      <c r="H56" s="51">
        <f t="shared" si="5"/>
        <v>1020058.2703321876</v>
      </c>
      <c r="I56" s="52">
        <f>IF(AND(C$7="Y",$B56&lt;=C$4),0,IF(AND(C$7="Y",$B56&gt;C$4),(1-U56)*C$2*D55/12,IF(AND($C$7="N",C$4&gt;0),(1-U56)*D55*C$2/12, (1-U56)*D55*C$2/12)))</f>
        <v>77819.115340561853</v>
      </c>
      <c r="J56" s="52">
        <f>IF(AND($B56&lt;=$C$4,C$7="Y"),0,IF(AND(C$7="N",C$4&gt;0,B56&lt;=C$4),0,H56-I56))</f>
        <v>942239.15499162581</v>
      </c>
      <c r="K56" s="51">
        <f>IF(AND(C$7="Y",$B56&lt;=$C$4),0,IF(AND(C$7="N",C$4&gt;0,B56&lt;=C$4),0,S56*(C56-J56)))</f>
        <v>187917.43159372511</v>
      </c>
      <c r="L56" s="49">
        <f>IF(AND(C$7="Y",$B56&lt;=$C$4),0,IF(AND(C$7="N",C$4&gt;0,B56&lt;=C$4),0,U56*D55))</f>
        <v>80002.83774575658</v>
      </c>
      <c r="M56" s="49">
        <f t="shared" si="18"/>
        <v>-101875.86327948055</v>
      </c>
      <c r="N56" s="49">
        <f t="shared" si="17"/>
        <v>0</v>
      </c>
      <c r="O56" s="48">
        <f>K56+I56+J56-L56+N56+G56</f>
        <v>1127972.8641801563</v>
      </c>
      <c r="P56" s="38">
        <f>O56*(1/((1+P$12)^(B56/12)))</f>
        <v>1127972.8641801563</v>
      </c>
      <c r="Q56" s="53"/>
      <c r="R56" s="53">
        <f t="shared" si="6"/>
        <v>0.12</v>
      </c>
      <c r="S56" s="53">
        <f t="shared" si="7"/>
        <v>1.0596241035318976E-2</v>
      </c>
      <c r="T56" s="53">
        <f t="shared" si="8"/>
        <v>0.05</v>
      </c>
      <c r="U56" s="53">
        <f t="shared" si="11"/>
        <v>4.2653187775606449E-3</v>
      </c>
    </row>
    <row r="57" spans="1:21" x14ac:dyDescent="0.2">
      <c r="A57" s="62">
        <f t="shared" si="1"/>
        <v>0.16363941521670661</v>
      </c>
      <c r="B57" s="45">
        <f t="shared" si="2"/>
        <v>43</v>
      </c>
      <c r="C57" s="51">
        <f>IF(B57&lt;C$4,C$1,D56-L57+N57)</f>
        <v>17471589.973120179</v>
      </c>
      <c r="D57" s="47" cm="1">
        <f t="array" ref="D57">_xlfn.IFS(AND($C$7="Y",B57&lt;C$4),C57,AND($C$7="Y",B57=C$4),D56+F57-J57-K57-L57+N57,AND($C$7="Y",B57&gt;$C$4),D56-J57-K57-L57+N57, TRUE, D56-J57-K57-L57+N57)</f>
        <v>16363941.521670662</v>
      </c>
      <c r="E57" s="48">
        <f t="shared" si="3"/>
        <v>0</v>
      </c>
      <c r="F57" s="50">
        <f t="shared" si="4"/>
        <v>0</v>
      </c>
      <c r="G57" s="50">
        <f t="shared" si="12"/>
        <v>0</v>
      </c>
      <c r="H57" s="51">
        <f t="shared" si="5"/>
        <v>1005193.4481987047</v>
      </c>
      <c r="I57" s="52">
        <f>IF(AND(C$7="Y",$B57&lt;=C$4),0,IF(AND(C$7="Y",$B57&gt;C$4),(1-U57)*C$2*D56/12,IF(AND($C$7="N",C$4&gt;0),(1-U57)*D56*C$2/12, (1-U57)*D56*C$2/12)))</f>
        <v>72798.291554667419</v>
      </c>
      <c r="J57" s="52">
        <f>IF(AND($B57&lt;=$C$4,C$7="Y"),0,IF(AND(C$7="N",C$4&gt;0,B57&lt;=C$4),0,H57-I57))</f>
        <v>932395.15664403734</v>
      </c>
      <c r="K57" s="51">
        <f>IF(AND(C$7="Y",$B57&lt;=$C$4),0,IF(AND(C$7="N",C$4&gt;0,B57&lt;=C$4),0,S57*(C57-J57)))</f>
        <v>175253.29480547941</v>
      </c>
      <c r="L57" s="49">
        <f>IF(AND(C$7="Y",$B57&lt;=$C$4),0,IF(AND(C$7="N",C$4&gt;0,B57&lt;=C$4),0,U57*D56))</f>
        <v>74841.122029315127</v>
      </c>
      <c r="M57" s="49">
        <f t="shared" si="18"/>
        <v>-96218.996488210541</v>
      </c>
      <c r="N57" s="49">
        <f t="shared" si="17"/>
        <v>0</v>
      </c>
      <c r="O57" s="48">
        <f>K57+I57+J57-L57+N57+G57</f>
        <v>1105605.620974869</v>
      </c>
      <c r="P57" s="38">
        <f>O57*(1/((1+P$12)^(B57/12)))</f>
        <v>1105605.620974869</v>
      </c>
      <c r="Q57" s="53"/>
      <c r="R57" s="53">
        <f t="shared" si="6"/>
        <v>0.12</v>
      </c>
      <c r="S57" s="53">
        <f t="shared" si="7"/>
        <v>1.0596241035318976E-2</v>
      </c>
      <c r="T57" s="53">
        <f t="shared" si="8"/>
        <v>0.05</v>
      </c>
      <c r="U57" s="53">
        <f t="shared" si="11"/>
        <v>4.2653187775606449E-3</v>
      </c>
    </row>
    <row r="58" spans="1:21" x14ac:dyDescent="0.2">
      <c r="A58" s="62">
        <f t="shared" si="1"/>
        <v>0.15208597354231748</v>
      </c>
      <c r="B58" s="45">
        <f t="shared" si="2"/>
        <v>44</v>
      </c>
      <c r="C58" s="51">
        <f>IF(B58&lt;C$4,C$1,D57-L58+N58)</f>
        <v>16294144.094623376</v>
      </c>
      <c r="D58" s="47" cm="1">
        <f t="array" ref="D58">_xlfn.IFS(AND($C$7="Y",B58&lt;C$4),C58,AND($C$7="Y",B58=C$4),D57+F58-J58-K58-L58+N58,AND($C$7="Y",B58&gt;$C$4),D57-J58-K58-L58+N58, TRUE, D57-J58-K58-L58+N58)</f>
        <v>15208597.354231749</v>
      </c>
      <c r="E58" s="48">
        <f t="shared" si="3"/>
        <v>0</v>
      </c>
      <c r="F58" s="50">
        <f t="shared" si="4"/>
        <v>0</v>
      </c>
      <c r="G58" s="50">
        <f t="shared" si="12"/>
        <v>0</v>
      </c>
      <c r="H58" s="51">
        <f t="shared" si="5"/>
        <v>990559.12963282247</v>
      </c>
      <c r="I58" s="52">
        <f>IF(AND(C$7="Y",$B58&lt;=C$4),0,IF(AND(C$7="Y",$B58&gt;C$4),(1-U58)*C$2*D57/12,IF(AND($C$7="N",C$4&gt;0),(1-U58)*D57*C$2/12, (1-U58)*D57*C$2/12)))</f>
        <v>67892.267060930739</v>
      </c>
      <c r="J58" s="52">
        <f>IF(AND($B58&lt;=$C$4,C$7="Y"),0,IF(AND(C$7="N",C$4&gt;0,B58&lt;=C$4),0,H58-I58))</f>
        <v>922666.86257189175</v>
      </c>
      <c r="K58" s="51">
        <f>IF(AND(C$7="Y",$B58&lt;=$C$4),0,IF(AND(C$7="N",C$4&gt;0,B58&lt;=C$4),0,S58*(C58-J58)))</f>
        <v>162879.87781973529</v>
      </c>
      <c r="L58" s="49">
        <f>IF(AND(C$7="Y",$B58&lt;=$C$4),0,IF(AND(C$7="N",C$4&gt;0,B58&lt;=C$4),0,U58*D57))</f>
        <v>69797.427047286183</v>
      </c>
      <c r="M58" s="49">
        <f t="shared" si="18"/>
        <v>-90689.450506832887</v>
      </c>
      <c r="N58" s="49">
        <f t="shared" si="17"/>
        <v>0</v>
      </c>
      <c r="O58" s="48">
        <f>K58+I58+J58-L58+N58+G58</f>
        <v>1083641.5804052716</v>
      </c>
      <c r="P58" s="38">
        <f>O58*(1/((1+P$12)^(B58/12)))</f>
        <v>1083641.5804052716</v>
      </c>
      <c r="Q58" s="53"/>
      <c r="R58" s="53">
        <f t="shared" si="6"/>
        <v>0.12</v>
      </c>
      <c r="S58" s="53">
        <f t="shared" si="7"/>
        <v>1.0596241035318976E-2</v>
      </c>
      <c r="T58" s="53">
        <f t="shared" si="8"/>
        <v>0.05</v>
      </c>
      <c r="U58" s="53">
        <f t="shared" si="11"/>
        <v>4.2653187775606449E-3</v>
      </c>
    </row>
    <row r="59" spans="1:21" x14ac:dyDescent="0.2">
      <c r="A59" s="62">
        <f t="shared" si="1"/>
        <v>0.14079881795975752</v>
      </c>
      <c r="B59" s="45">
        <f t="shared" si="2"/>
        <v>45</v>
      </c>
      <c r="C59" s="51">
        <f>IF(B59&lt;C$4,C$1,D58-L59+N59)</f>
        <v>15143727.838356385</v>
      </c>
      <c r="D59" s="47" cm="1">
        <f t="array" ref="D59">_xlfn.IFS(AND($C$7="Y",B59&lt;C$4),C59,AND($C$7="Y",B59=C$4),D58+F59-J59-K59-L59+N59,AND($C$7="Y",B59&gt;$C$4),D58-J59-K59-L59+N59, TRUE, D58-J59-K59-L59+N59)</f>
        <v>14079881.79597575</v>
      </c>
      <c r="E59" s="48">
        <f t="shared" si="3"/>
        <v>0</v>
      </c>
      <c r="F59" s="50">
        <f t="shared" si="4"/>
        <v>0</v>
      </c>
      <c r="G59" s="50">
        <f t="shared" si="12"/>
        <v>0</v>
      </c>
      <c r="H59" s="51">
        <f t="shared" si="5"/>
        <v>976153.26248891768</v>
      </c>
      <c r="I59" s="52">
        <f>IF(AND(C$7="Y",$B59&lt;=C$4),0,IF(AND(C$7="Y",$B59&gt;C$4),(1-U59)*C$2*D58/12,IF(AND($C$7="N",C$4&gt;0),(1-U59)*D58*C$2/12, (1-U59)*D58*C$2/12)))</f>
        <v>63098.865993151609</v>
      </c>
      <c r="J59" s="52">
        <f>IF(AND($B59&lt;=$C$4,C$7="Y"),0,IF(AND(C$7="N",C$4&gt;0,B59&lt;=C$4),0,H59-I59))</f>
        <v>913054.39649576612</v>
      </c>
      <c r="K59" s="51">
        <f>IF(AND(C$7="Y",$B59&lt;=$C$4),0,IF(AND(C$7="N",C$4&gt;0,B59&lt;=C$4),0,S59*(C59-J59)))</f>
        <v>150791.64588486741</v>
      </c>
      <c r="L59" s="49">
        <f>IF(AND(C$7="Y",$B59&lt;=$C$4),0,IF(AND(C$7="N",C$4&gt;0,B59&lt;=C$4),0,U59*D58))</f>
        <v>64869.515875363824</v>
      </c>
      <c r="M59" s="49">
        <f t="shared" si="18"/>
        <v>-85284.845154799317</v>
      </c>
      <c r="N59" s="49">
        <f t="shared" si="17"/>
        <v>0</v>
      </c>
      <c r="O59" s="48">
        <f>K59+I59+J59-L59+N59+G59</f>
        <v>1062075.3924984215</v>
      </c>
      <c r="P59" s="38">
        <f>O59*(1/((1+P$12)^(B59/12)))</f>
        <v>1062075.3924984215</v>
      </c>
      <c r="Q59" s="53"/>
      <c r="R59" s="53">
        <f t="shared" si="6"/>
        <v>0.12</v>
      </c>
      <c r="S59" s="53">
        <f t="shared" si="7"/>
        <v>1.0596241035318976E-2</v>
      </c>
      <c r="T59" s="53">
        <f t="shared" si="8"/>
        <v>0.05</v>
      </c>
      <c r="U59" s="53">
        <f t="shared" si="11"/>
        <v>4.2653187775606449E-3</v>
      </c>
    </row>
    <row r="60" spans="1:21" x14ac:dyDescent="0.2">
      <c r="A60" s="62">
        <f t="shared" si="1"/>
        <v>0.12977285317306098</v>
      </c>
      <c r="B60" s="45">
        <f t="shared" si="2"/>
        <v>46</v>
      </c>
      <c r="C60" s="51">
        <f>IF(B60&lt;C$4,C$1,D59-L60+N60)</f>
        <v>14019826.611765541</v>
      </c>
      <c r="D60" s="47" cm="1">
        <f t="array" ref="D60">_xlfn.IFS(AND($C$7="Y",B60&lt;C$4),C60,AND($C$7="Y",B60=C$4),D59+F60-J60-K60-L60+N60,AND($C$7="Y",B60&gt;$C$4),D59-J60-K60-L60+N60, TRUE, D59-J60-K60-L60+N60)</f>
        <v>12977285.317306098</v>
      </c>
      <c r="E60" s="48">
        <f t="shared" si="3"/>
        <v>0</v>
      </c>
      <c r="F60" s="50">
        <f t="shared" si="4"/>
        <v>0</v>
      </c>
      <c r="G60" s="50">
        <f t="shared" si="12"/>
        <v>0</v>
      </c>
      <c r="H60" s="51">
        <f t="shared" si="5"/>
        <v>961974.0965955304</v>
      </c>
      <c r="I60" s="52">
        <f>IF(AND(C$7="Y",$B60&lt;=C$4),0,IF(AND(C$7="Y",$B60&gt;C$4),(1-U60)*C$2*D59/12,IF(AND($C$7="N",C$4&gt;0),(1-U60)*D59*C$2/12, (1-U60)*D59*C$2/12)))</f>
        <v>58415.944215689757</v>
      </c>
      <c r="J60" s="52">
        <f>IF(AND($B60&lt;=$C$4,C$7="Y"),0,IF(AND(C$7="N",C$4&gt;0,B60&lt;=C$4),0,H60-I60))</f>
        <v>903558.15237984061</v>
      </c>
      <c r="K60" s="51">
        <f>IF(AND(C$7="Y",$B60&lt;=$C$4),0,IF(AND(C$7="N",C$4&gt;0,B60&lt;=C$4),0,S60*(C60-J60)))</f>
        <v>138983.14207960278</v>
      </c>
      <c r="L60" s="49">
        <f>IF(AND(C$7="Y",$B60&lt;=$C$4),0,IF(AND(C$7="N",C$4&gt;0,B60&lt;=C$4),0,U60*D59))</f>
        <v>60055.184210209663</v>
      </c>
      <c r="M60" s="49">
        <f t="shared" si="18"/>
        <v>-80002.83774575658</v>
      </c>
      <c r="N60" s="49">
        <f t="shared" si="17"/>
        <v>0</v>
      </c>
      <c r="O60" s="48">
        <f>K60+I60+J60-L60+N60+G60</f>
        <v>1040902.0544649235</v>
      </c>
      <c r="P60" s="38">
        <f>O60*(1/((1+P$12)^(B60/12)))</f>
        <v>1040902.0544649235</v>
      </c>
      <c r="Q60" s="53"/>
      <c r="R60" s="53">
        <f t="shared" si="6"/>
        <v>0.12</v>
      </c>
      <c r="S60" s="53">
        <f t="shared" si="7"/>
        <v>1.0596241035318976E-2</v>
      </c>
      <c r="T60" s="53">
        <f t="shared" si="8"/>
        <v>0.05</v>
      </c>
      <c r="U60" s="53">
        <f t="shared" si="11"/>
        <v>4.2653187775606449E-3</v>
      </c>
    </row>
    <row r="61" spans="1:21" x14ac:dyDescent="0.2">
      <c r="A61" s="62">
        <f t="shared" si="1"/>
        <v>0.11900305206828045</v>
      </c>
      <c r="B61" s="45">
        <f t="shared" si="2"/>
        <v>47</v>
      </c>
      <c r="C61" s="51">
        <f>IF(B61&lt;C$4,C$1,D60-L61+N61)</f>
        <v>12921933.058560429</v>
      </c>
      <c r="D61" s="47" cm="1">
        <f t="array" ref="D61">_xlfn.IFS(AND($C$7="Y",B61&lt;C$4),C61,AND($C$7="Y",B61=C$4),D60+F61-J61-K61-L61+N61,AND($C$7="Y",B61&gt;$C$4),D60-J61-K61-L61+N61, TRUE, D60-J61-K61-L61+N61)</f>
        <v>11900305.206828045</v>
      </c>
      <c r="E61" s="48">
        <f t="shared" si="3"/>
        <v>0</v>
      </c>
      <c r="F61" s="50">
        <f t="shared" si="4"/>
        <v>0</v>
      </c>
      <c r="G61" s="50">
        <f t="shared" si="12"/>
        <v>0</v>
      </c>
      <c r="H61" s="51">
        <f t="shared" si="5"/>
        <v>948020.25697265996</v>
      </c>
      <c r="I61" s="52">
        <f>IF(AND(C$7="Y",$B61&lt;=C$4),0,IF(AND(C$7="Y",$B61&gt;C$4),(1-U61)*C$2*D60/12,IF(AND($C$7="N",C$4&gt;0),(1-U61)*D60*C$2/12, (1-U61)*D60*C$2/12)))</f>
        <v>53841.38774400179</v>
      </c>
      <c r="J61" s="52">
        <f>IF(AND($B61&lt;=$C$4,C$7="Y"),0,IF(AND(C$7="N",C$4&gt;0,B61&lt;=C$4),0,H61-I61))</f>
        <v>894178.86922865815</v>
      </c>
      <c r="K61" s="51">
        <f>IF(AND(C$7="Y",$B61&lt;=$C$4),0,IF(AND(C$7="N",C$4&gt;0,B61&lt;=C$4),0,S61*(C61-J61)))</f>
        <v>127448.98250372705</v>
      </c>
      <c r="L61" s="49">
        <f>IF(AND(C$7="Y",$B61&lt;=$C$4),0,IF(AND(C$7="N",C$4&gt;0,B61&lt;=C$4),0,U61*D60))</f>
        <v>55352.25874566775</v>
      </c>
      <c r="M61" s="49">
        <f t="shared" si="18"/>
        <v>-74841.122029315127</v>
      </c>
      <c r="N61" s="49">
        <f t="shared" si="17"/>
        <v>0</v>
      </c>
      <c r="O61" s="48">
        <f>K61+I61+J61-L61+N61+G61</f>
        <v>1020116.9807307192</v>
      </c>
      <c r="P61" s="38">
        <f>O61*(1/((1+P$12)^(B61/12)))</f>
        <v>1020116.9807307192</v>
      </c>
      <c r="Q61" s="53"/>
      <c r="R61" s="53">
        <f t="shared" si="6"/>
        <v>0.12</v>
      </c>
      <c r="S61" s="53">
        <f t="shared" si="7"/>
        <v>1.0596241035318976E-2</v>
      </c>
      <c r="T61" s="53">
        <f t="shared" si="8"/>
        <v>0.05</v>
      </c>
      <c r="U61" s="53">
        <f t="shared" si="11"/>
        <v>4.2653187775606449E-3</v>
      </c>
    </row>
    <row r="62" spans="1:21" x14ac:dyDescent="0.2">
      <c r="A62" s="62">
        <f t="shared" si="1"/>
        <v>0.10848445026144135</v>
      </c>
      <c r="B62" s="45">
        <f t="shared" si="2"/>
        <v>48</v>
      </c>
      <c r="C62" s="51">
        <f>IF(B62&lt;C$4,C$1,D61-L62+N62)</f>
        <v>11849546.611570658</v>
      </c>
      <c r="D62" s="47" cm="1">
        <f t="array" ref="D62">_xlfn.IFS(AND($C$7="Y",B62&lt;C$4),C62,AND($C$7="Y",B62=C$4),D61+F62-J62-K62-L62+N62,AND($C$7="Y",B62&gt;$C$4),D61-J62-K62-L62+N62, TRUE, D61-J62-K62-L62+N62)</f>
        <v>10848445.026144136</v>
      </c>
      <c r="E62" s="48">
        <f t="shared" si="3"/>
        <v>0</v>
      </c>
      <c r="F62" s="50">
        <f t="shared" si="4"/>
        <v>0</v>
      </c>
      <c r="G62" s="50">
        <f t="shared" si="12"/>
        <v>0</v>
      </c>
      <c r="H62" s="51">
        <f t="shared" si="5"/>
        <v>934290.8458689726</v>
      </c>
      <c r="I62" s="52">
        <f>IF(AND(C$7="Y",$B62&lt;=C$4),0,IF(AND(C$7="Y",$B62&gt;C$4),(1-U62)*C$2*D61/12,IF(AND($C$7="N",C$4&gt;0),(1-U62)*D61*C$2/12, (1-U62)*D61*C$2/12)))</f>
        <v>49373.110881544409</v>
      </c>
      <c r="J62" s="52">
        <f>IF(AND($B62&lt;=$C$4,C$7="Y"),0,IF(AND(C$7="N",C$4&gt;0,B62&lt;=C$4),0,H62-I62))</f>
        <v>884917.73498742818</v>
      </c>
      <c r="K62" s="51">
        <f>IF(AND(C$7="Y",$B62&lt;=$C$4),0,IF(AND(C$7="N",C$4&gt;0,B62&lt;=C$4),0,S62*(C62-J62)))</f>
        <v>116183.85043909462</v>
      </c>
      <c r="L62" s="49">
        <f>IF(AND(C$7="Y",$B62&lt;=$C$4),0,IF(AND(C$7="N",C$4&gt;0,B62&lt;=C$4),0,U62*D61))</f>
        <v>50758.595257386376</v>
      </c>
      <c r="M62" s="49">
        <f t="shared" si="18"/>
        <v>-69797.427047286183</v>
      </c>
      <c r="N62" s="49">
        <f t="shared" si="17"/>
        <v>0</v>
      </c>
      <c r="O62" s="48">
        <f>K62+I62+J62-L62+N62+G62</f>
        <v>999716.10105068097</v>
      </c>
      <c r="P62" s="38">
        <f>O62*(1/((1+P$12)^(B62/12)))</f>
        <v>999716.10105068097</v>
      </c>
      <c r="Q62" s="53"/>
      <c r="R62" s="53">
        <f t="shared" si="6"/>
        <v>0.12</v>
      </c>
      <c r="S62" s="53">
        <f t="shared" si="7"/>
        <v>1.0596241035318976E-2</v>
      </c>
      <c r="T62" s="53">
        <f t="shared" si="8"/>
        <v>0.05</v>
      </c>
      <c r="U62" s="53">
        <f t="shared" si="11"/>
        <v>4.2653187775606449E-3</v>
      </c>
    </row>
    <row r="63" spans="1:21" x14ac:dyDescent="0.2">
      <c r="A63" s="62">
        <f t="shared" si="1"/>
        <v>9.8212139266376258E-2</v>
      </c>
      <c r="B63" s="45">
        <f t="shared" si="2"/>
        <v>49</v>
      </c>
      <c r="C63" s="51">
        <f>IF(B63&lt;C$4,C$1,D62-L63+N63)</f>
        <v>10802172.949866788</v>
      </c>
      <c r="D63" s="47" cm="1">
        <f t="array" ref="D63">_xlfn.IFS(AND($C$7="Y",B63&lt;C$4),C63,AND($C$7="Y",B63=C$4),D62+F63-J63-K63-L63+N63,AND($C$7="Y",B63&gt;$C$4),D62-J63-K63-L63+N63, TRUE, D62-J63-K63-L63+N63)</f>
        <v>9821213.9266376253</v>
      </c>
      <c r="E63" s="48">
        <f t="shared" si="3"/>
        <v>0</v>
      </c>
      <c r="F63" s="50">
        <f t="shared" si="4"/>
        <v>0</v>
      </c>
      <c r="G63" s="50">
        <f t="shared" si="12"/>
        <v>0</v>
      </c>
      <c r="H63" s="51">
        <f t="shared" si="5"/>
        <v>920785.58815437264</v>
      </c>
      <c r="I63" s="52">
        <f>IF(AND(C$7="Y",$B63&lt;=C$4),0,IF(AND(C$7="Y",$B63&gt;C$4),(1-U63)*C$2*D62/12,IF(AND($C$7="N",C$4&gt;0),(1-U63)*D62*C$2/12, (1-U63)*D62*C$2/12)))</f>
        <v>45009.053957778291</v>
      </c>
      <c r="J63" s="52">
        <f>IF(AND($B63&lt;=$C$4,C$7="Y"),0,IF(AND(C$7="N",C$4&gt;0,B63&lt;=C$4),0,H63-I63))</f>
        <v>875776.53419659438</v>
      </c>
      <c r="K63" s="51">
        <f>IF(AND(C$7="Y",$B63&lt;=$C$4),0,IF(AND(C$7="N",C$4&gt;0,B63&lt;=C$4),0,S63*(C63-J63)))</f>
        <v>105182.48903256771</v>
      </c>
      <c r="L63" s="49">
        <f>IF(AND(C$7="Y",$B63&lt;=$C$4),0,IF(AND(C$7="N",C$4&gt;0,B63&lt;=C$4),0,U63*D62))</f>
        <v>46272.076277346961</v>
      </c>
      <c r="M63" s="49">
        <f t="shared" si="18"/>
        <v>-64869.515875363824</v>
      </c>
      <c r="N63" s="49">
        <f t="shared" si="17"/>
        <v>0</v>
      </c>
      <c r="O63" s="48">
        <f>K63+I63+J63-L63+N63+G63</f>
        <v>979696.00090959342</v>
      </c>
      <c r="P63" s="38">
        <f>O63*(1/((1+P$12)^(B63/12)))</f>
        <v>979696.00090959342</v>
      </c>
      <c r="Q63" s="53"/>
      <c r="R63" s="53">
        <f t="shared" si="6"/>
        <v>0.12</v>
      </c>
      <c r="S63" s="53">
        <f t="shared" si="7"/>
        <v>1.0596241035318976E-2</v>
      </c>
      <c r="T63" s="53">
        <f t="shared" si="8"/>
        <v>0.05</v>
      </c>
      <c r="U63" s="53">
        <f t="shared" si="11"/>
        <v>4.2653187775606449E-3</v>
      </c>
    </row>
    <row r="64" spans="1:21" x14ac:dyDescent="0.2">
      <c r="A64" s="62">
        <f t="shared" si="1"/>
        <v>8.8181257632316878E-2</v>
      </c>
      <c r="B64" s="45">
        <f t="shared" si="2"/>
        <v>50</v>
      </c>
      <c r="C64" s="51">
        <f>IF(B64&lt;C$4,C$1,D63-L64+N64)</f>
        <v>9779323.3184578978</v>
      </c>
      <c r="D64" s="47" cm="1">
        <f t="array" ref="D64">_xlfn.IFS(AND($C$7="Y",B64&lt;C$4),C64,AND($C$7="Y",B64=C$4),D63+F64-J64-K64-L64+N64,AND($C$7="Y",B64&gt;$C$4),D63-J64-K64-L64+N64, TRUE, D63-J64-K64-L64+N64)</f>
        <v>8818125.7632316872</v>
      </c>
      <c r="E64" s="48">
        <f t="shared" si="3"/>
        <v>0</v>
      </c>
      <c r="F64" s="50">
        <f t="shared" si="4"/>
        <v>0</v>
      </c>
      <c r="G64" s="50">
        <f t="shared" si="12"/>
        <v>0</v>
      </c>
      <c r="H64" s="51">
        <f t="shared" si="5"/>
        <v>907505.04391516396</v>
      </c>
      <c r="I64" s="52">
        <f>IF(AND(C$7="Y",$B64&lt;=C$4),0,IF(AND(C$7="Y",$B64&gt;C$4),(1-U64)*C$2*D63/12,IF(AND($C$7="N",C$4&gt;0),(1-U64)*D63*C$2/12, (1-U64)*D63*C$2/12)))</f>
        <v>40747.180493574575</v>
      </c>
      <c r="J64" s="52">
        <f>IF(AND($B64&lt;=$C$4,C$7="Y"),0,IF(AND(C$7="N",C$4&gt;0,B64&lt;=C$4),0,H64-I64))</f>
        <v>866757.86342158937</v>
      </c>
      <c r="K64" s="51">
        <f>IF(AND(C$7="Y",$B64&lt;=$C$4),0,IF(AND(C$7="N",C$4&gt;0,B64&lt;=C$4),0,S64*(C64-J64)))</f>
        <v>94439.691804622082</v>
      </c>
      <c r="L64" s="49">
        <f>IF(AND(C$7="Y",$B64&lt;=$C$4),0,IF(AND(C$7="N",C$4&gt;0,B64&lt;=C$4),0,U64*D63))</f>
        <v>41890.608179727576</v>
      </c>
      <c r="M64" s="49">
        <f t="shared" si="18"/>
        <v>-60055.184210209663</v>
      </c>
      <c r="N64" s="49">
        <f t="shared" si="17"/>
        <v>0</v>
      </c>
      <c r="O64" s="48">
        <f>K64+I64+J64-L64+N64+G64</f>
        <v>960054.12754005846</v>
      </c>
      <c r="P64" s="38">
        <f>O64*(1/((1+P$12)^(B64/12)))</f>
        <v>960054.12754005846</v>
      </c>
      <c r="Q64" s="53"/>
      <c r="R64" s="53">
        <f t="shared" si="6"/>
        <v>0.12</v>
      </c>
      <c r="S64" s="53">
        <f t="shared" si="7"/>
        <v>1.0596241035318976E-2</v>
      </c>
      <c r="T64" s="53">
        <f t="shared" si="8"/>
        <v>0.05</v>
      </c>
      <c r="U64" s="53">
        <f t="shared" si="11"/>
        <v>4.2653187775606449E-3</v>
      </c>
    </row>
    <row r="65" spans="1:21" x14ac:dyDescent="0.2">
      <c r="A65" s="62">
        <f t="shared" si="1"/>
        <v>7.8386979005926824E-2</v>
      </c>
      <c r="B65" s="45">
        <f t="shared" si="2"/>
        <v>51</v>
      </c>
      <c r="C65" s="51">
        <f>IF(B65&lt;C$4,C$1,D64-L65+N65)</f>
        <v>8780513.6458308846</v>
      </c>
      <c r="D65" s="47" cm="1">
        <f t="array" ref="D65">_xlfn.IFS(AND($C$7="Y",B65&lt;C$4),C65,AND($C$7="Y",B65=C$4),D64+F65-J65-K65-L65+N65,AND($C$7="Y",B65&gt;$C$4),D64-J65-K65-L65+N65, TRUE, D64-J65-K65-L65+N65)</f>
        <v>7838697.900592682</v>
      </c>
      <c r="E65" s="48">
        <f t="shared" si="3"/>
        <v>0</v>
      </c>
      <c r="F65" s="50">
        <f t="shared" si="4"/>
        <v>0</v>
      </c>
      <c r="G65" s="50">
        <f t="shared" si="12"/>
        <v>0</v>
      </c>
      <c r="H65" s="51">
        <f t="shared" si="5"/>
        <v>894450.9288983834</v>
      </c>
      <c r="I65" s="52">
        <f>IF(AND(C$7="Y",$B65&lt;=C$4),0,IF(AND(C$7="Y",$B65&gt;C$4),(1-U65)*C$2*D64/12,IF(AND($C$7="N",C$4&gt;0),(1-U65)*D64*C$2/12, (1-U65)*D64*C$2/12)))</f>
        <v>36585.473524295354</v>
      </c>
      <c r="J65" s="52">
        <f>IF(AND($B65&lt;=$C$4,C$7="Y"),0,IF(AND(C$7="N",C$4&gt;0,B65&lt;=C$4),0,H65-I65))</f>
        <v>857865.45537408802</v>
      </c>
      <c r="K65" s="51">
        <f>IF(AND(C$7="Y",$B65&lt;=$C$4),0,IF(AND(C$7="N",C$4&gt;0,B65&lt;=C$4),0,S65*(C65-J65)))</f>
        <v>83950.289864113933</v>
      </c>
      <c r="L65" s="49">
        <f>IF(AND(C$7="Y",$B65&lt;=$C$4),0,IF(AND(C$7="N",C$4&gt;0,B65&lt;=C$4),0,U65*D64))</f>
        <v>37612.117400803407</v>
      </c>
      <c r="M65" s="49">
        <f t="shared" si="18"/>
        <v>-55352.25874566775</v>
      </c>
      <c r="N65" s="49">
        <f t="shared" si="17"/>
        <v>0</v>
      </c>
      <c r="O65" s="48">
        <f>K65+I65+J65-L65+N65+G65</f>
        <v>940789.10136169393</v>
      </c>
      <c r="P65" s="38">
        <f>O65*(1/((1+P$12)^(B65/12)))</f>
        <v>940789.10136169393</v>
      </c>
      <c r="Q65" s="53"/>
      <c r="R65" s="53">
        <f t="shared" si="6"/>
        <v>0.12</v>
      </c>
      <c r="S65" s="53">
        <f t="shared" si="7"/>
        <v>1.0596241035318976E-2</v>
      </c>
      <c r="T65" s="53">
        <f t="shared" si="8"/>
        <v>0.05</v>
      </c>
      <c r="U65" s="53">
        <f t="shared" si="11"/>
        <v>4.2653187775606449E-3</v>
      </c>
    </row>
    <row r="66" spans="1:21" x14ac:dyDescent="0.2">
      <c r="A66" s="62">
        <f t="shared" si="1"/>
        <v>6.8824495366814162E-2</v>
      </c>
      <c r="B66" s="45">
        <f t="shared" si="2"/>
        <v>52</v>
      </c>
      <c r="C66" s="51">
        <f>IF(B66&lt;C$4,C$1,D65-L66+N66)</f>
        <v>7805263.3552456591</v>
      </c>
      <c r="D66" s="47" cm="1">
        <f t="array" ref="D66">_xlfn.IFS(AND($C$7="Y",B66&lt;C$4),C66,AND($C$7="Y",B66=C$4),D65+F66-J66-K66-L66+N66,AND($C$7="Y",B66&gt;$C$4),D65-J66-K66-L66+N66, TRUE, D65-J66-K66-L66+N66)</f>
        <v>6882449.5366814155</v>
      </c>
      <c r="E66" s="48">
        <f t="shared" si="3"/>
        <v>0</v>
      </c>
      <c r="F66" s="50">
        <f t="shared" si="4"/>
        <v>0</v>
      </c>
      <c r="G66" s="50">
        <f t="shared" si="12"/>
        <v>0</v>
      </c>
      <c r="H66" s="51">
        <f t="shared" si="5"/>
        <v>881626.61525712442</v>
      </c>
      <c r="I66" s="52">
        <f>IF(AND(C$7="Y",$B66&lt;=C$4),0,IF(AND(C$7="Y",$B66&gt;C$4),(1-U66)*C$2*D65/12,IF(AND($C$7="N",C$4&gt;0),(1-U66)*D65*C$2/12, (1-U66)*D65*C$2/12)))</f>
        <v>32521.930646856916</v>
      </c>
      <c r="J66" s="52">
        <f>IF(AND($B66&lt;=$C$4,C$7="Y"),0,IF(AND(C$7="N",C$4&gt;0,B66&lt;=C$4),0,H66-I66))</f>
        <v>849104.68461026752</v>
      </c>
      <c r="K66" s="51">
        <f>IF(AND(C$7="Y",$B66&lt;=$C$4),0,IF(AND(C$7="N",C$4&gt;0,B66&lt;=C$4),0,S66*(C66-J66)))</f>
        <v>73709.133953976634</v>
      </c>
      <c r="L66" s="49">
        <f>IF(AND(C$7="Y",$B66&lt;=$C$4),0,IF(AND(C$7="N",C$4&gt;0,B66&lt;=C$4),0,U66*D65))</f>
        <v>33434.545347023173</v>
      </c>
      <c r="M66" s="49">
        <f t="shared" si="18"/>
        <v>-50758.595257386376</v>
      </c>
      <c r="N66" s="49">
        <f t="shared" si="17"/>
        <v>0</v>
      </c>
      <c r="O66" s="48">
        <f>K66+I66+J66-L66+N66+G66</f>
        <v>921901.20386407792</v>
      </c>
      <c r="P66" s="38">
        <f>O66*(1/((1+P$12)^(B66/12)))</f>
        <v>921901.20386407792</v>
      </c>
      <c r="Q66" s="53"/>
      <c r="R66" s="53">
        <f t="shared" si="6"/>
        <v>0.12</v>
      </c>
      <c r="S66" s="53">
        <f t="shared" si="7"/>
        <v>1.0596241035318976E-2</v>
      </c>
      <c r="T66" s="53">
        <f t="shared" si="8"/>
        <v>0.05</v>
      </c>
      <c r="U66" s="53">
        <f t="shared" si="11"/>
        <v>4.2653187775606449E-3</v>
      </c>
    </row>
    <row r="67" spans="1:21" x14ac:dyDescent="0.2">
      <c r="A67" s="62">
        <f t="shared" si="1"/>
        <v>5.9488992356650235E-2</v>
      </c>
      <c r="B67" s="45">
        <f t="shared" si="2"/>
        <v>53</v>
      </c>
      <c r="C67" s="51">
        <f>IF(B67&lt;C$4,C$1,D66-L67+N67)</f>
        <v>6853093.6954369945</v>
      </c>
      <c r="D67" s="47" cm="1">
        <f t="array" ref="D67">_xlfn.IFS(AND($C$7="Y",B67&lt;C$4),C67,AND($C$7="Y",B67=C$4),D66+F67-J67-K67-L67+N67,AND($C$7="Y",B67&gt;$C$4),D66-J67-K67-L67+N67, TRUE, D66-J67-K67-L67+N67)</f>
        <v>5948899.2356650233</v>
      </c>
      <c r="E67" s="48">
        <f t="shared" si="3"/>
        <v>0</v>
      </c>
      <c r="F67" s="50">
        <f t="shared" si="4"/>
        <v>0</v>
      </c>
      <c r="G67" s="50">
        <f t="shared" si="12"/>
        <v>0</v>
      </c>
      <c r="H67" s="51">
        <f t="shared" si="5"/>
        <v>869037.94880690298</v>
      </c>
      <c r="I67" s="52">
        <f>IF(AND(C$7="Y",$B67&lt;=C$4),0,IF(AND(C$7="Y",$B67&gt;C$4),(1-U67)*C$2*D66/12,IF(AND($C$7="N",C$4&gt;0),(1-U67)*D66*C$2/12, (1-U67)*D66*C$2/12)))</f>
        <v>28554.557064320816</v>
      </c>
      <c r="J67" s="52">
        <f>IF(AND($B67&lt;=$C$4,C$7="Y"),0,IF(AND(C$7="N",C$4&gt;0,B67&lt;=C$4),0,H67-I67))</f>
        <v>840483.3917425822</v>
      </c>
      <c r="K67" s="51">
        <f>IF(AND(C$7="Y",$B67&lt;=$C$4),0,IF(AND(C$7="N",C$4&gt;0,B67&lt;=C$4),0,S67*(C67-J67)))</f>
        <v>63711.068029388422</v>
      </c>
      <c r="L67" s="49">
        <f>IF(AND(C$7="Y",$B67&lt;=$C$4),0,IF(AND(C$7="N",C$4&gt;0,B67&lt;=C$4),0,U67*D66))</f>
        <v>29355.841244420801</v>
      </c>
      <c r="M67" s="49">
        <f t="shared" si="18"/>
        <v>-46272.076277346961</v>
      </c>
      <c r="N67" s="49">
        <f t="shared" si="17"/>
        <v>0</v>
      </c>
      <c r="O67" s="48">
        <f>K67+I67+J67-L67+N67+G67</f>
        <v>903393.17559187056</v>
      </c>
      <c r="P67" s="38">
        <f>O67*(1/((1+P$12)^(B67/12)))</f>
        <v>903393.17559187056</v>
      </c>
      <c r="Q67" s="53"/>
      <c r="R67" s="53">
        <f t="shared" si="6"/>
        <v>0.12</v>
      </c>
      <c r="S67" s="53">
        <f t="shared" si="7"/>
        <v>1.0596241035318976E-2</v>
      </c>
      <c r="T67" s="53">
        <f t="shared" si="8"/>
        <v>0.05</v>
      </c>
      <c r="U67" s="53">
        <f t="shared" si="11"/>
        <v>4.2653187775606449E-3</v>
      </c>
    </row>
    <row r="68" spans="1:21" x14ac:dyDescent="0.2">
      <c r="A68" s="62">
        <f t="shared" si="1"/>
        <v>5.0375610952405211E-2</v>
      </c>
      <c r="B68" s="45">
        <f t="shared" si="2"/>
        <v>54</v>
      </c>
      <c r="C68" s="51">
        <f>IF(B68&lt;C$4,C$1,D67-L68+N68)</f>
        <v>5923525.2840493247</v>
      </c>
      <c r="D68" s="47" cm="1">
        <f t="array" ref="D68">_xlfn.IFS(AND($C$7="Y",B68&lt;C$4),C68,AND($C$7="Y",B68=C$4),D67+F68-J68-K68-L68+N68,AND($C$7="Y",B68&gt;$C$4),D67-J68-K68-L68+N68, TRUE, D67-J68-K68-L68+N68)</f>
        <v>5037561.0952405212</v>
      </c>
      <c r="E68" s="48">
        <f t="shared" si="3"/>
        <v>0</v>
      </c>
      <c r="F68" s="50">
        <f t="shared" si="4"/>
        <v>0</v>
      </c>
      <c r="G68" s="50">
        <f t="shared" si="12"/>
        <v>0</v>
      </c>
      <c r="H68" s="51">
        <f t="shared" si="5"/>
        <v>856694.65594814369</v>
      </c>
      <c r="I68" s="52">
        <f>IF(AND(C$7="Y",$B68&lt;=C$4),0,IF(AND(C$7="Y",$B68&gt;C$4),(1-U68)*C$2*D67/12,IF(AND($C$7="N",C$4&gt;0),(1-U68)*D67*C$2/12, (1-U68)*D67*C$2/12)))</f>
        <v>24681.355350205518</v>
      </c>
      <c r="J68" s="52">
        <f>IF(AND($B68&lt;=$C$4,C$7="Y"),0,IF(AND(C$7="N",C$4&gt;0,B68&lt;=C$4),0,H68-I68))</f>
        <v>832013.30059793813</v>
      </c>
      <c r="K68" s="51">
        <f>IF(AND(C$7="Y",$B68&lt;=$C$4),0,IF(AND(C$7="N",C$4&gt;0,B68&lt;=C$4),0,S68*(C68-J68)))</f>
        <v>53950.888210865895</v>
      </c>
      <c r="L68" s="49">
        <f>IF(AND(C$7="Y",$B68&lt;=$C$4),0,IF(AND(C$7="N",C$4&gt;0,B68&lt;=C$4),0,U68*D67))</f>
        <v>25373.951615698192</v>
      </c>
      <c r="M68" s="49">
        <f t="shared" si="18"/>
        <v>-41890.608179727576</v>
      </c>
      <c r="N68" s="49">
        <f t="shared" si="17"/>
        <v>0</v>
      </c>
      <c r="O68" s="48">
        <f>K68+I68+J68-L68+N68+G68</f>
        <v>885271.59254331142</v>
      </c>
      <c r="P68" s="38">
        <f>O68*(1/((1+P$12)^(B68/12)))</f>
        <v>885271.59254331142</v>
      </c>
      <c r="Q68" s="53"/>
      <c r="R68" s="53">
        <f t="shared" si="6"/>
        <v>0.12</v>
      </c>
      <c r="S68" s="53">
        <f t="shared" si="7"/>
        <v>1.0596241035318976E-2</v>
      </c>
      <c r="T68" s="53">
        <f t="shared" si="8"/>
        <v>0.05</v>
      </c>
      <c r="U68" s="53">
        <f t="shared" si="11"/>
        <v>4.2653187775606449E-3</v>
      </c>
    </row>
    <row r="69" spans="1:21" x14ac:dyDescent="0.2">
      <c r="A69" s="62">
        <f t="shared" si="1"/>
        <v>4.1479383924159348E-2</v>
      </c>
      <c r="B69" s="45">
        <f t="shared" si="2"/>
        <v>55</v>
      </c>
      <c r="C69" s="51">
        <f>IF(B69&lt;C$4,C$1,D68-L69+N69)</f>
        <v>5016074.2913078833</v>
      </c>
      <c r="D69" s="47" cm="1">
        <f t="array" ref="D69">_xlfn.IFS(AND($C$7="Y",B69&lt;C$4),C69,AND($C$7="Y",B69=C$4),D68+F69-J69-K69-L69+N69,AND($C$7="Y",B69&gt;$C$4),D68-J69-K69-L69+N69, TRUE, D68-J69-K69-L69+N69)</f>
        <v>4147938.3924159347</v>
      </c>
      <c r="E69" s="48">
        <f t="shared" si="3"/>
        <v>0</v>
      </c>
      <c r="F69" s="50">
        <f t="shared" si="4"/>
        <v>0</v>
      </c>
      <c r="G69" s="50">
        <f t="shared" si="12"/>
        <v>0</v>
      </c>
      <c r="H69" s="51">
        <f t="shared" si="5"/>
        <v>844612.93370672991</v>
      </c>
      <c r="I69" s="52">
        <f>IF(AND(C$7="Y",$B69&lt;=C$4),0,IF(AND(C$7="Y",$B69&gt;C$4),(1-U69)*C$2*D68/12,IF(AND($C$7="N",C$4&gt;0),(1-U69)*D68*C$2/12, (1-U69)*D68*C$2/12)))</f>
        <v>20900.309547116183</v>
      </c>
      <c r="J69" s="52">
        <f>IF(AND($B69&lt;=$C$4,C$7="Y"),0,IF(AND(C$7="N",C$4&gt;0,B69&lt;=C$4),0,H69-I69))</f>
        <v>823712.62415961374</v>
      </c>
      <c r="K69" s="51">
        <f>IF(AND(C$7="Y",$B69&lt;=$C$4),0,IF(AND(C$7="N",C$4&gt;0,B69&lt;=C$4),0,S69*(C69-J69)))</f>
        <v>44423.274732334772</v>
      </c>
      <c r="L69" s="49">
        <f>IF(AND(C$7="Y",$B69&lt;=$C$4),0,IF(AND(C$7="N",C$4&gt;0,B69&lt;=C$4),0,U69*D68))</f>
        <v>21486.803932638362</v>
      </c>
      <c r="M69" s="49">
        <f t="shared" si="18"/>
        <v>-37612.117400803407</v>
      </c>
      <c r="N69" s="49">
        <f t="shared" si="17"/>
        <v>0</v>
      </c>
      <c r="O69" s="48">
        <f>K69+I69+J69-L69+N69+G69</f>
        <v>867549.4045064263</v>
      </c>
      <c r="P69" s="38">
        <f>O69*(1/((1+P$12)^(B69/12)))</f>
        <v>867549.4045064263</v>
      </c>
      <c r="Q69" s="53"/>
      <c r="R69" s="53">
        <f t="shared" si="6"/>
        <v>0.12</v>
      </c>
      <c r="S69" s="53">
        <f t="shared" si="7"/>
        <v>1.0596241035318976E-2</v>
      </c>
      <c r="T69" s="53">
        <f t="shared" si="8"/>
        <v>0.05</v>
      </c>
      <c r="U69" s="53">
        <f t="shared" si="11"/>
        <v>4.2653187775606449E-3</v>
      </c>
    </row>
    <row r="70" spans="1:21" x14ac:dyDescent="0.2">
      <c r="A70" s="62">
        <f t="shared" si="1"/>
        <v>3.2795121510878766E-2</v>
      </c>
      <c r="B70" s="45">
        <f t="shared" si="2"/>
        <v>56</v>
      </c>
      <c r="C70" s="51">
        <f>IF(B70&lt;C$4,C$1,D69-L70+N70)</f>
        <v>4130246.1129025985</v>
      </c>
      <c r="D70" s="47" cm="1">
        <f t="array" ref="D70">_xlfn.IFS(AND($C$7="Y",B70&lt;C$4),C70,AND($C$7="Y",B70=C$4),D69+F70-J70-K70-L70+N70,AND($C$7="Y",B70&gt;$C$4),D69-J70-K70-L70+N70, TRUE, D69-J70-K70-L70+N70)</f>
        <v>3279512.1510878764</v>
      </c>
      <c r="E70" s="48">
        <f t="shared" si="3"/>
        <v>0</v>
      </c>
      <c r="F70" s="50">
        <f t="shared" si="4"/>
        <v>0</v>
      </c>
      <c r="G70" s="50">
        <f t="shared" si="12"/>
        <v>0</v>
      </c>
      <c r="H70" s="51">
        <f t="shared" si="5"/>
        <v>832820.6511154403</v>
      </c>
      <c r="I70" s="52">
        <f>IF(AND(C$7="Y",$B70&lt;=C$4),0,IF(AND(C$7="Y",$B70&gt;C$4),(1-U70)*C$2*D69/12,IF(AND($C$7="N",C$4&gt;0),(1-U70)*D69*C$2/12, (1-U70)*D69*C$2/12)))</f>
        <v>17209.358803760828</v>
      </c>
      <c r="J70" s="52">
        <f>IF(AND($B70&lt;=$C$4,C$7="Y"),0,IF(AND(C$7="N",C$4&gt;0,B70&lt;=C$4),0,H70-I70))</f>
        <v>815611.29231167946</v>
      </c>
      <c r="K70" s="51">
        <f>IF(AND(C$7="Y",$B70&lt;=$C$4),0,IF(AND(C$7="N",C$4&gt;0,B70&lt;=C$4),0,S70*(C70-J70)))</f>
        <v>35122.669503042649</v>
      </c>
      <c r="L70" s="49">
        <f>IF(AND(C$7="Y",$B70&lt;=$C$4),0,IF(AND(C$7="N",C$4&gt;0,B70&lt;=C$4),0,U70*D69))</f>
        <v>17692.279513336402</v>
      </c>
      <c r="M70" s="49">
        <f t="shared" si="18"/>
        <v>-33434.545347023173</v>
      </c>
      <c r="N70" s="49">
        <f t="shared" si="17"/>
        <v>0</v>
      </c>
      <c r="O70" s="48">
        <f>K70+I70+J70-L70+N70+G70</f>
        <v>850251.04110514652</v>
      </c>
      <c r="P70" s="38">
        <f>O70*(1/((1+P$12)^(B70/12)))</f>
        <v>850251.04110514652</v>
      </c>
      <c r="Q70" s="53"/>
      <c r="R70" s="53">
        <f t="shared" si="6"/>
        <v>0.12</v>
      </c>
      <c r="S70" s="53">
        <f t="shared" si="7"/>
        <v>1.0596241035318976E-2</v>
      </c>
      <c r="T70" s="53">
        <f t="shared" si="8"/>
        <v>0.05</v>
      </c>
      <c r="U70" s="53">
        <f t="shared" si="11"/>
        <v>4.2653187775606449E-3</v>
      </c>
    </row>
    <row r="71" spans="1:21" x14ac:dyDescent="0.2">
      <c r="A71" s="62">
        <f t="shared" si="1"/>
        <v>2.4317182052416397E-2</v>
      </c>
      <c r="B71" s="45">
        <f t="shared" si="2"/>
        <v>57</v>
      </c>
      <c r="C71" s="51">
        <f>IF(B71&lt;C$4,C$1,D70-L71+N71)</f>
        <v>3265523.9863286028</v>
      </c>
      <c r="D71" s="47" cm="1">
        <f t="array" ref="D71">_xlfn.IFS(AND($C$7="Y",B71&lt;C$4),C71,AND($C$7="Y",B71=C$4),D70+F71-J71-K71-L71+N71,AND($C$7="Y",B71&gt;$C$4),D70-J71-K71-L71+N71, TRUE, D70-J71-K71-L71+N71)</f>
        <v>2431718.2052416396</v>
      </c>
      <c r="E71" s="48">
        <f t="shared" si="3"/>
        <v>0</v>
      </c>
      <c r="F71" s="50">
        <f t="shared" si="4"/>
        <v>0</v>
      </c>
      <c r="G71" s="50">
        <f t="shared" si="12"/>
        <v>0</v>
      </c>
      <c r="H71" s="51">
        <f t="shared" si="5"/>
        <v>821369.10056923307</v>
      </c>
      <c r="I71" s="52">
        <f>IF(AND(C$7="Y",$B71&lt;=C$4),0,IF(AND(C$7="Y",$B71&gt;C$4),(1-U71)*C$2*D70/12,IF(AND($C$7="N",C$4&gt;0),(1-U71)*D70*C$2/12, (1-U71)*D70*C$2/12)))</f>
        <v>13606.349943035844</v>
      </c>
      <c r="J71" s="52">
        <f>IF(AND($B71&lt;=$C$4,C$7="Y"),0,IF(AND(C$7="N",C$4&gt;0,B71&lt;=C$4),0,H71-I71))</f>
        <v>807762.7506261972</v>
      </c>
      <c r="K71" s="51">
        <f>IF(AND(C$7="Y",$B71&lt;=$C$4),0,IF(AND(C$7="N",C$4&gt;0,B71&lt;=C$4),0,S71*(C71-J71)))</f>
        <v>26043.030460766106</v>
      </c>
      <c r="L71" s="49">
        <f>IF(AND(C$7="Y",$B71&lt;=$C$4),0,IF(AND(C$7="N",C$4&gt;0,B71&lt;=C$4),0,U71*D70))</f>
        <v>13988.164759273423</v>
      </c>
      <c r="M71" s="49">
        <f t="shared" si="18"/>
        <v>-29355.841244420801</v>
      </c>
      <c r="N71" s="49">
        <f t="shared" si="17"/>
        <v>0</v>
      </c>
      <c r="O71" s="48">
        <f>K71+I71+J71-L71+N71+G71</f>
        <v>833423.96627072571</v>
      </c>
      <c r="P71" s="38">
        <f>O71*(1/((1+P$12)^(B71/12)))</f>
        <v>833423.96627072571</v>
      </c>
      <c r="Q71" s="53"/>
      <c r="R71" s="53">
        <f t="shared" si="6"/>
        <v>0.12</v>
      </c>
      <c r="S71" s="53">
        <f t="shared" si="7"/>
        <v>1.0596241035318976E-2</v>
      </c>
      <c r="T71" s="53">
        <f t="shared" si="8"/>
        <v>0.05</v>
      </c>
      <c r="U71" s="53">
        <f t="shared" si="11"/>
        <v>4.2653187775606449E-3</v>
      </c>
    </row>
    <row r="72" spans="1:21" x14ac:dyDescent="0.2">
      <c r="A72" s="62">
        <f t="shared" si="1"/>
        <v>1.603893373714773E-2</v>
      </c>
      <c r="B72" s="45">
        <f t="shared" si="2"/>
        <v>58</v>
      </c>
      <c r="C72" s="51">
        <f>IF(B72&lt;C$4,C$1,D71-L72+N72)</f>
        <v>2421346.1519190865</v>
      </c>
      <c r="D72" s="47" cm="1">
        <f t="array" ref="D72">_xlfn.IFS(AND($C$7="Y",B72&lt;C$4),C72,AND($C$7="Y",B72=C$4),D71+F72-J72-K72-L72+N72,AND($C$7="Y",B72&gt;$C$4),D71-J72-K72-L72+N72, TRUE, D71-J72-K72-L72+N72)</f>
        <v>1603893.373714773</v>
      </c>
      <c r="E72" s="48">
        <f t="shared" si="3"/>
        <v>0</v>
      </c>
      <c r="F72" s="50">
        <f t="shared" si="4"/>
        <v>0</v>
      </c>
      <c r="G72" s="50">
        <f t="shared" si="12"/>
        <v>0</v>
      </c>
      <c r="H72" s="51">
        <f t="shared" si="5"/>
        <v>810364.46538558381</v>
      </c>
      <c r="I72" s="52">
        <f>IF(AND(C$7="Y",$B72&lt;=C$4),0,IF(AND(C$7="Y",$B72&gt;C$4),(1-U72)*C$2*D71/12,IF(AND($C$7="N",C$4&gt;0),(1-U72)*D71*C$2/12, (1-U72)*D71*C$2/12)))</f>
        <v>10088.942299662862</v>
      </c>
      <c r="J72" s="52">
        <f>IF(AND($B72&lt;=$C$4,C$7="Y"),0,IF(AND(C$7="N",C$4&gt;0,B72&lt;=C$4),0,H72-I72))</f>
        <v>800275.52308592096</v>
      </c>
      <c r="K72" s="51">
        <f>IF(AND(C$7="Y",$B72&lt;=$C$4),0,IF(AND(C$7="N",C$4&gt;0,B72&lt;=C$4),0,S72*(C72-J72)))</f>
        <v>17177.255118392324</v>
      </c>
      <c r="L72" s="49">
        <f>IF(AND(C$7="Y",$B72&lt;=$C$4),0,IF(AND(C$7="N",C$4&gt;0,B72&lt;=C$4),0,U72*D71))</f>
        <v>10372.053322553236</v>
      </c>
      <c r="M72" s="49">
        <f t="shared" si="18"/>
        <v>-25373.951615698192</v>
      </c>
      <c r="N72" s="49">
        <f t="shared" si="17"/>
        <v>0</v>
      </c>
      <c r="O72" s="48">
        <f>K72+I72+J72-L72+N72+G72</f>
        <v>817169.66718142282</v>
      </c>
      <c r="P72" s="38">
        <f>O72*(1/((1+P$12)^(B72/12)))</f>
        <v>817169.66718142282</v>
      </c>
      <c r="Q72" s="53"/>
      <c r="R72" s="53">
        <f t="shared" si="6"/>
        <v>0.12</v>
      </c>
      <c r="S72" s="53">
        <f t="shared" si="7"/>
        <v>1.0596241035318976E-2</v>
      </c>
      <c r="T72" s="53">
        <f t="shared" si="8"/>
        <v>0.05</v>
      </c>
      <c r="U72" s="53">
        <f t="shared" si="11"/>
        <v>4.2653187775606449E-3</v>
      </c>
    </row>
    <row r="73" spans="1:21" x14ac:dyDescent="0.2">
      <c r="A73" s="62">
        <f t="shared" si="1"/>
        <v>7.9511277934638368E-3</v>
      </c>
      <c r="B73" s="45">
        <f t="shared" si="2"/>
        <v>59</v>
      </c>
      <c r="C73" s="51">
        <f>IF(B73&lt;C$4,C$1,D72-L73+N73)</f>
        <v>1597052.2571906622</v>
      </c>
      <c r="D73" s="47" cm="1">
        <f t="array" ref="D73">_xlfn.IFS(AND($C$7="Y",B73&lt;C$4),C73,AND($C$7="Y",B73=C$4),D72+F73-J73-K73-L73+N73,AND($C$7="Y",B73&gt;$C$4),D72-J73-K73-L73+N73, TRUE, D72-J73-K73-L73+N73)</f>
        <v>795112.77934638376</v>
      </c>
      <c r="E73" s="48">
        <f t="shared" si="3"/>
        <v>0</v>
      </c>
      <c r="F73" s="50">
        <f t="shared" si="4"/>
        <v>0</v>
      </c>
      <c r="G73" s="50">
        <f t="shared" si="12"/>
        <v>0</v>
      </c>
      <c r="H73" s="51">
        <f t="shared" si="5"/>
        <v>800078.42395230732</v>
      </c>
      <c r="I73" s="52">
        <f>IF(AND(C$7="Y",$B73&lt;=C$4),0,IF(AND(C$7="Y",$B73&gt;C$4),(1-U73)*C$2*D72/12,IF(AND($C$7="N",C$4&gt;0),(1-U73)*D72*C$2/12, (1-U73)*D72*C$2/12)))</f>
        <v>6654.3844049610925</v>
      </c>
      <c r="J73" s="52">
        <f>IF(AND($B73&lt;=$C$4,C$7="Y"),0,IF(AND(C$7="N",C$4&gt;0,B73&lt;=C$4),0,H73-I73))</f>
        <v>793424.03954734618</v>
      </c>
      <c r="K73" s="51">
        <f>IF(AND(C$7="Y",$B73&lt;=$C$4),0,IF(AND(C$7="N",C$4&gt;0,B73&lt;=C$4),0,S73*(C73-J73)))</f>
        <v>8515.4382969323542</v>
      </c>
      <c r="L73" s="49">
        <f>IF(AND(C$7="Y",$B73&lt;=$C$4),0,IF(AND(C$7="N",C$4&gt;0,B73&lt;=C$4),0,U73*D72))</f>
        <v>6841.1165241107137</v>
      </c>
      <c r="M73" s="49">
        <f t="shared" si="18"/>
        <v>-21486.803932638362</v>
      </c>
      <c r="N73" s="49">
        <f t="shared" si="17"/>
        <v>0</v>
      </c>
      <c r="O73" s="48">
        <f>K73+I73+J73-L73+N73+G73</f>
        <v>801752.74572512892</v>
      </c>
      <c r="P73" s="38">
        <f>O73*(1/((1+P$12)^(B73/12)))</f>
        <v>801752.74572512892</v>
      </c>
      <c r="Q73" s="53"/>
      <c r="R73" s="53">
        <f t="shared" si="6"/>
        <v>0.12</v>
      </c>
      <c r="S73" s="53">
        <f t="shared" si="7"/>
        <v>1.0596241035318976E-2</v>
      </c>
      <c r="T73" s="53">
        <f t="shared" si="8"/>
        <v>0.05</v>
      </c>
      <c r="U73" s="53">
        <f t="shared" si="11"/>
        <v>4.2653187775606449E-3</v>
      </c>
    </row>
    <row r="74" spans="1:21" x14ac:dyDescent="0.2">
      <c r="A74" s="62">
        <f t="shared" si="1"/>
        <v>3.369454414498575E-5</v>
      </c>
      <c r="B74" s="45">
        <f t="shared" si="2"/>
        <v>60</v>
      </c>
      <c r="C74" s="51">
        <f>IF(B74&lt;C$4,C$1,D73-L74+N74)</f>
        <v>791721.36987835914</v>
      </c>
      <c r="D74" s="47" cm="1">
        <f t="array" ref="D74">_xlfn.IFS(AND($C$7="Y",B74&lt;C$4),C74,AND($C$7="Y",B74=C$4),D73+F74-J74-K74-L74+N74,AND($C$7="Y",B74&gt;$C$4),D73-J74-K74-L74+N74, TRUE, D73-J74-K74-L74+N74)</f>
        <v>3369.4544144985748</v>
      </c>
      <c r="E74" s="48">
        <f t="shared" si="3"/>
        <v>0</v>
      </c>
      <c r="F74" s="50">
        <f t="shared" si="4"/>
        <v>0</v>
      </c>
      <c r="G74" s="50">
        <f t="shared" si="12"/>
        <v>0</v>
      </c>
      <c r="H74" s="51">
        <f t="shared" si="5"/>
        <v>791614.66857871378</v>
      </c>
      <c r="I74" s="52">
        <f>IF(AND(C$7="Y",$B74&lt;=C$4),0,IF(AND(C$7="Y",$B74&gt;C$4),(1-U74)*C$2*D73/12,IF(AND($C$7="N",C$4&gt;0),(1-U74)*D73*C$2/12, (1-U74)*D73*C$2/12)))</f>
        <v>3298.8390411598302</v>
      </c>
      <c r="J74" s="52">
        <f>IF(AND($B74&lt;=$C$4,C$7="Y"),0,IF(AND(C$7="N",C$4&gt;0,B74&lt;=C$4),0,H74-I74))</f>
        <v>788315.82953755395</v>
      </c>
      <c r="K74" s="51">
        <f>IF(AND(C$7="Y",$B74&lt;=$C$4),0,IF(AND(C$7="N",C$4&gt;0,B74&lt;=C$4),0,S74*(C74-J74)))</f>
        <v>36.08592630667416</v>
      </c>
      <c r="L74" s="49">
        <f>IF(AND(C$7="Y",$B74&lt;=$C$4),0,IF(AND(C$7="N",C$4&gt;0,B74&lt;=C$4),0,U74*D73))</f>
        <v>3391.4094680245644</v>
      </c>
      <c r="M74" s="49">
        <f t="shared" si="18"/>
        <v>-17692.279513336402</v>
      </c>
      <c r="N74" s="49">
        <f t="shared" si="17"/>
        <v>0</v>
      </c>
      <c r="O74" s="48">
        <f>K74+I74+J74-L74+N74+G74</f>
        <v>788259.34503699583</v>
      </c>
      <c r="P74" s="38">
        <f>O74*(1/((1+P$12)^(B74/12)))</f>
        <v>788259.34503699583</v>
      </c>
      <c r="Q74" s="53"/>
      <c r="R74" s="53">
        <f t="shared" si="6"/>
        <v>0.12</v>
      </c>
      <c r="S74" s="53">
        <f t="shared" si="7"/>
        <v>1.0596241035318976E-2</v>
      </c>
      <c r="T74" s="53">
        <f t="shared" si="8"/>
        <v>0.05</v>
      </c>
      <c r="U74" s="53">
        <f t="shared" si="11"/>
        <v>4.2653187775606449E-3</v>
      </c>
    </row>
    <row r="75" spans="1:21" x14ac:dyDescent="0.2">
      <c r="A75" s="62" t="e">
        <f t="shared" si="1"/>
        <v>#DIV/0!</v>
      </c>
      <c r="B75" s="45">
        <f t="shared" si="2"/>
        <v>61</v>
      </c>
      <c r="C75" s="51">
        <f>IF(B75&lt;C$4,C$1,D74-L75+N75)</f>
        <v>3355.0826173142796</v>
      </c>
      <c r="D75" s="47" t="e" cm="1">
        <f t="array" ref="D75">_xlfn.IFS(AND($C$7="Y",B75&lt;C$4),C75,AND($C$7="Y",B75=C$4),D74+F75-J75-K75-L75+N75,AND($C$7="Y",B75&gt;$C$4),D74-J75-K75-L75+N75, TRUE, D74-J75-K75-L75+N75)</f>
        <v>#DIV/0!</v>
      </c>
      <c r="E75" s="48">
        <f t="shared" si="3"/>
        <v>0</v>
      </c>
      <c r="F75" s="50">
        <f t="shared" si="4"/>
        <v>0</v>
      </c>
      <c r="G75" s="50">
        <f t="shared" si="12"/>
        <v>0</v>
      </c>
      <c r="H75" s="51" t="e">
        <f t="shared" si="5"/>
        <v>#DIV/0!</v>
      </c>
      <c r="I75" s="52">
        <f>IF(AND(C$7="Y",$B75&lt;=C$4),0,IF(AND(C$7="Y",$B75&gt;C$4),(1-U75)*C$2*D74/12,IF(AND($C$7="N",C$4&gt;0),(1-U75)*D74*C$2/12, (1-U75)*D74*C$2/12)))</f>
        <v>13.979510905476166</v>
      </c>
      <c r="J75" s="52" t="e">
        <f>IF(AND($B75&lt;=$C$4,C$7="Y"),0,IF(AND(C$7="N",C$4&gt;0,B75&lt;=C$4),0,H75-I75))</f>
        <v>#DIV/0!</v>
      </c>
      <c r="K75" s="51" t="e">
        <f>IF(AND(C$7="Y",$B75&lt;=$C$4),0,IF(AND(C$7="N",C$4&gt;0,B75&lt;=C$4),0,S75*(C75-J75)))</f>
        <v>#DIV/0!</v>
      </c>
      <c r="L75" s="49">
        <f>IF(AND(C$7="Y",$B75&lt;=$C$4),0,IF(AND(C$7="N",C$4&gt;0,B75&lt;=C$4),0,U75*D74))</f>
        <v>14.37179718429538</v>
      </c>
      <c r="M75" s="49">
        <f t="shared" si="18"/>
        <v>-13988.164759273423</v>
      </c>
      <c r="N75" s="49">
        <f t="shared" si="17"/>
        <v>0</v>
      </c>
      <c r="O75" s="48" t="e">
        <f>K75+I75+J75-L75+N75+G75</f>
        <v>#DIV/0!</v>
      </c>
      <c r="P75" s="38" t="e">
        <f>O75*(1/((1+P$12)^(B75/12)))</f>
        <v>#DIV/0!</v>
      </c>
      <c r="Q75" s="53"/>
      <c r="R75" s="53">
        <f t="shared" si="6"/>
        <v>0.12</v>
      </c>
      <c r="S75" s="53">
        <f t="shared" si="7"/>
        <v>1.0596241035318976E-2</v>
      </c>
      <c r="T75" s="53">
        <f t="shared" si="8"/>
        <v>0.05</v>
      </c>
      <c r="U75" s="53">
        <f t="shared" si="11"/>
        <v>4.2653187775606449E-3</v>
      </c>
    </row>
    <row r="76" spans="1:21" x14ac:dyDescent="0.2">
      <c r="A76" s="62" t="e">
        <f t="shared" si="1"/>
        <v>#DIV/0!</v>
      </c>
      <c r="B76" s="45">
        <f t="shared" si="2"/>
        <v>62</v>
      </c>
      <c r="C76" s="51" t="e">
        <f>IF(B76&lt;C$4,C$1,D75-L76+N76)</f>
        <v>#DIV/0!</v>
      </c>
      <c r="D76" s="47" t="e" cm="1">
        <f t="array" ref="D76">_xlfn.IFS(AND($C$7="Y",B76&lt;C$4),C76,AND($C$7="Y",B76=C$4),D75+F76-J76-K76-L76+N76,AND($C$7="Y",B76&gt;$C$4),D75-J76-K76-L76+N76, TRUE, D75-J76-K76-L76+N76)</f>
        <v>#DIV/0!</v>
      </c>
      <c r="E76" s="48">
        <f t="shared" si="3"/>
        <v>0</v>
      </c>
      <c r="F76" s="50">
        <f t="shared" si="4"/>
        <v>0</v>
      </c>
      <c r="G76" s="50">
        <f t="shared" si="12"/>
        <v>0</v>
      </c>
      <c r="H76" s="51" t="e">
        <f t="shared" si="5"/>
        <v>#DIV/0!</v>
      </c>
      <c r="I76" s="52" t="e">
        <f>IF(AND(C$7="Y",$B76&lt;=C$4),0,IF(AND(C$7="Y",$B76&gt;C$4),(1-U76)*C$2*D75/12,IF(AND($C$7="N",C$4&gt;0),(1-U76)*D75*C$2/12, (1-U76)*D75*C$2/12)))</f>
        <v>#DIV/0!</v>
      </c>
      <c r="J76" s="52" t="e">
        <f>IF(AND($B76&lt;=$C$4,C$7="Y"),0,IF(AND(C$7="N",C$4&gt;0,B76&lt;=C$4),0,H76-I76))</f>
        <v>#DIV/0!</v>
      </c>
      <c r="K76" s="51" t="e">
        <f>IF(AND(C$7="Y",$B76&lt;=$C$4),0,IF(AND(C$7="N",C$4&gt;0,B76&lt;=C$4),0,S76*(C76-J76)))</f>
        <v>#DIV/0!</v>
      </c>
      <c r="L76" s="49" t="e">
        <f>IF(AND(C$7="Y",$B76&lt;=$C$4),0,IF(AND(C$7="N",C$4&gt;0,B76&lt;=C$4),0,U76*D75))</f>
        <v>#DIV/0!</v>
      </c>
      <c r="M76" s="49">
        <f t="shared" si="18"/>
        <v>-10372.053322553236</v>
      </c>
      <c r="N76" s="49">
        <f t="shared" si="17"/>
        <v>0</v>
      </c>
      <c r="O76" s="48" t="e">
        <f>K76+I76+J76-L76+N76+G76</f>
        <v>#DIV/0!</v>
      </c>
      <c r="P76" s="38" t="e">
        <f>O76*(1/((1+P$12)^(B76/12)))</f>
        <v>#DIV/0!</v>
      </c>
      <c r="Q76" s="53"/>
      <c r="R76" s="53">
        <f t="shared" si="6"/>
        <v>0.12</v>
      </c>
      <c r="S76" s="53">
        <f t="shared" si="7"/>
        <v>1.0596241035318976E-2</v>
      </c>
      <c r="T76" s="53">
        <f t="shared" si="8"/>
        <v>0.05</v>
      </c>
      <c r="U76" s="53">
        <f t="shared" si="11"/>
        <v>4.2653187775606449E-3</v>
      </c>
    </row>
    <row r="77" spans="1:21" x14ac:dyDescent="0.2">
      <c r="A77" s="62" t="e">
        <f t="shared" si="1"/>
        <v>#DIV/0!</v>
      </c>
      <c r="B77" s="45">
        <f t="shared" si="2"/>
        <v>63</v>
      </c>
      <c r="C77" s="51" t="e">
        <f>IF(B77&lt;C$4,C$1,D76-L77+N77)</f>
        <v>#DIV/0!</v>
      </c>
      <c r="D77" s="47" t="e" cm="1">
        <f t="array" ref="D77">_xlfn.IFS(AND($C$7="Y",B77&lt;C$4),C77,AND($C$7="Y",B77=C$4),D76+F77-J77-K77-L77+N77,AND($C$7="Y",B77&gt;$C$4),D76-J77-K77-L77+N77, TRUE, D76-J77-K77-L77+N77)</f>
        <v>#DIV/0!</v>
      </c>
      <c r="E77" s="48">
        <f t="shared" si="3"/>
        <v>0</v>
      </c>
      <c r="F77" s="50">
        <f t="shared" si="4"/>
        <v>0</v>
      </c>
      <c r="G77" s="50">
        <f t="shared" si="12"/>
        <v>0</v>
      </c>
      <c r="H77" s="51" t="e">
        <f t="shared" si="5"/>
        <v>#DIV/0!</v>
      </c>
      <c r="I77" s="52" t="e">
        <f>IF(AND(C$7="Y",$B77&lt;=C$4),0,IF(AND(C$7="Y",$B77&gt;C$4),(1-U77)*C$2*D76/12,IF(AND($C$7="N",C$4&gt;0),(1-U77)*D76*C$2/12, (1-U77)*D76*C$2/12)))</f>
        <v>#DIV/0!</v>
      </c>
      <c r="J77" s="52" t="e">
        <f>IF(AND($B77&lt;=$C$4,C$7="Y"),0,IF(AND(C$7="N",C$4&gt;0,B77&lt;=C$4),0,H77-I77))</f>
        <v>#DIV/0!</v>
      </c>
      <c r="K77" s="51" t="e">
        <f>IF(AND(C$7="Y",$B77&lt;=$C$4),0,IF(AND(C$7="N",C$4&gt;0,B77&lt;=C$4),0,S77*(C77-J77)))</f>
        <v>#DIV/0!</v>
      </c>
      <c r="L77" s="49" t="e">
        <f>IF(AND(C$7="Y",$B77&lt;=$C$4),0,IF(AND(C$7="N",C$4&gt;0,B77&lt;=C$4),0,U77*D76))</f>
        <v>#DIV/0!</v>
      </c>
      <c r="M77" s="49">
        <f t="shared" si="18"/>
        <v>-6841.1165241107137</v>
      </c>
      <c r="N77" s="49">
        <f t="shared" si="17"/>
        <v>0</v>
      </c>
      <c r="O77" s="48" t="e">
        <f>K77+I77+J77-L77+N77+G77</f>
        <v>#DIV/0!</v>
      </c>
      <c r="P77" s="38" t="e">
        <f>O77*(1/((1+P$12)^(B77/12)))</f>
        <v>#DIV/0!</v>
      </c>
      <c r="Q77" s="53"/>
      <c r="R77" s="53">
        <f t="shared" si="6"/>
        <v>0.12</v>
      </c>
      <c r="S77" s="53">
        <f t="shared" si="7"/>
        <v>1.0596241035318976E-2</v>
      </c>
      <c r="T77" s="53">
        <f t="shared" si="8"/>
        <v>0.05</v>
      </c>
      <c r="U77" s="53">
        <f t="shared" si="11"/>
        <v>4.2653187775606449E-3</v>
      </c>
    </row>
    <row r="78" spans="1:21" x14ac:dyDescent="0.2">
      <c r="A78" s="62" t="e">
        <f t="shared" si="1"/>
        <v>#DIV/0!</v>
      </c>
      <c r="B78" s="45">
        <f t="shared" si="2"/>
        <v>64</v>
      </c>
      <c r="C78" s="51" t="e">
        <f>IF(B78&lt;C$4,C$1,D77-L78+N78)</f>
        <v>#DIV/0!</v>
      </c>
      <c r="D78" s="47" t="e" cm="1">
        <f t="array" ref="D78">_xlfn.IFS(AND($C$7="Y",B78&lt;C$4),C78,AND($C$7="Y",B78=C$4),D77+F78-J78-K78-L78+N78,AND($C$7="Y",B78&gt;$C$4),D77-J78-K78-L78+N78, TRUE, D77-J78-K78-L78+N78)</f>
        <v>#DIV/0!</v>
      </c>
      <c r="E78" s="48">
        <f t="shared" si="3"/>
        <v>0</v>
      </c>
      <c r="F78" s="50">
        <f t="shared" si="4"/>
        <v>0</v>
      </c>
      <c r="G78" s="50">
        <f t="shared" si="12"/>
        <v>0</v>
      </c>
      <c r="H78" s="51" t="e">
        <f t="shared" si="5"/>
        <v>#DIV/0!</v>
      </c>
      <c r="I78" s="52" t="e">
        <f>IF(AND(C$7="Y",$B78&lt;=C$4),0,IF(AND(C$7="Y",$B78&gt;C$4),(1-U78)*C$2*D77/12,IF(AND($C$7="N",C$4&gt;0),(1-U78)*D77*C$2/12, (1-U78)*D77*C$2/12)))</f>
        <v>#DIV/0!</v>
      </c>
      <c r="J78" s="52" t="e">
        <f>IF(AND($B78&lt;=$C$4,C$7="Y"),0,IF(AND(C$7="N",C$4&gt;0,B78&lt;=C$4),0,H78-I78))</f>
        <v>#DIV/0!</v>
      </c>
      <c r="K78" s="51" t="e">
        <f>IF(AND(C$7="Y",$B78&lt;=$C$4),0,IF(AND(C$7="N",C$4&gt;0,B78&lt;=C$4),0,S78*(C78-J78)))</f>
        <v>#DIV/0!</v>
      </c>
      <c r="L78" s="49" t="e">
        <f>IF(AND(C$7="Y",$B78&lt;=$C$4),0,IF(AND(C$7="N",C$4&gt;0,B78&lt;=C$4),0,U78*D77))</f>
        <v>#DIV/0!</v>
      </c>
      <c r="M78" s="49">
        <f t="shared" si="18"/>
        <v>-3391.4094680245644</v>
      </c>
      <c r="N78" s="49">
        <f t="shared" si="17"/>
        <v>0</v>
      </c>
      <c r="O78" s="48" t="e">
        <f>K78+I78+J78-L78+N78+G78</f>
        <v>#DIV/0!</v>
      </c>
      <c r="P78" s="38" t="e">
        <f>O78*(1/((1+P$12)^(B78/12)))</f>
        <v>#DIV/0!</v>
      </c>
      <c r="Q78" s="53"/>
      <c r="R78" s="53">
        <f t="shared" si="6"/>
        <v>0.12</v>
      </c>
      <c r="S78" s="53">
        <f t="shared" si="7"/>
        <v>1.0596241035318976E-2</v>
      </c>
      <c r="T78" s="53">
        <f t="shared" si="8"/>
        <v>0.05</v>
      </c>
      <c r="U78" s="53">
        <f t="shared" si="11"/>
        <v>4.2653187775606449E-3</v>
      </c>
    </row>
    <row r="79" spans="1:21" x14ac:dyDescent="0.2">
      <c r="A79" s="62" t="e">
        <f t="shared" ref="A79:A142" si="19">D79/C$1</f>
        <v>#DIV/0!</v>
      </c>
      <c r="B79" s="45">
        <f t="shared" si="2"/>
        <v>65</v>
      </c>
      <c r="C79" s="51" t="e">
        <f>IF(B79&lt;C$4,C$1,D78-L79+N79)</f>
        <v>#DIV/0!</v>
      </c>
      <c r="D79" s="47" t="e" cm="1">
        <f t="array" ref="D79">_xlfn.IFS(AND($C$7="Y",B79&lt;C$4),C79,AND($C$7="Y",B79=C$4),D78+F79-J79-K79-L79+N79,AND($C$7="Y",B79&gt;$C$4),D78-J79-K79-L79+N79, TRUE, D78-J79-K79-L79+N79)</f>
        <v>#DIV/0!</v>
      </c>
      <c r="E79" s="48">
        <f t="shared" si="3"/>
        <v>0</v>
      </c>
      <c r="F79" s="50">
        <f t="shared" si="4"/>
        <v>0</v>
      </c>
      <c r="G79" s="50">
        <f t="shared" si="12"/>
        <v>0</v>
      </c>
      <c r="H79" s="51" t="e">
        <f t="shared" si="5"/>
        <v>#DIV/0!</v>
      </c>
      <c r="I79" s="52" t="e">
        <f>IF(AND(C$7="Y",$B79&lt;=C$4),0,IF(AND(C$7="Y",$B79&gt;C$4),(1-U79)*C$2*D78/12,IF(AND($C$7="N",C$4&gt;0),(1-U79)*D78*C$2/12, (1-U79)*D78*C$2/12)))</f>
        <v>#DIV/0!</v>
      </c>
      <c r="J79" s="52" t="e">
        <f>IF(AND($B79&lt;=$C$4,C$7="Y"),0,IF(AND(C$7="N",C$4&gt;0,B79&lt;=C$4),0,H79-I79))</f>
        <v>#DIV/0!</v>
      </c>
      <c r="K79" s="51" t="e">
        <f>IF(AND(C$7="Y",$B79&lt;=$C$4),0,IF(AND(C$7="N",C$4&gt;0,B79&lt;=C$4),0,S79*(C79-J79)))</f>
        <v>#DIV/0!</v>
      </c>
      <c r="L79" s="49" t="e">
        <f>IF(AND(C$7="Y",$B79&lt;=$C$4),0,IF(AND(C$7="N",C$4&gt;0,B79&lt;=C$4),0,U79*D78))</f>
        <v>#DIV/0!</v>
      </c>
      <c r="M79" s="49">
        <f t="shared" si="18"/>
        <v>-14.37179718429538</v>
      </c>
      <c r="N79" s="49">
        <f t="shared" si="17"/>
        <v>0</v>
      </c>
      <c r="O79" s="48" t="e">
        <f>K79+I79+J79-L79+N79+G79</f>
        <v>#DIV/0!</v>
      </c>
      <c r="P79" s="38" t="e">
        <f>O79*(1/((1+P$12)^(B79/12)))</f>
        <v>#DIV/0!</v>
      </c>
      <c r="Q79" s="53"/>
      <c r="R79" s="53">
        <f t="shared" si="6"/>
        <v>0.12</v>
      </c>
      <c r="S79" s="53">
        <f t="shared" si="7"/>
        <v>1.0596241035318976E-2</v>
      </c>
      <c r="T79" s="53">
        <f t="shared" si="8"/>
        <v>0.05</v>
      </c>
      <c r="U79" s="53">
        <f t="shared" si="11"/>
        <v>4.2653187775606449E-3</v>
      </c>
    </row>
    <row r="80" spans="1:21" x14ac:dyDescent="0.2">
      <c r="A80" s="62" t="e">
        <f t="shared" si="19"/>
        <v>#DIV/0!</v>
      </c>
      <c r="B80" s="45">
        <f t="shared" ref="B80:B143" si="20">B79+1</f>
        <v>66</v>
      </c>
      <c r="C80" s="51" t="e">
        <f>IF(B80&lt;C$4,C$1,D79-L80+N80)</f>
        <v>#DIV/0!</v>
      </c>
      <c r="D80" s="47" t="e" cm="1">
        <f t="array" ref="D80">_xlfn.IFS(AND($C$7="Y",B80&lt;C$4),C80,AND($C$7="Y",B80=C$4),D79+F80-J80-K80-L80+N80,AND($C$7="Y",B80&gt;$C$4),D79-J80-K80-L80+N80, TRUE, D79-J80-K80-L80+N80)</f>
        <v>#DIV/0!</v>
      </c>
      <c r="E80" s="48">
        <f t="shared" ref="E80:E143" si="21">IF(AND($C$7="Y",B80&lt;=$C$4),D79*C$2/12-G80,0)</f>
        <v>0</v>
      </c>
      <c r="F80" s="50">
        <f t="shared" ref="F80:F143" si="22">IF(AND($C$7="Y",B80&lt;=C$4),E80+F79,0)</f>
        <v>0</v>
      </c>
      <c r="G80" s="50">
        <f t="shared" si="12"/>
        <v>0</v>
      </c>
      <c r="H80" s="51" t="e">
        <f t="shared" ref="H80:H143" si="23">IF(AND($B80&lt;=$C$4,C$7="Y"),0,IF(AND(C$7="N",C$4&gt;0,B80&lt;=C$4),0,(C80-L80+N80)*C$2/12/(1-(1/(1+C$2/12))^(C$3+C$4-B80+1))))</f>
        <v>#DIV/0!</v>
      </c>
      <c r="I80" s="52" t="e">
        <f>IF(AND(C$7="Y",$B80&lt;=C$4),0,IF(AND(C$7="Y",$B80&gt;C$4),(1-U80)*C$2*D79/12,IF(AND($C$7="N",C$4&gt;0),(1-U80)*D79*C$2/12, (1-U80)*D79*C$2/12)))</f>
        <v>#DIV/0!</v>
      </c>
      <c r="J80" s="52" t="e">
        <f>IF(AND($B80&lt;=$C$4,C$7="Y"),0,IF(AND(C$7="N",C$4&gt;0,B80&lt;=C$4),0,H80-I80))</f>
        <v>#DIV/0!</v>
      </c>
      <c r="K80" s="51" t="e">
        <f>IF(AND(C$7="Y",$B80&lt;=$C$4),0,IF(AND(C$7="N",C$4&gt;0,B80&lt;=C$4),0,S80*(C80-J80)))</f>
        <v>#DIV/0!</v>
      </c>
      <c r="L80" s="49" t="e">
        <f>IF(AND(C$7="Y",$B80&lt;=$C$4),0,IF(AND(C$7="N",C$4&gt;0,B80&lt;=C$4),0,U80*D79))</f>
        <v>#DIV/0!</v>
      </c>
      <c r="M80" s="49">
        <f t="shared" si="18"/>
        <v>0</v>
      </c>
      <c r="N80" s="49">
        <f t="shared" si="17"/>
        <v>0</v>
      </c>
      <c r="O80" s="48" t="e">
        <f>K80+I80+J80-L80+N80+G80</f>
        <v>#DIV/0!</v>
      </c>
      <c r="P80" s="38" t="e">
        <f>O80*(1/((1+P$12)^(B80/12)))</f>
        <v>#DIV/0!</v>
      </c>
      <c r="Q80" s="53"/>
      <c r="R80" s="53">
        <f t="shared" ref="R80:R143" si="24">R$12</f>
        <v>0.12</v>
      </c>
      <c r="S80" s="53">
        <f t="shared" ref="S80:S143" si="25">1-(1-R80)^(1/12)</f>
        <v>1.0596241035318976E-2</v>
      </c>
      <c r="T80" s="53">
        <f t="shared" ref="T80:T143" si="26">T$12</f>
        <v>0.05</v>
      </c>
      <c r="U80" s="53">
        <f t="shared" si="11"/>
        <v>4.2653187775606449E-3</v>
      </c>
    </row>
    <row r="81" spans="1:21" x14ac:dyDescent="0.2">
      <c r="A81" s="62" t="e">
        <f t="shared" si="19"/>
        <v>#DIV/0!</v>
      </c>
      <c r="B81" s="45">
        <f t="shared" si="20"/>
        <v>67</v>
      </c>
      <c r="C81" s="51" t="e">
        <f>IF(B81&lt;C$4,C$1,D80-L81+N81)</f>
        <v>#DIV/0!</v>
      </c>
      <c r="D81" s="47" t="e" cm="1">
        <f t="array" ref="D81">_xlfn.IFS(AND($C$7="Y",B81&lt;C$4),C81,AND($C$7="Y",B81=C$4),D80+F81-J81-K81-L81+N81,AND($C$7="Y",B81&gt;$C$4),D80-J81-K81-L81+N81, TRUE, D80-J81-K81-L81+N81)</f>
        <v>#DIV/0!</v>
      </c>
      <c r="E81" s="48">
        <f t="shared" si="21"/>
        <v>0</v>
      </c>
      <c r="F81" s="50">
        <f t="shared" si="22"/>
        <v>0</v>
      </c>
      <c r="G81" s="50">
        <f t="shared" si="12"/>
        <v>0</v>
      </c>
      <c r="H81" s="51" t="e">
        <f t="shared" si="23"/>
        <v>#DIV/0!</v>
      </c>
      <c r="I81" s="52" t="e">
        <f>IF(AND(C$7="Y",$B81&lt;=C$4),0,IF(AND(C$7="Y",$B81&gt;C$4),(1-U81)*C$2*D80/12,IF(AND($C$7="N",C$4&gt;0),(1-U81)*D80*C$2/12, (1-U81)*D80*C$2/12)))</f>
        <v>#DIV/0!</v>
      </c>
      <c r="J81" s="52" t="e">
        <f>IF(AND($B81&lt;=$C$4,C$7="Y"),0,IF(AND(C$7="N",C$4&gt;0,B81&lt;=C$4),0,H81-I81))</f>
        <v>#DIV/0!</v>
      </c>
      <c r="K81" s="51" t="e">
        <f>IF(AND(C$7="Y",$B81&lt;=$C$4),0,IF(AND(C$7="N",C$4&gt;0,B81&lt;=C$4),0,S81*(C81-J81)))</f>
        <v>#DIV/0!</v>
      </c>
      <c r="L81" s="49" t="e">
        <f>IF(AND(C$7="Y",$B81&lt;=$C$4),0,IF(AND(C$7="N",C$4&gt;0,B81&lt;=C$4),0,U81*D80))</f>
        <v>#DIV/0!</v>
      </c>
      <c r="M81" s="49">
        <f t="shared" si="18"/>
        <v>0</v>
      </c>
      <c r="N81" s="49">
        <f t="shared" si="17"/>
        <v>0</v>
      </c>
      <c r="O81" s="48" t="e">
        <f>K81+I81+J81-L81+N81+G81</f>
        <v>#DIV/0!</v>
      </c>
      <c r="P81" s="38" t="e">
        <f>O81*(1/((1+P$12)^(B81/12)))</f>
        <v>#DIV/0!</v>
      </c>
      <c r="Q81" s="53"/>
      <c r="R81" s="53">
        <f t="shared" si="24"/>
        <v>0.12</v>
      </c>
      <c r="S81" s="53">
        <f t="shared" si="25"/>
        <v>1.0596241035318976E-2</v>
      </c>
      <c r="T81" s="53">
        <f t="shared" si="26"/>
        <v>0.05</v>
      </c>
      <c r="U81" s="53">
        <f t="shared" ref="U81:U144" si="27">1-(1-T81)^(1/12)</f>
        <v>4.2653187775606449E-3</v>
      </c>
    </row>
    <row r="82" spans="1:21" x14ac:dyDescent="0.2">
      <c r="A82" s="62" t="e">
        <f t="shared" si="19"/>
        <v>#DIV/0!</v>
      </c>
      <c r="B82" s="45">
        <f t="shared" si="20"/>
        <v>68</v>
      </c>
      <c r="C82" s="51" t="e">
        <f>IF(B82&lt;C$4,C$1,D81-L82+N82)</f>
        <v>#DIV/0!</v>
      </c>
      <c r="D82" s="47" t="e" cm="1">
        <f t="array" ref="D82">_xlfn.IFS(AND($C$7="Y",B82&lt;C$4),C82,AND($C$7="Y",B82=C$4),D81+F82-J82-K82-L82+N82,AND($C$7="Y",B82&gt;$C$4),D81-J82-K82-L82+N82, TRUE, D81-J82-K82-L82+N82)</f>
        <v>#DIV/0!</v>
      </c>
      <c r="E82" s="48">
        <f t="shared" si="21"/>
        <v>0</v>
      </c>
      <c r="F82" s="50">
        <f t="shared" si="22"/>
        <v>0</v>
      </c>
      <c r="G82" s="50">
        <f t="shared" ref="G82:G145" si="28">IF($B82&lt;=$C$4,C$6,0)</f>
        <v>0</v>
      </c>
      <c r="H82" s="51" t="e">
        <f t="shared" si="23"/>
        <v>#DIV/0!</v>
      </c>
      <c r="I82" s="52" t="e">
        <f>IF(AND(C$7="Y",$B82&lt;=C$4),0,IF(AND(C$7="Y",$B82&gt;C$4),(1-U82)*C$2*D81/12,IF(AND($C$7="N",C$4&gt;0),(1-U82)*D81*C$2/12, (1-U82)*D81*C$2/12)))</f>
        <v>#DIV/0!</v>
      </c>
      <c r="J82" s="52" t="e">
        <f>IF(AND($B82&lt;=$C$4,C$7="Y"),0,IF(AND(C$7="N",C$4&gt;0,B82&lt;=C$4),0,H82-I82))</f>
        <v>#DIV/0!</v>
      </c>
      <c r="K82" s="51" t="e">
        <f>IF(AND(C$7="Y",$B82&lt;=$C$4),0,IF(AND(C$7="N",C$4&gt;0,B82&lt;=C$4),0,S82*(C82-J82)))</f>
        <v>#DIV/0!</v>
      </c>
      <c r="L82" s="49" t="e">
        <f>IF(AND(C$7="Y",$B82&lt;=$C$4),0,IF(AND(C$7="N",C$4&gt;0,B82&lt;=C$4),0,U82*D81))</f>
        <v>#DIV/0!</v>
      </c>
      <c r="M82" s="49">
        <f t="shared" si="18"/>
        <v>0</v>
      </c>
      <c r="N82" s="49">
        <f t="shared" si="17"/>
        <v>0</v>
      </c>
      <c r="O82" s="48" t="e">
        <f>K82+I82+J82-L82+N82+G82</f>
        <v>#DIV/0!</v>
      </c>
      <c r="P82" s="38" t="e">
        <f>O82*(1/((1+P$12)^(B82/12)))</f>
        <v>#DIV/0!</v>
      </c>
      <c r="Q82" s="53"/>
      <c r="R82" s="53">
        <f t="shared" si="24"/>
        <v>0.12</v>
      </c>
      <c r="S82" s="53">
        <f t="shared" si="25"/>
        <v>1.0596241035318976E-2</v>
      </c>
      <c r="T82" s="53">
        <f t="shared" si="26"/>
        <v>0.05</v>
      </c>
      <c r="U82" s="53">
        <f t="shared" si="27"/>
        <v>4.2653187775606449E-3</v>
      </c>
    </row>
    <row r="83" spans="1:21" x14ac:dyDescent="0.2">
      <c r="A83" s="62" t="e">
        <f t="shared" si="19"/>
        <v>#DIV/0!</v>
      </c>
      <c r="B83" s="45">
        <f t="shared" si="20"/>
        <v>69</v>
      </c>
      <c r="C83" s="51" t="e">
        <f>IF(B83&lt;C$4,C$1,D82-L83+N83)</f>
        <v>#DIV/0!</v>
      </c>
      <c r="D83" s="47" t="e" cm="1">
        <f t="array" ref="D83">_xlfn.IFS(AND($C$7="Y",B83&lt;C$4),C83,AND($C$7="Y",B83=C$4),D82+F83-J83-K83-L83+N83,AND($C$7="Y",B83&gt;$C$4),D82-J83-K83-L83+N83, TRUE, D82-J83-K83-L83+N83)</f>
        <v>#DIV/0!</v>
      </c>
      <c r="E83" s="48">
        <f t="shared" si="21"/>
        <v>0</v>
      </c>
      <c r="F83" s="50">
        <f t="shared" si="22"/>
        <v>0</v>
      </c>
      <c r="G83" s="50">
        <f t="shared" si="28"/>
        <v>0</v>
      </c>
      <c r="H83" s="51" t="e">
        <f t="shared" si="23"/>
        <v>#DIV/0!</v>
      </c>
      <c r="I83" s="52" t="e">
        <f>IF(AND(C$7="Y",$B83&lt;=C$4),0,IF(AND(C$7="Y",$B83&gt;C$4),(1-U83)*C$2*D82/12,IF(AND($C$7="N",C$4&gt;0),(1-U83)*D82*C$2/12, (1-U83)*D82*C$2/12)))</f>
        <v>#DIV/0!</v>
      </c>
      <c r="J83" s="52" t="e">
        <f>IF(AND($B83&lt;=$C$4,C$7="Y"),0,IF(AND(C$7="N",C$4&gt;0,B83&lt;=C$4),0,H83-I83))</f>
        <v>#DIV/0!</v>
      </c>
      <c r="K83" s="51" t="e">
        <f>IF(AND(C$7="Y",$B83&lt;=$C$4),0,IF(AND(C$7="N",C$4&gt;0,B83&lt;=C$4),0,S83*(C83-J83)))</f>
        <v>#DIV/0!</v>
      </c>
      <c r="L83" s="49" t="e">
        <f>IF(AND(C$7="Y",$B83&lt;=$C$4),0,IF(AND(C$7="N",C$4&gt;0,B83&lt;=C$4),0,U83*D82))</f>
        <v>#DIV/0!</v>
      </c>
      <c r="M83" s="49">
        <f t="shared" si="18"/>
        <v>0</v>
      </c>
      <c r="N83" s="49">
        <f t="shared" si="17"/>
        <v>0</v>
      </c>
      <c r="O83" s="48" t="e">
        <f>K83+I83+J83-L83+N83+G83</f>
        <v>#DIV/0!</v>
      </c>
      <c r="P83" s="38" t="e">
        <f>O83*(1/((1+P$12)^(B83/12)))</f>
        <v>#DIV/0!</v>
      </c>
      <c r="Q83" s="53"/>
      <c r="R83" s="53">
        <f t="shared" si="24"/>
        <v>0.12</v>
      </c>
      <c r="S83" s="53">
        <f t="shared" si="25"/>
        <v>1.0596241035318976E-2</v>
      </c>
      <c r="T83" s="53">
        <f t="shared" si="26"/>
        <v>0.05</v>
      </c>
      <c r="U83" s="53">
        <f t="shared" si="27"/>
        <v>4.2653187775606449E-3</v>
      </c>
    </row>
    <row r="84" spans="1:21" x14ac:dyDescent="0.2">
      <c r="A84" s="62" t="e">
        <f t="shared" si="19"/>
        <v>#DIV/0!</v>
      </c>
      <c r="B84" s="45">
        <f t="shared" si="20"/>
        <v>70</v>
      </c>
      <c r="C84" s="51" t="e">
        <f>IF(B84&lt;C$4,C$1,D83-L84+N84)</f>
        <v>#DIV/0!</v>
      </c>
      <c r="D84" s="47" t="e" cm="1">
        <f t="array" ref="D84">_xlfn.IFS(AND($C$7="Y",B84&lt;C$4),C84,AND($C$7="Y",B84=C$4),D83+F84-J84-K84-L84+N84,AND($C$7="Y",B84&gt;$C$4),D83-J84-K84-L84+N84, TRUE, D83-J84-K84-L84+N84)</f>
        <v>#DIV/0!</v>
      </c>
      <c r="E84" s="48">
        <f t="shared" si="21"/>
        <v>0</v>
      </c>
      <c r="F84" s="50">
        <f t="shared" si="22"/>
        <v>0</v>
      </c>
      <c r="G84" s="50">
        <f t="shared" si="28"/>
        <v>0</v>
      </c>
      <c r="H84" s="51" t="e">
        <f t="shared" si="23"/>
        <v>#DIV/0!</v>
      </c>
      <c r="I84" s="52" t="e">
        <f>IF(AND(C$7="Y",$B84&lt;=C$4),0,IF(AND(C$7="Y",$B84&gt;C$4),(1-U84)*C$2*D83/12,IF(AND($C$7="N",C$4&gt;0),(1-U84)*D83*C$2/12, (1-U84)*D83*C$2/12)))</f>
        <v>#DIV/0!</v>
      </c>
      <c r="J84" s="52" t="e">
        <f>IF(AND($B84&lt;=$C$4,C$7="Y"),0,IF(AND(C$7="N",C$4&gt;0,B84&lt;=C$4),0,H84-I84))</f>
        <v>#DIV/0!</v>
      </c>
      <c r="K84" s="51" t="e">
        <f>IF(AND(C$7="Y",$B84&lt;=$C$4),0,IF(AND(C$7="N",C$4&gt;0,B84&lt;=C$4),0,S84*(C84-J84)))</f>
        <v>#DIV/0!</v>
      </c>
      <c r="L84" s="49" t="e">
        <f>IF(AND(C$7="Y",$B84&lt;=$C$4),0,IF(AND(C$7="N",C$4&gt;0,B84&lt;=C$4),0,U84*D83))</f>
        <v>#DIV/0!</v>
      </c>
      <c r="M84" s="49">
        <f t="shared" si="18"/>
        <v>0</v>
      </c>
      <c r="N84" s="49">
        <f t="shared" si="17"/>
        <v>0</v>
      </c>
      <c r="O84" s="48" t="e">
        <f>K84+I84+J84-L84+N84+G84</f>
        <v>#DIV/0!</v>
      </c>
      <c r="P84" s="38" t="e">
        <f>O84*(1/((1+P$12)^(B84/12)))</f>
        <v>#DIV/0!</v>
      </c>
      <c r="Q84" s="53"/>
      <c r="R84" s="53">
        <f t="shared" si="24"/>
        <v>0.12</v>
      </c>
      <c r="S84" s="53">
        <f t="shared" si="25"/>
        <v>1.0596241035318976E-2</v>
      </c>
      <c r="T84" s="53">
        <f t="shared" si="26"/>
        <v>0.05</v>
      </c>
      <c r="U84" s="53">
        <f t="shared" si="27"/>
        <v>4.2653187775606449E-3</v>
      </c>
    </row>
    <row r="85" spans="1:21" x14ac:dyDescent="0.2">
      <c r="A85" s="62" t="e">
        <f t="shared" si="19"/>
        <v>#DIV/0!</v>
      </c>
      <c r="B85" s="45">
        <f t="shared" si="20"/>
        <v>71</v>
      </c>
      <c r="C85" s="51" t="e">
        <f>IF(B85&lt;C$4,C$1,D84-L85+N85)</f>
        <v>#DIV/0!</v>
      </c>
      <c r="D85" s="47" t="e" cm="1">
        <f t="array" ref="D85">_xlfn.IFS(AND($C$7="Y",B85&lt;C$4),C85,AND($C$7="Y",B85=C$4),D84+F85-J85-K85-L85+N85,AND($C$7="Y",B85&gt;$C$4),D84-J85-K85-L85+N85, TRUE, D84-J85-K85-L85+N85)</f>
        <v>#DIV/0!</v>
      </c>
      <c r="E85" s="48">
        <f t="shared" si="21"/>
        <v>0</v>
      </c>
      <c r="F85" s="50">
        <f t="shared" si="22"/>
        <v>0</v>
      </c>
      <c r="G85" s="50">
        <f t="shared" si="28"/>
        <v>0</v>
      </c>
      <c r="H85" s="51" t="e">
        <f t="shared" si="23"/>
        <v>#DIV/0!</v>
      </c>
      <c r="I85" s="52" t="e">
        <f>IF(AND(C$7="Y",$B85&lt;=C$4),0,IF(AND(C$7="Y",$B85&gt;C$4),(1-U85)*C$2*D84/12,IF(AND($C$7="N",C$4&gt;0),(1-U85)*D84*C$2/12, (1-U85)*D84*C$2/12)))</f>
        <v>#DIV/0!</v>
      </c>
      <c r="J85" s="52" t="e">
        <f>IF(AND($B85&lt;=$C$4,C$7="Y"),0,IF(AND(C$7="N",C$4&gt;0,B85&lt;=C$4),0,H85-I85))</f>
        <v>#DIV/0!</v>
      </c>
      <c r="K85" s="51" t="e">
        <f>IF(AND(C$7="Y",$B85&lt;=$C$4),0,IF(AND(C$7="N",C$4&gt;0,B85&lt;=C$4),0,S85*(C85-J85)))</f>
        <v>#DIV/0!</v>
      </c>
      <c r="L85" s="49" t="e">
        <f>IF(AND(C$7="Y",$B85&lt;=$C$4),0,IF(AND(C$7="N",C$4&gt;0,B85&lt;=C$4),0,U85*D84))</f>
        <v>#DIV/0!</v>
      </c>
      <c r="M85" s="49">
        <f t="shared" si="18"/>
        <v>0</v>
      </c>
      <c r="N85" s="49">
        <f t="shared" si="17"/>
        <v>0</v>
      </c>
      <c r="O85" s="48" t="e">
        <f>K85+I85+J85-L85+N85+G85</f>
        <v>#DIV/0!</v>
      </c>
      <c r="P85" s="38" t="e">
        <f>O85*(1/((1+P$12)^(B85/12)))</f>
        <v>#DIV/0!</v>
      </c>
      <c r="Q85" s="53"/>
      <c r="R85" s="53">
        <f t="shared" si="24"/>
        <v>0.12</v>
      </c>
      <c r="S85" s="53">
        <f t="shared" si="25"/>
        <v>1.0596241035318976E-2</v>
      </c>
      <c r="T85" s="53">
        <f t="shared" si="26"/>
        <v>0.05</v>
      </c>
      <c r="U85" s="53">
        <f t="shared" si="27"/>
        <v>4.2653187775606449E-3</v>
      </c>
    </row>
    <row r="86" spans="1:21" x14ac:dyDescent="0.2">
      <c r="A86" s="62" t="e">
        <f t="shared" si="19"/>
        <v>#DIV/0!</v>
      </c>
      <c r="B86" s="45">
        <f t="shared" si="20"/>
        <v>72</v>
      </c>
      <c r="C86" s="51" t="e">
        <f>IF(B86&lt;C$4,C$1,D85-L86+N86)</f>
        <v>#DIV/0!</v>
      </c>
      <c r="D86" s="47" t="e" cm="1">
        <f t="array" ref="D86">_xlfn.IFS(AND($C$7="Y",B86&lt;C$4),C86,AND($C$7="Y",B86=C$4),D85+F86-J86-K86-L86+N86,AND($C$7="Y",B86&gt;$C$4),D85-J86-K86-L86+N86, TRUE, D85-J86-K86-L86+N86)</f>
        <v>#DIV/0!</v>
      </c>
      <c r="E86" s="48">
        <f t="shared" si="21"/>
        <v>0</v>
      </c>
      <c r="F86" s="50">
        <f t="shared" si="22"/>
        <v>0</v>
      </c>
      <c r="G86" s="50">
        <f t="shared" si="28"/>
        <v>0</v>
      </c>
      <c r="H86" s="51" t="e">
        <f t="shared" si="23"/>
        <v>#DIV/0!</v>
      </c>
      <c r="I86" s="52" t="e">
        <f>IF(AND(C$7="Y",$B86&lt;=C$4),0,IF(AND(C$7="Y",$B86&gt;C$4),(1-U86)*C$2*D85/12,IF(AND($C$7="N",C$4&gt;0),(1-U86)*D85*C$2/12, (1-U86)*D85*C$2/12)))</f>
        <v>#DIV/0!</v>
      </c>
      <c r="J86" s="52" t="e">
        <f>IF(AND($B86&lt;=$C$4,C$7="Y"),0,IF(AND(C$7="N",C$4&gt;0,B86&lt;=C$4),0,H86-I86))</f>
        <v>#DIV/0!</v>
      </c>
      <c r="K86" s="51" t="e">
        <f>IF(AND(C$7="Y",$B86&lt;=$C$4),0,IF(AND(C$7="N",C$4&gt;0,B86&lt;=C$4),0,S86*(C86-J86)))</f>
        <v>#DIV/0!</v>
      </c>
      <c r="L86" s="49" t="e">
        <f>IF(AND(C$7="Y",$B86&lt;=$C$4),0,IF(AND(C$7="N",C$4&gt;0,B86&lt;=C$4),0,U86*D85))</f>
        <v>#DIV/0!</v>
      </c>
      <c r="M86" s="49">
        <f t="shared" si="18"/>
        <v>0</v>
      </c>
      <c r="N86" s="49">
        <f t="shared" si="17"/>
        <v>0</v>
      </c>
      <c r="O86" s="48" t="e">
        <f>K86+I86+J86-L86+N86+G86</f>
        <v>#DIV/0!</v>
      </c>
      <c r="P86" s="38" t="e">
        <f>O86*(1/((1+P$12)^(B86/12)))</f>
        <v>#DIV/0!</v>
      </c>
      <c r="Q86" s="53"/>
      <c r="R86" s="53">
        <f t="shared" si="24"/>
        <v>0.12</v>
      </c>
      <c r="S86" s="53">
        <f t="shared" si="25"/>
        <v>1.0596241035318976E-2</v>
      </c>
      <c r="T86" s="53">
        <f t="shared" si="26"/>
        <v>0.05</v>
      </c>
      <c r="U86" s="53">
        <f t="shared" si="27"/>
        <v>4.2653187775606449E-3</v>
      </c>
    </row>
    <row r="87" spans="1:21" x14ac:dyDescent="0.2">
      <c r="A87" s="62" t="e">
        <f t="shared" si="19"/>
        <v>#DIV/0!</v>
      </c>
      <c r="B87" s="45">
        <f t="shared" si="20"/>
        <v>73</v>
      </c>
      <c r="C87" s="51" t="e">
        <f>IF(B87&lt;C$4,C$1,D86-L87+N87)</f>
        <v>#DIV/0!</v>
      </c>
      <c r="D87" s="47" t="e" cm="1">
        <f t="array" ref="D87">_xlfn.IFS(AND($C$7="Y",B87&lt;C$4),C87,AND($C$7="Y",B87=C$4),D86+F87-J87-K87-L87+N87,AND($C$7="Y",B87&gt;$C$4),D86-J87-K87-L87+N87, TRUE, D86-J87-K87-L87+N87)</f>
        <v>#DIV/0!</v>
      </c>
      <c r="E87" s="48">
        <f t="shared" si="21"/>
        <v>0</v>
      </c>
      <c r="F87" s="50">
        <f t="shared" si="22"/>
        <v>0</v>
      </c>
      <c r="G87" s="50">
        <f t="shared" si="28"/>
        <v>0</v>
      </c>
      <c r="H87" s="51" t="e">
        <f t="shared" si="23"/>
        <v>#DIV/0!</v>
      </c>
      <c r="I87" s="52" t="e">
        <f>IF(AND(C$7="Y",$B87&lt;=C$4),0,IF(AND(C$7="Y",$B87&gt;C$4),(1-U87)*C$2*D86/12,IF(AND($C$7="N",C$4&gt;0),(1-U87)*D86*C$2/12, (1-U87)*D86*C$2/12)))</f>
        <v>#DIV/0!</v>
      </c>
      <c r="J87" s="52" t="e">
        <f>IF(AND($B87&lt;=$C$4,C$7="Y"),0,IF(AND(C$7="N",C$4&gt;0,B87&lt;=C$4),0,H87-I87))</f>
        <v>#DIV/0!</v>
      </c>
      <c r="K87" s="51" t="e">
        <f>IF(AND(C$7="Y",$B87&lt;=$C$4),0,IF(AND(C$7="N",C$4&gt;0,B87&lt;=C$4),0,S87*(C87-J87)))</f>
        <v>#DIV/0!</v>
      </c>
      <c r="L87" s="49" t="e">
        <f>IF(AND(C$7="Y",$B87&lt;=$C$4),0,IF(AND(C$7="N",C$4&gt;0,B87&lt;=C$4),0,U87*D86))</f>
        <v>#DIV/0!</v>
      </c>
      <c r="M87" s="49">
        <f t="shared" si="18"/>
        <v>0</v>
      </c>
      <c r="N87" s="49">
        <f t="shared" si="17"/>
        <v>0</v>
      </c>
      <c r="O87" s="48" t="e">
        <f>K87+I87+J87-L87+N87+G87</f>
        <v>#DIV/0!</v>
      </c>
      <c r="P87" s="38" t="e">
        <f>O87*(1/((1+P$12)^(B87/12)))</f>
        <v>#DIV/0!</v>
      </c>
      <c r="Q87" s="53"/>
      <c r="R87" s="53">
        <f t="shared" si="24"/>
        <v>0.12</v>
      </c>
      <c r="S87" s="53">
        <f t="shared" si="25"/>
        <v>1.0596241035318976E-2</v>
      </c>
      <c r="T87" s="53">
        <f t="shared" si="26"/>
        <v>0.05</v>
      </c>
      <c r="U87" s="53">
        <f t="shared" si="27"/>
        <v>4.2653187775606449E-3</v>
      </c>
    </row>
    <row r="88" spans="1:21" x14ac:dyDescent="0.2">
      <c r="A88" s="62" t="e">
        <f t="shared" si="19"/>
        <v>#DIV/0!</v>
      </c>
      <c r="B88" s="45">
        <f t="shared" si="20"/>
        <v>74</v>
      </c>
      <c r="C88" s="51" t="e">
        <f>IF(B88&lt;C$4,C$1,D87-L88+N88)</f>
        <v>#DIV/0!</v>
      </c>
      <c r="D88" s="47" t="e" cm="1">
        <f t="array" ref="D88">_xlfn.IFS(AND($C$7="Y",B88&lt;C$4),C88,AND($C$7="Y",B88=C$4),D87+F88-J88-K88-L88+N88,AND($C$7="Y",B88&gt;$C$4),D87-J88-K88-L88+N88, TRUE, D87-J88-K88-L88+N88)</f>
        <v>#DIV/0!</v>
      </c>
      <c r="E88" s="48">
        <f t="shared" si="21"/>
        <v>0</v>
      </c>
      <c r="F88" s="50">
        <f t="shared" si="22"/>
        <v>0</v>
      </c>
      <c r="G88" s="50">
        <f t="shared" si="28"/>
        <v>0</v>
      </c>
      <c r="H88" s="51" t="e">
        <f t="shared" si="23"/>
        <v>#DIV/0!</v>
      </c>
      <c r="I88" s="52" t="e">
        <f>IF(AND(C$7="Y",$B88&lt;=C$4),0,IF(AND(C$7="Y",$B88&gt;C$4),(1-U88)*C$2*D87/12,IF(AND($C$7="N",C$4&gt;0),(1-U88)*D87*C$2/12, (1-U88)*D87*C$2/12)))</f>
        <v>#DIV/0!</v>
      </c>
      <c r="J88" s="52" t="e">
        <f>IF(AND($B88&lt;=$C$4,C$7="Y"),0,IF(AND(C$7="N",C$4&gt;0,B88&lt;=C$4),0,H88-I88))</f>
        <v>#DIV/0!</v>
      </c>
      <c r="K88" s="51" t="e">
        <f>IF(AND(C$7="Y",$B88&lt;=$C$4),0,IF(AND(C$7="N",C$4&gt;0,B88&lt;=C$4),0,S88*(C88-J88)))</f>
        <v>#DIV/0!</v>
      </c>
      <c r="L88" s="49" t="e">
        <f>IF(AND(C$7="Y",$B88&lt;=$C$4),0,IF(AND(C$7="N",C$4&gt;0,B88&lt;=C$4),0,U88*D87))</f>
        <v>#DIV/0!</v>
      </c>
      <c r="M88" s="49">
        <f t="shared" si="18"/>
        <v>0</v>
      </c>
      <c r="N88" s="49">
        <f t="shared" si="17"/>
        <v>0</v>
      </c>
      <c r="O88" s="48" t="e">
        <f>K88+I88+J88-L88+N88+G88</f>
        <v>#DIV/0!</v>
      </c>
      <c r="P88" s="38" t="e">
        <f>O88*(1/((1+P$12)^(B88/12)))</f>
        <v>#DIV/0!</v>
      </c>
      <c r="Q88" s="53"/>
      <c r="R88" s="53">
        <f t="shared" si="24"/>
        <v>0.12</v>
      </c>
      <c r="S88" s="53">
        <f t="shared" si="25"/>
        <v>1.0596241035318976E-2</v>
      </c>
      <c r="T88" s="53">
        <f t="shared" si="26"/>
        <v>0.05</v>
      </c>
      <c r="U88" s="53">
        <f t="shared" si="27"/>
        <v>4.2653187775606449E-3</v>
      </c>
    </row>
    <row r="89" spans="1:21" x14ac:dyDescent="0.2">
      <c r="A89" s="62" t="e">
        <f t="shared" si="19"/>
        <v>#DIV/0!</v>
      </c>
      <c r="B89" s="45">
        <f t="shared" si="20"/>
        <v>75</v>
      </c>
      <c r="C89" s="51" t="e">
        <f>IF(B89&lt;C$4,C$1,D88-L89+N89)</f>
        <v>#DIV/0!</v>
      </c>
      <c r="D89" s="47" t="e" cm="1">
        <f t="array" ref="D89">_xlfn.IFS(AND($C$7="Y",B89&lt;C$4),C89,AND($C$7="Y",B89=C$4),D88+F89-J89-K89-L89+N89,AND($C$7="Y",B89&gt;$C$4),D88-J89-K89-L89+N89, TRUE, D88-J89-K89-L89+N89)</f>
        <v>#DIV/0!</v>
      </c>
      <c r="E89" s="48">
        <f t="shared" si="21"/>
        <v>0</v>
      </c>
      <c r="F89" s="50">
        <f t="shared" si="22"/>
        <v>0</v>
      </c>
      <c r="G89" s="50">
        <f t="shared" si="28"/>
        <v>0</v>
      </c>
      <c r="H89" s="51" t="e">
        <f t="shared" si="23"/>
        <v>#DIV/0!</v>
      </c>
      <c r="I89" s="52" t="e">
        <f>IF(AND(C$7="Y",$B89&lt;=C$4),0,IF(AND(C$7="Y",$B89&gt;C$4),(1-U89)*C$2*D88/12,IF(AND($C$7="N",C$4&gt;0),(1-U89)*D88*C$2/12, (1-U89)*D88*C$2/12)))</f>
        <v>#DIV/0!</v>
      </c>
      <c r="J89" s="52" t="e">
        <f>IF(AND($B89&lt;=$C$4,C$7="Y"),0,IF(AND(C$7="N",C$4&gt;0,B89&lt;=C$4),0,H89-I89))</f>
        <v>#DIV/0!</v>
      </c>
      <c r="K89" s="51" t="e">
        <f>IF(AND(C$7="Y",$B89&lt;=$C$4),0,IF(AND(C$7="N",C$4&gt;0,B89&lt;=C$4),0,S89*(C89-J89)))</f>
        <v>#DIV/0!</v>
      </c>
      <c r="L89" s="49" t="e">
        <f>IF(AND(C$7="Y",$B89&lt;=$C$4),0,IF(AND(C$7="N",C$4&gt;0,B89&lt;=C$4),0,U89*D88))</f>
        <v>#DIV/0!</v>
      </c>
      <c r="M89" s="49">
        <f t="shared" si="18"/>
        <v>0</v>
      </c>
      <c r="N89" s="49">
        <f t="shared" si="17"/>
        <v>0</v>
      </c>
      <c r="O89" s="48" t="e">
        <f>K89+I89+J89-L89+N89+G89</f>
        <v>#DIV/0!</v>
      </c>
      <c r="P89" s="38" t="e">
        <f>O89*(1/((1+P$12)^(B89/12)))</f>
        <v>#DIV/0!</v>
      </c>
      <c r="Q89" s="53"/>
      <c r="R89" s="53">
        <f t="shared" si="24"/>
        <v>0.12</v>
      </c>
      <c r="S89" s="53">
        <f t="shared" si="25"/>
        <v>1.0596241035318976E-2</v>
      </c>
      <c r="T89" s="53">
        <f t="shared" si="26"/>
        <v>0.05</v>
      </c>
      <c r="U89" s="53">
        <f t="shared" si="27"/>
        <v>4.2653187775606449E-3</v>
      </c>
    </row>
    <row r="90" spans="1:21" x14ac:dyDescent="0.2">
      <c r="A90" s="62" t="e">
        <f t="shared" si="19"/>
        <v>#DIV/0!</v>
      </c>
      <c r="B90" s="45">
        <f t="shared" si="20"/>
        <v>76</v>
      </c>
      <c r="C90" s="51" t="e">
        <f>IF(B90&lt;C$4,C$1,D89-L90+N90)</f>
        <v>#DIV/0!</v>
      </c>
      <c r="D90" s="47" t="e" cm="1">
        <f t="array" ref="D90">_xlfn.IFS(AND($C$7="Y",B90&lt;C$4),C90,AND($C$7="Y",B90=C$4),D89+F90-J90-K90-L90+N90,AND($C$7="Y",B90&gt;$C$4),D89-J90-K90-L90+N90, TRUE, D89-J90-K90-L90+N90)</f>
        <v>#DIV/0!</v>
      </c>
      <c r="E90" s="48">
        <f t="shared" si="21"/>
        <v>0</v>
      </c>
      <c r="F90" s="50">
        <f t="shared" si="22"/>
        <v>0</v>
      </c>
      <c r="G90" s="50">
        <f t="shared" si="28"/>
        <v>0</v>
      </c>
      <c r="H90" s="51" t="e">
        <f t="shared" si="23"/>
        <v>#DIV/0!</v>
      </c>
      <c r="I90" s="52" t="e">
        <f>IF(AND(C$7="Y",$B90&lt;=C$4),0,IF(AND(C$7="Y",$B90&gt;C$4),(1-U90)*C$2*D89/12,IF(AND($C$7="N",C$4&gt;0),(1-U90)*D89*C$2/12, (1-U90)*D89*C$2/12)))</f>
        <v>#DIV/0!</v>
      </c>
      <c r="J90" s="52" t="e">
        <f>IF(AND($B90&lt;=$C$4,C$7="Y"),0,IF(AND(C$7="N",C$4&gt;0,B90&lt;=C$4),0,H90-I90))</f>
        <v>#DIV/0!</v>
      </c>
      <c r="K90" s="51" t="e">
        <f>IF(AND(C$7="Y",$B90&lt;=$C$4),0,IF(AND(C$7="N",C$4&gt;0,B90&lt;=C$4),0,S90*(C90-J90)))</f>
        <v>#DIV/0!</v>
      </c>
      <c r="L90" s="49" t="e">
        <f>IF(AND(C$7="Y",$B90&lt;=$C$4),0,IF(AND(C$7="N",C$4&gt;0,B90&lt;=C$4),0,U90*D89))</f>
        <v>#DIV/0!</v>
      </c>
      <c r="M90" s="49">
        <f t="shared" si="18"/>
        <v>0</v>
      </c>
      <c r="N90" s="49">
        <f t="shared" si="17"/>
        <v>0</v>
      </c>
      <c r="O90" s="48" t="e">
        <f>K90+I90+J90-L90+N90+G90</f>
        <v>#DIV/0!</v>
      </c>
      <c r="P90" s="38" t="e">
        <f>O90*(1/((1+P$12)^(B90/12)))</f>
        <v>#DIV/0!</v>
      </c>
      <c r="Q90" s="53"/>
      <c r="R90" s="53">
        <f t="shared" si="24"/>
        <v>0.12</v>
      </c>
      <c r="S90" s="53">
        <f t="shared" si="25"/>
        <v>1.0596241035318976E-2</v>
      </c>
      <c r="T90" s="53">
        <f t="shared" si="26"/>
        <v>0.05</v>
      </c>
      <c r="U90" s="53">
        <f t="shared" si="27"/>
        <v>4.2653187775606449E-3</v>
      </c>
    </row>
    <row r="91" spans="1:21" x14ac:dyDescent="0.2">
      <c r="A91" s="62" t="e">
        <f t="shared" si="19"/>
        <v>#DIV/0!</v>
      </c>
      <c r="B91" s="45">
        <f t="shared" si="20"/>
        <v>77</v>
      </c>
      <c r="C91" s="51" t="e">
        <f>IF(B91&lt;C$4,C$1,D90-L91+N91)</f>
        <v>#DIV/0!</v>
      </c>
      <c r="D91" s="47" t="e" cm="1">
        <f t="array" ref="D91">_xlfn.IFS(AND($C$7="Y",B91&lt;C$4),C91,AND($C$7="Y",B91=C$4),D90+F91-J91-K91-L91+N91,AND($C$7="Y",B91&gt;$C$4),D90-J91-K91-L91+N91, TRUE, D90-J91-K91-L91+N91)</f>
        <v>#DIV/0!</v>
      </c>
      <c r="E91" s="48">
        <f t="shared" si="21"/>
        <v>0</v>
      </c>
      <c r="F91" s="50">
        <f t="shared" si="22"/>
        <v>0</v>
      </c>
      <c r="G91" s="50">
        <f t="shared" si="28"/>
        <v>0</v>
      </c>
      <c r="H91" s="51" t="e">
        <f t="shared" si="23"/>
        <v>#DIV/0!</v>
      </c>
      <c r="I91" s="52" t="e">
        <f>IF(AND(C$7="Y",$B91&lt;=C$4),0,IF(AND(C$7="Y",$B91&gt;C$4),(1-U91)*C$2*D90/12,IF(AND($C$7="N",C$4&gt;0),(1-U91)*D90*C$2/12, (1-U91)*D90*C$2/12)))</f>
        <v>#DIV/0!</v>
      </c>
      <c r="J91" s="52" t="e">
        <f>IF(AND($B91&lt;=$C$4,C$7="Y"),0,IF(AND(C$7="N",C$4&gt;0,B91&lt;=C$4),0,H91-I91))</f>
        <v>#DIV/0!</v>
      </c>
      <c r="K91" s="51" t="e">
        <f>IF(AND(C$7="Y",$B91&lt;=$C$4),0,IF(AND(C$7="N",C$4&gt;0,B91&lt;=C$4),0,S91*(C91-J91)))</f>
        <v>#DIV/0!</v>
      </c>
      <c r="L91" s="49" t="e">
        <f>IF(AND(C$7="Y",$B91&lt;=$C$4),0,IF(AND(C$7="N",C$4&gt;0,B91&lt;=C$4),0,U91*D90))</f>
        <v>#DIV/0!</v>
      </c>
      <c r="M91" s="49">
        <f t="shared" si="18"/>
        <v>0</v>
      </c>
      <c r="N91" s="49">
        <f t="shared" si="17"/>
        <v>0</v>
      </c>
      <c r="O91" s="48" t="e">
        <f>K91+I91+J91-L91+N91+G91</f>
        <v>#DIV/0!</v>
      </c>
      <c r="P91" s="38" t="e">
        <f>O91*(1/((1+P$12)^(B91/12)))</f>
        <v>#DIV/0!</v>
      </c>
      <c r="Q91" s="53"/>
      <c r="R91" s="53">
        <f t="shared" si="24"/>
        <v>0.12</v>
      </c>
      <c r="S91" s="53">
        <f t="shared" si="25"/>
        <v>1.0596241035318976E-2</v>
      </c>
      <c r="T91" s="53">
        <f t="shared" si="26"/>
        <v>0.05</v>
      </c>
      <c r="U91" s="53">
        <f t="shared" si="27"/>
        <v>4.2653187775606449E-3</v>
      </c>
    </row>
    <row r="92" spans="1:21" x14ac:dyDescent="0.2">
      <c r="A92" s="62" t="e">
        <f t="shared" si="19"/>
        <v>#DIV/0!</v>
      </c>
      <c r="B92" s="45">
        <f t="shared" si="20"/>
        <v>78</v>
      </c>
      <c r="C92" s="51" t="e">
        <f>IF(B92&lt;C$4,C$1,D91-L92+N92)</f>
        <v>#DIV/0!</v>
      </c>
      <c r="D92" s="47" t="e" cm="1">
        <f t="array" ref="D92">_xlfn.IFS(AND($C$7="Y",B92&lt;C$4),C92,AND($C$7="Y",B92=C$4),D91+F92-J92-K92-L92+N92,AND($C$7="Y",B92&gt;$C$4),D91-J92-K92-L92+N92, TRUE, D91-J92-K92-L92+N92)</f>
        <v>#DIV/0!</v>
      </c>
      <c r="E92" s="48">
        <f t="shared" si="21"/>
        <v>0</v>
      </c>
      <c r="F92" s="50">
        <f t="shared" si="22"/>
        <v>0</v>
      </c>
      <c r="G92" s="50">
        <f t="shared" si="28"/>
        <v>0</v>
      </c>
      <c r="H92" s="51" t="e">
        <f t="shared" si="23"/>
        <v>#DIV/0!</v>
      </c>
      <c r="I92" s="52" t="e">
        <f>IF(AND(C$7="Y",$B92&lt;=C$4),0,IF(AND(C$7="Y",$B92&gt;C$4),(1-U92)*C$2*D91/12,IF(AND($C$7="N",C$4&gt;0),(1-U92)*D91*C$2/12, (1-U92)*D91*C$2/12)))</f>
        <v>#DIV/0!</v>
      </c>
      <c r="J92" s="52" t="e">
        <f>IF(AND($B92&lt;=$C$4,C$7="Y"),0,IF(AND(C$7="N",C$4&gt;0,B92&lt;=C$4),0,H92-I92))</f>
        <v>#DIV/0!</v>
      </c>
      <c r="K92" s="51" t="e">
        <f>IF(AND(C$7="Y",$B92&lt;=$C$4),0,IF(AND(C$7="N",C$4&gt;0,B92&lt;=C$4),0,S92*(C92-J92)))</f>
        <v>#DIV/0!</v>
      </c>
      <c r="L92" s="49" t="e">
        <f>IF(AND(C$7="Y",$B92&lt;=$C$4),0,IF(AND(C$7="N",C$4&gt;0,B92&lt;=C$4),0,U92*D91))</f>
        <v>#DIV/0!</v>
      </c>
      <c r="M92" s="49">
        <f t="shared" si="18"/>
        <v>0</v>
      </c>
      <c r="N92" s="49">
        <f t="shared" si="17"/>
        <v>0</v>
      </c>
      <c r="O92" s="48" t="e">
        <f>K92+I92+J92-L92+N92+G92</f>
        <v>#DIV/0!</v>
      </c>
      <c r="P92" s="38" t="e">
        <f>O92*(1/((1+P$12)^(B92/12)))</f>
        <v>#DIV/0!</v>
      </c>
      <c r="Q92" s="53"/>
      <c r="R92" s="53">
        <f t="shared" si="24"/>
        <v>0.12</v>
      </c>
      <c r="S92" s="53">
        <f t="shared" si="25"/>
        <v>1.0596241035318976E-2</v>
      </c>
      <c r="T92" s="53">
        <f t="shared" si="26"/>
        <v>0.05</v>
      </c>
      <c r="U92" s="53">
        <f t="shared" si="27"/>
        <v>4.2653187775606449E-3</v>
      </c>
    </row>
    <row r="93" spans="1:21" x14ac:dyDescent="0.2">
      <c r="A93" s="62" t="e">
        <f t="shared" si="19"/>
        <v>#DIV/0!</v>
      </c>
      <c r="B93" s="45">
        <f t="shared" si="20"/>
        <v>79</v>
      </c>
      <c r="C93" s="51" t="e">
        <f>IF(B93&lt;C$4,C$1,D92-L93+N93)</f>
        <v>#DIV/0!</v>
      </c>
      <c r="D93" s="47" t="e" cm="1">
        <f t="array" ref="D93">_xlfn.IFS(AND($C$7="Y",B93&lt;C$4),C93,AND($C$7="Y",B93=C$4),D92+F93-J93-K93-L93+N93,AND($C$7="Y",B93&gt;$C$4),D92-J93-K93-L93+N93, TRUE, D92-J93-K93-L93+N93)</f>
        <v>#DIV/0!</v>
      </c>
      <c r="E93" s="48">
        <f t="shared" si="21"/>
        <v>0</v>
      </c>
      <c r="F93" s="50">
        <f t="shared" si="22"/>
        <v>0</v>
      </c>
      <c r="G93" s="50">
        <f t="shared" si="28"/>
        <v>0</v>
      </c>
      <c r="H93" s="51" t="e">
        <f t="shared" si="23"/>
        <v>#DIV/0!</v>
      </c>
      <c r="I93" s="52" t="e">
        <f>IF(AND(C$7="Y",$B93&lt;=C$4),0,IF(AND(C$7="Y",$B93&gt;C$4),(1-U93)*C$2*D92/12,IF(AND($C$7="N",C$4&gt;0),(1-U93)*D92*C$2/12, (1-U93)*D92*C$2/12)))</f>
        <v>#DIV/0!</v>
      </c>
      <c r="J93" s="52" t="e">
        <f>IF(AND($B93&lt;=$C$4,C$7="Y"),0,IF(AND(C$7="N",C$4&gt;0,B93&lt;=C$4),0,H93-I93))</f>
        <v>#DIV/0!</v>
      </c>
      <c r="K93" s="51" t="e">
        <f>IF(AND(C$7="Y",$B93&lt;=$C$4),0,IF(AND(C$7="N",C$4&gt;0,B93&lt;=C$4),0,S93*(C93-J93)))</f>
        <v>#DIV/0!</v>
      </c>
      <c r="L93" s="49" t="e">
        <f>IF(AND(C$7="Y",$B93&lt;=$C$4),0,IF(AND(C$7="N",C$4&gt;0,B93&lt;=C$4),0,U93*D92))</f>
        <v>#DIV/0!</v>
      </c>
      <c r="M93" s="49">
        <f t="shared" si="18"/>
        <v>0</v>
      </c>
      <c r="N93" s="49">
        <f t="shared" si="17"/>
        <v>0</v>
      </c>
      <c r="O93" s="48" t="e">
        <f>K93+I93+J93-L93+N93+G93</f>
        <v>#DIV/0!</v>
      </c>
      <c r="P93" s="38" t="e">
        <f>O93*(1/((1+P$12)^(B93/12)))</f>
        <v>#DIV/0!</v>
      </c>
      <c r="Q93" s="53"/>
      <c r="R93" s="53">
        <f t="shared" si="24"/>
        <v>0.12</v>
      </c>
      <c r="S93" s="53">
        <f t="shared" si="25"/>
        <v>1.0596241035318976E-2</v>
      </c>
      <c r="T93" s="53">
        <f t="shared" si="26"/>
        <v>0.05</v>
      </c>
      <c r="U93" s="53">
        <f t="shared" si="27"/>
        <v>4.2653187775606449E-3</v>
      </c>
    </row>
    <row r="94" spans="1:21" x14ac:dyDescent="0.2">
      <c r="A94" s="62" t="e">
        <f t="shared" si="19"/>
        <v>#DIV/0!</v>
      </c>
      <c r="B94" s="45">
        <f t="shared" si="20"/>
        <v>80</v>
      </c>
      <c r="C94" s="51" t="e">
        <f>IF(B94&lt;C$4,C$1,D93-L94+N94)</f>
        <v>#DIV/0!</v>
      </c>
      <c r="D94" s="47" t="e" cm="1">
        <f t="array" ref="D94">_xlfn.IFS(AND($C$7="Y",B94&lt;C$4),C94,AND($C$7="Y",B94=C$4),D93+F94-J94-K94-L94+N94,AND($C$7="Y",B94&gt;$C$4),D93-J94-K94-L94+N94, TRUE, D93-J94-K94-L94+N94)</f>
        <v>#DIV/0!</v>
      </c>
      <c r="E94" s="48">
        <f t="shared" si="21"/>
        <v>0</v>
      </c>
      <c r="F94" s="50">
        <f t="shared" si="22"/>
        <v>0</v>
      </c>
      <c r="G94" s="50">
        <f t="shared" si="28"/>
        <v>0</v>
      </c>
      <c r="H94" s="51" t="e">
        <f t="shared" si="23"/>
        <v>#DIV/0!</v>
      </c>
      <c r="I94" s="52" t="e">
        <f>IF(AND(C$7="Y",$B94&lt;=C$4),0,IF(AND(C$7="Y",$B94&gt;C$4),(1-U94)*C$2*D93/12,IF(AND($C$7="N",C$4&gt;0),(1-U94)*D93*C$2/12, (1-U94)*D93*C$2/12)))</f>
        <v>#DIV/0!</v>
      </c>
      <c r="J94" s="52" t="e">
        <f>IF(AND($B94&lt;=$C$4,C$7="Y"),0,IF(AND(C$7="N",C$4&gt;0,B94&lt;=C$4),0,H94-I94))</f>
        <v>#DIV/0!</v>
      </c>
      <c r="K94" s="51" t="e">
        <f>IF(AND(C$7="Y",$B94&lt;=$C$4),0,IF(AND(C$7="N",C$4&gt;0,B94&lt;=C$4),0,S94*(C94-J94)))</f>
        <v>#DIV/0!</v>
      </c>
      <c r="L94" s="49" t="e">
        <f>IF(AND(C$7="Y",$B94&lt;=$C$4),0,IF(AND(C$7="N",C$4&gt;0,B94&lt;=C$4),0,U94*D93))</f>
        <v>#DIV/0!</v>
      </c>
      <c r="M94" s="49">
        <f t="shared" si="18"/>
        <v>0</v>
      </c>
      <c r="N94" s="49">
        <f t="shared" si="17"/>
        <v>0</v>
      </c>
      <c r="O94" s="48" t="e">
        <f>K94+I94+J94-L94+N94+G94</f>
        <v>#DIV/0!</v>
      </c>
      <c r="P94" s="38" t="e">
        <f>O94*(1/((1+P$12)^(B94/12)))</f>
        <v>#DIV/0!</v>
      </c>
      <c r="Q94" s="53"/>
      <c r="R94" s="53">
        <f t="shared" si="24"/>
        <v>0.12</v>
      </c>
      <c r="S94" s="53">
        <f t="shared" si="25"/>
        <v>1.0596241035318976E-2</v>
      </c>
      <c r="T94" s="53">
        <f t="shared" si="26"/>
        <v>0.05</v>
      </c>
      <c r="U94" s="53">
        <f t="shared" si="27"/>
        <v>4.2653187775606449E-3</v>
      </c>
    </row>
    <row r="95" spans="1:21" x14ac:dyDescent="0.2">
      <c r="A95" s="62" t="e">
        <f t="shared" si="19"/>
        <v>#DIV/0!</v>
      </c>
      <c r="B95" s="45">
        <f t="shared" si="20"/>
        <v>81</v>
      </c>
      <c r="C95" s="51" t="e">
        <f>IF(B95&lt;C$4,C$1,D94-L95+N95)</f>
        <v>#DIV/0!</v>
      </c>
      <c r="D95" s="47" t="e" cm="1">
        <f t="array" ref="D95">_xlfn.IFS(AND($C$7="Y",B95&lt;C$4),C95,AND($C$7="Y",B95=C$4),D94+F95-J95-K95-L95+N95,AND($C$7="Y",B95&gt;$C$4),D94-J95-K95-L95+N95, TRUE, D94-J95-K95-L95+N95)</f>
        <v>#DIV/0!</v>
      </c>
      <c r="E95" s="48">
        <f t="shared" si="21"/>
        <v>0</v>
      </c>
      <c r="F95" s="50">
        <f t="shared" si="22"/>
        <v>0</v>
      </c>
      <c r="G95" s="50">
        <f t="shared" si="28"/>
        <v>0</v>
      </c>
      <c r="H95" s="51" t="e">
        <f t="shared" si="23"/>
        <v>#DIV/0!</v>
      </c>
      <c r="I95" s="52" t="e">
        <f>IF(AND(C$7="Y",$B95&lt;=C$4),0,IF(AND(C$7="Y",$B95&gt;C$4),(1-U95)*C$2*D94/12,IF(AND($C$7="N",C$4&gt;0),(1-U95)*D94*C$2/12, (1-U95)*D94*C$2/12)))</f>
        <v>#DIV/0!</v>
      </c>
      <c r="J95" s="52" t="e">
        <f>IF(AND($B95&lt;=$C$4,C$7="Y"),0,IF(AND(C$7="N",C$4&gt;0,B95&lt;=C$4),0,H95-I95))</f>
        <v>#DIV/0!</v>
      </c>
      <c r="K95" s="51" t="e">
        <f>IF(AND(C$7="Y",$B95&lt;=$C$4),0,IF(AND(C$7="N",C$4&gt;0,B95&lt;=C$4),0,S95*(C95-J95)))</f>
        <v>#DIV/0!</v>
      </c>
      <c r="L95" s="49" t="e">
        <f>IF(AND(C$7="Y",$B95&lt;=$C$4),0,IF(AND(C$7="N",C$4&gt;0,B95&lt;=C$4),0,U95*D94))</f>
        <v>#DIV/0!</v>
      </c>
      <c r="M95" s="49">
        <f t="shared" si="18"/>
        <v>0</v>
      </c>
      <c r="N95" s="49">
        <f t="shared" si="17"/>
        <v>0</v>
      </c>
      <c r="O95" s="48" t="e">
        <f>K95+I95+J95-L95+N95+G95</f>
        <v>#DIV/0!</v>
      </c>
      <c r="P95" s="38" t="e">
        <f>O95*(1/((1+P$12)^(B95/12)))</f>
        <v>#DIV/0!</v>
      </c>
      <c r="Q95" s="53"/>
      <c r="R95" s="53">
        <f t="shared" si="24"/>
        <v>0.12</v>
      </c>
      <c r="S95" s="53">
        <f t="shared" si="25"/>
        <v>1.0596241035318976E-2</v>
      </c>
      <c r="T95" s="53">
        <f t="shared" si="26"/>
        <v>0.05</v>
      </c>
      <c r="U95" s="53">
        <f t="shared" si="27"/>
        <v>4.2653187775606449E-3</v>
      </c>
    </row>
    <row r="96" spans="1:21" x14ac:dyDescent="0.2">
      <c r="A96" s="62" t="e">
        <f t="shared" si="19"/>
        <v>#DIV/0!</v>
      </c>
      <c r="B96" s="45">
        <f t="shared" si="20"/>
        <v>82</v>
      </c>
      <c r="C96" s="51" t="e">
        <f>IF(B96&lt;C$4,C$1,D95-L96+N96)</f>
        <v>#DIV/0!</v>
      </c>
      <c r="D96" s="47" t="e" cm="1">
        <f t="array" ref="D96">_xlfn.IFS(AND($C$7="Y",B96&lt;C$4),C96,AND($C$7="Y",B96=C$4),D95+F96-J96-K96-L96+N96,AND($C$7="Y",B96&gt;$C$4),D95-J96-K96-L96+N96, TRUE, D95-J96-K96-L96+N96)</f>
        <v>#DIV/0!</v>
      </c>
      <c r="E96" s="48">
        <f t="shared" si="21"/>
        <v>0</v>
      </c>
      <c r="F96" s="50">
        <f t="shared" si="22"/>
        <v>0</v>
      </c>
      <c r="G96" s="50">
        <f t="shared" si="28"/>
        <v>0</v>
      </c>
      <c r="H96" s="51" t="e">
        <f t="shared" si="23"/>
        <v>#DIV/0!</v>
      </c>
      <c r="I96" s="52" t="e">
        <f>IF(AND(C$7="Y",$B96&lt;=C$4),0,IF(AND(C$7="Y",$B96&gt;C$4),(1-U96)*C$2*D95/12,IF(AND($C$7="N",C$4&gt;0),(1-U96)*D95*C$2/12, (1-U96)*D95*C$2/12)))</f>
        <v>#DIV/0!</v>
      </c>
      <c r="J96" s="52" t="e">
        <f>IF(AND($B96&lt;=$C$4,C$7="Y"),0,IF(AND(C$7="N",C$4&gt;0,B96&lt;=C$4),0,H96-I96))</f>
        <v>#DIV/0!</v>
      </c>
      <c r="K96" s="51" t="e">
        <f>IF(AND(C$7="Y",$B96&lt;=$C$4),0,IF(AND(C$7="N",C$4&gt;0,B96&lt;=C$4),0,S96*(C96-J96)))</f>
        <v>#DIV/0!</v>
      </c>
      <c r="L96" s="49" t="e">
        <f>IF(AND(C$7="Y",$B96&lt;=$C$4),0,IF(AND(C$7="N",C$4&gt;0,B96&lt;=C$4),0,U96*D95))</f>
        <v>#DIV/0!</v>
      </c>
      <c r="M96" s="49">
        <f t="shared" si="18"/>
        <v>0</v>
      </c>
      <c r="N96" s="49">
        <f t="shared" si="17"/>
        <v>0</v>
      </c>
      <c r="O96" s="48" t="e">
        <f>K96+I96+J96-L96+N96+G96</f>
        <v>#DIV/0!</v>
      </c>
      <c r="P96" s="38" t="e">
        <f>O96*(1/((1+P$12)^(B96/12)))</f>
        <v>#DIV/0!</v>
      </c>
      <c r="Q96" s="53"/>
      <c r="R96" s="53">
        <f t="shared" si="24"/>
        <v>0.12</v>
      </c>
      <c r="S96" s="53">
        <f t="shared" si="25"/>
        <v>1.0596241035318976E-2</v>
      </c>
      <c r="T96" s="53">
        <f t="shared" si="26"/>
        <v>0.05</v>
      </c>
      <c r="U96" s="53">
        <f t="shared" si="27"/>
        <v>4.2653187775606449E-3</v>
      </c>
    </row>
    <row r="97" spans="1:21" x14ac:dyDescent="0.2">
      <c r="A97" s="62" t="e">
        <f t="shared" si="19"/>
        <v>#DIV/0!</v>
      </c>
      <c r="B97" s="45">
        <f t="shared" si="20"/>
        <v>83</v>
      </c>
      <c r="C97" s="51" t="e">
        <f>IF(B97&lt;C$4,C$1,D96-L97+N97)</f>
        <v>#DIV/0!</v>
      </c>
      <c r="D97" s="47" t="e" cm="1">
        <f t="array" ref="D97">_xlfn.IFS(AND($C$7="Y",B97&lt;C$4),C97,AND($C$7="Y",B97=C$4),D96+F97-J97-K97-L97+N97,AND($C$7="Y",B97&gt;$C$4),D96-J97-K97-L97+N97, TRUE, D96-J97-K97-L97+N97)</f>
        <v>#DIV/0!</v>
      </c>
      <c r="E97" s="48">
        <f t="shared" si="21"/>
        <v>0</v>
      </c>
      <c r="F97" s="50">
        <f t="shared" si="22"/>
        <v>0</v>
      </c>
      <c r="G97" s="50">
        <f t="shared" si="28"/>
        <v>0</v>
      </c>
      <c r="H97" s="51" t="e">
        <f t="shared" si="23"/>
        <v>#DIV/0!</v>
      </c>
      <c r="I97" s="52" t="e">
        <f>IF(AND(C$7="Y",$B97&lt;=C$4),0,IF(AND(C$7="Y",$B97&gt;C$4),(1-U97)*C$2*D96/12,IF(AND($C$7="N",C$4&gt;0),(1-U97)*D96*C$2/12, (1-U97)*D96*C$2/12)))</f>
        <v>#DIV/0!</v>
      </c>
      <c r="J97" s="52" t="e">
        <f>IF(AND($B97&lt;=$C$4,C$7="Y"),0,IF(AND(C$7="N",C$4&gt;0,B97&lt;=C$4),0,H97-I97))</f>
        <v>#DIV/0!</v>
      </c>
      <c r="K97" s="51" t="e">
        <f>IF(AND(C$7="Y",$B97&lt;=$C$4),0,IF(AND(C$7="N",C$4&gt;0,B97&lt;=C$4),0,S97*(C97-J97)))</f>
        <v>#DIV/0!</v>
      </c>
      <c r="L97" s="49" t="e">
        <f>IF(AND(C$7="Y",$B97&lt;=$C$4),0,IF(AND(C$7="N",C$4&gt;0,B97&lt;=C$4),0,U97*D96))</f>
        <v>#DIV/0!</v>
      </c>
      <c r="M97" s="49">
        <f t="shared" si="18"/>
        <v>0</v>
      </c>
      <c r="N97" s="49">
        <f t="shared" si="17"/>
        <v>0</v>
      </c>
      <c r="O97" s="48" t="e">
        <f>K97+I97+J97-L97+N97+G97</f>
        <v>#DIV/0!</v>
      </c>
      <c r="P97" s="38" t="e">
        <f>O97*(1/((1+P$12)^(B97/12)))</f>
        <v>#DIV/0!</v>
      </c>
      <c r="Q97" s="53"/>
      <c r="R97" s="53">
        <f t="shared" si="24"/>
        <v>0.12</v>
      </c>
      <c r="S97" s="53">
        <f t="shared" si="25"/>
        <v>1.0596241035318976E-2</v>
      </c>
      <c r="T97" s="53">
        <f t="shared" si="26"/>
        <v>0.05</v>
      </c>
      <c r="U97" s="53">
        <f t="shared" si="27"/>
        <v>4.2653187775606449E-3</v>
      </c>
    </row>
    <row r="98" spans="1:21" x14ac:dyDescent="0.2">
      <c r="A98" s="62" t="e">
        <f t="shared" si="19"/>
        <v>#DIV/0!</v>
      </c>
      <c r="B98" s="45">
        <f t="shared" si="20"/>
        <v>84</v>
      </c>
      <c r="C98" s="51" t="e">
        <f>IF(B98&lt;C$4,C$1,D97-L98+N98)</f>
        <v>#DIV/0!</v>
      </c>
      <c r="D98" s="47" t="e" cm="1">
        <f t="array" ref="D98">_xlfn.IFS(AND($C$7="Y",B98&lt;C$4),C98,AND($C$7="Y",B98=C$4),D97+F98-J98-K98-L98+N98,AND($C$7="Y",B98&gt;$C$4),D97-J98-K98-L98+N98, TRUE, D97-J98-K98-L98+N98)</f>
        <v>#DIV/0!</v>
      </c>
      <c r="E98" s="48">
        <f t="shared" si="21"/>
        <v>0</v>
      </c>
      <c r="F98" s="50">
        <f t="shared" si="22"/>
        <v>0</v>
      </c>
      <c r="G98" s="50">
        <f t="shared" si="28"/>
        <v>0</v>
      </c>
      <c r="H98" s="51" t="e">
        <f t="shared" si="23"/>
        <v>#DIV/0!</v>
      </c>
      <c r="I98" s="52" t="e">
        <f>IF(AND(C$7="Y",$B98&lt;=C$4),0,IF(AND(C$7="Y",$B98&gt;C$4),(1-U98)*C$2*D97/12,IF(AND($C$7="N",C$4&gt;0),(1-U98)*D97*C$2/12, (1-U98)*D97*C$2/12)))</f>
        <v>#DIV/0!</v>
      </c>
      <c r="J98" s="52" t="e">
        <f>IF(AND($B98&lt;=$C$4,C$7="Y"),0,IF(AND(C$7="N",C$4&gt;0,B98&lt;=C$4),0,H98-I98))</f>
        <v>#DIV/0!</v>
      </c>
      <c r="K98" s="51" t="e">
        <f>IF(AND(C$7="Y",$B98&lt;=$C$4),0,IF(AND(C$7="N",C$4&gt;0,B98&lt;=C$4),0,S98*(C98-J98)))</f>
        <v>#DIV/0!</v>
      </c>
      <c r="L98" s="49" t="e">
        <f>IF(AND(C$7="Y",$B98&lt;=$C$4),0,IF(AND(C$7="N",C$4&gt;0,B98&lt;=C$4),0,U98*D97))</f>
        <v>#DIV/0!</v>
      </c>
      <c r="M98" s="49">
        <f t="shared" si="18"/>
        <v>0</v>
      </c>
      <c r="N98" s="49">
        <f t="shared" si="17"/>
        <v>0</v>
      </c>
      <c r="O98" s="48" t="e">
        <f>K98+I98+J98-L98+N98+G98</f>
        <v>#DIV/0!</v>
      </c>
      <c r="P98" s="38" t="e">
        <f>O98*(1/((1+P$12)^(B98/12)))</f>
        <v>#DIV/0!</v>
      </c>
      <c r="Q98" s="53"/>
      <c r="R98" s="53">
        <f t="shared" si="24"/>
        <v>0.12</v>
      </c>
      <c r="S98" s="53">
        <f t="shared" si="25"/>
        <v>1.0596241035318976E-2</v>
      </c>
      <c r="T98" s="53">
        <f t="shared" si="26"/>
        <v>0.05</v>
      </c>
      <c r="U98" s="53">
        <f t="shared" si="27"/>
        <v>4.2653187775606449E-3</v>
      </c>
    </row>
    <row r="99" spans="1:21" x14ac:dyDescent="0.2">
      <c r="A99" s="62" t="e">
        <f t="shared" si="19"/>
        <v>#DIV/0!</v>
      </c>
      <c r="B99" s="45">
        <f t="shared" si="20"/>
        <v>85</v>
      </c>
      <c r="C99" s="51" t="e">
        <f>IF(B99&lt;C$4,C$1,D98-L99+N99)</f>
        <v>#DIV/0!</v>
      </c>
      <c r="D99" s="47" t="e" cm="1">
        <f t="array" ref="D99">_xlfn.IFS(AND($C$7="Y",B99&lt;C$4),C99,AND($C$7="Y",B99=C$4),D98+F99-J99-K99-L99+N99,AND($C$7="Y",B99&gt;$C$4),D98-J99-K99-L99+N99, TRUE, D98-J99-K99-L99+N99)</f>
        <v>#DIV/0!</v>
      </c>
      <c r="E99" s="48">
        <f t="shared" si="21"/>
        <v>0</v>
      </c>
      <c r="F99" s="50">
        <f t="shared" si="22"/>
        <v>0</v>
      </c>
      <c r="G99" s="50">
        <f t="shared" si="28"/>
        <v>0</v>
      </c>
      <c r="H99" s="51" t="e">
        <f t="shared" si="23"/>
        <v>#DIV/0!</v>
      </c>
      <c r="I99" s="52" t="e">
        <f>IF(AND(C$7="Y",$B99&lt;=C$4),0,IF(AND(C$7="Y",$B99&gt;C$4),(1-U99)*C$2*D98/12,IF(AND($C$7="N",C$4&gt;0),(1-U99)*D98*C$2/12, (1-U99)*D98*C$2/12)))</f>
        <v>#DIV/0!</v>
      </c>
      <c r="J99" s="52" t="e">
        <f>IF(AND($B99&lt;=$C$4,C$7="Y"),0,IF(AND(C$7="N",C$4&gt;0,B99&lt;=C$4),0,H99-I99))</f>
        <v>#DIV/0!</v>
      </c>
      <c r="K99" s="51" t="e">
        <f>IF(AND(C$7="Y",$B99&lt;=$C$4),0,IF(AND(C$7="N",C$4&gt;0,B99&lt;=C$4),0,S99*(C99-J99)))</f>
        <v>#DIV/0!</v>
      </c>
      <c r="L99" s="49" t="e">
        <f>IF(AND(C$7="Y",$B99&lt;=$C$4),0,IF(AND(C$7="N",C$4&gt;0,B99&lt;=C$4),0,U99*D98))</f>
        <v>#DIV/0!</v>
      </c>
      <c r="M99" s="49">
        <f t="shared" si="18"/>
        <v>0</v>
      </c>
      <c r="N99" s="49">
        <f t="shared" ref="N99:N162" si="29">IFERROR((1-$N$12)*L95,0)</f>
        <v>0</v>
      </c>
      <c r="O99" s="48" t="e">
        <f>K99+I99+J99-L99+N99+G99</f>
        <v>#DIV/0!</v>
      </c>
      <c r="P99" s="38" t="e">
        <f>O99*(1/((1+P$12)^(B99/12)))</f>
        <v>#DIV/0!</v>
      </c>
      <c r="Q99" s="53"/>
      <c r="R99" s="53">
        <f t="shared" si="24"/>
        <v>0.12</v>
      </c>
      <c r="S99" s="53">
        <f t="shared" si="25"/>
        <v>1.0596241035318976E-2</v>
      </c>
      <c r="T99" s="53">
        <f t="shared" si="26"/>
        <v>0.05</v>
      </c>
      <c r="U99" s="53">
        <f t="shared" si="27"/>
        <v>4.2653187775606449E-3</v>
      </c>
    </row>
    <row r="100" spans="1:21" x14ac:dyDescent="0.2">
      <c r="A100" s="62" t="e">
        <f t="shared" si="19"/>
        <v>#DIV/0!</v>
      </c>
      <c r="B100" s="45">
        <f t="shared" si="20"/>
        <v>86</v>
      </c>
      <c r="C100" s="51" t="e">
        <f>IF(B100&lt;C$4,C$1,D99-L100+N100)</f>
        <v>#DIV/0!</v>
      </c>
      <c r="D100" s="47" t="e" cm="1">
        <f t="array" ref="D100">_xlfn.IFS(AND($C$7="Y",B100&lt;C$4),C100,AND($C$7="Y",B100=C$4),D99+F100-J100-K100-L100+N100,AND($C$7="Y",B100&gt;$C$4),D99-J100-K100-L100+N100, TRUE, D99-J100-K100-L100+N100)</f>
        <v>#DIV/0!</v>
      </c>
      <c r="E100" s="48">
        <f t="shared" si="21"/>
        <v>0</v>
      </c>
      <c r="F100" s="50">
        <f t="shared" si="22"/>
        <v>0</v>
      </c>
      <c r="G100" s="50">
        <f t="shared" si="28"/>
        <v>0</v>
      </c>
      <c r="H100" s="51" t="e">
        <f t="shared" si="23"/>
        <v>#DIV/0!</v>
      </c>
      <c r="I100" s="52" t="e">
        <f>IF(AND(C$7="Y",$B100&lt;=C$4),0,IF(AND(C$7="Y",$B100&gt;C$4),(1-U100)*C$2*D99/12,IF(AND($C$7="N",C$4&gt;0),(1-U100)*D99*C$2/12, (1-U100)*D99*C$2/12)))</f>
        <v>#DIV/0!</v>
      </c>
      <c r="J100" s="52" t="e">
        <f>IF(AND($B100&lt;=$C$4,C$7="Y"),0,IF(AND(C$7="N",C$4&gt;0,B100&lt;=C$4),0,H100-I100))</f>
        <v>#DIV/0!</v>
      </c>
      <c r="K100" s="51" t="e">
        <f>IF(AND(C$7="Y",$B100&lt;=$C$4),0,IF(AND(C$7="N",C$4&gt;0,B100&lt;=C$4),0,S100*(C100-J100)))</f>
        <v>#DIV/0!</v>
      </c>
      <c r="L100" s="49" t="e">
        <f>IF(AND(C$7="Y",$B100&lt;=$C$4),0,IF(AND(C$7="N",C$4&gt;0,B100&lt;=C$4),0,U100*D99))</f>
        <v>#DIV/0!</v>
      </c>
      <c r="M100" s="49">
        <f t="shared" si="18"/>
        <v>0</v>
      </c>
      <c r="N100" s="49">
        <f t="shared" si="29"/>
        <v>0</v>
      </c>
      <c r="O100" s="48" t="e">
        <f>K100+I100+J100-L100+N100+G100</f>
        <v>#DIV/0!</v>
      </c>
      <c r="P100" s="38" t="e">
        <f>O100*(1/((1+P$12)^(B100/12)))</f>
        <v>#DIV/0!</v>
      </c>
      <c r="Q100" s="53"/>
      <c r="R100" s="53">
        <f t="shared" si="24"/>
        <v>0.12</v>
      </c>
      <c r="S100" s="53">
        <f t="shared" si="25"/>
        <v>1.0596241035318976E-2</v>
      </c>
      <c r="T100" s="53">
        <f t="shared" si="26"/>
        <v>0.05</v>
      </c>
      <c r="U100" s="53">
        <f t="shared" si="27"/>
        <v>4.2653187775606449E-3</v>
      </c>
    </row>
    <row r="101" spans="1:21" x14ac:dyDescent="0.2">
      <c r="A101" s="62" t="e">
        <f t="shared" si="19"/>
        <v>#DIV/0!</v>
      </c>
      <c r="B101" s="45">
        <f t="shared" si="20"/>
        <v>87</v>
      </c>
      <c r="C101" s="51" t="e">
        <f>IF(B101&lt;C$4,C$1,D100-L101+N101)</f>
        <v>#DIV/0!</v>
      </c>
      <c r="D101" s="47" t="e" cm="1">
        <f t="array" ref="D101">_xlfn.IFS(AND($C$7="Y",B101&lt;C$4),C101,AND($C$7="Y",B101=C$4),D100+F101-J101-K101-L101+N101,AND($C$7="Y",B101&gt;$C$4),D100-J101-K101-L101+N101, TRUE, D100-J101-K101-L101+N101)</f>
        <v>#DIV/0!</v>
      </c>
      <c r="E101" s="48">
        <f t="shared" si="21"/>
        <v>0</v>
      </c>
      <c r="F101" s="50">
        <f t="shared" si="22"/>
        <v>0</v>
      </c>
      <c r="G101" s="50">
        <f t="shared" si="28"/>
        <v>0</v>
      </c>
      <c r="H101" s="51" t="e">
        <f t="shared" si="23"/>
        <v>#DIV/0!</v>
      </c>
      <c r="I101" s="52" t="e">
        <f>IF(AND(C$7="Y",$B101&lt;=C$4),0,IF(AND(C$7="Y",$B101&gt;C$4),(1-U101)*C$2*D100/12,IF(AND($C$7="N",C$4&gt;0),(1-U101)*D100*C$2/12, (1-U101)*D100*C$2/12)))</f>
        <v>#DIV/0!</v>
      </c>
      <c r="J101" s="52" t="e">
        <f>IF(AND($B101&lt;=$C$4,C$7="Y"),0,IF(AND(C$7="N",C$4&gt;0,B101&lt;=C$4),0,H101-I101))</f>
        <v>#DIV/0!</v>
      </c>
      <c r="K101" s="51" t="e">
        <f>IF(AND(C$7="Y",$B101&lt;=$C$4),0,IF(AND(C$7="N",C$4&gt;0,B101&lt;=C$4),0,S101*(C101-J101)))</f>
        <v>#DIV/0!</v>
      </c>
      <c r="L101" s="49" t="e">
        <f>IF(AND(C$7="Y",$B101&lt;=$C$4),0,IF(AND(C$7="N",C$4&gt;0,B101&lt;=C$4),0,U101*D100))</f>
        <v>#DIV/0!</v>
      </c>
      <c r="M101" s="49">
        <f t="shared" si="18"/>
        <v>0</v>
      </c>
      <c r="N101" s="49">
        <f t="shared" si="29"/>
        <v>0</v>
      </c>
      <c r="O101" s="48" t="e">
        <f>K101+I101+J101-L101+N101+G101</f>
        <v>#DIV/0!</v>
      </c>
      <c r="P101" s="38" t="e">
        <f>O101*(1/((1+P$12)^(B101/12)))</f>
        <v>#DIV/0!</v>
      </c>
      <c r="Q101" s="53"/>
      <c r="R101" s="53">
        <f t="shared" si="24"/>
        <v>0.12</v>
      </c>
      <c r="S101" s="53">
        <f t="shared" si="25"/>
        <v>1.0596241035318976E-2</v>
      </c>
      <c r="T101" s="53">
        <f t="shared" si="26"/>
        <v>0.05</v>
      </c>
      <c r="U101" s="53">
        <f t="shared" si="27"/>
        <v>4.2653187775606449E-3</v>
      </c>
    </row>
    <row r="102" spans="1:21" x14ac:dyDescent="0.2">
      <c r="A102" s="62" t="e">
        <f t="shared" si="19"/>
        <v>#DIV/0!</v>
      </c>
      <c r="B102" s="45">
        <f t="shared" si="20"/>
        <v>88</v>
      </c>
      <c r="C102" s="51" t="e">
        <f>IF(B102&lt;C$4,C$1,D101-L102+N102)</f>
        <v>#DIV/0!</v>
      </c>
      <c r="D102" s="47" t="e" cm="1">
        <f t="array" ref="D102">_xlfn.IFS(AND($C$7="Y",B102&lt;C$4),C102,AND($C$7="Y",B102=C$4),D101+F102-J102-K102-L102+N102,AND($C$7="Y",B102&gt;$C$4),D101-J102-K102-L102+N102, TRUE, D101-J102-K102-L102+N102)</f>
        <v>#DIV/0!</v>
      </c>
      <c r="E102" s="48">
        <f t="shared" si="21"/>
        <v>0</v>
      </c>
      <c r="F102" s="50">
        <f t="shared" si="22"/>
        <v>0</v>
      </c>
      <c r="G102" s="50">
        <f t="shared" si="28"/>
        <v>0</v>
      </c>
      <c r="H102" s="51" t="e">
        <f t="shared" si="23"/>
        <v>#DIV/0!</v>
      </c>
      <c r="I102" s="52" t="e">
        <f>IF(AND(C$7="Y",$B102&lt;=C$4),0,IF(AND(C$7="Y",$B102&gt;C$4),(1-U102)*C$2*D101/12,IF(AND($C$7="N",C$4&gt;0),(1-U102)*D101*C$2/12, (1-U102)*D101*C$2/12)))</f>
        <v>#DIV/0!</v>
      </c>
      <c r="J102" s="52" t="e">
        <f>IF(AND($B102&lt;=$C$4,C$7="Y"),0,IF(AND(C$7="N",C$4&gt;0,B102&lt;=C$4),0,H102-I102))</f>
        <v>#DIV/0!</v>
      </c>
      <c r="K102" s="51" t="e">
        <f>IF(AND(C$7="Y",$B102&lt;=$C$4),0,IF(AND(C$7="N",C$4&gt;0,B102&lt;=C$4),0,S102*(C102-J102)))</f>
        <v>#DIV/0!</v>
      </c>
      <c r="L102" s="49" t="e">
        <f>IF(AND(C$7="Y",$B102&lt;=$C$4),0,IF(AND(C$7="N",C$4&gt;0,B102&lt;=C$4),0,U102*D101))</f>
        <v>#DIV/0!</v>
      </c>
      <c r="M102" s="49">
        <f t="shared" si="18"/>
        <v>0</v>
      </c>
      <c r="N102" s="49">
        <f t="shared" si="29"/>
        <v>0</v>
      </c>
      <c r="O102" s="48" t="e">
        <f>K102+I102+J102-L102+N102+G102</f>
        <v>#DIV/0!</v>
      </c>
      <c r="P102" s="38" t="e">
        <f>O102*(1/((1+P$12)^(B102/12)))</f>
        <v>#DIV/0!</v>
      </c>
      <c r="Q102" s="53"/>
      <c r="R102" s="53">
        <f t="shared" si="24"/>
        <v>0.12</v>
      </c>
      <c r="S102" s="53">
        <f t="shared" si="25"/>
        <v>1.0596241035318976E-2</v>
      </c>
      <c r="T102" s="53">
        <f t="shared" si="26"/>
        <v>0.05</v>
      </c>
      <c r="U102" s="53">
        <f t="shared" si="27"/>
        <v>4.2653187775606449E-3</v>
      </c>
    </row>
    <row r="103" spans="1:21" x14ac:dyDescent="0.2">
      <c r="A103" s="62" t="e">
        <f t="shared" si="19"/>
        <v>#DIV/0!</v>
      </c>
      <c r="B103" s="45">
        <f t="shared" si="20"/>
        <v>89</v>
      </c>
      <c r="C103" s="51" t="e">
        <f>IF(B103&lt;C$4,C$1,D102-L103+N103)</f>
        <v>#DIV/0!</v>
      </c>
      <c r="D103" s="47" t="e" cm="1">
        <f t="array" ref="D103">_xlfn.IFS(AND($C$7="Y",B103&lt;C$4),C103,AND($C$7="Y",B103=C$4),D102+F103-J103-K103-L103+N103,AND($C$7="Y",B103&gt;$C$4),D102-J103-K103-L103+N103, TRUE, D102-J103-K103-L103+N103)</f>
        <v>#DIV/0!</v>
      </c>
      <c r="E103" s="48">
        <f t="shared" si="21"/>
        <v>0</v>
      </c>
      <c r="F103" s="50">
        <f t="shared" si="22"/>
        <v>0</v>
      </c>
      <c r="G103" s="50">
        <f t="shared" si="28"/>
        <v>0</v>
      </c>
      <c r="H103" s="51" t="e">
        <f t="shared" si="23"/>
        <v>#DIV/0!</v>
      </c>
      <c r="I103" s="52" t="e">
        <f>IF(AND(C$7="Y",$B103&lt;=C$4),0,IF(AND(C$7="Y",$B103&gt;C$4),(1-U103)*C$2*D102/12,IF(AND($C$7="N",C$4&gt;0),(1-U103)*D102*C$2/12, (1-U103)*D102*C$2/12)))</f>
        <v>#DIV/0!</v>
      </c>
      <c r="J103" s="52" t="e">
        <f>IF(AND($B103&lt;=$C$4,C$7="Y"),0,IF(AND(C$7="N",C$4&gt;0,B103&lt;=C$4),0,H103-I103))</f>
        <v>#DIV/0!</v>
      </c>
      <c r="K103" s="51" t="e">
        <f>IF(AND(C$7="Y",$B103&lt;=$C$4),0,IF(AND(C$7="N",C$4&gt;0,B103&lt;=C$4),0,S103*(C103-J103)))</f>
        <v>#DIV/0!</v>
      </c>
      <c r="L103" s="49" t="e">
        <f>IF(AND(C$7="Y",$B103&lt;=$C$4),0,IF(AND(C$7="N",C$4&gt;0,B103&lt;=C$4),0,U103*D102))</f>
        <v>#DIV/0!</v>
      </c>
      <c r="M103" s="49">
        <f t="shared" si="18"/>
        <v>0</v>
      </c>
      <c r="N103" s="49">
        <f t="shared" si="29"/>
        <v>0</v>
      </c>
      <c r="O103" s="48" t="e">
        <f>K103+I103+J103-L103+N103+G103</f>
        <v>#DIV/0!</v>
      </c>
      <c r="P103" s="38" t="e">
        <f>O103*(1/((1+P$12)^(B103/12)))</f>
        <v>#DIV/0!</v>
      </c>
      <c r="Q103" s="53"/>
      <c r="R103" s="53">
        <f t="shared" si="24"/>
        <v>0.12</v>
      </c>
      <c r="S103" s="53">
        <f t="shared" si="25"/>
        <v>1.0596241035318976E-2</v>
      </c>
      <c r="T103" s="53">
        <f t="shared" si="26"/>
        <v>0.05</v>
      </c>
      <c r="U103" s="53">
        <f t="shared" si="27"/>
        <v>4.2653187775606449E-3</v>
      </c>
    </row>
    <row r="104" spans="1:21" x14ac:dyDescent="0.2">
      <c r="A104" s="62" t="e">
        <f t="shared" si="19"/>
        <v>#DIV/0!</v>
      </c>
      <c r="B104" s="45">
        <f t="shared" si="20"/>
        <v>90</v>
      </c>
      <c r="C104" s="51" t="e">
        <f>IF(B104&lt;C$4,C$1,D103-L104+N104)</f>
        <v>#DIV/0!</v>
      </c>
      <c r="D104" s="47" t="e" cm="1">
        <f t="array" ref="D104">_xlfn.IFS(AND($C$7="Y",B104&lt;C$4),C104,AND($C$7="Y",B104=C$4),D103+F104-J104-K104-L104+N104,AND($C$7="Y",B104&gt;$C$4),D103-J104-K104-L104+N104, TRUE, D103-J104-K104-L104+N104)</f>
        <v>#DIV/0!</v>
      </c>
      <c r="E104" s="48">
        <f t="shared" si="21"/>
        <v>0</v>
      </c>
      <c r="F104" s="50">
        <f t="shared" si="22"/>
        <v>0</v>
      </c>
      <c r="G104" s="50">
        <f t="shared" si="28"/>
        <v>0</v>
      </c>
      <c r="H104" s="51" t="e">
        <f t="shared" si="23"/>
        <v>#DIV/0!</v>
      </c>
      <c r="I104" s="52" t="e">
        <f>IF(AND(C$7="Y",$B104&lt;=C$4),0,IF(AND(C$7="Y",$B104&gt;C$4),(1-U104)*C$2*D103/12,IF(AND($C$7="N",C$4&gt;0),(1-U104)*D103*C$2/12, (1-U104)*D103*C$2/12)))</f>
        <v>#DIV/0!</v>
      </c>
      <c r="J104" s="52" t="e">
        <f>IF(AND($B104&lt;=$C$4,C$7="Y"),0,IF(AND(C$7="N",C$4&gt;0,B104&lt;=C$4),0,H104-I104))</f>
        <v>#DIV/0!</v>
      </c>
      <c r="K104" s="51" t="e">
        <f>IF(AND(C$7="Y",$B104&lt;=$C$4),0,IF(AND(C$7="N",C$4&gt;0,B104&lt;=C$4),0,S104*(C104-J104)))</f>
        <v>#DIV/0!</v>
      </c>
      <c r="L104" s="49" t="e">
        <f>IF(AND(C$7="Y",$B104&lt;=$C$4),0,IF(AND(C$7="N",C$4&gt;0,B104&lt;=C$4),0,U104*D103))</f>
        <v>#DIV/0!</v>
      </c>
      <c r="M104" s="49">
        <f t="shared" si="18"/>
        <v>0</v>
      </c>
      <c r="N104" s="49">
        <f t="shared" si="29"/>
        <v>0</v>
      </c>
      <c r="O104" s="48" t="e">
        <f>K104+I104+J104-L104+N104+G104</f>
        <v>#DIV/0!</v>
      </c>
      <c r="P104" s="38" t="e">
        <f>O104*(1/((1+P$12)^(B104/12)))</f>
        <v>#DIV/0!</v>
      </c>
      <c r="Q104" s="53"/>
      <c r="R104" s="53">
        <f t="shared" si="24"/>
        <v>0.12</v>
      </c>
      <c r="S104" s="53">
        <f t="shared" si="25"/>
        <v>1.0596241035318976E-2</v>
      </c>
      <c r="T104" s="53">
        <f t="shared" si="26"/>
        <v>0.05</v>
      </c>
      <c r="U104" s="53">
        <f t="shared" si="27"/>
        <v>4.2653187775606449E-3</v>
      </c>
    </row>
    <row r="105" spans="1:21" x14ac:dyDescent="0.2">
      <c r="A105" s="62" t="e">
        <f t="shared" si="19"/>
        <v>#DIV/0!</v>
      </c>
      <c r="B105" s="45">
        <f t="shared" si="20"/>
        <v>91</v>
      </c>
      <c r="C105" s="51" t="e">
        <f>IF(B105&lt;C$4,C$1,D104-L105+N105)</f>
        <v>#DIV/0!</v>
      </c>
      <c r="D105" s="47" t="e" cm="1">
        <f t="array" ref="D105">_xlfn.IFS(AND($C$7="Y",B105&lt;C$4),C105,AND($C$7="Y",B105=C$4),D104+F105-J105-K105-L105+N105,AND($C$7="Y",B105&gt;$C$4),D104-J105-K105-L105+N105, TRUE, D104-J105-K105-L105+N105)</f>
        <v>#DIV/0!</v>
      </c>
      <c r="E105" s="48">
        <f t="shared" si="21"/>
        <v>0</v>
      </c>
      <c r="F105" s="50">
        <f t="shared" si="22"/>
        <v>0</v>
      </c>
      <c r="G105" s="50">
        <f t="shared" si="28"/>
        <v>0</v>
      </c>
      <c r="H105" s="51" t="e">
        <f t="shared" si="23"/>
        <v>#DIV/0!</v>
      </c>
      <c r="I105" s="52" t="e">
        <f>IF(AND(C$7="Y",$B105&lt;=C$4),0,IF(AND(C$7="Y",$B105&gt;C$4),(1-U105)*C$2*D104/12,IF(AND($C$7="N",C$4&gt;0),(1-U105)*D104*C$2/12, (1-U105)*D104*C$2/12)))</f>
        <v>#DIV/0!</v>
      </c>
      <c r="J105" s="52" t="e">
        <f>IF(AND($B105&lt;=$C$4,C$7="Y"),0,IF(AND(C$7="N",C$4&gt;0,B105&lt;=C$4),0,H105-I105))</f>
        <v>#DIV/0!</v>
      </c>
      <c r="K105" s="51" t="e">
        <f>IF(AND(C$7="Y",$B105&lt;=$C$4),0,IF(AND(C$7="N",C$4&gt;0,B105&lt;=C$4),0,S105*(C105-J105)))</f>
        <v>#DIV/0!</v>
      </c>
      <c r="L105" s="49" t="e">
        <f>IF(AND(C$7="Y",$B105&lt;=$C$4),0,IF(AND(C$7="N",C$4&gt;0,B105&lt;=C$4),0,U105*D104))</f>
        <v>#DIV/0!</v>
      </c>
      <c r="M105" s="49">
        <f t="shared" si="18"/>
        <v>0</v>
      </c>
      <c r="N105" s="49">
        <f t="shared" si="29"/>
        <v>0</v>
      </c>
      <c r="O105" s="48" t="e">
        <f>K105+I105+J105-L105+N105+G105</f>
        <v>#DIV/0!</v>
      </c>
      <c r="P105" s="38" t="e">
        <f>O105*(1/((1+P$12)^(B105/12)))</f>
        <v>#DIV/0!</v>
      </c>
      <c r="Q105" s="53"/>
      <c r="R105" s="53">
        <f t="shared" si="24"/>
        <v>0.12</v>
      </c>
      <c r="S105" s="53">
        <f t="shared" si="25"/>
        <v>1.0596241035318976E-2</v>
      </c>
      <c r="T105" s="53">
        <f t="shared" si="26"/>
        <v>0.05</v>
      </c>
      <c r="U105" s="53">
        <f t="shared" si="27"/>
        <v>4.2653187775606449E-3</v>
      </c>
    </row>
    <row r="106" spans="1:21" x14ac:dyDescent="0.2">
      <c r="A106" s="62" t="e">
        <f t="shared" si="19"/>
        <v>#DIV/0!</v>
      </c>
      <c r="B106" s="45">
        <f t="shared" si="20"/>
        <v>92</v>
      </c>
      <c r="C106" s="51" t="e">
        <f>IF(B106&lt;C$4,C$1,D105-L106+N106)</f>
        <v>#DIV/0!</v>
      </c>
      <c r="D106" s="47" t="e" cm="1">
        <f t="array" ref="D106">_xlfn.IFS(AND($C$7="Y",B106&lt;C$4),C106,AND($C$7="Y",B106=C$4),D105+F106-J106-K106-L106+N106,AND($C$7="Y",B106&gt;$C$4),D105-J106-K106-L106+N106, TRUE, D105-J106-K106-L106+N106)</f>
        <v>#DIV/0!</v>
      </c>
      <c r="E106" s="48">
        <f t="shared" si="21"/>
        <v>0</v>
      </c>
      <c r="F106" s="50">
        <f t="shared" si="22"/>
        <v>0</v>
      </c>
      <c r="G106" s="50">
        <f t="shared" si="28"/>
        <v>0</v>
      </c>
      <c r="H106" s="51" t="e">
        <f t="shared" si="23"/>
        <v>#DIV/0!</v>
      </c>
      <c r="I106" s="52" t="e">
        <f>IF(AND(C$7="Y",$B106&lt;=C$4),0,IF(AND(C$7="Y",$B106&gt;C$4),(1-U106)*C$2*D105/12,IF(AND($C$7="N",C$4&gt;0),(1-U106)*D105*C$2/12, (1-U106)*D105*C$2/12)))</f>
        <v>#DIV/0!</v>
      </c>
      <c r="J106" s="52" t="e">
        <f>IF(AND($B106&lt;=$C$4,C$7="Y"),0,IF(AND(C$7="N",C$4&gt;0,B106&lt;=C$4),0,H106-I106))</f>
        <v>#DIV/0!</v>
      </c>
      <c r="K106" s="51" t="e">
        <f>IF(AND(C$7="Y",$B106&lt;=$C$4),0,IF(AND(C$7="N",C$4&gt;0,B106&lt;=C$4),0,S106*(C106-J106)))</f>
        <v>#DIV/0!</v>
      </c>
      <c r="L106" s="49" t="e">
        <f>IF(AND(C$7="Y",$B106&lt;=$C$4),0,IF(AND(C$7="N",C$4&gt;0,B106&lt;=C$4),0,U106*D105))</f>
        <v>#DIV/0!</v>
      </c>
      <c r="M106" s="49">
        <f t="shared" si="18"/>
        <v>0</v>
      </c>
      <c r="N106" s="49">
        <f t="shared" si="29"/>
        <v>0</v>
      </c>
      <c r="O106" s="48" t="e">
        <f>K106+I106+J106-L106+N106+G106</f>
        <v>#DIV/0!</v>
      </c>
      <c r="P106" s="38" t="e">
        <f>O106*(1/((1+P$12)^(B106/12)))</f>
        <v>#DIV/0!</v>
      </c>
      <c r="Q106" s="53"/>
      <c r="R106" s="53">
        <f t="shared" si="24"/>
        <v>0.12</v>
      </c>
      <c r="S106" s="53">
        <f t="shared" si="25"/>
        <v>1.0596241035318976E-2</v>
      </c>
      <c r="T106" s="53">
        <f t="shared" si="26"/>
        <v>0.05</v>
      </c>
      <c r="U106" s="53">
        <f t="shared" si="27"/>
        <v>4.2653187775606449E-3</v>
      </c>
    </row>
    <row r="107" spans="1:21" x14ac:dyDescent="0.2">
      <c r="A107" s="62" t="e">
        <f t="shared" si="19"/>
        <v>#DIV/0!</v>
      </c>
      <c r="B107" s="45">
        <f t="shared" si="20"/>
        <v>93</v>
      </c>
      <c r="C107" s="51" t="e">
        <f>IF(B107&lt;C$4,C$1,D106-L107+N107)</f>
        <v>#DIV/0!</v>
      </c>
      <c r="D107" s="47" t="e" cm="1">
        <f t="array" ref="D107">_xlfn.IFS(AND($C$7="Y",B107&lt;C$4),C107,AND($C$7="Y",B107=C$4),D106+F107-J107-K107-L107+N107,AND($C$7="Y",B107&gt;$C$4),D106-J107-K107-L107+N107, TRUE, D106-J107-K107-L107+N107)</f>
        <v>#DIV/0!</v>
      </c>
      <c r="E107" s="48">
        <f t="shared" si="21"/>
        <v>0</v>
      </c>
      <c r="F107" s="50">
        <f t="shared" si="22"/>
        <v>0</v>
      </c>
      <c r="G107" s="50">
        <f t="shared" si="28"/>
        <v>0</v>
      </c>
      <c r="H107" s="51" t="e">
        <f t="shared" si="23"/>
        <v>#DIV/0!</v>
      </c>
      <c r="I107" s="52" t="e">
        <f>IF(AND(C$7="Y",$B107&lt;=C$4),0,IF(AND(C$7="Y",$B107&gt;C$4),(1-U107)*C$2*D106/12,IF(AND($C$7="N",C$4&gt;0),(1-U107)*D106*C$2/12, (1-U107)*D106*C$2/12)))</f>
        <v>#DIV/0!</v>
      </c>
      <c r="J107" s="52" t="e">
        <f>IF(AND($B107&lt;=$C$4,C$7="Y"),0,IF(AND(C$7="N",C$4&gt;0,B107&lt;=C$4),0,H107-I107))</f>
        <v>#DIV/0!</v>
      </c>
      <c r="K107" s="51" t="e">
        <f>IF(AND(C$7="Y",$B107&lt;=$C$4),0,IF(AND(C$7="N",C$4&gt;0,B107&lt;=C$4),0,S107*(C107-J107)))</f>
        <v>#DIV/0!</v>
      </c>
      <c r="L107" s="49" t="e">
        <f>IF(AND(C$7="Y",$B107&lt;=$C$4),0,IF(AND(C$7="N",C$4&gt;0,B107&lt;=C$4),0,U107*D106))</f>
        <v>#DIV/0!</v>
      </c>
      <c r="M107" s="49">
        <f t="shared" si="18"/>
        <v>0</v>
      </c>
      <c r="N107" s="49">
        <f t="shared" si="29"/>
        <v>0</v>
      </c>
      <c r="O107" s="48" t="e">
        <f>K107+I107+J107-L107+N107+G107</f>
        <v>#DIV/0!</v>
      </c>
      <c r="P107" s="38" t="e">
        <f>O107*(1/((1+P$12)^(B107/12)))</f>
        <v>#DIV/0!</v>
      </c>
      <c r="Q107" s="53"/>
      <c r="R107" s="53">
        <f t="shared" si="24"/>
        <v>0.12</v>
      </c>
      <c r="S107" s="53">
        <f t="shared" si="25"/>
        <v>1.0596241035318976E-2</v>
      </c>
      <c r="T107" s="53">
        <f t="shared" si="26"/>
        <v>0.05</v>
      </c>
      <c r="U107" s="53">
        <f t="shared" si="27"/>
        <v>4.2653187775606449E-3</v>
      </c>
    </row>
    <row r="108" spans="1:21" x14ac:dyDescent="0.2">
      <c r="A108" s="62" t="e">
        <f t="shared" si="19"/>
        <v>#DIV/0!</v>
      </c>
      <c r="B108" s="45">
        <f t="shared" si="20"/>
        <v>94</v>
      </c>
      <c r="C108" s="51" t="e">
        <f>IF(B108&lt;C$4,C$1,D107-L108+N108)</f>
        <v>#DIV/0!</v>
      </c>
      <c r="D108" s="47" t="e" cm="1">
        <f t="array" ref="D108">_xlfn.IFS(AND($C$7="Y",B108&lt;C$4),C108,AND($C$7="Y",B108=C$4),D107+F108-J108-K108-L108+N108,AND($C$7="Y",B108&gt;$C$4),D107-J108-K108-L108+N108, TRUE, D107-J108-K108-L108+N108)</f>
        <v>#DIV/0!</v>
      </c>
      <c r="E108" s="48">
        <f t="shared" si="21"/>
        <v>0</v>
      </c>
      <c r="F108" s="50">
        <f t="shared" si="22"/>
        <v>0</v>
      </c>
      <c r="G108" s="50">
        <f t="shared" si="28"/>
        <v>0</v>
      </c>
      <c r="H108" s="51" t="e">
        <f t="shared" si="23"/>
        <v>#DIV/0!</v>
      </c>
      <c r="I108" s="52" t="e">
        <f>IF(AND(C$7="Y",$B108&lt;=C$4),0,IF(AND(C$7="Y",$B108&gt;C$4),(1-U108)*C$2*D107/12,IF(AND($C$7="N",C$4&gt;0),(1-U108)*D107*C$2/12, (1-U108)*D107*C$2/12)))</f>
        <v>#DIV/0!</v>
      </c>
      <c r="J108" s="52" t="e">
        <f>IF(AND($B108&lt;=$C$4,C$7="Y"),0,IF(AND(C$7="N",C$4&gt;0,B108&lt;=C$4),0,H108-I108))</f>
        <v>#DIV/0!</v>
      </c>
      <c r="K108" s="51" t="e">
        <f>IF(AND(C$7="Y",$B108&lt;=$C$4),0,IF(AND(C$7="N",C$4&gt;0,B108&lt;=C$4),0,S108*(C108-J108)))</f>
        <v>#DIV/0!</v>
      </c>
      <c r="L108" s="49" t="e">
        <f>IF(AND(C$7="Y",$B108&lt;=$C$4),0,IF(AND(C$7="N",C$4&gt;0,B108&lt;=C$4),0,U108*D107))</f>
        <v>#DIV/0!</v>
      </c>
      <c r="M108" s="49">
        <f t="shared" si="18"/>
        <v>0</v>
      </c>
      <c r="N108" s="49">
        <f t="shared" si="29"/>
        <v>0</v>
      </c>
      <c r="O108" s="48" t="e">
        <f>K108+I108+J108-L108+N108+G108</f>
        <v>#DIV/0!</v>
      </c>
      <c r="P108" s="38" t="e">
        <f>O108*(1/((1+P$12)^(B108/12)))</f>
        <v>#DIV/0!</v>
      </c>
      <c r="Q108" s="53"/>
      <c r="R108" s="53">
        <f t="shared" si="24"/>
        <v>0.12</v>
      </c>
      <c r="S108" s="53">
        <f t="shared" si="25"/>
        <v>1.0596241035318976E-2</v>
      </c>
      <c r="T108" s="53">
        <f t="shared" si="26"/>
        <v>0.05</v>
      </c>
      <c r="U108" s="53">
        <f t="shared" si="27"/>
        <v>4.2653187775606449E-3</v>
      </c>
    </row>
    <row r="109" spans="1:21" x14ac:dyDescent="0.2">
      <c r="A109" s="62" t="e">
        <f t="shared" si="19"/>
        <v>#DIV/0!</v>
      </c>
      <c r="B109" s="45">
        <f t="shared" si="20"/>
        <v>95</v>
      </c>
      <c r="C109" s="51" t="e">
        <f>IF(B109&lt;C$4,C$1,D108-L109+N109)</f>
        <v>#DIV/0!</v>
      </c>
      <c r="D109" s="47" t="e" cm="1">
        <f t="array" ref="D109">_xlfn.IFS(AND($C$7="Y",B109&lt;C$4),C109,AND($C$7="Y",B109=C$4),D108+F109-J109-K109-L109+N109,AND($C$7="Y",B109&gt;$C$4),D108-J109-K109-L109+N109, TRUE, D108-J109-K109-L109+N109)</f>
        <v>#DIV/0!</v>
      </c>
      <c r="E109" s="48">
        <f t="shared" si="21"/>
        <v>0</v>
      </c>
      <c r="F109" s="50">
        <f t="shared" si="22"/>
        <v>0</v>
      </c>
      <c r="G109" s="50">
        <f t="shared" si="28"/>
        <v>0</v>
      </c>
      <c r="H109" s="51" t="e">
        <f t="shared" si="23"/>
        <v>#DIV/0!</v>
      </c>
      <c r="I109" s="52" t="e">
        <f>IF(AND(C$7="Y",$B109&lt;=C$4),0,IF(AND(C$7="Y",$B109&gt;C$4),(1-U109)*C$2*D108/12,IF(AND($C$7="N",C$4&gt;0),(1-U109)*D108*C$2/12, (1-U109)*D108*C$2/12)))</f>
        <v>#DIV/0!</v>
      </c>
      <c r="J109" s="52" t="e">
        <f>IF(AND($B109&lt;=$C$4,C$7="Y"),0,IF(AND(C$7="N",C$4&gt;0,B109&lt;=C$4),0,H109-I109))</f>
        <v>#DIV/0!</v>
      </c>
      <c r="K109" s="51" t="e">
        <f>IF(AND(C$7="Y",$B109&lt;=$C$4),0,IF(AND(C$7="N",C$4&gt;0,B109&lt;=C$4),0,S109*(C109-J109)))</f>
        <v>#DIV/0!</v>
      </c>
      <c r="L109" s="49" t="e">
        <f>IF(AND(C$7="Y",$B109&lt;=$C$4),0,IF(AND(C$7="N",C$4&gt;0,B109&lt;=C$4),0,U109*D108))</f>
        <v>#DIV/0!</v>
      </c>
      <c r="M109" s="49">
        <f t="shared" ref="M109:M172" si="30">IFERROR(L105*-1,0)</f>
        <v>0</v>
      </c>
      <c r="N109" s="49">
        <f t="shared" si="29"/>
        <v>0</v>
      </c>
      <c r="O109" s="48" t="e">
        <f>K109+I109+J109-L109+N109+G109</f>
        <v>#DIV/0!</v>
      </c>
      <c r="P109" s="38" t="e">
        <f>O109*(1/((1+P$12)^(B109/12)))</f>
        <v>#DIV/0!</v>
      </c>
      <c r="Q109" s="53"/>
      <c r="R109" s="53">
        <f t="shared" si="24"/>
        <v>0.12</v>
      </c>
      <c r="S109" s="53">
        <f t="shared" si="25"/>
        <v>1.0596241035318976E-2</v>
      </c>
      <c r="T109" s="53">
        <f t="shared" si="26"/>
        <v>0.05</v>
      </c>
      <c r="U109" s="53">
        <f t="shared" si="27"/>
        <v>4.2653187775606449E-3</v>
      </c>
    </row>
    <row r="110" spans="1:21" x14ac:dyDescent="0.2">
      <c r="A110" s="62" t="e">
        <f t="shared" si="19"/>
        <v>#DIV/0!</v>
      </c>
      <c r="B110" s="45">
        <f t="shared" si="20"/>
        <v>96</v>
      </c>
      <c r="C110" s="51" t="e">
        <f>IF(B110&lt;C$4,C$1,D109-L110+N110)</f>
        <v>#DIV/0!</v>
      </c>
      <c r="D110" s="47" t="e" cm="1">
        <f t="array" ref="D110">_xlfn.IFS(AND($C$7="Y",B110&lt;C$4),C110,AND($C$7="Y",B110=C$4),D109+F110-J110-K110-L110+N110,AND($C$7="Y",B110&gt;$C$4),D109-J110-K110-L110+N110, TRUE, D109-J110-K110-L110+N110)</f>
        <v>#DIV/0!</v>
      </c>
      <c r="E110" s="48">
        <f t="shared" si="21"/>
        <v>0</v>
      </c>
      <c r="F110" s="50">
        <f t="shared" si="22"/>
        <v>0</v>
      </c>
      <c r="G110" s="50">
        <f t="shared" si="28"/>
        <v>0</v>
      </c>
      <c r="H110" s="51" t="e">
        <f t="shared" si="23"/>
        <v>#DIV/0!</v>
      </c>
      <c r="I110" s="52" t="e">
        <f>IF(AND(C$7="Y",$B110&lt;=C$4),0,IF(AND(C$7="Y",$B110&gt;C$4),(1-U110)*C$2*D109/12,IF(AND($C$7="N",C$4&gt;0),(1-U110)*D109*C$2/12, (1-U110)*D109*C$2/12)))</f>
        <v>#DIV/0!</v>
      </c>
      <c r="J110" s="52" t="e">
        <f>IF(AND($B110&lt;=$C$4,C$7="Y"),0,IF(AND(C$7="N",C$4&gt;0,B110&lt;=C$4),0,H110-I110))</f>
        <v>#DIV/0!</v>
      </c>
      <c r="K110" s="51" t="e">
        <f>IF(AND(C$7="Y",$B110&lt;=$C$4),0,IF(AND(C$7="N",C$4&gt;0,B110&lt;=C$4),0,S110*(C110-J110)))</f>
        <v>#DIV/0!</v>
      </c>
      <c r="L110" s="49" t="e">
        <f>IF(AND(C$7="Y",$B110&lt;=$C$4),0,IF(AND(C$7="N",C$4&gt;0,B110&lt;=C$4),0,U110*D109))</f>
        <v>#DIV/0!</v>
      </c>
      <c r="M110" s="49">
        <f t="shared" si="30"/>
        <v>0</v>
      </c>
      <c r="N110" s="49">
        <f t="shared" si="29"/>
        <v>0</v>
      </c>
      <c r="O110" s="48" t="e">
        <f>K110+I110+J110-L110+N110+G110</f>
        <v>#DIV/0!</v>
      </c>
      <c r="P110" s="38" t="e">
        <f>O110*(1/((1+P$12)^(B110/12)))</f>
        <v>#DIV/0!</v>
      </c>
      <c r="Q110" s="53"/>
      <c r="R110" s="53">
        <f t="shared" si="24"/>
        <v>0.12</v>
      </c>
      <c r="S110" s="53">
        <f t="shared" si="25"/>
        <v>1.0596241035318976E-2</v>
      </c>
      <c r="T110" s="53">
        <f t="shared" si="26"/>
        <v>0.05</v>
      </c>
      <c r="U110" s="53">
        <f t="shared" si="27"/>
        <v>4.2653187775606449E-3</v>
      </c>
    </row>
    <row r="111" spans="1:21" x14ac:dyDescent="0.2">
      <c r="A111" s="62" t="e">
        <f t="shared" si="19"/>
        <v>#DIV/0!</v>
      </c>
      <c r="B111" s="45">
        <f t="shared" si="20"/>
        <v>97</v>
      </c>
      <c r="C111" s="51" t="e">
        <f>IF(B111&lt;C$4,C$1,D110-L111+N111)</f>
        <v>#DIV/0!</v>
      </c>
      <c r="D111" s="47" t="e" cm="1">
        <f t="array" ref="D111">_xlfn.IFS(AND($C$7="Y",B111&lt;C$4),C111,AND($C$7="Y",B111=C$4),D110+F111-J111-K111-L111+N111,AND($C$7="Y",B111&gt;$C$4),D110-J111-K111-L111+N111, TRUE, D110-J111-K111-L111+N111)</f>
        <v>#DIV/0!</v>
      </c>
      <c r="E111" s="48">
        <f t="shared" si="21"/>
        <v>0</v>
      </c>
      <c r="F111" s="50">
        <f t="shared" si="22"/>
        <v>0</v>
      </c>
      <c r="G111" s="50">
        <f t="shared" si="28"/>
        <v>0</v>
      </c>
      <c r="H111" s="51" t="e">
        <f t="shared" si="23"/>
        <v>#DIV/0!</v>
      </c>
      <c r="I111" s="52" t="e">
        <f>IF(AND(C$7="Y",$B111&lt;=C$4),0,IF(AND(C$7="Y",$B111&gt;C$4),(1-U111)*C$2*D110/12,IF(AND($C$7="N",C$4&gt;0),(1-U111)*D110*C$2/12, (1-U111)*D110*C$2/12)))</f>
        <v>#DIV/0!</v>
      </c>
      <c r="J111" s="52" t="e">
        <f>IF(AND($B111&lt;=$C$4,C$7="Y"),0,IF(AND(C$7="N",C$4&gt;0,B111&lt;=C$4),0,H111-I111))</f>
        <v>#DIV/0!</v>
      </c>
      <c r="K111" s="51" t="e">
        <f>IF(AND(C$7="Y",$B111&lt;=$C$4),0,IF(AND(C$7="N",C$4&gt;0,B111&lt;=C$4),0,S111*(C111-J111)))</f>
        <v>#DIV/0!</v>
      </c>
      <c r="L111" s="49" t="e">
        <f>IF(AND(C$7="Y",$B111&lt;=$C$4),0,IF(AND(C$7="N",C$4&gt;0,B111&lt;=C$4),0,U111*D110))</f>
        <v>#DIV/0!</v>
      </c>
      <c r="M111" s="49">
        <f t="shared" si="30"/>
        <v>0</v>
      </c>
      <c r="N111" s="49">
        <f t="shared" si="29"/>
        <v>0</v>
      </c>
      <c r="O111" s="48" t="e">
        <f>K111+I111+J111-L111+N111+G111</f>
        <v>#DIV/0!</v>
      </c>
      <c r="P111" s="38" t="e">
        <f>O111*(1/((1+P$12)^(B111/12)))</f>
        <v>#DIV/0!</v>
      </c>
      <c r="Q111" s="53"/>
      <c r="R111" s="53">
        <f t="shared" si="24"/>
        <v>0.12</v>
      </c>
      <c r="S111" s="53">
        <f t="shared" si="25"/>
        <v>1.0596241035318976E-2</v>
      </c>
      <c r="T111" s="53">
        <f t="shared" si="26"/>
        <v>0.05</v>
      </c>
      <c r="U111" s="53">
        <f t="shared" si="27"/>
        <v>4.2653187775606449E-3</v>
      </c>
    </row>
    <row r="112" spans="1:21" x14ac:dyDescent="0.2">
      <c r="A112" s="62" t="e">
        <f t="shared" si="19"/>
        <v>#DIV/0!</v>
      </c>
      <c r="B112" s="45">
        <f t="shared" si="20"/>
        <v>98</v>
      </c>
      <c r="C112" s="51" t="e">
        <f>IF(B112&lt;C$4,C$1,D111-L112+N112)</f>
        <v>#DIV/0!</v>
      </c>
      <c r="D112" s="47" t="e" cm="1">
        <f t="array" ref="D112">_xlfn.IFS(AND($C$7="Y",B112&lt;C$4),C112,AND($C$7="Y",B112=C$4),D111+F112-J112-K112-L112+N112,AND($C$7="Y",B112&gt;$C$4),D111-J112-K112-L112+N112, TRUE, D111-J112-K112-L112+N112)</f>
        <v>#DIV/0!</v>
      </c>
      <c r="E112" s="48">
        <f t="shared" si="21"/>
        <v>0</v>
      </c>
      <c r="F112" s="50">
        <f t="shared" si="22"/>
        <v>0</v>
      </c>
      <c r="G112" s="50">
        <f t="shared" si="28"/>
        <v>0</v>
      </c>
      <c r="H112" s="51" t="e">
        <f t="shared" si="23"/>
        <v>#DIV/0!</v>
      </c>
      <c r="I112" s="52" t="e">
        <f>IF(AND(C$7="Y",$B112&lt;=C$4),0,IF(AND(C$7="Y",$B112&gt;C$4),(1-U112)*C$2*D111/12,IF(AND($C$7="N",C$4&gt;0),(1-U112)*D111*C$2/12, (1-U112)*D111*C$2/12)))</f>
        <v>#DIV/0!</v>
      </c>
      <c r="J112" s="52" t="e">
        <f>IF(AND($B112&lt;=$C$4,C$7="Y"),0,IF(AND(C$7="N",C$4&gt;0,B112&lt;=C$4),0,H112-I112))</f>
        <v>#DIV/0!</v>
      </c>
      <c r="K112" s="51" t="e">
        <f>IF(AND(C$7="Y",$B112&lt;=$C$4),0,IF(AND(C$7="N",C$4&gt;0,B112&lt;=C$4),0,S112*(C112-J112)))</f>
        <v>#DIV/0!</v>
      </c>
      <c r="L112" s="49" t="e">
        <f>IF(AND(C$7="Y",$B112&lt;=$C$4),0,IF(AND(C$7="N",C$4&gt;0,B112&lt;=C$4),0,U112*D111))</f>
        <v>#DIV/0!</v>
      </c>
      <c r="M112" s="49">
        <f t="shared" si="30"/>
        <v>0</v>
      </c>
      <c r="N112" s="49">
        <f t="shared" si="29"/>
        <v>0</v>
      </c>
      <c r="O112" s="48" t="e">
        <f>K112+I112+J112-L112+N112+G112</f>
        <v>#DIV/0!</v>
      </c>
      <c r="P112" s="38" t="e">
        <f>O112*(1/((1+P$12)^(B112/12)))</f>
        <v>#DIV/0!</v>
      </c>
      <c r="Q112" s="53"/>
      <c r="R112" s="53">
        <f t="shared" si="24"/>
        <v>0.12</v>
      </c>
      <c r="S112" s="53">
        <f t="shared" si="25"/>
        <v>1.0596241035318976E-2</v>
      </c>
      <c r="T112" s="53">
        <f t="shared" si="26"/>
        <v>0.05</v>
      </c>
      <c r="U112" s="53">
        <f t="shared" si="27"/>
        <v>4.2653187775606449E-3</v>
      </c>
    </row>
    <row r="113" spans="1:21" x14ac:dyDescent="0.2">
      <c r="A113" s="62" t="e">
        <f t="shared" si="19"/>
        <v>#DIV/0!</v>
      </c>
      <c r="B113" s="45">
        <f t="shared" si="20"/>
        <v>99</v>
      </c>
      <c r="C113" s="51" t="e">
        <f>IF(B113&lt;C$4,C$1,D112-L113+N113)</f>
        <v>#DIV/0!</v>
      </c>
      <c r="D113" s="47" t="e" cm="1">
        <f t="array" ref="D113">_xlfn.IFS(AND($C$7="Y",B113&lt;C$4),C113,AND($C$7="Y",B113=C$4),D112+F113-J113-K113-L113+N113,AND($C$7="Y",B113&gt;$C$4),D112-J113-K113-L113+N113, TRUE, D112-J113-K113-L113+N113)</f>
        <v>#DIV/0!</v>
      </c>
      <c r="E113" s="48">
        <f t="shared" si="21"/>
        <v>0</v>
      </c>
      <c r="F113" s="50">
        <f t="shared" si="22"/>
        <v>0</v>
      </c>
      <c r="G113" s="50">
        <f t="shared" si="28"/>
        <v>0</v>
      </c>
      <c r="H113" s="51" t="e">
        <f t="shared" si="23"/>
        <v>#DIV/0!</v>
      </c>
      <c r="I113" s="52" t="e">
        <f>IF(AND(C$7="Y",$B113&lt;=C$4),0,IF(AND(C$7="Y",$B113&gt;C$4),(1-U113)*C$2*D112/12,IF(AND($C$7="N",C$4&gt;0),(1-U113)*D112*C$2/12, (1-U113)*D112*C$2/12)))</f>
        <v>#DIV/0!</v>
      </c>
      <c r="J113" s="52" t="e">
        <f>IF(AND($B113&lt;=$C$4,C$7="Y"),0,IF(AND(C$7="N",C$4&gt;0,B113&lt;=C$4),0,H113-I113))</f>
        <v>#DIV/0!</v>
      </c>
      <c r="K113" s="51" t="e">
        <f>IF(AND(C$7="Y",$B113&lt;=$C$4),0,IF(AND(C$7="N",C$4&gt;0,B113&lt;=C$4),0,S113*(C113-J113)))</f>
        <v>#DIV/0!</v>
      </c>
      <c r="L113" s="49" t="e">
        <f>IF(AND(C$7="Y",$B113&lt;=$C$4),0,IF(AND(C$7="N",C$4&gt;0,B113&lt;=C$4),0,U113*D112))</f>
        <v>#DIV/0!</v>
      </c>
      <c r="M113" s="49">
        <f t="shared" si="30"/>
        <v>0</v>
      </c>
      <c r="N113" s="49">
        <f t="shared" si="29"/>
        <v>0</v>
      </c>
      <c r="O113" s="48" t="e">
        <f>K113+I113+J113-L113+N113+G113</f>
        <v>#DIV/0!</v>
      </c>
      <c r="P113" s="38" t="e">
        <f>O113*(1/((1+P$12)^(B113/12)))</f>
        <v>#DIV/0!</v>
      </c>
      <c r="Q113" s="53"/>
      <c r="R113" s="53">
        <f t="shared" si="24"/>
        <v>0.12</v>
      </c>
      <c r="S113" s="53">
        <f t="shared" si="25"/>
        <v>1.0596241035318976E-2</v>
      </c>
      <c r="T113" s="53">
        <f t="shared" si="26"/>
        <v>0.05</v>
      </c>
      <c r="U113" s="53">
        <f t="shared" si="27"/>
        <v>4.2653187775606449E-3</v>
      </c>
    </row>
    <row r="114" spans="1:21" x14ac:dyDescent="0.2">
      <c r="A114" s="62" t="e">
        <f t="shared" si="19"/>
        <v>#DIV/0!</v>
      </c>
      <c r="B114" s="45">
        <f t="shared" si="20"/>
        <v>100</v>
      </c>
      <c r="C114" s="51" t="e">
        <f>IF(B114&lt;C$4,C$1,D113-L114+N114)</f>
        <v>#DIV/0!</v>
      </c>
      <c r="D114" s="47" t="e" cm="1">
        <f t="array" ref="D114">_xlfn.IFS(AND($C$7="Y",B114&lt;C$4),C114,AND($C$7="Y",B114=C$4),D113+F114-J114-K114-L114+N114,AND($C$7="Y",B114&gt;$C$4),D113-J114-K114-L114+N114, TRUE, D113-J114-K114-L114+N114)</f>
        <v>#DIV/0!</v>
      </c>
      <c r="E114" s="48">
        <f t="shared" si="21"/>
        <v>0</v>
      </c>
      <c r="F114" s="50">
        <f t="shared" si="22"/>
        <v>0</v>
      </c>
      <c r="G114" s="50">
        <f t="shared" si="28"/>
        <v>0</v>
      </c>
      <c r="H114" s="51" t="e">
        <f t="shared" si="23"/>
        <v>#DIV/0!</v>
      </c>
      <c r="I114" s="52" t="e">
        <f>IF(AND(C$7="Y",$B114&lt;=C$4),0,IF(AND(C$7="Y",$B114&gt;C$4),(1-U114)*C$2*D113/12,IF(AND($C$7="N",C$4&gt;0),(1-U114)*D113*C$2/12, (1-U114)*D113*C$2/12)))</f>
        <v>#DIV/0!</v>
      </c>
      <c r="J114" s="52" t="e">
        <f>IF(AND($B114&lt;=$C$4,C$7="Y"),0,IF(AND(C$7="N",C$4&gt;0,B114&lt;=C$4),0,H114-I114))</f>
        <v>#DIV/0!</v>
      </c>
      <c r="K114" s="51" t="e">
        <f>IF(AND(C$7="Y",$B114&lt;=$C$4),0,IF(AND(C$7="N",C$4&gt;0,B114&lt;=C$4),0,S114*(C114-J114)))</f>
        <v>#DIV/0!</v>
      </c>
      <c r="L114" s="49" t="e">
        <f>IF(AND(C$7="Y",$B114&lt;=$C$4),0,IF(AND(C$7="N",C$4&gt;0,B114&lt;=C$4),0,U114*D113))</f>
        <v>#DIV/0!</v>
      </c>
      <c r="M114" s="49">
        <f t="shared" si="30"/>
        <v>0</v>
      </c>
      <c r="N114" s="49">
        <f t="shared" si="29"/>
        <v>0</v>
      </c>
      <c r="O114" s="48" t="e">
        <f>K114+I114+J114-L114+N114+G114</f>
        <v>#DIV/0!</v>
      </c>
      <c r="P114" s="38" t="e">
        <f>O114*(1/((1+P$12)^(B114/12)))</f>
        <v>#DIV/0!</v>
      </c>
      <c r="Q114" s="53"/>
      <c r="R114" s="53">
        <f t="shared" si="24"/>
        <v>0.12</v>
      </c>
      <c r="S114" s="53">
        <f t="shared" si="25"/>
        <v>1.0596241035318976E-2</v>
      </c>
      <c r="T114" s="53">
        <f t="shared" si="26"/>
        <v>0.05</v>
      </c>
      <c r="U114" s="53">
        <f t="shared" si="27"/>
        <v>4.2653187775606449E-3</v>
      </c>
    </row>
    <row r="115" spans="1:21" x14ac:dyDescent="0.2">
      <c r="A115" s="62" t="e">
        <f t="shared" si="19"/>
        <v>#DIV/0!</v>
      </c>
      <c r="B115" s="45">
        <f t="shared" si="20"/>
        <v>101</v>
      </c>
      <c r="C115" s="51" t="e">
        <f>IF(B115&lt;C$4,C$1,D114-L115+N115)</f>
        <v>#DIV/0!</v>
      </c>
      <c r="D115" s="47" t="e" cm="1">
        <f t="array" ref="D115">_xlfn.IFS(AND($C$7="Y",B115&lt;C$4),C115,AND($C$7="Y",B115=C$4),D114+F115-J115-K115-L115+N115,AND($C$7="Y",B115&gt;$C$4),D114-J115-K115-L115+N115, TRUE, D114-J115-K115-L115+N115)</f>
        <v>#DIV/0!</v>
      </c>
      <c r="E115" s="48">
        <f t="shared" si="21"/>
        <v>0</v>
      </c>
      <c r="F115" s="50">
        <f t="shared" si="22"/>
        <v>0</v>
      </c>
      <c r="G115" s="50">
        <f t="shared" si="28"/>
        <v>0</v>
      </c>
      <c r="H115" s="51" t="e">
        <f t="shared" si="23"/>
        <v>#DIV/0!</v>
      </c>
      <c r="I115" s="52" t="e">
        <f>IF(AND(C$7="Y",$B115&lt;=C$4),0,IF(AND(C$7="Y",$B115&gt;C$4),(1-U115)*C$2*D114/12,IF(AND($C$7="N",C$4&gt;0),(1-U115)*D114*C$2/12, (1-U115)*D114*C$2/12)))</f>
        <v>#DIV/0!</v>
      </c>
      <c r="J115" s="52" t="e">
        <f>IF(AND($B115&lt;=$C$4,C$7="Y"),0,IF(AND(C$7="N",C$4&gt;0,B115&lt;=C$4),0,H115-I115))</f>
        <v>#DIV/0!</v>
      </c>
      <c r="K115" s="51" t="e">
        <f>IF(AND(C$7="Y",$B115&lt;=$C$4),0,IF(AND(C$7="N",C$4&gt;0,B115&lt;=C$4),0,S115*(C115-J115)))</f>
        <v>#DIV/0!</v>
      </c>
      <c r="L115" s="49" t="e">
        <f>IF(AND(C$7="Y",$B115&lt;=$C$4),0,IF(AND(C$7="N",C$4&gt;0,B115&lt;=C$4),0,U115*D114))</f>
        <v>#DIV/0!</v>
      </c>
      <c r="M115" s="49">
        <f t="shared" si="30"/>
        <v>0</v>
      </c>
      <c r="N115" s="49">
        <f t="shared" si="29"/>
        <v>0</v>
      </c>
      <c r="O115" s="48" t="e">
        <f>K115+I115+J115-L115+N115+G115</f>
        <v>#DIV/0!</v>
      </c>
      <c r="P115" s="38" t="e">
        <f>O115*(1/((1+P$12)^(B115/12)))</f>
        <v>#DIV/0!</v>
      </c>
      <c r="Q115" s="53"/>
      <c r="R115" s="53">
        <f t="shared" si="24"/>
        <v>0.12</v>
      </c>
      <c r="S115" s="53">
        <f t="shared" si="25"/>
        <v>1.0596241035318976E-2</v>
      </c>
      <c r="T115" s="53">
        <f t="shared" si="26"/>
        <v>0.05</v>
      </c>
      <c r="U115" s="53">
        <f t="shared" si="27"/>
        <v>4.2653187775606449E-3</v>
      </c>
    </row>
    <row r="116" spans="1:21" x14ac:dyDescent="0.2">
      <c r="A116" s="62" t="e">
        <f t="shared" si="19"/>
        <v>#DIV/0!</v>
      </c>
      <c r="B116" s="45">
        <f t="shared" si="20"/>
        <v>102</v>
      </c>
      <c r="C116" s="51" t="e">
        <f>IF(B116&lt;C$4,C$1,D115-L116+N116)</f>
        <v>#DIV/0!</v>
      </c>
      <c r="D116" s="47" t="e" cm="1">
        <f t="array" ref="D116">_xlfn.IFS(AND($C$7="Y",B116&lt;C$4),C116,AND($C$7="Y",B116=C$4),D115+F116-J116-K116-L116+N116,AND($C$7="Y",B116&gt;$C$4),D115-J116-K116-L116+N116, TRUE, D115-J116-K116-L116+N116)</f>
        <v>#DIV/0!</v>
      </c>
      <c r="E116" s="48">
        <f t="shared" si="21"/>
        <v>0</v>
      </c>
      <c r="F116" s="50">
        <f t="shared" si="22"/>
        <v>0</v>
      </c>
      <c r="G116" s="50">
        <f t="shared" si="28"/>
        <v>0</v>
      </c>
      <c r="H116" s="51" t="e">
        <f t="shared" si="23"/>
        <v>#DIV/0!</v>
      </c>
      <c r="I116" s="52" t="e">
        <f>IF(AND(C$7="Y",$B116&lt;=C$4),0,IF(AND(C$7="Y",$B116&gt;C$4),(1-U116)*C$2*D115/12,IF(AND($C$7="N",C$4&gt;0),(1-U116)*D115*C$2/12, (1-U116)*D115*C$2/12)))</f>
        <v>#DIV/0!</v>
      </c>
      <c r="J116" s="52" t="e">
        <f>IF(AND($B116&lt;=$C$4,C$7="Y"),0,IF(AND(C$7="N",C$4&gt;0,B116&lt;=C$4),0,H116-I116))</f>
        <v>#DIV/0!</v>
      </c>
      <c r="K116" s="51" t="e">
        <f>IF(AND(C$7="Y",$B116&lt;=$C$4),0,IF(AND(C$7="N",C$4&gt;0,B116&lt;=C$4),0,S116*(C116-J116)))</f>
        <v>#DIV/0!</v>
      </c>
      <c r="L116" s="49" t="e">
        <f>IF(AND(C$7="Y",$B116&lt;=$C$4),0,IF(AND(C$7="N",C$4&gt;0,B116&lt;=C$4),0,U116*D115))</f>
        <v>#DIV/0!</v>
      </c>
      <c r="M116" s="49">
        <f t="shared" si="30"/>
        <v>0</v>
      </c>
      <c r="N116" s="49">
        <f t="shared" si="29"/>
        <v>0</v>
      </c>
      <c r="O116" s="48" t="e">
        <f>K116+I116+J116-L116+N116+G116</f>
        <v>#DIV/0!</v>
      </c>
      <c r="P116" s="38" t="e">
        <f>O116*(1/((1+P$12)^(B116/12)))</f>
        <v>#DIV/0!</v>
      </c>
      <c r="Q116" s="53"/>
      <c r="R116" s="53">
        <f t="shared" si="24"/>
        <v>0.12</v>
      </c>
      <c r="S116" s="53">
        <f t="shared" si="25"/>
        <v>1.0596241035318976E-2</v>
      </c>
      <c r="T116" s="53">
        <f t="shared" si="26"/>
        <v>0.05</v>
      </c>
      <c r="U116" s="53">
        <f t="shared" si="27"/>
        <v>4.2653187775606449E-3</v>
      </c>
    </row>
    <row r="117" spans="1:21" x14ac:dyDescent="0.2">
      <c r="A117" s="62" t="e">
        <f t="shared" si="19"/>
        <v>#DIV/0!</v>
      </c>
      <c r="B117" s="45">
        <f t="shared" si="20"/>
        <v>103</v>
      </c>
      <c r="C117" s="51" t="e">
        <f>IF(B117&lt;C$4,C$1,D116-L117+N117)</f>
        <v>#DIV/0!</v>
      </c>
      <c r="D117" s="47" t="e" cm="1">
        <f t="array" ref="D117">_xlfn.IFS(AND($C$7="Y",B117&lt;C$4),C117,AND($C$7="Y",B117=C$4),D116+F117-J117-K117-L117+N117,AND($C$7="Y",B117&gt;$C$4),D116-J117-K117-L117+N117, TRUE, D116-J117-K117-L117+N117)</f>
        <v>#DIV/0!</v>
      </c>
      <c r="E117" s="48">
        <f t="shared" si="21"/>
        <v>0</v>
      </c>
      <c r="F117" s="50">
        <f t="shared" si="22"/>
        <v>0</v>
      </c>
      <c r="G117" s="50">
        <f t="shared" si="28"/>
        <v>0</v>
      </c>
      <c r="H117" s="51" t="e">
        <f t="shared" si="23"/>
        <v>#DIV/0!</v>
      </c>
      <c r="I117" s="52" t="e">
        <f>IF(AND(C$7="Y",$B117&lt;=C$4),0,IF(AND(C$7="Y",$B117&gt;C$4),(1-U117)*C$2*D116/12,IF(AND($C$7="N",C$4&gt;0),(1-U117)*D116*C$2/12, (1-U117)*D116*C$2/12)))</f>
        <v>#DIV/0!</v>
      </c>
      <c r="J117" s="52" t="e">
        <f>IF(AND($B117&lt;=$C$4,C$7="Y"),0,IF(AND(C$7="N",C$4&gt;0,B117&lt;=C$4),0,H117-I117))</f>
        <v>#DIV/0!</v>
      </c>
      <c r="K117" s="51" t="e">
        <f>IF(AND(C$7="Y",$B117&lt;=$C$4),0,IF(AND(C$7="N",C$4&gt;0,B117&lt;=C$4),0,S117*(C117-J117)))</f>
        <v>#DIV/0!</v>
      </c>
      <c r="L117" s="49" t="e">
        <f>IF(AND(C$7="Y",$B117&lt;=$C$4),0,IF(AND(C$7="N",C$4&gt;0,B117&lt;=C$4),0,U117*D116))</f>
        <v>#DIV/0!</v>
      </c>
      <c r="M117" s="49">
        <f t="shared" si="30"/>
        <v>0</v>
      </c>
      <c r="N117" s="49">
        <f t="shared" si="29"/>
        <v>0</v>
      </c>
      <c r="O117" s="48" t="e">
        <f>K117+I117+J117-L117+N117+G117</f>
        <v>#DIV/0!</v>
      </c>
      <c r="P117" s="38" t="e">
        <f>O117*(1/((1+P$12)^(B117/12)))</f>
        <v>#DIV/0!</v>
      </c>
      <c r="Q117" s="53"/>
      <c r="R117" s="53">
        <f t="shared" si="24"/>
        <v>0.12</v>
      </c>
      <c r="S117" s="53">
        <f t="shared" si="25"/>
        <v>1.0596241035318976E-2</v>
      </c>
      <c r="T117" s="53">
        <f t="shared" si="26"/>
        <v>0.05</v>
      </c>
      <c r="U117" s="53">
        <f t="shared" si="27"/>
        <v>4.2653187775606449E-3</v>
      </c>
    </row>
    <row r="118" spans="1:21" x14ac:dyDescent="0.2">
      <c r="A118" s="62" t="e">
        <f t="shared" si="19"/>
        <v>#DIV/0!</v>
      </c>
      <c r="B118" s="45">
        <f t="shared" si="20"/>
        <v>104</v>
      </c>
      <c r="C118" s="51" t="e">
        <f>IF(B118&lt;C$4,C$1,D117-L118+N118)</f>
        <v>#DIV/0!</v>
      </c>
      <c r="D118" s="47" t="e" cm="1">
        <f t="array" ref="D118">_xlfn.IFS(AND($C$7="Y",B118&lt;C$4),C118,AND($C$7="Y",B118=C$4),D117+F118-J118-K118-L118+N118,AND($C$7="Y",B118&gt;$C$4),D117-J118-K118-L118+N118, TRUE, D117-J118-K118-L118+N118)</f>
        <v>#DIV/0!</v>
      </c>
      <c r="E118" s="48">
        <f t="shared" si="21"/>
        <v>0</v>
      </c>
      <c r="F118" s="50">
        <f t="shared" si="22"/>
        <v>0</v>
      </c>
      <c r="G118" s="50">
        <f t="shared" si="28"/>
        <v>0</v>
      </c>
      <c r="H118" s="51" t="e">
        <f t="shared" si="23"/>
        <v>#DIV/0!</v>
      </c>
      <c r="I118" s="52" t="e">
        <f>IF(AND(C$7="Y",$B118&lt;=C$4),0,IF(AND(C$7="Y",$B118&gt;C$4),(1-U118)*C$2*D117/12,IF(AND($C$7="N",C$4&gt;0),(1-U118)*D117*C$2/12, (1-U118)*D117*C$2/12)))</f>
        <v>#DIV/0!</v>
      </c>
      <c r="J118" s="52" t="e">
        <f>IF(AND($B118&lt;=$C$4,C$7="Y"),0,IF(AND(C$7="N",C$4&gt;0,B118&lt;=C$4),0,H118-I118))</f>
        <v>#DIV/0!</v>
      </c>
      <c r="K118" s="51" t="e">
        <f>IF(AND(C$7="Y",$B118&lt;=$C$4),0,IF(AND(C$7="N",C$4&gt;0,B118&lt;=C$4),0,S118*(C118-J118)))</f>
        <v>#DIV/0!</v>
      </c>
      <c r="L118" s="49" t="e">
        <f>IF(AND(C$7="Y",$B118&lt;=$C$4),0,IF(AND(C$7="N",C$4&gt;0,B118&lt;=C$4),0,U118*D117))</f>
        <v>#DIV/0!</v>
      </c>
      <c r="M118" s="49">
        <f t="shared" si="30"/>
        <v>0</v>
      </c>
      <c r="N118" s="49">
        <f t="shared" si="29"/>
        <v>0</v>
      </c>
      <c r="O118" s="48" t="e">
        <f>K118+I118+J118-L118+N118+G118</f>
        <v>#DIV/0!</v>
      </c>
      <c r="P118" s="38" t="e">
        <f>O118*(1/((1+P$12)^(B118/12)))</f>
        <v>#DIV/0!</v>
      </c>
      <c r="Q118" s="53"/>
      <c r="R118" s="53">
        <f t="shared" si="24"/>
        <v>0.12</v>
      </c>
      <c r="S118" s="53">
        <f t="shared" si="25"/>
        <v>1.0596241035318976E-2</v>
      </c>
      <c r="T118" s="53">
        <f t="shared" si="26"/>
        <v>0.05</v>
      </c>
      <c r="U118" s="53">
        <f t="shared" si="27"/>
        <v>4.2653187775606449E-3</v>
      </c>
    </row>
    <row r="119" spans="1:21" x14ac:dyDescent="0.2">
      <c r="A119" s="62" t="e">
        <f t="shared" si="19"/>
        <v>#DIV/0!</v>
      </c>
      <c r="B119" s="45">
        <f t="shared" si="20"/>
        <v>105</v>
      </c>
      <c r="C119" s="51" t="e">
        <f>IF(B119&lt;C$4,C$1,D118-L119+N119)</f>
        <v>#DIV/0!</v>
      </c>
      <c r="D119" s="47" t="e" cm="1">
        <f t="array" ref="D119">_xlfn.IFS(AND($C$7="Y",B119&lt;C$4),C119,AND($C$7="Y",B119=C$4),D118+F119-J119-K119-L119+N119,AND($C$7="Y",B119&gt;$C$4),D118-J119-K119-L119+N119, TRUE, D118-J119-K119-L119+N119)</f>
        <v>#DIV/0!</v>
      </c>
      <c r="E119" s="48">
        <f t="shared" si="21"/>
        <v>0</v>
      </c>
      <c r="F119" s="50">
        <f t="shared" si="22"/>
        <v>0</v>
      </c>
      <c r="G119" s="50">
        <f t="shared" si="28"/>
        <v>0</v>
      </c>
      <c r="H119" s="51" t="e">
        <f t="shared" si="23"/>
        <v>#DIV/0!</v>
      </c>
      <c r="I119" s="52" t="e">
        <f>IF(AND(C$7="Y",$B119&lt;=C$4),0,IF(AND(C$7="Y",$B119&gt;C$4),(1-U119)*C$2*D118/12,IF(AND($C$7="N",C$4&gt;0),(1-U119)*D118*C$2/12, (1-U119)*D118*C$2/12)))</f>
        <v>#DIV/0!</v>
      </c>
      <c r="J119" s="52" t="e">
        <f>IF(AND($B119&lt;=$C$4,C$7="Y"),0,IF(AND(C$7="N",C$4&gt;0,B119&lt;=C$4),0,H119-I119))</f>
        <v>#DIV/0!</v>
      </c>
      <c r="K119" s="51" t="e">
        <f>IF(AND(C$7="Y",$B119&lt;=$C$4),0,IF(AND(C$7="N",C$4&gt;0,B119&lt;=C$4),0,S119*(C119-J119)))</f>
        <v>#DIV/0!</v>
      </c>
      <c r="L119" s="49" t="e">
        <f>IF(AND(C$7="Y",$B119&lt;=$C$4),0,IF(AND(C$7="N",C$4&gt;0,B119&lt;=C$4),0,U119*D118))</f>
        <v>#DIV/0!</v>
      </c>
      <c r="M119" s="49">
        <f t="shared" si="30"/>
        <v>0</v>
      </c>
      <c r="N119" s="49">
        <f t="shared" si="29"/>
        <v>0</v>
      </c>
      <c r="O119" s="48" t="e">
        <f>K119+I119+J119-L119+N119+G119</f>
        <v>#DIV/0!</v>
      </c>
      <c r="P119" s="38" t="e">
        <f>O119*(1/((1+P$12)^(B119/12)))</f>
        <v>#DIV/0!</v>
      </c>
      <c r="Q119" s="53"/>
      <c r="R119" s="53">
        <f t="shared" si="24"/>
        <v>0.12</v>
      </c>
      <c r="S119" s="53">
        <f t="shared" si="25"/>
        <v>1.0596241035318976E-2</v>
      </c>
      <c r="T119" s="53">
        <f t="shared" si="26"/>
        <v>0.05</v>
      </c>
      <c r="U119" s="53">
        <f t="shared" si="27"/>
        <v>4.2653187775606449E-3</v>
      </c>
    </row>
    <row r="120" spans="1:21" x14ac:dyDescent="0.2">
      <c r="A120" s="62" t="e">
        <f t="shared" si="19"/>
        <v>#DIV/0!</v>
      </c>
      <c r="B120" s="45">
        <f t="shared" si="20"/>
        <v>106</v>
      </c>
      <c r="C120" s="51" t="e">
        <f>IF(B120&lt;C$4,C$1,D119-L120+N120)</f>
        <v>#DIV/0!</v>
      </c>
      <c r="D120" s="47" t="e" cm="1">
        <f t="array" ref="D120">_xlfn.IFS(AND($C$7="Y",B120&lt;C$4),C120,AND($C$7="Y",B120=C$4),D119+F120-J120-K120-L120+N120,AND($C$7="Y",B120&gt;$C$4),D119-J120-K120-L120+N120, TRUE, D119-J120-K120-L120+N120)</f>
        <v>#DIV/0!</v>
      </c>
      <c r="E120" s="48">
        <f t="shared" si="21"/>
        <v>0</v>
      </c>
      <c r="F120" s="50">
        <f t="shared" si="22"/>
        <v>0</v>
      </c>
      <c r="G120" s="50">
        <f t="shared" si="28"/>
        <v>0</v>
      </c>
      <c r="H120" s="51" t="e">
        <f t="shared" si="23"/>
        <v>#DIV/0!</v>
      </c>
      <c r="I120" s="52" t="e">
        <f>IF(AND(C$7="Y",$B120&lt;=C$4),0,IF(AND(C$7="Y",$B120&gt;C$4),(1-U120)*C$2*D119/12,IF(AND($C$7="N",C$4&gt;0),(1-U120)*D119*C$2/12, (1-U120)*D119*C$2/12)))</f>
        <v>#DIV/0!</v>
      </c>
      <c r="J120" s="52" t="e">
        <f>IF(AND($B120&lt;=$C$4,C$7="Y"),0,IF(AND(C$7="N",C$4&gt;0,B120&lt;=C$4),0,H120-I120))</f>
        <v>#DIV/0!</v>
      </c>
      <c r="K120" s="51" t="e">
        <f>IF(AND(C$7="Y",$B120&lt;=$C$4),0,IF(AND(C$7="N",C$4&gt;0,B120&lt;=C$4),0,S120*(C120-J120)))</f>
        <v>#DIV/0!</v>
      </c>
      <c r="L120" s="49" t="e">
        <f>IF(AND(C$7="Y",$B120&lt;=$C$4),0,IF(AND(C$7="N",C$4&gt;0,B120&lt;=C$4),0,U120*D119))</f>
        <v>#DIV/0!</v>
      </c>
      <c r="M120" s="49">
        <f t="shared" si="30"/>
        <v>0</v>
      </c>
      <c r="N120" s="49">
        <f t="shared" si="29"/>
        <v>0</v>
      </c>
      <c r="O120" s="48" t="e">
        <f>K120+I120+J120-L120+N120+G120</f>
        <v>#DIV/0!</v>
      </c>
      <c r="P120" s="38" t="e">
        <f>O120*(1/((1+P$12)^(B120/12)))</f>
        <v>#DIV/0!</v>
      </c>
      <c r="Q120" s="53"/>
      <c r="R120" s="53">
        <f t="shared" si="24"/>
        <v>0.12</v>
      </c>
      <c r="S120" s="53">
        <f t="shared" si="25"/>
        <v>1.0596241035318976E-2</v>
      </c>
      <c r="T120" s="53">
        <f t="shared" si="26"/>
        <v>0.05</v>
      </c>
      <c r="U120" s="53">
        <f t="shared" si="27"/>
        <v>4.2653187775606449E-3</v>
      </c>
    </row>
    <row r="121" spans="1:21" x14ac:dyDescent="0.2">
      <c r="A121" s="62" t="e">
        <f t="shared" si="19"/>
        <v>#DIV/0!</v>
      </c>
      <c r="B121" s="45">
        <f t="shared" si="20"/>
        <v>107</v>
      </c>
      <c r="C121" s="51" t="e">
        <f>IF(B121&lt;C$4,C$1,D120-L121+N121)</f>
        <v>#DIV/0!</v>
      </c>
      <c r="D121" s="47" t="e" cm="1">
        <f t="array" ref="D121">_xlfn.IFS(AND($C$7="Y",B121&lt;C$4),C121,AND($C$7="Y",B121=C$4),D120+F121-J121-K121-L121+N121,AND($C$7="Y",B121&gt;$C$4),D120-J121-K121-L121+N121, TRUE, D120-J121-K121-L121+N121)</f>
        <v>#DIV/0!</v>
      </c>
      <c r="E121" s="48">
        <f t="shared" si="21"/>
        <v>0</v>
      </c>
      <c r="F121" s="50">
        <f t="shared" si="22"/>
        <v>0</v>
      </c>
      <c r="G121" s="50">
        <f t="shared" si="28"/>
        <v>0</v>
      </c>
      <c r="H121" s="51" t="e">
        <f t="shared" si="23"/>
        <v>#DIV/0!</v>
      </c>
      <c r="I121" s="52" t="e">
        <f>IF(AND(C$7="Y",$B121&lt;=C$4),0,IF(AND(C$7="Y",$B121&gt;C$4),(1-U121)*C$2*D120/12,IF(AND($C$7="N",C$4&gt;0),(1-U121)*D120*C$2/12, (1-U121)*D120*C$2/12)))</f>
        <v>#DIV/0!</v>
      </c>
      <c r="J121" s="52" t="e">
        <f>IF(AND($B121&lt;=$C$4,C$7="Y"),0,IF(AND(C$7="N",C$4&gt;0,B121&lt;=C$4),0,H121-I121))</f>
        <v>#DIV/0!</v>
      </c>
      <c r="K121" s="51" t="e">
        <f>IF(AND(C$7="Y",$B121&lt;=$C$4),0,IF(AND(C$7="N",C$4&gt;0,B121&lt;=C$4),0,S121*(C121-J121)))</f>
        <v>#DIV/0!</v>
      </c>
      <c r="L121" s="49" t="e">
        <f>IF(AND(C$7="Y",$B121&lt;=$C$4),0,IF(AND(C$7="N",C$4&gt;0,B121&lt;=C$4),0,U121*D120))</f>
        <v>#DIV/0!</v>
      </c>
      <c r="M121" s="49">
        <f t="shared" si="30"/>
        <v>0</v>
      </c>
      <c r="N121" s="49">
        <f t="shared" si="29"/>
        <v>0</v>
      </c>
      <c r="O121" s="48" t="e">
        <f>K121+I121+J121-L121+N121+G121</f>
        <v>#DIV/0!</v>
      </c>
      <c r="P121" s="38" t="e">
        <f>O121*(1/((1+P$12)^(B121/12)))</f>
        <v>#DIV/0!</v>
      </c>
      <c r="Q121" s="53"/>
      <c r="R121" s="53">
        <f t="shared" si="24"/>
        <v>0.12</v>
      </c>
      <c r="S121" s="53">
        <f t="shared" si="25"/>
        <v>1.0596241035318976E-2</v>
      </c>
      <c r="T121" s="53">
        <f t="shared" si="26"/>
        <v>0.05</v>
      </c>
      <c r="U121" s="53">
        <f t="shared" si="27"/>
        <v>4.2653187775606449E-3</v>
      </c>
    </row>
    <row r="122" spans="1:21" x14ac:dyDescent="0.2">
      <c r="A122" s="62" t="e">
        <f t="shared" si="19"/>
        <v>#DIV/0!</v>
      </c>
      <c r="B122" s="45">
        <f t="shared" si="20"/>
        <v>108</v>
      </c>
      <c r="C122" s="51" t="e">
        <f>IF(B122&lt;C$4,C$1,D121-L122+N122)</f>
        <v>#DIV/0!</v>
      </c>
      <c r="D122" s="47" t="e" cm="1">
        <f t="array" ref="D122">_xlfn.IFS(AND($C$7="Y",B122&lt;C$4),C122,AND($C$7="Y",B122=C$4),D121+F122-J122-K122-L122+N122,AND($C$7="Y",B122&gt;$C$4),D121-J122-K122-L122+N122, TRUE, D121-J122-K122-L122+N122)</f>
        <v>#DIV/0!</v>
      </c>
      <c r="E122" s="48">
        <f t="shared" si="21"/>
        <v>0</v>
      </c>
      <c r="F122" s="50">
        <f t="shared" si="22"/>
        <v>0</v>
      </c>
      <c r="G122" s="50">
        <f t="shared" si="28"/>
        <v>0</v>
      </c>
      <c r="H122" s="51" t="e">
        <f t="shared" si="23"/>
        <v>#DIV/0!</v>
      </c>
      <c r="I122" s="52" t="e">
        <f>IF(AND(C$7="Y",$B122&lt;=C$4),0,IF(AND(C$7="Y",$B122&gt;C$4),(1-U122)*C$2*D121/12,IF(AND($C$7="N",C$4&gt;0),(1-U122)*D121*C$2/12, (1-U122)*D121*C$2/12)))</f>
        <v>#DIV/0!</v>
      </c>
      <c r="J122" s="52" t="e">
        <f>IF(AND($B122&lt;=$C$4,C$7="Y"),0,IF(AND(C$7="N",C$4&gt;0,B122&lt;=C$4),0,H122-I122))</f>
        <v>#DIV/0!</v>
      </c>
      <c r="K122" s="51" t="e">
        <f>IF(AND(C$7="Y",$B122&lt;=$C$4),0,IF(AND(C$7="N",C$4&gt;0,B122&lt;=C$4),0,S122*(C122-J122)))</f>
        <v>#DIV/0!</v>
      </c>
      <c r="L122" s="49" t="e">
        <f>IF(AND(C$7="Y",$B122&lt;=$C$4),0,IF(AND(C$7="N",C$4&gt;0,B122&lt;=C$4),0,U122*D121))</f>
        <v>#DIV/0!</v>
      </c>
      <c r="M122" s="49">
        <f t="shared" si="30"/>
        <v>0</v>
      </c>
      <c r="N122" s="49">
        <f t="shared" si="29"/>
        <v>0</v>
      </c>
      <c r="O122" s="48" t="e">
        <f>K122+I122+J122-L122+N122+G122</f>
        <v>#DIV/0!</v>
      </c>
      <c r="P122" s="38" t="e">
        <f>O122*(1/((1+P$12)^(B122/12)))</f>
        <v>#DIV/0!</v>
      </c>
      <c r="Q122" s="53"/>
      <c r="R122" s="53">
        <f t="shared" si="24"/>
        <v>0.12</v>
      </c>
      <c r="S122" s="53">
        <f t="shared" si="25"/>
        <v>1.0596241035318976E-2</v>
      </c>
      <c r="T122" s="53">
        <f t="shared" si="26"/>
        <v>0.05</v>
      </c>
      <c r="U122" s="53">
        <f t="shared" si="27"/>
        <v>4.2653187775606449E-3</v>
      </c>
    </row>
    <row r="123" spans="1:21" x14ac:dyDescent="0.2">
      <c r="A123" s="62" t="e">
        <f t="shared" si="19"/>
        <v>#DIV/0!</v>
      </c>
      <c r="B123" s="45">
        <f t="shared" si="20"/>
        <v>109</v>
      </c>
      <c r="C123" s="51" t="e">
        <f>IF(B123&lt;C$4,C$1,D122-L123+N123)</f>
        <v>#DIV/0!</v>
      </c>
      <c r="D123" s="47" t="e" cm="1">
        <f t="array" ref="D123">_xlfn.IFS(AND($C$7="Y",B123&lt;C$4),C123,AND($C$7="Y",B123=C$4),D122+F123-J123-K123-L123+N123,AND($C$7="Y",B123&gt;$C$4),D122-J123-K123-L123+N123, TRUE, D122-J123-K123-L123+N123)</f>
        <v>#DIV/0!</v>
      </c>
      <c r="E123" s="48">
        <f t="shared" si="21"/>
        <v>0</v>
      </c>
      <c r="F123" s="50">
        <f t="shared" si="22"/>
        <v>0</v>
      </c>
      <c r="G123" s="50">
        <f t="shared" si="28"/>
        <v>0</v>
      </c>
      <c r="H123" s="51" t="e">
        <f t="shared" si="23"/>
        <v>#DIV/0!</v>
      </c>
      <c r="I123" s="52" t="e">
        <f>IF(AND(C$7="Y",$B123&lt;=C$4),0,IF(AND(C$7="Y",$B123&gt;C$4),(1-U123)*C$2*D122/12,IF(AND($C$7="N",C$4&gt;0),(1-U123)*D122*C$2/12, (1-U123)*D122*C$2/12)))</f>
        <v>#DIV/0!</v>
      </c>
      <c r="J123" s="52" t="e">
        <f>IF(AND($B123&lt;=$C$4,C$7="Y"),0,IF(AND(C$7="N",C$4&gt;0,B123&lt;=C$4),0,H123-I123))</f>
        <v>#DIV/0!</v>
      </c>
      <c r="K123" s="51" t="e">
        <f>IF(AND(C$7="Y",$B123&lt;=$C$4),0,IF(AND(C$7="N",C$4&gt;0,B123&lt;=C$4),0,S123*(C123-J123)))</f>
        <v>#DIV/0!</v>
      </c>
      <c r="L123" s="49" t="e">
        <f>IF(AND(C$7="Y",$B123&lt;=$C$4),0,IF(AND(C$7="N",C$4&gt;0,B123&lt;=C$4),0,U123*D122))</f>
        <v>#DIV/0!</v>
      </c>
      <c r="M123" s="49">
        <f t="shared" si="30"/>
        <v>0</v>
      </c>
      <c r="N123" s="49">
        <f t="shared" si="29"/>
        <v>0</v>
      </c>
      <c r="O123" s="48" t="e">
        <f>K123+I123+J123-L123+N123+G123</f>
        <v>#DIV/0!</v>
      </c>
      <c r="P123" s="38" t="e">
        <f>O123*(1/((1+P$12)^(B123/12)))</f>
        <v>#DIV/0!</v>
      </c>
      <c r="Q123" s="53"/>
      <c r="R123" s="53">
        <f t="shared" si="24"/>
        <v>0.12</v>
      </c>
      <c r="S123" s="53">
        <f t="shared" si="25"/>
        <v>1.0596241035318976E-2</v>
      </c>
      <c r="T123" s="53">
        <f t="shared" si="26"/>
        <v>0.05</v>
      </c>
      <c r="U123" s="53">
        <f t="shared" si="27"/>
        <v>4.2653187775606449E-3</v>
      </c>
    </row>
    <row r="124" spans="1:21" x14ac:dyDescent="0.2">
      <c r="A124" s="62" t="e">
        <f t="shared" si="19"/>
        <v>#DIV/0!</v>
      </c>
      <c r="B124" s="45">
        <f t="shared" si="20"/>
        <v>110</v>
      </c>
      <c r="C124" s="51" t="e">
        <f>IF(B124&lt;C$4,C$1,D123-L124+N124)</f>
        <v>#DIV/0!</v>
      </c>
      <c r="D124" s="47" t="e" cm="1">
        <f t="array" ref="D124">_xlfn.IFS(AND($C$7="Y",B124&lt;C$4),C124,AND($C$7="Y",B124=C$4),D123+F124-J124-K124-L124+N124,AND($C$7="Y",B124&gt;$C$4),D123-J124-K124-L124+N124, TRUE, D123-J124-K124-L124+N124)</f>
        <v>#DIV/0!</v>
      </c>
      <c r="E124" s="48">
        <f t="shared" si="21"/>
        <v>0</v>
      </c>
      <c r="F124" s="50">
        <f t="shared" si="22"/>
        <v>0</v>
      </c>
      <c r="G124" s="50">
        <f t="shared" si="28"/>
        <v>0</v>
      </c>
      <c r="H124" s="51" t="e">
        <f t="shared" si="23"/>
        <v>#DIV/0!</v>
      </c>
      <c r="I124" s="52" t="e">
        <f>IF(AND(C$7="Y",$B124&lt;=C$4),0,IF(AND(C$7="Y",$B124&gt;C$4),(1-U124)*C$2*D123/12,IF(AND($C$7="N",C$4&gt;0),(1-U124)*D123*C$2/12, (1-U124)*D123*C$2/12)))</f>
        <v>#DIV/0!</v>
      </c>
      <c r="J124" s="52" t="e">
        <f>IF(AND($B124&lt;=$C$4,C$7="Y"),0,IF(AND(C$7="N",C$4&gt;0,B124&lt;=C$4),0,H124-I124))</f>
        <v>#DIV/0!</v>
      </c>
      <c r="K124" s="51" t="e">
        <f>IF(AND(C$7="Y",$B124&lt;=$C$4),0,IF(AND(C$7="N",C$4&gt;0,B124&lt;=C$4),0,S124*(C124-J124)))</f>
        <v>#DIV/0!</v>
      </c>
      <c r="L124" s="49" t="e">
        <f>IF(AND(C$7="Y",$B124&lt;=$C$4),0,IF(AND(C$7="N",C$4&gt;0,B124&lt;=C$4),0,U124*D123))</f>
        <v>#DIV/0!</v>
      </c>
      <c r="M124" s="49">
        <f t="shared" si="30"/>
        <v>0</v>
      </c>
      <c r="N124" s="49">
        <f t="shared" si="29"/>
        <v>0</v>
      </c>
      <c r="O124" s="48" t="e">
        <f>K124+I124+J124-L124+N124+G124</f>
        <v>#DIV/0!</v>
      </c>
      <c r="P124" s="38" t="e">
        <f>O124*(1/((1+P$12)^(B124/12)))</f>
        <v>#DIV/0!</v>
      </c>
      <c r="Q124" s="53"/>
      <c r="R124" s="53">
        <f t="shared" si="24"/>
        <v>0.12</v>
      </c>
      <c r="S124" s="53">
        <f t="shared" si="25"/>
        <v>1.0596241035318976E-2</v>
      </c>
      <c r="T124" s="53">
        <f t="shared" si="26"/>
        <v>0.05</v>
      </c>
      <c r="U124" s="53">
        <f t="shared" si="27"/>
        <v>4.2653187775606449E-3</v>
      </c>
    </row>
    <row r="125" spans="1:21" x14ac:dyDescent="0.2">
      <c r="A125" s="62" t="e">
        <f t="shared" si="19"/>
        <v>#DIV/0!</v>
      </c>
      <c r="B125" s="45">
        <f t="shared" si="20"/>
        <v>111</v>
      </c>
      <c r="C125" s="51" t="e">
        <f>IF(B125&lt;C$4,C$1,D124-L125+N125)</f>
        <v>#DIV/0!</v>
      </c>
      <c r="D125" s="47" t="e" cm="1">
        <f t="array" ref="D125">_xlfn.IFS(AND($C$7="Y",B125&lt;C$4),C125,AND($C$7="Y",B125=C$4),D124+F125-J125-K125-L125+N125,AND($C$7="Y",B125&gt;$C$4),D124-J125-K125-L125+N125, TRUE, D124-J125-K125-L125+N125)</f>
        <v>#DIV/0!</v>
      </c>
      <c r="E125" s="48">
        <f t="shared" si="21"/>
        <v>0</v>
      </c>
      <c r="F125" s="50">
        <f t="shared" si="22"/>
        <v>0</v>
      </c>
      <c r="G125" s="50">
        <f t="shared" si="28"/>
        <v>0</v>
      </c>
      <c r="H125" s="51" t="e">
        <f t="shared" si="23"/>
        <v>#DIV/0!</v>
      </c>
      <c r="I125" s="52" t="e">
        <f>IF(AND(C$7="Y",$B125&lt;=C$4),0,IF(AND(C$7="Y",$B125&gt;C$4),(1-U125)*C$2*D124/12,IF(AND($C$7="N",C$4&gt;0),(1-U125)*D124*C$2/12, (1-U125)*D124*C$2/12)))</f>
        <v>#DIV/0!</v>
      </c>
      <c r="J125" s="52" t="e">
        <f>IF(AND($B125&lt;=$C$4,C$7="Y"),0,IF(AND(C$7="N",C$4&gt;0,B125&lt;=C$4),0,H125-I125))</f>
        <v>#DIV/0!</v>
      </c>
      <c r="K125" s="51" t="e">
        <f>IF(AND(C$7="Y",$B125&lt;=$C$4),0,IF(AND(C$7="N",C$4&gt;0,B125&lt;=C$4),0,S125*(C125-J125)))</f>
        <v>#DIV/0!</v>
      </c>
      <c r="L125" s="49" t="e">
        <f>IF(AND(C$7="Y",$B125&lt;=$C$4),0,IF(AND(C$7="N",C$4&gt;0,B125&lt;=C$4),0,U125*D124))</f>
        <v>#DIV/0!</v>
      </c>
      <c r="M125" s="49">
        <f t="shared" si="30"/>
        <v>0</v>
      </c>
      <c r="N125" s="49">
        <f t="shared" si="29"/>
        <v>0</v>
      </c>
      <c r="O125" s="48" t="e">
        <f>K125+I125+J125-L125+N125+G125</f>
        <v>#DIV/0!</v>
      </c>
      <c r="P125" s="38" t="e">
        <f>O125*(1/((1+P$12)^(B125/12)))</f>
        <v>#DIV/0!</v>
      </c>
      <c r="Q125" s="53"/>
      <c r="R125" s="53">
        <f t="shared" si="24"/>
        <v>0.12</v>
      </c>
      <c r="S125" s="53">
        <f t="shared" si="25"/>
        <v>1.0596241035318976E-2</v>
      </c>
      <c r="T125" s="53">
        <f t="shared" si="26"/>
        <v>0.05</v>
      </c>
      <c r="U125" s="53">
        <f t="shared" si="27"/>
        <v>4.2653187775606449E-3</v>
      </c>
    </row>
    <row r="126" spans="1:21" x14ac:dyDescent="0.2">
      <c r="A126" s="62" t="e">
        <f t="shared" si="19"/>
        <v>#DIV/0!</v>
      </c>
      <c r="B126" s="45">
        <f t="shared" si="20"/>
        <v>112</v>
      </c>
      <c r="C126" s="51" t="e">
        <f>IF(B126&lt;C$4,C$1,D125-L126+N126)</f>
        <v>#DIV/0!</v>
      </c>
      <c r="D126" s="47" t="e" cm="1">
        <f t="array" ref="D126">_xlfn.IFS(AND($C$7="Y",B126&lt;C$4),C126,AND($C$7="Y",B126=C$4),D125+F126-J126-K126-L126+N126,AND($C$7="Y",B126&gt;$C$4),D125-J126-K126-L126+N126, TRUE, D125-J126-K126-L126+N126)</f>
        <v>#DIV/0!</v>
      </c>
      <c r="E126" s="48">
        <f t="shared" si="21"/>
        <v>0</v>
      </c>
      <c r="F126" s="50">
        <f t="shared" si="22"/>
        <v>0</v>
      </c>
      <c r="G126" s="50">
        <f t="shared" si="28"/>
        <v>0</v>
      </c>
      <c r="H126" s="51" t="e">
        <f t="shared" si="23"/>
        <v>#DIV/0!</v>
      </c>
      <c r="I126" s="52" t="e">
        <f>IF(AND(C$7="Y",$B126&lt;=C$4),0,IF(AND(C$7="Y",$B126&gt;C$4),(1-U126)*C$2*D125/12,IF(AND($C$7="N",C$4&gt;0),(1-U126)*D125*C$2/12, (1-U126)*D125*C$2/12)))</f>
        <v>#DIV/0!</v>
      </c>
      <c r="J126" s="52" t="e">
        <f>IF(AND($B126&lt;=$C$4,C$7="Y"),0,IF(AND(C$7="N",C$4&gt;0,B126&lt;=C$4),0,H126-I126))</f>
        <v>#DIV/0!</v>
      </c>
      <c r="K126" s="51" t="e">
        <f>IF(AND(C$7="Y",$B126&lt;=$C$4),0,IF(AND(C$7="N",C$4&gt;0,B126&lt;=C$4),0,S126*(C126-J126)))</f>
        <v>#DIV/0!</v>
      </c>
      <c r="L126" s="49" t="e">
        <f>IF(AND(C$7="Y",$B126&lt;=$C$4),0,IF(AND(C$7="N",C$4&gt;0,B126&lt;=C$4),0,U126*D125))</f>
        <v>#DIV/0!</v>
      </c>
      <c r="M126" s="49">
        <f t="shared" si="30"/>
        <v>0</v>
      </c>
      <c r="N126" s="49">
        <f t="shared" si="29"/>
        <v>0</v>
      </c>
      <c r="O126" s="48" t="e">
        <f>K126+I126+J126-L126+N126+G126</f>
        <v>#DIV/0!</v>
      </c>
      <c r="P126" s="38" t="e">
        <f>O126*(1/((1+P$12)^(B126/12)))</f>
        <v>#DIV/0!</v>
      </c>
      <c r="Q126" s="53"/>
      <c r="R126" s="53">
        <f t="shared" si="24"/>
        <v>0.12</v>
      </c>
      <c r="S126" s="53">
        <f t="shared" si="25"/>
        <v>1.0596241035318976E-2</v>
      </c>
      <c r="T126" s="53">
        <f t="shared" si="26"/>
        <v>0.05</v>
      </c>
      <c r="U126" s="53">
        <f t="shared" si="27"/>
        <v>4.2653187775606449E-3</v>
      </c>
    </row>
    <row r="127" spans="1:21" x14ac:dyDescent="0.2">
      <c r="A127" s="62" t="e">
        <f t="shared" si="19"/>
        <v>#DIV/0!</v>
      </c>
      <c r="B127" s="45">
        <f t="shared" si="20"/>
        <v>113</v>
      </c>
      <c r="C127" s="51" t="e">
        <f>IF(B127&lt;C$4,C$1,D126-L127+N127)</f>
        <v>#DIV/0!</v>
      </c>
      <c r="D127" s="47" t="e" cm="1">
        <f t="array" ref="D127">_xlfn.IFS(AND($C$7="Y",B127&lt;C$4),C127,AND($C$7="Y",B127=C$4),D126+F127-J127-K127-L127+N127,AND($C$7="Y",B127&gt;$C$4),D126-J127-K127-L127+N127, TRUE, D126-J127-K127-L127+N127)</f>
        <v>#DIV/0!</v>
      </c>
      <c r="E127" s="48">
        <f t="shared" si="21"/>
        <v>0</v>
      </c>
      <c r="F127" s="50">
        <f t="shared" si="22"/>
        <v>0</v>
      </c>
      <c r="G127" s="50">
        <f t="shared" si="28"/>
        <v>0</v>
      </c>
      <c r="H127" s="51" t="e">
        <f t="shared" si="23"/>
        <v>#DIV/0!</v>
      </c>
      <c r="I127" s="52" t="e">
        <f>IF(AND(C$7="Y",$B127&lt;=C$4),0,IF(AND(C$7="Y",$B127&gt;C$4),(1-U127)*C$2*D126/12,IF(AND($C$7="N",C$4&gt;0),(1-U127)*D126*C$2/12, (1-U127)*D126*C$2/12)))</f>
        <v>#DIV/0!</v>
      </c>
      <c r="J127" s="52" t="e">
        <f>IF(AND($B127&lt;=$C$4,C$7="Y"),0,IF(AND(C$7="N",C$4&gt;0,B127&lt;=C$4),0,H127-I127))</f>
        <v>#DIV/0!</v>
      </c>
      <c r="K127" s="51" t="e">
        <f>IF(AND(C$7="Y",$B127&lt;=$C$4),0,IF(AND(C$7="N",C$4&gt;0,B127&lt;=C$4),0,S127*(C127-J127)))</f>
        <v>#DIV/0!</v>
      </c>
      <c r="L127" s="49" t="e">
        <f>IF(AND(C$7="Y",$B127&lt;=$C$4),0,IF(AND(C$7="N",C$4&gt;0,B127&lt;=C$4),0,U127*D126))</f>
        <v>#DIV/0!</v>
      </c>
      <c r="M127" s="49">
        <f t="shared" si="30"/>
        <v>0</v>
      </c>
      <c r="N127" s="49">
        <f t="shared" si="29"/>
        <v>0</v>
      </c>
      <c r="O127" s="48" t="e">
        <f>K127+I127+J127-L127+N127+G127</f>
        <v>#DIV/0!</v>
      </c>
      <c r="P127" s="38" t="e">
        <f>O127*(1/((1+P$12)^(B127/12)))</f>
        <v>#DIV/0!</v>
      </c>
      <c r="Q127" s="53"/>
      <c r="R127" s="53">
        <f t="shared" si="24"/>
        <v>0.12</v>
      </c>
      <c r="S127" s="53">
        <f t="shared" si="25"/>
        <v>1.0596241035318976E-2</v>
      </c>
      <c r="T127" s="53">
        <f t="shared" si="26"/>
        <v>0.05</v>
      </c>
      <c r="U127" s="53">
        <f t="shared" si="27"/>
        <v>4.2653187775606449E-3</v>
      </c>
    </row>
    <row r="128" spans="1:21" x14ac:dyDescent="0.2">
      <c r="A128" s="62" t="e">
        <f t="shared" si="19"/>
        <v>#DIV/0!</v>
      </c>
      <c r="B128" s="45">
        <f t="shared" si="20"/>
        <v>114</v>
      </c>
      <c r="C128" s="51" t="e">
        <f>IF(B128&lt;C$4,C$1,D127-L128+N128)</f>
        <v>#DIV/0!</v>
      </c>
      <c r="D128" s="47" t="e" cm="1">
        <f t="array" ref="D128">_xlfn.IFS(AND($C$7="Y",B128&lt;C$4),C128,AND($C$7="Y",B128=C$4),D127+F128-J128-K128-L128+N128,AND($C$7="Y",B128&gt;$C$4),D127-J128-K128-L128+N128, TRUE, D127-J128-K128-L128+N128)</f>
        <v>#DIV/0!</v>
      </c>
      <c r="E128" s="48">
        <f t="shared" si="21"/>
        <v>0</v>
      </c>
      <c r="F128" s="50">
        <f t="shared" si="22"/>
        <v>0</v>
      </c>
      <c r="G128" s="50">
        <f t="shared" si="28"/>
        <v>0</v>
      </c>
      <c r="H128" s="51" t="e">
        <f t="shared" si="23"/>
        <v>#DIV/0!</v>
      </c>
      <c r="I128" s="52" t="e">
        <f>IF(AND(C$7="Y",$B128&lt;=C$4),0,IF(AND(C$7="Y",$B128&gt;C$4),(1-U128)*C$2*D127/12,IF(AND($C$7="N",C$4&gt;0),(1-U128)*D127*C$2/12, (1-U128)*D127*C$2/12)))</f>
        <v>#DIV/0!</v>
      </c>
      <c r="J128" s="52" t="e">
        <f>IF(AND($B128&lt;=$C$4,C$7="Y"),0,IF(AND(C$7="N",C$4&gt;0,B128&lt;=C$4),0,H128-I128))</f>
        <v>#DIV/0!</v>
      </c>
      <c r="K128" s="51" t="e">
        <f>IF(AND(C$7="Y",$B128&lt;=$C$4),0,IF(AND(C$7="N",C$4&gt;0,B128&lt;=C$4),0,S128*(C128-J128)))</f>
        <v>#DIV/0!</v>
      </c>
      <c r="L128" s="49" t="e">
        <f>IF(AND(C$7="Y",$B128&lt;=$C$4),0,IF(AND(C$7="N",C$4&gt;0,B128&lt;=C$4),0,U128*D127))</f>
        <v>#DIV/0!</v>
      </c>
      <c r="M128" s="49">
        <f t="shared" si="30"/>
        <v>0</v>
      </c>
      <c r="N128" s="49">
        <f t="shared" si="29"/>
        <v>0</v>
      </c>
      <c r="O128" s="48" t="e">
        <f>K128+I128+J128-L128+N128+G128</f>
        <v>#DIV/0!</v>
      </c>
      <c r="P128" s="38" t="e">
        <f>O128*(1/((1+P$12)^(B128/12)))</f>
        <v>#DIV/0!</v>
      </c>
      <c r="Q128" s="53"/>
      <c r="R128" s="53">
        <f t="shared" si="24"/>
        <v>0.12</v>
      </c>
      <c r="S128" s="53">
        <f t="shared" si="25"/>
        <v>1.0596241035318976E-2</v>
      </c>
      <c r="T128" s="53">
        <f t="shared" si="26"/>
        <v>0.05</v>
      </c>
      <c r="U128" s="53">
        <f t="shared" si="27"/>
        <v>4.2653187775606449E-3</v>
      </c>
    </row>
    <row r="129" spans="1:21" x14ac:dyDescent="0.2">
      <c r="A129" s="62" t="e">
        <f t="shared" si="19"/>
        <v>#DIV/0!</v>
      </c>
      <c r="B129" s="45">
        <f t="shared" si="20"/>
        <v>115</v>
      </c>
      <c r="C129" s="51" t="e">
        <f>IF(B129&lt;C$4,C$1,D128-L129+N129)</f>
        <v>#DIV/0!</v>
      </c>
      <c r="D129" s="47" t="e" cm="1">
        <f t="array" ref="D129">_xlfn.IFS(AND($C$7="Y",B129&lt;C$4),C129,AND($C$7="Y",B129=C$4),D128+F129-J129-K129-L129+N129,AND($C$7="Y",B129&gt;$C$4),D128-J129-K129-L129+N129, TRUE, D128-J129-K129-L129+N129)</f>
        <v>#DIV/0!</v>
      </c>
      <c r="E129" s="48">
        <f t="shared" si="21"/>
        <v>0</v>
      </c>
      <c r="F129" s="50">
        <f t="shared" si="22"/>
        <v>0</v>
      </c>
      <c r="G129" s="50">
        <f t="shared" si="28"/>
        <v>0</v>
      </c>
      <c r="H129" s="51" t="e">
        <f t="shared" si="23"/>
        <v>#DIV/0!</v>
      </c>
      <c r="I129" s="52" t="e">
        <f>IF(AND(C$7="Y",$B129&lt;=C$4),0,IF(AND(C$7="Y",$B129&gt;C$4),(1-U129)*C$2*D128/12,IF(AND($C$7="N",C$4&gt;0),(1-U129)*D128*C$2/12, (1-U129)*D128*C$2/12)))</f>
        <v>#DIV/0!</v>
      </c>
      <c r="J129" s="52" t="e">
        <f>IF(AND($B129&lt;=$C$4,C$7="Y"),0,IF(AND(C$7="N",C$4&gt;0,B129&lt;=C$4),0,H129-I129))</f>
        <v>#DIV/0!</v>
      </c>
      <c r="K129" s="51" t="e">
        <f>IF(AND(C$7="Y",$B129&lt;=$C$4),0,IF(AND(C$7="N",C$4&gt;0,B129&lt;=C$4),0,S129*(C129-J129)))</f>
        <v>#DIV/0!</v>
      </c>
      <c r="L129" s="49" t="e">
        <f>IF(AND(C$7="Y",$B129&lt;=$C$4),0,IF(AND(C$7="N",C$4&gt;0,B129&lt;=C$4),0,U129*D128))</f>
        <v>#DIV/0!</v>
      </c>
      <c r="M129" s="49">
        <f t="shared" si="30"/>
        <v>0</v>
      </c>
      <c r="N129" s="49">
        <f t="shared" si="29"/>
        <v>0</v>
      </c>
      <c r="O129" s="48" t="e">
        <f>K129+I129+J129-L129+N129+G129</f>
        <v>#DIV/0!</v>
      </c>
      <c r="P129" s="38" t="e">
        <f>O129*(1/((1+P$12)^(B129/12)))</f>
        <v>#DIV/0!</v>
      </c>
      <c r="Q129" s="53"/>
      <c r="R129" s="53">
        <f t="shared" si="24"/>
        <v>0.12</v>
      </c>
      <c r="S129" s="53">
        <f t="shared" si="25"/>
        <v>1.0596241035318976E-2</v>
      </c>
      <c r="T129" s="53">
        <f t="shared" si="26"/>
        <v>0.05</v>
      </c>
      <c r="U129" s="53">
        <f t="shared" si="27"/>
        <v>4.2653187775606449E-3</v>
      </c>
    </row>
    <row r="130" spans="1:21" x14ac:dyDescent="0.2">
      <c r="A130" s="62" t="e">
        <f t="shared" si="19"/>
        <v>#DIV/0!</v>
      </c>
      <c r="B130" s="45">
        <f t="shared" si="20"/>
        <v>116</v>
      </c>
      <c r="C130" s="51" t="e">
        <f>IF(B130&lt;C$4,C$1,D129-L130+N130)</f>
        <v>#DIV/0!</v>
      </c>
      <c r="D130" s="47" t="e" cm="1">
        <f t="array" ref="D130">_xlfn.IFS(AND($C$7="Y",B130&lt;C$4),C130,AND($C$7="Y",B130=C$4),D129+F130-J130-K130-L130+N130,AND($C$7="Y",B130&gt;$C$4),D129-J130-K130-L130+N130, TRUE, D129-J130-K130-L130+N130)</f>
        <v>#DIV/0!</v>
      </c>
      <c r="E130" s="48">
        <f t="shared" si="21"/>
        <v>0</v>
      </c>
      <c r="F130" s="50">
        <f t="shared" si="22"/>
        <v>0</v>
      </c>
      <c r="G130" s="50">
        <f t="shared" si="28"/>
        <v>0</v>
      </c>
      <c r="H130" s="51" t="e">
        <f t="shared" si="23"/>
        <v>#DIV/0!</v>
      </c>
      <c r="I130" s="52" t="e">
        <f>IF(AND(C$7="Y",$B130&lt;=C$4),0,IF(AND(C$7="Y",$B130&gt;C$4),(1-U130)*C$2*D129/12,IF(AND($C$7="N",C$4&gt;0),(1-U130)*D129*C$2/12, (1-U130)*D129*C$2/12)))</f>
        <v>#DIV/0!</v>
      </c>
      <c r="J130" s="52" t="e">
        <f>IF(AND($B130&lt;=$C$4,C$7="Y"),0,IF(AND(C$7="N",C$4&gt;0,B130&lt;=C$4),0,H130-I130))</f>
        <v>#DIV/0!</v>
      </c>
      <c r="K130" s="51" t="e">
        <f>IF(AND(C$7="Y",$B130&lt;=$C$4),0,IF(AND(C$7="N",C$4&gt;0,B130&lt;=C$4),0,S130*(C130-J130)))</f>
        <v>#DIV/0!</v>
      </c>
      <c r="L130" s="49" t="e">
        <f>IF(AND(C$7="Y",$B130&lt;=$C$4),0,IF(AND(C$7="N",C$4&gt;0,B130&lt;=C$4),0,U130*D129))</f>
        <v>#DIV/0!</v>
      </c>
      <c r="M130" s="49">
        <f t="shared" si="30"/>
        <v>0</v>
      </c>
      <c r="N130" s="49">
        <f t="shared" si="29"/>
        <v>0</v>
      </c>
      <c r="O130" s="48" t="e">
        <f>K130+I130+J130-L130+N130+G130</f>
        <v>#DIV/0!</v>
      </c>
      <c r="P130" s="38" t="e">
        <f>O130*(1/((1+P$12)^(B130/12)))</f>
        <v>#DIV/0!</v>
      </c>
      <c r="Q130" s="53"/>
      <c r="R130" s="53">
        <f t="shared" si="24"/>
        <v>0.12</v>
      </c>
      <c r="S130" s="53">
        <f t="shared" si="25"/>
        <v>1.0596241035318976E-2</v>
      </c>
      <c r="T130" s="53">
        <f t="shared" si="26"/>
        <v>0.05</v>
      </c>
      <c r="U130" s="53">
        <f t="shared" si="27"/>
        <v>4.2653187775606449E-3</v>
      </c>
    </row>
    <row r="131" spans="1:21" x14ac:dyDescent="0.2">
      <c r="A131" s="62" t="e">
        <f t="shared" si="19"/>
        <v>#DIV/0!</v>
      </c>
      <c r="B131" s="45">
        <f t="shared" si="20"/>
        <v>117</v>
      </c>
      <c r="C131" s="51" t="e">
        <f>IF(B131&lt;C$4,C$1,D130-L131+N131)</f>
        <v>#DIV/0!</v>
      </c>
      <c r="D131" s="47" t="e" cm="1">
        <f t="array" ref="D131">_xlfn.IFS(AND($C$7="Y",B131&lt;C$4),C131,AND($C$7="Y",B131=C$4),D130+F131-J131-K131-L131+N131,AND($C$7="Y",B131&gt;$C$4),D130-J131-K131-L131+N131, TRUE, D130-J131-K131-L131+N131)</f>
        <v>#DIV/0!</v>
      </c>
      <c r="E131" s="48">
        <f t="shared" si="21"/>
        <v>0</v>
      </c>
      <c r="F131" s="50">
        <f t="shared" si="22"/>
        <v>0</v>
      </c>
      <c r="G131" s="50">
        <f t="shared" si="28"/>
        <v>0</v>
      </c>
      <c r="H131" s="51" t="e">
        <f t="shared" si="23"/>
        <v>#DIV/0!</v>
      </c>
      <c r="I131" s="52" t="e">
        <f>IF(AND(C$7="Y",$B131&lt;=C$4),0,IF(AND(C$7="Y",$B131&gt;C$4),(1-U131)*C$2*D130/12,IF(AND($C$7="N",C$4&gt;0),(1-U131)*D130*C$2/12, (1-U131)*D130*C$2/12)))</f>
        <v>#DIV/0!</v>
      </c>
      <c r="J131" s="52" t="e">
        <f>IF(AND($B131&lt;=$C$4,C$7="Y"),0,IF(AND(C$7="N",C$4&gt;0,B131&lt;=C$4),0,H131-I131))</f>
        <v>#DIV/0!</v>
      </c>
      <c r="K131" s="51" t="e">
        <f>IF(AND(C$7="Y",$B131&lt;=$C$4),0,IF(AND(C$7="N",C$4&gt;0,B131&lt;=C$4),0,S131*(C131-J131)))</f>
        <v>#DIV/0!</v>
      </c>
      <c r="L131" s="49" t="e">
        <f>IF(AND(C$7="Y",$B131&lt;=$C$4),0,IF(AND(C$7="N",C$4&gt;0,B131&lt;=C$4),0,U131*D130))</f>
        <v>#DIV/0!</v>
      </c>
      <c r="M131" s="49">
        <f t="shared" si="30"/>
        <v>0</v>
      </c>
      <c r="N131" s="49">
        <f t="shared" si="29"/>
        <v>0</v>
      </c>
      <c r="O131" s="48" t="e">
        <f>K131+I131+J131-L131+N131+G131</f>
        <v>#DIV/0!</v>
      </c>
      <c r="P131" s="38" t="e">
        <f>O131*(1/((1+P$12)^(B131/12)))</f>
        <v>#DIV/0!</v>
      </c>
      <c r="Q131" s="53"/>
      <c r="R131" s="53">
        <f t="shared" si="24"/>
        <v>0.12</v>
      </c>
      <c r="S131" s="53">
        <f t="shared" si="25"/>
        <v>1.0596241035318976E-2</v>
      </c>
      <c r="T131" s="53">
        <f t="shared" si="26"/>
        <v>0.05</v>
      </c>
      <c r="U131" s="53">
        <f t="shared" si="27"/>
        <v>4.2653187775606449E-3</v>
      </c>
    </row>
    <row r="132" spans="1:21" x14ac:dyDescent="0.2">
      <c r="A132" s="62" t="e">
        <f t="shared" si="19"/>
        <v>#DIV/0!</v>
      </c>
      <c r="B132" s="45">
        <f t="shared" si="20"/>
        <v>118</v>
      </c>
      <c r="C132" s="51" t="e">
        <f>IF(B132&lt;C$4,C$1,D131-L132+N132)</f>
        <v>#DIV/0!</v>
      </c>
      <c r="D132" s="47" t="e" cm="1">
        <f t="array" ref="D132">_xlfn.IFS(AND($C$7="Y",B132&lt;C$4),C132,AND($C$7="Y",B132=C$4),D131+F132-J132-K132-L132+N132,AND($C$7="Y",B132&gt;$C$4),D131-J132-K132-L132+N132, TRUE, D131-J132-K132-L132+N132)</f>
        <v>#DIV/0!</v>
      </c>
      <c r="E132" s="48">
        <f t="shared" si="21"/>
        <v>0</v>
      </c>
      <c r="F132" s="50">
        <f t="shared" si="22"/>
        <v>0</v>
      </c>
      <c r="G132" s="50">
        <f t="shared" si="28"/>
        <v>0</v>
      </c>
      <c r="H132" s="51" t="e">
        <f t="shared" si="23"/>
        <v>#DIV/0!</v>
      </c>
      <c r="I132" s="52" t="e">
        <f>IF(AND(C$7="Y",$B132&lt;=C$4),0,IF(AND(C$7="Y",$B132&gt;C$4),(1-U132)*C$2*D131/12,IF(AND($C$7="N",C$4&gt;0),(1-U132)*D131*C$2/12, (1-U132)*D131*C$2/12)))</f>
        <v>#DIV/0!</v>
      </c>
      <c r="J132" s="52" t="e">
        <f>IF(AND($B132&lt;=$C$4,C$7="Y"),0,IF(AND(C$7="N",C$4&gt;0,B132&lt;=C$4),0,H132-I132))</f>
        <v>#DIV/0!</v>
      </c>
      <c r="K132" s="51" t="e">
        <f>IF(AND(C$7="Y",$B132&lt;=$C$4),0,IF(AND(C$7="N",C$4&gt;0,B132&lt;=C$4),0,S132*(C132-J132)))</f>
        <v>#DIV/0!</v>
      </c>
      <c r="L132" s="49" t="e">
        <f>IF(AND(C$7="Y",$B132&lt;=$C$4),0,IF(AND(C$7="N",C$4&gt;0,B132&lt;=C$4),0,U132*D131))</f>
        <v>#DIV/0!</v>
      </c>
      <c r="M132" s="49">
        <f t="shared" si="30"/>
        <v>0</v>
      </c>
      <c r="N132" s="49">
        <f t="shared" si="29"/>
        <v>0</v>
      </c>
      <c r="O132" s="48" t="e">
        <f>K132+I132+J132-L132+N132+G132</f>
        <v>#DIV/0!</v>
      </c>
      <c r="P132" s="38" t="e">
        <f>O132*(1/((1+P$12)^(B132/12)))</f>
        <v>#DIV/0!</v>
      </c>
      <c r="Q132" s="53"/>
      <c r="R132" s="53">
        <f t="shared" si="24"/>
        <v>0.12</v>
      </c>
      <c r="S132" s="53">
        <f t="shared" si="25"/>
        <v>1.0596241035318976E-2</v>
      </c>
      <c r="T132" s="53">
        <f t="shared" si="26"/>
        <v>0.05</v>
      </c>
      <c r="U132" s="53">
        <f t="shared" si="27"/>
        <v>4.2653187775606449E-3</v>
      </c>
    </row>
    <row r="133" spans="1:21" x14ac:dyDescent="0.2">
      <c r="A133" s="62" t="e">
        <f t="shared" si="19"/>
        <v>#DIV/0!</v>
      </c>
      <c r="B133" s="45">
        <f t="shared" si="20"/>
        <v>119</v>
      </c>
      <c r="C133" s="51" t="e">
        <f>IF(B133&lt;C$4,C$1,D132-L133+N133)</f>
        <v>#DIV/0!</v>
      </c>
      <c r="D133" s="47" t="e" cm="1">
        <f t="array" ref="D133">_xlfn.IFS(AND($C$7="Y",B133&lt;C$4),C133,AND($C$7="Y",B133=C$4),D132+F133-J133-K133-L133+N133,AND($C$7="Y",B133&gt;$C$4),D132-J133-K133-L133+N133, TRUE, D132-J133-K133-L133+N133)</f>
        <v>#DIV/0!</v>
      </c>
      <c r="E133" s="48">
        <f t="shared" si="21"/>
        <v>0</v>
      </c>
      <c r="F133" s="50">
        <f t="shared" si="22"/>
        <v>0</v>
      </c>
      <c r="G133" s="50">
        <f t="shared" si="28"/>
        <v>0</v>
      </c>
      <c r="H133" s="51" t="e">
        <f t="shared" si="23"/>
        <v>#DIV/0!</v>
      </c>
      <c r="I133" s="52" t="e">
        <f>IF(AND(C$7="Y",$B133&lt;=C$4),0,IF(AND(C$7="Y",$B133&gt;C$4),(1-U133)*C$2*D132/12,IF(AND($C$7="N",C$4&gt;0),(1-U133)*D132*C$2/12, (1-U133)*D132*C$2/12)))</f>
        <v>#DIV/0!</v>
      </c>
      <c r="J133" s="52" t="e">
        <f>IF(AND($B133&lt;=$C$4,C$7="Y"),0,IF(AND(C$7="N",C$4&gt;0,B133&lt;=C$4),0,H133-I133))</f>
        <v>#DIV/0!</v>
      </c>
      <c r="K133" s="51" t="e">
        <f>IF(AND(C$7="Y",$B133&lt;=$C$4),0,IF(AND(C$7="N",C$4&gt;0,B133&lt;=C$4),0,S133*(C133-J133)))</f>
        <v>#DIV/0!</v>
      </c>
      <c r="L133" s="49" t="e">
        <f>IF(AND(C$7="Y",$B133&lt;=$C$4),0,IF(AND(C$7="N",C$4&gt;0,B133&lt;=C$4),0,U133*D132))</f>
        <v>#DIV/0!</v>
      </c>
      <c r="M133" s="49">
        <f t="shared" si="30"/>
        <v>0</v>
      </c>
      <c r="N133" s="49">
        <f t="shared" si="29"/>
        <v>0</v>
      </c>
      <c r="O133" s="48" t="e">
        <f>K133+I133+J133-L133+N133+G133</f>
        <v>#DIV/0!</v>
      </c>
      <c r="P133" s="38" t="e">
        <f>O133*(1/((1+P$12)^(B133/12)))</f>
        <v>#DIV/0!</v>
      </c>
      <c r="Q133" s="53"/>
      <c r="R133" s="53">
        <f t="shared" si="24"/>
        <v>0.12</v>
      </c>
      <c r="S133" s="53">
        <f t="shared" si="25"/>
        <v>1.0596241035318976E-2</v>
      </c>
      <c r="T133" s="53">
        <f t="shared" si="26"/>
        <v>0.05</v>
      </c>
      <c r="U133" s="53">
        <f t="shared" si="27"/>
        <v>4.2653187775606449E-3</v>
      </c>
    </row>
    <row r="134" spans="1:21" x14ac:dyDescent="0.2">
      <c r="A134" s="62" t="e">
        <f t="shared" si="19"/>
        <v>#DIV/0!</v>
      </c>
      <c r="B134" s="45">
        <f t="shared" si="20"/>
        <v>120</v>
      </c>
      <c r="C134" s="51" t="e">
        <f>IF(B134&lt;C$4,C$1,D133-L134+N134)</f>
        <v>#DIV/0!</v>
      </c>
      <c r="D134" s="47" t="e" cm="1">
        <f t="array" ref="D134">_xlfn.IFS(AND($C$7="Y",B134&lt;C$4),C134,AND($C$7="Y",B134=C$4),D133+F134-J134-K134-L134+N134,AND($C$7="Y",B134&gt;$C$4),D133-J134-K134-L134+N134, TRUE, D133-J134-K134-L134+N134)</f>
        <v>#DIV/0!</v>
      </c>
      <c r="E134" s="48">
        <f t="shared" si="21"/>
        <v>0</v>
      </c>
      <c r="F134" s="50">
        <f t="shared" si="22"/>
        <v>0</v>
      </c>
      <c r="G134" s="50">
        <f t="shared" si="28"/>
        <v>0</v>
      </c>
      <c r="H134" s="51" t="e">
        <f t="shared" si="23"/>
        <v>#DIV/0!</v>
      </c>
      <c r="I134" s="52" t="e">
        <f>IF(AND(C$7="Y",$B134&lt;=C$4),0,IF(AND(C$7="Y",$B134&gt;C$4),(1-U134)*C$2*D133/12,IF(AND($C$7="N",C$4&gt;0),(1-U134)*D133*C$2/12, (1-U134)*D133*C$2/12)))</f>
        <v>#DIV/0!</v>
      </c>
      <c r="J134" s="52" t="e">
        <f>IF(AND($B134&lt;=$C$4,C$7="Y"),0,IF(AND(C$7="N",C$4&gt;0,B134&lt;=C$4),0,H134-I134))</f>
        <v>#DIV/0!</v>
      </c>
      <c r="K134" s="51" t="e">
        <f>IF(AND(C$7="Y",$B134&lt;=$C$4),0,IF(AND(C$7="N",C$4&gt;0,B134&lt;=C$4),0,S134*(C134-J134)))</f>
        <v>#DIV/0!</v>
      </c>
      <c r="L134" s="49" t="e">
        <f>IF(AND(C$7="Y",$B134&lt;=$C$4),0,IF(AND(C$7="N",C$4&gt;0,B134&lt;=C$4),0,U134*D133))</f>
        <v>#DIV/0!</v>
      </c>
      <c r="M134" s="49">
        <f t="shared" si="30"/>
        <v>0</v>
      </c>
      <c r="N134" s="49">
        <f t="shared" si="29"/>
        <v>0</v>
      </c>
      <c r="O134" s="48" t="e">
        <f>K134+I134+J134-L134+N134+G134</f>
        <v>#DIV/0!</v>
      </c>
      <c r="P134" s="38" t="e">
        <f>O134*(1/((1+P$12)^(B134/12)))</f>
        <v>#DIV/0!</v>
      </c>
      <c r="Q134" s="53"/>
      <c r="R134" s="53">
        <f t="shared" si="24"/>
        <v>0.12</v>
      </c>
      <c r="S134" s="53">
        <f t="shared" si="25"/>
        <v>1.0596241035318976E-2</v>
      </c>
      <c r="T134" s="53">
        <f t="shared" si="26"/>
        <v>0.05</v>
      </c>
      <c r="U134" s="53">
        <f t="shared" si="27"/>
        <v>4.2653187775606449E-3</v>
      </c>
    </row>
    <row r="135" spans="1:21" x14ac:dyDescent="0.2">
      <c r="A135" s="62" t="e">
        <f t="shared" si="19"/>
        <v>#DIV/0!</v>
      </c>
      <c r="B135" s="45">
        <f t="shared" si="20"/>
        <v>121</v>
      </c>
      <c r="C135" s="51" t="e">
        <f>IF(B135&lt;C$4,C$1,D134-L135+N135)</f>
        <v>#DIV/0!</v>
      </c>
      <c r="D135" s="47" t="e" cm="1">
        <f t="array" ref="D135">_xlfn.IFS(AND($C$7="Y",B135&lt;C$4),C135,AND($C$7="Y",B135=C$4),D134+F135-J135-K135-L135+N135,AND($C$7="Y",B135&gt;$C$4),D134-J135-K135-L135+N135, TRUE, D134-J135-K135-L135+N135)</f>
        <v>#DIV/0!</v>
      </c>
      <c r="E135" s="48">
        <f t="shared" si="21"/>
        <v>0</v>
      </c>
      <c r="F135" s="50">
        <f t="shared" si="22"/>
        <v>0</v>
      </c>
      <c r="G135" s="50">
        <f t="shared" si="28"/>
        <v>0</v>
      </c>
      <c r="H135" s="51" t="e">
        <f t="shared" si="23"/>
        <v>#DIV/0!</v>
      </c>
      <c r="I135" s="52" t="e">
        <f>IF(AND(C$7="Y",$B135&lt;=C$4),0,IF(AND(C$7="Y",$B135&gt;C$4),(1-U135)*C$2*D134/12,IF(AND($C$7="N",C$4&gt;0),(1-U135)*D134*C$2/12, (1-U135)*D134*C$2/12)))</f>
        <v>#DIV/0!</v>
      </c>
      <c r="J135" s="52" t="e">
        <f>IF(AND($B135&lt;=$C$4,C$7="Y"),0,IF(AND(C$7="N",C$4&gt;0,B135&lt;=C$4),0,H135-I135))</f>
        <v>#DIV/0!</v>
      </c>
      <c r="K135" s="51" t="e">
        <f>IF(AND(C$7="Y",$B135&lt;=$C$4),0,IF(AND(C$7="N",C$4&gt;0,B135&lt;=C$4),0,S135*(C135-J135)))</f>
        <v>#DIV/0!</v>
      </c>
      <c r="L135" s="49" t="e">
        <f>IF(AND(C$7="Y",$B135&lt;=$C$4),0,IF(AND(C$7="N",C$4&gt;0,B135&lt;=C$4),0,U135*D134))</f>
        <v>#DIV/0!</v>
      </c>
      <c r="M135" s="49">
        <f t="shared" si="30"/>
        <v>0</v>
      </c>
      <c r="N135" s="49">
        <f t="shared" si="29"/>
        <v>0</v>
      </c>
      <c r="O135" s="48" t="e">
        <f>K135+I135+J135-L135+N135+G135</f>
        <v>#DIV/0!</v>
      </c>
      <c r="P135" s="38" t="e">
        <f>O135*(1/((1+P$12)^(B135/12)))</f>
        <v>#DIV/0!</v>
      </c>
      <c r="Q135" s="53"/>
      <c r="R135" s="53">
        <f t="shared" si="24"/>
        <v>0.12</v>
      </c>
      <c r="S135" s="53">
        <f t="shared" si="25"/>
        <v>1.0596241035318976E-2</v>
      </c>
      <c r="T135" s="53">
        <f t="shared" si="26"/>
        <v>0.05</v>
      </c>
      <c r="U135" s="53">
        <f t="shared" si="27"/>
        <v>4.2653187775606449E-3</v>
      </c>
    </row>
    <row r="136" spans="1:21" x14ac:dyDescent="0.2">
      <c r="A136" s="62" t="e">
        <f t="shared" si="19"/>
        <v>#DIV/0!</v>
      </c>
      <c r="B136" s="45">
        <f t="shared" si="20"/>
        <v>122</v>
      </c>
      <c r="C136" s="51" t="e">
        <f>IF(B136&lt;C$4,C$1,D135-L136+N136)</f>
        <v>#DIV/0!</v>
      </c>
      <c r="D136" s="47" t="e" cm="1">
        <f t="array" ref="D136">_xlfn.IFS(AND($C$7="Y",B136&lt;C$4),C136,AND($C$7="Y",B136=C$4),D135+F136-J136-K136-L136+N136,AND($C$7="Y",B136&gt;$C$4),D135-J136-K136-L136+N136, TRUE, D135-J136-K136-L136+N136)</f>
        <v>#DIV/0!</v>
      </c>
      <c r="E136" s="48">
        <f t="shared" si="21"/>
        <v>0</v>
      </c>
      <c r="F136" s="50">
        <f t="shared" si="22"/>
        <v>0</v>
      </c>
      <c r="G136" s="50">
        <f t="shared" si="28"/>
        <v>0</v>
      </c>
      <c r="H136" s="51" t="e">
        <f t="shared" si="23"/>
        <v>#DIV/0!</v>
      </c>
      <c r="I136" s="52" t="e">
        <f>IF(AND(C$7="Y",$B136&lt;=C$4),0,IF(AND(C$7="Y",$B136&gt;C$4),(1-U136)*C$2*D135/12,IF(AND($C$7="N",C$4&gt;0),(1-U136)*D135*C$2/12, (1-U136)*D135*C$2/12)))</f>
        <v>#DIV/0!</v>
      </c>
      <c r="J136" s="52" t="e">
        <f>IF(AND($B136&lt;=$C$4,C$7="Y"),0,IF(AND(C$7="N",C$4&gt;0,B136&lt;=C$4),0,H136-I136))</f>
        <v>#DIV/0!</v>
      </c>
      <c r="K136" s="51" t="e">
        <f>IF(AND(C$7="Y",$B136&lt;=$C$4),0,IF(AND(C$7="N",C$4&gt;0,B136&lt;=C$4),0,S136*(C136-J136)))</f>
        <v>#DIV/0!</v>
      </c>
      <c r="L136" s="49" t="e">
        <f>IF(AND(C$7="Y",$B136&lt;=$C$4),0,IF(AND(C$7="N",C$4&gt;0,B136&lt;=C$4),0,U136*D135))</f>
        <v>#DIV/0!</v>
      </c>
      <c r="M136" s="49">
        <f t="shared" si="30"/>
        <v>0</v>
      </c>
      <c r="N136" s="49">
        <f t="shared" si="29"/>
        <v>0</v>
      </c>
      <c r="O136" s="48" t="e">
        <f>K136+I136+J136-L136+N136+G136</f>
        <v>#DIV/0!</v>
      </c>
      <c r="P136" s="38" t="e">
        <f>O136*(1/((1+P$12)^(B136/12)))</f>
        <v>#DIV/0!</v>
      </c>
      <c r="Q136" s="53"/>
      <c r="R136" s="53">
        <f t="shared" si="24"/>
        <v>0.12</v>
      </c>
      <c r="S136" s="53">
        <f t="shared" si="25"/>
        <v>1.0596241035318976E-2</v>
      </c>
      <c r="T136" s="53">
        <f t="shared" si="26"/>
        <v>0.05</v>
      </c>
      <c r="U136" s="53">
        <f t="shared" si="27"/>
        <v>4.2653187775606449E-3</v>
      </c>
    </row>
    <row r="137" spans="1:21" x14ac:dyDescent="0.2">
      <c r="A137" s="62" t="e">
        <f t="shared" si="19"/>
        <v>#DIV/0!</v>
      </c>
      <c r="B137" s="45">
        <f t="shared" si="20"/>
        <v>123</v>
      </c>
      <c r="C137" s="51" t="e">
        <f>IF(B137&lt;C$4,C$1,D136-L137+N137)</f>
        <v>#DIV/0!</v>
      </c>
      <c r="D137" s="47" t="e" cm="1">
        <f t="array" ref="D137">_xlfn.IFS(AND($C$7="Y",B137&lt;C$4),C137,AND($C$7="Y",B137=C$4),D136+F137-J137-K137-L137+N137,AND($C$7="Y",B137&gt;$C$4),D136-J137-K137-L137+N137, TRUE, D136-J137-K137-L137+N137)</f>
        <v>#DIV/0!</v>
      </c>
      <c r="E137" s="48">
        <f t="shared" si="21"/>
        <v>0</v>
      </c>
      <c r="F137" s="50">
        <f t="shared" si="22"/>
        <v>0</v>
      </c>
      <c r="G137" s="50">
        <f t="shared" si="28"/>
        <v>0</v>
      </c>
      <c r="H137" s="51" t="e">
        <f t="shared" si="23"/>
        <v>#DIV/0!</v>
      </c>
      <c r="I137" s="52" t="e">
        <f>IF(AND(C$7="Y",$B137&lt;=C$4),0,IF(AND(C$7="Y",$B137&gt;C$4),(1-U137)*C$2*D136/12,IF(AND($C$7="N",C$4&gt;0),(1-U137)*D136*C$2/12, (1-U137)*D136*C$2/12)))</f>
        <v>#DIV/0!</v>
      </c>
      <c r="J137" s="52" t="e">
        <f>IF(AND($B137&lt;=$C$4,C$7="Y"),0,IF(AND(C$7="N",C$4&gt;0,B137&lt;=C$4),0,H137-I137))</f>
        <v>#DIV/0!</v>
      </c>
      <c r="K137" s="51" t="e">
        <f>IF(AND(C$7="Y",$B137&lt;=$C$4),0,IF(AND(C$7="N",C$4&gt;0,B137&lt;=C$4),0,S137*(C137-J137)))</f>
        <v>#DIV/0!</v>
      </c>
      <c r="L137" s="49" t="e">
        <f>IF(AND(C$7="Y",$B137&lt;=$C$4),0,IF(AND(C$7="N",C$4&gt;0,B137&lt;=C$4),0,U137*D136))</f>
        <v>#DIV/0!</v>
      </c>
      <c r="M137" s="49">
        <f t="shared" si="30"/>
        <v>0</v>
      </c>
      <c r="N137" s="49">
        <f t="shared" si="29"/>
        <v>0</v>
      </c>
      <c r="O137" s="48" t="e">
        <f>K137+I137+J137-L137+N137+G137</f>
        <v>#DIV/0!</v>
      </c>
      <c r="P137" s="38" t="e">
        <f>O137*(1/((1+P$12)^(B137/12)))</f>
        <v>#DIV/0!</v>
      </c>
      <c r="Q137" s="53"/>
      <c r="R137" s="53">
        <f t="shared" si="24"/>
        <v>0.12</v>
      </c>
      <c r="S137" s="53">
        <f t="shared" si="25"/>
        <v>1.0596241035318976E-2</v>
      </c>
      <c r="T137" s="53">
        <f t="shared" si="26"/>
        <v>0.05</v>
      </c>
      <c r="U137" s="53">
        <f t="shared" si="27"/>
        <v>4.2653187775606449E-3</v>
      </c>
    </row>
    <row r="138" spans="1:21" x14ac:dyDescent="0.2">
      <c r="A138" s="62" t="e">
        <f t="shared" si="19"/>
        <v>#DIV/0!</v>
      </c>
      <c r="B138" s="45">
        <f t="shared" si="20"/>
        <v>124</v>
      </c>
      <c r="C138" s="51" t="e">
        <f>IF(B138&lt;C$4,C$1,D137-L138+N138)</f>
        <v>#DIV/0!</v>
      </c>
      <c r="D138" s="47" t="e" cm="1">
        <f t="array" ref="D138">_xlfn.IFS(AND($C$7="Y",B138&lt;C$4),C138,AND($C$7="Y",B138=C$4),D137+F138-J138-K138-L138+N138,AND($C$7="Y",B138&gt;$C$4),D137-J138-K138-L138+N138, TRUE, D137-J138-K138-L138+N138)</f>
        <v>#DIV/0!</v>
      </c>
      <c r="E138" s="48">
        <f t="shared" si="21"/>
        <v>0</v>
      </c>
      <c r="F138" s="50">
        <f t="shared" si="22"/>
        <v>0</v>
      </c>
      <c r="G138" s="50">
        <f t="shared" si="28"/>
        <v>0</v>
      </c>
      <c r="H138" s="51" t="e">
        <f t="shared" si="23"/>
        <v>#DIV/0!</v>
      </c>
      <c r="I138" s="52" t="e">
        <f>IF(AND(C$7="Y",$B138&lt;=C$4),0,IF(AND(C$7="Y",$B138&gt;C$4),(1-U138)*C$2*D137/12,IF(AND($C$7="N",C$4&gt;0),(1-U138)*D137*C$2/12, (1-U138)*D137*C$2/12)))</f>
        <v>#DIV/0!</v>
      </c>
      <c r="J138" s="52" t="e">
        <f>IF(AND($B138&lt;=$C$4,C$7="Y"),0,IF(AND(C$7="N",C$4&gt;0,B138&lt;=C$4),0,H138-I138))</f>
        <v>#DIV/0!</v>
      </c>
      <c r="K138" s="51" t="e">
        <f>IF(AND(C$7="Y",$B138&lt;=$C$4),0,IF(AND(C$7="N",C$4&gt;0,B138&lt;=C$4),0,S138*(C138-J138)))</f>
        <v>#DIV/0!</v>
      </c>
      <c r="L138" s="49" t="e">
        <f>IF(AND(C$7="Y",$B138&lt;=$C$4),0,IF(AND(C$7="N",C$4&gt;0,B138&lt;=C$4),0,U138*D137))</f>
        <v>#DIV/0!</v>
      </c>
      <c r="M138" s="49">
        <f t="shared" si="30"/>
        <v>0</v>
      </c>
      <c r="N138" s="49">
        <f t="shared" si="29"/>
        <v>0</v>
      </c>
      <c r="O138" s="48" t="e">
        <f>K138+I138+J138-L138+N138+G138</f>
        <v>#DIV/0!</v>
      </c>
      <c r="P138" s="38" t="e">
        <f>O138*(1/((1+P$12)^(B138/12)))</f>
        <v>#DIV/0!</v>
      </c>
      <c r="Q138" s="53"/>
      <c r="R138" s="53">
        <f t="shared" si="24"/>
        <v>0.12</v>
      </c>
      <c r="S138" s="53">
        <f t="shared" si="25"/>
        <v>1.0596241035318976E-2</v>
      </c>
      <c r="T138" s="53">
        <f t="shared" si="26"/>
        <v>0.05</v>
      </c>
      <c r="U138" s="53">
        <f t="shared" si="27"/>
        <v>4.2653187775606449E-3</v>
      </c>
    </row>
    <row r="139" spans="1:21" x14ac:dyDescent="0.2">
      <c r="A139" s="62" t="e">
        <f t="shared" si="19"/>
        <v>#DIV/0!</v>
      </c>
      <c r="B139" s="45">
        <f t="shared" si="20"/>
        <v>125</v>
      </c>
      <c r="C139" s="51" t="e">
        <f>IF(B139&lt;C$4,C$1,D138-L139+N139)</f>
        <v>#DIV/0!</v>
      </c>
      <c r="D139" s="47" t="e" cm="1">
        <f t="array" ref="D139">_xlfn.IFS(AND($C$7="Y",B139&lt;C$4),C139,AND($C$7="Y",B139=C$4),D138+F139-J139-K139-L139+N139,AND($C$7="Y",B139&gt;$C$4),D138-J139-K139-L139+N139, TRUE, D138-J139-K139-L139+N139)</f>
        <v>#DIV/0!</v>
      </c>
      <c r="E139" s="48">
        <f t="shared" si="21"/>
        <v>0</v>
      </c>
      <c r="F139" s="50">
        <f t="shared" si="22"/>
        <v>0</v>
      </c>
      <c r="G139" s="50">
        <f t="shared" si="28"/>
        <v>0</v>
      </c>
      <c r="H139" s="51" t="e">
        <f t="shared" si="23"/>
        <v>#DIV/0!</v>
      </c>
      <c r="I139" s="52" t="e">
        <f>IF(AND(C$7="Y",$B139&lt;=C$4),0,IF(AND(C$7="Y",$B139&gt;C$4),(1-U139)*C$2*D138/12,IF(AND($C$7="N",C$4&gt;0),(1-U139)*D138*C$2/12, (1-U139)*D138*C$2/12)))</f>
        <v>#DIV/0!</v>
      </c>
      <c r="J139" s="52" t="e">
        <f>IF(AND($B139&lt;=$C$4,C$7="Y"),0,IF(AND(C$7="N",C$4&gt;0,B139&lt;=C$4),0,H139-I139))</f>
        <v>#DIV/0!</v>
      </c>
      <c r="K139" s="51" t="e">
        <f>IF(AND(C$7="Y",$B139&lt;=$C$4),0,IF(AND(C$7="N",C$4&gt;0,B139&lt;=C$4),0,S139*(C139-J139)))</f>
        <v>#DIV/0!</v>
      </c>
      <c r="L139" s="49" t="e">
        <f>IF(AND(C$7="Y",$B139&lt;=$C$4),0,IF(AND(C$7="N",C$4&gt;0,B139&lt;=C$4),0,U139*D138))</f>
        <v>#DIV/0!</v>
      </c>
      <c r="M139" s="49">
        <f t="shared" si="30"/>
        <v>0</v>
      </c>
      <c r="N139" s="49">
        <f t="shared" si="29"/>
        <v>0</v>
      </c>
      <c r="O139" s="48" t="e">
        <f>K139+I139+J139-L139+N139+G139</f>
        <v>#DIV/0!</v>
      </c>
      <c r="P139" s="38" t="e">
        <f>O139*(1/((1+P$12)^(B139/12)))</f>
        <v>#DIV/0!</v>
      </c>
      <c r="Q139" s="53"/>
      <c r="R139" s="53">
        <f t="shared" si="24"/>
        <v>0.12</v>
      </c>
      <c r="S139" s="53">
        <f t="shared" si="25"/>
        <v>1.0596241035318976E-2</v>
      </c>
      <c r="T139" s="53">
        <f t="shared" si="26"/>
        <v>0.05</v>
      </c>
      <c r="U139" s="53">
        <f t="shared" si="27"/>
        <v>4.2653187775606449E-3</v>
      </c>
    </row>
    <row r="140" spans="1:21" x14ac:dyDescent="0.2">
      <c r="A140" s="62" t="e">
        <f t="shared" si="19"/>
        <v>#DIV/0!</v>
      </c>
      <c r="B140" s="45">
        <f t="shared" si="20"/>
        <v>126</v>
      </c>
      <c r="C140" s="51" t="e">
        <f>IF(B140&lt;C$4,C$1,D139-L140+N140)</f>
        <v>#DIV/0!</v>
      </c>
      <c r="D140" s="47" t="e" cm="1">
        <f t="array" ref="D140">_xlfn.IFS(AND($C$7="Y",B140&lt;C$4),C140,AND($C$7="Y",B140=C$4),D139+F140-J140-K140-L140+N140,AND($C$7="Y",B140&gt;$C$4),D139-J140-K140-L140+N140, TRUE, D139-J140-K140-L140+N140)</f>
        <v>#DIV/0!</v>
      </c>
      <c r="E140" s="48">
        <f t="shared" si="21"/>
        <v>0</v>
      </c>
      <c r="F140" s="50">
        <f t="shared" si="22"/>
        <v>0</v>
      </c>
      <c r="G140" s="50">
        <f t="shared" si="28"/>
        <v>0</v>
      </c>
      <c r="H140" s="51" t="e">
        <f t="shared" si="23"/>
        <v>#DIV/0!</v>
      </c>
      <c r="I140" s="52" t="e">
        <f>IF(AND(C$7="Y",$B140&lt;=C$4),0,IF(AND(C$7="Y",$B140&gt;C$4),(1-U140)*C$2*D139/12,IF(AND($C$7="N",C$4&gt;0),(1-U140)*D139*C$2/12, (1-U140)*D139*C$2/12)))</f>
        <v>#DIV/0!</v>
      </c>
      <c r="J140" s="52" t="e">
        <f>IF(AND($B140&lt;=$C$4,C$7="Y"),0,IF(AND(C$7="N",C$4&gt;0,B140&lt;=C$4),0,H140-I140))</f>
        <v>#DIV/0!</v>
      </c>
      <c r="K140" s="51" t="e">
        <f>IF(AND(C$7="Y",$B140&lt;=$C$4),0,IF(AND(C$7="N",C$4&gt;0,B140&lt;=C$4),0,S140*(C140-J140)))</f>
        <v>#DIV/0!</v>
      </c>
      <c r="L140" s="49" t="e">
        <f>IF(AND(C$7="Y",$B140&lt;=$C$4),0,IF(AND(C$7="N",C$4&gt;0,B140&lt;=C$4),0,U140*D139))</f>
        <v>#DIV/0!</v>
      </c>
      <c r="M140" s="49">
        <f t="shared" si="30"/>
        <v>0</v>
      </c>
      <c r="N140" s="49">
        <f t="shared" si="29"/>
        <v>0</v>
      </c>
      <c r="O140" s="48" t="e">
        <f>K140+I140+J140-L140+N140+G140</f>
        <v>#DIV/0!</v>
      </c>
      <c r="P140" s="38" t="e">
        <f>O140*(1/((1+P$12)^(B140/12)))</f>
        <v>#DIV/0!</v>
      </c>
      <c r="Q140" s="53"/>
      <c r="R140" s="53">
        <f t="shared" si="24"/>
        <v>0.12</v>
      </c>
      <c r="S140" s="53">
        <f t="shared" si="25"/>
        <v>1.0596241035318976E-2</v>
      </c>
      <c r="T140" s="53">
        <f t="shared" si="26"/>
        <v>0.05</v>
      </c>
      <c r="U140" s="53">
        <f t="shared" si="27"/>
        <v>4.2653187775606449E-3</v>
      </c>
    </row>
    <row r="141" spans="1:21" x14ac:dyDescent="0.2">
      <c r="A141" s="62" t="e">
        <f t="shared" si="19"/>
        <v>#DIV/0!</v>
      </c>
      <c r="B141" s="45">
        <f t="shared" si="20"/>
        <v>127</v>
      </c>
      <c r="C141" s="51" t="e">
        <f>IF(B141&lt;C$4,C$1,D140-L141+N141)</f>
        <v>#DIV/0!</v>
      </c>
      <c r="D141" s="47" t="e" cm="1">
        <f t="array" ref="D141">_xlfn.IFS(AND($C$7="Y",B141&lt;C$4),C141,AND($C$7="Y",B141=C$4),D140+F141-J141-K141-L141+N141,AND($C$7="Y",B141&gt;$C$4),D140-J141-K141-L141+N141, TRUE, D140-J141-K141-L141+N141)</f>
        <v>#DIV/0!</v>
      </c>
      <c r="E141" s="48">
        <f t="shared" si="21"/>
        <v>0</v>
      </c>
      <c r="F141" s="50">
        <f t="shared" si="22"/>
        <v>0</v>
      </c>
      <c r="G141" s="50">
        <f t="shared" si="28"/>
        <v>0</v>
      </c>
      <c r="H141" s="51" t="e">
        <f t="shared" si="23"/>
        <v>#DIV/0!</v>
      </c>
      <c r="I141" s="52" t="e">
        <f>IF(AND(C$7="Y",$B141&lt;=C$4),0,IF(AND(C$7="Y",$B141&gt;C$4),(1-U141)*C$2*D140/12,IF(AND($C$7="N",C$4&gt;0),(1-U141)*D140*C$2/12, (1-U141)*D140*C$2/12)))</f>
        <v>#DIV/0!</v>
      </c>
      <c r="J141" s="52" t="e">
        <f>IF(AND($B141&lt;=$C$4,C$7="Y"),0,IF(AND(C$7="N",C$4&gt;0,B141&lt;=C$4),0,H141-I141))</f>
        <v>#DIV/0!</v>
      </c>
      <c r="K141" s="51" t="e">
        <f>IF(AND(C$7="Y",$B141&lt;=$C$4),0,IF(AND(C$7="N",C$4&gt;0,B141&lt;=C$4),0,S141*(C141-J141)))</f>
        <v>#DIV/0!</v>
      </c>
      <c r="L141" s="49" t="e">
        <f>IF(AND(C$7="Y",$B141&lt;=$C$4),0,IF(AND(C$7="N",C$4&gt;0,B141&lt;=C$4),0,U141*D140))</f>
        <v>#DIV/0!</v>
      </c>
      <c r="M141" s="49">
        <f t="shared" si="30"/>
        <v>0</v>
      </c>
      <c r="N141" s="49">
        <f t="shared" si="29"/>
        <v>0</v>
      </c>
      <c r="O141" s="48" t="e">
        <f>K141+I141+J141-L141+N141+G141</f>
        <v>#DIV/0!</v>
      </c>
      <c r="P141" s="38" t="e">
        <f>O141*(1/((1+P$12)^(B141/12)))</f>
        <v>#DIV/0!</v>
      </c>
      <c r="Q141" s="53"/>
      <c r="R141" s="53">
        <f t="shared" si="24"/>
        <v>0.12</v>
      </c>
      <c r="S141" s="53">
        <f t="shared" si="25"/>
        <v>1.0596241035318976E-2</v>
      </c>
      <c r="T141" s="53">
        <f t="shared" si="26"/>
        <v>0.05</v>
      </c>
      <c r="U141" s="53">
        <f t="shared" si="27"/>
        <v>4.2653187775606449E-3</v>
      </c>
    </row>
    <row r="142" spans="1:21" x14ac:dyDescent="0.2">
      <c r="A142" s="62" t="e">
        <f t="shared" si="19"/>
        <v>#DIV/0!</v>
      </c>
      <c r="B142" s="45">
        <f t="shared" si="20"/>
        <v>128</v>
      </c>
      <c r="C142" s="51" t="e">
        <f>IF(B142&lt;C$4,C$1,D141-L142+N142)</f>
        <v>#DIV/0!</v>
      </c>
      <c r="D142" s="47" t="e" cm="1">
        <f t="array" ref="D142">_xlfn.IFS(AND($C$7="Y",B142&lt;C$4),C142,AND($C$7="Y",B142=C$4),D141+F142-J142-K142-L142+N142,AND($C$7="Y",B142&gt;$C$4),D141-J142-K142-L142+N142, TRUE, D141-J142-K142-L142+N142)</f>
        <v>#DIV/0!</v>
      </c>
      <c r="E142" s="48">
        <f t="shared" si="21"/>
        <v>0</v>
      </c>
      <c r="F142" s="50">
        <f t="shared" si="22"/>
        <v>0</v>
      </c>
      <c r="G142" s="50">
        <f t="shared" si="28"/>
        <v>0</v>
      </c>
      <c r="H142" s="51" t="e">
        <f t="shared" si="23"/>
        <v>#DIV/0!</v>
      </c>
      <c r="I142" s="52" t="e">
        <f>IF(AND(C$7="Y",$B142&lt;=C$4),0,IF(AND(C$7="Y",$B142&gt;C$4),(1-U142)*C$2*D141/12,IF(AND($C$7="N",C$4&gt;0),(1-U142)*D141*C$2/12, (1-U142)*D141*C$2/12)))</f>
        <v>#DIV/0!</v>
      </c>
      <c r="J142" s="52" t="e">
        <f>IF(AND($B142&lt;=$C$4,C$7="Y"),0,IF(AND(C$7="N",C$4&gt;0,B142&lt;=C$4),0,H142-I142))</f>
        <v>#DIV/0!</v>
      </c>
      <c r="K142" s="51" t="e">
        <f>IF(AND(C$7="Y",$B142&lt;=$C$4),0,IF(AND(C$7="N",C$4&gt;0,B142&lt;=C$4),0,S142*(C142-J142)))</f>
        <v>#DIV/0!</v>
      </c>
      <c r="L142" s="49" t="e">
        <f>IF(AND(C$7="Y",$B142&lt;=$C$4),0,IF(AND(C$7="N",C$4&gt;0,B142&lt;=C$4),0,U142*D141))</f>
        <v>#DIV/0!</v>
      </c>
      <c r="M142" s="49">
        <f t="shared" si="30"/>
        <v>0</v>
      </c>
      <c r="N142" s="49">
        <f t="shared" si="29"/>
        <v>0</v>
      </c>
      <c r="O142" s="48" t="e">
        <f>K142+I142+J142-L142+N142+G142</f>
        <v>#DIV/0!</v>
      </c>
      <c r="P142" s="38" t="e">
        <f>O142*(1/((1+P$12)^(B142/12)))</f>
        <v>#DIV/0!</v>
      </c>
      <c r="Q142" s="53"/>
      <c r="R142" s="53">
        <f t="shared" si="24"/>
        <v>0.12</v>
      </c>
      <c r="S142" s="53">
        <f t="shared" si="25"/>
        <v>1.0596241035318976E-2</v>
      </c>
      <c r="T142" s="53">
        <f t="shared" si="26"/>
        <v>0.05</v>
      </c>
      <c r="U142" s="53">
        <f t="shared" si="27"/>
        <v>4.2653187775606449E-3</v>
      </c>
    </row>
    <row r="143" spans="1:21" x14ac:dyDescent="0.2">
      <c r="A143" s="62" t="e">
        <f t="shared" ref="A143:A206" si="31">D143/C$1</f>
        <v>#DIV/0!</v>
      </c>
      <c r="B143" s="45">
        <f t="shared" si="20"/>
        <v>129</v>
      </c>
      <c r="C143" s="51" t="e">
        <f>IF(B143&lt;C$4,C$1,D142-L143+N143)</f>
        <v>#DIV/0!</v>
      </c>
      <c r="D143" s="47" t="e" cm="1">
        <f t="array" ref="D143">_xlfn.IFS(AND($C$7="Y",B143&lt;C$4),C143,AND($C$7="Y",B143=C$4),D142+F143-J143-K143-L143+N143,AND($C$7="Y",B143&gt;$C$4),D142-J143-K143-L143+N143, TRUE, D142-J143-K143-L143+N143)</f>
        <v>#DIV/0!</v>
      </c>
      <c r="E143" s="48">
        <f t="shared" si="21"/>
        <v>0</v>
      </c>
      <c r="F143" s="50">
        <f t="shared" si="22"/>
        <v>0</v>
      </c>
      <c r="G143" s="50">
        <f t="shared" si="28"/>
        <v>0</v>
      </c>
      <c r="H143" s="51" t="e">
        <f t="shared" si="23"/>
        <v>#DIV/0!</v>
      </c>
      <c r="I143" s="52" t="e">
        <f>IF(AND(C$7="Y",$B143&lt;=C$4),0,IF(AND(C$7="Y",$B143&gt;C$4),(1-U143)*C$2*D142/12,IF(AND($C$7="N",C$4&gt;0),(1-U143)*D142*C$2/12, (1-U143)*D142*C$2/12)))</f>
        <v>#DIV/0!</v>
      </c>
      <c r="J143" s="52" t="e">
        <f>IF(AND($B143&lt;=$C$4,C$7="Y"),0,IF(AND(C$7="N",C$4&gt;0,B143&lt;=C$4),0,H143-I143))</f>
        <v>#DIV/0!</v>
      </c>
      <c r="K143" s="51" t="e">
        <f>IF(AND(C$7="Y",$B143&lt;=$C$4),0,IF(AND(C$7="N",C$4&gt;0,B143&lt;=C$4),0,S143*(C143-J143)))</f>
        <v>#DIV/0!</v>
      </c>
      <c r="L143" s="49" t="e">
        <f>IF(AND(C$7="Y",$B143&lt;=$C$4),0,IF(AND(C$7="N",C$4&gt;0,B143&lt;=C$4),0,U143*D142))</f>
        <v>#DIV/0!</v>
      </c>
      <c r="M143" s="49">
        <f t="shared" si="30"/>
        <v>0</v>
      </c>
      <c r="N143" s="49">
        <f t="shared" si="29"/>
        <v>0</v>
      </c>
      <c r="O143" s="48" t="e">
        <f>K143+I143+J143-L143+N143+G143</f>
        <v>#DIV/0!</v>
      </c>
      <c r="P143" s="38" t="e">
        <f>O143*(1/((1+P$12)^(B143/12)))</f>
        <v>#DIV/0!</v>
      </c>
      <c r="Q143" s="53"/>
      <c r="R143" s="53">
        <f t="shared" si="24"/>
        <v>0.12</v>
      </c>
      <c r="S143" s="53">
        <f t="shared" si="25"/>
        <v>1.0596241035318976E-2</v>
      </c>
      <c r="T143" s="53">
        <f t="shared" si="26"/>
        <v>0.05</v>
      </c>
      <c r="U143" s="53">
        <f t="shared" si="27"/>
        <v>4.2653187775606449E-3</v>
      </c>
    </row>
    <row r="144" spans="1:21" x14ac:dyDescent="0.2">
      <c r="A144" s="62" t="e">
        <f t="shared" si="31"/>
        <v>#DIV/0!</v>
      </c>
      <c r="B144" s="45">
        <f t="shared" ref="B144:B207" si="32">B143+1</f>
        <v>130</v>
      </c>
      <c r="C144" s="51" t="e">
        <f>IF(B144&lt;C$4,C$1,D143-L144+N144)</f>
        <v>#DIV/0!</v>
      </c>
      <c r="D144" s="47" t="e" cm="1">
        <f t="array" ref="D144">_xlfn.IFS(AND($C$7="Y",B144&lt;C$4),C144,AND($C$7="Y",B144=C$4),D143+F144-J144-K144-L144+N144,AND($C$7="Y",B144&gt;$C$4),D143-J144-K144-L144+N144, TRUE, D143-J144-K144-L144+N144)</f>
        <v>#DIV/0!</v>
      </c>
      <c r="E144" s="48">
        <f t="shared" ref="E144:E207" si="33">IF(AND($C$7="Y",B144&lt;=$C$4),D143*C$2/12-G144,0)</f>
        <v>0</v>
      </c>
      <c r="F144" s="50">
        <f t="shared" ref="F144:F207" si="34">IF(AND($C$7="Y",B144&lt;=C$4),E144+F143,0)</f>
        <v>0</v>
      </c>
      <c r="G144" s="50">
        <f t="shared" si="28"/>
        <v>0</v>
      </c>
      <c r="H144" s="51" t="e">
        <f t="shared" ref="H144:H207" si="35">IF(AND($B144&lt;=$C$4,C$7="Y"),0,IF(AND(C$7="N",C$4&gt;0,B144&lt;=C$4),0,(C144-L144+N144)*C$2/12/(1-(1/(1+C$2/12))^(C$3+C$4-B144+1))))</f>
        <v>#DIV/0!</v>
      </c>
      <c r="I144" s="52" t="e">
        <f>IF(AND(C$7="Y",$B144&lt;=C$4),0,IF(AND(C$7="Y",$B144&gt;C$4),(1-U144)*C$2*D143/12,IF(AND($C$7="N",C$4&gt;0),(1-U144)*D143*C$2/12, (1-U144)*D143*C$2/12)))</f>
        <v>#DIV/0!</v>
      </c>
      <c r="J144" s="52" t="e">
        <f>IF(AND($B144&lt;=$C$4,C$7="Y"),0,IF(AND(C$7="N",C$4&gt;0,B144&lt;=C$4),0,H144-I144))</f>
        <v>#DIV/0!</v>
      </c>
      <c r="K144" s="51" t="e">
        <f>IF(AND(C$7="Y",$B144&lt;=$C$4),0,IF(AND(C$7="N",C$4&gt;0,B144&lt;=C$4),0,S144*(C144-J144)))</f>
        <v>#DIV/0!</v>
      </c>
      <c r="L144" s="49" t="e">
        <f>IF(AND(C$7="Y",$B144&lt;=$C$4),0,IF(AND(C$7="N",C$4&gt;0,B144&lt;=C$4),0,U144*D143))</f>
        <v>#DIV/0!</v>
      </c>
      <c r="M144" s="49">
        <f t="shared" si="30"/>
        <v>0</v>
      </c>
      <c r="N144" s="49">
        <f t="shared" si="29"/>
        <v>0</v>
      </c>
      <c r="O144" s="48" t="e">
        <f>K144+I144+J144-L144+N144+G144</f>
        <v>#DIV/0!</v>
      </c>
      <c r="P144" s="38" t="e">
        <f>O144*(1/((1+P$12)^(B144/12)))</f>
        <v>#DIV/0!</v>
      </c>
      <c r="Q144" s="53"/>
      <c r="R144" s="53">
        <f t="shared" ref="R144:R207" si="36">R$12</f>
        <v>0.12</v>
      </c>
      <c r="S144" s="53">
        <f t="shared" ref="S144:S207" si="37">1-(1-R144)^(1/12)</f>
        <v>1.0596241035318976E-2</v>
      </c>
      <c r="T144" s="53">
        <f t="shared" ref="T144:T207" si="38">T$12</f>
        <v>0.05</v>
      </c>
      <c r="U144" s="53">
        <f t="shared" si="27"/>
        <v>4.2653187775606449E-3</v>
      </c>
    </row>
    <row r="145" spans="1:21" x14ac:dyDescent="0.2">
      <c r="A145" s="62" t="e">
        <f t="shared" si="31"/>
        <v>#DIV/0!</v>
      </c>
      <c r="B145" s="45">
        <f t="shared" si="32"/>
        <v>131</v>
      </c>
      <c r="C145" s="51" t="e">
        <f>IF(B145&lt;C$4,C$1,D144-L145+N145)</f>
        <v>#DIV/0!</v>
      </c>
      <c r="D145" s="47" t="e" cm="1">
        <f t="array" ref="D145">_xlfn.IFS(AND($C$7="Y",B145&lt;C$4),C145,AND($C$7="Y",B145=C$4),D144+F145-J145-K145-L145+N145,AND($C$7="Y",B145&gt;$C$4),D144-J145-K145-L145+N145, TRUE, D144-J145-K145-L145+N145)</f>
        <v>#DIV/0!</v>
      </c>
      <c r="E145" s="48">
        <f t="shared" si="33"/>
        <v>0</v>
      </c>
      <c r="F145" s="50">
        <f t="shared" si="34"/>
        <v>0</v>
      </c>
      <c r="G145" s="50">
        <f t="shared" si="28"/>
        <v>0</v>
      </c>
      <c r="H145" s="51" t="e">
        <f t="shared" si="35"/>
        <v>#DIV/0!</v>
      </c>
      <c r="I145" s="52" t="e">
        <f>IF(AND(C$7="Y",$B145&lt;=C$4),0,IF(AND(C$7="Y",$B145&gt;C$4),(1-U145)*C$2*D144/12,IF(AND($C$7="N",C$4&gt;0),(1-U145)*D144*C$2/12, (1-U145)*D144*C$2/12)))</f>
        <v>#DIV/0!</v>
      </c>
      <c r="J145" s="52" t="e">
        <f>IF(AND($B145&lt;=$C$4,C$7="Y"),0,IF(AND(C$7="N",C$4&gt;0,B145&lt;=C$4),0,H145-I145))</f>
        <v>#DIV/0!</v>
      </c>
      <c r="K145" s="51" t="e">
        <f>IF(AND(C$7="Y",$B145&lt;=$C$4),0,IF(AND(C$7="N",C$4&gt;0,B145&lt;=C$4),0,S145*(C145-J145)))</f>
        <v>#DIV/0!</v>
      </c>
      <c r="L145" s="49" t="e">
        <f>IF(AND(C$7="Y",$B145&lt;=$C$4),0,IF(AND(C$7="N",C$4&gt;0,B145&lt;=C$4),0,U145*D144))</f>
        <v>#DIV/0!</v>
      </c>
      <c r="M145" s="49">
        <f t="shared" si="30"/>
        <v>0</v>
      </c>
      <c r="N145" s="49">
        <f t="shared" si="29"/>
        <v>0</v>
      </c>
      <c r="O145" s="48" t="e">
        <f>K145+I145+J145-L145+N145+G145</f>
        <v>#DIV/0!</v>
      </c>
      <c r="P145" s="38" t="e">
        <f>O145*(1/((1+P$12)^(B145/12)))</f>
        <v>#DIV/0!</v>
      </c>
      <c r="Q145" s="53"/>
      <c r="R145" s="53">
        <f t="shared" si="36"/>
        <v>0.12</v>
      </c>
      <c r="S145" s="53">
        <f t="shared" si="37"/>
        <v>1.0596241035318976E-2</v>
      </c>
      <c r="T145" s="53">
        <f t="shared" si="38"/>
        <v>0.05</v>
      </c>
      <c r="U145" s="53">
        <f t="shared" ref="U145:U208" si="39">1-(1-T145)^(1/12)</f>
        <v>4.2653187775606449E-3</v>
      </c>
    </row>
    <row r="146" spans="1:21" x14ac:dyDescent="0.2">
      <c r="A146" s="62" t="e">
        <f t="shared" si="31"/>
        <v>#DIV/0!</v>
      </c>
      <c r="B146" s="45">
        <f t="shared" si="32"/>
        <v>132</v>
      </c>
      <c r="C146" s="51" t="e">
        <f>IF(B146&lt;C$4,C$1,D145-L146+N146)</f>
        <v>#DIV/0!</v>
      </c>
      <c r="D146" s="47" t="e" cm="1">
        <f t="array" ref="D146">_xlfn.IFS(AND($C$7="Y",B146&lt;C$4),C146,AND($C$7="Y",B146=C$4),D145+F146-J146-K146-L146+N146,AND($C$7="Y",B146&gt;$C$4),D145-J146-K146-L146+N146, TRUE, D145-J146-K146-L146+N146)</f>
        <v>#DIV/0!</v>
      </c>
      <c r="E146" s="48">
        <f t="shared" si="33"/>
        <v>0</v>
      </c>
      <c r="F146" s="50">
        <f t="shared" si="34"/>
        <v>0</v>
      </c>
      <c r="G146" s="50">
        <f t="shared" ref="G146:G209" si="40">IF($B146&lt;=$C$4,C$6,0)</f>
        <v>0</v>
      </c>
      <c r="H146" s="51" t="e">
        <f t="shared" si="35"/>
        <v>#DIV/0!</v>
      </c>
      <c r="I146" s="52" t="e">
        <f>IF(AND(C$7="Y",$B146&lt;=C$4),0,IF(AND(C$7="Y",$B146&gt;C$4),(1-U146)*C$2*D145/12,IF(AND($C$7="N",C$4&gt;0),(1-U146)*D145*C$2/12, (1-U146)*D145*C$2/12)))</f>
        <v>#DIV/0!</v>
      </c>
      <c r="J146" s="52" t="e">
        <f>IF(AND($B146&lt;=$C$4,C$7="Y"),0,IF(AND(C$7="N",C$4&gt;0,B146&lt;=C$4),0,H146-I146))</f>
        <v>#DIV/0!</v>
      </c>
      <c r="K146" s="51" t="e">
        <f>IF(AND(C$7="Y",$B146&lt;=$C$4),0,IF(AND(C$7="N",C$4&gt;0,B146&lt;=C$4),0,S146*(C146-J146)))</f>
        <v>#DIV/0!</v>
      </c>
      <c r="L146" s="49" t="e">
        <f>IF(AND(C$7="Y",$B146&lt;=$C$4),0,IF(AND(C$7="N",C$4&gt;0,B146&lt;=C$4),0,U146*D145))</f>
        <v>#DIV/0!</v>
      </c>
      <c r="M146" s="49">
        <f t="shared" si="30"/>
        <v>0</v>
      </c>
      <c r="N146" s="49">
        <f t="shared" si="29"/>
        <v>0</v>
      </c>
      <c r="O146" s="48" t="e">
        <f>K146+I146+J146-L146+N146+G146</f>
        <v>#DIV/0!</v>
      </c>
      <c r="P146" s="38" t="e">
        <f>O146*(1/((1+P$12)^(B146/12)))</f>
        <v>#DIV/0!</v>
      </c>
      <c r="Q146" s="53"/>
      <c r="R146" s="53">
        <f t="shared" si="36"/>
        <v>0.12</v>
      </c>
      <c r="S146" s="53">
        <f t="shared" si="37"/>
        <v>1.0596241035318976E-2</v>
      </c>
      <c r="T146" s="53">
        <f t="shared" si="38"/>
        <v>0.05</v>
      </c>
      <c r="U146" s="53">
        <f t="shared" si="39"/>
        <v>4.2653187775606449E-3</v>
      </c>
    </row>
    <row r="147" spans="1:21" x14ac:dyDescent="0.2">
      <c r="A147" s="62" t="e">
        <f t="shared" si="31"/>
        <v>#DIV/0!</v>
      </c>
      <c r="B147" s="45">
        <f t="shared" si="32"/>
        <v>133</v>
      </c>
      <c r="C147" s="51" t="e">
        <f>IF(B147&lt;C$4,C$1,D146-L147+N147)</f>
        <v>#DIV/0!</v>
      </c>
      <c r="D147" s="47" t="e" cm="1">
        <f t="array" ref="D147">_xlfn.IFS(AND($C$7="Y",B147&lt;C$4),C147,AND($C$7="Y",B147=C$4),D146+F147-J147-K147-L147+N147,AND($C$7="Y",B147&gt;$C$4),D146-J147-K147-L147+N147, TRUE, D146-J147-K147-L147+N147)</f>
        <v>#DIV/0!</v>
      </c>
      <c r="E147" s="48">
        <f t="shared" si="33"/>
        <v>0</v>
      </c>
      <c r="F147" s="50">
        <f t="shared" si="34"/>
        <v>0</v>
      </c>
      <c r="G147" s="50">
        <f t="shared" si="40"/>
        <v>0</v>
      </c>
      <c r="H147" s="51" t="e">
        <f t="shared" si="35"/>
        <v>#DIV/0!</v>
      </c>
      <c r="I147" s="52" t="e">
        <f>IF(AND(C$7="Y",$B147&lt;=C$4),0,IF(AND(C$7="Y",$B147&gt;C$4),(1-U147)*C$2*D146/12,IF(AND($C$7="N",C$4&gt;0),(1-U147)*D146*C$2/12, (1-U147)*D146*C$2/12)))</f>
        <v>#DIV/0!</v>
      </c>
      <c r="J147" s="52" t="e">
        <f>IF(AND($B147&lt;=$C$4,C$7="Y"),0,IF(AND(C$7="N",C$4&gt;0,B147&lt;=C$4),0,H147-I147))</f>
        <v>#DIV/0!</v>
      </c>
      <c r="K147" s="51" t="e">
        <f>IF(AND(C$7="Y",$B147&lt;=$C$4),0,IF(AND(C$7="N",C$4&gt;0,B147&lt;=C$4),0,S147*(C147-J147)))</f>
        <v>#DIV/0!</v>
      </c>
      <c r="L147" s="49" t="e">
        <f>IF(AND(C$7="Y",$B147&lt;=$C$4),0,IF(AND(C$7="N",C$4&gt;0,B147&lt;=C$4),0,U147*D146))</f>
        <v>#DIV/0!</v>
      </c>
      <c r="M147" s="49">
        <f t="shared" si="30"/>
        <v>0</v>
      </c>
      <c r="N147" s="49">
        <f t="shared" si="29"/>
        <v>0</v>
      </c>
      <c r="O147" s="48" t="e">
        <f>K147+I147+J147-L147+N147+G147</f>
        <v>#DIV/0!</v>
      </c>
      <c r="P147" s="38" t="e">
        <f>O147*(1/((1+P$12)^(B147/12)))</f>
        <v>#DIV/0!</v>
      </c>
      <c r="Q147" s="53"/>
      <c r="R147" s="53">
        <f t="shared" si="36"/>
        <v>0.12</v>
      </c>
      <c r="S147" s="53">
        <f t="shared" si="37"/>
        <v>1.0596241035318976E-2</v>
      </c>
      <c r="T147" s="53">
        <f t="shared" si="38"/>
        <v>0.05</v>
      </c>
      <c r="U147" s="53">
        <f t="shared" si="39"/>
        <v>4.2653187775606449E-3</v>
      </c>
    </row>
    <row r="148" spans="1:21" x14ac:dyDescent="0.2">
      <c r="A148" s="62" t="e">
        <f t="shared" si="31"/>
        <v>#DIV/0!</v>
      </c>
      <c r="B148" s="45">
        <f t="shared" si="32"/>
        <v>134</v>
      </c>
      <c r="C148" s="51" t="e">
        <f>IF(B148&lt;C$4,C$1,D147-L148+N148)</f>
        <v>#DIV/0!</v>
      </c>
      <c r="D148" s="47" t="e" cm="1">
        <f t="array" ref="D148">_xlfn.IFS(AND($C$7="Y",B148&lt;C$4),C148,AND($C$7="Y",B148=C$4),D147+F148-J148-K148-L148+N148,AND($C$7="Y",B148&gt;$C$4),D147-J148-K148-L148+N148, TRUE, D147-J148-K148-L148+N148)</f>
        <v>#DIV/0!</v>
      </c>
      <c r="E148" s="48">
        <f t="shared" si="33"/>
        <v>0</v>
      </c>
      <c r="F148" s="50">
        <f t="shared" si="34"/>
        <v>0</v>
      </c>
      <c r="G148" s="50">
        <f t="shared" si="40"/>
        <v>0</v>
      </c>
      <c r="H148" s="51" t="e">
        <f t="shared" si="35"/>
        <v>#DIV/0!</v>
      </c>
      <c r="I148" s="52" t="e">
        <f>IF(AND(C$7="Y",$B148&lt;=C$4),0,IF(AND(C$7="Y",$B148&gt;C$4),(1-U148)*C$2*D147/12,IF(AND($C$7="N",C$4&gt;0),(1-U148)*D147*C$2/12, (1-U148)*D147*C$2/12)))</f>
        <v>#DIV/0!</v>
      </c>
      <c r="J148" s="52" t="e">
        <f>IF(AND($B148&lt;=$C$4,C$7="Y"),0,IF(AND(C$7="N",C$4&gt;0,B148&lt;=C$4),0,H148-I148))</f>
        <v>#DIV/0!</v>
      </c>
      <c r="K148" s="51" t="e">
        <f>IF(AND(C$7="Y",$B148&lt;=$C$4),0,IF(AND(C$7="N",C$4&gt;0,B148&lt;=C$4),0,S148*(C148-J148)))</f>
        <v>#DIV/0!</v>
      </c>
      <c r="L148" s="49" t="e">
        <f>IF(AND(C$7="Y",$B148&lt;=$C$4),0,IF(AND(C$7="N",C$4&gt;0,B148&lt;=C$4),0,U148*D147))</f>
        <v>#DIV/0!</v>
      </c>
      <c r="M148" s="49">
        <f t="shared" si="30"/>
        <v>0</v>
      </c>
      <c r="N148" s="49">
        <f t="shared" si="29"/>
        <v>0</v>
      </c>
      <c r="O148" s="48" t="e">
        <f>K148+I148+J148-L148+N148+G148</f>
        <v>#DIV/0!</v>
      </c>
      <c r="P148" s="38" t="e">
        <f>O148*(1/((1+P$12)^(B148/12)))</f>
        <v>#DIV/0!</v>
      </c>
      <c r="Q148" s="53"/>
      <c r="R148" s="53">
        <f t="shared" si="36"/>
        <v>0.12</v>
      </c>
      <c r="S148" s="53">
        <f t="shared" si="37"/>
        <v>1.0596241035318976E-2</v>
      </c>
      <c r="T148" s="53">
        <f t="shared" si="38"/>
        <v>0.05</v>
      </c>
      <c r="U148" s="53">
        <f t="shared" si="39"/>
        <v>4.2653187775606449E-3</v>
      </c>
    </row>
    <row r="149" spans="1:21" x14ac:dyDescent="0.2">
      <c r="A149" s="62" t="e">
        <f t="shared" si="31"/>
        <v>#DIV/0!</v>
      </c>
      <c r="B149" s="45">
        <f t="shared" si="32"/>
        <v>135</v>
      </c>
      <c r="C149" s="51" t="e">
        <f>IF(B149&lt;C$4,C$1,D148-L149+N149)</f>
        <v>#DIV/0!</v>
      </c>
      <c r="D149" s="47" t="e" cm="1">
        <f t="array" ref="D149">_xlfn.IFS(AND($C$7="Y",B149&lt;C$4),C149,AND($C$7="Y",B149=C$4),D148+F149-J149-K149-L149+N149,AND($C$7="Y",B149&gt;$C$4),D148-J149-K149-L149+N149, TRUE, D148-J149-K149-L149+N149)</f>
        <v>#DIV/0!</v>
      </c>
      <c r="E149" s="48">
        <f t="shared" si="33"/>
        <v>0</v>
      </c>
      <c r="F149" s="50">
        <f t="shared" si="34"/>
        <v>0</v>
      </c>
      <c r="G149" s="50">
        <f t="shared" si="40"/>
        <v>0</v>
      </c>
      <c r="H149" s="51" t="e">
        <f t="shared" si="35"/>
        <v>#DIV/0!</v>
      </c>
      <c r="I149" s="52" t="e">
        <f>IF(AND(C$7="Y",$B149&lt;=C$4),0,IF(AND(C$7="Y",$B149&gt;C$4),(1-U149)*C$2*D148/12,IF(AND($C$7="N",C$4&gt;0),(1-U149)*D148*C$2/12, (1-U149)*D148*C$2/12)))</f>
        <v>#DIV/0!</v>
      </c>
      <c r="J149" s="52" t="e">
        <f>IF(AND($B149&lt;=$C$4,C$7="Y"),0,IF(AND(C$7="N",C$4&gt;0,B149&lt;=C$4),0,H149-I149))</f>
        <v>#DIV/0!</v>
      </c>
      <c r="K149" s="51" t="e">
        <f>IF(AND(C$7="Y",$B149&lt;=$C$4),0,IF(AND(C$7="N",C$4&gt;0,B149&lt;=C$4),0,S149*(C149-J149)))</f>
        <v>#DIV/0!</v>
      </c>
      <c r="L149" s="49" t="e">
        <f>IF(AND(C$7="Y",$B149&lt;=$C$4),0,IF(AND(C$7="N",C$4&gt;0,B149&lt;=C$4),0,U149*D148))</f>
        <v>#DIV/0!</v>
      </c>
      <c r="M149" s="49">
        <f t="shared" si="30"/>
        <v>0</v>
      </c>
      <c r="N149" s="49">
        <f t="shared" si="29"/>
        <v>0</v>
      </c>
      <c r="O149" s="48" t="e">
        <f>K149+I149+J149-L149+N149+G149</f>
        <v>#DIV/0!</v>
      </c>
      <c r="P149" s="38" t="e">
        <f>O149*(1/((1+P$12)^(B149/12)))</f>
        <v>#DIV/0!</v>
      </c>
      <c r="Q149" s="53"/>
      <c r="R149" s="53">
        <f t="shared" si="36"/>
        <v>0.12</v>
      </c>
      <c r="S149" s="53">
        <f t="shared" si="37"/>
        <v>1.0596241035318976E-2</v>
      </c>
      <c r="T149" s="53">
        <f t="shared" si="38"/>
        <v>0.05</v>
      </c>
      <c r="U149" s="53">
        <f t="shared" si="39"/>
        <v>4.2653187775606449E-3</v>
      </c>
    </row>
    <row r="150" spans="1:21" x14ac:dyDescent="0.2">
      <c r="A150" s="62" t="e">
        <f t="shared" si="31"/>
        <v>#DIV/0!</v>
      </c>
      <c r="B150" s="45">
        <f t="shared" si="32"/>
        <v>136</v>
      </c>
      <c r="C150" s="51" t="e">
        <f>IF(B150&lt;C$4,C$1,D149-L150+N150)</f>
        <v>#DIV/0!</v>
      </c>
      <c r="D150" s="47" t="e" cm="1">
        <f t="array" ref="D150">_xlfn.IFS(AND($C$7="Y",B150&lt;C$4),C150,AND($C$7="Y",B150=C$4),D149+F150-J150-K150-L150+N150,AND($C$7="Y",B150&gt;$C$4),D149-J150-K150-L150+N150, TRUE, D149-J150-K150-L150+N150)</f>
        <v>#DIV/0!</v>
      </c>
      <c r="E150" s="48">
        <f t="shared" si="33"/>
        <v>0</v>
      </c>
      <c r="F150" s="50">
        <f t="shared" si="34"/>
        <v>0</v>
      </c>
      <c r="G150" s="50">
        <f t="shared" si="40"/>
        <v>0</v>
      </c>
      <c r="H150" s="51" t="e">
        <f t="shared" si="35"/>
        <v>#DIV/0!</v>
      </c>
      <c r="I150" s="52" t="e">
        <f>IF(AND(C$7="Y",$B150&lt;=C$4),0,IF(AND(C$7="Y",$B150&gt;C$4),(1-U150)*C$2*D149/12,IF(AND($C$7="N",C$4&gt;0),(1-U150)*D149*C$2/12, (1-U150)*D149*C$2/12)))</f>
        <v>#DIV/0!</v>
      </c>
      <c r="J150" s="52" t="e">
        <f>IF(AND($B150&lt;=$C$4,C$7="Y"),0,IF(AND(C$7="N",C$4&gt;0,B150&lt;=C$4),0,H150-I150))</f>
        <v>#DIV/0!</v>
      </c>
      <c r="K150" s="51" t="e">
        <f>IF(AND(C$7="Y",$B150&lt;=$C$4),0,IF(AND(C$7="N",C$4&gt;0,B150&lt;=C$4),0,S150*(C150-J150)))</f>
        <v>#DIV/0!</v>
      </c>
      <c r="L150" s="49" t="e">
        <f>IF(AND(C$7="Y",$B150&lt;=$C$4),0,IF(AND(C$7="N",C$4&gt;0,B150&lt;=C$4),0,U150*D149))</f>
        <v>#DIV/0!</v>
      </c>
      <c r="M150" s="49">
        <f t="shared" si="30"/>
        <v>0</v>
      </c>
      <c r="N150" s="49">
        <f t="shared" si="29"/>
        <v>0</v>
      </c>
      <c r="O150" s="48" t="e">
        <f>K150+I150+J150-L150+N150+G150</f>
        <v>#DIV/0!</v>
      </c>
      <c r="P150" s="38" t="e">
        <f>O150*(1/((1+P$12)^(B150/12)))</f>
        <v>#DIV/0!</v>
      </c>
      <c r="Q150" s="53"/>
      <c r="R150" s="53">
        <f t="shared" si="36"/>
        <v>0.12</v>
      </c>
      <c r="S150" s="53">
        <f t="shared" si="37"/>
        <v>1.0596241035318976E-2</v>
      </c>
      <c r="T150" s="53">
        <f t="shared" si="38"/>
        <v>0.05</v>
      </c>
      <c r="U150" s="53">
        <f t="shared" si="39"/>
        <v>4.2653187775606449E-3</v>
      </c>
    </row>
    <row r="151" spans="1:21" x14ac:dyDescent="0.2">
      <c r="A151" s="62" t="e">
        <f t="shared" si="31"/>
        <v>#DIV/0!</v>
      </c>
      <c r="B151" s="45">
        <f t="shared" si="32"/>
        <v>137</v>
      </c>
      <c r="C151" s="51" t="e">
        <f>IF(B151&lt;C$4,C$1,D150-L151+N151)</f>
        <v>#DIV/0!</v>
      </c>
      <c r="D151" s="47" t="e" cm="1">
        <f t="array" ref="D151">_xlfn.IFS(AND($C$7="Y",B151&lt;C$4),C151,AND($C$7="Y",B151=C$4),D150+F151-J151-K151-L151+N151,AND($C$7="Y",B151&gt;$C$4),D150-J151-K151-L151+N151, TRUE, D150-J151-K151-L151+N151)</f>
        <v>#DIV/0!</v>
      </c>
      <c r="E151" s="48">
        <f t="shared" si="33"/>
        <v>0</v>
      </c>
      <c r="F151" s="50">
        <f t="shared" si="34"/>
        <v>0</v>
      </c>
      <c r="G151" s="50">
        <f t="shared" si="40"/>
        <v>0</v>
      </c>
      <c r="H151" s="51" t="e">
        <f t="shared" si="35"/>
        <v>#DIV/0!</v>
      </c>
      <c r="I151" s="52" t="e">
        <f>IF(AND(C$7="Y",$B151&lt;=C$4),0,IF(AND(C$7="Y",$B151&gt;C$4),(1-U151)*C$2*D150/12,IF(AND($C$7="N",C$4&gt;0),(1-U151)*D150*C$2/12, (1-U151)*D150*C$2/12)))</f>
        <v>#DIV/0!</v>
      </c>
      <c r="J151" s="52" t="e">
        <f>IF(AND($B151&lt;=$C$4,C$7="Y"),0,IF(AND(C$7="N",C$4&gt;0,B151&lt;=C$4),0,H151-I151))</f>
        <v>#DIV/0!</v>
      </c>
      <c r="K151" s="51" t="e">
        <f>IF(AND(C$7="Y",$B151&lt;=$C$4),0,IF(AND(C$7="N",C$4&gt;0,B151&lt;=C$4),0,S151*(C151-J151)))</f>
        <v>#DIV/0!</v>
      </c>
      <c r="L151" s="49" t="e">
        <f>IF(AND(C$7="Y",$B151&lt;=$C$4),0,IF(AND(C$7="N",C$4&gt;0,B151&lt;=C$4),0,U151*D150))</f>
        <v>#DIV/0!</v>
      </c>
      <c r="M151" s="49">
        <f t="shared" si="30"/>
        <v>0</v>
      </c>
      <c r="N151" s="49">
        <f t="shared" si="29"/>
        <v>0</v>
      </c>
      <c r="O151" s="48" t="e">
        <f>K151+I151+J151-L151+N151+G151</f>
        <v>#DIV/0!</v>
      </c>
      <c r="P151" s="38" t="e">
        <f>O151*(1/((1+P$12)^(B151/12)))</f>
        <v>#DIV/0!</v>
      </c>
      <c r="Q151" s="53"/>
      <c r="R151" s="53">
        <f t="shared" si="36"/>
        <v>0.12</v>
      </c>
      <c r="S151" s="53">
        <f t="shared" si="37"/>
        <v>1.0596241035318976E-2</v>
      </c>
      <c r="T151" s="53">
        <f t="shared" si="38"/>
        <v>0.05</v>
      </c>
      <c r="U151" s="53">
        <f t="shared" si="39"/>
        <v>4.2653187775606449E-3</v>
      </c>
    </row>
    <row r="152" spans="1:21" x14ac:dyDescent="0.2">
      <c r="A152" s="62" t="e">
        <f t="shared" si="31"/>
        <v>#DIV/0!</v>
      </c>
      <c r="B152" s="45">
        <f t="shared" si="32"/>
        <v>138</v>
      </c>
      <c r="C152" s="51" t="e">
        <f>IF(B152&lt;C$4,C$1,D151-L152+N152)</f>
        <v>#DIV/0!</v>
      </c>
      <c r="D152" s="47" t="e" cm="1">
        <f t="array" ref="D152">_xlfn.IFS(AND($C$7="Y",B152&lt;C$4),C152,AND($C$7="Y",B152=C$4),D151+F152-J152-K152-L152+N152,AND($C$7="Y",B152&gt;$C$4),D151-J152-K152-L152+N152, TRUE, D151-J152-K152-L152+N152)</f>
        <v>#DIV/0!</v>
      </c>
      <c r="E152" s="48">
        <f t="shared" si="33"/>
        <v>0</v>
      </c>
      <c r="F152" s="50">
        <f t="shared" si="34"/>
        <v>0</v>
      </c>
      <c r="G152" s="50">
        <f t="shared" si="40"/>
        <v>0</v>
      </c>
      <c r="H152" s="51" t="e">
        <f t="shared" si="35"/>
        <v>#DIV/0!</v>
      </c>
      <c r="I152" s="52" t="e">
        <f>IF(AND(C$7="Y",$B152&lt;=C$4),0,IF(AND(C$7="Y",$B152&gt;C$4),(1-U152)*C$2*D151/12,IF(AND($C$7="N",C$4&gt;0),(1-U152)*D151*C$2/12, (1-U152)*D151*C$2/12)))</f>
        <v>#DIV/0!</v>
      </c>
      <c r="J152" s="52" t="e">
        <f>IF(AND($B152&lt;=$C$4,C$7="Y"),0,IF(AND(C$7="N",C$4&gt;0,B152&lt;=C$4),0,H152-I152))</f>
        <v>#DIV/0!</v>
      </c>
      <c r="K152" s="51" t="e">
        <f>IF(AND(C$7="Y",$B152&lt;=$C$4),0,IF(AND(C$7="N",C$4&gt;0,B152&lt;=C$4),0,S152*(C152-J152)))</f>
        <v>#DIV/0!</v>
      </c>
      <c r="L152" s="49" t="e">
        <f>IF(AND(C$7="Y",$B152&lt;=$C$4),0,IF(AND(C$7="N",C$4&gt;0,B152&lt;=C$4),0,U152*D151))</f>
        <v>#DIV/0!</v>
      </c>
      <c r="M152" s="49">
        <f t="shared" si="30"/>
        <v>0</v>
      </c>
      <c r="N152" s="49">
        <f t="shared" si="29"/>
        <v>0</v>
      </c>
      <c r="O152" s="48" t="e">
        <f>K152+I152+J152-L152+N152+G152</f>
        <v>#DIV/0!</v>
      </c>
      <c r="P152" s="38" t="e">
        <f>O152*(1/((1+P$12)^(B152/12)))</f>
        <v>#DIV/0!</v>
      </c>
      <c r="Q152" s="53"/>
      <c r="R152" s="53">
        <f t="shared" si="36"/>
        <v>0.12</v>
      </c>
      <c r="S152" s="53">
        <f t="shared" si="37"/>
        <v>1.0596241035318976E-2</v>
      </c>
      <c r="T152" s="53">
        <f t="shared" si="38"/>
        <v>0.05</v>
      </c>
      <c r="U152" s="53">
        <f t="shared" si="39"/>
        <v>4.2653187775606449E-3</v>
      </c>
    </row>
    <row r="153" spans="1:21" x14ac:dyDescent="0.2">
      <c r="A153" s="62" t="e">
        <f t="shared" si="31"/>
        <v>#DIV/0!</v>
      </c>
      <c r="B153" s="45">
        <f t="shared" si="32"/>
        <v>139</v>
      </c>
      <c r="C153" s="51" t="e">
        <f>IF(B153&lt;C$4,C$1,D152-L153+N153)</f>
        <v>#DIV/0!</v>
      </c>
      <c r="D153" s="47" t="e" cm="1">
        <f t="array" ref="D153">_xlfn.IFS(AND($C$7="Y",B153&lt;C$4),C153,AND($C$7="Y",B153=C$4),D152+F153-J153-K153-L153+N153,AND($C$7="Y",B153&gt;$C$4),D152-J153-K153-L153+N153, TRUE, D152-J153-K153-L153+N153)</f>
        <v>#DIV/0!</v>
      </c>
      <c r="E153" s="48">
        <f t="shared" si="33"/>
        <v>0</v>
      </c>
      <c r="F153" s="50">
        <f t="shared" si="34"/>
        <v>0</v>
      </c>
      <c r="G153" s="50">
        <f t="shared" si="40"/>
        <v>0</v>
      </c>
      <c r="H153" s="51" t="e">
        <f t="shared" si="35"/>
        <v>#DIV/0!</v>
      </c>
      <c r="I153" s="52" t="e">
        <f>IF(AND(C$7="Y",$B153&lt;=C$4),0,IF(AND(C$7="Y",$B153&gt;C$4),(1-U153)*C$2*D152/12,IF(AND($C$7="N",C$4&gt;0),(1-U153)*D152*C$2/12, (1-U153)*D152*C$2/12)))</f>
        <v>#DIV/0!</v>
      </c>
      <c r="J153" s="52" t="e">
        <f>IF(AND($B153&lt;=$C$4,C$7="Y"),0,IF(AND(C$7="N",C$4&gt;0,B153&lt;=C$4),0,H153-I153))</f>
        <v>#DIV/0!</v>
      </c>
      <c r="K153" s="51" t="e">
        <f>IF(AND(C$7="Y",$B153&lt;=$C$4),0,IF(AND(C$7="N",C$4&gt;0,B153&lt;=C$4),0,S153*(C153-J153)))</f>
        <v>#DIV/0!</v>
      </c>
      <c r="L153" s="49" t="e">
        <f>IF(AND(C$7="Y",$B153&lt;=$C$4),0,IF(AND(C$7="N",C$4&gt;0,B153&lt;=C$4),0,U153*D152))</f>
        <v>#DIV/0!</v>
      </c>
      <c r="M153" s="49">
        <f t="shared" si="30"/>
        <v>0</v>
      </c>
      <c r="N153" s="49">
        <f t="shared" si="29"/>
        <v>0</v>
      </c>
      <c r="O153" s="48" t="e">
        <f>K153+I153+J153-L153+N153+G153</f>
        <v>#DIV/0!</v>
      </c>
      <c r="P153" s="38" t="e">
        <f>O153*(1/((1+P$12)^(B153/12)))</f>
        <v>#DIV/0!</v>
      </c>
      <c r="Q153" s="53"/>
      <c r="R153" s="53">
        <f t="shared" si="36"/>
        <v>0.12</v>
      </c>
      <c r="S153" s="53">
        <f t="shared" si="37"/>
        <v>1.0596241035318976E-2</v>
      </c>
      <c r="T153" s="53">
        <f t="shared" si="38"/>
        <v>0.05</v>
      </c>
      <c r="U153" s="53">
        <f t="shared" si="39"/>
        <v>4.2653187775606449E-3</v>
      </c>
    </row>
    <row r="154" spans="1:21" x14ac:dyDescent="0.2">
      <c r="A154" s="62" t="e">
        <f t="shared" si="31"/>
        <v>#DIV/0!</v>
      </c>
      <c r="B154" s="45">
        <f t="shared" si="32"/>
        <v>140</v>
      </c>
      <c r="C154" s="51" t="e">
        <f>IF(B154&lt;C$4,C$1,D153-L154+N154)</f>
        <v>#DIV/0!</v>
      </c>
      <c r="D154" s="47" t="e" cm="1">
        <f t="array" ref="D154">_xlfn.IFS(AND($C$7="Y",B154&lt;C$4),C154,AND($C$7="Y",B154=C$4),D153+F154-J154-K154-L154+N154,AND($C$7="Y",B154&gt;$C$4),D153-J154-K154-L154+N154, TRUE, D153-J154-K154-L154+N154)</f>
        <v>#DIV/0!</v>
      </c>
      <c r="E154" s="48">
        <f t="shared" si="33"/>
        <v>0</v>
      </c>
      <c r="F154" s="50">
        <f t="shared" si="34"/>
        <v>0</v>
      </c>
      <c r="G154" s="50">
        <f t="shared" si="40"/>
        <v>0</v>
      </c>
      <c r="H154" s="51" t="e">
        <f t="shared" si="35"/>
        <v>#DIV/0!</v>
      </c>
      <c r="I154" s="52" t="e">
        <f>IF(AND(C$7="Y",$B154&lt;=C$4),0,IF(AND(C$7="Y",$B154&gt;C$4),(1-U154)*C$2*D153/12,IF(AND($C$7="N",C$4&gt;0),(1-U154)*D153*C$2/12, (1-U154)*D153*C$2/12)))</f>
        <v>#DIV/0!</v>
      </c>
      <c r="J154" s="52" t="e">
        <f>IF(AND($B154&lt;=$C$4,C$7="Y"),0,IF(AND(C$7="N",C$4&gt;0,B154&lt;=C$4),0,H154-I154))</f>
        <v>#DIV/0!</v>
      </c>
      <c r="K154" s="51" t="e">
        <f>IF(AND(C$7="Y",$B154&lt;=$C$4),0,IF(AND(C$7="N",C$4&gt;0,B154&lt;=C$4),0,S154*(C154-J154)))</f>
        <v>#DIV/0!</v>
      </c>
      <c r="L154" s="49" t="e">
        <f>IF(AND(C$7="Y",$B154&lt;=$C$4),0,IF(AND(C$7="N",C$4&gt;0,B154&lt;=C$4),0,U154*D153))</f>
        <v>#DIV/0!</v>
      </c>
      <c r="M154" s="49">
        <f t="shared" si="30"/>
        <v>0</v>
      </c>
      <c r="N154" s="49">
        <f t="shared" si="29"/>
        <v>0</v>
      </c>
      <c r="O154" s="48" t="e">
        <f>K154+I154+J154-L154+N154+G154</f>
        <v>#DIV/0!</v>
      </c>
      <c r="P154" s="38" t="e">
        <f>O154*(1/((1+P$12)^(B154/12)))</f>
        <v>#DIV/0!</v>
      </c>
      <c r="Q154" s="53"/>
      <c r="R154" s="53">
        <f t="shared" si="36"/>
        <v>0.12</v>
      </c>
      <c r="S154" s="53">
        <f t="shared" si="37"/>
        <v>1.0596241035318976E-2</v>
      </c>
      <c r="T154" s="53">
        <f t="shared" si="38"/>
        <v>0.05</v>
      </c>
      <c r="U154" s="53">
        <f t="shared" si="39"/>
        <v>4.2653187775606449E-3</v>
      </c>
    </row>
    <row r="155" spans="1:21" x14ac:dyDescent="0.2">
      <c r="A155" s="62" t="e">
        <f t="shared" si="31"/>
        <v>#DIV/0!</v>
      </c>
      <c r="B155" s="45">
        <f t="shared" si="32"/>
        <v>141</v>
      </c>
      <c r="C155" s="51" t="e">
        <f>IF(B155&lt;C$4,C$1,D154-L155+N155)</f>
        <v>#DIV/0!</v>
      </c>
      <c r="D155" s="47" t="e" cm="1">
        <f t="array" ref="D155">_xlfn.IFS(AND($C$7="Y",B155&lt;C$4),C155,AND($C$7="Y",B155=C$4),D154+F155-J155-K155-L155+N155,AND($C$7="Y",B155&gt;$C$4),D154-J155-K155-L155+N155, TRUE, D154-J155-K155-L155+N155)</f>
        <v>#DIV/0!</v>
      </c>
      <c r="E155" s="48">
        <f t="shared" si="33"/>
        <v>0</v>
      </c>
      <c r="F155" s="50">
        <f t="shared" si="34"/>
        <v>0</v>
      </c>
      <c r="G155" s="50">
        <f t="shared" si="40"/>
        <v>0</v>
      </c>
      <c r="H155" s="51" t="e">
        <f t="shared" si="35"/>
        <v>#DIV/0!</v>
      </c>
      <c r="I155" s="52" t="e">
        <f>IF(AND(C$7="Y",$B155&lt;=C$4),0,IF(AND(C$7="Y",$B155&gt;C$4),(1-U155)*C$2*D154/12,IF(AND($C$7="N",C$4&gt;0),(1-U155)*D154*C$2/12, (1-U155)*D154*C$2/12)))</f>
        <v>#DIV/0!</v>
      </c>
      <c r="J155" s="52" t="e">
        <f>IF(AND($B155&lt;=$C$4,C$7="Y"),0,IF(AND(C$7="N",C$4&gt;0,B155&lt;=C$4),0,H155-I155))</f>
        <v>#DIV/0!</v>
      </c>
      <c r="K155" s="51" t="e">
        <f>IF(AND(C$7="Y",$B155&lt;=$C$4),0,IF(AND(C$7="N",C$4&gt;0,B155&lt;=C$4),0,S155*(C155-J155)))</f>
        <v>#DIV/0!</v>
      </c>
      <c r="L155" s="49" t="e">
        <f>IF(AND(C$7="Y",$B155&lt;=$C$4),0,IF(AND(C$7="N",C$4&gt;0,B155&lt;=C$4),0,U155*D154))</f>
        <v>#DIV/0!</v>
      </c>
      <c r="M155" s="49">
        <f t="shared" si="30"/>
        <v>0</v>
      </c>
      <c r="N155" s="49">
        <f t="shared" si="29"/>
        <v>0</v>
      </c>
      <c r="O155" s="48" t="e">
        <f>K155+I155+J155-L155+N155+G155</f>
        <v>#DIV/0!</v>
      </c>
      <c r="P155" s="38" t="e">
        <f>O155*(1/((1+P$12)^(B155/12)))</f>
        <v>#DIV/0!</v>
      </c>
      <c r="Q155" s="53"/>
      <c r="R155" s="53">
        <f t="shared" si="36"/>
        <v>0.12</v>
      </c>
      <c r="S155" s="53">
        <f t="shared" si="37"/>
        <v>1.0596241035318976E-2</v>
      </c>
      <c r="T155" s="53">
        <f t="shared" si="38"/>
        <v>0.05</v>
      </c>
      <c r="U155" s="53">
        <f t="shared" si="39"/>
        <v>4.2653187775606449E-3</v>
      </c>
    </row>
    <row r="156" spans="1:21" x14ac:dyDescent="0.2">
      <c r="A156" s="62" t="e">
        <f t="shared" si="31"/>
        <v>#DIV/0!</v>
      </c>
      <c r="B156" s="45">
        <f t="shared" si="32"/>
        <v>142</v>
      </c>
      <c r="C156" s="51" t="e">
        <f>IF(B156&lt;C$4,C$1,D155-L156+N156)</f>
        <v>#DIV/0!</v>
      </c>
      <c r="D156" s="47" t="e" cm="1">
        <f t="array" ref="D156">_xlfn.IFS(AND($C$7="Y",B156&lt;C$4),C156,AND($C$7="Y",B156=C$4),D155+F156-J156-K156-L156+N156,AND($C$7="Y",B156&gt;$C$4),D155-J156-K156-L156+N156, TRUE, D155-J156-K156-L156+N156)</f>
        <v>#DIV/0!</v>
      </c>
      <c r="E156" s="48">
        <f t="shared" si="33"/>
        <v>0</v>
      </c>
      <c r="F156" s="50">
        <f t="shared" si="34"/>
        <v>0</v>
      </c>
      <c r="G156" s="50">
        <f t="shared" si="40"/>
        <v>0</v>
      </c>
      <c r="H156" s="51" t="e">
        <f t="shared" si="35"/>
        <v>#DIV/0!</v>
      </c>
      <c r="I156" s="52" t="e">
        <f>IF(AND(C$7="Y",$B156&lt;=C$4),0,IF(AND(C$7="Y",$B156&gt;C$4),(1-U156)*C$2*D155/12,IF(AND($C$7="N",C$4&gt;0),(1-U156)*D155*C$2/12, (1-U156)*D155*C$2/12)))</f>
        <v>#DIV/0!</v>
      </c>
      <c r="J156" s="52" t="e">
        <f>IF(AND($B156&lt;=$C$4,C$7="Y"),0,IF(AND(C$7="N",C$4&gt;0,B156&lt;=C$4),0,H156-I156))</f>
        <v>#DIV/0!</v>
      </c>
      <c r="K156" s="51" t="e">
        <f>IF(AND(C$7="Y",$B156&lt;=$C$4),0,IF(AND(C$7="N",C$4&gt;0,B156&lt;=C$4),0,S156*(C156-J156)))</f>
        <v>#DIV/0!</v>
      </c>
      <c r="L156" s="49" t="e">
        <f>IF(AND(C$7="Y",$B156&lt;=$C$4),0,IF(AND(C$7="N",C$4&gt;0,B156&lt;=C$4),0,U156*D155))</f>
        <v>#DIV/0!</v>
      </c>
      <c r="M156" s="49">
        <f t="shared" si="30"/>
        <v>0</v>
      </c>
      <c r="N156" s="49">
        <f t="shared" si="29"/>
        <v>0</v>
      </c>
      <c r="O156" s="48" t="e">
        <f>K156+I156+J156-L156+N156+G156</f>
        <v>#DIV/0!</v>
      </c>
      <c r="P156" s="38" t="e">
        <f>O156*(1/((1+P$12)^(B156/12)))</f>
        <v>#DIV/0!</v>
      </c>
      <c r="Q156" s="53"/>
      <c r="R156" s="53">
        <f t="shared" si="36"/>
        <v>0.12</v>
      </c>
      <c r="S156" s="53">
        <f t="shared" si="37"/>
        <v>1.0596241035318976E-2</v>
      </c>
      <c r="T156" s="53">
        <f t="shared" si="38"/>
        <v>0.05</v>
      </c>
      <c r="U156" s="53">
        <f t="shared" si="39"/>
        <v>4.2653187775606449E-3</v>
      </c>
    </row>
    <row r="157" spans="1:21" x14ac:dyDescent="0.2">
      <c r="A157" s="62" t="e">
        <f t="shared" si="31"/>
        <v>#DIV/0!</v>
      </c>
      <c r="B157" s="45">
        <f t="shared" si="32"/>
        <v>143</v>
      </c>
      <c r="C157" s="51" t="e">
        <f>IF(B157&lt;C$4,C$1,D156-L157+N157)</f>
        <v>#DIV/0!</v>
      </c>
      <c r="D157" s="47" t="e" cm="1">
        <f t="array" ref="D157">_xlfn.IFS(AND($C$7="Y",B157&lt;C$4),C157,AND($C$7="Y",B157=C$4),D156+F157-J157-K157-L157+N157,AND($C$7="Y",B157&gt;$C$4),D156-J157-K157-L157+N157, TRUE, D156-J157-K157-L157+N157)</f>
        <v>#DIV/0!</v>
      </c>
      <c r="E157" s="48">
        <f t="shared" si="33"/>
        <v>0</v>
      </c>
      <c r="F157" s="50">
        <f t="shared" si="34"/>
        <v>0</v>
      </c>
      <c r="G157" s="50">
        <f t="shared" si="40"/>
        <v>0</v>
      </c>
      <c r="H157" s="51" t="e">
        <f t="shared" si="35"/>
        <v>#DIV/0!</v>
      </c>
      <c r="I157" s="52" t="e">
        <f>IF(AND(C$7="Y",$B157&lt;=C$4),0,IF(AND(C$7="Y",$B157&gt;C$4),(1-U157)*C$2*D156/12,IF(AND($C$7="N",C$4&gt;0),(1-U157)*D156*C$2/12, (1-U157)*D156*C$2/12)))</f>
        <v>#DIV/0!</v>
      </c>
      <c r="J157" s="52" t="e">
        <f>IF(AND($B157&lt;=$C$4,C$7="Y"),0,IF(AND(C$7="N",C$4&gt;0,B157&lt;=C$4),0,H157-I157))</f>
        <v>#DIV/0!</v>
      </c>
      <c r="K157" s="51" t="e">
        <f>IF(AND(C$7="Y",$B157&lt;=$C$4),0,IF(AND(C$7="N",C$4&gt;0,B157&lt;=C$4),0,S157*(C157-J157)))</f>
        <v>#DIV/0!</v>
      </c>
      <c r="L157" s="49" t="e">
        <f>IF(AND(C$7="Y",$B157&lt;=$C$4),0,IF(AND(C$7="N",C$4&gt;0,B157&lt;=C$4),0,U157*D156))</f>
        <v>#DIV/0!</v>
      </c>
      <c r="M157" s="49">
        <f t="shared" si="30"/>
        <v>0</v>
      </c>
      <c r="N157" s="49">
        <f t="shared" si="29"/>
        <v>0</v>
      </c>
      <c r="O157" s="48" t="e">
        <f>K157+I157+J157-L157+N157+G157</f>
        <v>#DIV/0!</v>
      </c>
      <c r="P157" s="38" t="e">
        <f>O157*(1/((1+P$12)^(B157/12)))</f>
        <v>#DIV/0!</v>
      </c>
      <c r="Q157" s="53"/>
      <c r="R157" s="53">
        <f t="shared" si="36"/>
        <v>0.12</v>
      </c>
      <c r="S157" s="53">
        <f t="shared" si="37"/>
        <v>1.0596241035318976E-2</v>
      </c>
      <c r="T157" s="53">
        <f t="shared" si="38"/>
        <v>0.05</v>
      </c>
      <c r="U157" s="53">
        <f t="shared" si="39"/>
        <v>4.2653187775606449E-3</v>
      </c>
    </row>
    <row r="158" spans="1:21" x14ac:dyDescent="0.2">
      <c r="A158" s="62" t="e">
        <f t="shared" si="31"/>
        <v>#DIV/0!</v>
      </c>
      <c r="B158" s="45">
        <f t="shared" si="32"/>
        <v>144</v>
      </c>
      <c r="C158" s="51" t="e">
        <f>IF(B158&lt;C$4,C$1,D157-L158+N158)</f>
        <v>#DIV/0!</v>
      </c>
      <c r="D158" s="47" t="e" cm="1">
        <f t="array" ref="D158">_xlfn.IFS(AND($C$7="Y",B158&lt;C$4),C158,AND($C$7="Y",B158=C$4),D157+F158-J158-K158-L158+N158,AND($C$7="Y",B158&gt;$C$4),D157-J158-K158-L158+N158, TRUE, D157-J158-K158-L158+N158)</f>
        <v>#DIV/0!</v>
      </c>
      <c r="E158" s="48">
        <f t="shared" si="33"/>
        <v>0</v>
      </c>
      <c r="F158" s="50">
        <f t="shared" si="34"/>
        <v>0</v>
      </c>
      <c r="G158" s="50">
        <f t="shared" si="40"/>
        <v>0</v>
      </c>
      <c r="H158" s="51" t="e">
        <f t="shared" si="35"/>
        <v>#DIV/0!</v>
      </c>
      <c r="I158" s="52" t="e">
        <f>IF(AND(C$7="Y",$B158&lt;=C$4),0,IF(AND(C$7="Y",$B158&gt;C$4),(1-U158)*C$2*D157/12,IF(AND($C$7="N",C$4&gt;0),(1-U158)*D157*C$2/12, (1-U158)*D157*C$2/12)))</f>
        <v>#DIV/0!</v>
      </c>
      <c r="J158" s="52" t="e">
        <f>IF(AND($B158&lt;=$C$4,C$7="Y"),0,IF(AND(C$7="N",C$4&gt;0,B158&lt;=C$4),0,H158-I158))</f>
        <v>#DIV/0!</v>
      </c>
      <c r="K158" s="51" t="e">
        <f>IF(AND(C$7="Y",$B158&lt;=$C$4),0,IF(AND(C$7="N",C$4&gt;0,B158&lt;=C$4),0,S158*(C158-J158)))</f>
        <v>#DIV/0!</v>
      </c>
      <c r="L158" s="49" t="e">
        <f>IF(AND(C$7="Y",$B158&lt;=$C$4),0,IF(AND(C$7="N",C$4&gt;0,B158&lt;=C$4),0,U158*D157))</f>
        <v>#DIV/0!</v>
      </c>
      <c r="M158" s="49">
        <f t="shared" si="30"/>
        <v>0</v>
      </c>
      <c r="N158" s="49">
        <f t="shared" si="29"/>
        <v>0</v>
      </c>
      <c r="O158" s="48" t="e">
        <f>K158+I158+J158-L158+N158+G158</f>
        <v>#DIV/0!</v>
      </c>
      <c r="P158" s="38" t="e">
        <f>O158*(1/((1+P$12)^(B158/12)))</f>
        <v>#DIV/0!</v>
      </c>
      <c r="Q158" s="53"/>
      <c r="R158" s="53">
        <f t="shared" si="36"/>
        <v>0.12</v>
      </c>
      <c r="S158" s="53">
        <f t="shared" si="37"/>
        <v>1.0596241035318976E-2</v>
      </c>
      <c r="T158" s="53">
        <f t="shared" si="38"/>
        <v>0.05</v>
      </c>
      <c r="U158" s="53">
        <f t="shared" si="39"/>
        <v>4.2653187775606449E-3</v>
      </c>
    </row>
    <row r="159" spans="1:21" x14ac:dyDescent="0.2">
      <c r="A159" s="62" t="e">
        <f t="shared" si="31"/>
        <v>#DIV/0!</v>
      </c>
      <c r="B159" s="45">
        <f t="shared" si="32"/>
        <v>145</v>
      </c>
      <c r="C159" s="51" t="e">
        <f>IF(B159&lt;C$4,C$1,D158-L159+N159)</f>
        <v>#DIV/0!</v>
      </c>
      <c r="D159" s="47" t="e" cm="1">
        <f t="array" ref="D159">_xlfn.IFS(AND($C$7="Y",B159&lt;C$4),C159,AND($C$7="Y",B159=C$4),D158+F159-J159-K159-L159+N159,AND($C$7="Y",B159&gt;$C$4),D158-J159-K159-L159+N159, TRUE, D158-J159-K159-L159+N159)</f>
        <v>#DIV/0!</v>
      </c>
      <c r="E159" s="48">
        <f t="shared" si="33"/>
        <v>0</v>
      </c>
      <c r="F159" s="50">
        <f t="shared" si="34"/>
        <v>0</v>
      </c>
      <c r="G159" s="50">
        <f t="shared" si="40"/>
        <v>0</v>
      </c>
      <c r="H159" s="51" t="e">
        <f t="shared" si="35"/>
        <v>#DIV/0!</v>
      </c>
      <c r="I159" s="52" t="e">
        <f>IF(AND(C$7="Y",$B159&lt;=C$4),0,IF(AND(C$7="Y",$B159&gt;C$4),(1-U159)*C$2*D158/12,IF(AND($C$7="N",C$4&gt;0),(1-U159)*D158*C$2/12, (1-U159)*D158*C$2/12)))</f>
        <v>#DIV/0!</v>
      </c>
      <c r="J159" s="52" t="e">
        <f>IF(AND($B159&lt;=$C$4,C$7="Y"),0,IF(AND(C$7="N",C$4&gt;0,B159&lt;=C$4),0,H159-I159))</f>
        <v>#DIV/0!</v>
      </c>
      <c r="K159" s="51" t="e">
        <f>IF(AND(C$7="Y",$B159&lt;=$C$4),0,IF(AND(C$7="N",C$4&gt;0,B159&lt;=C$4),0,S159*(C159-J159)))</f>
        <v>#DIV/0!</v>
      </c>
      <c r="L159" s="49" t="e">
        <f>IF(AND(C$7="Y",$B159&lt;=$C$4),0,IF(AND(C$7="N",C$4&gt;0,B159&lt;=C$4),0,U159*D158))</f>
        <v>#DIV/0!</v>
      </c>
      <c r="M159" s="49">
        <f t="shared" si="30"/>
        <v>0</v>
      </c>
      <c r="N159" s="49">
        <f t="shared" si="29"/>
        <v>0</v>
      </c>
      <c r="O159" s="48" t="e">
        <f>K159+I159+J159-L159+N159+G159</f>
        <v>#DIV/0!</v>
      </c>
      <c r="P159" s="38" t="e">
        <f>O159*(1/((1+P$12)^(B159/12)))</f>
        <v>#DIV/0!</v>
      </c>
      <c r="Q159" s="53"/>
      <c r="R159" s="53">
        <f t="shared" si="36"/>
        <v>0.12</v>
      </c>
      <c r="S159" s="53">
        <f t="shared" si="37"/>
        <v>1.0596241035318976E-2</v>
      </c>
      <c r="T159" s="53">
        <f t="shared" si="38"/>
        <v>0.05</v>
      </c>
      <c r="U159" s="53">
        <f t="shared" si="39"/>
        <v>4.2653187775606449E-3</v>
      </c>
    </row>
    <row r="160" spans="1:21" x14ac:dyDescent="0.2">
      <c r="A160" s="62" t="e">
        <f t="shared" si="31"/>
        <v>#DIV/0!</v>
      </c>
      <c r="B160" s="45">
        <f t="shared" si="32"/>
        <v>146</v>
      </c>
      <c r="C160" s="51" t="e">
        <f>IF(B160&lt;C$4,C$1,D159-L160+N160)</f>
        <v>#DIV/0!</v>
      </c>
      <c r="D160" s="47" t="e" cm="1">
        <f t="array" ref="D160">_xlfn.IFS(AND($C$7="Y",B160&lt;C$4),C160,AND($C$7="Y",B160=C$4),D159+F160-J160-K160-L160+N160,AND($C$7="Y",B160&gt;$C$4),D159-J160-K160-L160+N160, TRUE, D159-J160-K160-L160+N160)</f>
        <v>#DIV/0!</v>
      </c>
      <c r="E160" s="48">
        <f t="shared" si="33"/>
        <v>0</v>
      </c>
      <c r="F160" s="50">
        <f t="shared" si="34"/>
        <v>0</v>
      </c>
      <c r="G160" s="50">
        <f t="shared" si="40"/>
        <v>0</v>
      </c>
      <c r="H160" s="51" t="e">
        <f t="shared" si="35"/>
        <v>#DIV/0!</v>
      </c>
      <c r="I160" s="52" t="e">
        <f>IF(AND(C$7="Y",$B160&lt;=C$4),0,IF(AND(C$7="Y",$B160&gt;C$4),(1-U160)*C$2*D159/12,IF(AND($C$7="N",C$4&gt;0),(1-U160)*D159*C$2/12, (1-U160)*D159*C$2/12)))</f>
        <v>#DIV/0!</v>
      </c>
      <c r="J160" s="52" t="e">
        <f>IF(AND($B160&lt;=$C$4,C$7="Y"),0,IF(AND(C$7="N",C$4&gt;0,B160&lt;=C$4),0,H160-I160))</f>
        <v>#DIV/0!</v>
      </c>
      <c r="K160" s="51" t="e">
        <f>IF(AND(C$7="Y",$B160&lt;=$C$4),0,IF(AND(C$7="N",C$4&gt;0,B160&lt;=C$4),0,S160*(C160-J160)))</f>
        <v>#DIV/0!</v>
      </c>
      <c r="L160" s="49" t="e">
        <f>IF(AND(C$7="Y",$B160&lt;=$C$4),0,IF(AND(C$7="N",C$4&gt;0,B160&lt;=C$4),0,U160*D159))</f>
        <v>#DIV/0!</v>
      </c>
      <c r="M160" s="49">
        <f t="shared" si="30"/>
        <v>0</v>
      </c>
      <c r="N160" s="49">
        <f t="shared" si="29"/>
        <v>0</v>
      </c>
      <c r="O160" s="48" t="e">
        <f>K160+I160+J160-L160+N160+G160</f>
        <v>#DIV/0!</v>
      </c>
      <c r="P160" s="38" t="e">
        <f>O160*(1/((1+P$12)^(B160/12)))</f>
        <v>#DIV/0!</v>
      </c>
      <c r="Q160" s="53"/>
      <c r="R160" s="53">
        <f t="shared" si="36"/>
        <v>0.12</v>
      </c>
      <c r="S160" s="53">
        <f t="shared" si="37"/>
        <v>1.0596241035318976E-2</v>
      </c>
      <c r="T160" s="53">
        <f t="shared" si="38"/>
        <v>0.05</v>
      </c>
      <c r="U160" s="53">
        <f t="shared" si="39"/>
        <v>4.2653187775606449E-3</v>
      </c>
    </row>
    <row r="161" spans="1:21" x14ac:dyDescent="0.2">
      <c r="A161" s="62" t="e">
        <f t="shared" si="31"/>
        <v>#DIV/0!</v>
      </c>
      <c r="B161" s="45">
        <f t="shared" si="32"/>
        <v>147</v>
      </c>
      <c r="C161" s="51" t="e">
        <f>IF(B161&lt;C$4,C$1,D160-L161+N161)</f>
        <v>#DIV/0!</v>
      </c>
      <c r="D161" s="47" t="e" cm="1">
        <f t="array" ref="D161">_xlfn.IFS(AND($C$7="Y",B161&lt;C$4),C161,AND($C$7="Y",B161=C$4),D160+F161-J161-K161-L161+N161,AND($C$7="Y",B161&gt;$C$4),D160-J161-K161-L161+N161, TRUE, D160-J161-K161-L161+N161)</f>
        <v>#DIV/0!</v>
      </c>
      <c r="E161" s="48">
        <f t="shared" si="33"/>
        <v>0</v>
      </c>
      <c r="F161" s="50">
        <f t="shared" si="34"/>
        <v>0</v>
      </c>
      <c r="G161" s="50">
        <f t="shared" si="40"/>
        <v>0</v>
      </c>
      <c r="H161" s="51" t="e">
        <f t="shared" si="35"/>
        <v>#DIV/0!</v>
      </c>
      <c r="I161" s="52" t="e">
        <f>IF(AND(C$7="Y",$B161&lt;=C$4),0,IF(AND(C$7="Y",$B161&gt;C$4),(1-U161)*C$2*D160/12,IF(AND($C$7="N",C$4&gt;0),(1-U161)*D160*C$2/12, (1-U161)*D160*C$2/12)))</f>
        <v>#DIV/0!</v>
      </c>
      <c r="J161" s="52" t="e">
        <f>IF(AND($B161&lt;=$C$4,C$7="Y"),0,IF(AND(C$7="N",C$4&gt;0,B161&lt;=C$4),0,H161-I161))</f>
        <v>#DIV/0!</v>
      </c>
      <c r="K161" s="51" t="e">
        <f>IF(AND(C$7="Y",$B161&lt;=$C$4),0,IF(AND(C$7="N",C$4&gt;0,B161&lt;=C$4),0,S161*(C161-J161)))</f>
        <v>#DIV/0!</v>
      </c>
      <c r="L161" s="49" t="e">
        <f>IF(AND(C$7="Y",$B161&lt;=$C$4),0,IF(AND(C$7="N",C$4&gt;0,B161&lt;=C$4),0,U161*D160))</f>
        <v>#DIV/0!</v>
      </c>
      <c r="M161" s="49">
        <f t="shared" si="30"/>
        <v>0</v>
      </c>
      <c r="N161" s="49">
        <f t="shared" si="29"/>
        <v>0</v>
      </c>
      <c r="O161" s="48" t="e">
        <f>K161+I161+J161-L161+N161+G161</f>
        <v>#DIV/0!</v>
      </c>
      <c r="P161" s="38" t="e">
        <f>O161*(1/((1+P$12)^(B161/12)))</f>
        <v>#DIV/0!</v>
      </c>
      <c r="Q161" s="53"/>
      <c r="R161" s="53">
        <f t="shared" si="36"/>
        <v>0.12</v>
      </c>
      <c r="S161" s="53">
        <f t="shared" si="37"/>
        <v>1.0596241035318976E-2</v>
      </c>
      <c r="T161" s="53">
        <f t="shared" si="38"/>
        <v>0.05</v>
      </c>
      <c r="U161" s="53">
        <f t="shared" si="39"/>
        <v>4.2653187775606449E-3</v>
      </c>
    </row>
    <row r="162" spans="1:21" x14ac:dyDescent="0.2">
      <c r="A162" s="62" t="e">
        <f t="shared" si="31"/>
        <v>#DIV/0!</v>
      </c>
      <c r="B162" s="45">
        <f t="shared" si="32"/>
        <v>148</v>
      </c>
      <c r="C162" s="51" t="e">
        <f>IF(B162&lt;C$4,C$1,D161-L162+N162)</f>
        <v>#DIV/0!</v>
      </c>
      <c r="D162" s="47" t="e" cm="1">
        <f t="array" ref="D162">_xlfn.IFS(AND($C$7="Y",B162&lt;C$4),C162,AND($C$7="Y",B162=C$4),D161+F162-J162-K162-L162+N162,AND($C$7="Y",B162&gt;$C$4),D161-J162-K162-L162+N162, TRUE, D161-J162-K162-L162+N162)</f>
        <v>#DIV/0!</v>
      </c>
      <c r="E162" s="48">
        <f t="shared" si="33"/>
        <v>0</v>
      </c>
      <c r="F162" s="50">
        <f t="shared" si="34"/>
        <v>0</v>
      </c>
      <c r="G162" s="50">
        <f t="shared" si="40"/>
        <v>0</v>
      </c>
      <c r="H162" s="51" t="e">
        <f t="shared" si="35"/>
        <v>#DIV/0!</v>
      </c>
      <c r="I162" s="52" t="e">
        <f>IF(AND(C$7="Y",$B162&lt;=C$4),0,IF(AND(C$7="Y",$B162&gt;C$4),(1-U162)*C$2*D161/12,IF(AND($C$7="N",C$4&gt;0),(1-U162)*D161*C$2/12, (1-U162)*D161*C$2/12)))</f>
        <v>#DIV/0!</v>
      </c>
      <c r="J162" s="52" t="e">
        <f>IF(AND($B162&lt;=$C$4,C$7="Y"),0,IF(AND(C$7="N",C$4&gt;0,B162&lt;=C$4),0,H162-I162))</f>
        <v>#DIV/0!</v>
      </c>
      <c r="K162" s="51" t="e">
        <f>IF(AND(C$7="Y",$B162&lt;=$C$4),0,IF(AND(C$7="N",C$4&gt;0,B162&lt;=C$4),0,S162*(C162-J162)))</f>
        <v>#DIV/0!</v>
      </c>
      <c r="L162" s="49" t="e">
        <f>IF(AND(C$7="Y",$B162&lt;=$C$4),0,IF(AND(C$7="N",C$4&gt;0,B162&lt;=C$4),0,U162*D161))</f>
        <v>#DIV/0!</v>
      </c>
      <c r="M162" s="49">
        <f t="shared" si="30"/>
        <v>0</v>
      </c>
      <c r="N162" s="49">
        <f t="shared" si="29"/>
        <v>0</v>
      </c>
      <c r="O162" s="48" t="e">
        <f>K162+I162+J162-L162+N162+G162</f>
        <v>#DIV/0!</v>
      </c>
      <c r="P162" s="38" t="e">
        <f>O162*(1/((1+P$12)^(B162/12)))</f>
        <v>#DIV/0!</v>
      </c>
      <c r="Q162" s="53"/>
      <c r="R162" s="53">
        <f t="shared" si="36"/>
        <v>0.12</v>
      </c>
      <c r="S162" s="53">
        <f t="shared" si="37"/>
        <v>1.0596241035318976E-2</v>
      </c>
      <c r="T162" s="53">
        <f t="shared" si="38"/>
        <v>0.05</v>
      </c>
      <c r="U162" s="53">
        <f t="shared" si="39"/>
        <v>4.2653187775606449E-3</v>
      </c>
    </row>
    <row r="163" spans="1:21" x14ac:dyDescent="0.2">
      <c r="A163" s="62" t="e">
        <f t="shared" si="31"/>
        <v>#DIV/0!</v>
      </c>
      <c r="B163" s="45">
        <f t="shared" si="32"/>
        <v>149</v>
      </c>
      <c r="C163" s="51" t="e">
        <f>IF(B163&lt;C$4,C$1,D162-L163+N163)</f>
        <v>#DIV/0!</v>
      </c>
      <c r="D163" s="47" t="e" cm="1">
        <f t="array" ref="D163">_xlfn.IFS(AND($C$7="Y",B163&lt;C$4),C163,AND($C$7="Y",B163=C$4),D162+F163-J163-K163-L163+N163,AND($C$7="Y",B163&gt;$C$4),D162-J163-K163-L163+N163, TRUE, D162-J163-K163-L163+N163)</f>
        <v>#DIV/0!</v>
      </c>
      <c r="E163" s="48">
        <f t="shared" si="33"/>
        <v>0</v>
      </c>
      <c r="F163" s="50">
        <f t="shared" si="34"/>
        <v>0</v>
      </c>
      <c r="G163" s="50">
        <f t="shared" si="40"/>
        <v>0</v>
      </c>
      <c r="H163" s="51" t="e">
        <f t="shared" si="35"/>
        <v>#DIV/0!</v>
      </c>
      <c r="I163" s="52" t="e">
        <f>IF(AND(C$7="Y",$B163&lt;=C$4),0,IF(AND(C$7="Y",$B163&gt;C$4),(1-U163)*C$2*D162/12,IF(AND($C$7="N",C$4&gt;0),(1-U163)*D162*C$2/12, (1-U163)*D162*C$2/12)))</f>
        <v>#DIV/0!</v>
      </c>
      <c r="J163" s="52" t="e">
        <f>IF(AND($B163&lt;=$C$4,C$7="Y"),0,IF(AND(C$7="N",C$4&gt;0,B163&lt;=C$4),0,H163-I163))</f>
        <v>#DIV/0!</v>
      </c>
      <c r="K163" s="51" t="e">
        <f>IF(AND(C$7="Y",$B163&lt;=$C$4),0,IF(AND(C$7="N",C$4&gt;0,B163&lt;=C$4),0,S163*(C163-J163)))</f>
        <v>#DIV/0!</v>
      </c>
      <c r="L163" s="49" t="e">
        <f>IF(AND(C$7="Y",$B163&lt;=$C$4),0,IF(AND(C$7="N",C$4&gt;0,B163&lt;=C$4),0,U163*D162))</f>
        <v>#DIV/0!</v>
      </c>
      <c r="M163" s="49">
        <f t="shared" si="30"/>
        <v>0</v>
      </c>
      <c r="N163" s="49">
        <f t="shared" ref="N163:N226" si="41">IFERROR((1-$N$12)*L159,0)</f>
        <v>0</v>
      </c>
      <c r="O163" s="48" t="e">
        <f>K163+I163+J163-L163+N163+G163</f>
        <v>#DIV/0!</v>
      </c>
      <c r="P163" s="38" t="e">
        <f>O163*(1/((1+P$12)^(B163/12)))</f>
        <v>#DIV/0!</v>
      </c>
      <c r="Q163" s="53"/>
      <c r="R163" s="53">
        <f t="shared" si="36"/>
        <v>0.12</v>
      </c>
      <c r="S163" s="53">
        <f t="shared" si="37"/>
        <v>1.0596241035318976E-2</v>
      </c>
      <c r="T163" s="53">
        <f t="shared" si="38"/>
        <v>0.05</v>
      </c>
      <c r="U163" s="53">
        <f t="shared" si="39"/>
        <v>4.2653187775606449E-3</v>
      </c>
    </row>
    <row r="164" spans="1:21" x14ac:dyDescent="0.2">
      <c r="A164" s="62" t="e">
        <f t="shared" si="31"/>
        <v>#DIV/0!</v>
      </c>
      <c r="B164" s="45">
        <f t="shared" si="32"/>
        <v>150</v>
      </c>
      <c r="C164" s="51" t="e">
        <f>IF(B164&lt;C$4,C$1,D163-L164+N164)</f>
        <v>#DIV/0!</v>
      </c>
      <c r="D164" s="47" t="e" cm="1">
        <f t="array" ref="D164">_xlfn.IFS(AND($C$7="Y",B164&lt;C$4),C164,AND($C$7="Y",B164=C$4),D163+F164-J164-K164-L164+N164,AND($C$7="Y",B164&gt;$C$4),D163-J164-K164-L164+N164, TRUE, D163-J164-K164-L164+N164)</f>
        <v>#DIV/0!</v>
      </c>
      <c r="E164" s="48">
        <f t="shared" si="33"/>
        <v>0</v>
      </c>
      <c r="F164" s="50">
        <f t="shared" si="34"/>
        <v>0</v>
      </c>
      <c r="G164" s="50">
        <f t="shared" si="40"/>
        <v>0</v>
      </c>
      <c r="H164" s="51" t="e">
        <f t="shared" si="35"/>
        <v>#DIV/0!</v>
      </c>
      <c r="I164" s="52" t="e">
        <f>IF(AND(C$7="Y",$B164&lt;=C$4),0,IF(AND(C$7="Y",$B164&gt;C$4),(1-U164)*C$2*D163/12,IF(AND($C$7="N",C$4&gt;0),(1-U164)*D163*C$2/12, (1-U164)*D163*C$2/12)))</f>
        <v>#DIV/0!</v>
      </c>
      <c r="J164" s="52" t="e">
        <f>IF(AND($B164&lt;=$C$4,C$7="Y"),0,IF(AND(C$7="N",C$4&gt;0,B164&lt;=C$4),0,H164-I164))</f>
        <v>#DIV/0!</v>
      </c>
      <c r="K164" s="51" t="e">
        <f>IF(AND(C$7="Y",$B164&lt;=$C$4),0,IF(AND(C$7="N",C$4&gt;0,B164&lt;=C$4),0,S164*(C164-J164)))</f>
        <v>#DIV/0!</v>
      </c>
      <c r="L164" s="49" t="e">
        <f>IF(AND(C$7="Y",$B164&lt;=$C$4),0,IF(AND(C$7="N",C$4&gt;0,B164&lt;=C$4),0,U164*D163))</f>
        <v>#DIV/0!</v>
      </c>
      <c r="M164" s="49">
        <f t="shared" si="30"/>
        <v>0</v>
      </c>
      <c r="N164" s="49">
        <f t="shared" si="41"/>
        <v>0</v>
      </c>
      <c r="O164" s="48" t="e">
        <f>K164+I164+J164-L164+N164+G164</f>
        <v>#DIV/0!</v>
      </c>
      <c r="P164" s="38" t="e">
        <f>O164*(1/((1+P$12)^(B164/12)))</f>
        <v>#DIV/0!</v>
      </c>
      <c r="Q164" s="53"/>
      <c r="R164" s="53">
        <f t="shared" si="36"/>
        <v>0.12</v>
      </c>
      <c r="S164" s="53">
        <f t="shared" si="37"/>
        <v>1.0596241035318976E-2</v>
      </c>
      <c r="T164" s="53">
        <f t="shared" si="38"/>
        <v>0.05</v>
      </c>
      <c r="U164" s="53">
        <f t="shared" si="39"/>
        <v>4.2653187775606449E-3</v>
      </c>
    </row>
    <row r="165" spans="1:21" x14ac:dyDescent="0.2">
      <c r="A165" s="62" t="e">
        <f t="shared" si="31"/>
        <v>#DIV/0!</v>
      </c>
      <c r="B165" s="45">
        <f t="shared" si="32"/>
        <v>151</v>
      </c>
      <c r="C165" s="51" t="e">
        <f>IF(B165&lt;C$4,C$1,D164-L165+N165)</f>
        <v>#DIV/0!</v>
      </c>
      <c r="D165" s="47" t="e" cm="1">
        <f t="array" ref="D165">_xlfn.IFS(AND($C$7="Y",B165&lt;C$4),C165,AND($C$7="Y",B165=C$4),D164+F165-J165-K165-L165+N165,AND($C$7="Y",B165&gt;$C$4),D164-J165-K165-L165+N165, TRUE, D164-J165-K165-L165+N165)</f>
        <v>#DIV/0!</v>
      </c>
      <c r="E165" s="48">
        <f t="shared" si="33"/>
        <v>0</v>
      </c>
      <c r="F165" s="50">
        <f t="shared" si="34"/>
        <v>0</v>
      </c>
      <c r="G165" s="50">
        <f t="shared" si="40"/>
        <v>0</v>
      </c>
      <c r="H165" s="51" t="e">
        <f t="shared" si="35"/>
        <v>#DIV/0!</v>
      </c>
      <c r="I165" s="52" t="e">
        <f>IF(AND(C$7="Y",$B165&lt;=C$4),0,IF(AND(C$7="Y",$B165&gt;C$4),(1-U165)*C$2*D164/12,IF(AND($C$7="N",C$4&gt;0),(1-U165)*D164*C$2/12, (1-U165)*D164*C$2/12)))</f>
        <v>#DIV/0!</v>
      </c>
      <c r="J165" s="52" t="e">
        <f>IF(AND($B165&lt;=$C$4,C$7="Y"),0,IF(AND(C$7="N",C$4&gt;0,B165&lt;=C$4),0,H165-I165))</f>
        <v>#DIV/0!</v>
      </c>
      <c r="K165" s="51" t="e">
        <f>IF(AND(C$7="Y",$B165&lt;=$C$4),0,IF(AND(C$7="N",C$4&gt;0,B165&lt;=C$4),0,S165*(C165-J165)))</f>
        <v>#DIV/0!</v>
      </c>
      <c r="L165" s="49" t="e">
        <f>IF(AND(C$7="Y",$B165&lt;=$C$4),0,IF(AND(C$7="N",C$4&gt;0,B165&lt;=C$4),0,U165*D164))</f>
        <v>#DIV/0!</v>
      </c>
      <c r="M165" s="49">
        <f t="shared" si="30"/>
        <v>0</v>
      </c>
      <c r="N165" s="49">
        <f t="shared" si="41"/>
        <v>0</v>
      </c>
      <c r="O165" s="48" t="e">
        <f>K165+I165+J165-L165+N165+G165</f>
        <v>#DIV/0!</v>
      </c>
      <c r="P165" s="38" t="e">
        <f>O165*(1/((1+P$12)^(B165/12)))</f>
        <v>#DIV/0!</v>
      </c>
      <c r="Q165" s="53"/>
      <c r="R165" s="53">
        <f t="shared" si="36"/>
        <v>0.12</v>
      </c>
      <c r="S165" s="53">
        <f t="shared" si="37"/>
        <v>1.0596241035318976E-2</v>
      </c>
      <c r="T165" s="53">
        <f t="shared" si="38"/>
        <v>0.05</v>
      </c>
      <c r="U165" s="53">
        <f t="shared" si="39"/>
        <v>4.2653187775606449E-3</v>
      </c>
    </row>
    <row r="166" spans="1:21" x14ac:dyDescent="0.2">
      <c r="A166" s="62" t="e">
        <f t="shared" si="31"/>
        <v>#DIV/0!</v>
      </c>
      <c r="B166" s="45">
        <f t="shared" si="32"/>
        <v>152</v>
      </c>
      <c r="C166" s="51" t="e">
        <f>IF(B166&lt;C$4,C$1,D165-L166+N166)</f>
        <v>#DIV/0!</v>
      </c>
      <c r="D166" s="47" t="e" cm="1">
        <f t="array" ref="D166">_xlfn.IFS(AND($C$7="Y",B166&lt;C$4),C166,AND($C$7="Y",B166=C$4),D165+F166-J166-K166-L166+N166,AND($C$7="Y",B166&gt;$C$4),D165-J166-K166-L166+N166, TRUE, D165-J166-K166-L166+N166)</f>
        <v>#DIV/0!</v>
      </c>
      <c r="E166" s="48">
        <f t="shared" si="33"/>
        <v>0</v>
      </c>
      <c r="F166" s="50">
        <f t="shared" si="34"/>
        <v>0</v>
      </c>
      <c r="G166" s="50">
        <f t="shared" si="40"/>
        <v>0</v>
      </c>
      <c r="H166" s="51" t="e">
        <f t="shared" si="35"/>
        <v>#DIV/0!</v>
      </c>
      <c r="I166" s="52" t="e">
        <f>IF(AND(C$7="Y",$B166&lt;=C$4),0,IF(AND(C$7="Y",$B166&gt;C$4),(1-U166)*C$2*D165/12,IF(AND($C$7="N",C$4&gt;0),(1-U166)*D165*C$2/12, (1-U166)*D165*C$2/12)))</f>
        <v>#DIV/0!</v>
      </c>
      <c r="J166" s="52" t="e">
        <f>IF(AND($B166&lt;=$C$4,C$7="Y"),0,IF(AND(C$7="N",C$4&gt;0,B166&lt;=C$4),0,H166-I166))</f>
        <v>#DIV/0!</v>
      </c>
      <c r="K166" s="51" t="e">
        <f>IF(AND(C$7="Y",$B166&lt;=$C$4),0,IF(AND(C$7="N",C$4&gt;0,B166&lt;=C$4),0,S166*(C166-J166)))</f>
        <v>#DIV/0!</v>
      </c>
      <c r="L166" s="49" t="e">
        <f>IF(AND(C$7="Y",$B166&lt;=$C$4),0,IF(AND(C$7="N",C$4&gt;0,B166&lt;=C$4),0,U166*D165))</f>
        <v>#DIV/0!</v>
      </c>
      <c r="M166" s="49">
        <f t="shared" si="30"/>
        <v>0</v>
      </c>
      <c r="N166" s="49">
        <f t="shared" si="41"/>
        <v>0</v>
      </c>
      <c r="O166" s="48" t="e">
        <f>K166+I166+J166-L166+N166+G166</f>
        <v>#DIV/0!</v>
      </c>
      <c r="P166" s="38" t="e">
        <f>O166*(1/((1+P$12)^(B166/12)))</f>
        <v>#DIV/0!</v>
      </c>
      <c r="Q166" s="53"/>
      <c r="R166" s="53">
        <f t="shared" si="36"/>
        <v>0.12</v>
      </c>
      <c r="S166" s="53">
        <f t="shared" si="37"/>
        <v>1.0596241035318976E-2</v>
      </c>
      <c r="T166" s="53">
        <f t="shared" si="38"/>
        <v>0.05</v>
      </c>
      <c r="U166" s="53">
        <f t="shared" si="39"/>
        <v>4.2653187775606449E-3</v>
      </c>
    </row>
    <row r="167" spans="1:21" x14ac:dyDescent="0.2">
      <c r="A167" s="62" t="e">
        <f t="shared" si="31"/>
        <v>#DIV/0!</v>
      </c>
      <c r="B167" s="45">
        <f t="shared" si="32"/>
        <v>153</v>
      </c>
      <c r="C167" s="51" t="e">
        <f>IF(B167&lt;C$4,C$1,D166-L167+N167)</f>
        <v>#DIV/0!</v>
      </c>
      <c r="D167" s="47" t="e" cm="1">
        <f t="array" ref="D167">_xlfn.IFS(AND($C$7="Y",B167&lt;C$4),C167,AND($C$7="Y",B167=C$4),D166+F167-J167-K167-L167+N167,AND($C$7="Y",B167&gt;$C$4),D166-J167-K167-L167+N167, TRUE, D166-J167-K167-L167+N167)</f>
        <v>#DIV/0!</v>
      </c>
      <c r="E167" s="48">
        <f t="shared" si="33"/>
        <v>0</v>
      </c>
      <c r="F167" s="50">
        <f t="shared" si="34"/>
        <v>0</v>
      </c>
      <c r="G167" s="50">
        <f t="shared" si="40"/>
        <v>0</v>
      </c>
      <c r="H167" s="51" t="e">
        <f t="shared" si="35"/>
        <v>#DIV/0!</v>
      </c>
      <c r="I167" s="52" t="e">
        <f>IF(AND(C$7="Y",$B167&lt;=C$4),0,IF(AND(C$7="Y",$B167&gt;C$4),(1-U167)*C$2*D166/12,IF(AND($C$7="N",C$4&gt;0),(1-U167)*D166*C$2/12, (1-U167)*D166*C$2/12)))</f>
        <v>#DIV/0!</v>
      </c>
      <c r="J167" s="52" t="e">
        <f>IF(AND($B167&lt;=$C$4,C$7="Y"),0,IF(AND(C$7="N",C$4&gt;0,B167&lt;=C$4),0,H167-I167))</f>
        <v>#DIV/0!</v>
      </c>
      <c r="K167" s="51" t="e">
        <f>IF(AND(C$7="Y",$B167&lt;=$C$4),0,IF(AND(C$7="N",C$4&gt;0,B167&lt;=C$4),0,S167*(C167-J167)))</f>
        <v>#DIV/0!</v>
      </c>
      <c r="L167" s="49" t="e">
        <f>IF(AND(C$7="Y",$B167&lt;=$C$4),0,IF(AND(C$7="N",C$4&gt;0,B167&lt;=C$4),0,U167*D166))</f>
        <v>#DIV/0!</v>
      </c>
      <c r="M167" s="49">
        <f t="shared" si="30"/>
        <v>0</v>
      </c>
      <c r="N167" s="49">
        <f t="shared" si="41"/>
        <v>0</v>
      </c>
      <c r="O167" s="48" t="e">
        <f>K167+I167+J167-L167+N167+G167</f>
        <v>#DIV/0!</v>
      </c>
      <c r="P167" s="38" t="e">
        <f>O167*(1/((1+P$12)^(B167/12)))</f>
        <v>#DIV/0!</v>
      </c>
      <c r="Q167" s="53"/>
      <c r="R167" s="53">
        <f t="shared" si="36"/>
        <v>0.12</v>
      </c>
      <c r="S167" s="53">
        <f t="shared" si="37"/>
        <v>1.0596241035318976E-2</v>
      </c>
      <c r="T167" s="53">
        <f t="shared" si="38"/>
        <v>0.05</v>
      </c>
      <c r="U167" s="53">
        <f t="shared" si="39"/>
        <v>4.2653187775606449E-3</v>
      </c>
    </row>
    <row r="168" spans="1:21" x14ac:dyDescent="0.2">
      <c r="A168" s="62" t="e">
        <f t="shared" si="31"/>
        <v>#DIV/0!</v>
      </c>
      <c r="B168" s="45">
        <f t="shared" si="32"/>
        <v>154</v>
      </c>
      <c r="C168" s="51" t="e">
        <f>IF(B168&lt;C$4,C$1,D167-L168+N168)</f>
        <v>#DIV/0!</v>
      </c>
      <c r="D168" s="47" t="e" cm="1">
        <f t="array" ref="D168">_xlfn.IFS(AND($C$7="Y",B168&lt;C$4),C168,AND($C$7="Y",B168=C$4),D167+F168-J168-K168-L168+N168,AND($C$7="Y",B168&gt;$C$4),D167-J168-K168-L168+N168, TRUE, D167-J168-K168-L168+N168)</f>
        <v>#DIV/0!</v>
      </c>
      <c r="E168" s="48">
        <f t="shared" si="33"/>
        <v>0</v>
      </c>
      <c r="F168" s="50">
        <f t="shared" si="34"/>
        <v>0</v>
      </c>
      <c r="G168" s="50">
        <f t="shared" si="40"/>
        <v>0</v>
      </c>
      <c r="H168" s="51" t="e">
        <f t="shared" si="35"/>
        <v>#DIV/0!</v>
      </c>
      <c r="I168" s="52" t="e">
        <f>IF(AND(C$7="Y",$B168&lt;=C$4),0,IF(AND(C$7="Y",$B168&gt;C$4),(1-U168)*C$2*D167/12,IF(AND($C$7="N",C$4&gt;0),(1-U168)*D167*C$2/12, (1-U168)*D167*C$2/12)))</f>
        <v>#DIV/0!</v>
      </c>
      <c r="J168" s="52" t="e">
        <f>IF(AND($B168&lt;=$C$4,C$7="Y"),0,IF(AND(C$7="N",C$4&gt;0,B168&lt;=C$4),0,H168-I168))</f>
        <v>#DIV/0!</v>
      </c>
      <c r="K168" s="51" t="e">
        <f>IF(AND(C$7="Y",$B168&lt;=$C$4),0,IF(AND(C$7="N",C$4&gt;0,B168&lt;=C$4),0,S168*(C168-J168)))</f>
        <v>#DIV/0!</v>
      </c>
      <c r="L168" s="49" t="e">
        <f>IF(AND(C$7="Y",$B168&lt;=$C$4),0,IF(AND(C$7="N",C$4&gt;0,B168&lt;=C$4),0,U168*D167))</f>
        <v>#DIV/0!</v>
      </c>
      <c r="M168" s="49">
        <f t="shared" si="30"/>
        <v>0</v>
      </c>
      <c r="N168" s="49">
        <f t="shared" si="41"/>
        <v>0</v>
      </c>
      <c r="O168" s="48" t="e">
        <f>K168+I168+J168-L168+N168+G168</f>
        <v>#DIV/0!</v>
      </c>
      <c r="P168" s="38" t="e">
        <f>O168*(1/((1+P$12)^(B168/12)))</f>
        <v>#DIV/0!</v>
      </c>
      <c r="Q168" s="53"/>
      <c r="R168" s="53">
        <f t="shared" si="36"/>
        <v>0.12</v>
      </c>
      <c r="S168" s="53">
        <f t="shared" si="37"/>
        <v>1.0596241035318976E-2</v>
      </c>
      <c r="T168" s="53">
        <f t="shared" si="38"/>
        <v>0.05</v>
      </c>
      <c r="U168" s="53">
        <f t="shared" si="39"/>
        <v>4.2653187775606449E-3</v>
      </c>
    </row>
    <row r="169" spans="1:21" x14ac:dyDescent="0.2">
      <c r="A169" s="62" t="e">
        <f t="shared" si="31"/>
        <v>#DIV/0!</v>
      </c>
      <c r="B169" s="45">
        <f t="shared" si="32"/>
        <v>155</v>
      </c>
      <c r="C169" s="51" t="e">
        <f>IF(B169&lt;C$4,C$1,D168-L169+N169)</f>
        <v>#DIV/0!</v>
      </c>
      <c r="D169" s="47" t="e" cm="1">
        <f t="array" ref="D169">_xlfn.IFS(AND($C$7="Y",B169&lt;C$4),C169,AND($C$7="Y",B169=C$4),D168+F169-J169-K169-L169+N169,AND($C$7="Y",B169&gt;$C$4),D168-J169-K169-L169+N169, TRUE, D168-J169-K169-L169+N169)</f>
        <v>#DIV/0!</v>
      </c>
      <c r="E169" s="48">
        <f t="shared" si="33"/>
        <v>0</v>
      </c>
      <c r="F169" s="50">
        <f t="shared" si="34"/>
        <v>0</v>
      </c>
      <c r="G169" s="50">
        <f t="shared" si="40"/>
        <v>0</v>
      </c>
      <c r="H169" s="51" t="e">
        <f t="shared" si="35"/>
        <v>#DIV/0!</v>
      </c>
      <c r="I169" s="52" t="e">
        <f>IF(AND(C$7="Y",$B169&lt;=C$4),0,IF(AND(C$7="Y",$B169&gt;C$4),(1-U169)*C$2*D168/12,IF(AND($C$7="N",C$4&gt;0),(1-U169)*D168*C$2/12, (1-U169)*D168*C$2/12)))</f>
        <v>#DIV/0!</v>
      </c>
      <c r="J169" s="52" t="e">
        <f>IF(AND($B169&lt;=$C$4,C$7="Y"),0,IF(AND(C$7="N",C$4&gt;0,B169&lt;=C$4),0,H169-I169))</f>
        <v>#DIV/0!</v>
      </c>
      <c r="K169" s="51" t="e">
        <f>IF(AND(C$7="Y",$B169&lt;=$C$4),0,IF(AND(C$7="N",C$4&gt;0,B169&lt;=C$4),0,S169*(C169-J169)))</f>
        <v>#DIV/0!</v>
      </c>
      <c r="L169" s="49" t="e">
        <f>IF(AND(C$7="Y",$B169&lt;=$C$4),0,IF(AND(C$7="N",C$4&gt;0,B169&lt;=C$4),0,U169*D168))</f>
        <v>#DIV/0!</v>
      </c>
      <c r="M169" s="49">
        <f t="shared" si="30"/>
        <v>0</v>
      </c>
      <c r="N169" s="49">
        <f t="shared" si="41"/>
        <v>0</v>
      </c>
      <c r="O169" s="48" t="e">
        <f>K169+I169+J169-L169+N169+G169</f>
        <v>#DIV/0!</v>
      </c>
      <c r="P169" s="38" t="e">
        <f>O169*(1/((1+P$12)^(B169/12)))</f>
        <v>#DIV/0!</v>
      </c>
      <c r="Q169" s="53"/>
      <c r="R169" s="53">
        <f t="shared" si="36"/>
        <v>0.12</v>
      </c>
      <c r="S169" s="53">
        <f t="shared" si="37"/>
        <v>1.0596241035318976E-2</v>
      </c>
      <c r="T169" s="53">
        <f t="shared" si="38"/>
        <v>0.05</v>
      </c>
      <c r="U169" s="53">
        <f t="shared" si="39"/>
        <v>4.2653187775606449E-3</v>
      </c>
    </row>
    <row r="170" spans="1:21" x14ac:dyDescent="0.2">
      <c r="A170" s="62" t="e">
        <f t="shared" si="31"/>
        <v>#DIV/0!</v>
      </c>
      <c r="B170" s="45">
        <f t="shared" si="32"/>
        <v>156</v>
      </c>
      <c r="C170" s="51" t="e">
        <f>IF(B170&lt;C$4,C$1,D169-L170+N170)</f>
        <v>#DIV/0!</v>
      </c>
      <c r="D170" s="47" t="e" cm="1">
        <f t="array" ref="D170">_xlfn.IFS(AND($C$7="Y",B170&lt;C$4),C170,AND($C$7="Y",B170=C$4),D169+F170-J170-K170-L170+N170,AND($C$7="Y",B170&gt;$C$4),D169-J170-K170-L170+N170, TRUE, D169-J170-K170-L170+N170)</f>
        <v>#DIV/0!</v>
      </c>
      <c r="E170" s="48">
        <f t="shared" si="33"/>
        <v>0</v>
      </c>
      <c r="F170" s="50">
        <f t="shared" si="34"/>
        <v>0</v>
      </c>
      <c r="G170" s="50">
        <f t="shared" si="40"/>
        <v>0</v>
      </c>
      <c r="H170" s="51" t="e">
        <f t="shared" si="35"/>
        <v>#DIV/0!</v>
      </c>
      <c r="I170" s="52" t="e">
        <f>IF(AND(C$7="Y",$B170&lt;=C$4),0,IF(AND(C$7="Y",$B170&gt;C$4),(1-U170)*C$2*D169/12,IF(AND($C$7="N",C$4&gt;0),(1-U170)*D169*C$2/12, (1-U170)*D169*C$2/12)))</f>
        <v>#DIV/0!</v>
      </c>
      <c r="J170" s="52" t="e">
        <f>IF(AND($B170&lt;=$C$4,C$7="Y"),0,IF(AND(C$7="N",C$4&gt;0,B170&lt;=C$4),0,H170-I170))</f>
        <v>#DIV/0!</v>
      </c>
      <c r="K170" s="51" t="e">
        <f>IF(AND(C$7="Y",$B170&lt;=$C$4),0,IF(AND(C$7="N",C$4&gt;0,B170&lt;=C$4),0,S170*(C170-J170)))</f>
        <v>#DIV/0!</v>
      </c>
      <c r="L170" s="49" t="e">
        <f>IF(AND(C$7="Y",$B170&lt;=$C$4),0,IF(AND(C$7="N",C$4&gt;0,B170&lt;=C$4),0,U170*D169))</f>
        <v>#DIV/0!</v>
      </c>
      <c r="M170" s="49">
        <f t="shared" si="30"/>
        <v>0</v>
      </c>
      <c r="N170" s="49">
        <f t="shared" si="41"/>
        <v>0</v>
      </c>
      <c r="O170" s="48" t="e">
        <f>K170+I170+J170-L170+N170+G170</f>
        <v>#DIV/0!</v>
      </c>
      <c r="P170" s="38" t="e">
        <f>O170*(1/((1+P$12)^(B170/12)))</f>
        <v>#DIV/0!</v>
      </c>
      <c r="Q170" s="53"/>
      <c r="R170" s="53">
        <f t="shared" si="36"/>
        <v>0.12</v>
      </c>
      <c r="S170" s="53">
        <f t="shared" si="37"/>
        <v>1.0596241035318976E-2</v>
      </c>
      <c r="T170" s="53">
        <f t="shared" si="38"/>
        <v>0.05</v>
      </c>
      <c r="U170" s="53">
        <f t="shared" si="39"/>
        <v>4.2653187775606449E-3</v>
      </c>
    </row>
    <row r="171" spans="1:21" x14ac:dyDescent="0.2">
      <c r="A171" s="62" t="e">
        <f t="shared" si="31"/>
        <v>#DIV/0!</v>
      </c>
      <c r="B171" s="45">
        <f t="shared" si="32"/>
        <v>157</v>
      </c>
      <c r="C171" s="51" t="e">
        <f>IF(B171&lt;C$4,C$1,D170-L171+N171)</f>
        <v>#DIV/0!</v>
      </c>
      <c r="D171" s="47" t="e" cm="1">
        <f t="array" ref="D171">_xlfn.IFS(AND($C$7="Y",B171&lt;C$4),C171,AND($C$7="Y",B171=C$4),D170+F171-J171-K171-L171+N171,AND($C$7="Y",B171&gt;$C$4),D170-J171-K171-L171+N171, TRUE, D170-J171-K171-L171+N171)</f>
        <v>#DIV/0!</v>
      </c>
      <c r="E171" s="48">
        <f t="shared" si="33"/>
        <v>0</v>
      </c>
      <c r="F171" s="50">
        <f t="shared" si="34"/>
        <v>0</v>
      </c>
      <c r="G171" s="50">
        <f t="shared" si="40"/>
        <v>0</v>
      </c>
      <c r="H171" s="51" t="e">
        <f t="shared" si="35"/>
        <v>#DIV/0!</v>
      </c>
      <c r="I171" s="52" t="e">
        <f>IF(AND(C$7="Y",$B171&lt;=C$4),0,IF(AND(C$7="Y",$B171&gt;C$4),(1-U171)*C$2*D170/12,IF(AND($C$7="N",C$4&gt;0),(1-U171)*D170*C$2/12, (1-U171)*D170*C$2/12)))</f>
        <v>#DIV/0!</v>
      </c>
      <c r="J171" s="52" t="e">
        <f>IF(AND($B171&lt;=$C$4,C$7="Y"),0,IF(AND(C$7="N",C$4&gt;0,B171&lt;=C$4),0,H171-I171))</f>
        <v>#DIV/0!</v>
      </c>
      <c r="K171" s="51" t="e">
        <f>IF(AND(C$7="Y",$B171&lt;=$C$4),0,IF(AND(C$7="N",C$4&gt;0,B171&lt;=C$4),0,S171*(C171-J171)))</f>
        <v>#DIV/0!</v>
      </c>
      <c r="L171" s="49" t="e">
        <f>IF(AND(C$7="Y",$B171&lt;=$C$4),0,IF(AND(C$7="N",C$4&gt;0,B171&lt;=C$4),0,U171*D170))</f>
        <v>#DIV/0!</v>
      </c>
      <c r="M171" s="49">
        <f t="shared" si="30"/>
        <v>0</v>
      </c>
      <c r="N171" s="49">
        <f t="shared" si="41"/>
        <v>0</v>
      </c>
      <c r="O171" s="48" t="e">
        <f>K171+I171+J171-L171+N171+G171</f>
        <v>#DIV/0!</v>
      </c>
      <c r="P171" s="38" t="e">
        <f>O171*(1/((1+P$12)^(B171/12)))</f>
        <v>#DIV/0!</v>
      </c>
      <c r="Q171" s="53"/>
      <c r="R171" s="53">
        <f t="shared" si="36"/>
        <v>0.12</v>
      </c>
      <c r="S171" s="53">
        <f t="shared" si="37"/>
        <v>1.0596241035318976E-2</v>
      </c>
      <c r="T171" s="53">
        <f t="shared" si="38"/>
        <v>0.05</v>
      </c>
      <c r="U171" s="53">
        <f t="shared" si="39"/>
        <v>4.2653187775606449E-3</v>
      </c>
    </row>
    <row r="172" spans="1:21" x14ac:dyDescent="0.2">
      <c r="A172" s="62" t="e">
        <f t="shared" si="31"/>
        <v>#DIV/0!</v>
      </c>
      <c r="B172" s="45">
        <f t="shared" si="32"/>
        <v>158</v>
      </c>
      <c r="C172" s="51" t="e">
        <f>IF(B172&lt;C$4,C$1,D171-L172+N172)</f>
        <v>#DIV/0!</v>
      </c>
      <c r="D172" s="47" t="e" cm="1">
        <f t="array" ref="D172">_xlfn.IFS(AND($C$7="Y",B172&lt;C$4),C172,AND($C$7="Y",B172=C$4),D171+F172-J172-K172-L172+N172,AND($C$7="Y",B172&gt;$C$4),D171-J172-K172-L172+N172, TRUE, D171-J172-K172-L172+N172)</f>
        <v>#DIV/0!</v>
      </c>
      <c r="E172" s="48">
        <f t="shared" si="33"/>
        <v>0</v>
      </c>
      <c r="F172" s="50">
        <f t="shared" si="34"/>
        <v>0</v>
      </c>
      <c r="G172" s="50">
        <f t="shared" si="40"/>
        <v>0</v>
      </c>
      <c r="H172" s="51" t="e">
        <f t="shared" si="35"/>
        <v>#DIV/0!</v>
      </c>
      <c r="I172" s="52" t="e">
        <f>IF(AND(C$7="Y",$B172&lt;=C$4),0,IF(AND(C$7="Y",$B172&gt;C$4),(1-U172)*C$2*D171/12,IF(AND($C$7="N",C$4&gt;0),(1-U172)*D171*C$2/12, (1-U172)*D171*C$2/12)))</f>
        <v>#DIV/0!</v>
      </c>
      <c r="J172" s="52" t="e">
        <f>IF(AND($B172&lt;=$C$4,C$7="Y"),0,IF(AND(C$7="N",C$4&gt;0,B172&lt;=C$4),0,H172-I172))</f>
        <v>#DIV/0!</v>
      </c>
      <c r="K172" s="51" t="e">
        <f>IF(AND(C$7="Y",$B172&lt;=$C$4),0,IF(AND(C$7="N",C$4&gt;0,B172&lt;=C$4),0,S172*(C172-J172)))</f>
        <v>#DIV/0!</v>
      </c>
      <c r="L172" s="49" t="e">
        <f>IF(AND(C$7="Y",$B172&lt;=$C$4),0,IF(AND(C$7="N",C$4&gt;0,B172&lt;=C$4),0,U172*D171))</f>
        <v>#DIV/0!</v>
      </c>
      <c r="M172" s="49">
        <f t="shared" si="30"/>
        <v>0</v>
      </c>
      <c r="N172" s="49">
        <f t="shared" si="41"/>
        <v>0</v>
      </c>
      <c r="O172" s="48" t="e">
        <f>K172+I172+J172-L172+N172+G172</f>
        <v>#DIV/0!</v>
      </c>
      <c r="P172" s="38" t="e">
        <f>O172*(1/((1+P$12)^(B172/12)))</f>
        <v>#DIV/0!</v>
      </c>
      <c r="Q172" s="53"/>
      <c r="R172" s="53">
        <f t="shared" si="36"/>
        <v>0.12</v>
      </c>
      <c r="S172" s="53">
        <f t="shared" si="37"/>
        <v>1.0596241035318976E-2</v>
      </c>
      <c r="T172" s="53">
        <f t="shared" si="38"/>
        <v>0.05</v>
      </c>
      <c r="U172" s="53">
        <f t="shared" si="39"/>
        <v>4.2653187775606449E-3</v>
      </c>
    </row>
    <row r="173" spans="1:21" x14ac:dyDescent="0.2">
      <c r="A173" s="62" t="e">
        <f t="shared" si="31"/>
        <v>#DIV/0!</v>
      </c>
      <c r="B173" s="45">
        <f t="shared" si="32"/>
        <v>159</v>
      </c>
      <c r="C173" s="51" t="e">
        <f>IF(B173&lt;C$4,C$1,D172-L173+N173)</f>
        <v>#DIV/0!</v>
      </c>
      <c r="D173" s="47" t="e" cm="1">
        <f t="array" ref="D173">_xlfn.IFS(AND($C$7="Y",B173&lt;C$4),C173,AND($C$7="Y",B173=C$4),D172+F173-J173-K173-L173+N173,AND($C$7="Y",B173&gt;$C$4),D172-J173-K173-L173+N173, TRUE, D172-J173-K173-L173+N173)</f>
        <v>#DIV/0!</v>
      </c>
      <c r="E173" s="48">
        <f t="shared" si="33"/>
        <v>0</v>
      </c>
      <c r="F173" s="50">
        <f t="shared" si="34"/>
        <v>0</v>
      </c>
      <c r="G173" s="50">
        <f t="shared" si="40"/>
        <v>0</v>
      </c>
      <c r="H173" s="51" t="e">
        <f t="shared" si="35"/>
        <v>#DIV/0!</v>
      </c>
      <c r="I173" s="52" t="e">
        <f>IF(AND(C$7="Y",$B173&lt;=C$4),0,IF(AND(C$7="Y",$B173&gt;C$4),(1-U173)*C$2*D172/12,IF(AND($C$7="N",C$4&gt;0),(1-U173)*D172*C$2/12, (1-U173)*D172*C$2/12)))</f>
        <v>#DIV/0!</v>
      </c>
      <c r="J173" s="52" t="e">
        <f>IF(AND($B173&lt;=$C$4,C$7="Y"),0,IF(AND(C$7="N",C$4&gt;0,B173&lt;=C$4),0,H173-I173))</f>
        <v>#DIV/0!</v>
      </c>
      <c r="K173" s="51" t="e">
        <f>IF(AND(C$7="Y",$B173&lt;=$C$4),0,IF(AND(C$7="N",C$4&gt;0,B173&lt;=C$4),0,S173*(C173-J173)))</f>
        <v>#DIV/0!</v>
      </c>
      <c r="L173" s="49" t="e">
        <f>IF(AND(C$7="Y",$B173&lt;=$C$4),0,IF(AND(C$7="N",C$4&gt;0,B173&lt;=C$4),0,U173*D172))</f>
        <v>#DIV/0!</v>
      </c>
      <c r="M173" s="49">
        <f t="shared" ref="M173:M235" si="42">IFERROR(L169*-1,0)</f>
        <v>0</v>
      </c>
      <c r="N173" s="49">
        <f t="shared" si="41"/>
        <v>0</v>
      </c>
      <c r="O173" s="48" t="e">
        <f>K173+I173+J173-L173+N173+G173</f>
        <v>#DIV/0!</v>
      </c>
      <c r="P173" s="38" t="e">
        <f>O173*(1/((1+P$12)^(B173/12)))</f>
        <v>#DIV/0!</v>
      </c>
      <c r="Q173" s="53"/>
      <c r="R173" s="53">
        <f t="shared" si="36"/>
        <v>0.12</v>
      </c>
      <c r="S173" s="53">
        <f t="shared" si="37"/>
        <v>1.0596241035318976E-2</v>
      </c>
      <c r="T173" s="53">
        <f t="shared" si="38"/>
        <v>0.05</v>
      </c>
      <c r="U173" s="53">
        <f t="shared" si="39"/>
        <v>4.2653187775606449E-3</v>
      </c>
    </row>
    <row r="174" spans="1:21" x14ac:dyDescent="0.2">
      <c r="A174" s="62" t="e">
        <f t="shared" si="31"/>
        <v>#DIV/0!</v>
      </c>
      <c r="B174" s="45">
        <f t="shared" si="32"/>
        <v>160</v>
      </c>
      <c r="C174" s="51" t="e">
        <f>IF(B174&lt;C$4,C$1,D173-L174+N174)</f>
        <v>#DIV/0!</v>
      </c>
      <c r="D174" s="47" t="e" cm="1">
        <f t="array" ref="D174">_xlfn.IFS(AND($C$7="Y",B174&lt;C$4),C174,AND($C$7="Y",B174=C$4),D173+F174-J174-K174-L174+N174,AND($C$7="Y",B174&gt;$C$4),D173-J174-K174-L174+N174, TRUE, D173-J174-K174-L174+N174)</f>
        <v>#DIV/0!</v>
      </c>
      <c r="E174" s="48">
        <f t="shared" si="33"/>
        <v>0</v>
      </c>
      <c r="F174" s="50">
        <f t="shared" si="34"/>
        <v>0</v>
      </c>
      <c r="G174" s="50">
        <f t="shared" si="40"/>
        <v>0</v>
      </c>
      <c r="H174" s="51" t="e">
        <f t="shared" si="35"/>
        <v>#DIV/0!</v>
      </c>
      <c r="I174" s="52" t="e">
        <f>IF(AND(C$7="Y",$B174&lt;=C$4),0,IF(AND(C$7="Y",$B174&gt;C$4),(1-U174)*C$2*D173/12,IF(AND($C$7="N",C$4&gt;0),(1-U174)*D173*C$2/12, (1-U174)*D173*C$2/12)))</f>
        <v>#DIV/0!</v>
      </c>
      <c r="J174" s="52" t="e">
        <f>IF(AND($B174&lt;=$C$4,C$7="Y"),0,IF(AND(C$7="N",C$4&gt;0,B174&lt;=C$4),0,H174-I174))</f>
        <v>#DIV/0!</v>
      </c>
      <c r="K174" s="51" t="e">
        <f>IF(AND(C$7="Y",$B174&lt;=$C$4),0,IF(AND(C$7="N",C$4&gt;0,B174&lt;=C$4),0,S174*(C174-J174)))</f>
        <v>#DIV/0!</v>
      </c>
      <c r="L174" s="49" t="e">
        <f>IF(AND(C$7="Y",$B174&lt;=$C$4),0,IF(AND(C$7="N",C$4&gt;0,B174&lt;=C$4),0,U174*D173))</f>
        <v>#DIV/0!</v>
      </c>
      <c r="M174" s="49">
        <f t="shared" si="42"/>
        <v>0</v>
      </c>
      <c r="N174" s="49">
        <f t="shared" si="41"/>
        <v>0</v>
      </c>
      <c r="O174" s="48" t="e">
        <f>K174+I174+J174-L174+N174+G174</f>
        <v>#DIV/0!</v>
      </c>
      <c r="P174" s="38" t="e">
        <f>O174*(1/((1+P$12)^(B174/12)))</f>
        <v>#DIV/0!</v>
      </c>
      <c r="Q174" s="53"/>
      <c r="R174" s="53">
        <f t="shared" si="36"/>
        <v>0.12</v>
      </c>
      <c r="S174" s="53">
        <f t="shared" si="37"/>
        <v>1.0596241035318976E-2</v>
      </c>
      <c r="T174" s="53">
        <f t="shared" si="38"/>
        <v>0.05</v>
      </c>
      <c r="U174" s="53">
        <f t="shared" si="39"/>
        <v>4.2653187775606449E-3</v>
      </c>
    </row>
    <row r="175" spans="1:21" x14ac:dyDescent="0.2">
      <c r="A175" s="62" t="e">
        <f t="shared" si="31"/>
        <v>#DIV/0!</v>
      </c>
      <c r="B175" s="45">
        <f t="shared" si="32"/>
        <v>161</v>
      </c>
      <c r="C175" s="51" t="e">
        <f>IF(B175&lt;C$4,C$1,D174-L175+N175)</f>
        <v>#DIV/0!</v>
      </c>
      <c r="D175" s="47" t="e" cm="1">
        <f t="array" ref="D175">_xlfn.IFS(AND($C$7="Y",B175&lt;C$4),C175,AND($C$7="Y",B175=C$4),D174+F175-J175-K175-L175+N175,AND($C$7="Y",B175&gt;$C$4),D174-J175-K175-L175+N175, TRUE, D174-J175-K175-L175+N175)</f>
        <v>#DIV/0!</v>
      </c>
      <c r="E175" s="48">
        <f t="shared" si="33"/>
        <v>0</v>
      </c>
      <c r="F175" s="50">
        <f t="shared" si="34"/>
        <v>0</v>
      </c>
      <c r="G175" s="50">
        <f t="shared" si="40"/>
        <v>0</v>
      </c>
      <c r="H175" s="51" t="e">
        <f t="shared" si="35"/>
        <v>#DIV/0!</v>
      </c>
      <c r="I175" s="52" t="e">
        <f>IF(AND(C$7="Y",$B175&lt;=C$4),0,IF(AND(C$7="Y",$B175&gt;C$4),(1-U175)*C$2*D174/12,IF(AND($C$7="N",C$4&gt;0),(1-U175)*D174*C$2/12, (1-U175)*D174*C$2/12)))</f>
        <v>#DIV/0!</v>
      </c>
      <c r="J175" s="52" t="e">
        <f>IF(AND($B175&lt;=$C$4,C$7="Y"),0,IF(AND(C$7="N",C$4&gt;0,B175&lt;=C$4),0,H175-I175))</f>
        <v>#DIV/0!</v>
      </c>
      <c r="K175" s="51" t="e">
        <f>IF(AND(C$7="Y",$B175&lt;=$C$4),0,IF(AND(C$7="N",C$4&gt;0,B175&lt;=C$4),0,S175*(C175-J175)))</f>
        <v>#DIV/0!</v>
      </c>
      <c r="L175" s="49" t="e">
        <f>IF(AND(C$7="Y",$B175&lt;=$C$4),0,IF(AND(C$7="N",C$4&gt;0,B175&lt;=C$4),0,U175*D174))</f>
        <v>#DIV/0!</v>
      </c>
      <c r="M175" s="49">
        <f t="shared" si="42"/>
        <v>0</v>
      </c>
      <c r="N175" s="49">
        <f t="shared" si="41"/>
        <v>0</v>
      </c>
      <c r="O175" s="48" t="e">
        <f>K175+I175+J175-L175+N175+G175</f>
        <v>#DIV/0!</v>
      </c>
      <c r="P175" s="38" t="e">
        <f>O175*(1/((1+P$12)^(B175/12)))</f>
        <v>#DIV/0!</v>
      </c>
      <c r="Q175" s="53"/>
      <c r="R175" s="53">
        <f t="shared" si="36"/>
        <v>0.12</v>
      </c>
      <c r="S175" s="53">
        <f t="shared" si="37"/>
        <v>1.0596241035318976E-2</v>
      </c>
      <c r="T175" s="53">
        <f t="shared" si="38"/>
        <v>0.05</v>
      </c>
      <c r="U175" s="53">
        <f t="shared" si="39"/>
        <v>4.2653187775606449E-3</v>
      </c>
    </row>
    <row r="176" spans="1:21" x14ac:dyDescent="0.2">
      <c r="A176" s="62" t="e">
        <f t="shared" si="31"/>
        <v>#DIV/0!</v>
      </c>
      <c r="B176" s="45">
        <f t="shared" si="32"/>
        <v>162</v>
      </c>
      <c r="C176" s="51" t="e">
        <f>IF(B176&lt;C$4,C$1,D175-L176+N176)</f>
        <v>#DIV/0!</v>
      </c>
      <c r="D176" s="47" t="e" cm="1">
        <f t="array" ref="D176">_xlfn.IFS(AND($C$7="Y",B176&lt;C$4),C176,AND($C$7="Y",B176=C$4),D175+F176-J176-K176-L176+N176,AND($C$7="Y",B176&gt;$C$4),D175-J176-K176-L176+N176, TRUE, D175-J176-K176-L176+N176)</f>
        <v>#DIV/0!</v>
      </c>
      <c r="E176" s="48">
        <f t="shared" si="33"/>
        <v>0</v>
      </c>
      <c r="F176" s="50">
        <f t="shared" si="34"/>
        <v>0</v>
      </c>
      <c r="G176" s="50">
        <f t="shared" si="40"/>
        <v>0</v>
      </c>
      <c r="H176" s="51" t="e">
        <f t="shared" si="35"/>
        <v>#DIV/0!</v>
      </c>
      <c r="I176" s="52" t="e">
        <f>IF(AND(C$7="Y",$B176&lt;=C$4),0,IF(AND(C$7="Y",$B176&gt;C$4),(1-U176)*C$2*D175/12,IF(AND($C$7="N",C$4&gt;0),(1-U176)*D175*C$2/12, (1-U176)*D175*C$2/12)))</f>
        <v>#DIV/0!</v>
      </c>
      <c r="J176" s="52" t="e">
        <f>IF(AND($B176&lt;=$C$4,C$7="Y"),0,IF(AND(C$7="N",C$4&gt;0,B176&lt;=C$4),0,H176-I176))</f>
        <v>#DIV/0!</v>
      </c>
      <c r="K176" s="51" t="e">
        <f>IF(AND(C$7="Y",$B176&lt;=$C$4),0,IF(AND(C$7="N",C$4&gt;0,B176&lt;=C$4),0,S176*(C176-J176)))</f>
        <v>#DIV/0!</v>
      </c>
      <c r="L176" s="49" t="e">
        <f>IF(AND(C$7="Y",$B176&lt;=$C$4),0,IF(AND(C$7="N",C$4&gt;0,B176&lt;=C$4),0,U176*D175))</f>
        <v>#DIV/0!</v>
      </c>
      <c r="M176" s="49">
        <f t="shared" si="42"/>
        <v>0</v>
      </c>
      <c r="N176" s="49">
        <f t="shared" si="41"/>
        <v>0</v>
      </c>
      <c r="O176" s="48" t="e">
        <f>K176+I176+J176-L176+N176+G176</f>
        <v>#DIV/0!</v>
      </c>
      <c r="P176" s="38" t="e">
        <f>O176*(1/((1+P$12)^(B176/12)))</f>
        <v>#DIV/0!</v>
      </c>
      <c r="Q176" s="53"/>
      <c r="R176" s="53">
        <f t="shared" si="36"/>
        <v>0.12</v>
      </c>
      <c r="S176" s="53">
        <f t="shared" si="37"/>
        <v>1.0596241035318976E-2</v>
      </c>
      <c r="T176" s="53">
        <f t="shared" si="38"/>
        <v>0.05</v>
      </c>
      <c r="U176" s="53">
        <f t="shared" si="39"/>
        <v>4.2653187775606449E-3</v>
      </c>
    </row>
    <row r="177" spans="1:21" x14ac:dyDescent="0.2">
      <c r="A177" s="62" t="e">
        <f t="shared" si="31"/>
        <v>#DIV/0!</v>
      </c>
      <c r="B177" s="45">
        <f t="shared" si="32"/>
        <v>163</v>
      </c>
      <c r="C177" s="51" t="e">
        <f>IF(B177&lt;C$4,C$1,D176-L177+N177)</f>
        <v>#DIV/0!</v>
      </c>
      <c r="D177" s="47" t="e" cm="1">
        <f t="array" ref="D177">_xlfn.IFS(AND($C$7="Y",B177&lt;C$4),C177,AND($C$7="Y",B177=C$4),D176+F177-J177-K177-L177+N177,AND($C$7="Y",B177&gt;$C$4),D176-J177-K177-L177+N177, TRUE, D176-J177-K177-L177+N177)</f>
        <v>#DIV/0!</v>
      </c>
      <c r="E177" s="48">
        <f t="shared" si="33"/>
        <v>0</v>
      </c>
      <c r="F177" s="50">
        <f t="shared" si="34"/>
        <v>0</v>
      </c>
      <c r="G177" s="50">
        <f t="shared" si="40"/>
        <v>0</v>
      </c>
      <c r="H177" s="51" t="e">
        <f t="shared" si="35"/>
        <v>#DIV/0!</v>
      </c>
      <c r="I177" s="52" t="e">
        <f>IF(AND(C$7="Y",$B177&lt;=C$4),0,IF(AND(C$7="Y",$B177&gt;C$4),(1-U177)*C$2*D176/12,IF(AND($C$7="N",C$4&gt;0),(1-U177)*D176*C$2/12, (1-U177)*D176*C$2/12)))</f>
        <v>#DIV/0!</v>
      </c>
      <c r="J177" s="52" t="e">
        <f>IF(AND($B177&lt;=$C$4,C$7="Y"),0,IF(AND(C$7="N",C$4&gt;0,B177&lt;=C$4),0,H177-I177))</f>
        <v>#DIV/0!</v>
      </c>
      <c r="K177" s="51" t="e">
        <f>IF(AND(C$7="Y",$B177&lt;=$C$4),0,IF(AND(C$7="N",C$4&gt;0,B177&lt;=C$4),0,S177*(C177-J177)))</f>
        <v>#DIV/0!</v>
      </c>
      <c r="L177" s="49" t="e">
        <f>IF(AND(C$7="Y",$B177&lt;=$C$4),0,IF(AND(C$7="N",C$4&gt;0,B177&lt;=C$4),0,U177*D176))</f>
        <v>#DIV/0!</v>
      </c>
      <c r="M177" s="49">
        <f t="shared" si="42"/>
        <v>0</v>
      </c>
      <c r="N177" s="49">
        <f t="shared" si="41"/>
        <v>0</v>
      </c>
      <c r="O177" s="48" t="e">
        <f>K177+I177+J177-L177+N177+G177</f>
        <v>#DIV/0!</v>
      </c>
      <c r="P177" s="38" t="e">
        <f>O177*(1/((1+P$12)^(B177/12)))</f>
        <v>#DIV/0!</v>
      </c>
      <c r="Q177" s="53"/>
      <c r="R177" s="53">
        <f t="shared" si="36"/>
        <v>0.12</v>
      </c>
      <c r="S177" s="53">
        <f t="shared" si="37"/>
        <v>1.0596241035318976E-2</v>
      </c>
      <c r="T177" s="53">
        <f t="shared" si="38"/>
        <v>0.05</v>
      </c>
      <c r="U177" s="53">
        <f t="shared" si="39"/>
        <v>4.2653187775606449E-3</v>
      </c>
    </row>
    <row r="178" spans="1:21" x14ac:dyDescent="0.2">
      <c r="A178" s="62" t="e">
        <f t="shared" si="31"/>
        <v>#DIV/0!</v>
      </c>
      <c r="B178" s="45">
        <f t="shared" si="32"/>
        <v>164</v>
      </c>
      <c r="C178" s="51" t="e">
        <f>IF(B178&lt;C$4,C$1,D177-L178+N178)</f>
        <v>#DIV/0!</v>
      </c>
      <c r="D178" s="47" t="e" cm="1">
        <f t="array" ref="D178">_xlfn.IFS(AND($C$7="Y",B178&lt;C$4),C178,AND($C$7="Y",B178=C$4),D177+F178-J178-K178-L178+N178,AND($C$7="Y",B178&gt;$C$4),D177-J178-K178-L178+N178, TRUE, D177-J178-K178-L178+N178)</f>
        <v>#DIV/0!</v>
      </c>
      <c r="E178" s="48">
        <f t="shared" si="33"/>
        <v>0</v>
      </c>
      <c r="F178" s="50">
        <f t="shared" si="34"/>
        <v>0</v>
      </c>
      <c r="G178" s="50">
        <f t="shared" si="40"/>
        <v>0</v>
      </c>
      <c r="H178" s="51" t="e">
        <f t="shared" si="35"/>
        <v>#DIV/0!</v>
      </c>
      <c r="I178" s="52" t="e">
        <f>IF(AND(C$7="Y",$B178&lt;=C$4),0,IF(AND(C$7="Y",$B178&gt;C$4),(1-U178)*C$2*D177/12,IF(AND($C$7="N",C$4&gt;0),(1-U178)*D177*C$2/12, (1-U178)*D177*C$2/12)))</f>
        <v>#DIV/0!</v>
      </c>
      <c r="J178" s="52" t="e">
        <f>IF(AND($B178&lt;=$C$4,C$7="Y"),0,IF(AND(C$7="N",C$4&gt;0,B178&lt;=C$4),0,H178-I178))</f>
        <v>#DIV/0!</v>
      </c>
      <c r="K178" s="51" t="e">
        <f>IF(AND(C$7="Y",$B178&lt;=$C$4),0,IF(AND(C$7="N",C$4&gt;0,B178&lt;=C$4),0,S178*(C178-J178)))</f>
        <v>#DIV/0!</v>
      </c>
      <c r="L178" s="49" t="e">
        <f>IF(AND(C$7="Y",$B178&lt;=$C$4),0,IF(AND(C$7="N",C$4&gt;0,B178&lt;=C$4),0,U178*D177))</f>
        <v>#DIV/0!</v>
      </c>
      <c r="M178" s="49">
        <f t="shared" si="42"/>
        <v>0</v>
      </c>
      <c r="N178" s="49">
        <f t="shared" si="41"/>
        <v>0</v>
      </c>
      <c r="O178" s="48" t="e">
        <f>K178+I178+J178-L178+N178+G178</f>
        <v>#DIV/0!</v>
      </c>
      <c r="P178" s="38" t="e">
        <f>O178*(1/((1+P$12)^(B178/12)))</f>
        <v>#DIV/0!</v>
      </c>
      <c r="Q178" s="53"/>
      <c r="R178" s="53">
        <f t="shared" si="36"/>
        <v>0.12</v>
      </c>
      <c r="S178" s="53">
        <f t="shared" si="37"/>
        <v>1.0596241035318976E-2</v>
      </c>
      <c r="T178" s="53">
        <f t="shared" si="38"/>
        <v>0.05</v>
      </c>
      <c r="U178" s="53">
        <f t="shared" si="39"/>
        <v>4.2653187775606449E-3</v>
      </c>
    </row>
    <row r="179" spans="1:21" x14ac:dyDescent="0.2">
      <c r="A179" s="62" t="e">
        <f t="shared" si="31"/>
        <v>#DIV/0!</v>
      </c>
      <c r="B179" s="45">
        <f t="shared" si="32"/>
        <v>165</v>
      </c>
      <c r="C179" s="51" t="e">
        <f>IF(B179&lt;C$4,C$1,D178-L179+N179)</f>
        <v>#DIV/0!</v>
      </c>
      <c r="D179" s="47" t="e" cm="1">
        <f t="array" ref="D179">_xlfn.IFS(AND($C$7="Y",B179&lt;C$4),C179,AND($C$7="Y",B179=C$4),D178+F179-J179-K179-L179+N179,AND($C$7="Y",B179&gt;$C$4),D178-J179-K179-L179+N179, TRUE, D178-J179-K179-L179+N179)</f>
        <v>#DIV/0!</v>
      </c>
      <c r="E179" s="48">
        <f t="shared" si="33"/>
        <v>0</v>
      </c>
      <c r="F179" s="50">
        <f t="shared" si="34"/>
        <v>0</v>
      </c>
      <c r="G179" s="50">
        <f t="shared" si="40"/>
        <v>0</v>
      </c>
      <c r="H179" s="51" t="e">
        <f t="shared" si="35"/>
        <v>#DIV/0!</v>
      </c>
      <c r="I179" s="52" t="e">
        <f>IF(AND(C$7="Y",$B179&lt;=C$4),0,IF(AND(C$7="Y",$B179&gt;C$4),(1-U179)*C$2*D178/12,IF(AND($C$7="N",C$4&gt;0),(1-U179)*D178*C$2/12, (1-U179)*D178*C$2/12)))</f>
        <v>#DIV/0!</v>
      </c>
      <c r="J179" s="52" t="e">
        <f>IF(AND($B179&lt;=$C$4,C$7="Y"),0,IF(AND(C$7="N",C$4&gt;0,B179&lt;=C$4),0,H179-I179))</f>
        <v>#DIV/0!</v>
      </c>
      <c r="K179" s="51" t="e">
        <f>IF(AND(C$7="Y",$B179&lt;=$C$4),0,IF(AND(C$7="N",C$4&gt;0,B179&lt;=C$4),0,S179*(C179-J179)))</f>
        <v>#DIV/0!</v>
      </c>
      <c r="L179" s="49" t="e">
        <f>IF(AND(C$7="Y",$B179&lt;=$C$4),0,IF(AND(C$7="N",C$4&gt;0,B179&lt;=C$4),0,U179*D178))</f>
        <v>#DIV/0!</v>
      </c>
      <c r="M179" s="49">
        <f t="shared" si="42"/>
        <v>0</v>
      </c>
      <c r="N179" s="49">
        <f t="shared" si="41"/>
        <v>0</v>
      </c>
      <c r="O179" s="48" t="e">
        <f>K179+I179+J179-L179+N179+G179</f>
        <v>#DIV/0!</v>
      </c>
      <c r="P179" s="38" t="e">
        <f>O179*(1/((1+P$12)^(B179/12)))</f>
        <v>#DIV/0!</v>
      </c>
      <c r="Q179" s="53"/>
      <c r="R179" s="53">
        <f t="shared" si="36"/>
        <v>0.12</v>
      </c>
      <c r="S179" s="53">
        <f t="shared" si="37"/>
        <v>1.0596241035318976E-2</v>
      </c>
      <c r="T179" s="53">
        <f t="shared" si="38"/>
        <v>0.05</v>
      </c>
      <c r="U179" s="53">
        <f t="shared" si="39"/>
        <v>4.2653187775606449E-3</v>
      </c>
    </row>
    <row r="180" spans="1:21" x14ac:dyDescent="0.2">
      <c r="A180" s="62" t="e">
        <f t="shared" si="31"/>
        <v>#DIV/0!</v>
      </c>
      <c r="B180" s="45">
        <f t="shared" si="32"/>
        <v>166</v>
      </c>
      <c r="C180" s="51" t="e">
        <f>IF(B180&lt;C$4,C$1,D179-L180+N180)</f>
        <v>#DIV/0!</v>
      </c>
      <c r="D180" s="47" t="e" cm="1">
        <f t="array" ref="D180">_xlfn.IFS(AND($C$7="Y",B180&lt;C$4),C180,AND($C$7="Y",B180=C$4),D179+F180-J180-K180-L180+N180,AND($C$7="Y",B180&gt;$C$4),D179-J180-K180-L180+N180, TRUE, D179-J180-K180-L180+N180)</f>
        <v>#DIV/0!</v>
      </c>
      <c r="E180" s="48">
        <f t="shared" si="33"/>
        <v>0</v>
      </c>
      <c r="F180" s="50">
        <f t="shared" si="34"/>
        <v>0</v>
      </c>
      <c r="G180" s="50">
        <f t="shared" si="40"/>
        <v>0</v>
      </c>
      <c r="H180" s="51" t="e">
        <f t="shared" si="35"/>
        <v>#DIV/0!</v>
      </c>
      <c r="I180" s="52" t="e">
        <f>IF(AND(C$7="Y",$B180&lt;=C$4),0,IF(AND(C$7="Y",$B180&gt;C$4),(1-U180)*C$2*D179/12,IF(AND($C$7="N",C$4&gt;0),(1-U180)*D179*C$2/12, (1-U180)*D179*C$2/12)))</f>
        <v>#DIV/0!</v>
      </c>
      <c r="J180" s="52" t="e">
        <f>IF(AND($B180&lt;=$C$4,C$7="Y"),0,IF(AND(C$7="N",C$4&gt;0,B180&lt;=C$4),0,H180-I180))</f>
        <v>#DIV/0!</v>
      </c>
      <c r="K180" s="51" t="e">
        <f>IF(AND(C$7="Y",$B180&lt;=$C$4),0,IF(AND(C$7="N",C$4&gt;0,B180&lt;=C$4),0,S180*(C180-J180)))</f>
        <v>#DIV/0!</v>
      </c>
      <c r="L180" s="49" t="e">
        <f>IF(AND(C$7="Y",$B180&lt;=$C$4),0,IF(AND(C$7="N",C$4&gt;0,B180&lt;=C$4),0,U180*D179))</f>
        <v>#DIV/0!</v>
      </c>
      <c r="M180" s="49">
        <f t="shared" si="42"/>
        <v>0</v>
      </c>
      <c r="N180" s="49">
        <f t="shared" si="41"/>
        <v>0</v>
      </c>
      <c r="O180" s="48" t="e">
        <f>K180+I180+J180-L180+N180+G180</f>
        <v>#DIV/0!</v>
      </c>
      <c r="P180" s="38" t="e">
        <f>O180*(1/((1+P$12)^(B180/12)))</f>
        <v>#DIV/0!</v>
      </c>
      <c r="Q180" s="53"/>
      <c r="R180" s="53">
        <f t="shared" si="36"/>
        <v>0.12</v>
      </c>
      <c r="S180" s="53">
        <f t="shared" si="37"/>
        <v>1.0596241035318976E-2</v>
      </c>
      <c r="T180" s="53">
        <f t="shared" si="38"/>
        <v>0.05</v>
      </c>
      <c r="U180" s="53">
        <f t="shared" si="39"/>
        <v>4.2653187775606449E-3</v>
      </c>
    </row>
    <row r="181" spans="1:21" x14ac:dyDescent="0.2">
      <c r="A181" s="62" t="e">
        <f t="shared" si="31"/>
        <v>#DIV/0!</v>
      </c>
      <c r="B181" s="45">
        <f t="shared" si="32"/>
        <v>167</v>
      </c>
      <c r="C181" s="51" t="e">
        <f>IF(B181&lt;C$4,C$1,D180-L181+N181)</f>
        <v>#DIV/0!</v>
      </c>
      <c r="D181" s="47" t="e" cm="1">
        <f t="array" ref="D181">_xlfn.IFS(AND($C$7="Y",B181&lt;C$4),C181,AND($C$7="Y",B181=C$4),D180+F181-J181-K181-L181+N181,AND($C$7="Y",B181&gt;$C$4),D180-J181-K181-L181+N181, TRUE, D180-J181-K181-L181+N181)</f>
        <v>#DIV/0!</v>
      </c>
      <c r="E181" s="48">
        <f t="shared" si="33"/>
        <v>0</v>
      </c>
      <c r="F181" s="50">
        <f t="shared" si="34"/>
        <v>0</v>
      </c>
      <c r="G181" s="50">
        <f t="shared" si="40"/>
        <v>0</v>
      </c>
      <c r="H181" s="51" t="e">
        <f t="shared" si="35"/>
        <v>#DIV/0!</v>
      </c>
      <c r="I181" s="52" t="e">
        <f>IF(AND(C$7="Y",$B181&lt;=C$4),0,IF(AND(C$7="Y",$B181&gt;C$4),(1-U181)*C$2*D180/12,IF(AND($C$7="N",C$4&gt;0),(1-U181)*D180*C$2/12, (1-U181)*D180*C$2/12)))</f>
        <v>#DIV/0!</v>
      </c>
      <c r="J181" s="52" t="e">
        <f>IF(AND($B181&lt;=$C$4,C$7="Y"),0,IF(AND(C$7="N",C$4&gt;0,B181&lt;=C$4),0,H181-I181))</f>
        <v>#DIV/0!</v>
      </c>
      <c r="K181" s="51" t="e">
        <f>IF(AND(C$7="Y",$B181&lt;=$C$4),0,IF(AND(C$7="N",C$4&gt;0,B181&lt;=C$4),0,S181*(C181-J181)))</f>
        <v>#DIV/0!</v>
      </c>
      <c r="L181" s="49" t="e">
        <f>IF(AND(C$7="Y",$B181&lt;=$C$4),0,IF(AND(C$7="N",C$4&gt;0,B181&lt;=C$4),0,U181*D180))</f>
        <v>#DIV/0!</v>
      </c>
      <c r="M181" s="49">
        <f t="shared" si="42"/>
        <v>0</v>
      </c>
      <c r="N181" s="49">
        <f t="shared" si="41"/>
        <v>0</v>
      </c>
      <c r="O181" s="48" t="e">
        <f>K181+I181+J181-L181+N181+G181</f>
        <v>#DIV/0!</v>
      </c>
      <c r="P181" s="38" t="e">
        <f>O181*(1/((1+P$12)^(B181/12)))</f>
        <v>#DIV/0!</v>
      </c>
      <c r="Q181" s="53"/>
      <c r="R181" s="53">
        <f t="shared" si="36"/>
        <v>0.12</v>
      </c>
      <c r="S181" s="53">
        <f t="shared" si="37"/>
        <v>1.0596241035318976E-2</v>
      </c>
      <c r="T181" s="53">
        <f t="shared" si="38"/>
        <v>0.05</v>
      </c>
      <c r="U181" s="53">
        <f t="shared" si="39"/>
        <v>4.2653187775606449E-3</v>
      </c>
    </row>
    <row r="182" spans="1:21" x14ac:dyDescent="0.2">
      <c r="A182" s="62" t="e">
        <f t="shared" si="31"/>
        <v>#DIV/0!</v>
      </c>
      <c r="B182" s="45">
        <f t="shared" si="32"/>
        <v>168</v>
      </c>
      <c r="C182" s="51" t="e">
        <f>IF(B182&lt;C$4,C$1,D181-L182+N182)</f>
        <v>#DIV/0!</v>
      </c>
      <c r="D182" s="47" t="e" cm="1">
        <f t="array" ref="D182">_xlfn.IFS(AND($C$7="Y",B182&lt;C$4),C182,AND($C$7="Y",B182=C$4),D181+F182-J182-K182-L182+N182,AND($C$7="Y",B182&gt;$C$4),D181-J182-K182-L182+N182, TRUE, D181-J182-K182-L182+N182)</f>
        <v>#DIV/0!</v>
      </c>
      <c r="E182" s="48">
        <f t="shared" si="33"/>
        <v>0</v>
      </c>
      <c r="F182" s="50">
        <f t="shared" si="34"/>
        <v>0</v>
      </c>
      <c r="G182" s="50">
        <f t="shared" si="40"/>
        <v>0</v>
      </c>
      <c r="H182" s="51" t="e">
        <f t="shared" si="35"/>
        <v>#DIV/0!</v>
      </c>
      <c r="I182" s="52" t="e">
        <f>IF(AND(C$7="Y",$B182&lt;=C$4),0,IF(AND(C$7="Y",$B182&gt;C$4),(1-U182)*C$2*D181/12,IF(AND($C$7="N",C$4&gt;0),(1-U182)*D181*C$2/12, (1-U182)*D181*C$2/12)))</f>
        <v>#DIV/0!</v>
      </c>
      <c r="J182" s="52" t="e">
        <f>IF(AND($B182&lt;=$C$4,C$7="Y"),0,IF(AND(C$7="N",C$4&gt;0,B182&lt;=C$4),0,H182-I182))</f>
        <v>#DIV/0!</v>
      </c>
      <c r="K182" s="51" t="e">
        <f>IF(AND(C$7="Y",$B182&lt;=$C$4),0,IF(AND(C$7="N",C$4&gt;0,B182&lt;=C$4),0,S182*(C182-J182)))</f>
        <v>#DIV/0!</v>
      </c>
      <c r="L182" s="49" t="e">
        <f>IF(AND(C$7="Y",$B182&lt;=$C$4),0,IF(AND(C$7="N",C$4&gt;0,B182&lt;=C$4),0,U182*D181))</f>
        <v>#DIV/0!</v>
      </c>
      <c r="M182" s="49">
        <f t="shared" si="42"/>
        <v>0</v>
      </c>
      <c r="N182" s="49">
        <f t="shared" si="41"/>
        <v>0</v>
      </c>
      <c r="O182" s="48" t="e">
        <f>K182+I182+J182-L182+N182+G182</f>
        <v>#DIV/0!</v>
      </c>
      <c r="P182" s="38" t="e">
        <f>O182*(1/((1+P$12)^(B182/12)))</f>
        <v>#DIV/0!</v>
      </c>
      <c r="Q182" s="53"/>
      <c r="R182" s="53">
        <f t="shared" si="36"/>
        <v>0.12</v>
      </c>
      <c r="S182" s="53">
        <f t="shared" si="37"/>
        <v>1.0596241035318976E-2</v>
      </c>
      <c r="T182" s="53">
        <f t="shared" si="38"/>
        <v>0.05</v>
      </c>
      <c r="U182" s="53">
        <f t="shared" si="39"/>
        <v>4.2653187775606449E-3</v>
      </c>
    </row>
    <row r="183" spans="1:21" x14ac:dyDescent="0.2">
      <c r="A183" s="62" t="e">
        <f t="shared" si="31"/>
        <v>#DIV/0!</v>
      </c>
      <c r="B183" s="45">
        <f t="shared" si="32"/>
        <v>169</v>
      </c>
      <c r="C183" s="51" t="e">
        <f>IF(B183&lt;C$4,C$1,D182-L183+N183)</f>
        <v>#DIV/0!</v>
      </c>
      <c r="D183" s="47" t="e" cm="1">
        <f t="array" ref="D183">_xlfn.IFS(AND($C$7="Y",B183&lt;C$4),C183,AND($C$7="Y",B183=C$4),D182+F183-J183-K183-L183+N183,AND($C$7="Y",B183&gt;$C$4),D182-J183-K183-L183+N183, TRUE, D182-J183-K183-L183+N183)</f>
        <v>#DIV/0!</v>
      </c>
      <c r="E183" s="48">
        <f t="shared" si="33"/>
        <v>0</v>
      </c>
      <c r="F183" s="50">
        <f t="shared" si="34"/>
        <v>0</v>
      </c>
      <c r="G183" s="50">
        <f t="shared" si="40"/>
        <v>0</v>
      </c>
      <c r="H183" s="51" t="e">
        <f t="shared" si="35"/>
        <v>#DIV/0!</v>
      </c>
      <c r="I183" s="52" t="e">
        <f>IF(AND(C$7="Y",$B183&lt;=C$4),0,IF(AND(C$7="Y",$B183&gt;C$4),(1-U183)*C$2*D182/12,IF(AND($C$7="N",C$4&gt;0),(1-U183)*D182*C$2/12, (1-U183)*D182*C$2/12)))</f>
        <v>#DIV/0!</v>
      </c>
      <c r="J183" s="52" t="e">
        <f>IF(AND($B183&lt;=$C$4,C$7="Y"),0,IF(AND(C$7="N",C$4&gt;0,B183&lt;=C$4),0,H183-I183))</f>
        <v>#DIV/0!</v>
      </c>
      <c r="K183" s="51" t="e">
        <f>IF(AND(C$7="Y",$B183&lt;=$C$4),0,IF(AND(C$7="N",C$4&gt;0,B183&lt;=C$4),0,S183*(C183-J183)))</f>
        <v>#DIV/0!</v>
      </c>
      <c r="L183" s="49" t="e">
        <f>IF(AND(C$7="Y",$B183&lt;=$C$4),0,IF(AND(C$7="N",C$4&gt;0,B183&lt;=C$4),0,U183*D182))</f>
        <v>#DIV/0!</v>
      </c>
      <c r="M183" s="49">
        <f t="shared" si="42"/>
        <v>0</v>
      </c>
      <c r="N183" s="49">
        <f t="shared" si="41"/>
        <v>0</v>
      </c>
      <c r="O183" s="48" t="e">
        <f>K183+I183+J183-L183+N183+G183</f>
        <v>#DIV/0!</v>
      </c>
      <c r="P183" s="38" t="e">
        <f>O183*(1/((1+P$12)^(B183/12)))</f>
        <v>#DIV/0!</v>
      </c>
      <c r="Q183" s="53"/>
      <c r="R183" s="53">
        <f t="shared" si="36"/>
        <v>0.12</v>
      </c>
      <c r="S183" s="53">
        <f t="shared" si="37"/>
        <v>1.0596241035318976E-2</v>
      </c>
      <c r="T183" s="53">
        <f t="shared" si="38"/>
        <v>0.05</v>
      </c>
      <c r="U183" s="53">
        <f t="shared" si="39"/>
        <v>4.2653187775606449E-3</v>
      </c>
    </row>
    <row r="184" spans="1:21" x14ac:dyDescent="0.2">
      <c r="A184" s="62" t="e">
        <f t="shared" si="31"/>
        <v>#DIV/0!</v>
      </c>
      <c r="B184" s="45">
        <f t="shared" si="32"/>
        <v>170</v>
      </c>
      <c r="C184" s="51" t="e">
        <f>IF(B184&lt;C$4,C$1,D183-L184+N184)</f>
        <v>#DIV/0!</v>
      </c>
      <c r="D184" s="47" t="e" cm="1">
        <f t="array" ref="D184">_xlfn.IFS(AND($C$7="Y",B184&lt;C$4),C184,AND($C$7="Y",B184=C$4),D183+F184-J184-K184-L184+N184,AND($C$7="Y",B184&gt;$C$4),D183-J184-K184-L184+N184, TRUE, D183-J184-K184-L184+N184)</f>
        <v>#DIV/0!</v>
      </c>
      <c r="E184" s="48">
        <f t="shared" si="33"/>
        <v>0</v>
      </c>
      <c r="F184" s="50">
        <f t="shared" si="34"/>
        <v>0</v>
      </c>
      <c r="G184" s="50">
        <f t="shared" si="40"/>
        <v>0</v>
      </c>
      <c r="H184" s="51" t="e">
        <f t="shared" si="35"/>
        <v>#DIV/0!</v>
      </c>
      <c r="I184" s="52" t="e">
        <f>IF(AND(C$7="Y",$B184&lt;=C$4),0,IF(AND(C$7="Y",$B184&gt;C$4),(1-U184)*C$2*D183/12,IF(AND($C$7="N",C$4&gt;0),(1-U184)*D183*C$2/12, (1-U184)*D183*C$2/12)))</f>
        <v>#DIV/0!</v>
      </c>
      <c r="J184" s="52" t="e">
        <f>IF(AND($B184&lt;=$C$4,C$7="Y"),0,IF(AND(C$7="N",C$4&gt;0,B184&lt;=C$4),0,H184-I184))</f>
        <v>#DIV/0!</v>
      </c>
      <c r="K184" s="51" t="e">
        <f>IF(AND(C$7="Y",$B184&lt;=$C$4),0,IF(AND(C$7="N",C$4&gt;0,B184&lt;=C$4),0,S184*(C184-J184)))</f>
        <v>#DIV/0!</v>
      </c>
      <c r="L184" s="49" t="e">
        <f>IF(AND(C$7="Y",$B184&lt;=$C$4),0,IF(AND(C$7="N",C$4&gt;0,B184&lt;=C$4),0,U184*D183))</f>
        <v>#DIV/0!</v>
      </c>
      <c r="M184" s="49">
        <f t="shared" si="42"/>
        <v>0</v>
      </c>
      <c r="N184" s="49">
        <f t="shared" si="41"/>
        <v>0</v>
      </c>
      <c r="O184" s="48" t="e">
        <f>K184+I184+J184-L184+N184+G184</f>
        <v>#DIV/0!</v>
      </c>
      <c r="P184" s="38" t="e">
        <f>O184*(1/((1+P$12)^(B184/12)))</f>
        <v>#DIV/0!</v>
      </c>
      <c r="Q184" s="53"/>
      <c r="R184" s="53">
        <f t="shared" si="36"/>
        <v>0.12</v>
      </c>
      <c r="S184" s="53">
        <f t="shared" si="37"/>
        <v>1.0596241035318976E-2</v>
      </c>
      <c r="T184" s="53">
        <f t="shared" si="38"/>
        <v>0.05</v>
      </c>
      <c r="U184" s="53">
        <f t="shared" si="39"/>
        <v>4.2653187775606449E-3</v>
      </c>
    </row>
    <row r="185" spans="1:21" x14ac:dyDescent="0.2">
      <c r="A185" s="62" t="e">
        <f t="shared" si="31"/>
        <v>#DIV/0!</v>
      </c>
      <c r="B185" s="45">
        <f t="shared" si="32"/>
        <v>171</v>
      </c>
      <c r="C185" s="51" t="e">
        <f>IF(B185&lt;C$4,C$1,D184-L185+N185)</f>
        <v>#DIV/0!</v>
      </c>
      <c r="D185" s="47" t="e" cm="1">
        <f t="array" ref="D185">_xlfn.IFS(AND($C$7="Y",B185&lt;C$4),C185,AND($C$7="Y",B185=C$4),D184+F185-J185-K185-L185+N185,AND($C$7="Y",B185&gt;$C$4),D184-J185-K185-L185+N185, TRUE, D184-J185-K185-L185+N185)</f>
        <v>#DIV/0!</v>
      </c>
      <c r="E185" s="48">
        <f t="shared" si="33"/>
        <v>0</v>
      </c>
      <c r="F185" s="50">
        <f t="shared" si="34"/>
        <v>0</v>
      </c>
      <c r="G185" s="50">
        <f t="shared" si="40"/>
        <v>0</v>
      </c>
      <c r="H185" s="51" t="e">
        <f t="shared" si="35"/>
        <v>#DIV/0!</v>
      </c>
      <c r="I185" s="52" t="e">
        <f>IF(AND(C$7="Y",$B185&lt;=C$4),0,IF(AND(C$7="Y",$B185&gt;C$4),(1-U185)*C$2*D184/12,IF(AND($C$7="N",C$4&gt;0),(1-U185)*D184*C$2/12, (1-U185)*D184*C$2/12)))</f>
        <v>#DIV/0!</v>
      </c>
      <c r="J185" s="52" t="e">
        <f>IF(AND($B185&lt;=$C$4,C$7="Y"),0,IF(AND(C$7="N",C$4&gt;0,B185&lt;=C$4),0,H185-I185))</f>
        <v>#DIV/0!</v>
      </c>
      <c r="K185" s="51" t="e">
        <f>IF(AND(C$7="Y",$B185&lt;=$C$4),0,IF(AND(C$7="N",C$4&gt;0,B185&lt;=C$4),0,S185*(C185-J185)))</f>
        <v>#DIV/0!</v>
      </c>
      <c r="L185" s="49" t="e">
        <f>IF(AND(C$7="Y",$B185&lt;=$C$4),0,IF(AND(C$7="N",C$4&gt;0,B185&lt;=C$4),0,U185*D184))</f>
        <v>#DIV/0!</v>
      </c>
      <c r="M185" s="49">
        <f t="shared" si="42"/>
        <v>0</v>
      </c>
      <c r="N185" s="49">
        <f t="shared" si="41"/>
        <v>0</v>
      </c>
      <c r="O185" s="48" t="e">
        <f>K185+I185+J185-L185+N185+G185</f>
        <v>#DIV/0!</v>
      </c>
      <c r="P185" s="38" t="e">
        <f>O185*(1/((1+P$12)^(B185/12)))</f>
        <v>#DIV/0!</v>
      </c>
      <c r="Q185" s="53"/>
      <c r="R185" s="53">
        <f t="shared" si="36"/>
        <v>0.12</v>
      </c>
      <c r="S185" s="53">
        <f t="shared" si="37"/>
        <v>1.0596241035318976E-2</v>
      </c>
      <c r="T185" s="53">
        <f t="shared" si="38"/>
        <v>0.05</v>
      </c>
      <c r="U185" s="53">
        <f t="shared" si="39"/>
        <v>4.2653187775606449E-3</v>
      </c>
    </row>
    <row r="186" spans="1:21" x14ac:dyDescent="0.2">
      <c r="A186" s="62" t="e">
        <f t="shared" si="31"/>
        <v>#DIV/0!</v>
      </c>
      <c r="B186" s="45">
        <f t="shared" si="32"/>
        <v>172</v>
      </c>
      <c r="C186" s="51" t="e">
        <f>IF(B186&lt;C$4,C$1,D185-L186+N186)</f>
        <v>#DIV/0!</v>
      </c>
      <c r="D186" s="47" t="e" cm="1">
        <f t="array" ref="D186">_xlfn.IFS(AND($C$7="Y",B186&lt;C$4),C186,AND($C$7="Y",B186=C$4),D185+F186-J186-K186-L186+N186,AND($C$7="Y",B186&gt;$C$4),D185-J186-K186-L186+N186, TRUE, D185-J186-K186-L186+N186)</f>
        <v>#DIV/0!</v>
      </c>
      <c r="E186" s="48">
        <f t="shared" si="33"/>
        <v>0</v>
      </c>
      <c r="F186" s="50">
        <f t="shared" si="34"/>
        <v>0</v>
      </c>
      <c r="G186" s="50">
        <f t="shared" si="40"/>
        <v>0</v>
      </c>
      <c r="H186" s="51" t="e">
        <f t="shared" si="35"/>
        <v>#DIV/0!</v>
      </c>
      <c r="I186" s="52" t="e">
        <f>IF(AND(C$7="Y",$B186&lt;=C$4),0,IF(AND(C$7="Y",$B186&gt;C$4),(1-U186)*C$2*D185/12,IF(AND($C$7="N",C$4&gt;0),(1-U186)*D185*C$2/12, (1-U186)*D185*C$2/12)))</f>
        <v>#DIV/0!</v>
      </c>
      <c r="J186" s="52" t="e">
        <f>IF(AND($B186&lt;=$C$4,C$7="Y"),0,IF(AND(C$7="N",C$4&gt;0,B186&lt;=C$4),0,H186-I186))</f>
        <v>#DIV/0!</v>
      </c>
      <c r="K186" s="51" t="e">
        <f>IF(AND(C$7="Y",$B186&lt;=$C$4),0,IF(AND(C$7="N",C$4&gt;0,B186&lt;=C$4),0,S186*(C186-J186)))</f>
        <v>#DIV/0!</v>
      </c>
      <c r="L186" s="49" t="e">
        <f>IF(AND(C$7="Y",$B186&lt;=$C$4),0,IF(AND(C$7="N",C$4&gt;0,B186&lt;=C$4),0,U186*D185))</f>
        <v>#DIV/0!</v>
      </c>
      <c r="M186" s="49">
        <f t="shared" si="42"/>
        <v>0</v>
      </c>
      <c r="N186" s="49">
        <f t="shared" si="41"/>
        <v>0</v>
      </c>
      <c r="O186" s="48" t="e">
        <f>K186+I186+J186-L186+N186+G186</f>
        <v>#DIV/0!</v>
      </c>
      <c r="P186" s="38" t="e">
        <f>O186*(1/((1+P$12)^(B186/12)))</f>
        <v>#DIV/0!</v>
      </c>
      <c r="Q186" s="53"/>
      <c r="R186" s="53">
        <f t="shared" si="36"/>
        <v>0.12</v>
      </c>
      <c r="S186" s="53">
        <f t="shared" si="37"/>
        <v>1.0596241035318976E-2</v>
      </c>
      <c r="T186" s="53">
        <f t="shared" si="38"/>
        <v>0.05</v>
      </c>
      <c r="U186" s="53">
        <f t="shared" si="39"/>
        <v>4.2653187775606449E-3</v>
      </c>
    </row>
    <row r="187" spans="1:21" x14ac:dyDescent="0.2">
      <c r="A187" s="62" t="e">
        <f t="shared" si="31"/>
        <v>#DIV/0!</v>
      </c>
      <c r="B187" s="45">
        <f t="shared" si="32"/>
        <v>173</v>
      </c>
      <c r="C187" s="51" t="e">
        <f>IF(B187&lt;C$4,C$1,D186-L187+N187)</f>
        <v>#DIV/0!</v>
      </c>
      <c r="D187" s="47" t="e" cm="1">
        <f t="array" ref="D187">_xlfn.IFS(AND($C$7="Y",B187&lt;C$4),C187,AND($C$7="Y",B187=C$4),D186+F187-J187-K187-L187+N187,AND($C$7="Y",B187&gt;$C$4),D186-J187-K187-L187+N187, TRUE, D186-J187-K187-L187+N187)</f>
        <v>#DIV/0!</v>
      </c>
      <c r="E187" s="48">
        <f t="shared" si="33"/>
        <v>0</v>
      </c>
      <c r="F187" s="50">
        <f t="shared" si="34"/>
        <v>0</v>
      </c>
      <c r="G187" s="50">
        <f t="shared" si="40"/>
        <v>0</v>
      </c>
      <c r="H187" s="51" t="e">
        <f t="shared" si="35"/>
        <v>#DIV/0!</v>
      </c>
      <c r="I187" s="52" t="e">
        <f>IF(AND(C$7="Y",$B187&lt;=C$4),0,IF(AND(C$7="Y",$B187&gt;C$4),(1-U187)*C$2*D186/12,IF(AND($C$7="N",C$4&gt;0),(1-U187)*D186*C$2/12, (1-U187)*D186*C$2/12)))</f>
        <v>#DIV/0!</v>
      </c>
      <c r="J187" s="52" t="e">
        <f>IF(AND($B187&lt;=$C$4,C$7="Y"),0,IF(AND(C$7="N",C$4&gt;0,B187&lt;=C$4),0,H187-I187))</f>
        <v>#DIV/0!</v>
      </c>
      <c r="K187" s="51" t="e">
        <f>IF(AND(C$7="Y",$B187&lt;=$C$4),0,IF(AND(C$7="N",C$4&gt;0,B187&lt;=C$4),0,S187*(C187-J187)))</f>
        <v>#DIV/0!</v>
      </c>
      <c r="L187" s="49" t="e">
        <f>IF(AND(C$7="Y",$B187&lt;=$C$4),0,IF(AND(C$7="N",C$4&gt;0,B187&lt;=C$4),0,U187*D186))</f>
        <v>#DIV/0!</v>
      </c>
      <c r="M187" s="49">
        <f t="shared" si="42"/>
        <v>0</v>
      </c>
      <c r="N187" s="49">
        <f t="shared" si="41"/>
        <v>0</v>
      </c>
      <c r="O187" s="48" t="e">
        <f>K187+I187+J187-L187+N187+G187</f>
        <v>#DIV/0!</v>
      </c>
      <c r="P187" s="38" t="e">
        <f>O187*(1/((1+P$12)^(B187/12)))</f>
        <v>#DIV/0!</v>
      </c>
      <c r="Q187" s="53"/>
      <c r="R187" s="53">
        <f t="shared" si="36"/>
        <v>0.12</v>
      </c>
      <c r="S187" s="53">
        <f t="shared" si="37"/>
        <v>1.0596241035318976E-2</v>
      </c>
      <c r="T187" s="53">
        <f t="shared" si="38"/>
        <v>0.05</v>
      </c>
      <c r="U187" s="53">
        <f t="shared" si="39"/>
        <v>4.2653187775606449E-3</v>
      </c>
    </row>
    <row r="188" spans="1:21" x14ac:dyDescent="0.2">
      <c r="A188" s="62" t="e">
        <f t="shared" si="31"/>
        <v>#DIV/0!</v>
      </c>
      <c r="B188" s="45">
        <f t="shared" si="32"/>
        <v>174</v>
      </c>
      <c r="C188" s="51" t="e">
        <f>IF(B188&lt;C$4,C$1,D187-L188+N188)</f>
        <v>#DIV/0!</v>
      </c>
      <c r="D188" s="47" t="e" cm="1">
        <f t="array" ref="D188">_xlfn.IFS(AND($C$7="Y",B188&lt;C$4),C188,AND($C$7="Y",B188=C$4),D187+F188-J188-K188-L188+N188,AND($C$7="Y",B188&gt;$C$4),D187-J188-K188-L188+N188, TRUE, D187-J188-K188-L188+N188)</f>
        <v>#DIV/0!</v>
      </c>
      <c r="E188" s="48">
        <f t="shared" si="33"/>
        <v>0</v>
      </c>
      <c r="F188" s="50">
        <f t="shared" si="34"/>
        <v>0</v>
      </c>
      <c r="G188" s="50">
        <f t="shared" si="40"/>
        <v>0</v>
      </c>
      <c r="H188" s="51" t="e">
        <f t="shared" si="35"/>
        <v>#DIV/0!</v>
      </c>
      <c r="I188" s="52" t="e">
        <f>IF(AND(C$7="Y",$B188&lt;=C$4),0,IF(AND(C$7="Y",$B188&gt;C$4),(1-U188)*C$2*D187/12,IF(AND($C$7="N",C$4&gt;0),(1-U188)*D187*C$2/12, (1-U188)*D187*C$2/12)))</f>
        <v>#DIV/0!</v>
      </c>
      <c r="J188" s="52" t="e">
        <f>IF(AND($B188&lt;=$C$4,C$7="Y"),0,IF(AND(C$7="N",C$4&gt;0,B188&lt;=C$4),0,H188-I188))</f>
        <v>#DIV/0!</v>
      </c>
      <c r="K188" s="51" t="e">
        <f>IF(AND(C$7="Y",$B188&lt;=$C$4),0,IF(AND(C$7="N",C$4&gt;0,B188&lt;=C$4),0,S188*(C188-J188)))</f>
        <v>#DIV/0!</v>
      </c>
      <c r="L188" s="49" t="e">
        <f>IF(AND(C$7="Y",$B188&lt;=$C$4),0,IF(AND(C$7="N",C$4&gt;0,B188&lt;=C$4),0,U188*D187))</f>
        <v>#DIV/0!</v>
      </c>
      <c r="M188" s="49">
        <f t="shared" si="42"/>
        <v>0</v>
      </c>
      <c r="N188" s="49">
        <f t="shared" si="41"/>
        <v>0</v>
      </c>
      <c r="O188" s="48" t="e">
        <f>K188+I188+J188-L188+N188+G188</f>
        <v>#DIV/0!</v>
      </c>
      <c r="P188" s="38" t="e">
        <f>O188*(1/((1+P$12)^(B188/12)))</f>
        <v>#DIV/0!</v>
      </c>
      <c r="Q188" s="53"/>
      <c r="R188" s="53">
        <f t="shared" si="36"/>
        <v>0.12</v>
      </c>
      <c r="S188" s="53">
        <f t="shared" si="37"/>
        <v>1.0596241035318976E-2</v>
      </c>
      <c r="T188" s="53">
        <f t="shared" si="38"/>
        <v>0.05</v>
      </c>
      <c r="U188" s="53">
        <f t="shared" si="39"/>
        <v>4.2653187775606449E-3</v>
      </c>
    </row>
    <row r="189" spans="1:21" x14ac:dyDescent="0.2">
      <c r="A189" s="62" t="e">
        <f t="shared" si="31"/>
        <v>#DIV/0!</v>
      </c>
      <c r="B189" s="45">
        <f t="shared" si="32"/>
        <v>175</v>
      </c>
      <c r="C189" s="51" t="e">
        <f>IF(B189&lt;C$4,C$1,D188-L189+N189)</f>
        <v>#DIV/0!</v>
      </c>
      <c r="D189" s="47" t="e" cm="1">
        <f t="array" ref="D189">_xlfn.IFS(AND($C$7="Y",B189&lt;C$4),C189,AND($C$7="Y",B189=C$4),D188+F189-J189-K189-L189+N189,AND($C$7="Y",B189&gt;$C$4),D188-J189-K189-L189+N189, TRUE, D188-J189-K189-L189+N189)</f>
        <v>#DIV/0!</v>
      </c>
      <c r="E189" s="48">
        <f t="shared" si="33"/>
        <v>0</v>
      </c>
      <c r="F189" s="50">
        <f t="shared" si="34"/>
        <v>0</v>
      </c>
      <c r="G189" s="50">
        <f t="shared" si="40"/>
        <v>0</v>
      </c>
      <c r="H189" s="51" t="e">
        <f t="shared" si="35"/>
        <v>#DIV/0!</v>
      </c>
      <c r="I189" s="52" t="e">
        <f>IF(AND(C$7="Y",$B189&lt;=C$4),0,IF(AND(C$7="Y",$B189&gt;C$4),(1-U189)*C$2*D188/12,IF(AND($C$7="N",C$4&gt;0),(1-U189)*D188*C$2/12, (1-U189)*D188*C$2/12)))</f>
        <v>#DIV/0!</v>
      </c>
      <c r="J189" s="52" t="e">
        <f>IF(AND($B189&lt;=$C$4,C$7="Y"),0,IF(AND(C$7="N",C$4&gt;0,B189&lt;=C$4),0,H189-I189))</f>
        <v>#DIV/0!</v>
      </c>
      <c r="K189" s="51" t="e">
        <f>IF(AND(C$7="Y",$B189&lt;=$C$4),0,IF(AND(C$7="N",C$4&gt;0,B189&lt;=C$4),0,S189*(C189-J189)))</f>
        <v>#DIV/0!</v>
      </c>
      <c r="L189" s="49" t="e">
        <f>IF(AND(C$7="Y",$B189&lt;=$C$4),0,IF(AND(C$7="N",C$4&gt;0,B189&lt;=C$4),0,U189*D188))</f>
        <v>#DIV/0!</v>
      </c>
      <c r="M189" s="49">
        <f t="shared" si="42"/>
        <v>0</v>
      </c>
      <c r="N189" s="49">
        <f t="shared" si="41"/>
        <v>0</v>
      </c>
      <c r="O189" s="48" t="e">
        <f>K189+I189+J189-L189+N189+G189</f>
        <v>#DIV/0!</v>
      </c>
      <c r="P189" s="38" t="e">
        <f>O189*(1/((1+P$12)^(B189/12)))</f>
        <v>#DIV/0!</v>
      </c>
      <c r="Q189" s="53"/>
      <c r="R189" s="53">
        <f t="shared" si="36"/>
        <v>0.12</v>
      </c>
      <c r="S189" s="53">
        <f t="shared" si="37"/>
        <v>1.0596241035318976E-2</v>
      </c>
      <c r="T189" s="53">
        <f t="shared" si="38"/>
        <v>0.05</v>
      </c>
      <c r="U189" s="53">
        <f t="shared" si="39"/>
        <v>4.2653187775606449E-3</v>
      </c>
    </row>
    <row r="190" spans="1:21" x14ac:dyDescent="0.2">
      <c r="A190" s="62" t="e">
        <f t="shared" si="31"/>
        <v>#DIV/0!</v>
      </c>
      <c r="B190" s="45">
        <f t="shared" si="32"/>
        <v>176</v>
      </c>
      <c r="C190" s="51" t="e">
        <f>IF(B190&lt;C$4,C$1,D189-L190+N190)</f>
        <v>#DIV/0!</v>
      </c>
      <c r="D190" s="47" t="e" cm="1">
        <f t="array" ref="D190">_xlfn.IFS(AND($C$7="Y",B190&lt;C$4),C190,AND($C$7="Y",B190=C$4),D189+F190-J190-K190-L190+N190,AND($C$7="Y",B190&gt;$C$4),D189-J190-K190-L190+N190, TRUE, D189-J190-K190-L190+N190)</f>
        <v>#DIV/0!</v>
      </c>
      <c r="E190" s="48">
        <f t="shared" si="33"/>
        <v>0</v>
      </c>
      <c r="F190" s="50">
        <f t="shared" si="34"/>
        <v>0</v>
      </c>
      <c r="G190" s="50">
        <f t="shared" si="40"/>
        <v>0</v>
      </c>
      <c r="H190" s="51" t="e">
        <f t="shared" si="35"/>
        <v>#DIV/0!</v>
      </c>
      <c r="I190" s="52" t="e">
        <f>IF(AND(C$7="Y",$B190&lt;=C$4),0,IF(AND(C$7="Y",$B190&gt;C$4),(1-U190)*C$2*D189/12,IF(AND($C$7="N",C$4&gt;0),(1-U190)*D189*C$2/12, (1-U190)*D189*C$2/12)))</f>
        <v>#DIV/0!</v>
      </c>
      <c r="J190" s="52" t="e">
        <f>IF(AND($B190&lt;=$C$4,C$7="Y"),0,IF(AND(C$7="N",C$4&gt;0,B190&lt;=C$4),0,H190-I190))</f>
        <v>#DIV/0!</v>
      </c>
      <c r="K190" s="51" t="e">
        <f>IF(AND(C$7="Y",$B190&lt;=$C$4),0,IF(AND(C$7="N",C$4&gt;0,B190&lt;=C$4),0,S190*(C190-J190)))</f>
        <v>#DIV/0!</v>
      </c>
      <c r="L190" s="49" t="e">
        <f>IF(AND(C$7="Y",$B190&lt;=$C$4),0,IF(AND(C$7="N",C$4&gt;0,B190&lt;=C$4),0,U190*D189))</f>
        <v>#DIV/0!</v>
      </c>
      <c r="M190" s="49">
        <f t="shared" si="42"/>
        <v>0</v>
      </c>
      <c r="N190" s="49">
        <f t="shared" si="41"/>
        <v>0</v>
      </c>
      <c r="O190" s="48" t="e">
        <f>K190+I190+J190-L190+N190+G190</f>
        <v>#DIV/0!</v>
      </c>
      <c r="P190" s="38" t="e">
        <f>O190*(1/((1+P$12)^(B190/12)))</f>
        <v>#DIV/0!</v>
      </c>
      <c r="Q190" s="53"/>
      <c r="R190" s="53">
        <f t="shared" si="36"/>
        <v>0.12</v>
      </c>
      <c r="S190" s="53">
        <f t="shared" si="37"/>
        <v>1.0596241035318976E-2</v>
      </c>
      <c r="T190" s="53">
        <f t="shared" si="38"/>
        <v>0.05</v>
      </c>
      <c r="U190" s="53">
        <f t="shared" si="39"/>
        <v>4.2653187775606449E-3</v>
      </c>
    </row>
    <row r="191" spans="1:21" x14ac:dyDescent="0.2">
      <c r="A191" s="62" t="e">
        <f t="shared" si="31"/>
        <v>#DIV/0!</v>
      </c>
      <c r="B191" s="45">
        <f t="shared" si="32"/>
        <v>177</v>
      </c>
      <c r="C191" s="51" t="e">
        <f>IF(B191&lt;C$4,C$1,D190-L191+N191)</f>
        <v>#DIV/0!</v>
      </c>
      <c r="D191" s="47" t="e" cm="1">
        <f t="array" ref="D191">_xlfn.IFS(AND($C$7="Y",B191&lt;C$4),C191,AND($C$7="Y",B191=C$4),D190+F191-J191-K191-L191+N191,AND($C$7="Y",B191&gt;$C$4),D190-J191-K191-L191+N191, TRUE, D190-J191-K191-L191+N191)</f>
        <v>#DIV/0!</v>
      </c>
      <c r="E191" s="48">
        <f t="shared" si="33"/>
        <v>0</v>
      </c>
      <c r="F191" s="50">
        <f t="shared" si="34"/>
        <v>0</v>
      </c>
      <c r="G191" s="50">
        <f t="shared" si="40"/>
        <v>0</v>
      </c>
      <c r="H191" s="51" t="e">
        <f t="shared" si="35"/>
        <v>#DIV/0!</v>
      </c>
      <c r="I191" s="52" t="e">
        <f>IF(AND(C$7="Y",$B191&lt;=C$4),0,IF(AND(C$7="Y",$B191&gt;C$4),(1-U191)*C$2*D190/12,IF(AND($C$7="N",C$4&gt;0),(1-U191)*D190*C$2/12, (1-U191)*D190*C$2/12)))</f>
        <v>#DIV/0!</v>
      </c>
      <c r="J191" s="52" t="e">
        <f>IF(AND($B191&lt;=$C$4,C$7="Y"),0,IF(AND(C$7="N",C$4&gt;0,B191&lt;=C$4),0,H191-I191))</f>
        <v>#DIV/0!</v>
      </c>
      <c r="K191" s="51" t="e">
        <f>IF(AND(C$7="Y",$B191&lt;=$C$4),0,IF(AND(C$7="N",C$4&gt;0,B191&lt;=C$4),0,S191*(C191-J191)))</f>
        <v>#DIV/0!</v>
      </c>
      <c r="L191" s="49" t="e">
        <f>IF(AND(C$7="Y",$B191&lt;=$C$4),0,IF(AND(C$7="N",C$4&gt;0,B191&lt;=C$4),0,U191*D190))</f>
        <v>#DIV/0!</v>
      </c>
      <c r="M191" s="49">
        <f t="shared" si="42"/>
        <v>0</v>
      </c>
      <c r="N191" s="49">
        <f t="shared" si="41"/>
        <v>0</v>
      </c>
      <c r="O191" s="48" t="e">
        <f>K191+I191+J191-L191+N191+G191</f>
        <v>#DIV/0!</v>
      </c>
      <c r="P191" s="38" t="e">
        <f>O191*(1/((1+P$12)^(B191/12)))</f>
        <v>#DIV/0!</v>
      </c>
      <c r="Q191" s="53"/>
      <c r="R191" s="53">
        <f t="shared" si="36"/>
        <v>0.12</v>
      </c>
      <c r="S191" s="53">
        <f t="shared" si="37"/>
        <v>1.0596241035318976E-2</v>
      </c>
      <c r="T191" s="53">
        <f t="shared" si="38"/>
        <v>0.05</v>
      </c>
      <c r="U191" s="53">
        <f t="shared" si="39"/>
        <v>4.2653187775606449E-3</v>
      </c>
    </row>
    <row r="192" spans="1:21" x14ac:dyDescent="0.2">
      <c r="A192" s="62" t="e">
        <f t="shared" si="31"/>
        <v>#DIV/0!</v>
      </c>
      <c r="B192" s="45">
        <f t="shared" si="32"/>
        <v>178</v>
      </c>
      <c r="C192" s="51" t="e">
        <f>IF(B192&lt;C$4,C$1,D191-L192+N192)</f>
        <v>#DIV/0!</v>
      </c>
      <c r="D192" s="47" t="e" cm="1">
        <f t="array" ref="D192">_xlfn.IFS(AND($C$7="Y",B192&lt;C$4),C192,AND($C$7="Y",B192=C$4),D191+F192-J192-K192-L192+N192,AND($C$7="Y",B192&gt;$C$4),D191-J192-K192-L192+N192, TRUE, D191-J192-K192-L192+N192)</f>
        <v>#DIV/0!</v>
      </c>
      <c r="E192" s="48">
        <f t="shared" si="33"/>
        <v>0</v>
      </c>
      <c r="F192" s="50">
        <f t="shared" si="34"/>
        <v>0</v>
      </c>
      <c r="G192" s="50">
        <f t="shared" si="40"/>
        <v>0</v>
      </c>
      <c r="H192" s="51" t="e">
        <f t="shared" si="35"/>
        <v>#DIV/0!</v>
      </c>
      <c r="I192" s="52" t="e">
        <f>IF(AND(C$7="Y",$B192&lt;=C$4),0,IF(AND(C$7="Y",$B192&gt;C$4),(1-U192)*C$2*D191/12,IF(AND($C$7="N",C$4&gt;0),(1-U192)*D191*C$2/12, (1-U192)*D191*C$2/12)))</f>
        <v>#DIV/0!</v>
      </c>
      <c r="J192" s="52" t="e">
        <f>IF(AND($B192&lt;=$C$4,C$7="Y"),0,IF(AND(C$7="N",C$4&gt;0,B192&lt;=C$4),0,H192-I192))</f>
        <v>#DIV/0!</v>
      </c>
      <c r="K192" s="51" t="e">
        <f>IF(AND(C$7="Y",$B192&lt;=$C$4),0,IF(AND(C$7="N",C$4&gt;0,B192&lt;=C$4),0,S192*(C192-J192)))</f>
        <v>#DIV/0!</v>
      </c>
      <c r="L192" s="49" t="e">
        <f>IF(AND(C$7="Y",$B192&lt;=$C$4),0,IF(AND(C$7="N",C$4&gt;0,B192&lt;=C$4),0,U192*D191))</f>
        <v>#DIV/0!</v>
      </c>
      <c r="M192" s="49">
        <f t="shared" si="42"/>
        <v>0</v>
      </c>
      <c r="N192" s="49">
        <f t="shared" si="41"/>
        <v>0</v>
      </c>
      <c r="O192" s="48" t="e">
        <f>K192+I192+J192-L192+N192+G192</f>
        <v>#DIV/0!</v>
      </c>
      <c r="P192" s="38" t="e">
        <f>O192*(1/((1+P$12)^(B192/12)))</f>
        <v>#DIV/0!</v>
      </c>
      <c r="Q192" s="53"/>
      <c r="R192" s="53">
        <f t="shared" si="36"/>
        <v>0.12</v>
      </c>
      <c r="S192" s="53">
        <f t="shared" si="37"/>
        <v>1.0596241035318976E-2</v>
      </c>
      <c r="T192" s="53">
        <f t="shared" si="38"/>
        <v>0.05</v>
      </c>
      <c r="U192" s="53">
        <f t="shared" si="39"/>
        <v>4.2653187775606449E-3</v>
      </c>
    </row>
    <row r="193" spans="1:21" x14ac:dyDescent="0.2">
      <c r="A193" s="62" t="e">
        <f t="shared" si="31"/>
        <v>#DIV/0!</v>
      </c>
      <c r="B193" s="45">
        <f t="shared" si="32"/>
        <v>179</v>
      </c>
      <c r="C193" s="51" t="e">
        <f>IF(B193&lt;C$4,C$1,D192-L193+N193)</f>
        <v>#DIV/0!</v>
      </c>
      <c r="D193" s="47" t="e" cm="1">
        <f t="array" ref="D193">_xlfn.IFS(AND($C$7="Y",B193&lt;C$4),C193,AND($C$7="Y",B193=C$4),D192+F193-J193-K193-L193+N193,AND($C$7="Y",B193&gt;$C$4),D192-J193-K193-L193+N193, TRUE, D192-J193-K193-L193+N193)</f>
        <v>#DIV/0!</v>
      </c>
      <c r="E193" s="48">
        <f t="shared" si="33"/>
        <v>0</v>
      </c>
      <c r="F193" s="50">
        <f t="shared" si="34"/>
        <v>0</v>
      </c>
      <c r="G193" s="50">
        <f t="shared" si="40"/>
        <v>0</v>
      </c>
      <c r="H193" s="51" t="e">
        <f t="shared" si="35"/>
        <v>#DIV/0!</v>
      </c>
      <c r="I193" s="52" t="e">
        <f>IF(AND(C$7="Y",$B193&lt;=C$4),0,IF(AND(C$7="Y",$B193&gt;C$4),(1-U193)*C$2*D192/12,IF(AND($C$7="N",C$4&gt;0),(1-U193)*D192*C$2/12, (1-U193)*D192*C$2/12)))</f>
        <v>#DIV/0!</v>
      </c>
      <c r="J193" s="52" t="e">
        <f>IF(AND($B193&lt;=$C$4,C$7="Y"),0,IF(AND(C$7="N",C$4&gt;0,B193&lt;=C$4),0,H193-I193))</f>
        <v>#DIV/0!</v>
      </c>
      <c r="K193" s="51" t="e">
        <f>IF(AND(C$7="Y",$B193&lt;=$C$4),0,IF(AND(C$7="N",C$4&gt;0,B193&lt;=C$4),0,S193*(C193-J193)))</f>
        <v>#DIV/0!</v>
      </c>
      <c r="L193" s="49" t="e">
        <f>IF(AND(C$7="Y",$B193&lt;=$C$4),0,IF(AND(C$7="N",C$4&gt;0,B193&lt;=C$4),0,U193*D192))</f>
        <v>#DIV/0!</v>
      </c>
      <c r="M193" s="49">
        <f t="shared" si="42"/>
        <v>0</v>
      </c>
      <c r="N193" s="49">
        <f t="shared" si="41"/>
        <v>0</v>
      </c>
      <c r="O193" s="48" t="e">
        <f>K193+I193+J193-L193+N193+G193</f>
        <v>#DIV/0!</v>
      </c>
      <c r="P193" s="38" t="e">
        <f>O193*(1/((1+P$12)^(B193/12)))</f>
        <v>#DIV/0!</v>
      </c>
      <c r="Q193" s="53"/>
      <c r="R193" s="53">
        <f t="shared" si="36"/>
        <v>0.12</v>
      </c>
      <c r="S193" s="53">
        <f t="shared" si="37"/>
        <v>1.0596241035318976E-2</v>
      </c>
      <c r="T193" s="53">
        <f t="shared" si="38"/>
        <v>0.05</v>
      </c>
      <c r="U193" s="53">
        <f t="shared" si="39"/>
        <v>4.2653187775606449E-3</v>
      </c>
    </row>
    <row r="194" spans="1:21" x14ac:dyDescent="0.2">
      <c r="A194" s="62" t="e">
        <f t="shared" si="31"/>
        <v>#DIV/0!</v>
      </c>
      <c r="B194" s="45">
        <f t="shared" si="32"/>
        <v>180</v>
      </c>
      <c r="C194" s="51" t="e">
        <f>IF(B194&lt;C$4,C$1,D193-L194+N194)</f>
        <v>#DIV/0!</v>
      </c>
      <c r="D194" s="47" t="e" cm="1">
        <f t="array" ref="D194">_xlfn.IFS(AND($C$7="Y",B194&lt;C$4),C194,AND($C$7="Y",B194=C$4),D193+F194-J194-K194-L194+N194,AND($C$7="Y",B194&gt;$C$4),D193-J194-K194-L194+N194, TRUE, D193-J194-K194-L194+N194)</f>
        <v>#DIV/0!</v>
      </c>
      <c r="E194" s="48">
        <f t="shared" si="33"/>
        <v>0</v>
      </c>
      <c r="F194" s="50">
        <f t="shared" si="34"/>
        <v>0</v>
      </c>
      <c r="G194" s="50">
        <f t="shared" si="40"/>
        <v>0</v>
      </c>
      <c r="H194" s="51" t="e">
        <f t="shared" si="35"/>
        <v>#DIV/0!</v>
      </c>
      <c r="I194" s="52" t="e">
        <f>IF(AND(C$7="Y",$B194&lt;=C$4),0,IF(AND(C$7="Y",$B194&gt;C$4),(1-U194)*C$2*D193/12,IF(AND($C$7="N",C$4&gt;0),(1-U194)*D193*C$2/12, (1-U194)*D193*C$2/12)))</f>
        <v>#DIV/0!</v>
      </c>
      <c r="J194" s="52" t="e">
        <f>IF(AND($B194&lt;=$C$4,C$7="Y"),0,IF(AND(C$7="N",C$4&gt;0,B194&lt;=C$4),0,H194-I194))</f>
        <v>#DIV/0!</v>
      </c>
      <c r="K194" s="51" t="e">
        <f>IF(AND(C$7="Y",$B194&lt;=$C$4),0,IF(AND(C$7="N",C$4&gt;0,B194&lt;=C$4),0,S194*(C194-J194)))</f>
        <v>#DIV/0!</v>
      </c>
      <c r="L194" s="49" t="e">
        <f>IF(AND(C$7="Y",$B194&lt;=$C$4),0,IF(AND(C$7="N",C$4&gt;0,B194&lt;=C$4),0,U194*D193))</f>
        <v>#DIV/0!</v>
      </c>
      <c r="M194" s="49">
        <f t="shared" si="42"/>
        <v>0</v>
      </c>
      <c r="N194" s="49">
        <f t="shared" si="41"/>
        <v>0</v>
      </c>
      <c r="O194" s="48" t="e">
        <f>K194+I194+J194-L194+N194+G194</f>
        <v>#DIV/0!</v>
      </c>
      <c r="P194" s="38" t="e">
        <f>O194*(1/((1+P$12)^(B194/12)))</f>
        <v>#DIV/0!</v>
      </c>
      <c r="Q194" s="53"/>
      <c r="R194" s="53">
        <f t="shared" si="36"/>
        <v>0.12</v>
      </c>
      <c r="S194" s="53">
        <f t="shared" si="37"/>
        <v>1.0596241035318976E-2</v>
      </c>
      <c r="T194" s="53">
        <f t="shared" si="38"/>
        <v>0.05</v>
      </c>
      <c r="U194" s="53">
        <f t="shared" si="39"/>
        <v>4.2653187775606449E-3</v>
      </c>
    </row>
    <row r="195" spans="1:21" x14ac:dyDescent="0.2">
      <c r="A195" s="62" t="e">
        <f t="shared" si="31"/>
        <v>#DIV/0!</v>
      </c>
      <c r="B195" s="45">
        <f t="shared" si="32"/>
        <v>181</v>
      </c>
      <c r="C195" s="51" t="e">
        <f>IF(B195&lt;C$4,C$1,D194-L195+N195)</f>
        <v>#DIV/0!</v>
      </c>
      <c r="D195" s="47" t="e" cm="1">
        <f t="array" ref="D195">_xlfn.IFS(AND($C$7="Y",B195&lt;C$4),C195,AND($C$7="Y",B195=C$4),D194+F195-J195-K195-L195+N195,AND($C$7="Y",B195&gt;$C$4),D194-J195-K195-L195+N195, TRUE, D194-J195-K195-L195+N195)</f>
        <v>#DIV/0!</v>
      </c>
      <c r="E195" s="48">
        <f t="shared" si="33"/>
        <v>0</v>
      </c>
      <c r="F195" s="50">
        <f t="shared" si="34"/>
        <v>0</v>
      </c>
      <c r="G195" s="50">
        <f t="shared" si="40"/>
        <v>0</v>
      </c>
      <c r="H195" s="51" t="e">
        <f t="shared" si="35"/>
        <v>#DIV/0!</v>
      </c>
      <c r="I195" s="52" t="e">
        <f>IF(AND(C$7="Y",$B195&lt;=C$4),0,IF(AND(C$7="Y",$B195&gt;C$4),(1-U195)*C$2*D194/12,IF(AND($C$7="N",C$4&gt;0),(1-U195)*D194*C$2/12, (1-U195)*D194*C$2/12)))</f>
        <v>#DIV/0!</v>
      </c>
      <c r="J195" s="52" t="e">
        <f>IF(AND($B195&lt;=$C$4,C$7="Y"),0,IF(AND(C$7="N",C$4&gt;0,B195&lt;=C$4),0,H195-I195))</f>
        <v>#DIV/0!</v>
      </c>
      <c r="K195" s="51" t="e">
        <f>IF(AND(C$7="Y",$B195&lt;=$C$4),0,IF(AND(C$7="N",C$4&gt;0,B195&lt;=C$4),0,S195*(C195-J195)))</f>
        <v>#DIV/0!</v>
      </c>
      <c r="L195" s="49" t="e">
        <f>IF(AND(C$7="Y",$B195&lt;=$C$4),0,IF(AND(C$7="N",C$4&gt;0,B195&lt;=C$4),0,U195*D194))</f>
        <v>#DIV/0!</v>
      </c>
      <c r="M195" s="49">
        <f t="shared" si="42"/>
        <v>0</v>
      </c>
      <c r="N195" s="49">
        <f t="shared" si="41"/>
        <v>0</v>
      </c>
      <c r="O195" s="48" t="e">
        <f>K195+I195+J195-L195+N195+G195</f>
        <v>#DIV/0!</v>
      </c>
      <c r="P195" s="38" t="e">
        <f>O195*(1/((1+P$12)^(B195/12)))</f>
        <v>#DIV/0!</v>
      </c>
      <c r="Q195" s="53"/>
      <c r="R195" s="53">
        <f t="shared" si="36"/>
        <v>0.12</v>
      </c>
      <c r="S195" s="53">
        <f t="shared" si="37"/>
        <v>1.0596241035318976E-2</v>
      </c>
      <c r="T195" s="53">
        <f t="shared" si="38"/>
        <v>0.05</v>
      </c>
      <c r="U195" s="53">
        <f t="shared" si="39"/>
        <v>4.2653187775606449E-3</v>
      </c>
    </row>
    <row r="196" spans="1:21" x14ac:dyDescent="0.2">
      <c r="A196" s="62" t="e">
        <f t="shared" si="31"/>
        <v>#DIV/0!</v>
      </c>
      <c r="B196" s="45">
        <f t="shared" si="32"/>
        <v>182</v>
      </c>
      <c r="C196" s="51" t="e">
        <f>IF(B196&lt;C$4,C$1,D195-L196+N196)</f>
        <v>#DIV/0!</v>
      </c>
      <c r="D196" s="47" t="e" cm="1">
        <f t="array" ref="D196">_xlfn.IFS(AND($C$7="Y",B196&lt;C$4),C196,AND($C$7="Y",B196=C$4),D195+F196-J196-K196-L196+N196,AND($C$7="Y",B196&gt;$C$4),D195-J196-K196-L196+N196, TRUE, D195-J196-K196-L196+N196)</f>
        <v>#DIV/0!</v>
      </c>
      <c r="E196" s="48">
        <f t="shared" si="33"/>
        <v>0</v>
      </c>
      <c r="F196" s="50">
        <f t="shared" si="34"/>
        <v>0</v>
      </c>
      <c r="G196" s="50">
        <f t="shared" si="40"/>
        <v>0</v>
      </c>
      <c r="H196" s="51" t="e">
        <f t="shared" si="35"/>
        <v>#DIV/0!</v>
      </c>
      <c r="I196" s="52" t="e">
        <f>IF(AND(C$7="Y",$B196&lt;=C$4),0,IF(AND(C$7="Y",$B196&gt;C$4),(1-U196)*C$2*D195/12,IF(AND($C$7="N",C$4&gt;0),(1-U196)*D195*C$2/12, (1-U196)*D195*C$2/12)))</f>
        <v>#DIV/0!</v>
      </c>
      <c r="J196" s="52" t="e">
        <f>IF(AND($B196&lt;=$C$4,C$7="Y"),0,IF(AND(C$7="N",C$4&gt;0,B196&lt;=C$4),0,H196-I196))</f>
        <v>#DIV/0!</v>
      </c>
      <c r="K196" s="51" t="e">
        <f>IF(AND(C$7="Y",$B196&lt;=$C$4),0,IF(AND(C$7="N",C$4&gt;0,B196&lt;=C$4),0,S196*(C196-J196)))</f>
        <v>#DIV/0!</v>
      </c>
      <c r="L196" s="49" t="e">
        <f>IF(AND(C$7="Y",$B196&lt;=$C$4),0,IF(AND(C$7="N",C$4&gt;0,B196&lt;=C$4),0,U196*D195))</f>
        <v>#DIV/0!</v>
      </c>
      <c r="M196" s="49">
        <f t="shared" si="42"/>
        <v>0</v>
      </c>
      <c r="N196" s="49">
        <f t="shared" si="41"/>
        <v>0</v>
      </c>
      <c r="O196" s="48" t="e">
        <f>K196+I196+J196-L196+N196+G196</f>
        <v>#DIV/0!</v>
      </c>
      <c r="P196" s="38" t="e">
        <f>O196*(1/((1+P$12)^(B196/12)))</f>
        <v>#DIV/0!</v>
      </c>
      <c r="Q196" s="53"/>
      <c r="R196" s="53">
        <f t="shared" si="36"/>
        <v>0.12</v>
      </c>
      <c r="S196" s="53">
        <f t="shared" si="37"/>
        <v>1.0596241035318976E-2</v>
      </c>
      <c r="T196" s="53">
        <f t="shared" si="38"/>
        <v>0.05</v>
      </c>
      <c r="U196" s="53">
        <f t="shared" si="39"/>
        <v>4.2653187775606449E-3</v>
      </c>
    </row>
    <row r="197" spans="1:21" x14ac:dyDescent="0.2">
      <c r="A197" s="62" t="e">
        <f t="shared" si="31"/>
        <v>#DIV/0!</v>
      </c>
      <c r="B197" s="45">
        <f t="shared" si="32"/>
        <v>183</v>
      </c>
      <c r="C197" s="51" t="e">
        <f>IF(B197&lt;C$4,C$1,D196-L197+N197)</f>
        <v>#DIV/0!</v>
      </c>
      <c r="D197" s="47" t="e" cm="1">
        <f t="array" ref="D197">_xlfn.IFS(AND($C$7="Y",B197&lt;C$4),C197,AND($C$7="Y",B197=C$4),D196+F197-J197-K197-L197+N197,AND($C$7="Y",B197&gt;$C$4),D196-J197-K197-L197+N197, TRUE, D196-J197-K197-L197+N197)</f>
        <v>#DIV/0!</v>
      </c>
      <c r="E197" s="48">
        <f t="shared" si="33"/>
        <v>0</v>
      </c>
      <c r="F197" s="50">
        <f t="shared" si="34"/>
        <v>0</v>
      </c>
      <c r="G197" s="50">
        <f t="shared" si="40"/>
        <v>0</v>
      </c>
      <c r="H197" s="51" t="e">
        <f t="shared" si="35"/>
        <v>#DIV/0!</v>
      </c>
      <c r="I197" s="52" t="e">
        <f>IF(AND(C$7="Y",$B197&lt;=C$4),0,IF(AND(C$7="Y",$B197&gt;C$4),(1-U197)*C$2*D196/12,IF(AND($C$7="N",C$4&gt;0),(1-U197)*D196*C$2/12, (1-U197)*D196*C$2/12)))</f>
        <v>#DIV/0!</v>
      </c>
      <c r="J197" s="52" t="e">
        <f>IF(AND($B197&lt;=$C$4,C$7="Y"),0,IF(AND(C$7="N",C$4&gt;0,B197&lt;=C$4),0,H197-I197))</f>
        <v>#DIV/0!</v>
      </c>
      <c r="K197" s="51" t="e">
        <f>IF(AND(C$7="Y",$B197&lt;=$C$4),0,IF(AND(C$7="N",C$4&gt;0,B197&lt;=C$4),0,S197*(C197-J197)))</f>
        <v>#DIV/0!</v>
      </c>
      <c r="L197" s="49" t="e">
        <f>IF(AND(C$7="Y",$B197&lt;=$C$4),0,IF(AND(C$7="N",C$4&gt;0,B197&lt;=C$4),0,U197*D196))</f>
        <v>#DIV/0!</v>
      </c>
      <c r="M197" s="49">
        <f t="shared" si="42"/>
        <v>0</v>
      </c>
      <c r="N197" s="49">
        <f t="shared" si="41"/>
        <v>0</v>
      </c>
      <c r="O197" s="48" t="e">
        <f>K197+I197+J197-L197+N197+G197</f>
        <v>#DIV/0!</v>
      </c>
      <c r="P197" s="38" t="e">
        <f>O197*(1/((1+P$12)^(B197/12)))</f>
        <v>#DIV/0!</v>
      </c>
      <c r="Q197" s="53"/>
      <c r="R197" s="53">
        <f t="shared" si="36"/>
        <v>0.12</v>
      </c>
      <c r="S197" s="53">
        <f t="shared" si="37"/>
        <v>1.0596241035318976E-2</v>
      </c>
      <c r="T197" s="53">
        <f t="shared" si="38"/>
        <v>0.05</v>
      </c>
      <c r="U197" s="53">
        <f t="shared" si="39"/>
        <v>4.2653187775606449E-3</v>
      </c>
    </row>
    <row r="198" spans="1:21" x14ac:dyDescent="0.2">
      <c r="A198" s="62" t="e">
        <f t="shared" si="31"/>
        <v>#DIV/0!</v>
      </c>
      <c r="B198" s="45">
        <f t="shared" si="32"/>
        <v>184</v>
      </c>
      <c r="C198" s="51" t="e">
        <f>IF(B198&lt;C$4,C$1,D197-L198+N198)</f>
        <v>#DIV/0!</v>
      </c>
      <c r="D198" s="47" t="e" cm="1">
        <f t="array" ref="D198">_xlfn.IFS(AND($C$7="Y",B198&lt;C$4),C198,AND($C$7="Y",B198=C$4),D197+F198-J198-K198-L198+N198,AND($C$7="Y",B198&gt;$C$4),D197-J198-K198-L198+N198, TRUE, D197-J198-K198-L198+N198)</f>
        <v>#DIV/0!</v>
      </c>
      <c r="E198" s="48">
        <f t="shared" si="33"/>
        <v>0</v>
      </c>
      <c r="F198" s="50">
        <f t="shared" si="34"/>
        <v>0</v>
      </c>
      <c r="G198" s="50">
        <f t="shared" si="40"/>
        <v>0</v>
      </c>
      <c r="H198" s="51" t="e">
        <f t="shared" si="35"/>
        <v>#DIV/0!</v>
      </c>
      <c r="I198" s="52" t="e">
        <f>IF(AND(C$7="Y",$B198&lt;=C$4),0,IF(AND(C$7="Y",$B198&gt;C$4),(1-U198)*C$2*D197/12,IF(AND($C$7="N",C$4&gt;0),(1-U198)*D197*C$2/12, (1-U198)*D197*C$2/12)))</f>
        <v>#DIV/0!</v>
      </c>
      <c r="J198" s="52" t="e">
        <f>IF(AND($B198&lt;=$C$4,C$7="Y"),0,IF(AND(C$7="N",C$4&gt;0,B198&lt;=C$4),0,H198-I198))</f>
        <v>#DIV/0!</v>
      </c>
      <c r="K198" s="51" t="e">
        <f>IF(AND(C$7="Y",$B198&lt;=$C$4),0,IF(AND(C$7="N",C$4&gt;0,B198&lt;=C$4),0,S198*(C198-J198)))</f>
        <v>#DIV/0!</v>
      </c>
      <c r="L198" s="49" t="e">
        <f>IF(AND(C$7="Y",$B198&lt;=$C$4),0,IF(AND(C$7="N",C$4&gt;0,B198&lt;=C$4),0,U198*D197))</f>
        <v>#DIV/0!</v>
      </c>
      <c r="M198" s="49">
        <f t="shared" si="42"/>
        <v>0</v>
      </c>
      <c r="N198" s="49">
        <f t="shared" si="41"/>
        <v>0</v>
      </c>
      <c r="O198" s="48" t="e">
        <f>K198+I198+J198-L198+N198+G198</f>
        <v>#DIV/0!</v>
      </c>
      <c r="P198" s="38" t="e">
        <f>O198*(1/((1+P$12)^(B198/12)))</f>
        <v>#DIV/0!</v>
      </c>
      <c r="Q198" s="53"/>
      <c r="R198" s="53">
        <f t="shared" si="36"/>
        <v>0.12</v>
      </c>
      <c r="S198" s="53">
        <f t="shared" si="37"/>
        <v>1.0596241035318976E-2</v>
      </c>
      <c r="T198" s="53">
        <f t="shared" si="38"/>
        <v>0.05</v>
      </c>
      <c r="U198" s="53">
        <f t="shared" si="39"/>
        <v>4.2653187775606449E-3</v>
      </c>
    </row>
    <row r="199" spans="1:21" x14ac:dyDescent="0.2">
      <c r="A199" s="62" t="e">
        <f t="shared" si="31"/>
        <v>#DIV/0!</v>
      </c>
      <c r="B199" s="45">
        <f t="shared" si="32"/>
        <v>185</v>
      </c>
      <c r="C199" s="51" t="e">
        <f>IF(B199&lt;C$4,C$1,D198-L199+N199)</f>
        <v>#DIV/0!</v>
      </c>
      <c r="D199" s="47" t="e" cm="1">
        <f t="array" ref="D199">_xlfn.IFS(AND($C$7="Y",B199&lt;C$4),C199,AND($C$7="Y",B199=C$4),D198+F199-J199-K199-L199+N199,AND($C$7="Y",B199&gt;$C$4),D198-J199-K199-L199+N199, TRUE, D198-J199-K199-L199+N199)</f>
        <v>#DIV/0!</v>
      </c>
      <c r="E199" s="48">
        <f t="shared" si="33"/>
        <v>0</v>
      </c>
      <c r="F199" s="50">
        <f t="shared" si="34"/>
        <v>0</v>
      </c>
      <c r="G199" s="50">
        <f t="shared" si="40"/>
        <v>0</v>
      </c>
      <c r="H199" s="51" t="e">
        <f t="shared" si="35"/>
        <v>#DIV/0!</v>
      </c>
      <c r="I199" s="52" t="e">
        <f>IF(AND(C$7="Y",$B199&lt;=C$4),0,IF(AND(C$7="Y",$B199&gt;C$4),(1-U199)*C$2*D198/12,IF(AND($C$7="N",C$4&gt;0),(1-U199)*D198*C$2/12, (1-U199)*D198*C$2/12)))</f>
        <v>#DIV/0!</v>
      </c>
      <c r="J199" s="52" t="e">
        <f>IF(AND($B199&lt;=$C$4,C$7="Y"),0,IF(AND(C$7="N",C$4&gt;0,B199&lt;=C$4),0,H199-I199))</f>
        <v>#DIV/0!</v>
      </c>
      <c r="K199" s="51" t="e">
        <f>IF(AND(C$7="Y",$B199&lt;=$C$4),0,IF(AND(C$7="N",C$4&gt;0,B199&lt;=C$4),0,S199*(C199-J199)))</f>
        <v>#DIV/0!</v>
      </c>
      <c r="L199" s="49" t="e">
        <f>IF(AND(C$7="Y",$B199&lt;=$C$4),0,IF(AND(C$7="N",C$4&gt;0,B199&lt;=C$4),0,U199*D198))</f>
        <v>#DIV/0!</v>
      </c>
      <c r="M199" s="49">
        <f t="shared" si="42"/>
        <v>0</v>
      </c>
      <c r="N199" s="49">
        <f t="shared" si="41"/>
        <v>0</v>
      </c>
      <c r="O199" s="48" t="e">
        <f>K199+I199+J199-L199+N199+G199</f>
        <v>#DIV/0!</v>
      </c>
      <c r="P199" s="38" t="e">
        <f>O199*(1/((1+P$12)^(B199/12)))</f>
        <v>#DIV/0!</v>
      </c>
      <c r="Q199" s="53"/>
      <c r="R199" s="53">
        <f t="shared" si="36"/>
        <v>0.12</v>
      </c>
      <c r="S199" s="53">
        <f t="shared" si="37"/>
        <v>1.0596241035318976E-2</v>
      </c>
      <c r="T199" s="53">
        <f t="shared" si="38"/>
        <v>0.05</v>
      </c>
      <c r="U199" s="53">
        <f t="shared" si="39"/>
        <v>4.2653187775606449E-3</v>
      </c>
    </row>
    <row r="200" spans="1:21" x14ac:dyDescent="0.2">
      <c r="A200" s="62" t="e">
        <f t="shared" si="31"/>
        <v>#DIV/0!</v>
      </c>
      <c r="B200" s="45">
        <f t="shared" si="32"/>
        <v>186</v>
      </c>
      <c r="C200" s="51" t="e">
        <f>IF(B200&lt;C$4,C$1,D199-L200+N200)</f>
        <v>#DIV/0!</v>
      </c>
      <c r="D200" s="47" t="e" cm="1">
        <f t="array" ref="D200">_xlfn.IFS(AND($C$7="Y",B200&lt;C$4),C200,AND($C$7="Y",B200=C$4),D199+F200-J200-K200-L200+N200,AND($C$7="Y",B200&gt;$C$4),D199-J200-K200-L200+N200, TRUE, D199-J200-K200-L200+N200)</f>
        <v>#DIV/0!</v>
      </c>
      <c r="E200" s="48">
        <f t="shared" si="33"/>
        <v>0</v>
      </c>
      <c r="F200" s="50">
        <f t="shared" si="34"/>
        <v>0</v>
      </c>
      <c r="G200" s="50">
        <f t="shared" si="40"/>
        <v>0</v>
      </c>
      <c r="H200" s="51" t="e">
        <f t="shared" si="35"/>
        <v>#DIV/0!</v>
      </c>
      <c r="I200" s="52" t="e">
        <f>IF(AND(C$7="Y",$B200&lt;=C$4),0,IF(AND(C$7="Y",$B200&gt;C$4),(1-U200)*C$2*D199/12,IF(AND($C$7="N",C$4&gt;0),(1-U200)*D199*C$2/12, (1-U200)*D199*C$2/12)))</f>
        <v>#DIV/0!</v>
      </c>
      <c r="J200" s="52" t="e">
        <f>IF(AND($B200&lt;=$C$4,C$7="Y"),0,IF(AND(C$7="N",C$4&gt;0,B200&lt;=C$4),0,H200-I200))</f>
        <v>#DIV/0!</v>
      </c>
      <c r="K200" s="51" t="e">
        <f>IF(AND(C$7="Y",$B200&lt;=$C$4),0,IF(AND(C$7="N",C$4&gt;0,B200&lt;=C$4),0,S200*(C200-J200)))</f>
        <v>#DIV/0!</v>
      </c>
      <c r="L200" s="49" t="e">
        <f>IF(AND(C$7="Y",$B200&lt;=$C$4),0,IF(AND(C$7="N",C$4&gt;0,B200&lt;=C$4),0,U200*D199))</f>
        <v>#DIV/0!</v>
      </c>
      <c r="M200" s="49">
        <f t="shared" si="42"/>
        <v>0</v>
      </c>
      <c r="N200" s="49">
        <f t="shared" si="41"/>
        <v>0</v>
      </c>
      <c r="O200" s="48" t="e">
        <f>K200+I200+J200-L200+N200+G200</f>
        <v>#DIV/0!</v>
      </c>
      <c r="P200" s="38" t="e">
        <f>O200*(1/((1+P$12)^(B200/12)))</f>
        <v>#DIV/0!</v>
      </c>
      <c r="Q200" s="53"/>
      <c r="R200" s="53">
        <f t="shared" si="36"/>
        <v>0.12</v>
      </c>
      <c r="S200" s="53">
        <f t="shared" si="37"/>
        <v>1.0596241035318976E-2</v>
      </c>
      <c r="T200" s="53">
        <f t="shared" si="38"/>
        <v>0.05</v>
      </c>
      <c r="U200" s="53">
        <f t="shared" si="39"/>
        <v>4.2653187775606449E-3</v>
      </c>
    </row>
    <row r="201" spans="1:21" x14ac:dyDescent="0.2">
      <c r="A201" s="62" t="e">
        <f t="shared" si="31"/>
        <v>#DIV/0!</v>
      </c>
      <c r="B201" s="45">
        <f t="shared" si="32"/>
        <v>187</v>
      </c>
      <c r="C201" s="51" t="e">
        <f>IF(B201&lt;C$4,C$1,D200-L201+N201)</f>
        <v>#DIV/0!</v>
      </c>
      <c r="D201" s="47" t="e" cm="1">
        <f t="array" ref="D201">_xlfn.IFS(AND($C$7="Y",B201&lt;C$4),C201,AND($C$7="Y",B201=C$4),D200+F201-J201-K201-L201+N201,AND($C$7="Y",B201&gt;$C$4),D200-J201-K201-L201+N201, TRUE, D200-J201-K201-L201+N201)</f>
        <v>#DIV/0!</v>
      </c>
      <c r="E201" s="48">
        <f t="shared" si="33"/>
        <v>0</v>
      </c>
      <c r="F201" s="50">
        <f t="shared" si="34"/>
        <v>0</v>
      </c>
      <c r="G201" s="50">
        <f t="shared" si="40"/>
        <v>0</v>
      </c>
      <c r="H201" s="51" t="e">
        <f t="shared" si="35"/>
        <v>#DIV/0!</v>
      </c>
      <c r="I201" s="52" t="e">
        <f>IF(AND(C$7="Y",$B201&lt;=C$4),0,IF(AND(C$7="Y",$B201&gt;C$4),(1-U201)*C$2*D200/12,IF(AND($C$7="N",C$4&gt;0),(1-U201)*D200*C$2/12, (1-U201)*D200*C$2/12)))</f>
        <v>#DIV/0!</v>
      </c>
      <c r="J201" s="52" t="e">
        <f>IF(AND($B201&lt;=$C$4,C$7="Y"),0,IF(AND(C$7="N",C$4&gt;0,B201&lt;=C$4),0,H201-I201))</f>
        <v>#DIV/0!</v>
      </c>
      <c r="K201" s="51" t="e">
        <f>IF(AND(C$7="Y",$B201&lt;=$C$4),0,IF(AND(C$7="N",C$4&gt;0,B201&lt;=C$4),0,S201*(C201-J201)))</f>
        <v>#DIV/0!</v>
      </c>
      <c r="L201" s="49" t="e">
        <f>IF(AND(C$7="Y",$B201&lt;=$C$4),0,IF(AND(C$7="N",C$4&gt;0,B201&lt;=C$4),0,U201*D200))</f>
        <v>#DIV/0!</v>
      </c>
      <c r="M201" s="49">
        <f t="shared" si="42"/>
        <v>0</v>
      </c>
      <c r="N201" s="49">
        <f t="shared" si="41"/>
        <v>0</v>
      </c>
      <c r="O201" s="48" t="e">
        <f>K201+I201+J201-L201+N201+G201</f>
        <v>#DIV/0!</v>
      </c>
      <c r="P201" s="38" t="e">
        <f>O201*(1/((1+P$12)^(B201/12)))</f>
        <v>#DIV/0!</v>
      </c>
      <c r="Q201" s="53"/>
      <c r="R201" s="53">
        <f t="shared" si="36"/>
        <v>0.12</v>
      </c>
      <c r="S201" s="53">
        <f t="shared" si="37"/>
        <v>1.0596241035318976E-2</v>
      </c>
      <c r="T201" s="53">
        <f t="shared" si="38"/>
        <v>0.05</v>
      </c>
      <c r="U201" s="53">
        <f t="shared" si="39"/>
        <v>4.2653187775606449E-3</v>
      </c>
    </row>
    <row r="202" spans="1:21" x14ac:dyDescent="0.2">
      <c r="A202" s="62" t="e">
        <f t="shared" si="31"/>
        <v>#DIV/0!</v>
      </c>
      <c r="B202" s="45">
        <f t="shared" si="32"/>
        <v>188</v>
      </c>
      <c r="C202" s="51" t="e">
        <f>IF(B202&lt;C$4,C$1,D201-L202+N202)</f>
        <v>#DIV/0!</v>
      </c>
      <c r="D202" s="47" t="e" cm="1">
        <f t="array" ref="D202">_xlfn.IFS(AND($C$7="Y",B202&lt;C$4),C202,AND($C$7="Y",B202=C$4),D201+F202-J202-K202-L202+N202,AND($C$7="Y",B202&gt;$C$4),D201-J202-K202-L202+N202, TRUE, D201-J202-K202-L202+N202)</f>
        <v>#DIV/0!</v>
      </c>
      <c r="E202" s="48">
        <f t="shared" si="33"/>
        <v>0</v>
      </c>
      <c r="F202" s="50">
        <f t="shared" si="34"/>
        <v>0</v>
      </c>
      <c r="G202" s="50">
        <f t="shared" si="40"/>
        <v>0</v>
      </c>
      <c r="H202" s="51" t="e">
        <f t="shared" si="35"/>
        <v>#DIV/0!</v>
      </c>
      <c r="I202" s="52" t="e">
        <f>IF(AND(C$7="Y",$B202&lt;=C$4),0,IF(AND(C$7="Y",$B202&gt;C$4),(1-U202)*C$2*D201/12,IF(AND($C$7="N",C$4&gt;0),(1-U202)*D201*C$2/12, (1-U202)*D201*C$2/12)))</f>
        <v>#DIV/0!</v>
      </c>
      <c r="J202" s="52" t="e">
        <f>IF(AND($B202&lt;=$C$4,C$7="Y"),0,IF(AND(C$7="N",C$4&gt;0,B202&lt;=C$4),0,H202-I202))</f>
        <v>#DIV/0!</v>
      </c>
      <c r="K202" s="51" t="e">
        <f>IF(AND(C$7="Y",$B202&lt;=$C$4),0,IF(AND(C$7="N",C$4&gt;0,B202&lt;=C$4),0,S202*(C202-J202)))</f>
        <v>#DIV/0!</v>
      </c>
      <c r="L202" s="49" t="e">
        <f>IF(AND(C$7="Y",$B202&lt;=$C$4),0,IF(AND(C$7="N",C$4&gt;0,B202&lt;=C$4),0,U202*D201))</f>
        <v>#DIV/0!</v>
      </c>
      <c r="M202" s="49">
        <f t="shared" si="42"/>
        <v>0</v>
      </c>
      <c r="N202" s="49">
        <f t="shared" si="41"/>
        <v>0</v>
      </c>
      <c r="O202" s="48" t="e">
        <f>K202+I202+J202-L202+N202+G202</f>
        <v>#DIV/0!</v>
      </c>
      <c r="P202" s="38" t="e">
        <f>O202*(1/((1+P$12)^(B202/12)))</f>
        <v>#DIV/0!</v>
      </c>
      <c r="Q202" s="53"/>
      <c r="R202" s="53">
        <f t="shared" si="36"/>
        <v>0.12</v>
      </c>
      <c r="S202" s="53">
        <f t="shared" si="37"/>
        <v>1.0596241035318976E-2</v>
      </c>
      <c r="T202" s="53">
        <f t="shared" si="38"/>
        <v>0.05</v>
      </c>
      <c r="U202" s="53">
        <f t="shared" si="39"/>
        <v>4.2653187775606449E-3</v>
      </c>
    </row>
    <row r="203" spans="1:21" x14ac:dyDescent="0.2">
      <c r="A203" s="62" t="e">
        <f t="shared" si="31"/>
        <v>#DIV/0!</v>
      </c>
      <c r="B203" s="45">
        <f t="shared" si="32"/>
        <v>189</v>
      </c>
      <c r="C203" s="51" t="e">
        <f>IF(B203&lt;C$4,C$1,D202-L203+N203)</f>
        <v>#DIV/0!</v>
      </c>
      <c r="D203" s="47" t="e" cm="1">
        <f t="array" ref="D203">_xlfn.IFS(AND($C$7="Y",B203&lt;C$4),C203,AND($C$7="Y",B203=C$4),D202+F203-J203-K203-L203+N203,AND($C$7="Y",B203&gt;$C$4),D202-J203-K203-L203+N203, TRUE, D202-J203-K203-L203+N203)</f>
        <v>#DIV/0!</v>
      </c>
      <c r="E203" s="48">
        <f t="shared" si="33"/>
        <v>0</v>
      </c>
      <c r="F203" s="50">
        <f t="shared" si="34"/>
        <v>0</v>
      </c>
      <c r="G203" s="50">
        <f t="shared" si="40"/>
        <v>0</v>
      </c>
      <c r="H203" s="51" t="e">
        <f t="shared" si="35"/>
        <v>#DIV/0!</v>
      </c>
      <c r="I203" s="52" t="e">
        <f>IF(AND(C$7="Y",$B203&lt;=C$4),0,IF(AND(C$7="Y",$B203&gt;C$4),(1-U203)*C$2*D202/12,IF(AND($C$7="N",C$4&gt;0),(1-U203)*D202*C$2/12, (1-U203)*D202*C$2/12)))</f>
        <v>#DIV/0!</v>
      </c>
      <c r="J203" s="52" t="e">
        <f>IF(AND($B203&lt;=$C$4,C$7="Y"),0,IF(AND(C$7="N",C$4&gt;0,B203&lt;=C$4),0,H203-I203))</f>
        <v>#DIV/0!</v>
      </c>
      <c r="K203" s="51" t="e">
        <f>IF(AND(C$7="Y",$B203&lt;=$C$4),0,IF(AND(C$7="N",C$4&gt;0,B203&lt;=C$4),0,S203*(C203-J203)))</f>
        <v>#DIV/0!</v>
      </c>
      <c r="L203" s="49" t="e">
        <f>IF(AND(C$7="Y",$B203&lt;=$C$4),0,IF(AND(C$7="N",C$4&gt;0,B203&lt;=C$4),0,U203*D202))</f>
        <v>#DIV/0!</v>
      </c>
      <c r="M203" s="49">
        <f t="shared" si="42"/>
        <v>0</v>
      </c>
      <c r="N203" s="49">
        <f t="shared" si="41"/>
        <v>0</v>
      </c>
      <c r="O203" s="48" t="e">
        <f>K203+I203+J203-L203+N203+G203</f>
        <v>#DIV/0!</v>
      </c>
      <c r="P203" s="38" t="e">
        <f>O203*(1/((1+P$12)^(B203/12)))</f>
        <v>#DIV/0!</v>
      </c>
      <c r="Q203" s="53"/>
      <c r="R203" s="53">
        <f t="shared" si="36"/>
        <v>0.12</v>
      </c>
      <c r="S203" s="53">
        <f t="shared" si="37"/>
        <v>1.0596241035318976E-2</v>
      </c>
      <c r="T203" s="53">
        <f t="shared" si="38"/>
        <v>0.05</v>
      </c>
      <c r="U203" s="53">
        <f t="shared" si="39"/>
        <v>4.2653187775606449E-3</v>
      </c>
    </row>
    <row r="204" spans="1:21" x14ac:dyDescent="0.2">
      <c r="A204" s="62" t="e">
        <f t="shared" si="31"/>
        <v>#DIV/0!</v>
      </c>
      <c r="B204" s="45">
        <f t="shared" si="32"/>
        <v>190</v>
      </c>
      <c r="C204" s="51" t="e">
        <f>IF(B204&lt;C$4,C$1,D203-L204+N204)</f>
        <v>#DIV/0!</v>
      </c>
      <c r="D204" s="47" t="e" cm="1">
        <f t="array" ref="D204">_xlfn.IFS(AND($C$7="Y",B204&lt;C$4),C204,AND($C$7="Y",B204=C$4),D203+F204-J204-K204-L204+N204,AND($C$7="Y",B204&gt;$C$4),D203-J204-K204-L204+N204, TRUE, D203-J204-K204-L204+N204)</f>
        <v>#DIV/0!</v>
      </c>
      <c r="E204" s="48">
        <f t="shared" si="33"/>
        <v>0</v>
      </c>
      <c r="F204" s="50">
        <f t="shared" si="34"/>
        <v>0</v>
      </c>
      <c r="G204" s="50">
        <f t="shared" si="40"/>
        <v>0</v>
      </c>
      <c r="H204" s="51" t="e">
        <f t="shared" si="35"/>
        <v>#DIV/0!</v>
      </c>
      <c r="I204" s="52" t="e">
        <f>IF(AND(C$7="Y",$B204&lt;=C$4),0,IF(AND(C$7="Y",$B204&gt;C$4),(1-U204)*C$2*D203/12,IF(AND($C$7="N",C$4&gt;0),(1-U204)*D203*C$2/12, (1-U204)*D203*C$2/12)))</f>
        <v>#DIV/0!</v>
      </c>
      <c r="J204" s="52" t="e">
        <f>IF(AND($B204&lt;=$C$4,C$7="Y"),0,IF(AND(C$7="N",C$4&gt;0,B204&lt;=C$4),0,H204-I204))</f>
        <v>#DIV/0!</v>
      </c>
      <c r="K204" s="51" t="e">
        <f>IF(AND(C$7="Y",$B204&lt;=$C$4),0,IF(AND(C$7="N",C$4&gt;0,B204&lt;=C$4),0,S204*(C204-J204)))</f>
        <v>#DIV/0!</v>
      </c>
      <c r="L204" s="49" t="e">
        <f>IF(AND(C$7="Y",$B204&lt;=$C$4),0,IF(AND(C$7="N",C$4&gt;0,B204&lt;=C$4),0,U204*D203))</f>
        <v>#DIV/0!</v>
      </c>
      <c r="M204" s="49">
        <f t="shared" si="42"/>
        <v>0</v>
      </c>
      <c r="N204" s="49">
        <f t="shared" si="41"/>
        <v>0</v>
      </c>
      <c r="O204" s="48" t="e">
        <f>K204+I204+J204-L204+N204+G204</f>
        <v>#DIV/0!</v>
      </c>
      <c r="P204" s="38" t="e">
        <f>O204*(1/((1+P$12)^(B204/12)))</f>
        <v>#DIV/0!</v>
      </c>
      <c r="Q204" s="53"/>
      <c r="R204" s="53">
        <f t="shared" si="36"/>
        <v>0.12</v>
      </c>
      <c r="S204" s="53">
        <f t="shared" si="37"/>
        <v>1.0596241035318976E-2</v>
      </c>
      <c r="T204" s="53">
        <f t="shared" si="38"/>
        <v>0.05</v>
      </c>
      <c r="U204" s="53">
        <f t="shared" si="39"/>
        <v>4.2653187775606449E-3</v>
      </c>
    </row>
    <row r="205" spans="1:21" x14ac:dyDescent="0.2">
      <c r="A205" s="62" t="e">
        <f t="shared" si="31"/>
        <v>#DIV/0!</v>
      </c>
      <c r="B205" s="45">
        <f t="shared" si="32"/>
        <v>191</v>
      </c>
      <c r="C205" s="51" t="e">
        <f>IF(B205&lt;C$4,C$1,D204-L205+N205)</f>
        <v>#DIV/0!</v>
      </c>
      <c r="D205" s="47" t="e" cm="1">
        <f t="array" ref="D205">_xlfn.IFS(AND($C$7="Y",B205&lt;C$4),C205,AND($C$7="Y",B205=C$4),D204+F205-J205-K205-L205+N205,AND($C$7="Y",B205&gt;$C$4),D204-J205-K205-L205+N205, TRUE, D204-J205-K205-L205+N205)</f>
        <v>#DIV/0!</v>
      </c>
      <c r="E205" s="48">
        <f t="shared" si="33"/>
        <v>0</v>
      </c>
      <c r="F205" s="50">
        <f t="shared" si="34"/>
        <v>0</v>
      </c>
      <c r="G205" s="50">
        <f t="shared" si="40"/>
        <v>0</v>
      </c>
      <c r="H205" s="51" t="e">
        <f t="shared" si="35"/>
        <v>#DIV/0!</v>
      </c>
      <c r="I205" s="52" t="e">
        <f>IF(AND(C$7="Y",$B205&lt;=C$4),0,IF(AND(C$7="Y",$B205&gt;C$4),(1-U205)*C$2*D204/12,IF(AND($C$7="N",C$4&gt;0),(1-U205)*D204*C$2/12, (1-U205)*D204*C$2/12)))</f>
        <v>#DIV/0!</v>
      </c>
      <c r="J205" s="52" t="e">
        <f>IF(AND($B205&lt;=$C$4,C$7="Y"),0,IF(AND(C$7="N",C$4&gt;0,B205&lt;=C$4),0,H205-I205))</f>
        <v>#DIV/0!</v>
      </c>
      <c r="K205" s="51" t="e">
        <f>IF(AND(C$7="Y",$B205&lt;=$C$4),0,IF(AND(C$7="N",C$4&gt;0,B205&lt;=C$4),0,S205*(C205-J205)))</f>
        <v>#DIV/0!</v>
      </c>
      <c r="L205" s="49" t="e">
        <f>IF(AND(C$7="Y",$B205&lt;=$C$4),0,IF(AND(C$7="N",C$4&gt;0,B205&lt;=C$4),0,U205*D204))</f>
        <v>#DIV/0!</v>
      </c>
      <c r="M205" s="49">
        <f t="shared" si="42"/>
        <v>0</v>
      </c>
      <c r="N205" s="49">
        <f t="shared" si="41"/>
        <v>0</v>
      </c>
      <c r="O205" s="48" t="e">
        <f>K205+I205+J205-L205+N205+G205</f>
        <v>#DIV/0!</v>
      </c>
      <c r="P205" s="38" t="e">
        <f>O205*(1/((1+P$12)^(B205/12)))</f>
        <v>#DIV/0!</v>
      </c>
      <c r="Q205" s="53"/>
      <c r="R205" s="53">
        <f t="shared" si="36"/>
        <v>0.12</v>
      </c>
      <c r="S205" s="53">
        <f t="shared" si="37"/>
        <v>1.0596241035318976E-2</v>
      </c>
      <c r="T205" s="53">
        <f t="shared" si="38"/>
        <v>0.05</v>
      </c>
      <c r="U205" s="53">
        <f t="shared" si="39"/>
        <v>4.2653187775606449E-3</v>
      </c>
    </row>
    <row r="206" spans="1:21" x14ac:dyDescent="0.2">
      <c r="A206" s="62" t="e">
        <f t="shared" si="31"/>
        <v>#DIV/0!</v>
      </c>
      <c r="B206" s="45">
        <f t="shared" si="32"/>
        <v>192</v>
      </c>
      <c r="C206" s="51" t="e">
        <f>IF(B206&lt;C$4,C$1,D205-L206+N206)</f>
        <v>#DIV/0!</v>
      </c>
      <c r="D206" s="47" t="e" cm="1">
        <f t="array" ref="D206">_xlfn.IFS(AND($C$7="Y",B206&lt;C$4),C206,AND($C$7="Y",B206=C$4),D205+F206-J206-K206-L206+N206,AND($C$7="Y",B206&gt;$C$4),D205-J206-K206-L206+N206, TRUE, D205-J206-K206-L206+N206)</f>
        <v>#DIV/0!</v>
      </c>
      <c r="E206" s="48">
        <f t="shared" si="33"/>
        <v>0</v>
      </c>
      <c r="F206" s="50">
        <f t="shared" si="34"/>
        <v>0</v>
      </c>
      <c r="G206" s="50">
        <f t="shared" si="40"/>
        <v>0</v>
      </c>
      <c r="H206" s="51" t="e">
        <f t="shared" si="35"/>
        <v>#DIV/0!</v>
      </c>
      <c r="I206" s="52" t="e">
        <f>IF(AND(C$7="Y",$B206&lt;=C$4),0,IF(AND(C$7="Y",$B206&gt;C$4),(1-U206)*C$2*D205/12,IF(AND($C$7="N",C$4&gt;0),(1-U206)*D205*C$2/12, (1-U206)*D205*C$2/12)))</f>
        <v>#DIV/0!</v>
      </c>
      <c r="J206" s="52" t="e">
        <f>IF(AND($B206&lt;=$C$4,C$7="Y"),0,IF(AND(C$7="N",C$4&gt;0,B206&lt;=C$4),0,H206-I206))</f>
        <v>#DIV/0!</v>
      </c>
      <c r="K206" s="51" t="e">
        <f>IF(AND(C$7="Y",$B206&lt;=$C$4),0,IF(AND(C$7="N",C$4&gt;0,B206&lt;=C$4),0,S206*(C206-J206)))</f>
        <v>#DIV/0!</v>
      </c>
      <c r="L206" s="49" t="e">
        <f>IF(AND(C$7="Y",$B206&lt;=$C$4),0,IF(AND(C$7="N",C$4&gt;0,B206&lt;=C$4),0,U206*D205))</f>
        <v>#DIV/0!</v>
      </c>
      <c r="M206" s="49">
        <f t="shared" si="42"/>
        <v>0</v>
      </c>
      <c r="N206" s="49">
        <f t="shared" si="41"/>
        <v>0</v>
      </c>
      <c r="O206" s="48" t="e">
        <f>K206+I206+J206-L206+N206+G206</f>
        <v>#DIV/0!</v>
      </c>
      <c r="P206" s="38" t="e">
        <f>O206*(1/((1+P$12)^(B206/12)))</f>
        <v>#DIV/0!</v>
      </c>
      <c r="Q206" s="53"/>
      <c r="R206" s="53">
        <f t="shared" si="36"/>
        <v>0.12</v>
      </c>
      <c r="S206" s="53">
        <f t="shared" si="37"/>
        <v>1.0596241035318976E-2</v>
      </c>
      <c r="T206" s="53">
        <f t="shared" si="38"/>
        <v>0.05</v>
      </c>
      <c r="U206" s="53">
        <f t="shared" si="39"/>
        <v>4.2653187775606449E-3</v>
      </c>
    </row>
    <row r="207" spans="1:21" x14ac:dyDescent="0.2">
      <c r="A207" s="62" t="e">
        <f t="shared" ref="A207:A235" si="43">D207/C$1</f>
        <v>#DIV/0!</v>
      </c>
      <c r="B207" s="45">
        <f t="shared" si="32"/>
        <v>193</v>
      </c>
      <c r="C207" s="51" t="e">
        <f>IF(B207&lt;C$4,C$1,D206-L207+N207)</f>
        <v>#DIV/0!</v>
      </c>
      <c r="D207" s="47" t="e" cm="1">
        <f t="array" ref="D207">_xlfn.IFS(AND($C$7="Y",B207&lt;C$4),C207,AND($C$7="Y",B207=C$4),D206+F207-J207-K207-L207+N207,AND($C$7="Y",B207&gt;$C$4),D206-J207-K207-L207+N207, TRUE, D206-J207-K207-L207+N207)</f>
        <v>#DIV/0!</v>
      </c>
      <c r="E207" s="48">
        <f t="shared" si="33"/>
        <v>0</v>
      </c>
      <c r="F207" s="50">
        <f t="shared" si="34"/>
        <v>0</v>
      </c>
      <c r="G207" s="50">
        <f t="shared" si="40"/>
        <v>0</v>
      </c>
      <c r="H207" s="51" t="e">
        <f t="shared" si="35"/>
        <v>#DIV/0!</v>
      </c>
      <c r="I207" s="52" t="e">
        <f>IF(AND(C$7="Y",$B207&lt;=C$4),0,IF(AND(C$7="Y",$B207&gt;C$4),(1-U207)*C$2*D206/12,IF(AND($C$7="N",C$4&gt;0),(1-U207)*D206*C$2/12, (1-U207)*D206*C$2/12)))</f>
        <v>#DIV/0!</v>
      </c>
      <c r="J207" s="52" t="e">
        <f>IF(AND($B207&lt;=$C$4,C$7="Y"),0,IF(AND(C$7="N",C$4&gt;0,B207&lt;=C$4),0,H207-I207))</f>
        <v>#DIV/0!</v>
      </c>
      <c r="K207" s="51" t="e">
        <f>IF(AND(C$7="Y",$B207&lt;=$C$4),0,IF(AND(C$7="N",C$4&gt;0,B207&lt;=C$4),0,S207*(C207-J207)))</f>
        <v>#DIV/0!</v>
      </c>
      <c r="L207" s="49" t="e">
        <f>IF(AND(C$7="Y",$B207&lt;=$C$4),0,IF(AND(C$7="N",C$4&gt;0,B207&lt;=C$4),0,U207*D206))</f>
        <v>#DIV/0!</v>
      </c>
      <c r="M207" s="49">
        <f t="shared" si="42"/>
        <v>0</v>
      </c>
      <c r="N207" s="49">
        <f t="shared" si="41"/>
        <v>0</v>
      </c>
      <c r="O207" s="48" t="e">
        <f>K207+I207+J207-L207+N207+G207</f>
        <v>#DIV/0!</v>
      </c>
      <c r="P207" s="38" t="e">
        <f>O207*(1/((1+P$12)^(B207/12)))</f>
        <v>#DIV/0!</v>
      </c>
      <c r="Q207" s="53"/>
      <c r="R207" s="53">
        <f t="shared" si="36"/>
        <v>0.12</v>
      </c>
      <c r="S207" s="53">
        <f t="shared" si="37"/>
        <v>1.0596241035318976E-2</v>
      </c>
      <c r="T207" s="53">
        <f t="shared" si="38"/>
        <v>0.05</v>
      </c>
      <c r="U207" s="53">
        <f t="shared" si="39"/>
        <v>4.2653187775606449E-3</v>
      </c>
    </row>
    <row r="208" spans="1:21" x14ac:dyDescent="0.2">
      <c r="A208" s="62" t="e">
        <f t="shared" si="43"/>
        <v>#DIV/0!</v>
      </c>
      <c r="B208" s="45">
        <f t="shared" ref="B208:B223" si="44">B207+1</f>
        <v>194</v>
      </c>
      <c r="C208" s="51" t="e">
        <f>IF(B208&lt;C$4,C$1,D207-L208+N208)</f>
        <v>#DIV/0!</v>
      </c>
      <c r="D208" s="47" t="e" cm="1">
        <f t="array" ref="D208">_xlfn.IFS(AND($C$7="Y",B208&lt;C$4),C208,AND($C$7="Y",B208=C$4),D207+F208-J208-K208-L208+N208,AND($C$7="Y",B208&gt;$C$4),D207-J208-K208-L208+N208, TRUE, D207-J208-K208-L208+N208)</f>
        <v>#DIV/0!</v>
      </c>
      <c r="E208" s="48">
        <f t="shared" ref="E208:E219" si="45">IF(AND($C$7="Y",B208&lt;=$C$4),D207*C$2/12-G208,0)</f>
        <v>0</v>
      </c>
      <c r="F208" s="50">
        <f t="shared" ref="F208:F219" si="46">IF(AND($C$7="Y",B208&lt;=C$4),E208+F207,0)</f>
        <v>0</v>
      </c>
      <c r="G208" s="50">
        <f t="shared" si="40"/>
        <v>0</v>
      </c>
      <c r="H208" s="51" t="e">
        <f t="shared" ref="H208:H219" si="47">IF(AND($B208&lt;=$C$4,C$7="Y"),0,IF(AND(C$7="N",C$4&gt;0,B208&lt;=C$4),0,(C208-L208+N208)*C$2/12/(1-(1/(1+C$2/12))^(C$3+C$4-B208+1))))</f>
        <v>#DIV/0!</v>
      </c>
      <c r="I208" s="52" t="e">
        <f>IF(AND(C$7="Y",$B208&lt;=C$4),0,IF(AND(C$7="Y",$B208&gt;C$4),(1-U208)*C$2*D207/12,IF(AND($C$7="N",C$4&gt;0),(1-U208)*D207*C$2/12, (1-U208)*D207*C$2/12)))</f>
        <v>#DIV/0!</v>
      </c>
      <c r="J208" s="52" t="e">
        <f>IF(AND($B208&lt;=$C$4,C$7="Y"),0,IF(AND(C$7="N",C$4&gt;0,B208&lt;=C$4),0,H208-I208))</f>
        <v>#DIV/0!</v>
      </c>
      <c r="K208" s="51" t="e">
        <f>IF(AND(C$7="Y",$B208&lt;=$C$4),0,IF(AND(C$7="N",C$4&gt;0,B208&lt;=C$4),0,S208*(C208-J208)))</f>
        <v>#DIV/0!</v>
      </c>
      <c r="L208" s="49" t="e">
        <f>IF(AND(C$7="Y",$B208&lt;=$C$4),0,IF(AND(C$7="N",C$4&gt;0,B208&lt;=C$4),0,U208*D207))</f>
        <v>#DIV/0!</v>
      </c>
      <c r="M208" s="49">
        <f t="shared" si="42"/>
        <v>0</v>
      </c>
      <c r="N208" s="49">
        <f t="shared" si="41"/>
        <v>0</v>
      </c>
      <c r="O208" s="48" t="e">
        <f>K208+I208+J208-L208+N208+G208</f>
        <v>#DIV/0!</v>
      </c>
      <c r="P208" s="38" t="e">
        <f>O208*(1/((1+P$12)^(B208/12)))</f>
        <v>#DIV/0!</v>
      </c>
      <c r="Q208" s="53"/>
      <c r="R208" s="53">
        <f t="shared" ref="R208:R219" si="48">R$12</f>
        <v>0.12</v>
      </c>
      <c r="S208" s="53">
        <f t="shared" ref="S208:S219" si="49">1-(1-R208)^(1/12)</f>
        <v>1.0596241035318976E-2</v>
      </c>
      <c r="T208" s="53">
        <f t="shared" ref="T208:T219" si="50">T$12</f>
        <v>0.05</v>
      </c>
      <c r="U208" s="53">
        <f t="shared" si="39"/>
        <v>4.2653187775606449E-3</v>
      </c>
    </row>
    <row r="209" spans="1:21" x14ac:dyDescent="0.2">
      <c r="A209" s="62" t="e">
        <f t="shared" si="43"/>
        <v>#DIV/0!</v>
      </c>
      <c r="B209" s="45">
        <f t="shared" si="44"/>
        <v>195</v>
      </c>
      <c r="C209" s="51" t="e">
        <f>IF(B209&lt;C$4,C$1,D208-L209+N209)</f>
        <v>#DIV/0!</v>
      </c>
      <c r="D209" s="47" t="e" cm="1">
        <f t="array" ref="D209">_xlfn.IFS(AND($C$7="Y",B209&lt;C$4),C209,AND($C$7="Y",B209=C$4),D208+F209-J209-K209-L209+N209,AND($C$7="Y",B209&gt;$C$4),D208-J209-K209-L209+N209, TRUE, D208-J209-K209-L209+N209)</f>
        <v>#DIV/0!</v>
      </c>
      <c r="E209" s="48">
        <f t="shared" si="45"/>
        <v>0</v>
      </c>
      <c r="F209" s="50">
        <f t="shared" si="46"/>
        <v>0</v>
      </c>
      <c r="G209" s="50">
        <f t="shared" si="40"/>
        <v>0</v>
      </c>
      <c r="H209" s="51" t="e">
        <f t="shared" si="47"/>
        <v>#DIV/0!</v>
      </c>
      <c r="I209" s="52" t="e">
        <f>IF(AND(C$7="Y",$B209&lt;=C$4),0,IF(AND(C$7="Y",$B209&gt;C$4),(1-U209)*C$2*D208/12,IF(AND($C$7="N",C$4&gt;0),(1-U209)*D208*C$2/12, (1-U209)*D208*C$2/12)))</f>
        <v>#DIV/0!</v>
      </c>
      <c r="J209" s="52" t="e">
        <f>IF(AND($B209&lt;=$C$4,C$7="Y"),0,IF(AND(C$7="N",C$4&gt;0,B209&lt;=C$4),0,H209-I209))</f>
        <v>#DIV/0!</v>
      </c>
      <c r="K209" s="51" t="e">
        <f>IF(AND(C$7="Y",$B209&lt;=$C$4),0,IF(AND(C$7="N",C$4&gt;0,B209&lt;=C$4),0,S209*(C209-J209)))</f>
        <v>#DIV/0!</v>
      </c>
      <c r="L209" s="49" t="e">
        <f>IF(AND(C$7="Y",$B209&lt;=$C$4),0,IF(AND(C$7="N",C$4&gt;0,B209&lt;=C$4),0,U209*D208))</f>
        <v>#DIV/0!</v>
      </c>
      <c r="M209" s="49">
        <f t="shared" si="42"/>
        <v>0</v>
      </c>
      <c r="N209" s="49">
        <f t="shared" si="41"/>
        <v>0</v>
      </c>
      <c r="O209" s="48" t="e">
        <f>K209+I209+J209-L209+N209+G209</f>
        <v>#DIV/0!</v>
      </c>
      <c r="P209" s="38" t="e">
        <f>O209*(1/((1+P$12)^(B209/12)))</f>
        <v>#DIV/0!</v>
      </c>
      <c r="Q209" s="53"/>
      <c r="R209" s="53">
        <f t="shared" si="48"/>
        <v>0.12</v>
      </c>
      <c r="S209" s="53">
        <f t="shared" si="49"/>
        <v>1.0596241035318976E-2</v>
      </c>
      <c r="T209" s="53">
        <f t="shared" si="50"/>
        <v>0.05</v>
      </c>
      <c r="U209" s="53">
        <f t="shared" ref="U209:U219" si="51">1-(1-T209)^(1/12)</f>
        <v>4.2653187775606449E-3</v>
      </c>
    </row>
    <row r="210" spans="1:21" x14ac:dyDescent="0.2">
      <c r="A210" s="62" t="e">
        <f t="shared" si="43"/>
        <v>#DIV/0!</v>
      </c>
      <c r="B210" s="45">
        <f t="shared" si="44"/>
        <v>196</v>
      </c>
      <c r="C210" s="51" t="e">
        <f>IF(B210&lt;C$4,C$1,D209-L210+N210)</f>
        <v>#DIV/0!</v>
      </c>
      <c r="D210" s="47" t="e" cm="1">
        <f t="array" ref="D210">_xlfn.IFS(AND($C$7="Y",B210&lt;C$4),C210,AND($C$7="Y",B210=C$4),D209+F210-J210-K210-L210+N210,AND($C$7="Y",B210&gt;$C$4),D209-J210-K210-L210+N210, TRUE, D209-J210-K210-L210+N210)</f>
        <v>#DIV/0!</v>
      </c>
      <c r="E210" s="48">
        <f t="shared" si="45"/>
        <v>0</v>
      </c>
      <c r="F210" s="50">
        <f t="shared" si="46"/>
        <v>0</v>
      </c>
      <c r="G210" s="50">
        <f t="shared" ref="G210:G219" si="52">IF($B210&lt;=$C$4,C$6,0)</f>
        <v>0</v>
      </c>
      <c r="H210" s="51" t="e">
        <f t="shared" si="47"/>
        <v>#DIV/0!</v>
      </c>
      <c r="I210" s="52" t="e">
        <f>IF(AND(C$7="Y",$B210&lt;=C$4),0,IF(AND(C$7="Y",$B210&gt;C$4),(1-U210)*C$2*D209/12,IF(AND($C$7="N",C$4&gt;0),(1-U210)*D209*C$2/12, (1-U210)*D209*C$2/12)))</f>
        <v>#DIV/0!</v>
      </c>
      <c r="J210" s="52" t="e">
        <f>IF(AND($B210&lt;=$C$4,C$7="Y"),0,IF(AND(C$7="N",C$4&gt;0,B210&lt;=C$4),0,H210-I210))</f>
        <v>#DIV/0!</v>
      </c>
      <c r="K210" s="51" t="e">
        <f>IF(AND(C$7="Y",$B210&lt;=$C$4),0,IF(AND(C$7="N",C$4&gt;0,B210&lt;=C$4),0,S210*(C210-J210)))</f>
        <v>#DIV/0!</v>
      </c>
      <c r="L210" s="49" t="e">
        <f>IF(AND(C$7="Y",$B210&lt;=$C$4),0,IF(AND(C$7="N",C$4&gt;0,B210&lt;=C$4),0,U210*D209))</f>
        <v>#DIV/0!</v>
      </c>
      <c r="M210" s="49">
        <f t="shared" si="42"/>
        <v>0</v>
      </c>
      <c r="N210" s="49">
        <f t="shared" si="41"/>
        <v>0</v>
      </c>
      <c r="O210" s="48" t="e">
        <f>K210+I210+J210-L210+N210+G210</f>
        <v>#DIV/0!</v>
      </c>
      <c r="P210" s="38" t="e">
        <f>O210*(1/((1+P$12)^(B210/12)))</f>
        <v>#DIV/0!</v>
      </c>
      <c r="Q210" s="53"/>
      <c r="R210" s="53">
        <f t="shared" si="48"/>
        <v>0.12</v>
      </c>
      <c r="S210" s="53">
        <f t="shared" si="49"/>
        <v>1.0596241035318976E-2</v>
      </c>
      <c r="T210" s="53">
        <f t="shared" si="50"/>
        <v>0.05</v>
      </c>
      <c r="U210" s="53">
        <f t="shared" si="51"/>
        <v>4.2653187775606449E-3</v>
      </c>
    </row>
    <row r="211" spans="1:21" x14ac:dyDescent="0.2">
      <c r="A211" s="62" t="e">
        <f t="shared" si="43"/>
        <v>#DIV/0!</v>
      </c>
      <c r="B211" s="45">
        <f t="shared" si="44"/>
        <v>197</v>
      </c>
      <c r="C211" s="51" t="e">
        <f>IF(B211&lt;C$4,C$1,D210-L211+N211)</f>
        <v>#DIV/0!</v>
      </c>
      <c r="D211" s="47" t="e" cm="1">
        <f t="array" ref="D211">_xlfn.IFS(AND($C$7="Y",B211&lt;C$4),C211,AND($C$7="Y",B211=C$4),D210+F211-J211-K211-L211+N211,AND($C$7="Y",B211&gt;$C$4),D210-J211-K211-L211+N211, TRUE, D210-J211-K211-L211+N211)</f>
        <v>#DIV/0!</v>
      </c>
      <c r="E211" s="48">
        <f t="shared" si="45"/>
        <v>0</v>
      </c>
      <c r="F211" s="50">
        <f t="shared" si="46"/>
        <v>0</v>
      </c>
      <c r="G211" s="50">
        <f t="shared" si="52"/>
        <v>0</v>
      </c>
      <c r="H211" s="51" t="e">
        <f t="shared" si="47"/>
        <v>#DIV/0!</v>
      </c>
      <c r="I211" s="52" t="e">
        <f>IF(AND(C$7="Y",$B211&lt;=C$4),0,IF(AND(C$7="Y",$B211&gt;C$4),(1-U211)*C$2*D210/12,IF(AND($C$7="N",C$4&gt;0),(1-U211)*D210*C$2/12, (1-U211)*D210*C$2/12)))</f>
        <v>#DIV/0!</v>
      </c>
      <c r="J211" s="52" t="e">
        <f>IF(AND($B211&lt;=$C$4,C$7="Y"),0,IF(AND(C$7="N",C$4&gt;0,B211&lt;=C$4),0,H211-I211))</f>
        <v>#DIV/0!</v>
      </c>
      <c r="K211" s="51" t="e">
        <f>IF(AND(C$7="Y",$B211&lt;=$C$4),0,IF(AND(C$7="N",C$4&gt;0,B211&lt;=C$4),0,S211*(C211-J211)))</f>
        <v>#DIV/0!</v>
      </c>
      <c r="L211" s="49" t="e">
        <f>IF(AND(C$7="Y",$B211&lt;=$C$4),0,IF(AND(C$7="N",C$4&gt;0,B211&lt;=C$4),0,U211*D210))</f>
        <v>#DIV/0!</v>
      </c>
      <c r="M211" s="49">
        <f t="shared" si="42"/>
        <v>0</v>
      </c>
      <c r="N211" s="49">
        <f t="shared" si="41"/>
        <v>0</v>
      </c>
      <c r="O211" s="48" t="e">
        <f>K211+I211+J211-L211+N211+G211</f>
        <v>#DIV/0!</v>
      </c>
      <c r="P211" s="38" t="e">
        <f>O211*(1/((1+P$12)^(B211/12)))</f>
        <v>#DIV/0!</v>
      </c>
      <c r="Q211" s="53"/>
      <c r="R211" s="53">
        <f t="shared" si="48"/>
        <v>0.12</v>
      </c>
      <c r="S211" s="53">
        <f t="shared" si="49"/>
        <v>1.0596241035318976E-2</v>
      </c>
      <c r="T211" s="53">
        <f t="shared" si="50"/>
        <v>0.05</v>
      </c>
      <c r="U211" s="53">
        <f t="shared" si="51"/>
        <v>4.2653187775606449E-3</v>
      </c>
    </row>
    <row r="212" spans="1:21" x14ac:dyDescent="0.2">
      <c r="A212" s="62" t="e">
        <f t="shared" si="43"/>
        <v>#DIV/0!</v>
      </c>
      <c r="B212" s="45">
        <f t="shared" si="44"/>
        <v>198</v>
      </c>
      <c r="C212" s="51" t="e">
        <f>IF(B212&lt;C$4,C$1,D211-L212+N212)</f>
        <v>#DIV/0!</v>
      </c>
      <c r="D212" s="47" t="e" cm="1">
        <f t="array" ref="D212">_xlfn.IFS(AND($C$7="Y",B212&lt;C$4),C212,AND($C$7="Y",B212=C$4),D211+F212-J212-K212-L212+N212,AND($C$7="Y",B212&gt;$C$4),D211-J212-K212-L212+N212, TRUE, D211-J212-K212-L212+N212)</f>
        <v>#DIV/0!</v>
      </c>
      <c r="E212" s="48">
        <f t="shared" si="45"/>
        <v>0</v>
      </c>
      <c r="F212" s="50">
        <f t="shared" si="46"/>
        <v>0</v>
      </c>
      <c r="G212" s="50">
        <f t="shared" si="52"/>
        <v>0</v>
      </c>
      <c r="H212" s="51" t="e">
        <f t="shared" si="47"/>
        <v>#DIV/0!</v>
      </c>
      <c r="I212" s="52" t="e">
        <f>IF(AND(C$7="Y",$B212&lt;=C$4),0,IF(AND(C$7="Y",$B212&gt;C$4),(1-U212)*C$2*D211/12,IF(AND($C$7="N",C$4&gt;0),(1-U212)*D211*C$2/12, (1-U212)*D211*C$2/12)))</f>
        <v>#DIV/0!</v>
      </c>
      <c r="J212" s="52" t="e">
        <f>IF(AND($B212&lt;=$C$4,C$7="Y"),0,IF(AND(C$7="N",C$4&gt;0,B212&lt;=C$4),0,H212-I212))</f>
        <v>#DIV/0!</v>
      </c>
      <c r="K212" s="51" t="e">
        <f>IF(AND(C$7="Y",$B212&lt;=$C$4),0,IF(AND(C$7="N",C$4&gt;0,B212&lt;=C$4),0,S212*(C212-J212)))</f>
        <v>#DIV/0!</v>
      </c>
      <c r="L212" s="49" t="e">
        <f>IF(AND(C$7="Y",$B212&lt;=$C$4),0,IF(AND(C$7="N",C$4&gt;0,B212&lt;=C$4),0,U212*D211))</f>
        <v>#DIV/0!</v>
      </c>
      <c r="M212" s="49">
        <f t="shared" si="42"/>
        <v>0</v>
      </c>
      <c r="N212" s="49">
        <f t="shared" si="41"/>
        <v>0</v>
      </c>
      <c r="O212" s="48" t="e">
        <f>K212+I212+J212-L212+N212+G212</f>
        <v>#DIV/0!</v>
      </c>
      <c r="P212" s="38" t="e">
        <f>O212*(1/((1+P$12)^(B212/12)))</f>
        <v>#DIV/0!</v>
      </c>
      <c r="Q212" s="53"/>
      <c r="R212" s="53">
        <f t="shared" si="48"/>
        <v>0.12</v>
      </c>
      <c r="S212" s="53">
        <f t="shared" si="49"/>
        <v>1.0596241035318976E-2</v>
      </c>
      <c r="T212" s="53">
        <f t="shared" si="50"/>
        <v>0.05</v>
      </c>
      <c r="U212" s="53">
        <f t="shared" si="51"/>
        <v>4.2653187775606449E-3</v>
      </c>
    </row>
    <row r="213" spans="1:21" x14ac:dyDescent="0.2">
      <c r="A213" s="62" t="e">
        <f t="shared" si="43"/>
        <v>#DIV/0!</v>
      </c>
      <c r="B213" s="45">
        <f t="shared" si="44"/>
        <v>199</v>
      </c>
      <c r="C213" s="51" t="e">
        <f>IF(B213&lt;C$4,C$1,D212-L213+N213)</f>
        <v>#DIV/0!</v>
      </c>
      <c r="D213" s="47" t="e" cm="1">
        <f t="array" ref="D213">_xlfn.IFS(AND($C$7="Y",B213&lt;C$4),C213,AND($C$7="Y",B213=C$4),D212+F213-J213-K213-L213+N213,AND($C$7="Y",B213&gt;$C$4),D212-J213-K213-L213+N213, TRUE, D212-J213-K213-L213+N213)</f>
        <v>#DIV/0!</v>
      </c>
      <c r="E213" s="48">
        <f t="shared" si="45"/>
        <v>0</v>
      </c>
      <c r="F213" s="50">
        <f t="shared" si="46"/>
        <v>0</v>
      </c>
      <c r="G213" s="50">
        <f t="shared" si="52"/>
        <v>0</v>
      </c>
      <c r="H213" s="51" t="e">
        <f t="shared" si="47"/>
        <v>#DIV/0!</v>
      </c>
      <c r="I213" s="52" t="e">
        <f>IF(AND(C$7="Y",$B213&lt;=C$4),0,IF(AND(C$7="Y",$B213&gt;C$4),(1-U213)*C$2*D212/12,IF(AND($C$7="N",C$4&gt;0),(1-U213)*D212*C$2/12, (1-U213)*D212*C$2/12)))</f>
        <v>#DIV/0!</v>
      </c>
      <c r="J213" s="52" t="e">
        <f>IF(AND($B213&lt;=$C$4,C$7="Y"),0,IF(AND(C$7="N",C$4&gt;0,B213&lt;=C$4),0,H213-I213))</f>
        <v>#DIV/0!</v>
      </c>
      <c r="K213" s="51" t="e">
        <f>IF(AND(C$7="Y",$B213&lt;=$C$4),0,IF(AND(C$7="N",C$4&gt;0,B213&lt;=C$4),0,S213*(C213-J213)))</f>
        <v>#DIV/0!</v>
      </c>
      <c r="L213" s="49" t="e">
        <f>IF(AND(C$7="Y",$B213&lt;=$C$4),0,IF(AND(C$7="N",C$4&gt;0,B213&lt;=C$4),0,U213*D212))</f>
        <v>#DIV/0!</v>
      </c>
      <c r="M213" s="49">
        <f t="shared" si="42"/>
        <v>0</v>
      </c>
      <c r="N213" s="49">
        <f t="shared" si="41"/>
        <v>0</v>
      </c>
      <c r="O213" s="48" t="e">
        <f>K213+I213+J213-L213+N213+G213</f>
        <v>#DIV/0!</v>
      </c>
      <c r="P213" s="38" t="e">
        <f>O213*(1/((1+P$12)^(B213/12)))</f>
        <v>#DIV/0!</v>
      </c>
      <c r="Q213" s="53"/>
      <c r="R213" s="53">
        <f t="shared" si="48"/>
        <v>0.12</v>
      </c>
      <c r="S213" s="53">
        <f t="shared" si="49"/>
        <v>1.0596241035318976E-2</v>
      </c>
      <c r="T213" s="53">
        <f t="shared" si="50"/>
        <v>0.05</v>
      </c>
      <c r="U213" s="53">
        <f t="shared" si="51"/>
        <v>4.2653187775606449E-3</v>
      </c>
    </row>
    <row r="214" spans="1:21" x14ac:dyDescent="0.2">
      <c r="A214" s="62" t="e">
        <f t="shared" si="43"/>
        <v>#DIV/0!</v>
      </c>
      <c r="B214" s="45">
        <f t="shared" si="44"/>
        <v>200</v>
      </c>
      <c r="C214" s="51" t="e">
        <f>IF(B214&lt;C$4,C$1,D213-L214+N214)</f>
        <v>#DIV/0!</v>
      </c>
      <c r="D214" s="47" t="e" cm="1">
        <f t="array" ref="D214">_xlfn.IFS(AND($C$7="Y",B214&lt;C$4),C214,AND($C$7="Y",B214=C$4),D213+F214-J214-K214-L214+N214,AND($C$7="Y",B214&gt;$C$4),D213-J214-K214-L214+N214, TRUE, D213-J214-K214-L214+N214)</f>
        <v>#DIV/0!</v>
      </c>
      <c r="E214" s="48">
        <f t="shared" si="45"/>
        <v>0</v>
      </c>
      <c r="F214" s="50">
        <f t="shared" si="46"/>
        <v>0</v>
      </c>
      <c r="G214" s="50">
        <f t="shared" si="52"/>
        <v>0</v>
      </c>
      <c r="H214" s="51" t="e">
        <f t="shared" si="47"/>
        <v>#DIV/0!</v>
      </c>
      <c r="I214" s="52" t="e">
        <f>IF(AND(C$7="Y",$B214&lt;=C$4),0,IF(AND(C$7="Y",$B214&gt;C$4),(1-U214)*C$2*D213/12,IF(AND($C$7="N",C$4&gt;0),(1-U214)*D213*C$2/12, (1-U214)*D213*C$2/12)))</f>
        <v>#DIV/0!</v>
      </c>
      <c r="J214" s="52" t="e">
        <f>IF(AND($B214&lt;=$C$4,C$7="Y"),0,IF(AND(C$7="N",C$4&gt;0,B214&lt;=C$4),0,H214-I214))</f>
        <v>#DIV/0!</v>
      </c>
      <c r="K214" s="51" t="e">
        <f>IF(AND(C$7="Y",$B214&lt;=$C$4),0,IF(AND(C$7="N",C$4&gt;0,B214&lt;=C$4),0,S214*(C214-J214)))</f>
        <v>#DIV/0!</v>
      </c>
      <c r="L214" s="49" t="e">
        <f>IF(AND(C$7="Y",$B214&lt;=$C$4),0,IF(AND(C$7="N",C$4&gt;0,B214&lt;=C$4),0,U214*D213))</f>
        <v>#DIV/0!</v>
      </c>
      <c r="M214" s="49">
        <f t="shared" si="42"/>
        <v>0</v>
      </c>
      <c r="N214" s="49">
        <f t="shared" si="41"/>
        <v>0</v>
      </c>
      <c r="O214" s="48" t="e">
        <f>K214+I214+J214-L214+N214+G214</f>
        <v>#DIV/0!</v>
      </c>
      <c r="P214" s="38" t="e">
        <f>O214*(1/((1+P$12)^(B214/12)))</f>
        <v>#DIV/0!</v>
      </c>
      <c r="Q214" s="53"/>
      <c r="R214" s="53">
        <f t="shared" si="48"/>
        <v>0.12</v>
      </c>
      <c r="S214" s="53">
        <f t="shared" si="49"/>
        <v>1.0596241035318976E-2</v>
      </c>
      <c r="T214" s="53">
        <f t="shared" si="50"/>
        <v>0.05</v>
      </c>
      <c r="U214" s="53">
        <f t="shared" si="51"/>
        <v>4.2653187775606449E-3</v>
      </c>
    </row>
    <row r="215" spans="1:21" x14ac:dyDescent="0.2">
      <c r="A215" s="62" t="e">
        <f t="shared" si="43"/>
        <v>#DIV/0!</v>
      </c>
      <c r="B215" s="45">
        <f t="shared" si="44"/>
        <v>201</v>
      </c>
      <c r="C215" s="51" t="e">
        <f>IF(B215&lt;C$4,C$1,D214-L215+N215)</f>
        <v>#DIV/0!</v>
      </c>
      <c r="D215" s="47" t="e" cm="1">
        <f t="array" ref="D215">_xlfn.IFS(AND($C$7="Y",B215&lt;C$4),C215,AND($C$7="Y",B215=C$4),D214+F215-J215-K215-L215+N215,AND($C$7="Y",B215&gt;$C$4),D214-J215-K215-L215+N215, TRUE, D214-J215-K215-L215+N215)</f>
        <v>#DIV/0!</v>
      </c>
      <c r="E215" s="48">
        <f t="shared" si="45"/>
        <v>0</v>
      </c>
      <c r="F215" s="50">
        <f t="shared" si="46"/>
        <v>0</v>
      </c>
      <c r="G215" s="50">
        <f t="shared" si="52"/>
        <v>0</v>
      </c>
      <c r="H215" s="51" t="e">
        <f t="shared" si="47"/>
        <v>#DIV/0!</v>
      </c>
      <c r="I215" s="52" t="e">
        <f>IF(AND(C$7="Y",$B215&lt;=C$4),0,IF(AND(C$7="Y",$B215&gt;C$4),(1-U215)*C$2*D214/12,IF(AND($C$7="N",C$4&gt;0),(1-U215)*D214*C$2/12, (1-U215)*D214*C$2/12)))</f>
        <v>#DIV/0!</v>
      </c>
      <c r="J215" s="52" t="e">
        <f>IF(AND($B215&lt;=$C$4,C$7="Y"),0,IF(AND(C$7="N",C$4&gt;0,B215&lt;=C$4),0,H215-I215))</f>
        <v>#DIV/0!</v>
      </c>
      <c r="K215" s="51" t="e">
        <f>IF(AND(C$7="Y",$B215&lt;=$C$4),0,IF(AND(C$7="N",C$4&gt;0,B215&lt;=C$4),0,S215*(C215-J215)))</f>
        <v>#DIV/0!</v>
      </c>
      <c r="L215" s="49" t="e">
        <f>IF(AND(C$7="Y",$B215&lt;=$C$4),0,IF(AND(C$7="N",C$4&gt;0,B215&lt;=C$4),0,U215*D214))</f>
        <v>#DIV/0!</v>
      </c>
      <c r="M215" s="49">
        <f t="shared" si="42"/>
        <v>0</v>
      </c>
      <c r="N215" s="49">
        <f t="shared" si="41"/>
        <v>0</v>
      </c>
      <c r="O215" s="48" t="e">
        <f>K215+I215+J215-L215+N215+G215</f>
        <v>#DIV/0!</v>
      </c>
      <c r="P215" s="38" t="e">
        <f>O215*(1/((1+P$12)^(B215/12)))</f>
        <v>#DIV/0!</v>
      </c>
      <c r="Q215" s="53"/>
      <c r="R215" s="53">
        <f t="shared" si="48"/>
        <v>0.12</v>
      </c>
      <c r="S215" s="53">
        <f t="shared" si="49"/>
        <v>1.0596241035318976E-2</v>
      </c>
      <c r="T215" s="53">
        <f t="shared" si="50"/>
        <v>0.05</v>
      </c>
      <c r="U215" s="53">
        <f t="shared" si="51"/>
        <v>4.2653187775606449E-3</v>
      </c>
    </row>
    <row r="216" spans="1:21" x14ac:dyDescent="0.2">
      <c r="A216" s="62" t="e">
        <f t="shared" si="43"/>
        <v>#DIV/0!</v>
      </c>
      <c r="B216" s="45">
        <f t="shared" si="44"/>
        <v>202</v>
      </c>
      <c r="C216" s="51" t="e">
        <f>IF(B216&lt;C$4,C$1,D215-L216+N216)</f>
        <v>#DIV/0!</v>
      </c>
      <c r="D216" s="47" t="e" cm="1">
        <f t="array" ref="D216">_xlfn.IFS(AND($C$7="Y",B216&lt;C$4),C216,AND($C$7="Y",B216=C$4),D215+F216-J216-K216-L216+N216,AND($C$7="Y",B216&gt;$C$4),D215-J216-K216-L216+N216, TRUE, D215-J216-K216-L216+N216)</f>
        <v>#DIV/0!</v>
      </c>
      <c r="E216" s="48">
        <f t="shared" si="45"/>
        <v>0</v>
      </c>
      <c r="F216" s="50">
        <f t="shared" si="46"/>
        <v>0</v>
      </c>
      <c r="G216" s="50">
        <f t="shared" si="52"/>
        <v>0</v>
      </c>
      <c r="H216" s="51" t="e">
        <f t="shared" si="47"/>
        <v>#DIV/0!</v>
      </c>
      <c r="I216" s="52" t="e">
        <f>IF(AND(C$7="Y",$B216&lt;=C$4),0,IF(AND(C$7="Y",$B216&gt;C$4),(1-U216)*C$2*D215/12,IF(AND($C$7="N",C$4&gt;0),(1-U216)*D215*C$2/12, (1-U216)*D215*C$2/12)))</f>
        <v>#DIV/0!</v>
      </c>
      <c r="J216" s="52" t="e">
        <f>IF(AND($B216&lt;=$C$4,C$7="Y"),0,IF(AND(C$7="N",C$4&gt;0,B216&lt;=C$4),0,H216-I216))</f>
        <v>#DIV/0!</v>
      </c>
      <c r="K216" s="51" t="e">
        <f>IF(AND(C$7="Y",$B216&lt;=$C$4),0,IF(AND(C$7="N",C$4&gt;0,B216&lt;=C$4),0,S216*(C216-J216)))</f>
        <v>#DIV/0!</v>
      </c>
      <c r="L216" s="49" t="e">
        <f>IF(AND(C$7="Y",$B216&lt;=$C$4),0,IF(AND(C$7="N",C$4&gt;0,B216&lt;=C$4),0,U216*D215))</f>
        <v>#DIV/0!</v>
      </c>
      <c r="M216" s="49">
        <f t="shared" si="42"/>
        <v>0</v>
      </c>
      <c r="N216" s="49">
        <f t="shared" si="41"/>
        <v>0</v>
      </c>
      <c r="O216" s="48" t="e">
        <f>K216+I216+J216-L216+N216+G216</f>
        <v>#DIV/0!</v>
      </c>
      <c r="P216" s="38" t="e">
        <f>O216*(1/((1+P$12)^(B216/12)))</f>
        <v>#DIV/0!</v>
      </c>
      <c r="Q216" s="53"/>
      <c r="R216" s="53">
        <f t="shared" si="48"/>
        <v>0.12</v>
      </c>
      <c r="S216" s="53">
        <f t="shared" si="49"/>
        <v>1.0596241035318976E-2</v>
      </c>
      <c r="T216" s="53">
        <f t="shared" si="50"/>
        <v>0.05</v>
      </c>
      <c r="U216" s="53">
        <f t="shared" si="51"/>
        <v>4.2653187775606449E-3</v>
      </c>
    </row>
    <row r="217" spans="1:21" x14ac:dyDescent="0.2">
      <c r="A217" s="62" t="e">
        <f t="shared" si="43"/>
        <v>#DIV/0!</v>
      </c>
      <c r="B217" s="45">
        <f t="shared" si="44"/>
        <v>203</v>
      </c>
      <c r="C217" s="51" t="e">
        <f>IF(B217&lt;C$4,C$1,D216-L217+N217)</f>
        <v>#DIV/0!</v>
      </c>
      <c r="D217" s="47" t="e" cm="1">
        <f t="array" ref="D217">_xlfn.IFS(AND($C$7="Y",B217&lt;C$4),C217,AND($C$7="Y",B217=C$4),D216+F217-J217-K217-L217+N217,AND($C$7="Y",B217&gt;$C$4),D216-J217-K217-L217+N217, TRUE, D216-J217-K217-L217+N217)</f>
        <v>#DIV/0!</v>
      </c>
      <c r="E217" s="48">
        <f t="shared" si="45"/>
        <v>0</v>
      </c>
      <c r="F217" s="50">
        <f t="shared" si="46"/>
        <v>0</v>
      </c>
      <c r="G217" s="50">
        <f t="shared" si="52"/>
        <v>0</v>
      </c>
      <c r="H217" s="51" t="e">
        <f t="shared" si="47"/>
        <v>#DIV/0!</v>
      </c>
      <c r="I217" s="52" t="e">
        <f>IF(AND(C$7="Y",$B217&lt;=C$4),0,IF(AND(C$7="Y",$B217&gt;C$4),(1-U217)*C$2*D216/12,IF(AND($C$7="N",C$4&gt;0),(1-U217)*D216*C$2/12, (1-U217)*D216*C$2/12)))</f>
        <v>#DIV/0!</v>
      </c>
      <c r="J217" s="52" t="e">
        <f>IF(AND($B217&lt;=$C$4,C$7="Y"),0,IF(AND(C$7="N",C$4&gt;0,B217&lt;=C$4),0,H217-I217))</f>
        <v>#DIV/0!</v>
      </c>
      <c r="K217" s="51" t="e">
        <f>IF(AND(C$7="Y",$B217&lt;=$C$4),0,IF(AND(C$7="N",C$4&gt;0,B217&lt;=C$4),0,S217*(C217-J217)))</f>
        <v>#DIV/0!</v>
      </c>
      <c r="L217" s="49" t="e">
        <f>IF(AND(C$7="Y",$B217&lt;=$C$4),0,IF(AND(C$7="N",C$4&gt;0,B217&lt;=C$4),0,U217*D216))</f>
        <v>#DIV/0!</v>
      </c>
      <c r="M217" s="49">
        <f t="shared" si="42"/>
        <v>0</v>
      </c>
      <c r="N217" s="49">
        <f t="shared" si="41"/>
        <v>0</v>
      </c>
      <c r="O217" s="48" t="e">
        <f>K217+I217+J217-L217+N217+G217</f>
        <v>#DIV/0!</v>
      </c>
      <c r="P217" s="38" t="e">
        <f>O217*(1/((1+P$12)^(B217/12)))</f>
        <v>#DIV/0!</v>
      </c>
      <c r="Q217" s="53"/>
      <c r="R217" s="53">
        <f t="shared" si="48"/>
        <v>0.12</v>
      </c>
      <c r="S217" s="53">
        <f t="shared" si="49"/>
        <v>1.0596241035318976E-2</v>
      </c>
      <c r="T217" s="53">
        <f t="shared" si="50"/>
        <v>0.05</v>
      </c>
      <c r="U217" s="53">
        <f t="shared" si="51"/>
        <v>4.2653187775606449E-3</v>
      </c>
    </row>
    <row r="218" spans="1:21" x14ac:dyDescent="0.2">
      <c r="A218" s="62" t="e">
        <f t="shared" si="43"/>
        <v>#DIV/0!</v>
      </c>
      <c r="B218" s="45">
        <f t="shared" si="44"/>
        <v>204</v>
      </c>
      <c r="C218" s="51" t="e">
        <f>IF(B218&lt;C$4,C$1,D217-L218+N218)</f>
        <v>#DIV/0!</v>
      </c>
      <c r="D218" s="47" t="e" cm="1">
        <f t="array" ref="D218">_xlfn.IFS(AND($C$7="Y",B218&lt;C$4),C218,AND($C$7="Y",B218=C$4),D217+F218-J218-K218-L218+N218,AND($C$7="Y",B218&gt;$C$4),D217-J218-K218-L218+N218, TRUE, D217-J218-K218-L218+N218)</f>
        <v>#DIV/0!</v>
      </c>
      <c r="E218" s="48">
        <f t="shared" si="45"/>
        <v>0</v>
      </c>
      <c r="F218" s="50">
        <f t="shared" si="46"/>
        <v>0</v>
      </c>
      <c r="G218" s="50">
        <f t="shared" si="52"/>
        <v>0</v>
      </c>
      <c r="H218" s="51" t="e">
        <f t="shared" si="47"/>
        <v>#DIV/0!</v>
      </c>
      <c r="I218" s="52" t="e">
        <f>IF(AND(C$7="Y",$B218&lt;=C$4),0,IF(AND(C$7="Y",$B218&gt;C$4),(1-U218)*C$2*D217/12,IF(AND($C$7="N",C$4&gt;0),(1-U218)*D217*C$2/12, (1-U218)*D217*C$2/12)))</f>
        <v>#DIV/0!</v>
      </c>
      <c r="J218" s="52" t="e">
        <f>IF(AND($B218&lt;=$C$4,C$7="Y"),0,IF(AND(C$7="N",C$4&gt;0,B218&lt;=C$4),0,H218-I218))</f>
        <v>#DIV/0!</v>
      </c>
      <c r="K218" s="51" t="e">
        <f>IF(AND(C$7="Y",$B218&lt;=$C$4),0,IF(AND(C$7="N",C$4&gt;0,B218&lt;=C$4),0,S218*(C218-J218)))</f>
        <v>#DIV/0!</v>
      </c>
      <c r="L218" s="49" t="e">
        <f>IF(AND(C$7="Y",$B218&lt;=$C$4),0,IF(AND(C$7="N",C$4&gt;0,B218&lt;=C$4),0,U218*D217))</f>
        <v>#DIV/0!</v>
      </c>
      <c r="M218" s="49">
        <f t="shared" si="42"/>
        <v>0</v>
      </c>
      <c r="N218" s="49">
        <f t="shared" si="41"/>
        <v>0</v>
      </c>
      <c r="O218" s="48" t="e">
        <f>K218+I218+J218-L218+N218+G218</f>
        <v>#DIV/0!</v>
      </c>
      <c r="P218" s="38" t="e">
        <f>O218*(1/((1+P$12)^(B218/12)))</f>
        <v>#DIV/0!</v>
      </c>
      <c r="Q218" s="53"/>
      <c r="R218" s="53">
        <f t="shared" si="48"/>
        <v>0.12</v>
      </c>
      <c r="S218" s="53">
        <f t="shared" si="49"/>
        <v>1.0596241035318976E-2</v>
      </c>
      <c r="T218" s="53">
        <f t="shared" si="50"/>
        <v>0.05</v>
      </c>
      <c r="U218" s="53">
        <f t="shared" si="51"/>
        <v>4.2653187775606449E-3</v>
      </c>
    </row>
    <row r="219" spans="1:21" x14ac:dyDescent="0.2">
      <c r="A219" s="62" t="e">
        <f t="shared" si="43"/>
        <v>#DIV/0!</v>
      </c>
      <c r="B219" s="45">
        <f t="shared" si="44"/>
        <v>205</v>
      </c>
      <c r="C219" s="51" t="e">
        <f>IF(B219&lt;C$4,C$1,D218-L219+N219)</f>
        <v>#DIV/0!</v>
      </c>
      <c r="D219" s="47" t="e" cm="1">
        <f t="array" ref="D219">_xlfn.IFS(AND($C$7="Y",B219&lt;C$4),C219,AND($C$7="Y",B219=C$4),D218+F219-J219-K219-L219+N219,AND($C$7="Y",B219&gt;$C$4),D218-J219-K219-L219+N219, TRUE, D218-J219-K219-L219+N219)</f>
        <v>#DIV/0!</v>
      </c>
      <c r="E219" s="48">
        <f t="shared" si="45"/>
        <v>0</v>
      </c>
      <c r="F219" s="50">
        <f t="shared" si="46"/>
        <v>0</v>
      </c>
      <c r="G219" s="50">
        <f t="shared" si="52"/>
        <v>0</v>
      </c>
      <c r="H219" s="51" t="e">
        <f t="shared" si="47"/>
        <v>#DIV/0!</v>
      </c>
      <c r="I219" s="52" t="e">
        <f>IF(AND(C$7="Y",$B219&lt;=C$4),0,IF(AND(C$7="Y",$B219&gt;C$4),(1-U219)*C$2*D218/12,IF(AND($C$7="N",C$4&gt;0),(1-U219)*D218*C$2/12, (1-U219)*D218*C$2/12)))</f>
        <v>#DIV/0!</v>
      </c>
      <c r="J219" s="52" t="e">
        <f>IF(AND($B219&lt;=$C$4,C$7="Y"),0,IF(AND(C$7="N",C$4&gt;0,B219&lt;=C$4),0,H219-I219))</f>
        <v>#DIV/0!</v>
      </c>
      <c r="K219" s="51" t="e">
        <f>IF(AND(C$7="Y",$B219&lt;=$C$4),0,IF(AND(C$7="N",C$4&gt;0,B219&lt;=C$4),0,S219*(C219-J219)))</f>
        <v>#DIV/0!</v>
      </c>
      <c r="L219" s="49" t="e">
        <f>IF(AND(C$7="Y",$B219&lt;=$C$4),0,IF(AND(C$7="N",C$4&gt;0,B219&lt;=C$4),0,U219*D218))</f>
        <v>#DIV/0!</v>
      </c>
      <c r="M219" s="49">
        <f t="shared" si="42"/>
        <v>0</v>
      </c>
      <c r="N219" s="49">
        <f t="shared" si="41"/>
        <v>0</v>
      </c>
      <c r="O219" s="48" t="e">
        <f>K219+I219+J219-L219+N219+G219</f>
        <v>#DIV/0!</v>
      </c>
      <c r="P219" s="38" t="e">
        <f>O219*(1/((1+P$12)^(B219/12)))</f>
        <v>#DIV/0!</v>
      </c>
      <c r="Q219" s="53"/>
      <c r="R219" s="53">
        <f t="shared" si="48"/>
        <v>0.12</v>
      </c>
      <c r="S219" s="53">
        <f t="shared" si="49"/>
        <v>1.0596241035318976E-2</v>
      </c>
      <c r="T219" s="53">
        <f t="shared" si="50"/>
        <v>0.05</v>
      </c>
      <c r="U219" s="53">
        <f t="shared" si="51"/>
        <v>4.2653187775606449E-3</v>
      </c>
    </row>
    <row r="220" spans="1:21" x14ac:dyDescent="0.2">
      <c r="A220" s="62">
        <f t="shared" si="43"/>
        <v>0</v>
      </c>
      <c r="B220" s="45">
        <f t="shared" si="44"/>
        <v>206</v>
      </c>
      <c r="C220" s="49"/>
      <c r="D220" s="46"/>
      <c r="E220" s="61"/>
      <c r="F220" s="50"/>
      <c r="G220" s="50"/>
      <c r="H220" s="51"/>
      <c r="I220" s="51"/>
      <c r="J220" s="51"/>
      <c r="K220" s="51">
        <f>IF(AND(C$7="Y",$B220&lt;=$C$4),0,IF(AND(C$7="N",C$4&gt;0,B220&lt;=C$4),0,S220*(C220-J220)))</f>
        <v>0</v>
      </c>
      <c r="L220" s="49" t="e">
        <f>IF(AND(C$7="Y",$B220&lt;=$C$4),0,IF(AND(C$7="N",C$4&gt;0,B220&lt;=C$4),0,U220*D219))</f>
        <v>#DIV/0!</v>
      </c>
      <c r="M220" s="49">
        <f t="shared" si="42"/>
        <v>0</v>
      </c>
      <c r="N220" s="49">
        <f t="shared" si="41"/>
        <v>0</v>
      </c>
      <c r="O220" s="48" t="e">
        <f>K220+I220+J220-L220+N220+G220</f>
        <v>#DIV/0!</v>
      </c>
      <c r="P220" s="38" t="e">
        <f>O220*(1/((1+P$12)^(B220/12)))</f>
        <v>#DIV/0!</v>
      </c>
      <c r="Q220" s="53"/>
      <c r="R220" s="53"/>
      <c r="S220" s="53"/>
    </row>
    <row r="221" spans="1:21" x14ac:dyDescent="0.2">
      <c r="A221" s="62">
        <f t="shared" si="43"/>
        <v>0</v>
      </c>
      <c r="B221" s="45">
        <f t="shared" si="44"/>
        <v>207</v>
      </c>
      <c r="C221" s="49"/>
      <c r="D221" s="46"/>
      <c r="E221" s="61"/>
      <c r="F221" s="50"/>
      <c r="G221" s="56"/>
      <c r="H221" s="51"/>
      <c r="I221" s="51">
        <f>IF($B220&lt;=25,0,C$2*D220/12)</f>
        <v>0</v>
      </c>
      <c r="J221" s="51">
        <f>H221-I221</f>
        <v>0</v>
      </c>
      <c r="K221" s="51" t="e">
        <f>IF(AND(C$7="Y",$B221&lt;=$C$4),0,IF(AND(C$7="N",C$4&gt;0,B221&lt;=C$4),0,S221*(C221-J221)))</f>
        <v>#REF!</v>
      </c>
      <c r="L221" s="49">
        <f>IF(AND(C$7="Y",$B221&lt;=$C$4),0,IF(AND(C$7="N",C$4&gt;0,B221&lt;=C$4),0,U221*D220))</f>
        <v>0</v>
      </c>
      <c r="M221" s="49">
        <f t="shared" si="42"/>
        <v>0</v>
      </c>
      <c r="N221" s="49">
        <f t="shared" si="41"/>
        <v>0</v>
      </c>
      <c r="O221" s="48" t="e">
        <f>K221+I221+J221-L221+N221+G221</f>
        <v>#REF!</v>
      </c>
      <c r="P221" s="38" t="e">
        <f>O221*(1/((1+P$12)^(B221/12)))</f>
        <v>#REF!</v>
      </c>
      <c r="Q221" s="53"/>
      <c r="R221" s="53" t="e">
        <f>INDEX(#REF!,MATCH(#REF!,#REF!,0),MATCH(ActiveCDR,#REF!,0))%</f>
        <v>#REF!</v>
      </c>
      <c r="S221" s="53" t="e">
        <f>1-(1-R221)^(1/12)</f>
        <v>#REF!</v>
      </c>
    </row>
    <row r="222" spans="1:21" x14ac:dyDescent="0.2">
      <c r="A222" s="62">
        <f t="shared" si="43"/>
        <v>0</v>
      </c>
      <c r="B222" s="45">
        <f t="shared" si="44"/>
        <v>208</v>
      </c>
      <c r="C222" s="49"/>
      <c r="D222" s="46"/>
      <c r="E222" s="61"/>
      <c r="F222" s="50"/>
      <c r="G222" s="56"/>
      <c r="H222" s="51"/>
      <c r="I222" s="51">
        <f>IF($B221&lt;=25,0,C$2*D221/12)</f>
        <v>0</v>
      </c>
      <c r="J222" s="51">
        <f>H222-I222</f>
        <v>0</v>
      </c>
      <c r="K222" s="51" t="e">
        <f>IF(AND(C$7="Y",$B222&lt;=$C$4),0,IF(AND(C$7="N",C$4&gt;0,B222&lt;=C$4),0,S222*(C222-J222)))</f>
        <v>#REF!</v>
      </c>
      <c r="L222" s="49">
        <f>IF(AND(C$7="Y",$B222&lt;=$C$4),0,IF(AND(C$7="N",C$4&gt;0,B222&lt;=C$4),0,U222*D221))</f>
        <v>0</v>
      </c>
      <c r="M222" s="49">
        <f t="shared" si="42"/>
        <v>0</v>
      </c>
      <c r="N222" s="49">
        <f t="shared" si="41"/>
        <v>0</v>
      </c>
      <c r="O222" s="48" t="e">
        <f>K222+I222+J222-L222+N222+G222</f>
        <v>#REF!</v>
      </c>
      <c r="P222" s="38" t="e">
        <f>O222*(1/((1+P$12)^(B222/12)))</f>
        <v>#REF!</v>
      </c>
      <c r="Q222" s="53"/>
      <c r="R222" s="53" t="e">
        <f>INDEX(#REF!,MATCH(#REF!,#REF!,0),MATCH(ActiveCDR,#REF!,0))%</f>
        <v>#REF!</v>
      </c>
      <c r="S222" s="53" t="e">
        <f t="shared" ref="S222:S224" si="53">1-(1-R222)^(1/12)</f>
        <v>#REF!</v>
      </c>
    </row>
    <row r="223" spans="1:21" x14ac:dyDescent="0.2">
      <c r="A223" s="62">
        <f t="shared" si="43"/>
        <v>0</v>
      </c>
      <c r="B223" s="45">
        <f t="shared" si="44"/>
        <v>209</v>
      </c>
      <c r="C223" s="49"/>
      <c r="D223" s="46"/>
      <c r="E223" s="61"/>
      <c r="F223" s="50"/>
      <c r="G223" s="56"/>
      <c r="H223" s="51"/>
      <c r="I223" s="51">
        <f>IF($B222&lt;=25,0,C$2*D222/12)</f>
        <v>0</v>
      </c>
      <c r="J223" s="51">
        <f>H223-I223</f>
        <v>0</v>
      </c>
      <c r="K223" s="51" t="e">
        <f>IF(AND(C$7="Y",$B223&lt;=$C$4),0,IF(AND(C$7="N",C$4&gt;0,B223&lt;=C$4),0,S223*(C223-J223)))</f>
        <v>#REF!</v>
      </c>
      <c r="L223" s="49">
        <f>IF(AND(C$7="Y",$B223&lt;=$C$4),0,IF(AND(C$7="N",C$4&gt;0,B223&lt;=C$4),0,U223*D222))</f>
        <v>0</v>
      </c>
      <c r="M223" s="49">
        <f t="shared" si="42"/>
        <v>0</v>
      </c>
      <c r="N223" s="49">
        <f t="shared" si="41"/>
        <v>0</v>
      </c>
      <c r="O223" s="48" t="e">
        <f>K223+I223+J223-L223+N223+G223</f>
        <v>#REF!</v>
      </c>
      <c r="P223" s="38" t="e">
        <f>O223*(1/((1+P$12)^(B223/12)))</f>
        <v>#REF!</v>
      </c>
      <c r="Q223" s="53"/>
      <c r="R223" s="53" t="e">
        <f>INDEX(#REF!,MATCH(#REF!,#REF!,0),MATCH(ActiveCDR,#REF!,0))%</f>
        <v>#REF!</v>
      </c>
      <c r="S223" s="53" t="e">
        <f t="shared" si="53"/>
        <v>#REF!</v>
      </c>
    </row>
    <row r="224" spans="1:21" x14ac:dyDescent="0.2">
      <c r="A224" s="62">
        <f t="shared" si="43"/>
        <v>0</v>
      </c>
      <c r="B224" s="45"/>
      <c r="C224" s="49"/>
      <c r="D224" s="46"/>
      <c r="E224" s="61"/>
      <c r="F224" s="50"/>
      <c r="G224" s="56"/>
      <c r="H224" s="51"/>
      <c r="I224" s="51">
        <f>IF($B223&lt;=25,0,C$2*D223/12)</f>
        <v>0</v>
      </c>
      <c r="J224" s="51">
        <f>H224-I224</f>
        <v>0</v>
      </c>
      <c r="K224" s="51" t="e">
        <f>IF(AND(C$7="Y",$B224&lt;=$C$4),0,IF(AND(C$7="N",C$4&gt;0,B224&lt;=C$4),0,S224*(C224-J224)))</f>
        <v>#REF!</v>
      </c>
      <c r="L224" s="49">
        <f>IF(AND(C$7="Y",$B224&lt;=$C$4),0,IF(AND(C$7="N",C$4&gt;0,B224&lt;=C$4),0,U224*D223))</f>
        <v>0</v>
      </c>
      <c r="M224" s="49">
        <f t="shared" si="42"/>
        <v>0</v>
      </c>
      <c r="N224" s="49">
        <f t="shared" si="41"/>
        <v>0</v>
      </c>
      <c r="O224" s="48" t="e">
        <f>K224+I224+J224-L224+N224+G224</f>
        <v>#REF!</v>
      </c>
      <c r="P224" s="38" t="e">
        <f>O224*(1/((1+P$12)^(B224/12)))</f>
        <v>#REF!</v>
      </c>
      <c r="Q224" s="53"/>
      <c r="R224" s="53" t="e">
        <f>INDEX(#REF!,MATCH(#REF!,#REF!,0),MATCH(ActiveCDR,#REF!,0))%</f>
        <v>#REF!</v>
      </c>
      <c r="S224" s="53" t="e">
        <f t="shared" si="53"/>
        <v>#REF!</v>
      </c>
    </row>
    <row r="225" spans="1:19" x14ac:dyDescent="0.2">
      <c r="A225" s="62">
        <f t="shared" si="43"/>
        <v>0</v>
      </c>
      <c r="B225" s="45"/>
      <c r="C225" s="49"/>
      <c r="D225" s="46"/>
      <c r="E225" s="61"/>
      <c r="F225" s="50"/>
      <c r="G225" s="56"/>
      <c r="H225" s="51"/>
      <c r="I225" s="51">
        <f>IF($B224&lt;=25,0,C$2*D224/12)</f>
        <v>0</v>
      </c>
      <c r="J225" s="51">
        <f>H225-I225</f>
        <v>0</v>
      </c>
      <c r="K225" s="51">
        <f>IF(AND(C$7="Y",$B225&lt;=$C$4),0,IF(AND(C$7="N",C$4&gt;0,B225&lt;=C$4),0,S225*(C225-J225)))</f>
        <v>0</v>
      </c>
      <c r="L225" s="49">
        <f>IF(AND(C$7="Y",$B225&lt;=$C$4),0,IF(AND(C$7="N",C$4&gt;0,B225&lt;=C$4),0,U225*D224))</f>
        <v>0</v>
      </c>
      <c r="M225" s="49">
        <f t="shared" si="42"/>
        <v>0</v>
      </c>
      <c r="N225" s="49">
        <f t="shared" si="41"/>
        <v>0</v>
      </c>
      <c r="O225" s="48">
        <f>K225+I225+J225-L225+N225+G225</f>
        <v>0</v>
      </c>
      <c r="P225" s="38">
        <f>O225*(1/((1+P$12)^(B225/12)))</f>
        <v>0</v>
      </c>
      <c r="Q225" s="53"/>
      <c r="R225" s="53"/>
      <c r="S225" s="53"/>
    </row>
    <row r="226" spans="1:19" x14ac:dyDescent="0.2">
      <c r="A226" s="62">
        <f t="shared" si="43"/>
        <v>0</v>
      </c>
      <c r="B226" s="45"/>
      <c r="C226" s="49"/>
      <c r="D226" s="46"/>
      <c r="E226" s="61"/>
      <c r="F226" s="50"/>
      <c r="G226" s="56"/>
      <c r="H226" s="51"/>
      <c r="I226" s="51">
        <f>IF($B225&lt;=25,0,C$2*D225/12)</f>
        <v>0</v>
      </c>
      <c r="J226" s="51">
        <f>H226-I226</f>
        <v>0</v>
      </c>
      <c r="K226" s="51">
        <f>IF(AND(C$7="Y",$B226&lt;=$C$4),0,IF(AND(C$7="N",C$4&gt;0,B226&lt;=C$4),0,S226*(C226-J226)))</f>
        <v>0</v>
      </c>
      <c r="L226" s="49">
        <f>IF(AND(C$7="Y",$B226&lt;=$C$4),0,IF(AND(C$7="N",C$4&gt;0,B226&lt;=C$4),0,U226*D225))</f>
        <v>0</v>
      </c>
      <c r="M226" s="49">
        <f t="shared" si="42"/>
        <v>0</v>
      </c>
      <c r="N226" s="49">
        <f t="shared" si="41"/>
        <v>0</v>
      </c>
      <c r="O226" s="48">
        <f>K226+I226+J226-L226+N226+G226</f>
        <v>0</v>
      </c>
      <c r="P226" s="38">
        <f>O226*(1/((1+P$12)^(B226/12)))</f>
        <v>0</v>
      </c>
      <c r="Q226" s="53"/>
      <c r="R226" s="53"/>
      <c r="S226" s="53"/>
    </row>
    <row r="227" spans="1:19" x14ac:dyDescent="0.2">
      <c r="A227" s="62">
        <f t="shared" si="43"/>
        <v>0</v>
      </c>
      <c r="B227" s="45"/>
      <c r="C227" s="49"/>
      <c r="D227" s="46"/>
      <c r="E227" s="61"/>
      <c r="F227" s="50"/>
      <c r="G227" s="56"/>
      <c r="H227" s="51"/>
      <c r="I227" s="51">
        <f>IF($B226&lt;=25,0,C$2*D226/12)</f>
        <v>0</v>
      </c>
      <c r="J227" s="51">
        <f>H227-I227</f>
        <v>0</v>
      </c>
      <c r="K227" s="51">
        <f>IF(AND(C$7="Y",$B227&lt;=$C$4),0,IF(AND(C$7="N",C$4&gt;0,B227&lt;=C$4),0,S227*(C227-J227)))</f>
        <v>0</v>
      </c>
      <c r="L227" s="49">
        <f>IF(AND(C$7="Y",$B227&lt;=$C$4),0,IF(AND(C$7="N",C$4&gt;0,B227&lt;=C$4),0,U227*D226))</f>
        <v>0</v>
      </c>
      <c r="M227" s="49">
        <f t="shared" si="42"/>
        <v>0</v>
      </c>
      <c r="N227" s="49">
        <f t="shared" ref="N227:N235" si="54">IFERROR((1-$N$12)*L223,0)</f>
        <v>0</v>
      </c>
      <c r="O227" s="48">
        <f>K227+I227+J227-L227+N227+G227</f>
        <v>0</v>
      </c>
      <c r="P227" s="38">
        <f>O227*(1/((1+P$12)^(B227/12)))</f>
        <v>0</v>
      </c>
      <c r="Q227" s="53"/>
      <c r="R227" s="53"/>
      <c r="S227" s="53"/>
    </row>
    <row r="228" spans="1:19" x14ac:dyDescent="0.2">
      <c r="A228" s="62">
        <f t="shared" si="43"/>
        <v>0</v>
      </c>
      <c r="B228" s="45"/>
      <c r="C228" s="49"/>
      <c r="D228" s="46"/>
      <c r="E228" s="61"/>
      <c r="F228" s="50"/>
      <c r="G228" s="56"/>
      <c r="H228" s="51"/>
      <c r="I228" s="51">
        <f>IF($B227&lt;=25,0,C$2*D227/12)</f>
        <v>0</v>
      </c>
      <c r="J228" s="51">
        <f>H228-I228</f>
        <v>0</v>
      </c>
      <c r="K228" s="51">
        <f>IF(AND(C$7="Y",$B228&lt;=$C$4),0,IF(AND(C$7="N",C$4&gt;0,B228&lt;=C$4),0,S228*(C228-J228)))</f>
        <v>0</v>
      </c>
      <c r="L228" s="49">
        <f>IF(AND(C$7="Y",$B228&lt;=$C$4),0,IF(AND(C$7="N",C$4&gt;0,B228&lt;=C$4),0,U228*D227))</f>
        <v>0</v>
      </c>
      <c r="M228" s="49">
        <f t="shared" si="42"/>
        <v>0</v>
      </c>
      <c r="N228" s="49">
        <f t="shared" si="54"/>
        <v>0</v>
      </c>
      <c r="O228" s="48">
        <f>K228+I228+J228-L228+N228+G228</f>
        <v>0</v>
      </c>
      <c r="P228" s="38">
        <f>O228*(1/((1+P$12)^(B228/12)))</f>
        <v>0</v>
      </c>
      <c r="Q228" s="53"/>
      <c r="R228" s="53"/>
      <c r="S228" s="53"/>
    </row>
    <row r="229" spans="1:19" x14ac:dyDescent="0.2">
      <c r="A229" s="62">
        <f t="shared" si="43"/>
        <v>0</v>
      </c>
      <c r="B229" s="45"/>
      <c r="C229" s="49"/>
      <c r="D229" s="46"/>
      <c r="E229" s="61"/>
      <c r="F229" s="50"/>
      <c r="G229" s="56"/>
      <c r="H229" s="51"/>
      <c r="I229" s="51">
        <f>IF($B228&lt;=25,0,C$2*D228/12)</f>
        <v>0</v>
      </c>
      <c r="J229" s="51">
        <f>H229-I229</f>
        <v>0</v>
      </c>
      <c r="K229" s="51">
        <f>IF(AND(C$7="Y",$B229&lt;=$C$4),0,IF(AND(C$7="N",C$4&gt;0,B229&lt;=C$4),0,S229*(C229-J229)))</f>
        <v>0</v>
      </c>
      <c r="L229" s="49">
        <f>IF(AND(C$7="Y",$B229&lt;=$C$4),0,IF(AND(C$7="N",C$4&gt;0,B229&lt;=C$4),0,U229*D228))</f>
        <v>0</v>
      </c>
      <c r="M229" s="49">
        <f t="shared" si="42"/>
        <v>0</v>
      </c>
      <c r="N229" s="49">
        <f t="shared" si="54"/>
        <v>0</v>
      </c>
      <c r="O229" s="48">
        <f>K229+I229+J229-L229+N229+G229</f>
        <v>0</v>
      </c>
      <c r="P229" s="38">
        <f>O229*(1/((1+P$12)^(B229/12)))</f>
        <v>0</v>
      </c>
      <c r="Q229" s="53"/>
      <c r="R229" s="53"/>
      <c r="S229" s="53"/>
    </row>
    <row r="230" spans="1:19" x14ac:dyDescent="0.2">
      <c r="A230" s="62">
        <f t="shared" si="43"/>
        <v>0</v>
      </c>
      <c r="B230" s="45"/>
      <c r="C230" s="49"/>
      <c r="D230" s="46"/>
      <c r="E230" s="61"/>
      <c r="F230" s="50"/>
      <c r="G230" s="56"/>
      <c r="H230" s="51"/>
      <c r="I230" s="51">
        <f>IF($B229&lt;=25,0,C$2*D229/12)</f>
        <v>0</v>
      </c>
      <c r="J230" s="51">
        <f>H230-I230</f>
        <v>0</v>
      </c>
      <c r="K230" s="51">
        <f>IF(AND(C$7="Y",$B230&lt;=$C$4),0,IF(AND(C$7="N",C$4&gt;0,B230&lt;=C$4),0,S230*(C230-J230)))</f>
        <v>0</v>
      </c>
      <c r="L230" s="49">
        <f>IF(AND(C$7="Y",$B230&lt;=$C$4),0,IF(AND(C$7="N",C$4&gt;0,B230&lt;=C$4),0,U230*D229))</f>
        <v>0</v>
      </c>
      <c r="M230" s="49">
        <f t="shared" si="42"/>
        <v>0</v>
      </c>
      <c r="N230" s="49">
        <f t="shared" si="54"/>
        <v>0</v>
      </c>
      <c r="O230" s="48">
        <f>K230+I230+J230-L230+N230+G230</f>
        <v>0</v>
      </c>
      <c r="P230" s="38">
        <f>O230*(1/((1+P$12)^(B230/12)))</f>
        <v>0</v>
      </c>
      <c r="Q230" s="53"/>
      <c r="R230" s="53"/>
      <c r="S230" s="53"/>
    </row>
    <row r="231" spans="1:19" x14ac:dyDescent="0.2">
      <c r="A231" s="62">
        <f t="shared" si="43"/>
        <v>0</v>
      </c>
      <c r="B231" s="45"/>
      <c r="C231" s="49"/>
      <c r="D231" s="46"/>
      <c r="E231" s="61"/>
      <c r="F231" s="50"/>
      <c r="G231" s="56"/>
      <c r="H231" s="51"/>
      <c r="I231" s="51">
        <f>IF($B230&lt;=25,0,C$2*D230/12)</f>
        <v>0</v>
      </c>
      <c r="J231" s="51">
        <f>H231-I231</f>
        <v>0</v>
      </c>
      <c r="K231" s="51">
        <f>IF(AND(C$7="Y",$B231&lt;=$C$4),0,IF(AND(C$7="N",C$4&gt;0,B231&lt;=C$4),0,S231*(C231-J231)))</f>
        <v>0</v>
      </c>
      <c r="L231" s="49">
        <f>IF(AND(C$7="Y",$B231&lt;=$C$4),0,IF(AND(C$7="N",C$4&gt;0,B231&lt;=C$4),0,U231*D230))</f>
        <v>0</v>
      </c>
      <c r="M231" s="49">
        <f t="shared" si="42"/>
        <v>0</v>
      </c>
      <c r="N231" s="49">
        <f t="shared" si="54"/>
        <v>0</v>
      </c>
      <c r="O231" s="48">
        <f>K231+I231+J231-L231+N231+G231</f>
        <v>0</v>
      </c>
      <c r="P231" s="38">
        <f>O231*(1/((1+P$12)^(B231/12)))</f>
        <v>0</v>
      </c>
      <c r="Q231" s="53"/>
      <c r="R231" s="53"/>
      <c r="S231" s="53"/>
    </row>
    <row r="232" spans="1:19" x14ac:dyDescent="0.2">
      <c r="A232" s="62">
        <f t="shared" si="43"/>
        <v>0</v>
      </c>
      <c r="B232" s="45"/>
      <c r="C232" s="49"/>
      <c r="D232" s="46"/>
      <c r="E232" s="61"/>
      <c r="F232" s="50"/>
      <c r="G232" s="56"/>
      <c r="H232" s="51"/>
      <c r="I232" s="51">
        <f>IF($B231&lt;=25,0,C$2*D231/12)</f>
        <v>0</v>
      </c>
      <c r="J232" s="51">
        <f>H232-I232</f>
        <v>0</v>
      </c>
      <c r="K232" s="51">
        <f>IF(AND(C$7="Y",$B232&lt;=$C$4),0,IF(AND(C$7="N",C$4&gt;0,B232&lt;=C$4),0,S232*(C232-J232)))</f>
        <v>0</v>
      </c>
      <c r="L232" s="49">
        <f>IF(AND(C$7="Y",$B232&lt;=$C$4),0,IF(AND(C$7="N",C$4&gt;0,B232&lt;=C$4),0,U232*D231))</f>
        <v>0</v>
      </c>
      <c r="M232" s="49">
        <f t="shared" si="42"/>
        <v>0</v>
      </c>
      <c r="N232" s="49">
        <f t="shared" si="54"/>
        <v>0</v>
      </c>
      <c r="O232" s="48">
        <f>K232+I232+J232-L232+N232+G232</f>
        <v>0</v>
      </c>
      <c r="P232" s="38">
        <f>O232*(1/((1+P$12)^(B232/12)))</f>
        <v>0</v>
      </c>
      <c r="Q232" s="53"/>
      <c r="R232" s="53"/>
      <c r="S232" s="53"/>
    </row>
    <row r="233" spans="1:19" x14ac:dyDescent="0.2">
      <c r="A233" s="62">
        <f t="shared" si="43"/>
        <v>0</v>
      </c>
      <c r="B233" s="45"/>
      <c r="C233" s="49"/>
      <c r="D233" s="46"/>
      <c r="E233" s="61"/>
      <c r="F233" s="50"/>
      <c r="G233" s="56"/>
      <c r="H233" s="51"/>
      <c r="I233" s="51">
        <f>IF($B232&lt;=25,0,C$2*D232/12)</f>
        <v>0</v>
      </c>
      <c r="J233" s="51">
        <f>H233-I233</f>
        <v>0</v>
      </c>
      <c r="K233" s="51">
        <f>IF(AND(C$7="Y",$B233&lt;=$C$4),0,IF(AND(C$7="N",C$4&gt;0,B233&lt;=C$4),0,S233*(C233-J233)))</f>
        <v>0</v>
      </c>
      <c r="L233" s="49">
        <f>IF(AND(C$7="Y",$B233&lt;=$C$4),0,IF(AND(C$7="N",C$4&gt;0,B233&lt;=C$4),0,U233*D232))</f>
        <v>0</v>
      </c>
      <c r="M233" s="49">
        <f t="shared" si="42"/>
        <v>0</v>
      </c>
      <c r="N233" s="49">
        <f t="shared" si="54"/>
        <v>0</v>
      </c>
      <c r="O233" s="48">
        <f>K233+I233+J233-L233+N233+G233</f>
        <v>0</v>
      </c>
      <c r="P233" s="38">
        <f>O233*(1/((1+P$12)^(B233/12)))</f>
        <v>0</v>
      </c>
      <c r="Q233" s="53"/>
      <c r="R233" s="53"/>
      <c r="S233" s="53"/>
    </row>
    <row r="234" spans="1:19" x14ac:dyDescent="0.2">
      <c r="A234" s="62">
        <f t="shared" si="43"/>
        <v>0</v>
      </c>
      <c r="B234" s="45"/>
      <c r="C234" s="49"/>
      <c r="D234" s="46"/>
      <c r="E234" s="61"/>
      <c r="F234" s="50"/>
      <c r="G234" s="56"/>
      <c r="H234" s="51"/>
      <c r="I234" s="51">
        <f>IF($B233&lt;=25,0,C$2*D233/12)</f>
        <v>0</v>
      </c>
      <c r="J234" s="51">
        <f>H234-I234</f>
        <v>0</v>
      </c>
      <c r="K234" s="51">
        <f>IF(AND(C$7="Y",$B234&lt;=$C$4),0,IF(AND(C$7="N",C$4&gt;0,B234&lt;=C$4),0,S234*(C234-J234)))</f>
        <v>0</v>
      </c>
      <c r="L234" s="49">
        <f>IF(AND(C$7="Y",$B234&lt;=$C$4),0,IF(AND(C$7="N",C$4&gt;0,B234&lt;=C$4),0,U234*D233))</f>
        <v>0</v>
      </c>
      <c r="M234" s="49">
        <f t="shared" si="42"/>
        <v>0</v>
      </c>
      <c r="N234" s="49">
        <f t="shared" si="54"/>
        <v>0</v>
      </c>
      <c r="O234" s="48">
        <f>K234+I234+J234-L234+N234+G234</f>
        <v>0</v>
      </c>
      <c r="P234" s="38">
        <f>O234*(1/((1+P$12)^(B234/12)))</f>
        <v>0</v>
      </c>
      <c r="Q234" s="53"/>
      <c r="R234" s="53"/>
      <c r="S234" s="53"/>
    </row>
    <row r="235" spans="1:19" x14ac:dyDescent="0.2">
      <c r="A235" s="62">
        <f t="shared" si="43"/>
        <v>0</v>
      </c>
      <c r="B235" s="45"/>
      <c r="C235" s="49"/>
      <c r="D235" s="46"/>
      <c r="E235" s="61"/>
      <c r="F235" s="50"/>
      <c r="G235" s="56"/>
      <c r="H235" s="51"/>
      <c r="I235" s="51">
        <f>IF($B234&lt;=25,0,C$2*D234/12)</f>
        <v>0</v>
      </c>
      <c r="J235" s="51">
        <f>H235-I235</f>
        <v>0</v>
      </c>
      <c r="K235" s="51">
        <f>IF(AND(C$7="Y",$B235&lt;=$C$4),0,IF(AND(C$7="N",C$4&gt;0,B235&lt;=C$4),0,S235*(C235-J235)))</f>
        <v>0</v>
      </c>
      <c r="L235" s="49">
        <f>IF(AND(C$7="Y",$B235&lt;=$C$4),0,IF(AND(C$7="N",C$4&gt;0,B235&lt;=C$4),0,U235*D234))</f>
        <v>0</v>
      </c>
      <c r="M235" s="49">
        <f t="shared" si="42"/>
        <v>0</v>
      </c>
      <c r="N235" s="49">
        <f t="shared" si="54"/>
        <v>0</v>
      </c>
      <c r="O235" s="48">
        <f>K235+I235+J235-L235+N235+G235</f>
        <v>0</v>
      </c>
      <c r="P235" s="38">
        <f>O235*(1/((1+P$12)^(B235/12)))</f>
        <v>0</v>
      </c>
      <c r="Q235" s="53"/>
      <c r="R235" s="53"/>
      <c r="S235" s="53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A2F4-CD64-4F51-AE40-52EC4CC8A465}">
  <sheetPr codeName="Sheet1"/>
  <dimension ref="A1:AD232"/>
  <sheetViews>
    <sheetView showGridLines="0" topLeftCell="C1" zoomScale="110" zoomScaleNormal="110" workbookViewId="0">
      <selection activeCell="J12" sqref="J12"/>
    </sheetView>
  </sheetViews>
  <sheetFormatPr defaultColWidth="9.1796875" defaultRowHeight="10" x14ac:dyDescent="0.2"/>
  <cols>
    <col min="1" max="1" width="12.54296875" style="7" customWidth="1"/>
    <col min="2" max="2" width="37.54296875" style="7" customWidth="1"/>
    <col min="3" max="3" width="15.7265625" style="7" customWidth="1"/>
    <col min="4" max="4" width="19.54296875" style="7" customWidth="1"/>
    <col min="5" max="5" width="19.6328125" style="7" customWidth="1"/>
    <col min="6" max="6" width="15.26953125" style="7" customWidth="1"/>
    <col min="7" max="7" width="17" style="7" customWidth="1"/>
    <col min="8" max="8" width="18" style="7" customWidth="1"/>
    <col min="9" max="15" width="17" style="7" customWidth="1"/>
    <col min="16" max="16" width="15.81640625" style="7" customWidth="1"/>
    <col min="17" max="19" width="9.1796875" style="7"/>
    <col min="20" max="20" width="16.453125" style="7" customWidth="1"/>
    <col min="21" max="21" width="12.26953125" style="7" bestFit="1" customWidth="1"/>
    <col min="22" max="22" width="9.1796875" style="7"/>
    <col min="23" max="23" width="10.81640625" style="7" bestFit="1" customWidth="1"/>
    <col min="24" max="24" width="10.54296875" style="7" bestFit="1" customWidth="1"/>
    <col min="25" max="25" width="18.453125" style="7" bestFit="1" customWidth="1"/>
    <col min="26" max="16384" width="9.1796875" style="7"/>
  </cols>
  <sheetData>
    <row r="1" spans="1:30" ht="11.5" x14ac:dyDescent="0.25">
      <c r="A1" s="1"/>
      <c r="B1" s="2" t="s">
        <v>0</v>
      </c>
      <c r="C1" s="3">
        <v>8651556.7455042917</v>
      </c>
      <c r="D1" s="4" t="s">
        <v>1</v>
      </c>
      <c r="E1" s="5" t="s">
        <v>2</v>
      </c>
      <c r="F1" s="6"/>
      <c r="H1" s="8" t="s">
        <v>3</v>
      </c>
      <c r="I1" s="9">
        <f>T8*(-1)/C1</f>
        <v>0</v>
      </c>
      <c r="N1" s="10">
        <f>M8*0.9/C1</f>
        <v>-0.5248528782438513</v>
      </c>
    </row>
    <row r="2" spans="1:30" ht="11.5" x14ac:dyDescent="0.25">
      <c r="A2" s="11"/>
      <c r="B2" s="12" t="s">
        <v>4</v>
      </c>
      <c r="C2" s="13">
        <v>0.2</v>
      </c>
      <c r="D2" s="14"/>
      <c r="E2" s="15" t="s">
        <v>5</v>
      </c>
      <c r="F2" s="16"/>
      <c r="H2" s="17" t="s">
        <v>6</v>
      </c>
      <c r="I2" s="18">
        <v>0.05</v>
      </c>
      <c r="M2" s="19">
        <f>(M8+N8)/C1</f>
        <v>0</v>
      </c>
      <c r="S2" s="7">
        <v>19.241</v>
      </c>
      <c r="T2" s="46">
        <v>147662666.18000001</v>
      </c>
      <c r="U2" s="49">
        <f>T2*0.01*S2</f>
        <v>28411773.599693801</v>
      </c>
    </row>
    <row r="3" spans="1:30" ht="11.5" x14ac:dyDescent="0.25">
      <c r="A3" s="11"/>
      <c r="B3" s="12" t="s">
        <v>7</v>
      </c>
      <c r="C3" s="20">
        <v>180</v>
      </c>
      <c r="E3" s="17" t="s">
        <v>8</v>
      </c>
      <c r="F3" s="21"/>
      <c r="H3" s="17" t="s">
        <v>9</v>
      </c>
      <c r="I3" s="22">
        <f>T9</f>
        <v>0.05</v>
      </c>
      <c r="S3" s="7">
        <v>19.241</v>
      </c>
      <c r="T3" s="46">
        <v>145520942.81</v>
      </c>
      <c r="U3" s="49">
        <f>T3*0.01*S3</f>
        <v>27999684.606072102</v>
      </c>
    </row>
    <row r="4" spans="1:30" ht="11.5" x14ac:dyDescent="0.25">
      <c r="B4" s="12" t="s">
        <v>10</v>
      </c>
      <c r="C4" s="20">
        <v>25</v>
      </c>
      <c r="E4" s="17" t="s">
        <v>11</v>
      </c>
      <c r="F4" s="23"/>
      <c r="H4" s="17"/>
      <c r="I4" s="24"/>
    </row>
    <row r="5" spans="1:30" ht="11.5" x14ac:dyDescent="0.25">
      <c r="B5" s="17" t="s">
        <v>12</v>
      </c>
      <c r="C5" s="25">
        <v>108488</v>
      </c>
      <c r="E5" s="17" t="s">
        <v>13</v>
      </c>
      <c r="F5" s="26"/>
      <c r="H5" s="17"/>
      <c r="I5" s="24"/>
    </row>
    <row r="6" spans="1:30" ht="11.5" x14ac:dyDescent="0.25">
      <c r="B6" s="17" t="s">
        <v>14</v>
      </c>
      <c r="C6" s="25">
        <v>2000</v>
      </c>
      <c r="E6" s="17" t="s">
        <v>15</v>
      </c>
      <c r="F6" s="27"/>
      <c r="H6" s="17"/>
      <c r="I6" s="24"/>
    </row>
    <row r="7" spans="1:30" ht="10.5" x14ac:dyDescent="0.25">
      <c r="B7" s="17" t="s">
        <v>16</v>
      </c>
      <c r="C7" s="28" t="s">
        <v>52</v>
      </c>
      <c r="E7" s="17" t="s">
        <v>17</v>
      </c>
      <c r="F7" s="26"/>
      <c r="H7" s="29"/>
      <c r="I7" s="30"/>
      <c r="J7" s="31"/>
    </row>
    <row r="8" spans="1:30" ht="11" thickBot="1" x14ac:dyDescent="0.3">
      <c r="B8" s="32" t="s">
        <v>18</v>
      </c>
      <c r="C8" s="33">
        <v>7.6287820978055976E-2</v>
      </c>
      <c r="E8" s="34"/>
      <c r="F8" s="35"/>
      <c r="H8" s="36"/>
      <c r="I8" s="37"/>
      <c r="J8" s="31">
        <f t="shared" ref="J8:Q8" si="0">_xlfn.AGGREGATE(9, 6, J11:J300)</f>
        <v>7294627.3056114968</v>
      </c>
      <c r="K8" s="31">
        <f t="shared" si="0"/>
        <v>5014213.2660313277</v>
      </c>
      <c r="L8" s="31">
        <f t="shared" si="0"/>
        <v>5045327.17685326</v>
      </c>
      <c r="M8" s="31">
        <f t="shared" si="0"/>
        <v>-5045327.17685326</v>
      </c>
      <c r="N8" s="31">
        <f t="shared" si="0"/>
        <v>5045327.17685326</v>
      </c>
      <c r="O8" s="31">
        <f t="shared" si="0"/>
        <v>31986663.913603388</v>
      </c>
      <c r="P8" s="31">
        <f t="shared" si="0"/>
        <v>31986663.913603388</v>
      </c>
      <c r="Q8" s="31">
        <f t="shared" si="0"/>
        <v>0</v>
      </c>
      <c r="T8" s="38">
        <f>N8+M8</f>
        <v>0</v>
      </c>
    </row>
    <row r="9" spans="1:30" ht="45" customHeight="1" x14ac:dyDescent="0.25">
      <c r="N9" s="39"/>
      <c r="O9" s="11"/>
      <c r="P9" s="40"/>
      <c r="Q9" s="11"/>
      <c r="R9" s="40">
        <v>0.05</v>
      </c>
      <c r="S9" s="11"/>
      <c r="T9" s="41">
        <v>0.05</v>
      </c>
      <c r="U9" s="11"/>
      <c r="V9" s="11"/>
      <c r="W9" s="11"/>
      <c r="AD9" s="7">
        <v>240514</v>
      </c>
    </row>
    <row r="10" spans="1:30" ht="22.5" customHeight="1" x14ac:dyDescent="0.25">
      <c r="B10" s="42" t="s">
        <v>19</v>
      </c>
      <c r="C10" s="43" t="s">
        <v>20</v>
      </c>
      <c r="D10" s="43" t="s">
        <v>21</v>
      </c>
      <c r="E10" s="44" t="s">
        <v>22</v>
      </c>
      <c r="F10" s="44" t="s">
        <v>23</v>
      </c>
      <c r="G10" s="44" t="s">
        <v>24</v>
      </c>
      <c r="H10" s="43" t="s">
        <v>25</v>
      </c>
      <c r="I10" s="43" t="s">
        <v>26</v>
      </c>
      <c r="J10" s="43" t="s">
        <v>27</v>
      </c>
      <c r="K10" s="43" t="s">
        <v>28</v>
      </c>
      <c r="L10" s="43" t="s">
        <v>29</v>
      </c>
      <c r="M10" s="43" t="s">
        <v>30</v>
      </c>
      <c r="N10" s="43" t="s">
        <v>31</v>
      </c>
      <c r="O10" s="43" t="s">
        <v>32</v>
      </c>
      <c r="P10" s="43" t="s">
        <v>33</v>
      </c>
      <c r="Q10" s="43"/>
      <c r="R10" s="43" t="s">
        <v>34</v>
      </c>
      <c r="S10" s="43" t="s">
        <v>35</v>
      </c>
      <c r="T10" s="43" t="s">
        <v>36</v>
      </c>
      <c r="U10" s="43" t="s">
        <v>37</v>
      </c>
      <c r="V10" s="43"/>
      <c r="W10" s="43"/>
      <c r="AD10" s="7">
        <v>124388486</v>
      </c>
    </row>
    <row r="11" spans="1:30" x14ac:dyDescent="0.2">
      <c r="A11" s="62">
        <f>D11/C$1</f>
        <v>1</v>
      </c>
      <c r="B11" s="45">
        <v>0</v>
      </c>
      <c r="C11" s="46">
        <f>C1</f>
        <v>8651556.7455042917</v>
      </c>
      <c r="D11" s="47">
        <f>C1</f>
        <v>8651556.7455042917</v>
      </c>
      <c r="E11" s="38">
        <f>C5</f>
        <v>108488</v>
      </c>
      <c r="F11" s="38">
        <f>C$5</f>
        <v>108488</v>
      </c>
      <c r="O11" s="48">
        <f>K11+I11+J11+M11+N11+G11</f>
        <v>0</v>
      </c>
      <c r="P11" s="38">
        <f>O11*(1/((1+P$9)^(B11/12)))</f>
        <v>0</v>
      </c>
      <c r="AD11" s="85">
        <f>AD9/AD10</f>
        <v>1.9335712471007967E-3</v>
      </c>
    </row>
    <row r="12" spans="1:30" x14ac:dyDescent="0.2">
      <c r="A12" s="62">
        <f t="shared" ref="A12:A75" si="1">D12/C$1</f>
        <v>1</v>
      </c>
      <c r="B12" s="45">
        <f>B11+1</f>
        <v>1</v>
      </c>
      <c r="C12" s="49">
        <f t="shared" ref="C12:C36" si="2">IF(B12&lt;C$4,C$1,D11)</f>
        <v>8651556.7455042917</v>
      </c>
      <c r="D12" s="47" cm="1">
        <f t="array" ref="D12">_xlfn.IFS(AND($C$7="Y",B12&lt;C$4),C12,AND($C$7="Y",B12=C$4),D11+F12-J12-K12-L12+N12,AND($C$7="Y",B12&gt;$C$4),D11-J12-K12-L12+N12, TRUE, D11-J12-K12-L12+N12)</f>
        <v>8651556.7455042917</v>
      </c>
      <c r="E12" s="48">
        <f>IF(AND($C$7="Y",B12&lt;=$C$4),D11*C$2/12-G12,0)</f>
        <v>142192.61242507154</v>
      </c>
      <c r="F12" s="50">
        <f>IF(AND($C$7="Y",B12&lt;=C$4),E12+F11,0)</f>
        <v>250680.61242507154</v>
      </c>
      <c r="G12" s="50">
        <f>IF(AND(C$7="Y",$B12&lt;=$C$4),C$6,0)</f>
        <v>2000</v>
      </c>
      <c r="H12" s="51">
        <f>IF(AND($B12&lt;=$C$4,C$7="Y"),0,IF(AND(C$7="N",C$4&gt;0,B12&lt;=C$4),0,D11*C$2/12/(1-(1/(1+C$2/12))^(C$3+C$4-B12+1))))</f>
        <v>0</v>
      </c>
      <c r="I12" s="52">
        <f>IF(AND(C$7="Y",$B12&lt;=C$4),0,IF(AND(C$7="Y",$B12&gt;C$4),(1-U12)*C$2*D11/12,IF(AND($C$7="N",C$4&gt;0),(1-U12)*D11*C$2/12, (1-U12)*D11*C$2/12)))</f>
        <v>0</v>
      </c>
      <c r="J12" s="52">
        <f>IF(AND($B12&lt;=$C$4,C$7="Y"),0,IF(AND(C$7="N",C$4&gt;0,B12&lt;=C$4),0,H12-I12))</f>
        <v>0</v>
      </c>
      <c r="K12" s="51">
        <f>IF(AND(C$7="Y",$B12&lt;=$C$4),0,IF(AND(C$7="N",C$4&gt;0,B12&lt;=C$4),0,S12*(C12-J12)))</f>
        <v>0</v>
      </c>
      <c r="L12" s="49">
        <f>IF(AND(C$7="Y",$B12&lt;=$C$4),0,IF(AND(C$7="N",C$4&gt;0,B12&lt;=C$4),0,U12*D11))</f>
        <v>0</v>
      </c>
      <c r="M12" s="49">
        <f>IFERROR(#REF!*-1,0)</f>
        <v>0</v>
      </c>
      <c r="N12" s="49">
        <f>IFERROR((1-$N$9)*#REF!,0)</f>
        <v>0</v>
      </c>
      <c r="O12" s="48">
        <f>K12+I12+J12-L12+N12+G12</f>
        <v>2000</v>
      </c>
      <c r="P12" s="38">
        <f>O12*(1/((1+P$9)^(B12/12)))</f>
        <v>2000</v>
      </c>
      <c r="Q12" s="53"/>
      <c r="R12" s="53">
        <f>R$9</f>
        <v>0.05</v>
      </c>
      <c r="S12" s="53">
        <f>1-(1-R12)^(1/12)</f>
        <v>4.2653187775606449E-3</v>
      </c>
      <c r="T12" s="53">
        <f>T$9</f>
        <v>0.05</v>
      </c>
      <c r="U12" s="84">
        <f>1-(1-T12)^(1/12)</f>
        <v>4.2653187775606449E-3</v>
      </c>
      <c r="V12" s="63">
        <f>U12*I12</f>
        <v>0</v>
      </c>
      <c r="W12" s="63">
        <f>D11*U12*C$2/12</f>
        <v>615.02745736218196</v>
      </c>
      <c r="X12" s="64">
        <f>12*W12/D11</f>
        <v>8.5306375551212903E-4</v>
      </c>
      <c r="Y12" s="65">
        <f>20%-X12</f>
        <v>0.19914693624448787</v>
      </c>
      <c r="Z12" s="63"/>
    </row>
    <row r="13" spans="1:30" x14ac:dyDescent="0.2">
      <c r="A13" s="62">
        <f t="shared" si="1"/>
        <v>1</v>
      </c>
      <c r="B13" s="45">
        <f t="shared" ref="B13:B76" si="3">B12+1</f>
        <v>2</v>
      </c>
      <c r="C13" s="49">
        <f t="shared" si="2"/>
        <v>8651556.7455042917</v>
      </c>
      <c r="D13" s="47" cm="1">
        <f t="array" ref="D13">_xlfn.IFS(AND($C$7="Y",B13&lt;C$4),C13,AND($C$7="Y",B13=C$4),D12+F13-J13-K13-L13+N13,AND($C$7="Y",B13&gt;$C$4),D12-J13-K13-L13+N13, TRUE, D12-J13-K13-L13+N13)</f>
        <v>8651556.7455042917</v>
      </c>
      <c r="E13" s="48">
        <f t="shared" ref="E13:E76" si="4">IF(AND($C$7="Y",B13&lt;=$C$4),D12*C$2/12-G13,0)</f>
        <v>142192.61242507154</v>
      </c>
      <c r="F13" s="50">
        <f>IF(AND($C$7="Y",B13&lt;=C$4),E13+F12,0)</f>
        <v>392873.22485014307</v>
      </c>
      <c r="G13" s="50">
        <f>IF(AND(C$7="Y",$B13&lt;=$C$4),C$6,0)</f>
        <v>2000</v>
      </c>
      <c r="H13" s="51">
        <f t="shared" ref="H13:H36" si="5">IF(AND($B13&lt;=$C$4,C$7="Y"),0,IF(AND(C$7="N",C$4&gt;0,B13&lt;=C$4),0,D12*C$2/12/(1-(1/(1+C$2/12))^(C$3+C$4-B13+1))))</f>
        <v>0</v>
      </c>
      <c r="I13" s="52">
        <f t="shared" ref="I13:I76" si="6">IF(AND(C$7="Y",$B13&lt;=C$4),0,IF(AND(C$7="Y",$B13&gt;C$4),(1-U13)*C$2*D12/12,IF(AND($C$7="N",C$4&gt;0),(1-U13)*D12*C$2/12, (1-U13)*D12*C$2/12)))</f>
        <v>0</v>
      </c>
      <c r="J13" s="52">
        <f>IF(AND($B13&lt;=$C$4,C$7="Y"),0,IF(AND(C$7="N",C$4&gt;0,B13&lt;=C$4),0,H13-I13))</f>
        <v>0</v>
      </c>
      <c r="K13" s="51">
        <f t="shared" ref="K13:K26" si="7">IF(AND(C$7="Y",$B13&lt;=$C$4),0,IF(AND(C$7="N",C$4&gt;0,B13&lt;=C$4),0,S13*(C13-J13)))</f>
        <v>0</v>
      </c>
      <c r="L13" s="49">
        <f t="shared" ref="L13:L18" si="8">IF(AND(C$7="Y",$B13&lt;=$C$4),0,IF(AND(C$7="N",C$4&gt;0,B13&lt;=C$4),0,U13*D12))</f>
        <v>0</v>
      </c>
      <c r="M13" s="49">
        <f t="shared" ref="M13" si="9">IFERROR(L9*-1,0)</f>
        <v>0</v>
      </c>
      <c r="N13" s="49">
        <f>IFERROR((1-$N$9)*L9,0)</f>
        <v>0</v>
      </c>
      <c r="O13" s="48">
        <f t="shared" ref="O13:O31" si="10">K13+I13+J13-L13+N13+G13</f>
        <v>2000</v>
      </c>
      <c r="P13" s="38">
        <f t="shared" ref="P13:P36" si="11">O13*(1/((1+P$9)^(B13/12)))</f>
        <v>2000</v>
      </c>
      <c r="Q13" s="53"/>
      <c r="R13" s="53">
        <f t="shared" ref="R13:R76" si="12">R$9</f>
        <v>0.05</v>
      </c>
      <c r="S13" s="53">
        <f t="shared" ref="S13:S76" si="13">1-(1-R13)^(1/12)</f>
        <v>4.2653187775606449E-3</v>
      </c>
      <c r="T13" s="53">
        <f t="shared" ref="T13:T76" si="14">T$9</f>
        <v>0.05</v>
      </c>
      <c r="U13" s="53">
        <f>1-(1-T13)^(1/12)</f>
        <v>4.2653187775606449E-3</v>
      </c>
      <c r="V13" s="53"/>
      <c r="W13" s="63">
        <f t="shared" ref="W13:W76" si="15">D12*U13*C$2/12</f>
        <v>615.02745736218196</v>
      </c>
      <c r="X13" s="64">
        <f t="shared" ref="X13:X76" si="16">12*W13/D12</f>
        <v>8.5306375551212903E-4</v>
      </c>
      <c r="Z13" s="63"/>
    </row>
    <row r="14" spans="1:30" x14ac:dyDescent="0.2">
      <c r="A14" s="62">
        <f t="shared" si="1"/>
        <v>1</v>
      </c>
      <c r="B14" s="45">
        <f t="shared" si="3"/>
        <v>3</v>
      </c>
      <c r="C14" s="49">
        <f t="shared" si="2"/>
        <v>8651556.7455042917</v>
      </c>
      <c r="D14" s="47" cm="1">
        <f t="array" ref="D14">_xlfn.IFS(AND($C$7="Y",B14&lt;C$4),C14,AND($C$7="Y",B14=C$4),D13+F14-J14-K14-L14+N14,AND($C$7="Y",B14&gt;$C$4),D13-J14-K14-L14+N14, TRUE, D13-J14-K14-L14+N14)</f>
        <v>8651556.7455042917</v>
      </c>
      <c r="E14" s="48">
        <f t="shared" si="4"/>
        <v>142192.61242507154</v>
      </c>
      <c r="F14" s="50">
        <f t="shared" ref="F13:F76" si="17">IF(AND($C$7="Y",B14&lt;=C$4),E14+F13,0)</f>
        <v>535065.83727521461</v>
      </c>
      <c r="G14" s="50">
        <f>IF(AND(C$7="Y",$B14&lt;=$C$4),C$6,0)</f>
        <v>2000</v>
      </c>
      <c r="H14" s="51">
        <f t="shared" si="5"/>
        <v>0</v>
      </c>
      <c r="I14" s="52">
        <f t="shared" si="6"/>
        <v>0</v>
      </c>
      <c r="J14" s="52">
        <f t="shared" ref="J14:J26" si="18">IF(AND($B14&lt;=$C$4,C$7="Y"),0,IF(AND(C$7="N",C$4&gt;0,B14&lt;=C$4),0,H14-I14))</f>
        <v>0</v>
      </c>
      <c r="K14" s="51">
        <f t="shared" si="7"/>
        <v>0</v>
      </c>
      <c r="L14" s="49">
        <f t="shared" si="8"/>
        <v>0</v>
      </c>
      <c r="M14" s="49">
        <f>IFERROR(L10*-1,0)</f>
        <v>0</v>
      </c>
      <c r="N14" s="49">
        <f t="shared" ref="N14:N21" si="19">IFERROR((1-$N$9)*L10,0)</f>
        <v>0</v>
      </c>
      <c r="O14" s="48">
        <f t="shared" si="10"/>
        <v>2000</v>
      </c>
      <c r="P14" s="38">
        <f t="shared" si="11"/>
        <v>2000</v>
      </c>
      <c r="Q14" s="53"/>
      <c r="R14" s="53">
        <f t="shared" si="12"/>
        <v>0.05</v>
      </c>
      <c r="S14" s="53">
        <f t="shared" si="13"/>
        <v>4.2653187775606449E-3</v>
      </c>
      <c r="T14" s="53">
        <f t="shared" si="14"/>
        <v>0.05</v>
      </c>
      <c r="U14" s="53">
        <f t="shared" ref="U14:U77" si="20">1-(1-T14)^(1/12)</f>
        <v>4.2653187775606449E-3</v>
      </c>
      <c r="V14" s="53"/>
      <c r="W14" s="63">
        <f t="shared" si="15"/>
        <v>615.02745736218196</v>
      </c>
      <c r="X14" s="64">
        <f t="shared" si="16"/>
        <v>8.5306375551212903E-4</v>
      </c>
      <c r="Z14" s="63"/>
    </row>
    <row r="15" spans="1:30" x14ac:dyDescent="0.2">
      <c r="A15" s="62">
        <f t="shared" si="1"/>
        <v>1</v>
      </c>
      <c r="B15" s="45">
        <f t="shared" si="3"/>
        <v>4</v>
      </c>
      <c r="C15" s="49">
        <f t="shared" si="2"/>
        <v>8651556.7455042917</v>
      </c>
      <c r="D15" s="47" cm="1">
        <f t="array" ref="D15">_xlfn.IFS(AND($C$7="Y",B15&lt;C$4),C15,AND($C$7="Y",B15=C$4),D14+F15-J15-K15-L15+N15,AND($C$7="Y",B15&gt;$C$4),D14-J15-K15-L15+N15, TRUE, D14-J15-K15-L15+N15)</f>
        <v>8651556.7455042917</v>
      </c>
      <c r="E15" s="48">
        <f t="shared" si="4"/>
        <v>142192.61242507154</v>
      </c>
      <c r="F15" s="50">
        <f t="shared" si="17"/>
        <v>677258.44970028615</v>
      </c>
      <c r="G15" s="50">
        <f t="shared" ref="G15:G78" si="21">IF($B15&lt;=$C$4,C$6,0)</f>
        <v>2000</v>
      </c>
      <c r="H15" s="51">
        <f t="shared" si="5"/>
        <v>0</v>
      </c>
      <c r="I15" s="52">
        <f t="shared" si="6"/>
        <v>0</v>
      </c>
      <c r="J15" s="52">
        <f t="shared" si="18"/>
        <v>0</v>
      </c>
      <c r="K15" s="51">
        <f t="shared" si="7"/>
        <v>0</v>
      </c>
      <c r="L15" s="49">
        <f t="shared" si="8"/>
        <v>0</v>
      </c>
      <c r="M15" s="49">
        <f t="shared" ref="M15:M20" si="22">IFERROR(L11*-1,0)</f>
        <v>0</v>
      </c>
      <c r="N15" s="49">
        <f t="shared" si="19"/>
        <v>0</v>
      </c>
      <c r="O15" s="48">
        <f t="shared" si="10"/>
        <v>2000</v>
      </c>
      <c r="P15" s="38">
        <f t="shared" si="11"/>
        <v>2000</v>
      </c>
      <c r="Q15" s="53"/>
      <c r="R15" s="53">
        <f t="shared" si="12"/>
        <v>0.05</v>
      </c>
      <c r="S15" s="53">
        <f t="shared" si="13"/>
        <v>4.2653187775606449E-3</v>
      </c>
      <c r="T15" s="53">
        <f t="shared" si="14"/>
        <v>0.05</v>
      </c>
      <c r="U15" s="53">
        <f t="shared" si="20"/>
        <v>4.2653187775606449E-3</v>
      </c>
      <c r="V15" s="53"/>
      <c r="W15" s="63">
        <f t="shared" si="15"/>
        <v>615.02745736218196</v>
      </c>
      <c r="X15" s="64">
        <f t="shared" si="16"/>
        <v>8.5306375551212903E-4</v>
      </c>
      <c r="Z15" s="63"/>
    </row>
    <row r="16" spans="1:30" x14ac:dyDescent="0.2">
      <c r="A16" s="62">
        <f t="shared" si="1"/>
        <v>1</v>
      </c>
      <c r="B16" s="45">
        <f t="shared" si="3"/>
        <v>5</v>
      </c>
      <c r="C16" s="49">
        <f t="shared" si="2"/>
        <v>8651556.7455042917</v>
      </c>
      <c r="D16" s="47" cm="1">
        <f t="array" ref="D16">_xlfn.IFS(AND($C$7="Y",B16&lt;C$4),C16,AND($C$7="Y",B16=C$4),D15+F16-J16-K16-L16+N16,AND($C$7="Y",B16&gt;$C$4),D15-J16-K16-L16+N16, TRUE, D15-J16-K16-L16+N16)</f>
        <v>8651556.7455042917</v>
      </c>
      <c r="E16" s="48">
        <f>IF(AND($C$7="Y",B16&lt;=$C$4),D15*C$2/12-G16,0)</f>
        <v>142192.61242507154</v>
      </c>
      <c r="F16" s="50">
        <f t="shared" si="17"/>
        <v>819451.06212535768</v>
      </c>
      <c r="G16" s="50">
        <f t="shared" si="21"/>
        <v>2000</v>
      </c>
      <c r="H16" s="51">
        <f t="shared" si="5"/>
        <v>0</v>
      </c>
      <c r="I16" s="52">
        <f t="shared" si="6"/>
        <v>0</v>
      </c>
      <c r="J16" s="52">
        <f t="shared" si="18"/>
        <v>0</v>
      </c>
      <c r="K16" s="51">
        <f t="shared" si="7"/>
        <v>0</v>
      </c>
      <c r="L16" s="49">
        <f t="shared" si="8"/>
        <v>0</v>
      </c>
      <c r="M16" s="49">
        <f t="shared" si="22"/>
        <v>0</v>
      </c>
      <c r="N16" s="49">
        <f t="shared" si="19"/>
        <v>0</v>
      </c>
      <c r="O16" s="48">
        <f t="shared" si="10"/>
        <v>2000</v>
      </c>
      <c r="P16" s="38">
        <f t="shared" si="11"/>
        <v>2000</v>
      </c>
      <c r="Q16" s="53"/>
      <c r="R16" s="53">
        <f t="shared" si="12"/>
        <v>0.05</v>
      </c>
      <c r="S16" s="53">
        <f t="shared" si="13"/>
        <v>4.2653187775606449E-3</v>
      </c>
      <c r="T16" s="53">
        <f t="shared" si="14"/>
        <v>0.05</v>
      </c>
      <c r="U16" s="53">
        <f t="shared" si="20"/>
        <v>4.2653187775606449E-3</v>
      </c>
      <c r="V16" s="53"/>
      <c r="W16" s="63">
        <f t="shared" si="15"/>
        <v>615.02745736218196</v>
      </c>
      <c r="X16" s="64">
        <f t="shared" si="16"/>
        <v>8.5306375551212903E-4</v>
      </c>
      <c r="Z16" s="63"/>
    </row>
    <row r="17" spans="1:29" x14ac:dyDescent="0.2">
      <c r="A17" s="62">
        <f t="shared" si="1"/>
        <v>1</v>
      </c>
      <c r="B17" s="45">
        <f t="shared" si="3"/>
        <v>6</v>
      </c>
      <c r="C17" s="49">
        <f t="shared" si="2"/>
        <v>8651556.7455042917</v>
      </c>
      <c r="D17" s="47" cm="1">
        <f t="array" ref="D17">_xlfn.IFS(AND($C$7="Y",B17&lt;C$4),C17,AND($C$7="Y",B17=C$4),D16+F17-J17-K17-L17+N17,AND($C$7="Y",B17&gt;$C$4),D16-J17-K17-L17+N17, TRUE, D16-J17-K17-L17+N17)</f>
        <v>8651556.7455042917</v>
      </c>
      <c r="E17" s="48">
        <f t="shared" si="4"/>
        <v>142192.61242507154</v>
      </c>
      <c r="F17" s="50">
        <f t="shared" si="17"/>
        <v>961643.67455042922</v>
      </c>
      <c r="G17" s="50">
        <f t="shared" si="21"/>
        <v>2000</v>
      </c>
      <c r="H17" s="51">
        <f t="shared" si="5"/>
        <v>0</v>
      </c>
      <c r="I17" s="52">
        <f t="shared" si="6"/>
        <v>0</v>
      </c>
      <c r="J17" s="52">
        <f t="shared" si="18"/>
        <v>0</v>
      </c>
      <c r="K17" s="51">
        <f t="shared" si="7"/>
        <v>0</v>
      </c>
      <c r="L17" s="49">
        <f t="shared" si="8"/>
        <v>0</v>
      </c>
      <c r="M17" s="49">
        <f t="shared" si="22"/>
        <v>0</v>
      </c>
      <c r="N17" s="49">
        <f t="shared" si="19"/>
        <v>0</v>
      </c>
      <c r="O17" s="48">
        <f t="shared" si="10"/>
        <v>2000</v>
      </c>
      <c r="P17" s="38">
        <f t="shared" si="11"/>
        <v>2000</v>
      </c>
      <c r="Q17" s="53"/>
      <c r="R17" s="53">
        <f t="shared" si="12"/>
        <v>0.05</v>
      </c>
      <c r="S17" s="53">
        <f t="shared" si="13"/>
        <v>4.2653187775606449E-3</v>
      </c>
      <c r="T17" s="53">
        <f t="shared" si="14"/>
        <v>0.05</v>
      </c>
      <c r="U17" s="53">
        <f t="shared" si="20"/>
        <v>4.2653187775606449E-3</v>
      </c>
      <c r="V17" s="53"/>
      <c r="W17" s="63">
        <f t="shared" si="15"/>
        <v>615.02745736218196</v>
      </c>
      <c r="X17" s="64">
        <f t="shared" si="16"/>
        <v>8.5306375551212903E-4</v>
      </c>
      <c r="Z17" s="63"/>
    </row>
    <row r="18" spans="1:29" x14ac:dyDescent="0.2">
      <c r="A18" s="62">
        <f t="shared" si="1"/>
        <v>1</v>
      </c>
      <c r="B18" s="45">
        <f t="shared" si="3"/>
        <v>7</v>
      </c>
      <c r="C18" s="49">
        <f t="shared" si="2"/>
        <v>8651556.7455042917</v>
      </c>
      <c r="D18" s="47" cm="1">
        <f t="array" ref="D18">_xlfn.IFS(AND($C$7="Y",B18&lt;C$4),C18,AND($C$7="Y",B18=C$4),D17+F18-J18-K18-L18+N18,AND($C$7="Y",B18&gt;$C$4),D17-J18-K18-L18+N18, TRUE, D17-J18-K18-L18+N18)</f>
        <v>8651556.7455042917</v>
      </c>
      <c r="E18" s="48">
        <f t="shared" si="4"/>
        <v>142192.61242507154</v>
      </c>
      <c r="F18" s="50">
        <f t="shared" si="17"/>
        <v>1103836.2869755006</v>
      </c>
      <c r="G18" s="50">
        <f t="shared" si="21"/>
        <v>2000</v>
      </c>
      <c r="H18" s="51">
        <f t="shared" si="5"/>
        <v>0</v>
      </c>
      <c r="I18" s="52">
        <f t="shared" si="6"/>
        <v>0</v>
      </c>
      <c r="J18" s="52">
        <f t="shared" si="18"/>
        <v>0</v>
      </c>
      <c r="K18" s="51">
        <f t="shared" si="7"/>
        <v>0</v>
      </c>
      <c r="L18" s="49">
        <f t="shared" si="8"/>
        <v>0</v>
      </c>
      <c r="M18" s="49">
        <f t="shared" si="22"/>
        <v>0</v>
      </c>
      <c r="N18" s="49">
        <f t="shared" si="19"/>
        <v>0</v>
      </c>
      <c r="O18" s="48">
        <f t="shared" si="10"/>
        <v>2000</v>
      </c>
      <c r="P18" s="38">
        <f t="shared" si="11"/>
        <v>2000</v>
      </c>
      <c r="Q18" s="53"/>
      <c r="R18" s="53">
        <f t="shared" si="12"/>
        <v>0.05</v>
      </c>
      <c r="S18" s="53">
        <f t="shared" si="13"/>
        <v>4.2653187775606449E-3</v>
      </c>
      <c r="T18" s="53">
        <f t="shared" si="14"/>
        <v>0.05</v>
      </c>
      <c r="U18" s="53">
        <f t="shared" si="20"/>
        <v>4.2653187775606449E-3</v>
      </c>
      <c r="V18" s="53"/>
      <c r="W18" s="63">
        <f t="shared" si="15"/>
        <v>615.02745736218196</v>
      </c>
      <c r="X18" s="64">
        <f t="shared" si="16"/>
        <v>8.5306375551212903E-4</v>
      </c>
      <c r="Z18" s="63"/>
    </row>
    <row r="19" spans="1:29" x14ac:dyDescent="0.2">
      <c r="A19" s="62">
        <f t="shared" si="1"/>
        <v>1</v>
      </c>
      <c r="B19" s="45">
        <f t="shared" si="3"/>
        <v>8</v>
      </c>
      <c r="C19" s="49">
        <f t="shared" si="2"/>
        <v>8651556.7455042917</v>
      </c>
      <c r="D19" s="47" cm="1">
        <f t="array" ref="D19">_xlfn.IFS(AND($C$7="Y",B19&lt;C$4),C19,AND($C$7="Y",B19=C$4),D18+F19-J19-K19-L19+N19,AND($C$7="Y",B19&gt;$C$4),D18-J19-K19-L19+N19, TRUE, D18-J19-K19-L19+N19)</f>
        <v>8651556.7455042917</v>
      </c>
      <c r="E19" s="48">
        <f t="shared" si="4"/>
        <v>142192.61242507154</v>
      </c>
      <c r="F19" s="50">
        <f t="shared" si="17"/>
        <v>1246028.8994005723</v>
      </c>
      <c r="G19" s="50">
        <f t="shared" si="21"/>
        <v>2000</v>
      </c>
      <c r="H19" s="51">
        <f t="shared" si="5"/>
        <v>0</v>
      </c>
      <c r="I19" s="52">
        <f t="shared" si="6"/>
        <v>0</v>
      </c>
      <c r="J19" s="52">
        <f t="shared" si="18"/>
        <v>0</v>
      </c>
      <c r="K19" s="51">
        <f t="shared" si="7"/>
        <v>0</v>
      </c>
      <c r="L19" s="49">
        <f>IF(AND(C$7="Y",$B19&lt;=$C$4),0,IF(AND(C$7="N",C$4&gt;0,B19&lt;=C$4),0,U19*D18))</f>
        <v>0</v>
      </c>
      <c r="M19" s="49">
        <f t="shared" si="22"/>
        <v>0</v>
      </c>
      <c r="N19" s="49">
        <f t="shared" si="19"/>
        <v>0</v>
      </c>
      <c r="O19" s="48">
        <f t="shared" si="10"/>
        <v>2000</v>
      </c>
      <c r="P19" s="38">
        <f t="shared" si="11"/>
        <v>2000</v>
      </c>
      <c r="Q19" s="53"/>
      <c r="R19" s="53">
        <f t="shared" si="12"/>
        <v>0.05</v>
      </c>
      <c r="S19" s="53">
        <f t="shared" si="13"/>
        <v>4.2653187775606449E-3</v>
      </c>
      <c r="T19" s="53">
        <f t="shared" si="14"/>
        <v>0.05</v>
      </c>
      <c r="U19" s="53">
        <f t="shared" si="20"/>
        <v>4.2653187775606449E-3</v>
      </c>
      <c r="V19" s="53"/>
      <c r="W19" s="63">
        <f t="shared" si="15"/>
        <v>615.02745736218196</v>
      </c>
      <c r="X19" s="64">
        <f t="shared" si="16"/>
        <v>8.5306375551212903E-4</v>
      </c>
      <c r="Z19" s="63"/>
    </row>
    <row r="20" spans="1:29" x14ac:dyDescent="0.2">
      <c r="A20" s="62">
        <f t="shared" si="1"/>
        <v>1</v>
      </c>
      <c r="B20" s="45">
        <f t="shared" si="3"/>
        <v>9</v>
      </c>
      <c r="C20" s="49">
        <f t="shared" si="2"/>
        <v>8651556.7455042917</v>
      </c>
      <c r="D20" s="47" cm="1">
        <f t="array" ref="D20">_xlfn.IFS(AND($C$7="Y",B20&lt;C$4),C20,AND($C$7="Y",B20=C$4),D19+F20-J20-K20-L20+N20,AND($C$7="Y",B20&gt;$C$4),D19-J20-K20-L20+N20, TRUE, D19-J20-K20-L20+N20)</f>
        <v>8651556.7455042917</v>
      </c>
      <c r="E20" s="48">
        <f t="shared" si="4"/>
        <v>142192.61242507154</v>
      </c>
      <c r="F20" s="50">
        <f t="shared" si="17"/>
        <v>1388221.5118256439</v>
      </c>
      <c r="G20" s="50">
        <f t="shared" si="21"/>
        <v>2000</v>
      </c>
      <c r="H20" s="51">
        <f t="shared" si="5"/>
        <v>0</v>
      </c>
      <c r="I20" s="52">
        <f t="shared" si="6"/>
        <v>0</v>
      </c>
      <c r="J20" s="52">
        <f t="shared" si="18"/>
        <v>0</v>
      </c>
      <c r="K20" s="51">
        <f t="shared" si="7"/>
        <v>0</v>
      </c>
      <c r="L20" s="49">
        <f t="shared" ref="L20:L35" si="23">IF(AND(C$7="Y",$B20&lt;=$C$4),0,IF(AND(C$7="N",C$4&gt;0,B20&lt;=C$4),0,U20*D19))</f>
        <v>0</v>
      </c>
      <c r="M20" s="49">
        <f t="shared" si="22"/>
        <v>0</v>
      </c>
      <c r="N20" s="49">
        <f t="shared" si="19"/>
        <v>0</v>
      </c>
      <c r="O20" s="48">
        <f t="shared" si="10"/>
        <v>2000</v>
      </c>
      <c r="P20" s="38">
        <f t="shared" si="11"/>
        <v>2000</v>
      </c>
      <c r="Q20" s="53"/>
      <c r="R20" s="53">
        <f t="shared" si="12"/>
        <v>0.05</v>
      </c>
      <c r="S20" s="53">
        <f t="shared" si="13"/>
        <v>4.2653187775606449E-3</v>
      </c>
      <c r="T20" s="53">
        <f t="shared" si="14"/>
        <v>0.05</v>
      </c>
      <c r="U20" s="53">
        <f t="shared" si="20"/>
        <v>4.2653187775606449E-3</v>
      </c>
      <c r="V20" s="53"/>
      <c r="W20" s="63">
        <f t="shared" si="15"/>
        <v>615.02745736218196</v>
      </c>
      <c r="X20" s="64">
        <f t="shared" si="16"/>
        <v>8.5306375551212903E-4</v>
      </c>
      <c r="Z20" s="63"/>
    </row>
    <row r="21" spans="1:29" x14ac:dyDescent="0.2">
      <c r="A21" s="62">
        <f t="shared" si="1"/>
        <v>1</v>
      </c>
      <c r="B21" s="45">
        <f t="shared" si="3"/>
        <v>10</v>
      </c>
      <c r="C21" s="49">
        <f t="shared" si="2"/>
        <v>8651556.7455042917</v>
      </c>
      <c r="D21" s="47" cm="1">
        <f t="array" ref="D21">_xlfn.IFS(AND($C$7="Y",B21&lt;C$4),C21,AND($C$7="Y",B21=C$4),D20+F21-J21-K21-L21+N21,AND($C$7="Y",B21&gt;$C$4),D20-J21-K21-L21+N21, TRUE, D20-J21-K21-L21+N21)</f>
        <v>8651556.7455042917</v>
      </c>
      <c r="E21" s="48">
        <f t="shared" si="4"/>
        <v>142192.61242507154</v>
      </c>
      <c r="F21" s="50">
        <f t="shared" si="17"/>
        <v>1530414.1242507156</v>
      </c>
      <c r="G21" s="50">
        <f t="shared" si="21"/>
        <v>2000</v>
      </c>
      <c r="H21" s="51">
        <f t="shared" si="5"/>
        <v>0</v>
      </c>
      <c r="I21" s="52">
        <f t="shared" si="6"/>
        <v>0</v>
      </c>
      <c r="J21" s="52">
        <f t="shared" si="18"/>
        <v>0</v>
      </c>
      <c r="K21" s="51">
        <f t="shared" si="7"/>
        <v>0</v>
      </c>
      <c r="L21" s="49">
        <f t="shared" si="23"/>
        <v>0</v>
      </c>
      <c r="M21" s="49">
        <f>IFERROR(L17*-1,0)</f>
        <v>0</v>
      </c>
      <c r="N21" s="49">
        <f t="shared" si="19"/>
        <v>0</v>
      </c>
      <c r="O21" s="48">
        <f t="shared" si="10"/>
        <v>2000</v>
      </c>
      <c r="P21" s="38">
        <f t="shared" si="11"/>
        <v>2000</v>
      </c>
      <c r="Q21" s="53"/>
      <c r="R21" s="53">
        <f t="shared" si="12"/>
        <v>0.05</v>
      </c>
      <c r="S21" s="53">
        <f t="shared" si="13"/>
        <v>4.2653187775606449E-3</v>
      </c>
      <c r="T21" s="53">
        <f t="shared" si="14"/>
        <v>0.05</v>
      </c>
      <c r="U21" s="53">
        <f t="shared" si="20"/>
        <v>4.2653187775606449E-3</v>
      </c>
      <c r="V21" s="53"/>
      <c r="W21" s="63">
        <f t="shared" si="15"/>
        <v>615.02745736218196</v>
      </c>
      <c r="X21" s="64">
        <f t="shared" si="16"/>
        <v>8.5306375551212903E-4</v>
      </c>
      <c r="Z21" s="63"/>
      <c r="AC21" s="7">
        <v>0.4</v>
      </c>
    </row>
    <row r="22" spans="1:29" x14ac:dyDescent="0.2">
      <c r="A22" s="62">
        <f t="shared" si="1"/>
        <v>1</v>
      </c>
      <c r="B22" s="45">
        <f t="shared" si="3"/>
        <v>11</v>
      </c>
      <c r="C22" s="49">
        <f t="shared" si="2"/>
        <v>8651556.7455042917</v>
      </c>
      <c r="D22" s="47" cm="1">
        <f t="array" ref="D22">_xlfn.IFS(AND($C$7="Y",B22&lt;C$4),C22,AND($C$7="Y",B22=C$4),D21+F22-J22-K22-L22+N22,AND($C$7="Y",B22&gt;$C$4),D21-J22-K22-L22+N22, TRUE, D21-J22-K22-L22+N22)</f>
        <v>8651556.7455042917</v>
      </c>
      <c r="E22" s="48">
        <f t="shared" si="4"/>
        <v>142192.61242507154</v>
      </c>
      <c r="F22" s="50">
        <f t="shared" si="17"/>
        <v>1672606.7366757873</v>
      </c>
      <c r="G22" s="50">
        <f t="shared" si="21"/>
        <v>2000</v>
      </c>
      <c r="H22" s="51">
        <f t="shared" si="5"/>
        <v>0</v>
      </c>
      <c r="I22" s="52">
        <f t="shared" si="6"/>
        <v>0</v>
      </c>
      <c r="J22" s="52">
        <f t="shared" si="18"/>
        <v>0</v>
      </c>
      <c r="K22" s="51">
        <f t="shared" si="7"/>
        <v>0</v>
      </c>
      <c r="L22" s="49">
        <f t="shared" si="23"/>
        <v>0</v>
      </c>
      <c r="M22" s="49">
        <f t="shared" ref="M22:M25" si="24">IFERROR(L18*-1,0)</f>
        <v>0</v>
      </c>
      <c r="N22" s="49">
        <f>IFERROR((1-$N$9)*L18,0)</f>
        <v>0</v>
      </c>
      <c r="O22" s="48">
        <f t="shared" si="10"/>
        <v>2000</v>
      </c>
      <c r="P22" s="38">
        <f t="shared" si="11"/>
        <v>2000</v>
      </c>
      <c r="Q22" s="53"/>
      <c r="R22" s="53">
        <f t="shared" si="12"/>
        <v>0.05</v>
      </c>
      <c r="S22" s="53">
        <f t="shared" si="13"/>
        <v>4.2653187775606449E-3</v>
      </c>
      <c r="T22" s="53">
        <f t="shared" si="14"/>
        <v>0.05</v>
      </c>
      <c r="U22" s="53">
        <f t="shared" si="20"/>
        <v>4.2653187775606449E-3</v>
      </c>
      <c r="V22" s="53"/>
      <c r="W22" s="63">
        <f t="shared" si="15"/>
        <v>615.02745736218196</v>
      </c>
      <c r="X22" s="64">
        <f t="shared" si="16"/>
        <v>8.5306375551212903E-4</v>
      </c>
      <c r="Z22" s="63"/>
    </row>
    <row r="23" spans="1:29" x14ac:dyDescent="0.2">
      <c r="A23" s="62">
        <f t="shared" si="1"/>
        <v>1</v>
      </c>
      <c r="B23" s="45">
        <f t="shared" si="3"/>
        <v>12</v>
      </c>
      <c r="C23" s="49">
        <f t="shared" si="2"/>
        <v>8651556.7455042917</v>
      </c>
      <c r="D23" s="47" cm="1">
        <f t="array" ref="D23">_xlfn.IFS(AND($C$7="Y",B23&lt;C$4),C23,AND($C$7="Y",B23=C$4),D22+F23-J23-K23-L23+N23,AND($C$7="Y",B23&gt;$C$4),D22-J23-K23-L23+N23, TRUE, D22-J23-K23-L23+N23)</f>
        <v>8651556.7455042917</v>
      </c>
      <c r="E23" s="48">
        <f t="shared" si="4"/>
        <v>142192.61242507154</v>
      </c>
      <c r="F23" s="50">
        <f t="shared" si="17"/>
        <v>1814799.3491008589</v>
      </c>
      <c r="G23" s="50">
        <f t="shared" si="21"/>
        <v>2000</v>
      </c>
      <c r="H23" s="51">
        <f t="shared" si="5"/>
        <v>0</v>
      </c>
      <c r="I23" s="52">
        <f t="shared" si="6"/>
        <v>0</v>
      </c>
      <c r="J23" s="52">
        <f t="shared" si="18"/>
        <v>0</v>
      </c>
      <c r="K23" s="51">
        <f t="shared" si="7"/>
        <v>0</v>
      </c>
      <c r="L23" s="49">
        <f t="shared" si="23"/>
        <v>0</v>
      </c>
      <c r="M23" s="49">
        <f t="shared" si="24"/>
        <v>0</v>
      </c>
      <c r="N23" s="49">
        <f t="shared" ref="N23:N30" si="25">IFERROR((1-$N$9)*L19,0)</f>
        <v>0</v>
      </c>
      <c r="O23" s="48">
        <f t="shared" si="10"/>
        <v>2000</v>
      </c>
      <c r="P23" s="38">
        <f t="shared" si="11"/>
        <v>2000</v>
      </c>
      <c r="Q23" s="53"/>
      <c r="R23" s="53">
        <f t="shared" si="12"/>
        <v>0.05</v>
      </c>
      <c r="S23" s="53">
        <f t="shared" si="13"/>
        <v>4.2653187775606449E-3</v>
      </c>
      <c r="T23" s="53">
        <f t="shared" si="14"/>
        <v>0.05</v>
      </c>
      <c r="U23" s="53">
        <f t="shared" si="20"/>
        <v>4.2653187775606449E-3</v>
      </c>
      <c r="V23" s="53"/>
      <c r="W23" s="63">
        <f t="shared" si="15"/>
        <v>615.02745736218196</v>
      </c>
      <c r="X23" s="64">
        <f t="shared" si="16"/>
        <v>8.5306375551212903E-4</v>
      </c>
      <c r="Z23" s="63"/>
    </row>
    <row r="24" spans="1:29" x14ac:dyDescent="0.2">
      <c r="A24" s="62">
        <f t="shared" si="1"/>
        <v>1</v>
      </c>
      <c r="B24" s="45">
        <f t="shared" si="3"/>
        <v>13</v>
      </c>
      <c r="C24" s="49">
        <f t="shared" si="2"/>
        <v>8651556.7455042917</v>
      </c>
      <c r="D24" s="47" cm="1">
        <f t="array" ref="D24">_xlfn.IFS(AND($C$7="Y",B24&lt;C$4),C24,AND($C$7="Y",B24=C$4),D23+F24-J24-K24-L24+N24,AND($C$7="Y",B24&gt;$C$4),D23-J24-K24-L24+N24, TRUE, D23-J24-K24-L24+N24)</f>
        <v>8651556.7455042917</v>
      </c>
      <c r="E24" s="48">
        <f t="shared" si="4"/>
        <v>142192.61242507154</v>
      </c>
      <c r="F24" s="50">
        <f t="shared" si="17"/>
        <v>1956991.9615259306</v>
      </c>
      <c r="G24" s="50">
        <f t="shared" si="21"/>
        <v>2000</v>
      </c>
      <c r="H24" s="51">
        <f t="shared" si="5"/>
        <v>0</v>
      </c>
      <c r="I24" s="52">
        <f t="shared" si="6"/>
        <v>0</v>
      </c>
      <c r="J24" s="52">
        <f t="shared" si="18"/>
        <v>0</v>
      </c>
      <c r="K24" s="51">
        <f t="shared" si="7"/>
        <v>0</v>
      </c>
      <c r="L24" s="49">
        <f t="shared" si="23"/>
        <v>0</v>
      </c>
      <c r="M24" s="49">
        <f t="shared" si="24"/>
        <v>0</v>
      </c>
      <c r="N24" s="49">
        <f t="shared" si="25"/>
        <v>0</v>
      </c>
      <c r="O24" s="48">
        <f t="shared" si="10"/>
        <v>2000</v>
      </c>
      <c r="P24" s="38">
        <f t="shared" si="11"/>
        <v>2000</v>
      </c>
      <c r="Q24" s="53"/>
      <c r="R24" s="53">
        <f t="shared" si="12"/>
        <v>0.05</v>
      </c>
      <c r="S24" s="53">
        <f t="shared" si="13"/>
        <v>4.2653187775606449E-3</v>
      </c>
      <c r="T24" s="53">
        <f t="shared" si="14"/>
        <v>0.05</v>
      </c>
      <c r="U24" s="53">
        <f t="shared" si="20"/>
        <v>4.2653187775606449E-3</v>
      </c>
      <c r="V24" s="53"/>
      <c r="W24" s="63">
        <f t="shared" si="15"/>
        <v>615.02745736218196</v>
      </c>
      <c r="X24" s="64">
        <f t="shared" si="16"/>
        <v>8.5306375551212903E-4</v>
      </c>
      <c r="Z24" s="63"/>
    </row>
    <row r="25" spans="1:29" x14ac:dyDescent="0.2">
      <c r="A25" s="62">
        <f t="shared" si="1"/>
        <v>1</v>
      </c>
      <c r="B25" s="45">
        <f t="shared" si="3"/>
        <v>14</v>
      </c>
      <c r="C25" s="49">
        <f t="shared" si="2"/>
        <v>8651556.7455042917</v>
      </c>
      <c r="D25" s="47" cm="1">
        <f t="array" ref="D25">_xlfn.IFS(AND($C$7="Y",B25&lt;C$4),C25,AND($C$7="Y",B25=C$4),D24+F25-J25-K25-L25+N25,AND($C$7="Y",B25&gt;$C$4),D24-J25-K25-L25+N25, TRUE, D24-J25-K25-L25+N25)</f>
        <v>8651556.7455042917</v>
      </c>
      <c r="E25" s="48">
        <f t="shared" si="4"/>
        <v>142192.61242507154</v>
      </c>
      <c r="F25" s="50">
        <f t="shared" si="17"/>
        <v>2099184.5739510022</v>
      </c>
      <c r="G25" s="50">
        <f t="shared" si="21"/>
        <v>2000</v>
      </c>
      <c r="H25" s="51">
        <f t="shared" si="5"/>
        <v>0</v>
      </c>
      <c r="I25" s="52">
        <f t="shared" si="6"/>
        <v>0</v>
      </c>
      <c r="J25" s="52">
        <f t="shared" si="18"/>
        <v>0</v>
      </c>
      <c r="K25" s="51">
        <f t="shared" si="7"/>
        <v>0</v>
      </c>
      <c r="L25" s="49">
        <f t="shared" si="23"/>
        <v>0</v>
      </c>
      <c r="M25" s="49">
        <f t="shared" si="24"/>
        <v>0</v>
      </c>
      <c r="N25" s="49">
        <f t="shared" si="25"/>
        <v>0</v>
      </c>
      <c r="O25" s="48">
        <f t="shared" si="10"/>
        <v>2000</v>
      </c>
      <c r="P25" s="38">
        <f t="shared" si="11"/>
        <v>2000</v>
      </c>
      <c r="Q25" s="53"/>
      <c r="R25" s="53">
        <f t="shared" si="12"/>
        <v>0.05</v>
      </c>
      <c r="S25" s="53">
        <f t="shared" si="13"/>
        <v>4.2653187775606449E-3</v>
      </c>
      <c r="T25" s="53">
        <f t="shared" si="14"/>
        <v>0.05</v>
      </c>
      <c r="U25" s="53">
        <f t="shared" si="20"/>
        <v>4.2653187775606449E-3</v>
      </c>
      <c r="V25" s="53"/>
      <c r="W25" s="63">
        <f t="shared" si="15"/>
        <v>615.02745736218196</v>
      </c>
      <c r="X25" s="64">
        <f t="shared" si="16"/>
        <v>8.5306375551212903E-4</v>
      </c>
      <c r="Z25" s="63"/>
    </row>
    <row r="26" spans="1:29" x14ac:dyDescent="0.2">
      <c r="A26" s="62">
        <f t="shared" si="1"/>
        <v>1</v>
      </c>
      <c r="B26" s="45">
        <f t="shared" si="3"/>
        <v>15</v>
      </c>
      <c r="C26" s="51">
        <f t="shared" si="2"/>
        <v>8651556.7455042917</v>
      </c>
      <c r="D26" s="47" cm="1">
        <f t="array" ref="D26">_xlfn.IFS(AND($C$7="Y",B26&lt;C$4),C26,AND($C$7="Y",B26=C$4),D25+F26-J26-K26-L26+N26,AND($C$7="Y",B26&gt;$C$4),D25-J26-K26-L26+N26, TRUE, D25-J26-K26-L26+N26)</f>
        <v>8651556.7455042917</v>
      </c>
      <c r="E26" s="48">
        <f t="shared" si="4"/>
        <v>142192.61242507154</v>
      </c>
      <c r="F26" s="50">
        <f t="shared" si="17"/>
        <v>2241377.1863760739</v>
      </c>
      <c r="G26" s="50">
        <f t="shared" si="21"/>
        <v>2000</v>
      </c>
      <c r="H26" s="51">
        <f t="shared" si="5"/>
        <v>0</v>
      </c>
      <c r="I26" s="52">
        <f t="shared" si="6"/>
        <v>0</v>
      </c>
      <c r="J26" s="52">
        <f t="shared" si="18"/>
        <v>0</v>
      </c>
      <c r="K26" s="51">
        <f t="shared" si="7"/>
        <v>0</v>
      </c>
      <c r="L26" s="51">
        <f t="shared" si="23"/>
        <v>0</v>
      </c>
      <c r="M26" s="51">
        <f>IFERROR(L22*-1,0)</f>
        <v>0</v>
      </c>
      <c r="N26" s="51">
        <f t="shared" si="25"/>
        <v>0</v>
      </c>
      <c r="O26" s="48">
        <f t="shared" si="10"/>
        <v>2000</v>
      </c>
      <c r="P26" s="38">
        <f t="shared" si="11"/>
        <v>2000</v>
      </c>
      <c r="Q26" s="53"/>
      <c r="R26" s="53">
        <f t="shared" si="12"/>
        <v>0.05</v>
      </c>
      <c r="S26" s="53">
        <f t="shared" si="13"/>
        <v>4.2653187775606449E-3</v>
      </c>
      <c r="T26" s="53">
        <f t="shared" si="14"/>
        <v>0.05</v>
      </c>
      <c r="U26" s="53">
        <f t="shared" si="20"/>
        <v>4.2653187775606449E-3</v>
      </c>
      <c r="V26" s="53"/>
      <c r="W26" s="63">
        <f t="shared" si="15"/>
        <v>615.02745736218196</v>
      </c>
      <c r="X26" s="64">
        <f t="shared" si="16"/>
        <v>8.5306375551212903E-4</v>
      </c>
      <c r="Z26" s="63"/>
    </row>
    <row r="27" spans="1:29" x14ac:dyDescent="0.2">
      <c r="A27" s="62">
        <f t="shared" si="1"/>
        <v>1</v>
      </c>
      <c r="B27" s="45">
        <f t="shared" si="3"/>
        <v>16</v>
      </c>
      <c r="C27" s="49">
        <f t="shared" si="2"/>
        <v>8651556.7455042917</v>
      </c>
      <c r="D27" s="47" cm="1">
        <f t="array" ref="D27">_xlfn.IFS(AND($C$7="Y",B27&lt;C$4),C27,AND($C$7="Y",B27=C$4),D26+F27-J27-K27-L27+N27,AND($C$7="Y",B27&gt;$C$4),D26-J27-K27-L27+N27, TRUE, D26-J27-K27-L27+N27)</f>
        <v>8651556.7455042917</v>
      </c>
      <c r="E27" s="48">
        <f t="shared" si="4"/>
        <v>142192.61242507154</v>
      </c>
      <c r="F27" s="50">
        <f t="shared" si="17"/>
        <v>2383569.7988011455</v>
      </c>
      <c r="G27" s="50">
        <f t="shared" si="21"/>
        <v>2000</v>
      </c>
      <c r="H27" s="51">
        <f t="shared" si="5"/>
        <v>0</v>
      </c>
      <c r="I27" s="52">
        <f t="shared" si="6"/>
        <v>0</v>
      </c>
      <c r="J27" s="52">
        <f>IF(AND($B27&lt;=$C$4,C$7="Y"),0,IF(AND(C$7="N",C$4&gt;0,B27&lt;=C$4),0,H27-I27))</f>
        <v>0</v>
      </c>
      <c r="K27" s="51">
        <f>IF(AND(C$7="Y",$B27&lt;=$C$4),0,IF(AND(C$7="N",C$4&gt;0,B27&lt;=C$4),0,S27*(C27-J27)))</f>
        <v>0</v>
      </c>
      <c r="L27" s="49">
        <f t="shared" si="23"/>
        <v>0</v>
      </c>
      <c r="M27" s="49">
        <f t="shared" ref="M27:M40" si="26">IFERROR(L23*-1,0)</f>
        <v>0</v>
      </c>
      <c r="N27" s="49">
        <f t="shared" si="25"/>
        <v>0</v>
      </c>
      <c r="O27" s="48">
        <f t="shared" si="10"/>
        <v>2000</v>
      </c>
      <c r="P27" s="38">
        <f t="shared" si="11"/>
        <v>2000</v>
      </c>
      <c r="Q27" s="53"/>
      <c r="R27" s="53">
        <f t="shared" si="12"/>
        <v>0.05</v>
      </c>
      <c r="S27" s="53">
        <f t="shared" si="13"/>
        <v>4.2653187775606449E-3</v>
      </c>
      <c r="T27" s="53">
        <f t="shared" si="14"/>
        <v>0.05</v>
      </c>
      <c r="U27" s="53">
        <f t="shared" si="20"/>
        <v>4.2653187775606449E-3</v>
      </c>
      <c r="V27" s="53"/>
      <c r="W27" s="63">
        <f t="shared" si="15"/>
        <v>615.02745736218196</v>
      </c>
      <c r="X27" s="64">
        <f t="shared" si="16"/>
        <v>8.5306375551212903E-4</v>
      </c>
      <c r="Z27" s="63"/>
    </row>
    <row r="28" spans="1:29" x14ac:dyDescent="0.2">
      <c r="A28" s="62">
        <f t="shared" si="1"/>
        <v>1</v>
      </c>
      <c r="B28" s="45">
        <f t="shared" si="3"/>
        <v>17</v>
      </c>
      <c r="C28" s="49">
        <f t="shared" si="2"/>
        <v>8651556.7455042917</v>
      </c>
      <c r="D28" s="47" cm="1">
        <f t="array" ref="D28">_xlfn.IFS(AND($C$7="Y",B28&lt;C$4),C28,AND($C$7="Y",B28=C$4),D27+F28-J28-K28-L28+N28,AND($C$7="Y",B28&gt;$C$4),D27-J28-K28-L28+N28, TRUE, D27-J28-K28-L28+N28)</f>
        <v>8651556.7455042917</v>
      </c>
      <c r="E28" s="48">
        <f t="shared" si="4"/>
        <v>142192.61242507154</v>
      </c>
      <c r="F28" s="50">
        <f t="shared" si="17"/>
        <v>2525762.4112262172</v>
      </c>
      <c r="G28" s="50">
        <f t="shared" si="21"/>
        <v>2000</v>
      </c>
      <c r="H28" s="51">
        <f t="shared" si="5"/>
        <v>0</v>
      </c>
      <c r="I28" s="52">
        <f t="shared" si="6"/>
        <v>0</v>
      </c>
      <c r="J28" s="52">
        <f t="shared" ref="J28:J36" si="27">IF(AND($B28&lt;=$C$4,C$7="Y"),0,IF(AND(C$7="N",C$4&gt;0,B28&lt;=C$4),0,H28-I28))</f>
        <v>0</v>
      </c>
      <c r="K28" s="51">
        <f t="shared" ref="K28:K36" si="28">IF(AND(C$7="Y",$B28&lt;=$C$4),0,IF(AND(C$7="N",C$4&gt;0,B28&lt;=C$4),0,S28*(C28-J28)))</f>
        <v>0</v>
      </c>
      <c r="L28" s="49">
        <f t="shared" si="23"/>
        <v>0</v>
      </c>
      <c r="M28" s="49">
        <f t="shared" si="26"/>
        <v>0</v>
      </c>
      <c r="N28" s="49">
        <f t="shared" si="25"/>
        <v>0</v>
      </c>
      <c r="O28" s="48">
        <f t="shared" si="10"/>
        <v>2000</v>
      </c>
      <c r="P28" s="38">
        <f t="shared" si="11"/>
        <v>2000</v>
      </c>
      <c r="Q28" s="53"/>
      <c r="R28" s="53">
        <f t="shared" si="12"/>
        <v>0.05</v>
      </c>
      <c r="S28" s="53">
        <f t="shared" si="13"/>
        <v>4.2653187775606449E-3</v>
      </c>
      <c r="T28" s="53">
        <f t="shared" si="14"/>
        <v>0.05</v>
      </c>
      <c r="U28" s="53">
        <f t="shared" si="20"/>
        <v>4.2653187775606449E-3</v>
      </c>
      <c r="V28" s="53"/>
      <c r="W28" s="63">
        <f t="shared" si="15"/>
        <v>615.02745736218196</v>
      </c>
      <c r="X28" s="64">
        <f t="shared" si="16"/>
        <v>8.5306375551212903E-4</v>
      </c>
      <c r="Z28" s="63"/>
    </row>
    <row r="29" spans="1:29" x14ac:dyDescent="0.2">
      <c r="A29" s="62">
        <f t="shared" si="1"/>
        <v>1</v>
      </c>
      <c r="B29" s="45">
        <f t="shared" si="3"/>
        <v>18</v>
      </c>
      <c r="C29" s="49">
        <f t="shared" si="2"/>
        <v>8651556.7455042917</v>
      </c>
      <c r="D29" s="47" cm="1">
        <f t="array" ref="D29">_xlfn.IFS(AND($C$7="Y",B29&lt;C$4),C29,AND($C$7="Y",B29=C$4),D28+F29-J29-K29-L29+N29,AND($C$7="Y",B29&gt;$C$4),D28-J29-K29-L29+N29, TRUE, D28-J29-K29-L29+N29)</f>
        <v>8651556.7455042917</v>
      </c>
      <c r="E29" s="48">
        <f t="shared" si="4"/>
        <v>142192.61242507154</v>
      </c>
      <c r="F29" s="50">
        <f t="shared" si="17"/>
        <v>2667955.0236512888</v>
      </c>
      <c r="G29" s="50">
        <f t="shared" si="21"/>
        <v>2000</v>
      </c>
      <c r="H29" s="51">
        <f t="shared" si="5"/>
        <v>0</v>
      </c>
      <c r="I29" s="52">
        <f t="shared" si="6"/>
        <v>0</v>
      </c>
      <c r="J29" s="52">
        <f t="shared" si="27"/>
        <v>0</v>
      </c>
      <c r="K29" s="51">
        <f t="shared" si="28"/>
        <v>0</v>
      </c>
      <c r="L29" s="49">
        <f t="shared" si="23"/>
        <v>0</v>
      </c>
      <c r="M29" s="49">
        <f t="shared" si="26"/>
        <v>0</v>
      </c>
      <c r="N29" s="49">
        <f t="shared" si="25"/>
        <v>0</v>
      </c>
      <c r="O29" s="48">
        <f t="shared" si="10"/>
        <v>2000</v>
      </c>
      <c r="P29" s="38">
        <f t="shared" si="11"/>
        <v>2000</v>
      </c>
      <c r="Q29" s="53"/>
      <c r="R29" s="53">
        <f t="shared" si="12"/>
        <v>0.05</v>
      </c>
      <c r="S29" s="53">
        <f t="shared" si="13"/>
        <v>4.2653187775606449E-3</v>
      </c>
      <c r="T29" s="53">
        <f t="shared" si="14"/>
        <v>0.05</v>
      </c>
      <c r="U29" s="53">
        <f t="shared" si="20"/>
        <v>4.2653187775606449E-3</v>
      </c>
      <c r="V29" s="53"/>
      <c r="W29" s="63">
        <f t="shared" si="15"/>
        <v>615.02745736218196</v>
      </c>
      <c r="X29" s="64">
        <f t="shared" si="16"/>
        <v>8.5306375551212903E-4</v>
      </c>
      <c r="Z29" s="63"/>
    </row>
    <row r="30" spans="1:29" x14ac:dyDescent="0.2">
      <c r="A30" s="62">
        <f t="shared" si="1"/>
        <v>1</v>
      </c>
      <c r="B30" s="45">
        <f t="shared" si="3"/>
        <v>19</v>
      </c>
      <c r="C30" s="49">
        <f t="shared" si="2"/>
        <v>8651556.7455042917</v>
      </c>
      <c r="D30" s="47" cm="1">
        <f t="array" ref="D30">_xlfn.IFS(AND($C$7="Y",B30&lt;C$4),C30,AND($C$7="Y",B30=C$4),D29+F30-J30-K30-L30+N30,AND($C$7="Y",B30&gt;$C$4),D29-J30-K30-L30+N30, TRUE, D29-J30-K30-L30+N30)</f>
        <v>8651556.7455042917</v>
      </c>
      <c r="E30" s="48">
        <f t="shared" si="4"/>
        <v>142192.61242507154</v>
      </c>
      <c r="F30" s="50">
        <f t="shared" si="17"/>
        <v>2810147.6360763605</v>
      </c>
      <c r="G30" s="50">
        <f t="shared" si="21"/>
        <v>2000</v>
      </c>
      <c r="H30" s="51">
        <f t="shared" si="5"/>
        <v>0</v>
      </c>
      <c r="I30" s="52">
        <f t="shared" si="6"/>
        <v>0</v>
      </c>
      <c r="J30" s="52">
        <f t="shared" si="27"/>
        <v>0</v>
      </c>
      <c r="K30" s="51">
        <f t="shared" si="28"/>
        <v>0</v>
      </c>
      <c r="L30" s="49">
        <f t="shared" si="23"/>
        <v>0</v>
      </c>
      <c r="M30" s="49">
        <f t="shared" si="26"/>
        <v>0</v>
      </c>
      <c r="N30" s="49">
        <f t="shared" si="25"/>
        <v>0</v>
      </c>
      <c r="O30" s="48">
        <f t="shared" si="10"/>
        <v>2000</v>
      </c>
      <c r="P30" s="38">
        <f t="shared" si="11"/>
        <v>2000</v>
      </c>
      <c r="Q30" s="53"/>
      <c r="R30" s="53">
        <f t="shared" si="12"/>
        <v>0.05</v>
      </c>
      <c r="S30" s="53">
        <f t="shared" si="13"/>
        <v>4.2653187775606449E-3</v>
      </c>
      <c r="T30" s="53">
        <f t="shared" si="14"/>
        <v>0.05</v>
      </c>
      <c r="U30" s="53">
        <f t="shared" si="20"/>
        <v>4.2653187775606449E-3</v>
      </c>
      <c r="V30" s="53"/>
      <c r="W30" s="63">
        <f t="shared" si="15"/>
        <v>615.02745736218196</v>
      </c>
      <c r="X30" s="64">
        <f t="shared" si="16"/>
        <v>8.5306375551212903E-4</v>
      </c>
      <c r="Z30" s="63"/>
    </row>
    <row r="31" spans="1:29" x14ac:dyDescent="0.2">
      <c r="A31" s="62">
        <f t="shared" si="1"/>
        <v>1</v>
      </c>
      <c r="B31" s="45">
        <f t="shared" si="3"/>
        <v>20</v>
      </c>
      <c r="C31" s="49">
        <f t="shared" si="2"/>
        <v>8651556.7455042917</v>
      </c>
      <c r="D31" s="47" cm="1">
        <f t="array" ref="D31">_xlfn.IFS(AND($C$7="Y",B31&lt;C$4),C31,AND($C$7="Y",B31=C$4),D30+F31-J31-K31-L31+N31,AND($C$7="Y",B31&gt;$C$4),D30-J31-K31-L31+N31, TRUE, D30-J31-K31-L31+N31)</f>
        <v>8651556.7455042917</v>
      </c>
      <c r="E31" s="48">
        <f t="shared" si="4"/>
        <v>142192.61242507154</v>
      </c>
      <c r="F31" s="50">
        <f t="shared" si="17"/>
        <v>2952340.2485014321</v>
      </c>
      <c r="G31" s="50">
        <f t="shared" si="21"/>
        <v>2000</v>
      </c>
      <c r="H31" s="51">
        <f t="shared" si="5"/>
        <v>0</v>
      </c>
      <c r="I31" s="52">
        <f t="shared" si="6"/>
        <v>0</v>
      </c>
      <c r="J31" s="52">
        <f t="shared" si="27"/>
        <v>0</v>
      </c>
      <c r="K31" s="51">
        <f t="shared" si="28"/>
        <v>0</v>
      </c>
      <c r="L31" s="49">
        <f t="shared" si="23"/>
        <v>0</v>
      </c>
      <c r="M31" s="49">
        <f t="shared" si="26"/>
        <v>0</v>
      </c>
      <c r="N31" s="49">
        <f>IFERROR((1-$N$9)*L27,0)</f>
        <v>0</v>
      </c>
      <c r="O31" s="48">
        <f t="shared" si="10"/>
        <v>2000</v>
      </c>
      <c r="P31" s="38">
        <f t="shared" si="11"/>
        <v>2000</v>
      </c>
      <c r="Q31" s="53"/>
      <c r="R31" s="53">
        <f t="shared" si="12"/>
        <v>0.05</v>
      </c>
      <c r="S31" s="53">
        <f t="shared" si="13"/>
        <v>4.2653187775606449E-3</v>
      </c>
      <c r="T31" s="53">
        <f t="shared" si="14"/>
        <v>0.05</v>
      </c>
      <c r="U31" s="53">
        <f t="shared" si="20"/>
        <v>4.2653187775606449E-3</v>
      </c>
      <c r="V31" s="53"/>
      <c r="W31" s="63">
        <f t="shared" si="15"/>
        <v>615.02745736218196</v>
      </c>
      <c r="X31" s="64">
        <f t="shared" si="16"/>
        <v>8.5306375551212903E-4</v>
      </c>
      <c r="Z31" s="63"/>
    </row>
    <row r="32" spans="1:29" x14ac:dyDescent="0.2">
      <c r="A32" s="62">
        <f t="shared" si="1"/>
        <v>1</v>
      </c>
      <c r="B32" s="45">
        <f t="shared" si="3"/>
        <v>21</v>
      </c>
      <c r="C32" s="49">
        <f t="shared" si="2"/>
        <v>8651556.7455042917</v>
      </c>
      <c r="D32" s="47" cm="1">
        <f t="array" ref="D32">_xlfn.IFS(AND($C$7="Y",B32&lt;C$4),C32,AND($C$7="Y",B32=C$4),D31+F32-J32-K32-L32+N32,AND($C$7="Y",B32&gt;$C$4),D31-J32-K32-L32+N32, TRUE, D31-J32-K32-L32+N32)</f>
        <v>8651556.7455042917</v>
      </c>
      <c r="E32" s="48">
        <f t="shared" si="4"/>
        <v>142192.61242507154</v>
      </c>
      <c r="F32" s="50">
        <f t="shared" si="17"/>
        <v>3094532.8609265038</v>
      </c>
      <c r="G32" s="50">
        <f t="shared" si="21"/>
        <v>2000</v>
      </c>
      <c r="H32" s="51">
        <f t="shared" si="5"/>
        <v>0</v>
      </c>
      <c r="I32" s="52">
        <f t="shared" si="6"/>
        <v>0</v>
      </c>
      <c r="J32" s="52">
        <f t="shared" si="27"/>
        <v>0</v>
      </c>
      <c r="K32" s="51">
        <f t="shared" si="28"/>
        <v>0</v>
      </c>
      <c r="L32" s="49">
        <f t="shared" si="23"/>
        <v>0</v>
      </c>
      <c r="M32" s="49">
        <f t="shared" si="26"/>
        <v>0</v>
      </c>
      <c r="N32" s="49">
        <f t="shared" ref="N32:N95" si="29">IFERROR((1-$N$9)*L28,0)</f>
        <v>0</v>
      </c>
      <c r="O32" s="48">
        <f>K32+I32+J32-L32+N32+G32</f>
        <v>2000</v>
      </c>
      <c r="P32" s="38">
        <f t="shared" si="11"/>
        <v>2000</v>
      </c>
      <c r="Q32" s="53"/>
      <c r="R32" s="53">
        <f t="shared" si="12"/>
        <v>0.05</v>
      </c>
      <c r="S32" s="53">
        <f t="shared" si="13"/>
        <v>4.2653187775606449E-3</v>
      </c>
      <c r="T32" s="53">
        <f t="shared" si="14"/>
        <v>0.05</v>
      </c>
      <c r="U32" s="53">
        <f t="shared" si="20"/>
        <v>4.2653187775606449E-3</v>
      </c>
      <c r="V32" s="53"/>
      <c r="W32" s="63">
        <f t="shared" si="15"/>
        <v>615.02745736218196</v>
      </c>
      <c r="X32" s="64">
        <f t="shared" si="16"/>
        <v>8.5306375551212903E-4</v>
      </c>
      <c r="Z32" s="63"/>
    </row>
    <row r="33" spans="1:26" x14ac:dyDescent="0.2">
      <c r="A33" s="62">
        <f t="shared" si="1"/>
        <v>1</v>
      </c>
      <c r="B33" s="45">
        <f t="shared" si="3"/>
        <v>22</v>
      </c>
      <c r="C33" s="49">
        <f t="shared" si="2"/>
        <v>8651556.7455042917</v>
      </c>
      <c r="D33" s="47" cm="1">
        <f t="array" ref="D33">_xlfn.IFS(AND($C$7="Y",B33&lt;C$4),C33,AND($C$7="Y",B33=C$4),D32+F33-J33-K33-L33+N33,AND($C$7="Y",B33&gt;$C$4),D32-J33-K33-L33+N33, TRUE, D32-J33-K33-L33+N33)</f>
        <v>8651556.7455042917</v>
      </c>
      <c r="E33" s="48">
        <f t="shared" si="4"/>
        <v>142192.61242507154</v>
      </c>
      <c r="F33" s="50">
        <f t="shared" si="17"/>
        <v>3236725.4733515754</v>
      </c>
      <c r="G33" s="50">
        <f t="shared" si="21"/>
        <v>2000</v>
      </c>
      <c r="H33" s="51">
        <f t="shared" si="5"/>
        <v>0</v>
      </c>
      <c r="I33" s="52">
        <f t="shared" si="6"/>
        <v>0</v>
      </c>
      <c r="J33" s="52">
        <f t="shared" si="27"/>
        <v>0</v>
      </c>
      <c r="K33" s="51">
        <f t="shared" si="28"/>
        <v>0</v>
      </c>
      <c r="L33" s="49">
        <f t="shared" si="23"/>
        <v>0</v>
      </c>
      <c r="M33" s="49">
        <f t="shared" si="26"/>
        <v>0</v>
      </c>
      <c r="N33" s="49">
        <f t="shared" si="29"/>
        <v>0</v>
      </c>
      <c r="O33" s="48">
        <f t="shared" ref="O33:O35" si="30">K33+I33+J33-L33+N33+G33</f>
        <v>2000</v>
      </c>
      <c r="P33" s="38">
        <f t="shared" si="11"/>
        <v>2000</v>
      </c>
      <c r="Q33" s="53"/>
      <c r="R33" s="53">
        <f t="shared" si="12"/>
        <v>0.05</v>
      </c>
      <c r="S33" s="53">
        <f t="shared" si="13"/>
        <v>4.2653187775606449E-3</v>
      </c>
      <c r="T33" s="53">
        <f t="shared" si="14"/>
        <v>0.05</v>
      </c>
      <c r="U33" s="53">
        <f t="shared" si="20"/>
        <v>4.2653187775606449E-3</v>
      </c>
      <c r="V33" s="53"/>
      <c r="W33" s="63">
        <f t="shared" si="15"/>
        <v>615.02745736218196</v>
      </c>
      <c r="X33" s="64">
        <f t="shared" si="16"/>
        <v>8.5306375551212903E-4</v>
      </c>
      <c r="Y33" s="49"/>
      <c r="Z33" s="63"/>
    </row>
    <row r="34" spans="1:26" x14ac:dyDescent="0.2">
      <c r="A34" s="62">
        <f t="shared" si="1"/>
        <v>1</v>
      </c>
      <c r="B34" s="45">
        <f t="shared" si="3"/>
        <v>23</v>
      </c>
      <c r="C34" s="49">
        <f t="shared" si="2"/>
        <v>8651556.7455042917</v>
      </c>
      <c r="D34" s="47" cm="1">
        <f t="array" ref="D34">_xlfn.IFS(AND($C$7="Y",B34&lt;C$4),C34,AND($C$7="Y",B34=C$4),D33+F34-J34-K34-L34+N34,AND($C$7="Y",B34&gt;$C$4),D33-J34-K34-L34+N34, TRUE, D33-J34-K34-L34+N34)</f>
        <v>8651556.7455042917</v>
      </c>
      <c r="E34" s="48">
        <f t="shared" si="4"/>
        <v>142192.61242507154</v>
      </c>
      <c r="F34" s="50">
        <f t="shared" si="17"/>
        <v>3378918.0857766471</v>
      </c>
      <c r="G34" s="50">
        <f t="shared" si="21"/>
        <v>2000</v>
      </c>
      <c r="H34" s="51">
        <f t="shared" si="5"/>
        <v>0</v>
      </c>
      <c r="I34" s="52">
        <f t="shared" si="6"/>
        <v>0</v>
      </c>
      <c r="J34" s="52">
        <f t="shared" si="27"/>
        <v>0</v>
      </c>
      <c r="K34" s="51">
        <f t="shared" si="28"/>
        <v>0</v>
      </c>
      <c r="L34" s="49">
        <f t="shared" si="23"/>
        <v>0</v>
      </c>
      <c r="M34" s="49">
        <f t="shared" si="26"/>
        <v>0</v>
      </c>
      <c r="N34" s="49">
        <f t="shared" si="29"/>
        <v>0</v>
      </c>
      <c r="O34" s="48">
        <f t="shared" si="30"/>
        <v>2000</v>
      </c>
      <c r="P34" s="38">
        <f t="shared" si="11"/>
        <v>2000</v>
      </c>
      <c r="Q34" s="53"/>
      <c r="R34" s="53">
        <f t="shared" si="12"/>
        <v>0.05</v>
      </c>
      <c r="S34" s="53">
        <f t="shared" si="13"/>
        <v>4.2653187775606449E-3</v>
      </c>
      <c r="T34" s="53">
        <f t="shared" si="14"/>
        <v>0.05</v>
      </c>
      <c r="U34" s="53">
        <f t="shared" si="20"/>
        <v>4.2653187775606449E-3</v>
      </c>
      <c r="V34" s="53"/>
      <c r="W34" s="63">
        <f t="shared" si="15"/>
        <v>615.02745736218196</v>
      </c>
      <c r="X34" s="64">
        <f t="shared" si="16"/>
        <v>8.5306375551212903E-4</v>
      </c>
      <c r="Z34" s="63"/>
    </row>
    <row r="35" spans="1:26" x14ac:dyDescent="0.2">
      <c r="A35" s="62">
        <f t="shared" si="1"/>
        <v>1</v>
      </c>
      <c r="B35" s="45">
        <f t="shared" si="3"/>
        <v>24</v>
      </c>
      <c r="C35" s="49">
        <f t="shared" si="2"/>
        <v>8651556.7455042917</v>
      </c>
      <c r="D35" s="47" cm="1">
        <f t="array" ref="D35">_xlfn.IFS(AND($C$7="Y",B35&lt;C$4),C35,AND($C$7="Y",B35=C$4),D34+F35-J35-K35-L35+N35,AND($C$7="Y",B35&gt;$C$4),D34-J35-K35-L35+N35, TRUE, D34-J35-K35-L35+N35)</f>
        <v>8651556.7455042917</v>
      </c>
      <c r="E35" s="48">
        <f t="shared" si="4"/>
        <v>142192.61242507154</v>
      </c>
      <c r="F35" s="50">
        <f t="shared" si="17"/>
        <v>3521110.6982017187</v>
      </c>
      <c r="G35" s="50">
        <f t="shared" si="21"/>
        <v>2000</v>
      </c>
      <c r="H35" s="51">
        <f t="shared" si="5"/>
        <v>0</v>
      </c>
      <c r="I35" s="52">
        <f t="shared" si="6"/>
        <v>0</v>
      </c>
      <c r="J35" s="52">
        <f t="shared" si="27"/>
        <v>0</v>
      </c>
      <c r="K35" s="51">
        <f t="shared" si="28"/>
        <v>0</v>
      </c>
      <c r="L35" s="49">
        <f t="shared" si="23"/>
        <v>0</v>
      </c>
      <c r="M35" s="49">
        <f t="shared" si="26"/>
        <v>0</v>
      </c>
      <c r="N35" s="49">
        <f t="shared" si="29"/>
        <v>0</v>
      </c>
      <c r="O35" s="48">
        <f t="shared" si="30"/>
        <v>2000</v>
      </c>
      <c r="P35" s="38">
        <f t="shared" si="11"/>
        <v>2000</v>
      </c>
      <c r="Q35" s="53"/>
      <c r="R35" s="53">
        <f t="shared" si="12"/>
        <v>0.05</v>
      </c>
      <c r="S35" s="53">
        <f t="shared" si="13"/>
        <v>4.2653187775606449E-3</v>
      </c>
      <c r="T35" s="53">
        <f t="shared" si="14"/>
        <v>0.05</v>
      </c>
      <c r="U35" s="53">
        <f t="shared" si="20"/>
        <v>4.2653187775606449E-3</v>
      </c>
      <c r="V35" s="53"/>
      <c r="W35" s="63">
        <f t="shared" si="15"/>
        <v>615.02745736218196</v>
      </c>
      <c r="X35" s="64">
        <f t="shared" si="16"/>
        <v>8.5306375551212903E-4</v>
      </c>
      <c r="Z35" s="63"/>
    </row>
    <row r="36" spans="1:26" s="59" customFormat="1" x14ac:dyDescent="0.2">
      <c r="A36" s="62">
        <f t="shared" si="1"/>
        <v>1.4234270684903494</v>
      </c>
      <c r="B36" s="54">
        <f t="shared" si="3"/>
        <v>25</v>
      </c>
      <c r="C36" s="55">
        <f t="shared" si="2"/>
        <v>8651556.7455042917</v>
      </c>
      <c r="D36" s="47" cm="1">
        <f t="array" ref="D36">_xlfn.IFS(AND($C$7="Y",B36&lt;C$4),C36,AND($C$7="Y",B36=C$4),D35+F36-J36-K36-L36+N36,AND($C$7="Y",B36&gt;$C$4),D35-J36-K36-L36+N36, TRUE, D35-J36-K36-L36+N36)</f>
        <v>12314860.056131082</v>
      </c>
      <c r="E36" s="48">
        <f t="shared" si="4"/>
        <v>142192.61242507154</v>
      </c>
      <c r="F36" s="50">
        <f>IF(AND($C$7="Y",B36&lt;=C$4),E36+F35,0)</f>
        <v>3663303.3106267904</v>
      </c>
      <c r="G36" s="56">
        <f t="shared" si="21"/>
        <v>2000</v>
      </c>
      <c r="H36" s="51">
        <f t="shared" si="5"/>
        <v>0</v>
      </c>
      <c r="I36" s="52">
        <f t="shared" si="6"/>
        <v>0</v>
      </c>
      <c r="J36" s="57">
        <f t="shared" si="27"/>
        <v>0</v>
      </c>
      <c r="K36" s="55">
        <f t="shared" si="28"/>
        <v>0</v>
      </c>
      <c r="L36" s="55">
        <f>IF(AND(C$7="Y",$B36&lt;=$C$4),0,IF(AND(C$7="N",C$4&gt;0,B36&lt;=C$4),0,U36*D35))</f>
        <v>0</v>
      </c>
      <c r="M36" s="55">
        <f t="shared" si="26"/>
        <v>0</v>
      </c>
      <c r="N36" s="55">
        <f t="shared" si="29"/>
        <v>0</v>
      </c>
      <c r="O36" s="48">
        <f>K36+I36+J36-L36+N36+G36</f>
        <v>2000</v>
      </c>
      <c r="P36" s="58">
        <f t="shared" si="11"/>
        <v>2000</v>
      </c>
      <c r="Q36" s="53"/>
      <c r="R36" s="53">
        <f t="shared" si="12"/>
        <v>0.05</v>
      </c>
      <c r="S36" s="53">
        <f t="shared" si="13"/>
        <v>4.2653187775606449E-3</v>
      </c>
      <c r="T36" s="53">
        <f t="shared" si="14"/>
        <v>0.05</v>
      </c>
      <c r="U36" s="53">
        <f t="shared" si="20"/>
        <v>4.2653187775606449E-3</v>
      </c>
      <c r="V36" s="53"/>
      <c r="W36" s="63">
        <f t="shared" si="15"/>
        <v>615.02745736218196</v>
      </c>
      <c r="X36" s="64">
        <f t="shared" si="16"/>
        <v>8.5306375551212903E-4</v>
      </c>
      <c r="Z36" s="63"/>
    </row>
    <row r="37" spans="1:26" x14ac:dyDescent="0.2">
      <c r="A37" s="62">
        <f t="shared" si="1"/>
        <v>1.4099131965913663</v>
      </c>
      <c r="B37" s="45">
        <f t="shared" si="3"/>
        <v>26</v>
      </c>
      <c r="C37" s="49">
        <f>IF(B37&lt;C$4,C$1,D36)</f>
        <v>12314860.056131082</v>
      </c>
      <c r="D37" s="60" cm="1">
        <f t="array" ref="D37">_xlfn.IFS(AND($C$7="Y",B37&lt;C$4),C37,AND($C$7="Y",B37=C$4),D36+F37-J37-K37-L37+N37,AND($C$7="Y",B37&gt;$C$4),D36-J37-K37-L37+N37, TRUE, D36-J37-K37-L37+N37)</f>
        <v>12197944.026545553</v>
      </c>
      <c r="E37" s="48">
        <f t="shared" si="4"/>
        <v>0</v>
      </c>
      <c r="F37" s="50">
        <f t="shared" si="17"/>
        <v>0</v>
      </c>
      <c r="G37" s="50">
        <f t="shared" si="21"/>
        <v>0</v>
      </c>
      <c r="H37" s="51">
        <f>IF(AND($B37&lt;=$C$4,C$7="Y"),0,IF(AND(C$7="N",C$4&gt;0,B37&lt;=C$4),0,D36*C$2/12/(1-(1/(1+C$2/12))^(C$3+C$4-B37+1))))</f>
        <v>216285.45652387483</v>
      </c>
      <c r="I37" s="52">
        <f t="shared" si="6"/>
        <v>204372.22087151057</v>
      </c>
      <c r="J37" s="52">
        <f>IF(AND($B37&lt;=$C$4,C$7="Y"),0,IF(AND(C$7="N",C$4&gt;0,B37&lt;=C$4),0,H37-I37))</f>
        <v>11913.235652364267</v>
      </c>
      <c r="K37" s="51">
        <f>IF(AND(C$7="Y",$B37&lt;=$C$4),0,IF(AND(C$7="N",C$4&gt;0,B37&lt;=C$4),0,S37*(C37-J37)))</f>
        <v>52475.990092717904</v>
      </c>
      <c r="L37" s="49">
        <f t="shared" ref="L37:L40" si="31">IF(AND(C$7="Y",$B37&lt;=$C$4),0,IF(AND(C$7="N",C$4&gt;0,B37&lt;=C$4),0,U37*D36))</f>
        <v>52526.803840447443</v>
      </c>
      <c r="M37" s="49">
        <f t="shared" si="26"/>
        <v>0</v>
      </c>
      <c r="N37" s="49">
        <f t="shared" si="29"/>
        <v>0</v>
      </c>
      <c r="O37" s="48">
        <f t="shared" ref="O37:O100" si="32">K37+I37+J37-L37+N37+G37</f>
        <v>216234.64277614525</v>
      </c>
      <c r="P37" s="38">
        <f>O37*(1/((1+P$9)^(B37/12)))</f>
        <v>216234.64277614525</v>
      </c>
      <c r="Q37" s="53"/>
      <c r="R37" s="53">
        <f t="shared" si="12"/>
        <v>0.05</v>
      </c>
      <c r="S37" s="53">
        <f t="shared" si="13"/>
        <v>4.2653187775606449E-3</v>
      </c>
      <c r="T37" s="53">
        <f t="shared" si="14"/>
        <v>0.05</v>
      </c>
      <c r="U37" s="53">
        <f t="shared" si="20"/>
        <v>4.2653187775606449E-3</v>
      </c>
      <c r="V37" s="53"/>
      <c r="W37" s="63">
        <f t="shared" si="15"/>
        <v>875.44673067412407</v>
      </c>
      <c r="X37" s="64">
        <f t="shared" si="16"/>
        <v>8.5306375551212914E-4</v>
      </c>
      <c r="Z37" s="63"/>
    </row>
    <row r="38" spans="1:26" x14ac:dyDescent="0.2">
      <c r="A38" s="62">
        <f t="shared" si="1"/>
        <v>1.3965055044891972</v>
      </c>
      <c r="B38" s="45">
        <f t="shared" si="3"/>
        <v>27</v>
      </c>
      <c r="C38" s="49">
        <f t="shared" ref="C38:C101" si="33">IF(B38&lt;C$4,C$1,D37)</f>
        <v>12197944.026545553</v>
      </c>
      <c r="D38" s="47" cm="1">
        <f t="array" ref="D38">_xlfn.IFS(AND($C$7="Y",B38&lt;C$4),C38,AND($C$7="Y",B38=C$4),D37+F38-J38-K38-L38+N38,AND($C$7="Y",B38&gt;$C$4),D37-J38-K38-L38+N38, TRUE, D37-J38-K38-L38+N38)</f>
        <v>12081946.617497388</v>
      </c>
      <c r="E38" s="48">
        <f t="shared" si="4"/>
        <v>0</v>
      </c>
      <c r="F38" s="50">
        <f t="shared" si="17"/>
        <v>0</v>
      </c>
      <c r="G38" s="50">
        <f t="shared" si="21"/>
        <v>0</v>
      </c>
      <c r="H38" s="51">
        <f t="shared" ref="H38:H101" si="34">IF(AND($B38&lt;=$C$4,C$7="Y"),0,IF(AND(C$7="N",C$4&gt;0,B38&lt;=C$4),0,D37*C$2/12/(1-(1/(1+C$2/12))^(C$3+C$4-B38+1))))</f>
        <v>214424.25249145372</v>
      </c>
      <c r="I38" s="52">
        <f t="shared" si="6"/>
        <v>202431.93178069158</v>
      </c>
      <c r="J38" s="52">
        <f t="shared" ref="J38:J101" si="35">IF(AND($B38&lt;=$C$4,C$7="Y"),0,IF(AND(C$7="N",C$4&gt;0,B38&lt;=C$4),0,H38-I38))</f>
        <v>11992.320710762142</v>
      </c>
      <c r="K38" s="51">
        <f>IF(AND(C$7="Y",$B38&lt;=$C$4),0,IF(AND(C$7="N",C$4&gt;0,B38&lt;=C$4),0,S38*(C38-J38)))</f>
        <v>51976.96863334431</v>
      </c>
      <c r="L38" s="49">
        <f t="shared" si="31"/>
        <v>52028.119704058445</v>
      </c>
      <c r="M38" s="49">
        <f t="shared" si="26"/>
        <v>0</v>
      </c>
      <c r="N38" s="49">
        <f t="shared" si="29"/>
        <v>0</v>
      </c>
      <c r="O38" s="48">
        <f t="shared" si="32"/>
        <v>214373.10142073961</v>
      </c>
      <c r="P38" s="38">
        <f t="shared" ref="P38:P101" si="36">O38*(1/((1+P$9)^(B38/12)))</f>
        <v>214373.10142073961</v>
      </c>
      <c r="Q38" s="53"/>
      <c r="R38" s="53">
        <f t="shared" si="12"/>
        <v>0.05</v>
      </c>
      <c r="S38" s="53">
        <f t="shared" si="13"/>
        <v>4.2653187775606449E-3</v>
      </c>
      <c r="T38" s="53">
        <f t="shared" si="14"/>
        <v>0.05</v>
      </c>
      <c r="U38" s="53">
        <f t="shared" si="20"/>
        <v>4.2653187775606449E-3</v>
      </c>
      <c r="V38" s="53"/>
      <c r="W38" s="63">
        <f t="shared" si="15"/>
        <v>867.13532840097412</v>
      </c>
      <c r="X38" s="64">
        <f t="shared" si="16"/>
        <v>8.5306375551212892E-4</v>
      </c>
      <c r="Z38" s="63"/>
    </row>
    <row r="39" spans="1:26" x14ac:dyDescent="0.2">
      <c r="A39" s="62">
        <f t="shared" si="1"/>
        <v>1.3832029993312429</v>
      </c>
      <c r="B39" s="45">
        <f t="shared" si="3"/>
        <v>28</v>
      </c>
      <c r="C39" s="49">
        <f t="shared" si="33"/>
        <v>12081946.617497388</v>
      </c>
      <c r="D39" s="47" cm="1">
        <f t="array" ref="D39">_xlfn.IFS(AND($C$7="Y",B39&lt;C$4),C39,AND($C$7="Y",B39=C$4),D38+F39-J39-K39-L39+N39,AND($C$7="Y",B39&gt;$C$4),D38-J39-K39-L39+N39, TRUE, D38-J39-K39-L39+N39)</f>
        <v>11966859.239265982</v>
      </c>
      <c r="E39" s="48">
        <f t="shared" si="4"/>
        <v>0</v>
      </c>
      <c r="F39" s="50">
        <f t="shared" si="17"/>
        <v>0</v>
      </c>
      <c r="G39" s="50">
        <f t="shared" si="21"/>
        <v>0</v>
      </c>
      <c r="H39" s="51">
        <f t="shared" si="34"/>
        <v>212579.05002641812</v>
      </c>
      <c r="I39" s="52">
        <f t="shared" si="6"/>
        <v>200506.88772867151</v>
      </c>
      <c r="J39" s="52">
        <f t="shared" si="35"/>
        <v>12072.162297746603</v>
      </c>
      <c r="K39" s="51">
        <f t="shared" ref="K39:K102" si="37">IF(AND(C$7="Y",$B39&lt;=$C$4),0,IF(AND(C$7="N",C$4&gt;0,B39&lt;=C$4),0,S39*(C39-J39)))</f>
        <v>51481.862156562594</v>
      </c>
      <c r="L39" s="49">
        <f t="shared" si="31"/>
        <v>51533.353777096927</v>
      </c>
      <c r="M39" s="49">
        <f t="shared" si="26"/>
        <v>0</v>
      </c>
      <c r="N39" s="49">
        <f t="shared" si="29"/>
        <v>0</v>
      </c>
      <c r="O39" s="48">
        <f t="shared" si="32"/>
        <v>212527.55840588376</v>
      </c>
      <c r="P39" s="38">
        <f t="shared" si="36"/>
        <v>212527.55840588376</v>
      </c>
      <c r="Q39" s="53"/>
      <c r="R39" s="53">
        <f t="shared" si="12"/>
        <v>0.05</v>
      </c>
      <c r="S39" s="53">
        <f t="shared" si="13"/>
        <v>4.2653187775606449E-3</v>
      </c>
      <c r="T39" s="53">
        <f t="shared" si="14"/>
        <v>0.05</v>
      </c>
      <c r="U39" s="53">
        <f t="shared" si="20"/>
        <v>4.2653187775606449E-3</v>
      </c>
      <c r="V39" s="53"/>
      <c r="W39" s="63">
        <f t="shared" si="15"/>
        <v>858.88922961828212</v>
      </c>
      <c r="X39" s="64">
        <f t="shared" si="16"/>
        <v>8.5306375551212892E-4</v>
      </c>
      <c r="Z39" s="63"/>
    </row>
    <row r="40" spans="1:26" x14ac:dyDescent="0.2">
      <c r="A40" s="62">
        <f t="shared" si="1"/>
        <v>1.3700046961780115</v>
      </c>
      <c r="B40" s="45">
        <f t="shared" si="3"/>
        <v>29</v>
      </c>
      <c r="C40" s="49">
        <f t="shared" si="33"/>
        <v>11966859.239265982</v>
      </c>
      <c r="D40" s="47" cm="1">
        <f t="array" ref="D40">_xlfn.IFS(AND($C$7="Y",B40&lt;C$4),C40,AND($C$7="Y",B40=C$4),D39+F40-J40-K40-L40+N40,AND($C$7="Y",B40&gt;$C$4),D39-J40-K40-L40+N40, TRUE, D39-J40-K40-L40+N40)</f>
        <v>11852673.370591432</v>
      </c>
      <c r="E40" s="48">
        <f t="shared" si="4"/>
        <v>0</v>
      </c>
      <c r="F40" s="50">
        <f t="shared" si="17"/>
        <v>0</v>
      </c>
      <c r="G40" s="50">
        <f t="shared" si="21"/>
        <v>0</v>
      </c>
      <c r="H40" s="51">
        <f t="shared" si="34"/>
        <v>210749.71141310639</v>
      </c>
      <c r="I40" s="52">
        <f t="shared" si="6"/>
        <v>198596.94616407194</v>
      </c>
      <c r="J40" s="52">
        <f t="shared" si="35"/>
        <v>12152.765249034448</v>
      </c>
      <c r="K40" s="51">
        <f t="shared" si="37"/>
        <v>50990.634003850297</v>
      </c>
      <c r="L40" s="49">
        <f t="shared" si="31"/>
        <v>51042.46942166629</v>
      </c>
      <c r="M40" s="49">
        <f t="shared" si="26"/>
        <v>0</v>
      </c>
      <c r="N40" s="49">
        <f t="shared" si="29"/>
        <v>0</v>
      </c>
      <c r="O40" s="48">
        <f t="shared" si="32"/>
        <v>210697.87599529041</v>
      </c>
      <c r="P40" s="38">
        <f t="shared" si="36"/>
        <v>210697.87599529041</v>
      </c>
      <c r="Q40" s="53"/>
      <c r="R40" s="53">
        <f t="shared" si="12"/>
        <v>0.05</v>
      </c>
      <c r="S40" s="53">
        <f t="shared" si="13"/>
        <v>4.2653187775606449E-3</v>
      </c>
      <c r="T40" s="53">
        <f t="shared" si="14"/>
        <v>0.05</v>
      </c>
      <c r="U40" s="53">
        <f t="shared" si="20"/>
        <v>4.2653187775606449E-3</v>
      </c>
      <c r="V40" s="53"/>
      <c r="W40" s="63">
        <f t="shared" si="15"/>
        <v>850.70782369443816</v>
      </c>
      <c r="X40" s="64">
        <f t="shared" si="16"/>
        <v>8.5306375551212903E-4</v>
      </c>
      <c r="Z40" s="63"/>
    </row>
    <row r="41" spans="1:26" x14ac:dyDescent="0.2">
      <c r="A41" s="62">
        <f t="shared" si="1"/>
        <v>1.3629809881339021</v>
      </c>
      <c r="B41" s="54">
        <f t="shared" si="3"/>
        <v>30</v>
      </c>
      <c r="C41" s="55">
        <f t="shared" si="33"/>
        <v>11852673.370591432</v>
      </c>
      <c r="D41" s="60" cm="1">
        <f t="array" ref="D41">_xlfn.IFS(AND($C$7="Y",B41&lt;C$4),C41,AND($C$7="Y",B41=C$4),D40+F41-J41-K41-L41+N41,AND($C$7="Y",B41&gt;$C$4),D40-J41-K41-L41+N41, TRUE, D40-J41-K41-L41+N41)</f>
        <v>11791907.361883966</v>
      </c>
      <c r="E41" s="48">
        <f t="shared" si="4"/>
        <v>0</v>
      </c>
      <c r="F41" s="50">
        <f t="shared" si="17"/>
        <v>0</v>
      </c>
      <c r="G41" s="50">
        <f t="shared" si="21"/>
        <v>0</v>
      </c>
      <c r="H41" s="51">
        <f t="shared" si="34"/>
        <v>208936.10011920659</v>
      </c>
      <c r="I41" s="52">
        <f t="shared" si="6"/>
        <v>196701.96567165924</v>
      </c>
      <c r="J41" s="52">
        <f t="shared" si="35"/>
        <v>12234.134447547345</v>
      </c>
      <c r="K41" s="51">
        <f t="shared" si="37"/>
        <v>50503.247808490334</v>
      </c>
      <c r="L41" s="49">
        <f>IF(AND(C$7="Y",$B41&lt;=$C$4),0,IF(AND(C$7="N",C$4&gt;0,B41&lt;=C$4),0,U41*D40))</f>
        <v>50555.430291876655</v>
      </c>
      <c r="M41" s="49">
        <f>IFERROR(L37*-1,0)</f>
        <v>-52526.803840447443</v>
      </c>
      <c r="N41" s="49">
        <f t="shared" si="29"/>
        <v>52526.803840447443</v>
      </c>
      <c r="O41" s="48">
        <f t="shared" si="32"/>
        <v>261410.7214762677</v>
      </c>
      <c r="P41" s="38">
        <f t="shared" si="36"/>
        <v>261410.7214762677</v>
      </c>
      <c r="Q41" s="53"/>
      <c r="R41" s="53">
        <f t="shared" si="12"/>
        <v>0.05</v>
      </c>
      <c r="S41" s="53">
        <f t="shared" si="13"/>
        <v>4.2653187775606449E-3</v>
      </c>
      <c r="T41" s="53">
        <f t="shared" si="14"/>
        <v>0.05</v>
      </c>
      <c r="U41" s="53">
        <f t="shared" si="20"/>
        <v>4.2653187775606449E-3</v>
      </c>
      <c r="V41" s="53"/>
      <c r="W41" s="63">
        <f t="shared" si="15"/>
        <v>842.59050486461092</v>
      </c>
      <c r="X41" s="64">
        <f t="shared" si="16"/>
        <v>8.5306375551212903E-4</v>
      </c>
      <c r="Z41" s="63"/>
    </row>
    <row r="42" spans="1:26" x14ac:dyDescent="0.2">
      <c r="A42" s="62">
        <f t="shared" si="1"/>
        <v>1.3559437594741319</v>
      </c>
      <c r="B42" s="54">
        <f t="shared" si="3"/>
        <v>31</v>
      </c>
      <c r="C42" s="55">
        <f t="shared" si="33"/>
        <v>11791907.361883966</v>
      </c>
      <c r="D42" s="60" cm="1">
        <f t="array" ref="D42">_xlfn.IFS(AND($C$7="Y",B42&lt;C$4),C42,AND($C$7="Y",B42=C$4),D41+F42-J42-K42-L42+N42,AND($C$7="Y",B42&gt;$C$4),D41-J42-K42-L42+N42, TRUE, D41-J42-K42-L42+N42)</f>
        <v>11731024.378802875</v>
      </c>
      <c r="E42" s="48">
        <f t="shared" si="4"/>
        <v>0</v>
      </c>
      <c r="F42" s="50">
        <f t="shared" si="17"/>
        <v>0</v>
      </c>
      <c r="G42" s="50">
        <f t="shared" si="21"/>
        <v>0</v>
      </c>
      <c r="H42" s="51">
        <f t="shared" si="34"/>
        <v>208064.90152225984</v>
      </c>
      <c r="I42" s="52">
        <f t="shared" si="6"/>
        <v>195693.51863316775</v>
      </c>
      <c r="J42" s="52">
        <f t="shared" si="35"/>
        <v>12371.382889092085</v>
      </c>
      <c r="K42" s="51">
        <f t="shared" si="37"/>
        <v>50243.476002158051</v>
      </c>
      <c r="L42" s="49">
        <f t="shared" ref="L42:L105" si="38">IF(AND(C$7="Y",$B42&lt;=$C$4),0,IF(AND(C$7="N",C$4&gt;0,B42&lt;=C$4),0,U42*D41))</f>
        <v>50296.243893899285</v>
      </c>
      <c r="M42" s="49">
        <f t="shared" ref="M42:M105" si="39">IFERROR(L38*-1,0)</f>
        <v>-52028.119704058445</v>
      </c>
      <c r="N42" s="49">
        <f t="shared" si="29"/>
        <v>52028.119704058445</v>
      </c>
      <c r="O42" s="48">
        <f t="shared" si="32"/>
        <v>260040.25333457705</v>
      </c>
      <c r="P42" s="38">
        <f t="shared" si="36"/>
        <v>260040.25333457705</v>
      </c>
      <c r="Q42" s="53"/>
      <c r="R42" s="53">
        <f t="shared" si="12"/>
        <v>0.05</v>
      </c>
      <c r="S42" s="53">
        <f t="shared" si="13"/>
        <v>4.2653187775606449E-3</v>
      </c>
      <c r="T42" s="53">
        <f t="shared" si="14"/>
        <v>0.05</v>
      </c>
      <c r="U42" s="53">
        <f t="shared" si="20"/>
        <v>4.2653187775606449E-3</v>
      </c>
      <c r="V42" s="53"/>
      <c r="W42" s="63">
        <f t="shared" si="15"/>
        <v>838.27073156498818</v>
      </c>
      <c r="X42" s="64">
        <f t="shared" si="16"/>
        <v>8.5306375551212903E-4</v>
      </c>
      <c r="Z42" s="63"/>
    </row>
    <row r="43" spans="1:26" x14ac:dyDescent="0.2">
      <c r="A43" s="62">
        <f t="shared" si="1"/>
        <v>1.3488934031741509</v>
      </c>
      <c r="B43" s="45">
        <f t="shared" si="3"/>
        <v>32</v>
      </c>
      <c r="C43" s="49">
        <f t="shared" si="33"/>
        <v>11731024.378802875</v>
      </c>
      <c r="D43" s="47" cm="1">
        <f t="array" ref="D43">_xlfn.IFS(AND($C$7="Y",B43&lt;C$4),C43,AND($C$7="Y",B43=C$4),D42+F43-J43-K43-L43+N43,AND($C$7="Y",B43&gt;$C$4),D42-J43-K43-L43+N43, TRUE, D42-J43-K43-L43+N43)</f>
        <v>11670027.821197566</v>
      </c>
      <c r="E43" s="48">
        <f t="shared" si="4"/>
        <v>0</v>
      </c>
      <c r="F43" s="50">
        <f t="shared" si="17"/>
        <v>0</v>
      </c>
      <c r="G43" s="50">
        <f t="shared" si="21"/>
        <v>0</v>
      </c>
      <c r="H43" s="51">
        <f t="shared" si="34"/>
        <v>207193.28438886651</v>
      </c>
      <c r="I43" s="52">
        <f t="shared" si="6"/>
        <v>194683.1303373324</v>
      </c>
      <c r="J43" s="52">
        <f t="shared" si="35"/>
        <v>12510.154051534104</v>
      </c>
      <c r="K43" s="51">
        <f t="shared" si="37"/>
        <v>49983.198767943417</v>
      </c>
      <c r="L43" s="49">
        <f t="shared" si="38"/>
        <v>50036.558562929604</v>
      </c>
      <c r="M43" s="49">
        <f t="shared" si="39"/>
        <v>-51533.353777096927</v>
      </c>
      <c r="N43" s="49">
        <f t="shared" si="29"/>
        <v>51533.353777096927</v>
      </c>
      <c r="O43" s="48">
        <f t="shared" si="32"/>
        <v>258673.27837097726</v>
      </c>
      <c r="P43" s="38">
        <f t="shared" si="36"/>
        <v>258673.27837097726</v>
      </c>
      <c r="Q43" s="53"/>
      <c r="R43" s="53">
        <f t="shared" si="12"/>
        <v>0.05</v>
      </c>
      <c r="S43" s="53">
        <f t="shared" si="13"/>
        <v>4.2653187775606449E-3</v>
      </c>
      <c r="T43" s="53">
        <f t="shared" si="14"/>
        <v>0.05</v>
      </c>
      <c r="U43" s="53">
        <f t="shared" si="20"/>
        <v>4.2653187775606449E-3</v>
      </c>
      <c r="V43" s="53"/>
      <c r="W43" s="63">
        <f t="shared" si="15"/>
        <v>833.94264271549343</v>
      </c>
      <c r="X43" s="64">
        <f t="shared" si="16"/>
        <v>8.5306375551212903E-4</v>
      </c>
      <c r="Z43" s="63"/>
    </row>
    <row r="44" spans="1:26" x14ac:dyDescent="0.2">
      <c r="A44" s="62">
        <f t="shared" si="1"/>
        <v>1.3418303028164094</v>
      </c>
      <c r="B44" s="45">
        <f t="shared" si="3"/>
        <v>33</v>
      </c>
      <c r="C44" s="49">
        <f t="shared" si="33"/>
        <v>11670027.821197566</v>
      </c>
      <c r="D44" s="47" cm="1">
        <f t="array" ref="D44">_xlfn.IFS(AND($C$7="Y",B44&lt;C$4),C44,AND($C$7="Y",B44=C$4),D43+F44-J44-K44-L44+N44,AND($C$7="Y",B44&gt;$C$4),D43-J44-K44-L44+N44, TRUE, D43-J44-K44-L44+N44)</f>
        <v>11608921.007653372</v>
      </c>
      <c r="E44" s="48">
        <f t="shared" si="4"/>
        <v>0</v>
      </c>
      <c r="F44" s="50">
        <f t="shared" si="17"/>
        <v>0</v>
      </c>
      <c r="G44" s="50">
        <f t="shared" si="21"/>
        <v>0</v>
      </c>
      <c r="H44" s="51">
        <f t="shared" si="34"/>
        <v>206321.32083170564</v>
      </c>
      <c r="I44" s="52">
        <f t="shared" si="6"/>
        <v>193670.85720661926</v>
      </c>
      <c r="J44" s="52">
        <f t="shared" si="35"/>
        <v>12650.463625086384</v>
      </c>
      <c r="K44" s="51">
        <f t="shared" si="37"/>
        <v>49722.430540364185</v>
      </c>
      <c r="L44" s="49">
        <f t="shared" si="38"/>
        <v>49776.38880040912</v>
      </c>
      <c r="M44" s="49">
        <f t="shared" si="39"/>
        <v>-51042.46942166629</v>
      </c>
      <c r="N44" s="49">
        <f t="shared" si="29"/>
        <v>51042.46942166629</v>
      </c>
      <c r="O44" s="48">
        <f t="shared" si="32"/>
        <v>257309.83199332698</v>
      </c>
      <c r="P44" s="38">
        <f t="shared" si="36"/>
        <v>257309.83199332698</v>
      </c>
      <c r="Q44" s="53"/>
      <c r="R44" s="53">
        <f t="shared" si="12"/>
        <v>0.05</v>
      </c>
      <c r="S44" s="53">
        <f t="shared" si="13"/>
        <v>4.2653187775606449E-3</v>
      </c>
      <c r="T44" s="53">
        <f t="shared" si="14"/>
        <v>0.05</v>
      </c>
      <c r="U44" s="53">
        <f t="shared" si="20"/>
        <v>4.2653187775606449E-3</v>
      </c>
      <c r="V44" s="53"/>
      <c r="W44" s="63">
        <f t="shared" si="15"/>
        <v>829.60648000681874</v>
      </c>
      <c r="X44" s="64">
        <f t="shared" si="16"/>
        <v>8.5306375551212903E-4</v>
      </c>
      <c r="Z44" s="63"/>
    </row>
    <row r="45" spans="1:26" x14ac:dyDescent="0.2">
      <c r="A45" s="62">
        <f t="shared" si="1"/>
        <v>1.3347548326875562</v>
      </c>
      <c r="B45" s="45">
        <f t="shared" si="3"/>
        <v>34</v>
      </c>
      <c r="C45" s="49">
        <f t="shared" si="33"/>
        <v>11608921.007653372</v>
      </c>
      <c r="D45" s="47" cm="1">
        <f t="array" ref="D45">_xlfn.IFS(AND($C$7="Y",B45&lt;C$4),C45,AND($C$7="Y",B45=C$4),D44+F45-J45-K45-L45+N45,AND($C$7="Y",B45&gt;$C$4),D44-J45-K45-L45+N45, TRUE, D44-J45-K45-L45+N45)</f>
        <v>11547707.176332479</v>
      </c>
      <c r="E45" s="48">
        <f t="shared" si="4"/>
        <v>0</v>
      </c>
      <c r="F45" s="50">
        <f t="shared" si="17"/>
        <v>0</v>
      </c>
      <c r="G45" s="50">
        <f t="shared" si="21"/>
        <v>0</v>
      </c>
      <c r="H45" s="51">
        <f t="shared" si="34"/>
        <v>205449.08175977343</v>
      </c>
      <c r="I45" s="52">
        <f t="shared" si="6"/>
        <v>192656.7543148702</v>
      </c>
      <c r="J45" s="52">
        <f t="shared" si="35"/>
        <v>12792.327444903232</v>
      </c>
      <c r="K45" s="51">
        <f t="shared" si="37"/>
        <v>49461.185406702723</v>
      </c>
      <c r="L45" s="49">
        <f t="shared" si="38"/>
        <v>49515.748761162169</v>
      </c>
      <c r="M45" s="49">
        <f t="shared" si="39"/>
        <v>-50555.430291876655</v>
      </c>
      <c r="N45" s="49">
        <f t="shared" si="29"/>
        <v>50555.430291876655</v>
      </c>
      <c r="O45" s="48">
        <f t="shared" si="32"/>
        <v>255949.94869719064</v>
      </c>
      <c r="P45" s="38">
        <f t="shared" si="36"/>
        <v>255949.94869719064</v>
      </c>
      <c r="Q45" s="53"/>
      <c r="R45" s="53">
        <f t="shared" si="12"/>
        <v>0.05</v>
      </c>
      <c r="S45" s="53">
        <f t="shared" si="13"/>
        <v>4.2653187775606449E-3</v>
      </c>
      <c r="T45" s="53">
        <f t="shared" si="14"/>
        <v>0.05</v>
      </c>
      <c r="U45" s="53">
        <f t="shared" si="20"/>
        <v>4.2653187775606449E-3</v>
      </c>
      <c r="V45" s="53"/>
      <c r="W45" s="63">
        <f t="shared" si="15"/>
        <v>825.26247935270294</v>
      </c>
      <c r="X45" s="64">
        <f t="shared" si="16"/>
        <v>8.5306375551212903E-4</v>
      </c>
      <c r="Z45" s="63"/>
    </row>
    <row r="46" spans="1:26" x14ac:dyDescent="0.2">
      <c r="A46" s="62">
        <f t="shared" si="1"/>
        <v>1.3276932542036568</v>
      </c>
      <c r="B46" s="45">
        <f t="shared" si="3"/>
        <v>35</v>
      </c>
      <c r="C46" s="49">
        <f t="shared" si="33"/>
        <v>11547707.176332479</v>
      </c>
      <c r="D46" s="47" cm="1">
        <f t="array" ref="D46">_xlfn.IFS(AND($C$7="Y",B46&lt;C$4),C46,AND($C$7="Y",B46=C$4),D45+F46-J46-K46-L46+N46,AND($C$7="Y",B46&gt;$C$4),D45-J46-K46-L46+N46, TRUE, D45-J46-K46-L46+N46)</f>
        <v>11486613.529366191</v>
      </c>
      <c r="E46" s="48">
        <f t="shared" si="4"/>
        <v>0</v>
      </c>
      <c r="F46" s="50">
        <f t="shared" si="17"/>
        <v>0</v>
      </c>
      <c r="G46" s="50">
        <f t="shared" si="21"/>
        <v>0</v>
      </c>
      <c r="H46" s="51">
        <f t="shared" si="34"/>
        <v>204576.63689387636</v>
      </c>
      <c r="I46" s="52">
        <f t="shared" si="6"/>
        <v>191640.87540125826</v>
      </c>
      <c r="J46" s="52">
        <f t="shared" si="35"/>
        <v>12935.761492618098</v>
      </c>
      <c r="K46" s="51">
        <f t="shared" si="37"/>
        <v>49199.477110586231</v>
      </c>
      <c r="L46" s="49">
        <f t="shared" si="38"/>
        <v>49254.652256982736</v>
      </c>
      <c r="M46" s="49">
        <f t="shared" si="39"/>
        <v>-50296.243893899285</v>
      </c>
      <c r="N46" s="49">
        <f t="shared" si="29"/>
        <v>50296.243893899285</v>
      </c>
      <c r="O46" s="48">
        <f t="shared" si="32"/>
        <v>254817.70564137914</v>
      </c>
      <c r="P46" s="38">
        <f t="shared" si="36"/>
        <v>254817.70564137914</v>
      </c>
      <c r="Q46" s="53"/>
      <c r="R46" s="53">
        <f t="shared" si="12"/>
        <v>0.05</v>
      </c>
      <c r="S46" s="53">
        <f t="shared" si="13"/>
        <v>4.2653187775606449E-3</v>
      </c>
      <c r="T46" s="53">
        <f t="shared" si="14"/>
        <v>0.05</v>
      </c>
      <c r="U46" s="53">
        <f t="shared" si="20"/>
        <v>4.2653187775606449E-3</v>
      </c>
      <c r="V46" s="53"/>
      <c r="W46" s="63">
        <f t="shared" si="15"/>
        <v>820.91087094971226</v>
      </c>
      <c r="X46" s="64">
        <f t="shared" si="16"/>
        <v>8.5306375551212892E-4</v>
      </c>
      <c r="Z46" s="63"/>
    </row>
    <row r="47" spans="1:26" x14ac:dyDescent="0.2">
      <c r="A47" s="62">
        <f t="shared" si="1"/>
        <v>1.3206451792464056</v>
      </c>
      <c r="B47" s="45">
        <f t="shared" si="3"/>
        <v>36</v>
      </c>
      <c r="C47" s="49">
        <f t="shared" si="33"/>
        <v>11486613.529366191</v>
      </c>
      <c r="D47" s="47" cm="1">
        <f t="array" ref="D47">_xlfn.IFS(AND($C$7="Y",B47&lt;C$4),C47,AND($C$7="Y",B47=C$4),D46+F47-J47-K47-L47+N47,AND($C$7="Y",B47&gt;$C$4),D46-J47-K47-L47+N47, TRUE, D46-J47-K47-L47+N47)</f>
        <v>11425636.708926965</v>
      </c>
      <c r="E47" s="48">
        <f t="shared" si="4"/>
        <v>0</v>
      </c>
      <c r="F47" s="50">
        <f t="shared" si="17"/>
        <v>0</v>
      </c>
      <c r="G47" s="50">
        <f t="shared" si="21"/>
        <v>0</v>
      </c>
      <c r="H47" s="51">
        <f t="shared" si="34"/>
        <v>203708.02805677659</v>
      </c>
      <c r="I47" s="52">
        <f t="shared" si="6"/>
        <v>190626.99101648005</v>
      </c>
      <c r="J47" s="52">
        <f t="shared" si="35"/>
        <v>13081.037040296535</v>
      </c>
      <c r="K47" s="51">
        <f t="shared" si="37"/>
        <v>48938.273584469825</v>
      </c>
      <c r="L47" s="49">
        <f t="shared" si="38"/>
        <v>48994.068377387768</v>
      </c>
      <c r="M47" s="49">
        <f t="shared" si="39"/>
        <v>-50036.558562929604</v>
      </c>
      <c r="N47" s="49">
        <f t="shared" si="29"/>
        <v>50036.558562929604</v>
      </c>
      <c r="O47" s="48">
        <f t="shared" si="32"/>
        <v>253688.79182678825</v>
      </c>
      <c r="P47" s="38">
        <f t="shared" si="36"/>
        <v>253688.79182678825</v>
      </c>
      <c r="Q47" s="53"/>
      <c r="R47" s="53">
        <f t="shared" si="12"/>
        <v>0.05</v>
      </c>
      <c r="S47" s="53">
        <f t="shared" si="13"/>
        <v>4.2653187775606449E-3</v>
      </c>
      <c r="T47" s="53">
        <f t="shared" si="14"/>
        <v>0.05</v>
      </c>
      <c r="U47" s="53">
        <f t="shared" si="20"/>
        <v>4.2653187775606449E-3</v>
      </c>
      <c r="V47" s="53"/>
      <c r="W47" s="63">
        <f t="shared" si="15"/>
        <v>816.56780628979607</v>
      </c>
      <c r="X47" s="64">
        <f t="shared" si="16"/>
        <v>8.5306375551212892E-4</v>
      </c>
      <c r="Z47" s="63"/>
    </row>
    <row r="48" spans="1:26" x14ac:dyDescent="0.2">
      <c r="A48" s="62">
        <f t="shared" si="1"/>
        <v>1.3136102222023869</v>
      </c>
      <c r="B48" s="45">
        <f t="shared" si="3"/>
        <v>37</v>
      </c>
      <c r="C48" s="49">
        <f t="shared" si="33"/>
        <v>11425636.708926965</v>
      </c>
      <c r="D48" s="47" cm="1">
        <f t="array" ref="D48">_xlfn.IFS(AND($C$7="Y",B48&lt;C$4),C48,AND($C$7="Y",B48=C$4),D47+F48-J48-K48-L48+N48,AND($C$7="Y",B48&gt;$C$4),D47-J48-K48-L48+N48, TRUE, D47-J48-K48-L48+N48)</f>
        <v>11364773.378858453</v>
      </c>
      <c r="E48" s="48">
        <f t="shared" si="4"/>
        <v>0</v>
      </c>
      <c r="F48" s="50">
        <f t="shared" si="17"/>
        <v>0</v>
      </c>
      <c r="G48" s="50">
        <f t="shared" si="21"/>
        <v>0</v>
      </c>
      <c r="H48" s="51">
        <f t="shared" si="34"/>
        <v>202843.22109003525</v>
      </c>
      <c r="I48" s="52">
        <f t="shared" si="6"/>
        <v>189615.04543544655</v>
      </c>
      <c r="J48" s="52">
        <f t="shared" si="35"/>
        <v>13228.175654588704</v>
      </c>
      <c r="K48" s="51">
        <f t="shared" si="37"/>
        <v>48677.560414160005</v>
      </c>
      <c r="L48" s="49">
        <f t="shared" si="38"/>
        <v>48733.982800172387</v>
      </c>
      <c r="M48" s="49">
        <f t="shared" si="39"/>
        <v>-49776.38880040912</v>
      </c>
      <c r="N48" s="49">
        <f t="shared" si="29"/>
        <v>49776.38880040912</v>
      </c>
      <c r="O48" s="48">
        <f t="shared" si="32"/>
        <v>252563.18750443202</v>
      </c>
      <c r="P48" s="38">
        <f t="shared" si="36"/>
        <v>252563.18750443202</v>
      </c>
      <c r="Q48" s="53"/>
      <c r="R48" s="53">
        <f t="shared" si="12"/>
        <v>0.05</v>
      </c>
      <c r="S48" s="53">
        <f t="shared" si="13"/>
        <v>4.2653187775606449E-3</v>
      </c>
      <c r="T48" s="53">
        <f t="shared" si="14"/>
        <v>0.05</v>
      </c>
      <c r="U48" s="53">
        <f t="shared" si="20"/>
        <v>4.2653187775606449E-3</v>
      </c>
      <c r="V48" s="53"/>
      <c r="W48" s="63">
        <f t="shared" si="15"/>
        <v>812.23304666953982</v>
      </c>
      <c r="X48" s="64">
        <f t="shared" si="16"/>
        <v>8.5306375551212892E-4</v>
      </c>
      <c r="Z48" s="63"/>
    </row>
    <row r="49" spans="1:26" x14ac:dyDescent="0.2">
      <c r="A49" s="62">
        <f t="shared" si="1"/>
        <v>1.3065879998726684</v>
      </c>
      <c r="B49" s="45">
        <f t="shared" si="3"/>
        <v>38</v>
      </c>
      <c r="C49" s="49">
        <f t="shared" si="33"/>
        <v>11364773.378858453</v>
      </c>
      <c r="D49" s="47" cm="1">
        <f t="array" ref="D49">_xlfn.IFS(AND($C$7="Y",B49&lt;C$4),C49,AND($C$7="Y",B49=C$4),D48+F49-J49-K49-L49+N49,AND($C$7="Y",B49&gt;$C$4),D48-J49-K49-L49+N49, TRUE, D48-J49-K49-L49+N49)</f>
        <v>11304020.223893344</v>
      </c>
      <c r="E49" s="48">
        <f t="shared" si="4"/>
        <v>0</v>
      </c>
      <c r="F49" s="50">
        <f t="shared" si="17"/>
        <v>0</v>
      </c>
      <c r="G49" s="50">
        <f t="shared" si="21"/>
        <v>0</v>
      </c>
      <c r="H49" s="51">
        <f t="shared" si="34"/>
        <v>201982.18244659601</v>
      </c>
      <c r="I49" s="52">
        <f t="shared" si="6"/>
        <v>188604.98329271478</v>
      </c>
      <c r="J49" s="52">
        <f t="shared" si="35"/>
        <v>13377.199153881229</v>
      </c>
      <c r="K49" s="51">
        <f t="shared" si="37"/>
        <v>48417.323276824078</v>
      </c>
      <c r="L49" s="49">
        <f t="shared" si="38"/>
        <v>48474.381295566294</v>
      </c>
      <c r="M49" s="49">
        <f t="shared" si="39"/>
        <v>-49515.748761162169</v>
      </c>
      <c r="N49" s="49">
        <f t="shared" si="29"/>
        <v>49515.748761162169</v>
      </c>
      <c r="O49" s="48">
        <f t="shared" si="32"/>
        <v>251440.87318901595</v>
      </c>
      <c r="P49" s="38">
        <f t="shared" si="36"/>
        <v>251440.87318901595</v>
      </c>
      <c r="Q49" s="53"/>
      <c r="R49" s="53">
        <f t="shared" si="12"/>
        <v>0.05</v>
      </c>
      <c r="S49" s="53">
        <f t="shared" si="13"/>
        <v>4.2653187775606449E-3</v>
      </c>
      <c r="T49" s="53">
        <f t="shared" si="14"/>
        <v>0.05</v>
      </c>
      <c r="U49" s="53">
        <f t="shared" si="20"/>
        <v>4.2653187775606449E-3</v>
      </c>
      <c r="V49" s="53"/>
      <c r="W49" s="63">
        <f t="shared" si="15"/>
        <v>807.906354926105</v>
      </c>
      <c r="X49" s="64">
        <f t="shared" si="16"/>
        <v>8.5306375551212903E-4</v>
      </c>
      <c r="Z49" s="63"/>
    </row>
    <row r="50" spans="1:26" x14ac:dyDescent="0.2">
      <c r="A50" s="62">
        <f t="shared" si="1"/>
        <v>1.2995781313832566</v>
      </c>
      <c r="B50" s="45">
        <f t="shared" si="3"/>
        <v>39</v>
      </c>
      <c r="C50" s="49">
        <f t="shared" si="33"/>
        <v>11304020.223893344</v>
      </c>
      <c r="D50" s="47" cm="1">
        <f t="array" ref="D50">_xlfn.IFS(AND($C$7="Y",B50&lt;C$4),C50,AND($C$7="Y",B50=C$4),D49+F50-J50-K50-L50+N50,AND($C$7="Y",B50&gt;$C$4),D49-J50-K50-L50+N50, TRUE, D49-J50-K50-L50+N50)</f>
        <v>11243373.948878676</v>
      </c>
      <c r="E50" s="48">
        <f t="shared" si="4"/>
        <v>0</v>
      </c>
      <c r="F50" s="50">
        <f t="shared" si="17"/>
        <v>0</v>
      </c>
      <c r="G50" s="50">
        <f t="shared" si="21"/>
        <v>0</v>
      </c>
      <c r="H50" s="51">
        <f t="shared" si="34"/>
        <v>201124.87918061815</v>
      </c>
      <c r="I50" s="52">
        <f t="shared" si="6"/>
        <v>187596.74956950743</v>
      </c>
      <c r="J50" s="52">
        <f t="shared" si="35"/>
        <v>13528.129611110722</v>
      </c>
      <c r="K50" s="51">
        <f t="shared" si="37"/>
        <v>48157.547937642026</v>
      </c>
      <c r="L50" s="49">
        <f t="shared" si="38"/>
        <v>48215.24972289757</v>
      </c>
      <c r="M50" s="49">
        <f t="shared" si="39"/>
        <v>-49254.652256982736</v>
      </c>
      <c r="N50" s="49">
        <f t="shared" si="29"/>
        <v>49254.652256982736</v>
      </c>
      <c r="O50" s="48">
        <f t="shared" si="32"/>
        <v>250321.82965234533</v>
      </c>
      <c r="P50" s="38">
        <f t="shared" si="36"/>
        <v>250321.82965234533</v>
      </c>
      <c r="Q50" s="53"/>
      <c r="R50" s="53">
        <f t="shared" si="12"/>
        <v>0.05</v>
      </c>
      <c r="S50" s="53">
        <f t="shared" si="13"/>
        <v>4.2653187775606449E-3</v>
      </c>
      <c r="T50" s="53">
        <f t="shared" si="14"/>
        <v>0.05</v>
      </c>
      <c r="U50" s="53">
        <f t="shared" si="20"/>
        <v>4.2653187775606449E-3</v>
      </c>
      <c r="V50" s="53"/>
      <c r="W50" s="63">
        <f t="shared" si="15"/>
        <v>803.58749538162613</v>
      </c>
      <c r="X50" s="64">
        <f t="shared" si="16"/>
        <v>8.5306375551212903E-4</v>
      </c>
      <c r="Z50" s="63"/>
    </row>
    <row r="51" spans="1:26" x14ac:dyDescent="0.2">
      <c r="A51" s="62">
        <f t="shared" si="1"/>
        <v>1.2925803485525003</v>
      </c>
      <c r="B51" s="45">
        <f t="shared" si="3"/>
        <v>40</v>
      </c>
      <c r="C51" s="49">
        <f t="shared" si="33"/>
        <v>11243373.948878676</v>
      </c>
      <c r="D51" s="47" cm="1">
        <f t="array" ref="D51">_xlfn.IFS(AND($C$7="Y",B51&lt;C$4),C51,AND($C$7="Y",B51=C$4),D50+F51-J51-K51-L51+N51,AND($C$7="Y",B51&gt;$C$4),D50-J51-K51-L51+N51, TRUE, D50-J51-K51-L51+N51)</f>
        <v>11182832.233625673</v>
      </c>
      <c r="E51" s="48">
        <f t="shared" si="4"/>
        <v>0</v>
      </c>
      <c r="F51" s="50">
        <f t="shared" si="17"/>
        <v>0</v>
      </c>
      <c r="G51" s="50">
        <f t="shared" si="21"/>
        <v>0</v>
      </c>
      <c r="H51" s="51">
        <f t="shared" si="34"/>
        <v>200271.27893746985</v>
      </c>
      <c r="I51" s="52">
        <f t="shared" si="6"/>
        <v>186590.28958085645</v>
      </c>
      <c r="J51" s="52">
        <f t="shared" si="35"/>
        <v>13680.989356613398</v>
      </c>
      <c r="K51" s="51">
        <f t="shared" si="37"/>
        <v>47898.220246490026</v>
      </c>
      <c r="L51" s="49">
        <f t="shared" si="38"/>
        <v>47956.574027288392</v>
      </c>
      <c r="M51" s="49">
        <f t="shared" si="39"/>
        <v>-48994.068377387768</v>
      </c>
      <c r="N51" s="49">
        <f t="shared" si="29"/>
        <v>48994.068377387768</v>
      </c>
      <c r="O51" s="48">
        <f t="shared" si="32"/>
        <v>249206.99353405926</v>
      </c>
      <c r="P51" s="38">
        <f t="shared" si="36"/>
        <v>249206.99353405926</v>
      </c>
      <c r="Q51" s="53"/>
      <c r="R51" s="53">
        <f t="shared" si="12"/>
        <v>0.05</v>
      </c>
      <c r="S51" s="53">
        <f t="shared" si="13"/>
        <v>4.2653187775606449E-3</v>
      </c>
      <c r="T51" s="53">
        <f t="shared" si="14"/>
        <v>0.05</v>
      </c>
      <c r="U51" s="53">
        <f t="shared" si="20"/>
        <v>4.2653187775606449E-3</v>
      </c>
      <c r="V51" s="53"/>
      <c r="W51" s="63">
        <f t="shared" si="15"/>
        <v>799.27623378813996</v>
      </c>
      <c r="X51" s="64">
        <f t="shared" si="16"/>
        <v>8.5306375551212903E-4</v>
      </c>
      <c r="Z51" s="63"/>
    </row>
    <row r="52" spans="1:26" x14ac:dyDescent="0.2">
      <c r="A52" s="62">
        <f t="shared" si="1"/>
        <v>1.2855943810949571</v>
      </c>
      <c r="B52" s="45">
        <f t="shared" si="3"/>
        <v>41</v>
      </c>
      <c r="C52" s="49">
        <f t="shared" si="33"/>
        <v>11182832.233625673</v>
      </c>
      <c r="D52" s="47" cm="1">
        <f t="array" ref="D52">_xlfn.IFS(AND($C$7="Y",B52&lt;C$4),C52,AND($C$7="Y",B52=C$4),D51+F52-J52-K52-L52+N52,AND($C$7="Y",B52&gt;$C$4),D51-J52-K52-L52+N52, TRUE, D51-J52-K52-L52+N52)</f>
        <v>11122392.73974449</v>
      </c>
      <c r="E52" s="48">
        <f t="shared" si="4"/>
        <v>0</v>
      </c>
      <c r="F52" s="50">
        <f t="shared" si="17"/>
        <v>0</v>
      </c>
      <c r="G52" s="50">
        <f t="shared" si="21"/>
        <v>0</v>
      </c>
      <c r="H52" s="51">
        <f t="shared" si="34"/>
        <v>199421.36698522398</v>
      </c>
      <c r="I52" s="52">
        <f t="shared" si="6"/>
        <v>185585.56482188799</v>
      </c>
      <c r="J52" s="52">
        <f t="shared" si="35"/>
        <v>13835.802163335989</v>
      </c>
      <c r="K52" s="51">
        <f t="shared" si="37"/>
        <v>47639.330205624137</v>
      </c>
      <c r="L52" s="49">
        <f t="shared" si="38"/>
        <v>47698.344312394031</v>
      </c>
      <c r="M52" s="49">
        <f t="shared" si="39"/>
        <v>-48733.982800172387</v>
      </c>
      <c r="N52" s="49">
        <f t="shared" si="29"/>
        <v>48733.982800172387</v>
      </c>
      <c r="O52" s="48">
        <f t="shared" si="32"/>
        <v>248096.33567862646</v>
      </c>
      <c r="P52" s="38">
        <f t="shared" si="36"/>
        <v>248096.33567862646</v>
      </c>
      <c r="Q52" s="53"/>
      <c r="R52" s="53">
        <f t="shared" si="12"/>
        <v>0.05</v>
      </c>
      <c r="S52" s="53">
        <f t="shared" si="13"/>
        <v>4.2653187775606449E-3</v>
      </c>
      <c r="T52" s="53">
        <f t="shared" si="14"/>
        <v>0.05</v>
      </c>
      <c r="U52" s="53">
        <f t="shared" si="20"/>
        <v>4.2653187775606449E-3</v>
      </c>
      <c r="V52" s="53"/>
      <c r="W52" s="63">
        <f t="shared" si="15"/>
        <v>794.97240520656715</v>
      </c>
      <c r="X52" s="64">
        <f t="shared" si="16"/>
        <v>8.5306375551212892E-4</v>
      </c>
      <c r="Z52" s="63"/>
    </row>
    <row r="53" spans="1:26" x14ac:dyDescent="0.2">
      <c r="A53" s="62">
        <f t="shared" si="1"/>
        <v>1.278619956615898</v>
      </c>
      <c r="B53" s="45">
        <f t="shared" si="3"/>
        <v>42</v>
      </c>
      <c r="C53" s="49">
        <f t="shared" si="33"/>
        <v>11122392.73974449</v>
      </c>
      <c r="D53" s="47" cm="1">
        <f t="array" ref="D53">_xlfn.IFS(AND($C$7="Y",B53&lt;C$4),C53,AND($C$7="Y",B53=C$4),D52+F53-J53-K53-L53+N53,AND($C$7="Y",B53&gt;$C$4),D52-J53-K53-L53+N53, TRUE, D52-J53-K53-L53+N53)</f>
        <v>11062053.110596677</v>
      </c>
      <c r="E53" s="48">
        <f t="shared" si="4"/>
        <v>0</v>
      </c>
      <c r="F53" s="50">
        <f t="shared" si="17"/>
        <v>0</v>
      </c>
      <c r="G53" s="50">
        <f t="shared" si="21"/>
        <v>0</v>
      </c>
      <c r="H53" s="51">
        <f t="shared" si="34"/>
        <v>198575.12858641022</v>
      </c>
      <c r="I53" s="52">
        <f t="shared" si="6"/>
        <v>184582.53648567092</v>
      </c>
      <c r="J53" s="52">
        <f t="shared" si="35"/>
        <v>13992.592100739304</v>
      </c>
      <c r="K53" s="51">
        <f t="shared" si="37"/>
        <v>47380.867738402332</v>
      </c>
      <c r="L53" s="49">
        <f t="shared" si="38"/>
        <v>47440.550604236363</v>
      </c>
      <c r="M53" s="49">
        <f t="shared" si="39"/>
        <v>-48474.381295566294</v>
      </c>
      <c r="N53" s="49">
        <f t="shared" si="29"/>
        <v>48474.381295566294</v>
      </c>
      <c r="O53" s="48">
        <f t="shared" si="32"/>
        <v>246989.82701614249</v>
      </c>
      <c r="P53" s="38">
        <f t="shared" si="36"/>
        <v>246989.82701614249</v>
      </c>
      <c r="Q53" s="53"/>
      <c r="R53" s="53">
        <f t="shared" si="12"/>
        <v>0.05</v>
      </c>
      <c r="S53" s="53">
        <f t="shared" si="13"/>
        <v>4.2653187775606449E-3</v>
      </c>
      <c r="T53" s="53">
        <f t="shared" si="14"/>
        <v>0.05</v>
      </c>
      <c r="U53" s="53">
        <f t="shared" si="20"/>
        <v>4.2653187775606449E-3</v>
      </c>
      <c r="V53" s="53"/>
      <c r="W53" s="63">
        <f t="shared" si="15"/>
        <v>790.67584340393944</v>
      </c>
      <c r="X53" s="64">
        <f t="shared" si="16"/>
        <v>8.5306375551212914E-4</v>
      </c>
      <c r="Z53" s="63"/>
    </row>
    <row r="54" spans="1:26" x14ac:dyDescent="0.2">
      <c r="A54" s="62">
        <f t="shared" si="1"/>
        <v>1.2716568006050417</v>
      </c>
      <c r="B54" s="45">
        <f t="shared" si="3"/>
        <v>43</v>
      </c>
      <c r="C54" s="49">
        <f t="shared" si="33"/>
        <v>11062053.110596677</v>
      </c>
      <c r="D54" s="47" cm="1">
        <f t="array" ref="D54">_xlfn.IFS(AND($C$7="Y",B54&lt;C$4),C54,AND($C$7="Y",B54=C$4),D53+F54-J54-K54-L54+N54,AND($C$7="Y",B54&gt;$C$4),D53-J54-K54-L54+N54, TRUE, D53-J54-K54-L54+N54)</f>
        <v>11001810.971240954</v>
      </c>
      <c r="E54" s="48">
        <f t="shared" si="4"/>
        <v>0</v>
      </c>
      <c r="F54" s="50">
        <f t="shared" si="17"/>
        <v>0</v>
      </c>
      <c r="G54" s="50">
        <f t="shared" si="21"/>
        <v>0</v>
      </c>
      <c r="H54" s="51">
        <f t="shared" si="34"/>
        <v>197732.54900098208</v>
      </c>
      <c r="I54" s="52">
        <f t="shared" si="6"/>
        <v>183581.16546242792</v>
      </c>
      <c r="J54" s="52">
        <f t="shared" si="35"/>
        <v>14151.383538554161</v>
      </c>
      <c r="K54" s="51">
        <f t="shared" si="37"/>
        <v>47122.822689065695</v>
      </c>
      <c r="L54" s="49">
        <f t="shared" si="38"/>
        <v>47183.182851001147</v>
      </c>
      <c r="M54" s="49">
        <f t="shared" si="39"/>
        <v>-48215.24972289757</v>
      </c>
      <c r="N54" s="49">
        <f t="shared" si="29"/>
        <v>48215.24972289757</v>
      </c>
      <c r="O54" s="48">
        <f t="shared" si="32"/>
        <v>245887.43856194417</v>
      </c>
      <c r="P54" s="38">
        <f t="shared" si="36"/>
        <v>245887.43856194417</v>
      </c>
      <c r="Q54" s="53"/>
      <c r="R54" s="53">
        <f t="shared" si="12"/>
        <v>0.05</v>
      </c>
      <c r="S54" s="53">
        <f t="shared" si="13"/>
        <v>4.2653187775606449E-3</v>
      </c>
      <c r="T54" s="53">
        <f t="shared" si="14"/>
        <v>0.05</v>
      </c>
      <c r="U54" s="53">
        <f t="shared" si="20"/>
        <v>4.2653187775606449E-3</v>
      </c>
      <c r="V54" s="53"/>
      <c r="W54" s="63">
        <f t="shared" si="15"/>
        <v>786.38638085001912</v>
      </c>
      <c r="X54" s="64">
        <f t="shared" si="16"/>
        <v>8.5306375551212892E-4</v>
      </c>
      <c r="Z54" s="63"/>
    </row>
    <row r="55" spans="1:26" x14ac:dyDescent="0.2">
      <c r="A55" s="62">
        <f t="shared" si="1"/>
        <v>1.2647046364295189</v>
      </c>
      <c r="B55" s="45">
        <f t="shared" si="3"/>
        <v>44</v>
      </c>
      <c r="C55" s="49">
        <f t="shared" si="33"/>
        <v>11001810.971240954</v>
      </c>
      <c r="D55" s="47" cm="1">
        <f t="array" ref="D55">_xlfn.IFS(AND($C$7="Y",B55&lt;C$4),C55,AND($C$7="Y",B55=C$4),D54+F55-J55-K55-L55+N55,AND($C$7="Y",B55&gt;$C$4),D54-J55-K55-L55+N55, TRUE, D54-J55-K55-L55+N55)</f>
        <v>10941663.928372357</v>
      </c>
      <c r="E55" s="48">
        <f t="shared" si="4"/>
        <v>0</v>
      </c>
      <c r="F55" s="50">
        <f t="shared" si="17"/>
        <v>0</v>
      </c>
      <c r="G55" s="50">
        <f t="shared" si="21"/>
        <v>0</v>
      </c>
      <c r="H55" s="51">
        <f t="shared" si="34"/>
        <v>196893.61348922466</v>
      </c>
      <c r="I55" s="52">
        <f t="shared" si="6"/>
        <v>182581.4123386358</v>
      </c>
      <c r="J55" s="52">
        <f t="shared" si="35"/>
        <v>14312.201150588866</v>
      </c>
      <c r="K55" s="51">
        <f t="shared" si="37"/>
        <v>46865.184822490926</v>
      </c>
      <c r="L55" s="49">
        <f t="shared" si="38"/>
        <v>46926.230922806761</v>
      </c>
      <c r="M55" s="49">
        <f t="shared" si="39"/>
        <v>-47956.574027288392</v>
      </c>
      <c r="N55" s="49">
        <f t="shared" si="29"/>
        <v>47956.574027288392</v>
      </c>
      <c r="O55" s="48">
        <f t="shared" si="32"/>
        <v>244789.14141619721</v>
      </c>
      <c r="P55" s="38">
        <f t="shared" si="36"/>
        <v>244789.14141619721</v>
      </c>
      <c r="Q55" s="53"/>
      <c r="R55" s="53">
        <f t="shared" si="12"/>
        <v>0.05</v>
      </c>
      <c r="S55" s="53">
        <f t="shared" si="13"/>
        <v>4.2653187775606449E-3</v>
      </c>
      <c r="T55" s="53">
        <f t="shared" si="14"/>
        <v>0.05</v>
      </c>
      <c r="U55" s="53">
        <f t="shared" si="20"/>
        <v>4.2653187775606449E-3</v>
      </c>
      <c r="V55" s="53"/>
      <c r="W55" s="63">
        <f t="shared" si="15"/>
        <v>782.10384871344604</v>
      </c>
      <c r="X55" s="64">
        <f t="shared" si="16"/>
        <v>8.5306375551212903E-4</v>
      </c>
      <c r="Z55" s="63"/>
    </row>
    <row r="56" spans="1:26" x14ac:dyDescent="0.2">
      <c r="A56" s="62">
        <f t="shared" si="1"/>
        <v>1.2577631857972078</v>
      </c>
      <c r="B56" s="45">
        <f t="shared" si="3"/>
        <v>45</v>
      </c>
      <c r="C56" s="49">
        <f t="shared" si="33"/>
        <v>10941663.928372357</v>
      </c>
      <c r="D56" s="47" cm="1">
        <f t="array" ref="D56">_xlfn.IFS(AND($C$7="Y",B56&lt;C$4),C56,AND($C$7="Y",B56=C$4),D55+F56-J56-K56-L56+N56,AND($C$7="Y",B56&gt;$C$4),D55-J56-K56-L56+N56, TRUE, D55-J56-K56-L56+N56)</f>
        <v>10881609.574330801</v>
      </c>
      <c r="E56" s="48">
        <f t="shared" si="4"/>
        <v>0</v>
      </c>
      <c r="F56" s="50">
        <f t="shared" si="17"/>
        <v>0</v>
      </c>
      <c r="G56" s="50">
        <f t="shared" si="21"/>
        <v>0</v>
      </c>
      <c r="H56" s="51">
        <f t="shared" si="34"/>
        <v>196058.30731460446</v>
      </c>
      <c r="I56" s="52">
        <f t="shared" si="6"/>
        <v>181583.2373960152</v>
      </c>
      <c r="J56" s="52">
        <f t="shared" si="35"/>
        <v>14475.069918589259</v>
      </c>
      <c r="K56" s="51">
        <f t="shared" si="37"/>
        <v>46607.94382391432</v>
      </c>
      <c r="L56" s="49">
        <f t="shared" si="38"/>
        <v>46669.684611444587</v>
      </c>
      <c r="M56" s="49">
        <f t="shared" si="39"/>
        <v>-47698.344312394031</v>
      </c>
      <c r="N56" s="49">
        <f t="shared" si="29"/>
        <v>47698.344312394031</v>
      </c>
      <c r="O56" s="48">
        <f t="shared" si="32"/>
        <v>243694.91083946824</v>
      </c>
      <c r="P56" s="38">
        <f t="shared" si="36"/>
        <v>243694.91083946824</v>
      </c>
      <c r="Q56" s="53"/>
      <c r="R56" s="53">
        <f t="shared" si="12"/>
        <v>0.05</v>
      </c>
      <c r="S56" s="53">
        <f t="shared" si="13"/>
        <v>4.2653187775606449E-3</v>
      </c>
      <c r="T56" s="53">
        <f t="shared" si="14"/>
        <v>0.05</v>
      </c>
      <c r="U56" s="53">
        <f t="shared" si="20"/>
        <v>4.2653187775606449E-3</v>
      </c>
      <c r="V56" s="53"/>
      <c r="W56" s="63">
        <f t="shared" si="15"/>
        <v>777.82807685740988</v>
      </c>
      <c r="X56" s="64">
        <f t="shared" si="16"/>
        <v>8.5306375551212903E-4</v>
      </c>
      <c r="Z56" s="63"/>
    </row>
    <row r="57" spans="1:26" x14ac:dyDescent="0.2">
      <c r="A57" s="62">
        <f t="shared" si="1"/>
        <v>1.2508321687253929</v>
      </c>
      <c r="B57" s="45">
        <f t="shared" si="3"/>
        <v>46</v>
      </c>
      <c r="C57" s="49">
        <f t="shared" si="33"/>
        <v>10881609.574330801</v>
      </c>
      <c r="D57" s="47" cm="1">
        <f t="array" ref="D57">_xlfn.IFS(AND($C$7="Y",B57&lt;C$4),C57,AND($C$7="Y",B57=C$4),D56+F57-J57-K57-L57+N57,AND($C$7="Y",B57&gt;$C$4),D56-J57-K57-L57+N57, TRUE, D56-J57-K57-L57+N57)</f>
        <v>10821645.486829937</v>
      </c>
      <c r="E57" s="48">
        <f t="shared" si="4"/>
        <v>0</v>
      </c>
      <c r="F57" s="50">
        <f t="shared" si="17"/>
        <v>0</v>
      </c>
      <c r="G57" s="50">
        <f t="shared" si="21"/>
        <v>0</v>
      </c>
      <c r="H57" s="51">
        <f t="shared" si="34"/>
        <v>195226.61581969049</v>
      </c>
      <c r="I57" s="52">
        <f t="shared" si="6"/>
        <v>180586.6006780554</v>
      </c>
      <c r="J57" s="52">
        <f t="shared" si="35"/>
        <v>14640.015141635085</v>
      </c>
      <c r="K57" s="51">
        <f t="shared" si="37"/>
        <v>46351.089315989477</v>
      </c>
      <c r="L57" s="49">
        <f t="shared" si="38"/>
        <v>46413.533647476863</v>
      </c>
      <c r="M57" s="49">
        <f t="shared" si="39"/>
        <v>-47440.550604236363</v>
      </c>
      <c r="N57" s="49">
        <f t="shared" si="29"/>
        <v>47440.550604236363</v>
      </c>
      <c r="O57" s="48">
        <f t="shared" si="32"/>
        <v>242604.72209243948</v>
      </c>
      <c r="P57" s="38">
        <f t="shared" si="36"/>
        <v>242604.72209243948</v>
      </c>
      <c r="Q57" s="53"/>
      <c r="R57" s="53">
        <f t="shared" si="12"/>
        <v>0.05</v>
      </c>
      <c r="S57" s="53">
        <f t="shared" si="13"/>
        <v>4.2653187775606449E-3</v>
      </c>
      <c r="T57" s="53">
        <f t="shared" si="14"/>
        <v>0.05</v>
      </c>
      <c r="U57" s="53">
        <f t="shared" si="20"/>
        <v>4.2653187775606449E-3</v>
      </c>
      <c r="V57" s="53"/>
      <c r="W57" s="63">
        <f t="shared" si="15"/>
        <v>773.55889412461431</v>
      </c>
      <c r="X57" s="64">
        <f t="shared" si="16"/>
        <v>8.5306375551212892E-4</v>
      </c>
      <c r="Z57" s="63"/>
    </row>
    <row r="58" spans="1:26" x14ac:dyDescent="0.2">
      <c r="A58" s="62">
        <f t="shared" si="1"/>
        <v>1.2439113035091867</v>
      </c>
      <c r="B58" s="45">
        <f t="shared" si="3"/>
        <v>47</v>
      </c>
      <c r="C58" s="49">
        <f t="shared" si="33"/>
        <v>10821645.486829937</v>
      </c>
      <c r="D58" s="47" cm="1">
        <f t="array" ref="D58">_xlfn.IFS(AND($C$7="Y",B58&lt;C$4),C58,AND($C$7="Y",B58=C$4),D57+F58-J58-K58-L58+N58,AND($C$7="Y",B58&gt;$C$4),D57-J58-K58-L58+N58, TRUE, D57-J58-K58-L58+N58)</f>
        <v>10761769.228683941</v>
      </c>
      <c r="E58" s="48">
        <f t="shared" si="4"/>
        <v>0</v>
      </c>
      <c r="F58" s="50">
        <f t="shared" si="17"/>
        <v>0</v>
      </c>
      <c r="G58" s="50">
        <f t="shared" si="21"/>
        <v>0</v>
      </c>
      <c r="H58" s="51">
        <f t="shared" si="34"/>
        <v>194398.52442581856</v>
      </c>
      <c r="I58" s="52">
        <f t="shared" si="6"/>
        <v>179591.46198551427</v>
      </c>
      <c r="J58" s="52">
        <f t="shared" si="35"/>
        <v>14807.062440304289</v>
      </c>
      <c r="K58" s="51">
        <f t="shared" si="37"/>
        <v>46094.610857612992</v>
      </c>
      <c r="L58" s="49">
        <f t="shared" si="38"/>
        <v>46157.767699080134</v>
      </c>
      <c r="M58" s="49">
        <f t="shared" si="39"/>
        <v>-47183.182851001147</v>
      </c>
      <c r="N58" s="49">
        <f t="shared" si="29"/>
        <v>47183.182851001147</v>
      </c>
      <c r="O58" s="48">
        <f t="shared" si="32"/>
        <v>241518.55043535255</v>
      </c>
      <c r="P58" s="38">
        <f t="shared" si="36"/>
        <v>241518.55043535255</v>
      </c>
      <c r="Q58" s="53"/>
      <c r="R58" s="53">
        <f t="shared" si="12"/>
        <v>0.05</v>
      </c>
      <c r="S58" s="53">
        <f t="shared" si="13"/>
        <v>4.2653187775606449E-3</v>
      </c>
      <c r="T58" s="53">
        <f t="shared" si="14"/>
        <v>0.05</v>
      </c>
      <c r="U58" s="53">
        <f t="shared" si="20"/>
        <v>4.2653187775606449E-3</v>
      </c>
      <c r="V58" s="53"/>
      <c r="W58" s="63">
        <f t="shared" si="15"/>
        <v>769.29612831800216</v>
      </c>
      <c r="X58" s="64">
        <f t="shared" si="16"/>
        <v>8.5306375551212892E-4</v>
      </c>
      <c r="Z58" s="63"/>
    </row>
    <row r="59" spans="1:26" x14ac:dyDescent="0.2">
      <c r="A59" s="62">
        <f t="shared" si="1"/>
        <v>1.2370003066897088</v>
      </c>
      <c r="B59" s="45">
        <f t="shared" si="3"/>
        <v>48</v>
      </c>
      <c r="C59" s="49">
        <f t="shared" si="33"/>
        <v>10761769.228683941</v>
      </c>
      <c r="D59" s="47" cm="1">
        <f t="array" ref="D59">_xlfn.IFS(AND($C$7="Y",B59&lt;C$4),C59,AND($C$7="Y",B59=C$4),D58+F59-J59-K59-L59+N59,AND($C$7="Y",B59&gt;$C$4),D58-J59-K59-L59+N59, TRUE, D58-J59-K59-L59+N59)</f>
        <v>10701978.347532228</v>
      </c>
      <c r="E59" s="48">
        <f t="shared" si="4"/>
        <v>0</v>
      </c>
      <c r="F59" s="50">
        <f t="shared" si="17"/>
        <v>0</v>
      </c>
      <c r="G59" s="50">
        <f t="shared" si="21"/>
        <v>0</v>
      </c>
      <c r="H59" s="51">
        <f t="shared" si="34"/>
        <v>193574.01863278169</v>
      </c>
      <c r="I59" s="52">
        <f t="shared" si="6"/>
        <v>178597.78087188434</v>
      </c>
      <c r="J59" s="52">
        <f t="shared" si="35"/>
        <v>14976.237760897347</v>
      </c>
      <c r="K59" s="51">
        <f t="shared" si="37"/>
        <v>45838.497942741182</v>
      </c>
      <c r="L59" s="49">
        <f t="shared" si="38"/>
        <v>45902.376370879952</v>
      </c>
      <c r="M59" s="49">
        <f t="shared" si="39"/>
        <v>-46926.230922806761</v>
      </c>
      <c r="N59" s="49">
        <f t="shared" si="29"/>
        <v>46926.230922806761</v>
      </c>
      <c r="O59" s="48">
        <f t="shared" si="32"/>
        <v>240436.37112744967</v>
      </c>
      <c r="P59" s="38">
        <f t="shared" si="36"/>
        <v>240436.37112744967</v>
      </c>
      <c r="Q59" s="53"/>
      <c r="R59" s="53">
        <f t="shared" si="12"/>
        <v>0.05</v>
      </c>
      <c r="S59" s="53">
        <f t="shared" si="13"/>
        <v>4.2653187775606449E-3</v>
      </c>
      <c r="T59" s="53">
        <f t="shared" si="14"/>
        <v>0.05</v>
      </c>
      <c r="U59" s="53">
        <f t="shared" si="20"/>
        <v>4.2653187775606449E-3</v>
      </c>
      <c r="V59" s="53"/>
      <c r="W59" s="63">
        <f t="shared" si="15"/>
        <v>765.0396061813326</v>
      </c>
      <c r="X59" s="64">
        <f t="shared" si="16"/>
        <v>8.5306375551212903E-4</v>
      </c>
      <c r="Z59" s="63"/>
    </row>
    <row r="60" spans="1:26" x14ac:dyDescent="0.2">
      <c r="A60" s="62">
        <f t="shared" si="1"/>
        <v>1.2300988930220149</v>
      </c>
      <c r="B60" s="45">
        <f t="shared" si="3"/>
        <v>49</v>
      </c>
      <c r="C60" s="49">
        <f t="shared" si="33"/>
        <v>10701978.347532228</v>
      </c>
      <c r="D60" s="47" cm="1">
        <f t="array" ref="D60">_xlfn.IFS(AND($C$7="Y",B60&lt;C$4),C60,AND($C$7="Y",B60=C$4),D59+F60-J60-K60-L60+N60,AND($C$7="Y",B60&gt;$C$4),D59-J60-K60-L60+N60, TRUE, D59-J60-K60-L60+N60)</f>
        <v>10642270.375561975</v>
      </c>
      <c r="E60" s="48">
        <f t="shared" si="4"/>
        <v>0</v>
      </c>
      <c r="F60" s="50">
        <f t="shared" si="17"/>
        <v>0</v>
      </c>
      <c r="G60" s="50">
        <f t="shared" si="21"/>
        <v>0</v>
      </c>
      <c r="H60" s="51">
        <f t="shared" si="34"/>
        <v>192753.08401854889</v>
      </c>
      <c r="I60" s="52">
        <f t="shared" si="6"/>
        <v>177605.51663882416</v>
      </c>
      <c r="J60" s="52">
        <f t="shared" si="35"/>
        <v>15147.567379724729</v>
      </c>
      <c r="K60" s="51">
        <f t="shared" si="37"/>
        <v>45582.739999197547</v>
      </c>
      <c r="L60" s="49">
        <f t="shared" si="38"/>
        <v>45647.349202776655</v>
      </c>
      <c r="M60" s="49">
        <f t="shared" si="39"/>
        <v>-46669.684611444587</v>
      </c>
      <c r="N60" s="49">
        <f t="shared" si="29"/>
        <v>46669.684611444587</v>
      </c>
      <c r="O60" s="48">
        <f t="shared" si="32"/>
        <v>239358.15942641438</v>
      </c>
      <c r="P60" s="38">
        <f t="shared" si="36"/>
        <v>239358.15942641438</v>
      </c>
      <c r="Q60" s="53"/>
      <c r="R60" s="53">
        <f t="shared" si="12"/>
        <v>0.05</v>
      </c>
      <c r="S60" s="53">
        <f t="shared" si="13"/>
        <v>4.2653187775606449E-3</v>
      </c>
      <c r="T60" s="53">
        <f t="shared" si="14"/>
        <v>0.05</v>
      </c>
      <c r="U60" s="53">
        <f t="shared" si="20"/>
        <v>4.2653187775606449E-3</v>
      </c>
      <c r="V60" s="53"/>
      <c r="W60" s="63">
        <f t="shared" si="15"/>
        <v>760.78915337961098</v>
      </c>
      <c r="X60" s="64">
        <f t="shared" si="16"/>
        <v>8.5306375551212914E-4</v>
      </c>
      <c r="Z60" s="63"/>
    </row>
    <row r="61" spans="1:26" x14ac:dyDescent="0.2">
      <c r="A61" s="62">
        <f t="shared" si="1"/>
        <v>1.2232067754447713</v>
      </c>
      <c r="B61" s="45">
        <f t="shared" si="3"/>
        <v>50</v>
      </c>
      <c r="C61" s="49">
        <f t="shared" si="33"/>
        <v>10642270.375561975</v>
      </c>
      <c r="D61" s="47" cm="1">
        <f t="array" ref="D61">_xlfn.IFS(AND($C$7="Y",B61&lt;C$4),C61,AND($C$7="Y",B61=C$4),D60+F61-J61-K61-L61+N61,AND($C$7="Y",B61&gt;$C$4),D60-J61-K61-L61+N61, TRUE, D60-J61-K61-L61+N61)</f>
        <v>10582642.829245765</v>
      </c>
      <c r="E61" s="48">
        <f t="shared" si="4"/>
        <v>0</v>
      </c>
      <c r="F61" s="50">
        <f t="shared" si="17"/>
        <v>0</v>
      </c>
      <c r="G61" s="50">
        <f t="shared" si="21"/>
        <v>0</v>
      </c>
      <c r="H61" s="51">
        <f t="shared" si="34"/>
        <v>191935.70623900977</v>
      </c>
      <c r="I61" s="52">
        <f t="shared" si="6"/>
        <v>176614.62833155354</v>
      </c>
      <c r="J61" s="52">
        <f t="shared" si="35"/>
        <v>15321.077907456231</v>
      </c>
      <c r="K61" s="51">
        <f t="shared" si="37"/>
        <v>45327.326387470726</v>
      </c>
      <c r="L61" s="49">
        <f t="shared" si="38"/>
        <v>45392.675668761869</v>
      </c>
      <c r="M61" s="49">
        <f t="shared" si="39"/>
        <v>-46413.533647476863</v>
      </c>
      <c r="N61" s="49">
        <f t="shared" si="29"/>
        <v>46413.533647476863</v>
      </c>
      <c r="O61" s="48">
        <f t="shared" si="32"/>
        <v>238283.89060519551</v>
      </c>
      <c r="P61" s="38">
        <f t="shared" si="36"/>
        <v>238283.89060519551</v>
      </c>
      <c r="Q61" s="53"/>
      <c r="R61" s="53">
        <f t="shared" si="12"/>
        <v>0.05</v>
      </c>
      <c r="S61" s="53">
        <f t="shared" si="13"/>
        <v>4.2653187775606449E-3</v>
      </c>
      <c r="T61" s="53">
        <f t="shared" si="14"/>
        <v>0.05</v>
      </c>
      <c r="U61" s="53">
        <f t="shared" si="20"/>
        <v>4.2653187775606449E-3</v>
      </c>
      <c r="V61" s="53"/>
      <c r="W61" s="63">
        <f t="shared" si="15"/>
        <v>756.54459447936449</v>
      </c>
      <c r="X61" s="64">
        <f t="shared" si="16"/>
        <v>8.5306375551212892E-4</v>
      </c>
      <c r="Z61" s="63"/>
    </row>
    <row r="62" spans="1:26" x14ac:dyDescent="0.2">
      <c r="A62" s="62">
        <f t="shared" si="1"/>
        <v>1.2163236650495468</v>
      </c>
      <c r="B62" s="45">
        <f t="shared" si="3"/>
        <v>51</v>
      </c>
      <c r="C62" s="49">
        <f t="shared" si="33"/>
        <v>10582642.829245765</v>
      </c>
      <c r="D62" s="47" cm="1">
        <f t="array" ref="D62">_xlfn.IFS(AND($C$7="Y",B62&lt;C$4),C62,AND($C$7="Y",B62=C$4),D61+F62-J62-K62-L62+N62,AND($C$7="Y",B62&gt;$C$4),D61-J62-K62-L62+N62, TRUE, D61-J62-K62-L62+N62)</f>
        <v>10523093.209075909</v>
      </c>
      <c r="E62" s="48">
        <f t="shared" si="4"/>
        <v>0</v>
      </c>
      <c r="F62" s="50">
        <f t="shared" si="17"/>
        <v>0</v>
      </c>
      <c r="G62" s="50">
        <f t="shared" si="21"/>
        <v>0</v>
      </c>
      <c r="H62" s="51">
        <f t="shared" si="34"/>
        <v>191121.87102806053</v>
      </c>
      <c r="I62" s="52">
        <f t="shared" si="6"/>
        <v>175625.07473449942</v>
      </c>
      <c r="J62" s="52">
        <f t="shared" si="35"/>
        <v>15496.796293561114</v>
      </c>
      <c r="K62" s="51">
        <f t="shared" si="37"/>
        <v>45072.246399576514</v>
      </c>
      <c r="L62" s="49">
        <f t="shared" si="38"/>
        <v>45138.34517579947</v>
      </c>
      <c r="M62" s="49">
        <f t="shared" si="39"/>
        <v>-46157.767699080134</v>
      </c>
      <c r="N62" s="49">
        <f t="shared" si="29"/>
        <v>46157.767699080134</v>
      </c>
      <c r="O62" s="48">
        <f t="shared" si="32"/>
        <v>237213.53995091771</v>
      </c>
      <c r="P62" s="38">
        <f t="shared" si="36"/>
        <v>237213.53995091771</v>
      </c>
      <c r="Q62" s="53"/>
      <c r="R62" s="53">
        <f t="shared" si="12"/>
        <v>0.05</v>
      </c>
      <c r="S62" s="53">
        <f t="shared" si="13"/>
        <v>4.2653187775606449E-3</v>
      </c>
      <c r="T62" s="53">
        <f t="shared" si="14"/>
        <v>0.05</v>
      </c>
      <c r="U62" s="53">
        <f t="shared" si="20"/>
        <v>4.2653187775606449E-3</v>
      </c>
      <c r="V62" s="53"/>
      <c r="W62" s="63">
        <f t="shared" si="15"/>
        <v>752.30575292999117</v>
      </c>
      <c r="X62" s="64">
        <f t="shared" si="16"/>
        <v>8.5306375551212892E-4</v>
      </c>
      <c r="Z62" s="63"/>
    </row>
    <row r="63" spans="1:26" x14ac:dyDescent="0.2">
      <c r="A63" s="62">
        <f t="shared" si="1"/>
        <v>1.2094492710497113</v>
      </c>
      <c r="B63" s="45">
        <f t="shared" si="3"/>
        <v>52</v>
      </c>
      <c r="C63" s="49">
        <f t="shared" si="33"/>
        <v>10523093.209075909</v>
      </c>
      <c r="D63" s="47" cm="1">
        <f t="array" ref="D63">_xlfn.IFS(AND($C$7="Y",B63&lt;C$4),C63,AND($C$7="Y",B63=C$4),D62+F63-J63-K63-L63+N63,AND($C$7="Y",B63&gt;$C$4),D62-J63-K63-L63+N63, TRUE, D62-J63-K63-L63+N63)</f>
        <v>10463618.999295378</v>
      </c>
      <c r="E63" s="48">
        <f t="shared" si="4"/>
        <v>0</v>
      </c>
      <c r="F63" s="50">
        <f t="shared" si="17"/>
        <v>0</v>
      </c>
      <c r="G63" s="50">
        <f t="shared" si="21"/>
        <v>0</v>
      </c>
      <c r="H63" s="51">
        <f t="shared" si="34"/>
        <v>190311.56419770152</v>
      </c>
      <c r="I63" s="52">
        <f t="shared" si="6"/>
        <v>174636.81436688695</v>
      </c>
      <c r="J63" s="52">
        <f t="shared" si="35"/>
        <v>15674.749830814573</v>
      </c>
      <c r="K63" s="51">
        <f t="shared" si="37"/>
        <v>44817.489257905443</v>
      </c>
      <c r="L63" s="49">
        <f t="shared" si="38"/>
        <v>44884.347062692381</v>
      </c>
      <c r="M63" s="49">
        <f t="shared" si="39"/>
        <v>-45902.376370879952</v>
      </c>
      <c r="N63" s="49">
        <f t="shared" si="29"/>
        <v>45902.376370879952</v>
      </c>
      <c r="O63" s="48">
        <f t="shared" si="32"/>
        <v>236147.08276379452</v>
      </c>
      <c r="P63" s="38">
        <f t="shared" si="36"/>
        <v>236147.08276379452</v>
      </c>
      <c r="Q63" s="53"/>
      <c r="R63" s="53">
        <f t="shared" si="12"/>
        <v>0.05</v>
      </c>
      <c r="S63" s="53">
        <f t="shared" si="13"/>
        <v>4.2653187775606449E-3</v>
      </c>
      <c r="T63" s="53">
        <f t="shared" si="14"/>
        <v>0.05</v>
      </c>
      <c r="U63" s="53">
        <f t="shared" si="20"/>
        <v>4.2653187775606449E-3</v>
      </c>
      <c r="V63" s="53"/>
      <c r="W63" s="63">
        <f t="shared" si="15"/>
        <v>748.07245104487311</v>
      </c>
      <c r="X63" s="64">
        <f t="shared" si="16"/>
        <v>8.5306375551212914E-4</v>
      </c>
      <c r="Z63" s="63"/>
    </row>
    <row r="64" spans="1:26" x14ac:dyDescent="0.2">
      <c r="A64" s="62">
        <f t="shared" si="1"/>
        <v>1.2025833007489379</v>
      </c>
      <c r="B64" s="45">
        <f t="shared" si="3"/>
        <v>53</v>
      </c>
      <c r="C64" s="49">
        <f t="shared" si="33"/>
        <v>10463618.999295378</v>
      </c>
      <c r="D64" s="47" cm="1">
        <f t="array" ref="D64">_xlfn.IFS(AND($C$7="Y",B64&lt;C$4),C64,AND($C$7="Y",B64=C$4),D63+F64-J64-K64-L64+N64,AND($C$7="Y",B64&gt;$C$4),D63-J64-K64-L64+N64, TRUE, D63-J64-K64-L64+N64)</f>
        <v>10404217.667625291</v>
      </c>
      <c r="E64" s="48">
        <f t="shared" si="4"/>
        <v>0</v>
      </c>
      <c r="F64" s="50">
        <f t="shared" si="17"/>
        <v>0</v>
      </c>
      <c r="G64" s="50">
        <f t="shared" si="21"/>
        <v>0</v>
      </c>
      <c r="H64" s="51">
        <f t="shared" si="34"/>
        <v>189504.7716381466</v>
      </c>
      <c r="I64" s="52">
        <f t="shared" si="6"/>
        <v>173649.80547827404</v>
      </c>
      <c r="J64" s="52">
        <f t="shared" si="35"/>
        <v>15854.966159872565</v>
      </c>
      <c r="K64" s="51">
        <f t="shared" si="37"/>
        <v>44563.044114055607</v>
      </c>
      <c r="L64" s="49">
        <f t="shared" si="38"/>
        <v>44630.670598934899</v>
      </c>
      <c r="M64" s="49">
        <f t="shared" si="39"/>
        <v>-45647.349202776655</v>
      </c>
      <c r="N64" s="49">
        <f t="shared" si="29"/>
        <v>45647.349202776655</v>
      </c>
      <c r="O64" s="48">
        <f t="shared" si="32"/>
        <v>235084.49435604396</v>
      </c>
      <c r="P64" s="38">
        <f t="shared" si="36"/>
        <v>235084.49435604396</v>
      </c>
      <c r="Q64" s="53"/>
      <c r="R64" s="53">
        <f t="shared" si="12"/>
        <v>0.05</v>
      </c>
      <c r="S64" s="53">
        <f t="shared" si="13"/>
        <v>4.2653187775606449E-3</v>
      </c>
      <c r="T64" s="53">
        <f t="shared" si="14"/>
        <v>0.05</v>
      </c>
      <c r="U64" s="53">
        <f t="shared" si="20"/>
        <v>4.2653187775606449E-3</v>
      </c>
      <c r="V64" s="53"/>
      <c r="W64" s="63">
        <f t="shared" si="15"/>
        <v>743.84450998224838</v>
      </c>
      <c r="X64" s="64">
        <f t="shared" si="16"/>
        <v>8.5306375551212903E-4</v>
      </c>
      <c r="Z64" s="63"/>
    </row>
    <row r="65" spans="1:26" x14ac:dyDescent="0.2">
      <c r="A65" s="62">
        <f t="shared" si="1"/>
        <v>1.1957254595093036</v>
      </c>
      <c r="B65" s="45">
        <f t="shared" si="3"/>
        <v>54</v>
      </c>
      <c r="C65" s="49">
        <f t="shared" si="33"/>
        <v>10404217.667625291</v>
      </c>
      <c r="D65" s="47" cm="1">
        <f t="array" ref="D65">_xlfn.IFS(AND($C$7="Y",B65&lt;C$4),C65,AND($C$7="Y",B65=C$4),D64+F65-J65-K65-L65+N65,AND($C$7="Y",B65&gt;$C$4),D64-J65-K65-L65+N65, TRUE, D64-J65-K65-L65+N65)</f>
        <v>10344886.664988935</v>
      </c>
      <c r="E65" s="48">
        <f t="shared" si="4"/>
        <v>0</v>
      </c>
      <c r="F65" s="50">
        <f t="shared" si="17"/>
        <v>0</v>
      </c>
      <c r="G65" s="50">
        <f t="shared" si="21"/>
        <v>0</v>
      </c>
      <c r="H65" s="51">
        <f t="shared" si="34"/>
        <v>188701.47931794458</v>
      </c>
      <c r="I65" s="52">
        <f t="shared" si="6"/>
        <v>172664.006044029</v>
      </c>
      <c r="J65" s="52">
        <f t="shared" si="35"/>
        <v>16037.473273915588</v>
      </c>
      <c r="K65" s="51">
        <f t="shared" si="37"/>
        <v>44308.90004765051</v>
      </c>
      <c r="L65" s="49">
        <f t="shared" si="38"/>
        <v>44377.30498355037</v>
      </c>
      <c r="M65" s="49">
        <f t="shared" si="39"/>
        <v>-45392.675668761869</v>
      </c>
      <c r="N65" s="49">
        <f t="shared" si="29"/>
        <v>45392.675668761869</v>
      </c>
      <c r="O65" s="48">
        <f t="shared" si="32"/>
        <v>234025.75005080659</v>
      </c>
      <c r="P65" s="38">
        <f t="shared" si="36"/>
        <v>234025.75005080659</v>
      </c>
      <c r="Q65" s="53"/>
      <c r="R65" s="53">
        <f t="shared" si="12"/>
        <v>0.05</v>
      </c>
      <c r="S65" s="53">
        <f t="shared" si="13"/>
        <v>4.2653187775606449E-3</v>
      </c>
      <c r="T65" s="53">
        <f t="shared" si="14"/>
        <v>0.05</v>
      </c>
      <c r="U65" s="53">
        <f t="shared" si="20"/>
        <v>4.2653187775606449E-3</v>
      </c>
      <c r="V65" s="53"/>
      <c r="W65" s="63">
        <f t="shared" si="15"/>
        <v>739.62174972583955</v>
      </c>
      <c r="X65" s="64">
        <f t="shared" si="16"/>
        <v>8.5306375551212903E-4</v>
      </c>
      <c r="Z65" s="63"/>
    </row>
    <row r="66" spans="1:26" x14ac:dyDescent="0.2">
      <c r="A66" s="62">
        <f t="shared" si="1"/>
        <v>1.1888754507189878</v>
      </c>
      <c r="B66" s="45">
        <f t="shared" si="3"/>
        <v>55</v>
      </c>
      <c r="C66" s="49">
        <f t="shared" si="33"/>
        <v>10344886.664988935</v>
      </c>
      <c r="D66" s="47" cm="1">
        <f t="array" ref="D66">_xlfn.IFS(AND($C$7="Y",B66&lt;C$4),C66,AND($C$7="Y",B66=C$4),D65+F66-J66-K66-L66+N66,AND($C$7="Y",B66&gt;$C$4),D65-J66-K66-L66+N66, TRUE, D65-J66-K66-L66+N66)</f>
        <v>10285623.425232314</v>
      </c>
      <c r="E66" s="48">
        <f t="shared" si="4"/>
        <v>0</v>
      </c>
      <c r="F66" s="50">
        <f t="shared" si="17"/>
        <v>0</v>
      </c>
      <c r="G66" s="50">
        <f t="shared" si="21"/>
        <v>0</v>
      </c>
      <c r="H66" s="51">
        <f t="shared" si="34"/>
        <v>187901.67328411431</v>
      </c>
      <c r="I66" s="52">
        <f t="shared" si="6"/>
        <v>171679.37376075034</v>
      </c>
      <c r="J66" s="52">
        <f t="shared" si="35"/>
        <v>16222.299523363967</v>
      </c>
      <c r="K66" s="51">
        <f t="shared" si="37"/>
        <v>44055.046065141803</v>
      </c>
      <c r="L66" s="49">
        <f t="shared" si="38"/>
        <v>44124.239343914021</v>
      </c>
      <c r="M66" s="49">
        <f t="shared" si="39"/>
        <v>-45138.34517579947</v>
      </c>
      <c r="N66" s="49">
        <f t="shared" si="29"/>
        <v>45138.34517579947</v>
      </c>
      <c r="O66" s="48">
        <f t="shared" si="32"/>
        <v>232970.82518114155</v>
      </c>
      <c r="P66" s="38">
        <f t="shared" si="36"/>
        <v>232970.82518114155</v>
      </c>
      <c r="Q66" s="53"/>
      <c r="R66" s="53">
        <f t="shared" si="12"/>
        <v>0.05</v>
      </c>
      <c r="S66" s="53">
        <f t="shared" si="13"/>
        <v>4.2653187775606449E-3</v>
      </c>
      <c r="T66" s="53">
        <f t="shared" si="14"/>
        <v>0.05</v>
      </c>
      <c r="U66" s="53">
        <f t="shared" si="20"/>
        <v>4.2653187775606449E-3</v>
      </c>
      <c r="V66" s="53"/>
      <c r="W66" s="63">
        <f t="shared" si="15"/>
        <v>735.40398906523376</v>
      </c>
      <c r="X66" s="64">
        <f t="shared" si="16"/>
        <v>8.5306375551212903E-4</v>
      </c>
      <c r="Z66" s="63"/>
    </row>
    <row r="67" spans="1:26" x14ac:dyDescent="0.2">
      <c r="A67" s="62">
        <f t="shared" si="1"/>
        <v>1.182032975759566</v>
      </c>
      <c r="B67" s="45">
        <f t="shared" si="3"/>
        <v>56</v>
      </c>
      <c r="C67" s="49">
        <f t="shared" si="33"/>
        <v>10285623.425232314</v>
      </c>
      <c r="D67" s="47" cm="1">
        <f t="array" ref="D67">_xlfn.IFS(AND($C$7="Y",B67&lt;C$4),C67,AND($C$7="Y",B67=C$4),D66+F67-J67-K67-L67+N67,AND($C$7="Y",B67&gt;$C$4),D66-J67-K67-L67+N67, TRUE, D66-J67-K67-L67+N67)</f>
        <v>10226425.364841184</v>
      </c>
      <c r="E67" s="48">
        <f t="shared" si="4"/>
        <v>0</v>
      </c>
      <c r="F67" s="50">
        <f t="shared" si="17"/>
        <v>0</v>
      </c>
      <c r="G67" s="50">
        <f t="shared" si="21"/>
        <v>0</v>
      </c>
      <c r="H67" s="51">
        <f t="shared" si="34"/>
        <v>187105.3396622944</v>
      </c>
      <c r="I67" s="52">
        <f t="shared" si="6"/>
        <v>170695.8660416292</v>
      </c>
      <c r="J67" s="52">
        <f t="shared" si="35"/>
        <v>16409.473620665201</v>
      </c>
      <c r="K67" s="51">
        <f t="shared" si="37"/>
        <v>43801.471098596921</v>
      </c>
      <c r="L67" s="49">
        <f t="shared" si="38"/>
        <v>43871.462734561028</v>
      </c>
      <c r="M67" s="49">
        <f t="shared" si="39"/>
        <v>-44884.347062692381</v>
      </c>
      <c r="N67" s="49">
        <f t="shared" si="29"/>
        <v>44884.347062692381</v>
      </c>
      <c r="O67" s="48">
        <f t="shared" si="32"/>
        <v>231919.69508902269</v>
      </c>
      <c r="P67" s="38">
        <f t="shared" si="36"/>
        <v>231919.69508902269</v>
      </c>
      <c r="Q67" s="53"/>
      <c r="R67" s="53">
        <f t="shared" si="12"/>
        <v>0.05</v>
      </c>
      <c r="S67" s="53">
        <f t="shared" si="13"/>
        <v>4.2653187775606449E-3</v>
      </c>
      <c r="T67" s="53">
        <f t="shared" si="14"/>
        <v>0.05</v>
      </c>
      <c r="U67" s="53">
        <f t="shared" si="20"/>
        <v>4.2653187775606449E-3</v>
      </c>
      <c r="V67" s="53"/>
      <c r="W67" s="63">
        <f t="shared" si="15"/>
        <v>731.19104557601713</v>
      </c>
      <c r="X67" s="64">
        <f t="shared" si="16"/>
        <v>8.5306375551212903E-4</v>
      </c>
      <c r="Z67" s="63"/>
    </row>
    <row r="68" spans="1:26" x14ac:dyDescent="0.2">
      <c r="A68" s="62">
        <f t="shared" si="1"/>
        <v>1.1751977339728896</v>
      </c>
      <c r="B68" s="45">
        <f t="shared" si="3"/>
        <v>57</v>
      </c>
      <c r="C68" s="49">
        <f t="shared" si="33"/>
        <v>10226425.364841184</v>
      </c>
      <c r="D68" s="47" cm="1">
        <f t="array" ref="D68">_xlfn.IFS(AND($C$7="Y",B68&lt;C$4),C68,AND($C$7="Y",B68=C$4),D67+F68-J68-K68-L68+N68,AND($C$7="Y",B68&gt;$C$4),D67-J68-K68-L68+N68, TRUE, D67-J68-K68-L68+N68)</f>
        <v>10167289.882654512</v>
      </c>
      <c r="E68" s="48">
        <f t="shared" si="4"/>
        <v>0</v>
      </c>
      <c r="F68" s="50">
        <f t="shared" si="17"/>
        <v>0</v>
      </c>
      <c r="G68" s="50">
        <f t="shared" si="21"/>
        <v>0</v>
      </c>
      <c r="H68" s="51">
        <f t="shared" si="34"/>
        <v>186312.46465690841</v>
      </c>
      <c r="I68" s="52">
        <f t="shared" si="6"/>
        <v>169713.44001175341</v>
      </c>
      <c r="J68" s="52">
        <f t="shared" si="35"/>
        <v>16599.024645155005</v>
      </c>
      <c r="K68" s="51">
        <f t="shared" si="37"/>
        <v>43548.1640044714</v>
      </c>
      <c r="L68" s="49">
        <f t="shared" si="38"/>
        <v>43618.964135979571</v>
      </c>
      <c r="M68" s="49">
        <f t="shared" si="39"/>
        <v>-44630.670598934899</v>
      </c>
      <c r="N68" s="49">
        <f t="shared" si="29"/>
        <v>44630.670598934899</v>
      </c>
      <c r="O68" s="48">
        <f t="shared" si="32"/>
        <v>230872.33512433514</v>
      </c>
      <c r="P68" s="38">
        <f t="shared" si="36"/>
        <v>230872.33512433514</v>
      </c>
      <c r="Q68" s="53"/>
      <c r="R68" s="53">
        <f t="shared" si="12"/>
        <v>0.05</v>
      </c>
      <c r="S68" s="53">
        <f t="shared" si="13"/>
        <v>4.2653187775606449E-3</v>
      </c>
      <c r="T68" s="53">
        <f t="shared" si="14"/>
        <v>0.05</v>
      </c>
      <c r="U68" s="53">
        <f t="shared" si="20"/>
        <v>4.2653187775606449E-3</v>
      </c>
      <c r="V68" s="53"/>
      <c r="W68" s="63">
        <f t="shared" si="15"/>
        <v>726.98273559965958</v>
      </c>
      <c r="X68" s="64">
        <f t="shared" si="16"/>
        <v>8.5306375551212914E-4</v>
      </c>
      <c r="Z68" s="63"/>
    </row>
    <row r="69" spans="1:26" x14ac:dyDescent="0.2">
      <c r="A69" s="62">
        <f t="shared" si="1"/>
        <v>1.1683694226275476</v>
      </c>
      <c r="B69" s="45">
        <f t="shared" si="3"/>
        <v>58</v>
      </c>
      <c r="C69" s="49">
        <f t="shared" si="33"/>
        <v>10167289.882654512</v>
      </c>
      <c r="D69" s="47" cm="1">
        <f t="array" ref="D69">_xlfn.IFS(AND($C$7="Y",B69&lt;C$4),C69,AND($C$7="Y",B69=C$4),D68+F69-J69-K69-L69+N69,AND($C$7="Y",B69&gt;$C$4),D68-J69-K69-L69+N69, TRUE, D68-J69-K69-L69+N69)</f>
        <v>10108214.359574314</v>
      </c>
      <c r="E69" s="48">
        <f t="shared" si="4"/>
        <v>0</v>
      </c>
      <c r="F69" s="50">
        <f t="shared" si="17"/>
        <v>0</v>
      </c>
      <c r="G69" s="50">
        <f t="shared" si="21"/>
        <v>0</v>
      </c>
      <c r="H69" s="51">
        <f t="shared" si="34"/>
        <v>185523.03455134659</v>
      </c>
      <c r="I69" s="52">
        <f t="shared" si="6"/>
        <v>168732.05250335205</v>
      </c>
      <c r="J69" s="52">
        <f t="shared" si="35"/>
        <v>16790.982047994534</v>
      </c>
      <c r="K69" s="51">
        <f t="shared" si="37"/>
        <v>43295.113562365666</v>
      </c>
      <c r="L69" s="49">
        <f t="shared" si="38"/>
        <v>43366.732453388657</v>
      </c>
      <c r="M69" s="49">
        <f t="shared" si="39"/>
        <v>-44377.30498355037</v>
      </c>
      <c r="N69" s="49">
        <f t="shared" si="29"/>
        <v>44377.30498355037</v>
      </c>
      <c r="O69" s="48">
        <f t="shared" si="32"/>
        <v>229828.72064387397</v>
      </c>
      <c r="P69" s="38">
        <f t="shared" si="36"/>
        <v>229828.72064387397</v>
      </c>
      <c r="Q69" s="53"/>
      <c r="R69" s="53">
        <f t="shared" si="12"/>
        <v>0.05</v>
      </c>
      <c r="S69" s="53">
        <f t="shared" si="13"/>
        <v>4.2653187775606449E-3</v>
      </c>
      <c r="T69" s="53">
        <f t="shared" si="14"/>
        <v>0.05</v>
      </c>
      <c r="U69" s="53">
        <f t="shared" si="20"/>
        <v>4.2653187775606449E-3</v>
      </c>
      <c r="V69" s="53"/>
      <c r="W69" s="63">
        <f t="shared" si="15"/>
        <v>722.77887422314427</v>
      </c>
      <c r="X69" s="64">
        <f t="shared" si="16"/>
        <v>8.5306375551212903E-4</v>
      </c>
      <c r="Z69" s="63"/>
    </row>
    <row r="70" spans="1:26" x14ac:dyDescent="0.2">
      <c r="A70" s="62">
        <f t="shared" si="1"/>
        <v>1.1615477368848972</v>
      </c>
      <c r="B70" s="45">
        <f t="shared" si="3"/>
        <v>59</v>
      </c>
      <c r="C70" s="49">
        <f t="shared" si="33"/>
        <v>10108214.359574314</v>
      </c>
      <c r="D70" s="47" cm="1">
        <f t="array" ref="D70">_xlfn.IFS(AND($C$7="Y",B70&lt;C$4),C70,AND($C$7="Y",B70=C$4),D69+F70-J70-K70-L70+N70,AND($C$7="Y",B70&gt;$C$4),D69-J70-K70-L70+N70, TRUE, D69-J70-K70-L70+N70)</f>
        <v>10049196.158271777</v>
      </c>
      <c r="E70" s="48">
        <f t="shared" si="4"/>
        <v>0</v>
      </c>
      <c r="F70" s="50">
        <f t="shared" si="17"/>
        <v>0</v>
      </c>
      <c r="G70" s="50">
        <f t="shared" si="21"/>
        <v>0</v>
      </c>
      <c r="H70" s="51">
        <f t="shared" si="34"/>
        <v>184737.0357081641</v>
      </c>
      <c r="I70" s="52">
        <f t="shared" si="6"/>
        <v>167751.66005098022</v>
      </c>
      <c r="J70" s="52">
        <f t="shared" si="35"/>
        <v>16985.375657183875</v>
      </c>
      <c r="K70" s="51">
        <f t="shared" si="37"/>
        <v>43042.308473765959</v>
      </c>
      <c r="L70" s="49">
        <f t="shared" si="38"/>
        <v>43114.75651550047</v>
      </c>
      <c r="M70" s="49">
        <f t="shared" si="39"/>
        <v>-44124.239343914021</v>
      </c>
      <c r="N70" s="49">
        <f t="shared" si="29"/>
        <v>44124.239343914021</v>
      </c>
      <c r="O70" s="48">
        <f t="shared" si="32"/>
        <v>228788.82701034361</v>
      </c>
      <c r="P70" s="38">
        <f t="shared" si="36"/>
        <v>228788.82701034361</v>
      </c>
      <c r="Q70" s="53"/>
      <c r="R70" s="53">
        <f t="shared" si="12"/>
        <v>0.05</v>
      </c>
      <c r="S70" s="53">
        <f t="shared" si="13"/>
        <v>4.2653187775606449E-3</v>
      </c>
      <c r="T70" s="53">
        <f t="shared" si="14"/>
        <v>0.05</v>
      </c>
      <c r="U70" s="53">
        <f t="shared" si="20"/>
        <v>4.2653187775606449E-3</v>
      </c>
      <c r="V70" s="53"/>
      <c r="W70" s="63">
        <f t="shared" si="15"/>
        <v>718.57927525834123</v>
      </c>
      <c r="X70" s="64">
        <f t="shared" si="16"/>
        <v>8.5306375551212903E-4</v>
      </c>
      <c r="Z70" s="63"/>
    </row>
    <row r="71" spans="1:26" x14ac:dyDescent="0.2">
      <c r="A71" s="62">
        <f t="shared" si="1"/>
        <v>1.1547323697646652</v>
      </c>
      <c r="B71" s="45">
        <f t="shared" si="3"/>
        <v>60</v>
      </c>
      <c r="C71" s="49">
        <f t="shared" si="33"/>
        <v>10049196.158271777</v>
      </c>
      <c r="D71" s="47" cm="1">
        <f t="array" ref="D71">_xlfn.IFS(AND($C$7="Y",B71&lt;C$4),C71,AND($C$7="Y",B71=C$4),D70+F71-J71-K71-L71+N71,AND($C$7="Y",B71&gt;$C$4),D70-J71-K71-L71+N71, TRUE, D70-J71-K71-L71+N71)</f>
        <v>9990232.6228896454</v>
      </c>
      <c r="E71" s="48">
        <f t="shared" si="4"/>
        <v>0</v>
      </c>
      <c r="F71" s="50">
        <f t="shared" si="17"/>
        <v>0</v>
      </c>
      <c r="G71" s="50">
        <f t="shared" si="21"/>
        <v>0</v>
      </c>
      <c r="H71" s="51">
        <f t="shared" si="34"/>
        <v>183954.45456929668</v>
      </c>
      <c r="I71" s="52">
        <f t="shared" si="6"/>
        <v>166772.21888664181</v>
      </c>
      <c r="J71" s="52">
        <f t="shared" si="35"/>
        <v>17182.235682654864</v>
      </c>
      <c r="K71" s="51">
        <f t="shared" si="37"/>
        <v>42789.737360769199</v>
      </c>
      <c r="L71" s="49">
        <f t="shared" si="38"/>
        <v>42863.025073266901</v>
      </c>
      <c r="M71" s="49">
        <f t="shared" si="39"/>
        <v>-43871.462734561028</v>
      </c>
      <c r="N71" s="49">
        <f t="shared" si="29"/>
        <v>43871.462734561028</v>
      </c>
      <c r="O71" s="48">
        <f t="shared" si="32"/>
        <v>227752.62959136002</v>
      </c>
      <c r="P71" s="38">
        <f t="shared" si="36"/>
        <v>227752.62959136002</v>
      </c>
      <c r="Q71" s="53"/>
      <c r="R71" s="53">
        <f t="shared" si="12"/>
        <v>0.05</v>
      </c>
      <c r="S71" s="53">
        <f t="shared" si="13"/>
        <v>4.2653187775606449E-3</v>
      </c>
      <c r="T71" s="53">
        <f t="shared" si="14"/>
        <v>0.05</v>
      </c>
      <c r="U71" s="53">
        <f t="shared" si="20"/>
        <v>4.2653187775606449E-3</v>
      </c>
      <c r="V71" s="53"/>
      <c r="W71" s="63">
        <f t="shared" si="15"/>
        <v>714.38375122111495</v>
      </c>
      <c r="X71" s="64">
        <f t="shared" si="16"/>
        <v>8.5306375551212892E-4</v>
      </c>
      <c r="Z71" s="63"/>
    </row>
    <row r="72" spans="1:26" x14ac:dyDescent="0.2">
      <c r="A72" s="62">
        <f t="shared" si="1"/>
        <v>1.1479230121101047</v>
      </c>
      <c r="B72" s="45">
        <f t="shared" si="3"/>
        <v>61</v>
      </c>
      <c r="C72" s="49">
        <f t="shared" si="33"/>
        <v>9990232.6228896454</v>
      </c>
      <c r="D72" s="47" cm="1">
        <f t="array" ref="D72">_xlfn.IFS(AND($C$7="Y",B72&lt;C$4),C72,AND($C$7="Y",B72=C$4),D71+F72-J72-K72-L72+N72,AND($C$7="Y",B72&gt;$C$4),D71-J72-K72-L72+N72, TRUE, D71-J72-K72-L72+N72)</f>
        <v>9931321.0787407812</v>
      </c>
      <c r="E72" s="48">
        <f t="shared" si="4"/>
        <v>0</v>
      </c>
      <c r="F72" s="50">
        <f t="shared" si="17"/>
        <v>0</v>
      </c>
      <c r="G72" s="50">
        <f t="shared" si="21"/>
        <v>0</v>
      </c>
      <c r="H72" s="51">
        <f t="shared" si="34"/>
        <v>183175.27765629467</v>
      </c>
      <c r="I72" s="52">
        <f t="shared" si="6"/>
        <v>165793.68493485058</v>
      </c>
      <c r="J72" s="52">
        <f t="shared" si="35"/>
        <v>17381.592721444089</v>
      </c>
      <c r="K72" s="51">
        <f t="shared" si="37"/>
        <v>42537.388764791453</v>
      </c>
      <c r="L72" s="49">
        <f t="shared" si="38"/>
        <v>42611.526798610139</v>
      </c>
      <c r="M72" s="49">
        <f t="shared" si="39"/>
        <v>-43618.964135979571</v>
      </c>
      <c r="N72" s="49">
        <f t="shared" si="29"/>
        <v>43618.964135979571</v>
      </c>
      <c r="O72" s="48">
        <f t="shared" si="32"/>
        <v>226720.10375845555</v>
      </c>
      <c r="P72" s="38">
        <f t="shared" si="36"/>
        <v>226720.10375845555</v>
      </c>
      <c r="Q72" s="53"/>
      <c r="R72" s="53">
        <f t="shared" si="12"/>
        <v>0.05</v>
      </c>
      <c r="S72" s="53">
        <f t="shared" si="13"/>
        <v>4.2653187775606449E-3</v>
      </c>
      <c r="T72" s="53">
        <f t="shared" si="14"/>
        <v>0.05</v>
      </c>
      <c r="U72" s="53">
        <f t="shared" si="20"/>
        <v>4.2653187775606449E-3</v>
      </c>
      <c r="V72" s="53"/>
      <c r="W72" s="63">
        <f t="shared" si="15"/>
        <v>710.19211331016902</v>
      </c>
      <c r="X72" s="64">
        <f t="shared" si="16"/>
        <v>8.5306375551212903E-4</v>
      </c>
      <c r="Z72" s="63"/>
    </row>
    <row r="73" spans="1:26" x14ac:dyDescent="0.2">
      <c r="A73" s="62">
        <f t="shared" si="1"/>
        <v>1.1411193525527026</v>
      </c>
      <c r="B73" s="45">
        <f t="shared" si="3"/>
        <v>62</v>
      </c>
      <c r="C73" s="49">
        <f t="shared" si="33"/>
        <v>9931321.0787407812</v>
      </c>
      <c r="D73" s="47" cm="1">
        <f t="array" ref="D73">_xlfn.IFS(AND($C$7="Y",B73&lt;C$4),C73,AND($C$7="Y",B73=C$4),D72+F73-J73-K73-L73+N73,AND($C$7="Y",B73&gt;$C$4),D72-J73-K73-L73+N73, TRUE, D72-J73-K73-L73+N73)</f>
        <v>9872458.8320028242</v>
      </c>
      <c r="E73" s="48">
        <f t="shared" si="4"/>
        <v>0</v>
      </c>
      <c r="F73" s="50">
        <f t="shared" si="17"/>
        <v>0</v>
      </c>
      <c r="G73" s="50">
        <f t="shared" si="21"/>
        <v>0</v>
      </c>
      <c r="H73" s="51">
        <f t="shared" si="34"/>
        <v>182399.4915705754</v>
      </c>
      <c r="I73" s="52">
        <f t="shared" si="6"/>
        <v>164816.0138076274</v>
      </c>
      <c r="J73" s="52">
        <f t="shared" si="35"/>
        <v>17583.477762947994</v>
      </c>
      <c r="K73" s="51">
        <f t="shared" si="37"/>
        <v>42285.251145259768</v>
      </c>
      <c r="L73" s="49">
        <f t="shared" si="38"/>
        <v>42360.250283136891</v>
      </c>
      <c r="M73" s="49">
        <f t="shared" si="39"/>
        <v>-43366.732453388657</v>
      </c>
      <c r="N73" s="49">
        <f t="shared" si="29"/>
        <v>43366.732453388657</v>
      </c>
      <c r="O73" s="48">
        <f t="shared" si="32"/>
        <v>225691.22488608691</v>
      </c>
      <c r="P73" s="38">
        <f t="shared" si="36"/>
        <v>225691.22488608691</v>
      </c>
      <c r="Q73" s="53"/>
      <c r="R73" s="53">
        <f t="shared" si="12"/>
        <v>0.05</v>
      </c>
      <c r="S73" s="53">
        <f t="shared" si="13"/>
        <v>4.2653187775606449E-3</v>
      </c>
      <c r="T73" s="53">
        <f t="shared" si="14"/>
        <v>0.05</v>
      </c>
      <c r="U73" s="53">
        <f t="shared" si="20"/>
        <v>4.2653187775606449E-3</v>
      </c>
      <c r="V73" s="53"/>
      <c r="W73" s="63">
        <f t="shared" si="15"/>
        <v>706.00417138561488</v>
      </c>
      <c r="X73" s="64">
        <f t="shared" si="16"/>
        <v>8.5306375551212892E-4</v>
      </c>
      <c r="Z73" s="63"/>
    </row>
    <row r="74" spans="1:26" x14ac:dyDescent="0.2">
      <c r="A74" s="62">
        <f t="shared" si="1"/>
        <v>1.1343210774764341</v>
      </c>
      <c r="B74" s="45">
        <f t="shared" si="3"/>
        <v>63</v>
      </c>
      <c r="C74" s="49">
        <f t="shared" si="33"/>
        <v>9872458.8320028242</v>
      </c>
      <c r="D74" s="47" cm="1">
        <f t="array" ref="D74">_xlfn.IFS(AND($C$7="Y",B74&lt;C$4),C74,AND($C$7="Y",B74=C$4),D73+F74-J74-K74-L74+N74,AND($C$7="Y",B74&gt;$C$4),D73-J74-K74-L74+N74, TRUE, D73-J74-K74-L74+N74)</f>
        <v>9813643.1694089398</v>
      </c>
      <c r="E74" s="48">
        <f t="shared" si="4"/>
        <v>0</v>
      </c>
      <c r="F74" s="50">
        <f t="shared" si="17"/>
        <v>0</v>
      </c>
      <c r="G74" s="50">
        <f t="shared" si="21"/>
        <v>0</v>
      </c>
      <c r="H74" s="51">
        <f t="shared" si="34"/>
        <v>181627.0829936956</v>
      </c>
      <c r="I74" s="52">
        <f t="shared" si="6"/>
        <v>163839.16079943313</v>
      </c>
      <c r="J74" s="52">
        <f t="shared" si="35"/>
        <v>17787.922194262472</v>
      </c>
      <c r="K74" s="51">
        <f t="shared" si="37"/>
        <v>42033.312878287099</v>
      </c>
      <c r="L74" s="49">
        <f t="shared" si="38"/>
        <v>42109.184036836079</v>
      </c>
      <c r="M74" s="49">
        <f t="shared" si="39"/>
        <v>-43114.75651550047</v>
      </c>
      <c r="N74" s="49">
        <f t="shared" si="29"/>
        <v>43114.75651550047</v>
      </c>
      <c r="O74" s="48">
        <f t="shared" si="32"/>
        <v>224665.96835064708</v>
      </c>
      <c r="P74" s="38">
        <f t="shared" si="36"/>
        <v>224665.96835064708</v>
      </c>
      <c r="Q74" s="53"/>
      <c r="R74" s="53">
        <f t="shared" si="12"/>
        <v>0.05</v>
      </c>
      <c r="S74" s="53">
        <f t="shared" si="13"/>
        <v>4.2653187775606449E-3</v>
      </c>
      <c r="T74" s="53">
        <f t="shared" si="14"/>
        <v>0.05</v>
      </c>
      <c r="U74" s="53">
        <f t="shared" si="20"/>
        <v>4.2653187775606449E-3</v>
      </c>
      <c r="V74" s="53"/>
      <c r="W74" s="63">
        <f t="shared" si="15"/>
        <v>701.81973394726799</v>
      </c>
      <c r="X74" s="64">
        <f t="shared" si="16"/>
        <v>8.5306375551212892E-4</v>
      </c>
      <c r="Z74" s="63"/>
    </row>
    <row r="75" spans="1:26" x14ac:dyDescent="0.2">
      <c r="A75" s="62">
        <f t="shared" si="1"/>
        <v>1.1275278709815486</v>
      </c>
      <c r="B75" s="45">
        <f t="shared" si="3"/>
        <v>64</v>
      </c>
      <c r="C75" s="49">
        <f t="shared" si="33"/>
        <v>9813643.1694089398</v>
      </c>
      <c r="D75" s="47" cm="1">
        <f t="array" ref="D75">_xlfn.IFS(AND($C$7="Y",B75&lt;C$4),C75,AND($C$7="Y",B75=C$4),D74+F75-J75-K75-L75+N75,AND($C$7="Y",B75&gt;$C$4),D74-J75-K75-L75+N75, TRUE, D74-J75-K75-L75+N75)</f>
        <v>9754871.3579345103</v>
      </c>
      <c r="E75" s="48">
        <f t="shared" si="4"/>
        <v>0</v>
      </c>
      <c r="F75" s="50">
        <f t="shared" si="17"/>
        <v>0</v>
      </c>
      <c r="G75" s="50">
        <f t="shared" si="21"/>
        <v>0</v>
      </c>
      <c r="H75" s="51">
        <f t="shared" si="34"/>
        <v>180858.03868764406</v>
      </c>
      <c r="I75" s="52">
        <f t="shared" si="6"/>
        <v>162863.08088203633</v>
      </c>
      <c r="J75" s="52">
        <f t="shared" si="35"/>
        <v>17994.95780560773</v>
      </c>
      <c r="K75" s="51">
        <f t="shared" si="37"/>
        <v>41781.562255330042</v>
      </c>
      <c r="L75" s="49">
        <f t="shared" si="38"/>
        <v>41858.316486759715</v>
      </c>
      <c r="M75" s="49">
        <f t="shared" si="39"/>
        <v>-42863.025073266901</v>
      </c>
      <c r="N75" s="49">
        <f t="shared" si="29"/>
        <v>42863.025073266901</v>
      </c>
      <c r="O75" s="48">
        <f t="shared" si="32"/>
        <v>223644.30952948128</v>
      </c>
      <c r="P75" s="38">
        <f t="shared" si="36"/>
        <v>223644.30952948128</v>
      </c>
      <c r="Q75" s="53"/>
      <c r="R75" s="53">
        <f t="shared" si="12"/>
        <v>0.05</v>
      </c>
      <c r="S75" s="53">
        <f t="shared" si="13"/>
        <v>4.2653187775606449E-3</v>
      </c>
      <c r="T75" s="53">
        <f t="shared" si="14"/>
        <v>0.05</v>
      </c>
      <c r="U75" s="53">
        <f t="shared" si="20"/>
        <v>4.2653187775606449E-3</v>
      </c>
      <c r="V75" s="53"/>
      <c r="W75" s="63">
        <f t="shared" si="15"/>
        <v>697.63860811266193</v>
      </c>
      <c r="X75" s="64">
        <f t="shared" si="16"/>
        <v>8.5306375551212903E-4</v>
      </c>
      <c r="Z75" s="63"/>
    </row>
    <row r="76" spans="1:26" x14ac:dyDescent="0.2">
      <c r="A76" s="62">
        <f t="shared" ref="A76:A139" si="40">D76/C$1</f>
        <v>1.1207394148478862</v>
      </c>
      <c r="B76" s="45">
        <f t="shared" si="3"/>
        <v>65</v>
      </c>
      <c r="C76" s="49">
        <f t="shared" si="33"/>
        <v>9754871.3579345103</v>
      </c>
      <c r="D76" s="47" cm="1">
        <f t="array" ref="D76">_xlfn.IFS(AND($C$7="Y",B76&lt;C$4),C76,AND($C$7="Y",B76=C$4),D75+F76-J76-K76-L76+N76,AND($C$7="Y",B76&gt;$C$4),D75-J76-K76-L76+N76, TRUE, D75-J76-K76-L76+N76)</f>
        <v>9696140.6444797628</v>
      </c>
      <c r="E76" s="48">
        <f t="shared" si="4"/>
        <v>0</v>
      </c>
      <c r="F76" s="50">
        <f t="shared" si="17"/>
        <v>0</v>
      </c>
      <c r="G76" s="50">
        <f t="shared" si="21"/>
        <v>0</v>
      </c>
      <c r="H76" s="51">
        <f t="shared" si="34"/>
        <v>180092.34549515534</v>
      </c>
      <c r="I76" s="52">
        <f t="shared" si="6"/>
        <v>161887.72869931374</v>
      </c>
      <c r="J76" s="52">
        <f t="shared" si="35"/>
        <v>18204.616795841604</v>
      </c>
      <c r="K76" s="51">
        <f t="shared" si="37"/>
        <v>41529.987481828975</v>
      </c>
      <c r="L76" s="49">
        <f t="shared" si="38"/>
        <v>41607.635975686571</v>
      </c>
      <c r="M76" s="49">
        <f t="shared" si="39"/>
        <v>-42611.526798610139</v>
      </c>
      <c r="N76" s="49">
        <f t="shared" si="29"/>
        <v>42611.526798610139</v>
      </c>
      <c r="O76" s="48">
        <f t="shared" si="32"/>
        <v>222626.22379990789</v>
      </c>
      <c r="P76" s="38">
        <f t="shared" si="36"/>
        <v>222626.22379990789</v>
      </c>
      <c r="Q76" s="53"/>
      <c r="R76" s="53">
        <f t="shared" si="12"/>
        <v>0.05</v>
      </c>
      <c r="S76" s="53">
        <f t="shared" si="13"/>
        <v>4.2653187775606449E-3</v>
      </c>
      <c r="T76" s="53">
        <f t="shared" si="14"/>
        <v>0.05</v>
      </c>
      <c r="U76" s="53">
        <f t="shared" si="20"/>
        <v>4.2653187775606449E-3</v>
      </c>
      <c r="V76" s="53"/>
      <c r="W76" s="63">
        <f t="shared" si="15"/>
        <v>693.46059959477623</v>
      </c>
      <c r="X76" s="64">
        <f t="shared" si="16"/>
        <v>8.5306375551212892E-4</v>
      </c>
      <c r="Z76" s="63"/>
    </row>
    <row r="77" spans="1:26" x14ac:dyDescent="0.2">
      <c r="A77" s="62">
        <f t="shared" si="40"/>
        <v>1.1139553884977125</v>
      </c>
      <c r="B77" s="45">
        <f t="shared" ref="B77:B140" si="41">B76+1</f>
        <v>66</v>
      </c>
      <c r="C77" s="49">
        <f t="shared" si="33"/>
        <v>9696140.6444797628</v>
      </c>
      <c r="D77" s="47" cm="1">
        <f t="array" ref="D77">_xlfn.IFS(AND($C$7="Y",B77&lt;C$4),C77,AND($C$7="Y",B77=C$4),D76+F77-J77-K77-L77+N77,AND($C$7="Y",B77&gt;$C$4),D76-J77-K77-L77+N77, TRUE, D76-J77-K77-L77+N77)</f>
        <v>9637448.2555482388</v>
      </c>
      <c r="E77" s="48">
        <f t="shared" ref="E77:E140" si="42">IF(AND($C$7="Y",B77&lt;=$C$4),D76*C$2/12-G77,0)</f>
        <v>0</v>
      </c>
      <c r="F77" s="50">
        <f t="shared" ref="F77:F140" si="43">IF(AND($C$7="Y",B77&lt;=C$4),E77+F76,0)</f>
        <v>0</v>
      </c>
      <c r="G77" s="50">
        <f t="shared" si="21"/>
        <v>0</v>
      </c>
      <c r="H77" s="51">
        <f t="shared" si="34"/>
        <v>179329.99034004562</v>
      </c>
      <c r="I77" s="52">
        <f t="shared" ref="I77:I140" si="44">IF(AND(C$7="Y",$B77&lt;=C$4),0,IF(AND(C$7="Y",$B77&gt;C$4),(1-U77)*C$2*D76/12,IF(AND($C$7="N",C$4&gt;0),(1-U77)*D76*C$2/12, (1-U77)*D76*C$2/12)))</f>
        <v>160913.05856198326</v>
      </c>
      <c r="J77" s="52">
        <f t="shared" si="35"/>
        <v>18416.931778062368</v>
      </c>
      <c r="K77" s="51">
        <f t="shared" si="37"/>
        <v>41278.576675830482</v>
      </c>
      <c r="L77" s="49">
        <f t="shared" si="38"/>
        <v>41357.130760768508</v>
      </c>
      <c r="M77" s="49">
        <f t="shared" si="39"/>
        <v>-42360.250283136891</v>
      </c>
      <c r="N77" s="49">
        <f t="shared" si="29"/>
        <v>42360.250283136891</v>
      </c>
      <c r="O77" s="48">
        <f t="shared" si="32"/>
        <v>221611.68653824448</v>
      </c>
      <c r="P77" s="38">
        <f t="shared" si="36"/>
        <v>221611.68653824448</v>
      </c>
      <c r="Q77" s="53"/>
      <c r="R77" s="53">
        <f t="shared" ref="R77:R140" si="45">R$9</f>
        <v>0.05</v>
      </c>
      <c r="S77" s="53">
        <f t="shared" ref="S77:S140" si="46">1-(1-R77)^(1/12)</f>
        <v>4.2653187775606449E-3</v>
      </c>
      <c r="T77" s="53">
        <f t="shared" ref="T77:T140" si="47">T$9</f>
        <v>0.05</v>
      </c>
      <c r="U77" s="53">
        <f t="shared" si="20"/>
        <v>4.2653187775606449E-3</v>
      </c>
      <c r="V77" s="53"/>
      <c r="W77" s="63">
        <f t="shared" ref="W77:W140" si="48">D76*U77*C$2/12</f>
        <v>689.28551267947523</v>
      </c>
      <c r="X77" s="64">
        <f t="shared" ref="X77:X140" si="49">12*W77/D76</f>
        <v>8.5306375551212914E-4</v>
      </c>
      <c r="Z77" s="63"/>
    </row>
    <row r="78" spans="1:26" x14ac:dyDescent="0.2">
      <c r="A78" s="62">
        <f t="shared" si="40"/>
        <v>1.1071754689580644</v>
      </c>
      <c r="B78" s="45">
        <f t="shared" si="41"/>
        <v>67</v>
      </c>
      <c r="C78" s="49">
        <f t="shared" si="33"/>
        <v>9637448.2555482388</v>
      </c>
      <c r="D78" s="47" cm="1">
        <f t="array" ref="D78">_xlfn.IFS(AND($C$7="Y",B78&lt;C$4),C78,AND($C$7="Y",B78=C$4),D77+F78-J78-K78-L78+N78,AND($C$7="Y",B78&gt;$C$4),D77-J78-K78-L78+N78, TRUE, D77-J78-K78-L78+N78)</f>
        <v>9578791.39692102</v>
      </c>
      <c r="E78" s="48">
        <f t="shared" si="42"/>
        <v>0</v>
      </c>
      <c r="F78" s="50">
        <f t="shared" si="43"/>
        <v>0</v>
      </c>
      <c r="G78" s="50">
        <f t="shared" si="21"/>
        <v>0</v>
      </c>
      <c r="H78" s="51">
        <f t="shared" si="34"/>
        <v>178570.96022757192</v>
      </c>
      <c r="I78" s="52">
        <f t="shared" si="44"/>
        <v>159939.02444226798</v>
      </c>
      <c r="J78" s="52">
        <f t="shared" si="35"/>
        <v>18631.93578530394</v>
      </c>
      <c r="K78" s="51">
        <f t="shared" si="37"/>
        <v>41027.31786659162</v>
      </c>
      <c r="L78" s="49">
        <f t="shared" si="38"/>
        <v>41106.789012158981</v>
      </c>
      <c r="M78" s="49">
        <f t="shared" si="39"/>
        <v>-42109.184036836079</v>
      </c>
      <c r="N78" s="49">
        <f t="shared" si="29"/>
        <v>42109.184036836079</v>
      </c>
      <c r="O78" s="48">
        <f t="shared" si="32"/>
        <v>220600.67311884064</v>
      </c>
      <c r="P78" s="38">
        <f t="shared" si="36"/>
        <v>220600.67311884064</v>
      </c>
      <c r="Q78" s="53"/>
      <c r="R78" s="53">
        <f t="shared" si="45"/>
        <v>0.05</v>
      </c>
      <c r="S78" s="53">
        <f t="shared" si="46"/>
        <v>4.2653187775606449E-3</v>
      </c>
      <c r="T78" s="53">
        <f t="shared" si="47"/>
        <v>0.05</v>
      </c>
      <c r="U78" s="53">
        <f t="shared" ref="U78:U141" si="50">1-(1-T78)^(1/12)</f>
        <v>4.2653187775606449E-3</v>
      </c>
      <c r="V78" s="53"/>
      <c r="W78" s="63">
        <f t="shared" si="48"/>
        <v>685.11315020264965</v>
      </c>
      <c r="X78" s="64">
        <f t="shared" si="49"/>
        <v>8.5306375551212892E-4</v>
      </c>
      <c r="Z78" s="63"/>
    </row>
    <row r="79" spans="1:26" x14ac:dyDescent="0.2">
      <c r="A79" s="62">
        <f t="shared" si="40"/>
        <v>1.1003993308225992</v>
      </c>
      <c r="B79" s="45">
        <f t="shared" si="41"/>
        <v>68</v>
      </c>
      <c r="C79" s="49">
        <f t="shared" si="33"/>
        <v>9578791.39692102</v>
      </c>
      <c r="D79" s="47" cm="1">
        <f t="array" ref="D79">_xlfn.IFS(AND($C$7="Y",B79&lt;C$4),C79,AND($C$7="Y",B79=C$4),D78+F79-J79-K79-L79+N79,AND($C$7="Y",B79&gt;$C$4),D78-J79-K79-L79+N79, TRUE, D78-J79-K79-L79+N79)</f>
        <v>9520167.2533266675</v>
      </c>
      <c r="E79" s="48">
        <f t="shared" si="42"/>
        <v>0</v>
      </c>
      <c r="F79" s="50">
        <f t="shared" si="43"/>
        <v>0</v>
      </c>
      <c r="G79" s="50">
        <f t="shared" ref="G79:G142" si="51">IF($B79&lt;=$C$4,C$6,0)</f>
        <v>0</v>
      </c>
      <c r="H79" s="51">
        <f t="shared" si="34"/>
        <v>177815.24224481467</v>
      </c>
      <c r="I79" s="52">
        <f t="shared" si="44"/>
        <v>158965.57996848994</v>
      </c>
      <c r="J79" s="52">
        <f t="shared" si="35"/>
        <v>18849.662276324729</v>
      </c>
      <c r="K79" s="51">
        <f t="shared" si="37"/>
        <v>40776.198993165708</v>
      </c>
      <c r="L79" s="49">
        <f t="shared" si="38"/>
        <v>40856.598811623589</v>
      </c>
      <c r="M79" s="49">
        <f t="shared" si="39"/>
        <v>-41858.316486759715</v>
      </c>
      <c r="N79" s="49">
        <f t="shared" si="29"/>
        <v>41858.316486759715</v>
      </c>
      <c r="O79" s="48">
        <f t="shared" si="32"/>
        <v>219593.15891311652</v>
      </c>
      <c r="P79" s="38">
        <f t="shared" si="36"/>
        <v>219593.15891311652</v>
      </c>
      <c r="Q79" s="53"/>
      <c r="R79" s="53">
        <f t="shared" si="45"/>
        <v>0.05</v>
      </c>
      <c r="S79" s="53">
        <f t="shared" si="46"/>
        <v>4.2653187775606449E-3</v>
      </c>
      <c r="T79" s="53">
        <f t="shared" si="47"/>
        <v>0.05</v>
      </c>
      <c r="U79" s="53">
        <f t="shared" si="50"/>
        <v>4.2653187775606449E-3</v>
      </c>
      <c r="V79" s="53"/>
      <c r="W79" s="63">
        <f t="shared" si="48"/>
        <v>680.94331352705979</v>
      </c>
      <c r="X79" s="64">
        <f t="shared" si="49"/>
        <v>8.5306375551212903E-4</v>
      </c>
      <c r="Z79" s="63"/>
    </row>
    <row r="80" spans="1:26" x14ac:dyDescent="0.2">
      <c r="A80" s="62">
        <f t="shared" si="40"/>
        <v>1.0936266462129356</v>
      </c>
      <c r="B80" s="45">
        <f t="shared" si="41"/>
        <v>69</v>
      </c>
      <c r="C80" s="49">
        <f t="shared" si="33"/>
        <v>9520167.2533266675</v>
      </c>
      <c r="D80" s="47" cm="1">
        <f t="array" ref="D80">_xlfn.IFS(AND($C$7="Y",B80&lt;C$4),C80,AND($C$7="Y",B80=C$4),D79+F80-J80-K80-L80+N80,AND($C$7="Y",B80&gt;$C$4),D79-J80-K80-L80+N80, TRUE, D79-J80-K80-L80+N80)</f>
        <v>9461572.9881067593</v>
      </c>
      <c r="E80" s="48">
        <f t="shared" si="42"/>
        <v>0</v>
      </c>
      <c r="F80" s="50">
        <f t="shared" si="43"/>
        <v>0</v>
      </c>
      <c r="G80" s="50">
        <f t="shared" si="51"/>
        <v>0</v>
      </c>
      <c r="H80" s="51">
        <f t="shared" si="34"/>
        <v>177062.82356108591</v>
      </c>
      <c r="I80" s="52">
        <f t="shared" si="44"/>
        <v>157992.67841959224</v>
      </c>
      <c r="J80" s="52">
        <f t="shared" si="35"/>
        <v>19070.145141493675</v>
      </c>
      <c r="K80" s="51">
        <f t="shared" si="37"/>
        <v>40525.207902969363</v>
      </c>
      <c r="L80" s="49">
        <f t="shared" si="38"/>
        <v>40606.548151132185</v>
      </c>
      <c r="M80" s="49">
        <f t="shared" si="39"/>
        <v>-41607.635975686571</v>
      </c>
      <c r="N80" s="49">
        <f t="shared" si="29"/>
        <v>41607.635975686571</v>
      </c>
      <c r="O80" s="48">
        <f t="shared" si="32"/>
        <v>218589.11928860965</v>
      </c>
      <c r="P80" s="38">
        <f t="shared" si="36"/>
        <v>218589.11928860965</v>
      </c>
      <c r="Q80" s="53"/>
      <c r="R80" s="53">
        <f t="shared" si="45"/>
        <v>0.05</v>
      </c>
      <c r="S80" s="53">
        <f t="shared" si="46"/>
        <v>4.2653187775606449E-3</v>
      </c>
      <c r="T80" s="53">
        <f t="shared" si="47"/>
        <v>0.05</v>
      </c>
      <c r="U80" s="53">
        <f t="shared" si="50"/>
        <v>4.2653187775606449E-3</v>
      </c>
      <c r="V80" s="53"/>
      <c r="W80" s="63">
        <f t="shared" si="48"/>
        <v>676.7758025188698</v>
      </c>
      <c r="X80" s="64">
        <f t="shared" si="49"/>
        <v>8.5306375551212903E-4</v>
      </c>
      <c r="Z80" s="63"/>
    </row>
    <row r="81" spans="1:26" x14ac:dyDescent="0.2">
      <c r="A81" s="62">
        <f t="shared" si="40"/>
        <v>1.0868570847394816</v>
      </c>
      <c r="B81" s="45">
        <f t="shared" si="41"/>
        <v>70</v>
      </c>
      <c r="C81" s="49">
        <f t="shared" si="33"/>
        <v>9461572.9881067593</v>
      </c>
      <c r="D81" s="47" cm="1">
        <f t="array" ref="D81">_xlfn.IFS(AND($C$7="Y",B81&lt;C$4),C81,AND($C$7="Y",B81=C$4),D80+F81-J81-K81-L81+N81,AND($C$7="Y",B81&gt;$C$4),D80-J81-K81-L81+N81, TRUE, D80-J81-K81-L81+N81)</f>
        <v>9403005.7428769916</v>
      </c>
      <c r="E81" s="48">
        <f t="shared" si="42"/>
        <v>0</v>
      </c>
      <c r="F81" s="50">
        <f t="shared" si="43"/>
        <v>0</v>
      </c>
      <c r="G81" s="50">
        <f t="shared" si="51"/>
        <v>0</v>
      </c>
      <c r="H81" s="51">
        <f t="shared" si="34"/>
        <v>176313.69142836294</v>
      </c>
      <c r="I81" s="52">
        <f t="shared" si="44"/>
        <v>157020.2727195888</v>
      </c>
      <c r="J81" s="52">
        <f t="shared" si="35"/>
        <v>19293.418708774145</v>
      </c>
      <c r="K81" s="51">
        <f t="shared" si="37"/>
        <v>40274.332350330471</v>
      </c>
      <c r="L81" s="49">
        <f t="shared" si="38"/>
        <v>40356.624931432343</v>
      </c>
      <c r="M81" s="49">
        <f t="shared" si="39"/>
        <v>-41357.130760768508</v>
      </c>
      <c r="N81" s="49">
        <f t="shared" si="29"/>
        <v>41357.130760768508</v>
      </c>
      <c r="O81" s="48">
        <f t="shared" si="32"/>
        <v>217588.52960802958</v>
      </c>
      <c r="P81" s="38">
        <f t="shared" si="36"/>
        <v>217588.52960802958</v>
      </c>
      <c r="Q81" s="53"/>
      <c r="R81" s="53">
        <f t="shared" si="45"/>
        <v>0.05</v>
      </c>
      <c r="S81" s="53">
        <f t="shared" si="46"/>
        <v>4.2653187775606449E-3</v>
      </c>
      <c r="T81" s="53">
        <f t="shared" si="47"/>
        <v>0.05</v>
      </c>
      <c r="U81" s="53">
        <f t="shared" si="50"/>
        <v>4.2653187775606449E-3</v>
      </c>
      <c r="V81" s="53"/>
      <c r="W81" s="63">
        <f t="shared" si="48"/>
        <v>672.61041552387235</v>
      </c>
      <c r="X81" s="64">
        <f t="shared" si="49"/>
        <v>8.5306375551212903E-4</v>
      </c>
      <c r="Z81" s="63"/>
    </row>
    <row r="82" spans="1:26" x14ac:dyDescent="0.2">
      <c r="A82" s="62">
        <f t="shared" si="40"/>
        <v>1.0800903134617352</v>
      </c>
      <c r="B82" s="45">
        <f t="shared" si="41"/>
        <v>71</v>
      </c>
      <c r="C82" s="49">
        <f t="shared" si="33"/>
        <v>9403005.7428769916</v>
      </c>
      <c r="D82" s="47" cm="1">
        <f t="array" ref="D82">_xlfn.IFS(AND($C$7="Y",B82&lt;C$4),C82,AND($C$7="Y",B82=C$4),D81+F82-J82-K82-L82+N82,AND($C$7="Y",B82&gt;$C$4),D81-J82-K82-L82+N82, TRUE, D81-J82-K82-L82+N82)</f>
        <v>9344462.6371837202</v>
      </c>
      <c r="E82" s="48">
        <f t="shared" si="42"/>
        <v>0</v>
      </c>
      <c r="F82" s="50">
        <f t="shared" si="43"/>
        <v>0</v>
      </c>
      <c r="G82" s="50">
        <f t="shared" si="51"/>
        <v>0</v>
      </c>
      <c r="H82" s="51">
        <f t="shared" si="34"/>
        <v>175567.83318174974</v>
      </c>
      <c r="I82" s="52">
        <f t="shared" si="44"/>
        <v>156048.31543193979</v>
      </c>
      <c r="J82" s="52">
        <f t="shared" si="35"/>
        <v>19519.517749809951</v>
      </c>
      <c r="K82" s="51">
        <f t="shared" si="37"/>
        <v>40023.559995016622</v>
      </c>
      <c r="L82" s="49">
        <f t="shared" si="38"/>
        <v>40106.816960603814</v>
      </c>
      <c r="M82" s="49">
        <f t="shared" si="39"/>
        <v>-41106.789012158981</v>
      </c>
      <c r="N82" s="49">
        <f t="shared" si="29"/>
        <v>41106.789012158981</v>
      </c>
      <c r="O82" s="48">
        <f t="shared" si="32"/>
        <v>216591.36522832152</v>
      </c>
      <c r="P82" s="38">
        <f t="shared" si="36"/>
        <v>216591.36522832152</v>
      </c>
      <c r="Q82" s="53"/>
      <c r="R82" s="53">
        <f t="shared" si="45"/>
        <v>0.05</v>
      </c>
      <c r="S82" s="53">
        <f t="shared" si="46"/>
        <v>4.2653187775606449E-3</v>
      </c>
      <c r="T82" s="53">
        <f t="shared" si="47"/>
        <v>0.05</v>
      </c>
      <c r="U82" s="53">
        <f t="shared" si="50"/>
        <v>4.2653187775606449E-3</v>
      </c>
      <c r="V82" s="53"/>
      <c r="W82" s="63">
        <f t="shared" si="48"/>
        <v>668.44694934339691</v>
      </c>
      <c r="X82" s="64">
        <f t="shared" si="49"/>
        <v>8.5306375551212903E-4</v>
      </c>
      <c r="Z82" s="63"/>
    </row>
    <row r="83" spans="1:26" x14ac:dyDescent="0.2">
      <c r="A83" s="62">
        <f t="shared" si="40"/>
        <v>1.0733259968480531</v>
      </c>
      <c r="B83" s="45">
        <f t="shared" si="41"/>
        <v>72</v>
      </c>
      <c r="C83" s="49">
        <f t="shared" si="33"/>
        <v>9344462.6371837202</v>
      </c>
      <c r="D83" s="47" cm="1">
        <f t="array" ref="D83">_xlfn.IFS(AND($C$7="Y",B83&lt;C$4),C83,AND($C$7="Y",B83=C$4),D82+F83-J83-K83-L83+N83,AND($C$7="Y",B83&gt;$C$4),D82-J83-K83-L83+N83, TRUE, D82-J83-K83-L83+N83)</f>
        <v>9285940.7681558914</v>
      </c>
      <c r="E83" s="48">
        <f t="shared" si="42"/>
        <v>0</v>
      </c>
      <c r="F83" s="50">
        <f t="shared" si="43"/>
        <v>0</v>
      </c>
      <c r="G83" s="50">
        <f t="shared" si="51"/>
        <v>0</v>
      </c>
      <c r="H83" s="51">
        <f t="shared" si="34"/>
        <v>174825.23623996659</v>
      </c>
      <c r="I83" s="52">
        <f t="shared" si="44"/>
        <v>155076.7587538521</v>
      </c>
      <c r="J83" s="52">
        <f t="shared" si="35"/>
        <v>19748.477486114483</v>
      </c>
      <c r="K83" s="51">
        <f t="shared" si="37"/>
        <v>39772.878400743823</v>
      </c>
      <c r="L83" s="49">
        <f t="shared" si="38"/>
        <v>39857.111952593586</v>
      </c>
      <c r="M83" s="49">
        <f t="shared" si="39"/>
        <v>-40856.598811623589</v>
      </c>
      <c r="N83" s="49">
        <f t="shared" si="29"/>
        <v>40856.598811623589</v>
      </c>
      <c r="O83" s="48">
        <f t="shared" si="32"/>
        <v>215597.60149974041</v>
      </c>
      <c r="P83" s="38">
        <f t="shared" si="36"/>
        <v>215597.60149974041</v>
      </c>
      <c r="Q83" s="53"/>
      <c r="R83" s="53">
        <f t="shared" si="45"/>
        <v>0.05</v>
      </c>
      <c r="S83" s="53">
        <f t="shared" si="46"/>
        <v>4.2653187775606449E-3</v>
      </c>
      <c r="T83" s="53">
        <f t="shared" si="47"/>
        <v>0.05</v>
      </c>
      <c r="U83" s="53">
        <f t="shared" si="50"/>
        <v>4.2653187775606449E-3</v>
      </c>
      <c r="V83" s="53"/>
      <c r="W83" s="63">
        <f t="shared" si="48"/>
        <v>664.28519920989311</v>
      </c>
      <c r="X83" s="64">
        <f t="shared" si="49"/>
        <v>8.5306375551212903E-4</v>
      </c>
      <c r="Z83" s="63"/>
    </row>
    <row r="84" spans="1:26" x14ac:dyDescent="0.2">
      <c r="A84" s="62">
        <f t="shared" si="40"/>
        <v>1.0665637967348731</v>
      </c>
      <c r="B84" s="45">
        <f t="shared" si="41"/>
        <v>73</v>
      </c>
      <c r="C84" s="49">
        <f t="shared" si="33"/>
        <v>9285940.7681558914</v>
      </c>
      <c r="D84" s="47" cm="1">
        <f t="array" ref="D84">_xlfn.IFS(AND($C$7="Y",B84&lt;C$4),C84,AND($C$7="Y",B84=C$4),D83+F84-J84-K84-L84+N84,AND($C$7="Y",B84&gt;$C$4),D83-J84-K84-L84+N84, TRUE, D83-J84-K84-L84+N84)</f>
        <v>9227437.2101522591</v>
      </c>
      <c r="E84" s="48">
        <f t="shared" si="42"/>
        <v>0</v>
      </c>
      <c r="F84" s="50">
        <f t="shared" si="43"/>
        <v>0</v>
      </c>
      <c r="G84" s="50">
        <f t="shared" si="51"/>
        <v>0</v>
      </c>
      <c r="H84" s="51">
        <f t="shared" si="34"/>
        <v>174085.88810586909</v>
      </c>
      <c r="I84" s="52">
        <f t="shared" si="44"/>
        <v>154105.55451050267</v>
      </c>
      <c r="J84" s="52">
        <f t="shared" si="35"/>
        <v>19980.333595366421</v>
      </c>
      <c r="K84" s="51">
        <f t="shared" si="37"/>
        <v>39522.275033664999</v>
      </c>
      <c r="L84" s="49">
        <f t="shared" si="38"/>
        <v>39607.49752573124</v>
      </c>
      <c r="M84" s="49">
        <f t="shared" si="39"/>
        <v>-40606.548151132185</v>
      </c>
      <c r="N84" s="49">
        <f t="shared" si="29"/>
        <v>40606.548151132185</v>
      </c>
      <c r="O84" s="48">
        <f t="shared" si="32"/>
        <v>214607.21376493503</v>
      </c>
      <c r="P84" s="38">
        <f t="shared" si="36"/>
        <v>214607.21376493503</v>
      </c>
      <c r="Q84" s="53"/>
      <c r="R84" s="53">
        <f t="shared" si="45"/>
        <v>0.05</v>
      </c>
      <c r="S84" s="53">
        <f t="shared" si="46"/>
        <v>4.2653187775606449E-3</v>
      </c>
      <c r="T84" s="53">
        <f t="shared" si="47"/>
        <v>0.05</v>
      </c>
      <c r="U84" s="53">
        <f t="shared" si="50"/>
        <v>4.2653187775606449E-3</v>
      </c>
      <c r="V84" s="53"/>
      <c r="W84" s="63">
        <f t="shared" si="48"/>
        <v>660.12495876218736</v>
      </c>
      <c r="X84" s="64">
        <f t="shared" si="49"/>
        <v>8.5306375551212892E-4</v>
      </c>
      <c r="Z84" s="63"/>
    </row>
    <row r="85" spans="1:26" x14ac:dyDescent="0.2">
      <c r="A85" s="62">
        <f t="shared" si="40"/>
        <v>1.0598033722853846</v>
      </c>
      <c r="B85" s="45">
        <f t="shared" si="41"/>
        <v>74</v>
      </c>
      <c r="C85" s="49">
        <f t="shared" si="33"/>
        <v>9227437.2101522591</v>
      </c>
      <c r="D85" s="47" cm="1">
        <f t="array" ref="D85">_xlfn.IFS(AND($C$7="Y",B85&lt;C$4),C85,AND($C$7="Y",B85=C$4),D84+F85-J85-K85-L85+N85,AND($C$7="Y",B85&gt;$C$4),D84-J85-K85-L85+N85, TRUE, D84-J85-K85-L85+N85)</f>
        <v>9168949.0144038144</v>
      </c>
      <c r="E85" s="48">
        <f t="shared" si="42"/>
        <v>0</v>
      </c>
      <c r="F85" s="50">
        <f t="shared" si="43"/>
        <v>0</v>
      </c>
      <c r="G85" s="50">
        <f t="shared" si="51"/>
        <v>0</v>
      </c>
      <c r="H85" s="51">
        <f t="shared" si="34"/>
        <v>173349.7763669985</v>
      </c>
      <c r="I85" s="52">
        <f t="shared" si="44"/>
        <v>153134.65414918392</v>
      </c>
      <c r="J85" s="52">
        <f t="shared" si="35"/>
        <v>20215.122217814584</v>
      </c>
      <c r="K85" s="51">
        <f t="shared" si="37"/>
        <v>39271.737260837908</v>
      </c>
      <c r="L85" s="49">
        <f t="shared" si="38"/>
        <v>39357.961201224243</v>
      </c>
      <c r="M85" s="49">
        <f t="shared" si="39"/>
        <v>-40356.624931432343</v>
      </c>
      <c r="N85" s="49">
        <f t="shared" si="29"/>
        <v>40356.624931432343</v>
      </c>
      <c r="O85" s="48">
        <f t="shared" si="32"/>
        <v>213620.17735804449</v>
      </c>
      <c r="P85" s="38">
        <f t="shared" si="36"/>
        <v>213620.17735804449</v>
      </c>
      <c r="Q85" s="53"/>
      <c r="R85" s="53">
        <f t="shared" si="45"/>
        <v>0.05</v>
      </c>
      <c r="S85" s="53">
        <f t="shared" si="46"/>
        <v>4.2653187775606449E-3</v>
      </c>
      <c r="T85" s="53">
        <f t="shared" si="47"/>
        <v>0.05</v>
      </c>
      <c r="U85" s="53">
        <f t="shared" si="50"/>
        <v>4.2653187775606449E-3</v>
      </c>
      <c r="V85" s="53"/>
      <c r="W85" s="63">
        <f t="shared" si="48"/>
        <v>655.96602002040402</v>
      </c>
      <c r="X85" s="64">
        <f t="shared" si="49"/>
        <v>8.5306375551212903E-4</v>
      </c>
      <c r="Z85" s="63"/>
    </row>
    <row r="86" spans="1:26" x14ac:dyDescent="0.2">
      <c r="A86" s="62">
        <f t="shared" si="40"/>
        <v>1.0530443799476317</v>
      </c>
      <c r="B86" s="45">
        <f t="shared" si="41"/>
        <v>75</v>
      </c>
      <c r="C86" s="49">
        <f t="shared" si="33"/>
        <v>9168949.0144038144</v>
      </c>
      <c r="D86" s="47" cm="1">
        <f t="array" ref="D86">_xlfn.IFS(AND($C$7="Y",B86&lt;C$4),C86,AND($C$7="Y",B86=C$4),D85+F86-J86-K86-L86+N86,AND($C$7="Y",B86&gt;$C$4),D85-J86-K86-L86+N86, TRUE, D85-J86-K86-L86+N86)</f>
        <v>9110473.2086513173</v>
      </c>
      <c r="E86" s="48">
        <f t="shared" si="42"/>
        <v>0</v>
      </c>
      <c r="F86" s="50">
        <f t="shared" si="43"/>
        <v>0</v>
      </c>
      <c r="G86" s="50">
        <f t="shared" si="51"/>
        <v>0</v>
      </c>
      <c r="H86" s="51">
        <f t="shared" si="34"/>
        <v>172616.88869616442</v>
      </c>
      <c r="I86" s="52">
        <f t="shared" si="44"/>
        <v>152164.0087333697</v>
      </c>
      <c r="J86" s="52">
        <f t="shared" si="35"/>
        <v>20452.879962794716</v>
      </c>
      <c r="K86" s="51">
        <f t="shared" si="37"/>
        <v>39021.252348672257</v>
      </c>
      <c r="L86" s="49">
        <f t="shared" si="38"/>
        <v>39108.490401632756</v>
      </c>
      <c r="M86" s="49">
        <f t="shared" si="39"/>
        <v>-40106.816960603814</v>
      </c>
      <c r="N86" s="49">
        <f t="shared" si="29"/>
        <v>40106.816960603814</v>
      </c>
      <c r="O86" s="48">
        <f t="shared" si="32"/>
        <v>212636.46760380772</v>
      </c>
      <c r="P86" s="38">
        <f t="shared" si="36"/>
        <v>212636.46760380772</v>
      </c>
      <c r="Q86" s="53"/>
      <c r="R86" s="53">
        <f t="shared" si="45"/>
        <v>0.05</v>
      </c>
      <c r="S86" s="53">
        <f t="shared" si="46"/>
        <v>4.2653187775606449E-3</v>
      </c>
      <c r="T86" s="53">
        <f t="shared" si="47"/>
        <v>0.05</v>
      </c>
      <c r="U86" s="53">
        <f t="shared" si="50"/>
        <v>4.2653187775606449E-3</v>
      </c>
      <c r="V86" s="53"/>
      <c r="W86" s="63">
        <f t="shared" si="48"/>
        <v>651.80817336054599</v>
      </c>
      <c r="X86" s="64">
        <f t="shared" si="49"/>
        <v>8.5306375551212903E-4</v>
      </c>
      <c r="Z86" s="63"/>
    </row>
    <row r="87" spans="1:26" x14ac:dyDescent="0.2">
      <c r="A87" s="62">
        <f t="shared" si="40"/>
        <v>1.0462864734120447</v>
      </c>
      <c r="B87" s="45">
        <f t="shared" si="41"/>
        <v>76</v>
      </c>
      <c r="C87" s="49">
        <f t="shared" si="33"/>
        <v>9110473.2086513173</v>
      </c>
      <c r="D87" s="47" cm="1">
        <f t="array" ref="D87">_xlfn.IFS(AND($C$7="Y",B87&lt;C$4),C87,AND($C$7="Y",B87=C$4),D86+F87-J87-K87-L87+N87,AND($C$7="Y",B87&gt;$C$4),D86-J87-K87-L87+N87, TRUE, D86-J87-K87-L87+N87)</f>
        <v>9052006.7967778724</v>
      </c>
      <c r="E87" s="48">
        <f t="shared" si="42"/>
        <v>0</v>
      </c>
      <c r="F87" s="50">
        <f t="shared" si="43"/>
        <v>0</v>
      </c>
      <c r="G87" s="50">
        <f t="shared" si="51"/>
        <v>0</v>
      </c>
      <c r="H87" s="51">
        <f t="shared" si="34"/>
        <v>171887.21285206079</v>
      </c>
      <c r="I87" s="52">
        <f t="shared" si="44"/>
        <v>151193.56893669988</v>
      </c>
      <c r="J87" s="52">
        <f t="shared" si="35"/>
        <v>20693.64391536091</v>
      </c>
      <c r="K87" s="51">
        <f t="shared" si="37"/>
        <v>38770.807461355304</v>
      </c>
      <c r="L87" s="49">
        <f t="shared" si="38"/>
        <v>38859.072449323641</v>
      </c>
      <c r="M87" s="49">
        <f t="shared" si="39"/>
        <v>-39857.111952593586</v>
      </c>
      <c r="N87" s="49">
        <f t="shared" si="29"/>
        <v>39857.111952593586</v>
      </c>
      <c r="O87" s="48">
        <f t="shared" si="32"/>
        <v>211656.05981668603</v>
      </c>
      <c r="P87" s="38">
        <f t="shared" si="36"/>
        <v>211656.05981668603</v>
      </c>
      <c r="Q87" s="53"/>
      <c r="R87" s="53">
        <f t="shared" si="45"/>
        <v>0.05</v>
      </c>
      <c r="S87" s="53">
        <f t="shared" si="46"/>
        <v>4.2653187775606449E-3</v>
      </c>
      <c r="T87" s="53">
        <f t="shared" si="47"/>
        <v>0.05</v>
      </c>
      <c r="U87" s="53">
        <f t="shared" si="50"/>
        <v>4.2653187775606449E-3</v>
      </c>
      <c r="V87" s="53"/>
      <c r="W87" s="63">
        <f t="shared" si="48"/>
        <v>647.65120748872744</v>
      </c>
      <c r="X87" s="64">
        <f t="shared" si="49"/>
        <v>8.5306375551212914E-4</v>
      </c>
      <c r="Z87" s="63"/>
    </row>
    <row r="88" spans="1:26" x14ac:dyDescent="0.2">
      <c r="A88" s="62">
        <f t="shared" si="40"/>
        <v>1.0395293035683815</v>
      </c>
      <c r="B88" s="45">
        <f t="shared" si="41"/>
        <v>77</v>
      </c>
      <c r="C88" s="49">
        <f t="shared" si="33"/>
        <v>9052006.7967778724</v>
      </c>
      <c r="D88" s="47" cm="1">
        <f t="array" ref="D88">_xlfn.IFS(AND($C$7="Y",B88&lt;C$4),C88,AND($C$7="Y",B88=C$4),D87+F88-J88-K88-L88+N88,AND($C$7="Y",B88&gt;$C$4),D87-J88-K88-L88+N88, TRUE, D87-J88-K88-L88+N88)</f>
        <v>8993546.7584364098</v>
      </c>
      <c r="E88" s="48">
        <f t="shared" si="42"/>
        <v>0</v>
      </c>
      <c r="F88" s="50">
        <f t="shared" si="43"/>
        <v>0</v>
      </c>
      <c r="G88" s="50">
        <f t="shared" si="51"/>
        <v>0</v>
      </c>
      <c r="H88" s="51">
        <f t="shared" si="34"/>
        <v>171160.73667991831</v>
      </c>
      <c r="I88" s="52">
        <f t="shared" si="44"/>
        <v>150223.28503688282</v>
      </c>
      <c r="J88" s="52">
        <f t="shared" si="35"/>
        <v>20937.451643035485</v>
      </c>
      <c r="K88" s="51">
        <f t="shared" si="37"/>
        <v>38520.389659255939</v>
      </c>
      <c r="L88" s="49">
        <f t="shared" si="38"/>
        <v>38609.694564903242</v>
      </c>
      <c r="M88" s="49">
        <f t="shared" si="39"/>
        <v>-39607.49752573124</v>
      </c>
      <c r="N88" s="49">
        <f t="shared" si="29"/>
        <v>39607.49752573124</v>
      </c>
      <c r="O88" s="48">
        <f t="shared" si="32"/>
        <v>210678.92930000226</v>
      </c>
      <c r="P88" s="38">
        <f t="shared" si="36"/>
        <v>210678.92930000226</v>
      </c>
      <c r="Q88" s="53"/>
      <c r="R88" s="53">
        <f t="shared" si="45"/>
        <v>0.05</v>
      </c>
      <c r="S88" s="53">
        <f t="shared" si="46"/>
        <v>4.2653187775606449E-3</v>
      </c>
      <c r="T88" s="53">
        <f t="shared" si="47"/>
        <v>0.05</v>
      </c>
      <c r="U88" s="53">
        <f t="shared" si="50"/>
        <v>4.2653187775606449E-3</v>
      </c>
      <c r="V88" s="53"/>
      <c r="W88" s="63">
        <f t="shared" si="48"/>
        <v>643.49490941505405</v>
      </c>
      <c r="X88" s="64">
        <f t="shared" si="49"/>
        <v>8.5306375551212892E-4</v>
      </c>
      <c r="Z88" s="63"/>
    </row>
    <row r="89" spans="1:26" x14ac:dyDescent="0.2">
      <c r="A89" s="62">
        <f t="shared" si="40"/>
        <v>1.0327725184620749</v>
      </c>
      <c r="B89" s="45">
        <f t="shared" si="41"/>
        <v>78</v>
      </c>
      <c r="C89" s="49">
        <f t="shared" si="33"/>
        <v>8993546.7584364098</v>
      </c>
      <c r="D89" s="47" cm="1">
        <f t="array" ref="D89">_xlfn.IFS(AND($C$7="Y",B89&lt;C$4),C89,AND($C$7="Y",B89=C$4),D88+F89-J89-K89-L89+N89,AND($C$7="Y",B89&gt;$C$4),D88-J89-K89-L89+N89, TRUE, D88-J89-K89-L89+N89)</f>
        <v>8935090.0486720186</v>
      </c>
      <c r="E89" s="48">
        <f t="shared" si="42"/>
        <v>0</v>
      </c>
      <c r="F89" s="50">
        <f t="shared" si="43"/>
        <v>0</v>
      </c>
      <c r="G89" s="50">
        <f t="shared" si="51"/>
        <v>0</v>
      </c>
      <c r="H89" s="51">
        <f t="shared" si="34"/>
        <v>170437.44811219277</v>
      </c>
      <c r="I89" s="52">
        <f t="shared" si="44"/>
        <v>149253.10690951304</v>
      </c>
      <c r="J89" s="52">
        <f t="shared" si="35"/>
        <v>21184.34120267973</v>
      </c>
      <c r="K89" s="51">
        <f t="shared" si="37"/>
        <v>38269.985897306447</v>
      </c>
      <c r="L89" s="49">
        <f t="shared" si="38"/>
        <v>38360.343865628485</v>
      </c>
      <c r="M89" s="49">
        <f t="shared" si="39"/>
        <v>-39357.961201224243</v>
      </c>
      <c r="N89" s="49">
        <f t="shared" si="29"/>
        <v>39357.961201224243</v>
      </c>
      <c r="O89" s="48">
        <f t="shared" si="32"/>
        <v>209705.05134509498</v>
      </c>
      <c r="P89" s="38">
        <f t="shared" si="36"/>
        <v>209705.05134509498</v>
      </c>
      <c r="Q89" s="53"/>
      <c r="R89" s="53">
        <f t="shared" si="45"/>
        <v>0.05</v>
      </c>
      <c r="S89" s="53">
        <f t="shared" si="46"/>
        <v>4.2653187775606449E-3</v>
      </c>
      <c r="T89" s="53">
        <f t="shared" si="47"/>
        <v>0.05</v>
      </c>
      <c r="U89" s="53">
        <f t="shared" si="50"/>
        <v>4.2653187775606449E-3</v>
      </c>
      <c r="V89" s="53"/>
      <c r="W89" s="63">
        <f t="shared" si="48"/>
        <v>639.33906442714147</v>
      </c>
      <c r="X89" s="64">
        <f t="shared" si="49"/>
        <v>8.5306375551212903E-4</v>
      </c>
      <c r="Z89" s="63"/>
    </row>
    <row r="90" spans="1:26" x14ac:dyDescent="0.2">
      <c r="A90" s="62">
        <f t="shared" si="40"/>
        <v>1.0260157632499691</v>
      </c>
      <c r="B90" s="45">
        <f t="shared" si="41"/>
        <v>79</v>
      </c>
      <c r="C90" s="49">
        <f t="shared" si="33"/>
        <v>8935090.0486720186</v>
      </c>
      <c r="D90" s="47" cm="1">
        <f t="array" ref="D90">_xlfn.IFS(AND($C$7="Y",B90&lt;C$4),C90,AND($C$7="Y",B90=C$4),D89+F90-J90-K90-L90+N90,AND($C$7="Y",B90&gt;$C$4),D89-J90-K90-L90+N90, TRUE, D89-J90-K90-L90+N90)</f>
        <v>8876633.5975390039</v>
      </c>
      <c r="E90" s="48">
        <f t="shared" si="42"/>
        <v>0</v>
      </c>
      <c r="F90" s="50">
        <f t="shared" si="43"/>
        <v>0</v>
      </c>
      <c r="G90" s="50">
        <f t="shared" si="51"/>
        <v>0</v>
      </c>
      <c r="H90" s="51">
        <f t="shared" si="34"/>
        <v>169717.33516929278</v>
      </c>
      <c r="I90" s="52">
        <f t="shared" si="44"/>
        <v>148282.98402180371</v>
      </c>
      <c r="J90" s="52">
        <f t="shared" si="35"/>
        <v>21434.351147489069</v>
      </c>
      <c r="K90" s="51">
        <f t="shared" si="37"/>
        <v>38019.583023361803</v>
      </c>
      <c r="L90" s="49">
        <f t="shared" si="38"/>
        <v>38111.007363796016</v>
      </c>
      <c r="M90" s="49">
        <f t="shared" si="39"/>
        <v>-39108.490401632756</v>
      </c>
      <c r="N90" s="49">
        <f t="shared" si="29"/>
        <v>39108.490401632756</v>
      </c>
      <c r="O90" s="48">
        <f t="shared" si="32"/>
        <v>208734.40123049132</v>
      </c>
      <c r="P90" s="38">
        <f t="shared" si="36"/>
        <v>208734.40123049132</v>
      </c>
      <c r="Q90" s="53"/>
      <c r="R90" s="53">
        <f t="shared" si="45"/>
        <v>0.05</v>
      </c>
      <c r="S90" s="53">
        <f t="shared" si="46"/>
        <v>4.2653187775606449E-3</v>
      </c>
      <c r="T90" s="53">
        <f t="shared" si="47"/>
        <v>0.05</v>
      </c>
      <c r="U90" s="53">
        <f t="shared" si="50"/>
        <v>4.2653187775606449E-3</v>
      </c>
      <c r="V90" s="53"/>
      <c r="W90" s="63">
        <f t="shared" si="48"/>
        <v>635.18345606326693</v>
      </c>
      <c r="X90" s="64">
        <f t="shared" si="49"/>
        <v>8.5306375551212892E-4</v>
      </c>
      <c r="Z90" s="63"/>
    </row>
    <row r="91" spans="1:26" x14ac:dyDescent="0.2">
      <c r="A91" s="62">
        <f t="shared" si="40"/>
        <v>1.0192586801554362</v>
      </c>
      <c r="B91" s="45">
        <f t="shared" si="41"/>
        <v>80</v>
      </c>
      <c r="C91" s="49">
        <f t="shared" si="33"/>
        <v>8876633.5975390039</v>
      </c>
      <c r="D91" s="47" cm="1">
        <f t="array" ref="D91">_xlfn.IFS(AND($C$7="Y",B91&lt;C$4),C91,AND($C$7="Y",B91=C$4),D90+F91-J91-K91-L91+N91,AND($C$7="Y",B91&gt;$C$4),D90-J91-K91-L91+N91, TRUE, D90-J91-K91-L91+N91)</f>
        <v>8818174.3097125646</v>
      </c>
      <c r="E91" s="48">
        <f t="shared" si="42"/>
        <v>0</v>
      </c>
      <c r="F91" s="50">
        <f t="shared" si="43"/>
        <v>0</v>
      </c>
      <c r="G91" s="50">
        <f t="shared" si="51"/>
        <v>0</v>
      </c>
      <c r="H91" s="51">
        <f t="shared" si="34"/>
        <v>169000.38596034815</v>
      </c>
      <c r="I91" s="52">
        <f t="shared" si="44"/>
        <v>147312.86542623158</v>
      </c>
      <c r="J91" s="52">
        <f t="shared" si="35"/>
        <v>21687.520534116571</v>
      </c>
      <c r="K91" s="51">
        <f t="shared" si="37"/>
        <v>37769.167776535913</v>
      </c>
      <c r="L91" s="49">
        <f t="shared" si="38"/>
        <v>37861.671965108813</v>
      </c>
      <c r="M91" s="49">
        <f t="shared" si="39"/>
        <v>-38859.072449323641</v>
      </c>
      <c r="N91" s="49">
        <f t="shared" si="29"/>
        <v>38859.072449323641</v>
      </c>
      <c r="O91" s="48">
        <f t="shared" si="32"/>
        <v>207766.95422109889</v>
      </c>
      <c r="P91" s="38">
        <f t="shared" si="36"/>
        <v>207766.95422109889</v>
      </c>
      <c r="Q91" s="53"/>
      <c r="R91" s="53">
        <f t="shared" si="45"/>
        <v>0.05</v>
      </c>
      <c r="S91" s="53">
        <f t="shared" si="46"/>
        <v>4.2653187775606449E-3</v>
      </c>
      <c r="T91" s="53">
        <f t="shared" si="47"/>
        <v>0.05</v>
      </c>
      <c r="U91" s="53">
        <f t="shared" si="50"/>
        <v>4.2653187775606449E-3</v>
      </c>
      <c r="V91" s="53"/>
      <c r="W91" s="63">
        <f t="shared" si="48"/>
        <v>631.02786608514691</v>
      </c>
      <c r="X91" s="64">
        <f t="shared" si="49"/>
        <v>8.5306375551212903E-4</v>
      </c>
      <c r="Z91" s="63"/>
    </row>
    <row r="92" spans="1:26" x14ac:dyDescent="0.2">
      <c r="A92" s="62">
        <f t="shared" si="40"/>
        <v>1.0125009084228587</v>
      </c>
      <c r="B92" s="45">
        <f t="shared" si="41"/>
        <v>81</v>
      </c>
      <c r="C92" s="49">
        <f t="shared" si="33"/>
        <v>8818174.3097125646</v>
      </c>
      <c r="D92" s="47" cm="1">
        <f t="array" ref="D92">_xlfn.IFS(AND($C$7="Y",B92&lt;C$4),C92,AND($C$7="Y",B92=C$4),D91+F92-J92-K92-L92+N92,AND($C$7="Y",B92&gt;$C$4),D91-J92-K92-L92+N92, TRUE, D91-J92-K92-L92+N92)</f>
        <v>8759709.0640950054</v>
      </c>
      <c r="E92" s="48">
        <f t="shared" si="42"/>
        <v>0</v>
      </c>
      <c r="F92" s="50">
        <f t="shared" si="43"/>
        <v>0</v>
      </c>
      <c r="G92" s="50">
        <f t="shared" si="51"/>
        <v>0</v>
      </c>
      <c r="H92" s="51">
        <f t="shared" si="34"/>
        <v>168286.58868402045</v>
      </c>
      <c r="I92" s="52">
        <f t="shared" si="44"/>
        <v>146342.69975409241</v>
      </c>
      <c r="J92" s="52">
        <f t="shared" si="35"/>
        <v>21943.888929928042</v>
      </c>
      <c r="K92" s="51">
        <f t="shared" si="37"/>
        <v>37518.726785514351</v>
      </c>
      <c r="L92" s="49">
        <f t="shared" si="38"/>
        <v>37612.324467019876</v>
      </c>
      <c r="M92" s="49">
        <f t="shared" si="39"/>
        <v>-38609.694564903242</v>
      </c>
      <c r="N92" s="49">
        <f t="shared" si="29"/>
        <v>38609.694564903242</v>
      </c>
      <c r="O92" s="48">
        <f t="shared" si="32"/>
        <v>206802.68556741817</v>
      </c>
      <c r="P92" s="38">
        <f t="shared" si="36"/>
        <v>206802.68556741817</v>
      </c>
      <c r="Q92" s="53"/>
      <c r="R92" s="53">
        <f t="shared" si="45"/>
        <v>0.05</v>
      </c>
      <c r="S92" s="53">
        <f t="shared" si="46"/>
        <v>4.2653187775606449E-3</v>
      </c>
      <c r="T92" s="53">
        <f t="shared" si="47"/>
        <v>0.05</v>
      </c>
      <c r="U92" s="53">
        <f t="shared" si="50"/>
        <v>4.2653187775606449E-3</v>
      </c>
      <c r="V92" s="53"/>
      <c r="W92" s="63">
        <f t="shared" si="48"/>
        <v>626.8720744503313</v>
      </c>
      <c r="X92" s="64">
        <f t="shared" si="49"/>
        <v>8.5306375551212903E-4</v>
      </c>
      <c r="Z92" s="63"/>
    </row>
    <row r="93" spans="1:26" x14ac:dyDescent="0.2">
      <c r="A93" s="62">
        <f t="shared" si="40"/>
        <v>1.0057420842714657</v>
      </c>
      <c r="B93" s="45">
        <f t="shared" si="41"/>
        <v>82</v>
      </c>
      <c r="C93" s="49">
        <f t="shared" si="33"/>
        <v>8759709.0640950054</v>
      </c>
      <c r="D93" s="47" cm="1">
        <f t="array" ref="D93">_xlfn.IFS(AND($C$7="Y",B93&lt;C$4),C93,AND($C$7="Y",B93=C$4),D92+F93-J93-K93-L93+N93,AND($C$7="Y",B93&gt;$C$4),D92-J93-K93-L93+N93, TRUE, D92-J93-K93-L93+N93)</f>
        <v>8701234.7134163454</v>
      </c>
      <c r="E93" s="48">
        <f t="shared" si="42"/>
        <v>0</v>
      </c>
      <c r="F93" s="50">
        <f t="shared" si="43"/>
        <v>0</v>
      </c>
      <c r="G93" s="50">
        <f t="shared" si="51"/>
        <v>0</v>
      </c>
      <c r="H93" s="51">
        <f t="shared" si="34"/>
        <v>167575.93162935838</v>
      </c>
      <c r="I93" s="52">
        <f t="shared" si="44"/>
        <v>145372.43520896588</v>
      </c>
      <c r="J93" s="52">
        <f t="shared" si="35"/>
        <v>22203.496420392505</v>
      </c>
      <c r="K93" s="51">
        <f t="shared" si="37"/>
        <v>37268.246566843205</v>
      </c>
      <c r="L93" s="49">
        <f t="shared" si="38"/>
        <v>37362.951557052613</v>
      </c>
      <c r="M93" s="49">
        <f t="shared" si="39"/>
        <v>-38360.343865628485</v>
      </c>
      <c r="N93" s="49">
        <f t="shared" si="29"/>
        <v>38360.343865628485</v>
      </c>
      <c r="O93" s="48">
        <f t="shared" si="32"/>
        <v>205841.57050477748</v>
      </c>
      <c r="P93" s="38">
        <f t="shared" si="36"/>
        <v>205841.57050477748</v>
      </c>
      <c r="Q93" s="53"/>
      <c r="R93" s="53">
        <f t="shared" si="45"/>
        <v>0.05</v>
      </c>
      <c r="S93" s="53">
        <f t="shared" si="46"/>
        <v>4.2653187775606449E-3</v>
      </c>
      <c r="T93" s="53">
        <f t="shared" si="47"/>
        <v>0.05</v>
      </c>
      <c r="U93" s="53">
        <f t="shared" si="50"/>
        <v>4.2653187775606449E-3</v>
      </c>
      <c r="V93" s="53"/>
      <c r="W93" s="63">
        <f t="shared" si="48"/>
        <v>622.7158592842103</v>
      </c>
      <c r="X93" s="64">
        <f t="shared" si="49"/>
        <v>8.5306375551212925E-4</v>
      </c>
      <c r="Z93" s="63"/>
    </row>
    <row r="94" spans="1:26" x14ac:dyDescent="0.2">
      <c r="A94" s="62">
        <f t="shared" si="40"/>
        <v>0.99898184084851205</v>
      </c>
      <c r="B94" s="45">
        <f t="shared" si="41"/>
        <v>83</v>
      </c>
      <c r="C94" s="49">
        <f t="shared" si="33"/>
        <v>8701234.7134163454</v>
      </c>
      <c r="D94" s="47" cm="1">
        <f t="array" ref="D94">_xlfn.IFS(AND($C$7="Y",B94&lt;C$4),C94,AND($C$7="Y",B94=C$4),D93+F94-J94-K94-L94+N94,AND($C$7="Y",B94&gt;$C$4),D93-J94-K94-L94+N94, TRUE, D93-J94-K94-L94+N94)</f>
        <v>8642748.083829239</v>
      </c>
      <c r="E94" s="48">
        <f t="shared" si="42"/>
        <v>0</v>
      </c>
      <c r="F94" s="50">
        <f t="shared" si="43"/>
        <v>0</v>
      </c>
      <c r="G94" s="50">
        <f t="shared" si="51"/>
        <v>0</v>
      </c>
      <c r="H94" s="51">
        <f t="shared" si="34"/>
        <v>166868.40317669974</v>
      </c>
      <c r="I94" s="52">
        <f t="shared" si="44"/>
        <v>144402.01956008747</v>
      </c>
      <c r="J94" s="52">
        <f t="shared" si="35"/>
        <v>22466.383616612264</v>
      </c>
      <c r="K94" s="51">
        <f t="shared" si="37"/>
        <v>37017.713523193444</v>
      </c>
      <c r="L94" s="49">
        <f t="shared" si="38"/>
        <v>37113.539811097253</v>
      </c>
      <c r="M94" s="49">
        <f t="shared" si="39"/>
        <v>-38111.007363796016</v>
      </c>
      <c r="N94" s="49">
        <f t="shared" si="29"/>
        <v>38111.007363796016</v>
      </c>
      <c r="O94" s="48">
        <f t="shared" si="32"/>
        <v>204883.58425259194</v>
      </c>
      <c r="P94" s="38">
        <f t="shared" si="36"/>
        <v>204883.58425259194</v>
      </c>
      <c r="Q94" s="53"/>
      <c r="R94" s="53">
        <f t="shared" si="45"/>
        <v>0.05</v>
      </c>
      <c r="S94" s="53">
        <f t="shared" si="46"/>
        <v>4.2653187775606449E-3</v>
      </c>
      <c r="T94" s="53">
        <f t="shared" si="47"/>
        <v>0.05</v>
      </c>
      <c r="U94" s="53">
        <f t="shared" si="50"/>
        <v>4.2653187775606449E-3</v>
      </c>
      <c r="V94" s="53"/>
      <c r="W94" s="63">
        <f t="shared" si="48"/>
        <v>618.55899685162092</v>
      </c>
      <c r="X94" s="64">
        <f t="shared" si="49"/>
        <v>8.5306375551212892E-4</v>
      </c>
      <c r="Z94" s="63"/>
    </row>
    <row r="95" spans="1:26" x14ac:dyDescent="0.2">
      <c r="A95" s="62">
        <f t="shared" si="40"/>
        <v>0.99221980818178179</v>
      </c>
      <c r="B95" s="45">
        <f t="shared" si="41"/>
        <v>84</v>
      </c>
      <c r="C95" s="49">
        <f t="shared" si="33"/>
        <v>8642748.083829239</v>
      </c>
      <c r="D95" s="47" cm="1">
        <f t="array" ref="D95">_xlfn.IFS(AND($C$7="Y",B95&lt;C$4),C95,AND($C$7="Y",B95=C$4),D94+F95-J95-K95-L95+N95,AND($C$7="Y",B95&gt;$C$4),D94-J95-K95-L95+N95, TRUE, D94-J95-K95-L95+N95)</f>
        <v>8584245.9744980689</v>
      </c>
      <c r="E95" s="48">
        <f t="shared" si="42"/>
        <v>0</v>
      </c>
      <c r="F95" s="50">
        <f t="shared" si="43"/>
        <v>0</v>
      </c>
      <c r="G95" s="50">
        <f t="shared" si="51"/>
        <v>0</v>
      </c>
      <c r="H95" s="51">
        <f t="shared" si="34"/>
        <v>166163.99179862239</v>
      </c>
      <c r="I95" s="52">
        <f t="shared" si="44"/>
        <v>143431.40013562594</v>
      </c>
      <c r="J95" s="52">
        <f t="shared" si="35"/>
        <v>22732.591662996449</v>
      </c>
      <c r="K95" s="51">
        <f t="shared" si="37"/>
        <v>36767.113941600343</v>
      </c>
      <c r="L95" s="49">
        <f t="shared" si="38"/>
        <v>36864.075691683138</v>
      </c>
      <c r="M95" s="49">
        <f t="shared" si="39"/>
        <v>-37861.671965108813</v>
      </c>
      <c r="N95" s="49">
        <f t="shared" si="29"/>
        <v>37861.671965108813</v>
      </c>
      <c r="O95" s="48">
        <f t="shared" si="32"/>
        <v>203928.70201364841</v>
      </c>
      <c r="P95" s="38">
        <f t="shared" si="36"/>
        <v>203928.70201364841</v>
      </c>
      <c r="Q95" s="53"/>
      <c r="R95" s="53">
        <f t="shared" si="45"/>
        <v>0.05</v>
      </c>
      <c r="S95" s="53">
        <f t="shared" si="46"/>
        <v>4.2653187775606449E-3</v>
      </c>
      <c r="T95" s="53">
        <f t="shared" si="47"/>
        <v>0.05</v>
      </c>
      <c r="U95" s="53">
        <f t="shared" si="50"/>
        <v>4.2653187775606449E-3</v>
      </c>
      <c r="V95" s="53"/>
      <c r="W95" s="63">
        <f t="shared" si="48"/>
        <v>614.40126152805226</v>
      </c>
      <c r="X95" s="64">
        <f t="shared" si="49"/>
        <v>8.5306375551212903E-4</v>
      </c>
      <c r="Z95" s="63"/>
    </row>
    <row r="96" spans="1:26" x14ac:dyDescent="0.2">
      <c r="A96" s="62">
        <f t="shared" si="40"/>
        <v>0.98545561313140806</v>
      </c>
      <c r="B96" s="45">
        <f t="shared" si="41"/>
        <v>85</v>
      </c>
      <c r="C96" s="49">
        <f t="shared" si="33"/>
        <v>8584245.9744980689</v>
      </c>
      <c r="D96" s="47" cm="1">
        <f t="array" ref="D96">_xlfn.IFS(AND($C$7="Y",B96&lt;C$4),C96,AND($C$7="Y",B96=C$4),D95+F96-J96-K96-L96+N96,AND($C$7="Y",B96&gt;$C$4),D95-J96-K96-L96+N96, TRUE, D95-J96-K96-L96+N96)</f>
        <v>8525725.1571821012</v>
      </c>
      <c r="E96" s="48">
        <f t="shared" si="42"/>
        <v>0</v>
      </c>
      <c r="F96" s="50">
        <f t="shared" si="43"/>
        <v>0</v>
      </c>
      <c r="G96" s="50">
        <f t="shared" si="51"/>
        <v>0</v>
      </c>
      <c r="H96" s="51">
        <f t="shared" si="34"/>
        <v>165462.68606094702</v>
      </c>
      <c r="I96" s="52">
        <f t="shared" si="44"/>
        <v>142460.52381586406</v>
      </c>
      <c r="J96" s="52">
        <f t="shared" si="35"/>
        <v>23002.16224508296</v>
      </c>
      <c r="K96" s="51">
        <f t="shared" si="37"/>
        <v>36516.433991677535</v>
      </c>
      <c r="L96" s="49">
        <f t="shared" si="38"/>
        <v>36614.545546225992</v>
      </c>
      <c r="M96" s="49">
        <f t="shared" si="39"/>
        <v>-37612.324467019876</v>
      </c>
      <c r="N96" s="49">
        <f t="shared" ref="N96:N159" si="52">IFERROR((1-$N$9)*L92,0)</f>
        <v>37612.324467019876</v>
      </c>
      <c r="O96" s="48">
        <f t="shared" si="32"/>
        <v>202976.89897341843</v>
      </c>
      <c r="P96" s="38">
        <f t="shared" si="36"/>
        <v>202976.89897341843</v>
      </c>
      <c r="Q96" s="53"/>
      <c r="R96" s="53">
        <f t="shared" si="45"/>
        <v>0.05</v>
      </c>
      <c r="S96" s="53">
        <f t="shared" si="46"/>
        <v>4.2653187775606449E-3</v>
      </c>
      <c r="T96" s="53">
        <f t="shared" si="47"/>
        <v>0.05</v>
      </c>
      <c r="U96" s="53">
        <f t="shared" si="50"/>
        <v>4.2653187775606449E-3</v>
      </c>
      <c r="V96" s="53"/>
      <c r="W96" s="63">
        <f t="shared" si="48"/>
        <v>610.24242577043321</v>
      </c>
      <c r="X96" s="64">
        <f t="shared" si="49"/>
        <v>8.5306375551212903E-4</v>
      </c>
      <c r="Z96" s="63"/>
    </row>
    <row r="97" spans="1:26" x14ac:dyDescent="0.2">
      <c r="A97" s="62">
        <f t="shared" si="40"/>
        <v>0.97868887934099102</v>
      </c>
      <c r="B97" s="45">
        <f t="shared" si="41"/>
        <v>86</v>
      </c>
      <c r="C97" s="49">
        <f t="shared" si="33"/>
        <v>8525725.1571821012</v>
      </c>
      <c r="D97" s="47" cm="1">
        <f t="array" ref="D97">_xlfn.IFS(AND($C$7="Y",B97&lt;C$4),C97,AND($C$7="Y",B97=C$4),D96+F97-J97-K97-L97+N97,AND($C$7="Y",B97&gt;$C$4),D96-J97-K97-L97+N97, TRUE, D96-J97-K97-L97+N97)</f>
        <v>8467182.3758125864</v>
      </c>
      <c r="E97" s="48">
        <f t="shared" si="42"/>
        <v>0</v>
      </c>
      <c r="F97" s="50">
        <f t="shared" si="43"/>
        <v>0</v>
      </c>
      <c r="G97" s="50">
        <f t="shared" si="51"/>
        <v>0</v>
      </c>
      <c r="H97" s="51">
        <f t="shared" si="34"/>
        <v>164764.47462379333</v>
      </c>
      <c r="I97" s="52">
        <f t="shared" si="44"/>
        <v>141489.33702628085</v>
      </c>
      <c r="J97" s="52">
        <f t="shared" si="35"/>
        <v>23275.137597512483</v>
      </c>
      <c r="K97" s="51">
        <f t="shared" si="37"/>
        <v>36265.659723805016</v>
      </c>
      <c r="L97" s="49">
        <f t="shared" si="38"/>
        <v>36364.935605250001</v>
      </c>
      <c r="M97" s="49">
        <f t="shared" si="39"/>
        <v>-37362.951557052613</v>
      </c>
      <c r="N97" s="49">
        <f t="shared" si="52"/>
        <v>37362.951557052613</v>
      </c>
      <c r="O97" s="48">
        <f t="shared" si="32"/>
        <v>202028.15029940094</v>
      </c>
      <c r="P97" s="38">
        <f t="shared" si="36"/>
        <v>202028.15029940094</v>
      </c>
      <c r="Q97" s="53"/>
      <c r="R97" s="53">
        <f t="shared" si="45"/>
        <v>0.05</v>
      </c>
      <c r="S97" s="53">
        <f t="shared" si="46"/>
        <v>4.2653187775606449E-3</v>
      </c>
      <c r="T97" s="53">
        <f t="shared" si="47"/>
        <v>0.05</v>
      </c>
      <c r="U97" s="53">
        <f t="shared" si="50"/>
        <v>4.2653187775606449E-3</v>
      </c>
      <c r="V97" s="53"/>
      <c r="W97" s="63">
        <f t="shared" si="48"/>
        <v>606.0822600875</v>
      </c>
      <c r="X97" s="64">
        <f t="shared" si="49"/>
        <v>8.5306375551212914E-4</v>
      </c>
      <c r="Z97" s="63"/>
    </row>
    <row r="98" spans="1:26" x14ac:dyDescent="0.2">
      <c r="A98" s="62">
        <f t="shared" si="40"/>
        <v>0.97191922718799884</v>
      </c>
      <c r="B98" s="45">
        <f t="shared" si="41"/>
        <v>87</v>
      </c>
      <c r="C98" s="49">
        <f t="shared" si="33"/>
        <v>8467182.3758125864</v>
      </c>
      <c r="D98" s="47" cm="1">
        <f t="array" ref="D98">_xlfn.IFS(AND($C$7="Y",B98&lt;C$4),C98,AND($C$7="Y",B98=C$4),D97+F98-J98-K98-L98+N98,AND($C$7="Y",B98&gt;$C$4),D97-J98-K98-L98+N98, TRUE, D97-J98-K98-L98+N98)</f>
        <v>8408614.3460636493</v>
      </c>
      <c r="E98" s="48">
        <f t="shared" si="42"/>
        <v>0</v>
      </c>
      <c r="F98" s="50">
        <f t="shared" si="43"/>
        <v>0</v>
      </c>
      <c r="G98" s="50">
        <f t="shared" si="51"/>
        <v>0</v>
      </c>
      <c r="H98" s="51">
        <f t="shared" si="34"/>
        <v>164069.34624269363</v>
      </c>
      <c r="I98" s="52">
        <f t="shared" si="44"/>
        <v>140517.78573053339</v>
      </c>
      <c r="J98" s="52">
        <f t="shared" si="35"/>
        <v>23551.560512160242</v>
      </c>
      <c r="K98" s="51">
        <f t="shared" si="37"/>
        <v>36014.777067290604</v>
      </c>
      <c r="L98" s="49">
        <f t="shared" si="38"/>
        <v>36115.23198058398</v>
      </c>
      <c r="M98" s="49">
        <f t="shared" si="39"/>
        <v>-37113.539811097253</v>
      </c>
      <c r="N98" s="49">
        <f t="shared" si="52"/>
        <v>37113.539811097253</v>
      </c>
      <c r="O98" s="48">
        <f t="shared" si="32"/>
        <v>201082.4311404975</v>
      </c>
      <c r="P98" s="38">
        <f t="shared" si="36"/>
        <v>201082.4311404975</v>
      </c>
      <c r="Q98" s="53"/>
      <c r="R98" s="53">
        <f t="shared" si="45"/>
        <v>0.05</v>
      </c>
      <c r="S98" s="53">
        <f t="shared" si="46"/>
        <v>4.2653187775606449E-3</v>
      </c>
      <c r="T98" s="53">
        <f t="shared" si="47"/>
        <v>0.05</v>
      </c>
      <c r="U98" s="53">
        <f t="shared" si="50"/>
        <v>4.2653187775606449E-3</v>
      </c>
      <c r="V98" s="53"/>
      <c r="W98" s="63">
        <f t="shared" si="48"/>
        <v>601.92053300973305</v>
      </c>
      <c r="X98" s="64">
        <f t="shared" si="49"/>
        <v>8.5306375551212914E-4</v>
      </c>
      <c r="Z98" s="63"/>
    </row>
    <row r="99" spans="1:26" x14ac:dyDescent="0.2">
      <c r="A99" s="62">
        <f t="shared" si="40"/>
        <v>0.9651462737334392</v>
      </c>
      <c r="B99" s="45">
        <f t="shared" si="41"/>
        <v>88</v>
      </c>
      <c r="C99" s="49">
        <f t="shared" si="33"/>
        <v>8408614.3460636493</v>
      </c>
      <c r="D99" s="47" cm="1">
        <f t="array" ref="D99">_xlfn.IFS(AND($C$7="Y",B99&lt;C$4),C99,AND($C$7="Y",B99=C$4),D98+F99-J99-K99-L99+N99,AND($C$7="Y",B99&gt;$C$4),D98-J99-K99-L99+N99, TRUE, D98-J99-K99-L99+N99)</f>
        <v>8350017.7549168672</v>
      </c>
      <c r="E99" s="48">
        <f t="shared" si="42"/>
        <v>0</v>
      </c>
      <c r="F99" s="50">
        <f t="shared" si="43"/>
        <v>0</v>
      </c>
      <c r="G99" s="50">
        <f t="shared" si="51"/>
        <v>0</v>
      </c>
      <c r="H99" s="51">
        <f t="shared" si="34"/>
        <v>163377.28976976537</v>
      </c>
      <c r="I99" s="52">
        <f t="shared" si="44"/>
        <v>139545.8154233353</v>
      </c>
      <c r="J99" s="52">
        <f t="shared" si="35"/>
        <v>23831.47434643007</v>
      </c>
      <c r="K99" s="51">
        <f t="shared" si="37"/>
        <v>35763.771828504323</v>
      </c>
      <c r="L99" s="49">
        <f t="shared" si="38"/>
        <v>35865.420663531106</v>
      </c>
      <c r="M99" s="49">
        <f t="shared" si="39"/>
        <v>-36864.075691683138</v>
      </c>
      <c r="N99" s="49">
        <f t="shared" si="52"/>
        <v>36864.075691683138</v>
      </c>
      <c r="O99" s="48">
        <f t="shared" si="32"/>
        <v>200139.71662642172</v>
      </c>
      <c r="P99" s="38">
        <f t="shared" si="36"/>
        <v>200139.71662642172</v>
      </c>
      <c r="Q99" s="53"/>
      <c r="R99" s="53">
        <f t="shared" si="45"/>
        <v>0.05</v>
      </c>
      <c r="S99" s="53">
        <f t="shared" si="46"/>
        <v>4.2653187775606449E-3</v>
      </c>
      <c r="T99" s="53">
        <f t="shared" si="47"/>
        <v>0.05</v>
      </c>
      <c r="U99" s="53">
        <f t="shared" si="50"/>
        <v>4.2653187775606449E-3</v>
      </c>
      <c r="V99" s="53"/>
      <c r="W99" s="63">
        <f t="shared" si="48"/>
        <v>597.75701105885184</v>
      </c>
      <c r="X99" s="64">
        <f t="shared" si="49"/>
        <v>8.5306375551212914E-4</v>
      </c>
      <c r="Z99" s="63"/>
    </row>
    <row r="100" spans="1:26" x14ac:dyDescent="0.2">
      <c r="A100" s="62">
        <f t="shared" si="40"/>
        <v>0.95836963267078279</v>
      </c>
      <c r="B100" s="45">
        <f t="shared" si="41"/>
        <v>89</v>
      </c>
      <c r="C100" s="49">
        <f t="shared" si="33"/>
        <v>8350017.7549168672</v>
      </c>
      <c r="D100" s="47" cm="1">
        <f t="array" ref="D100">_xlfn.IFS(AND($C$7="Y",B100&lt;C$4),C100,AND($C$7="Y",B100=C$4),D99+F100-J100-K100-L100+N100,AND($C$7="Y",B100&gt;$C$4),D99-J100-K100-L100+N100, TRUE, D99-J100-K100-L100+N100)</f>
        <v>8291389.2602193812</v>
      </c>
      <c r="E100" s="48">
        <f t="shared" si="42"/>
        <v>0</v>
      </c>
      <c r="F100" s="50">
        <f t="shared" si="43"/>
        <v>0</v>
      </c>
      <c r="G100" s="50">
        <f t="shared" si="51"/>
        <v>0</v>
      </c>
      <c r="H100" s="51">
        <f t="shared" si="34"/>
        <v>162688.29415494678</v>
      </c>
      <c r="I100" s="52">
        <f t="shared" si="44"/>
        <v>138573.37112323093</v>
      </c>
      <c r="J100" s="52">
        <f t="shared" si="35"/>
        <v>24114.923031715851</v>
      </c>
      <c r="K100" s="51">
        <f t="shared" si="37"/>
        <v>35512.629688985086</v>
      </c>
      <c r="L100" s="49">
        <f t="shared" si="38"/>
        <v>35615.487523011696</v>
      </c>
      <c r="M100" s="49">
        <f t="shared" si="39"/>
        <v>-36614.545546225992</v>
      </c>
      <c r="N100" s="49">
        <f t="shared" si="52"/>
        <v>36614.545546225992</v>
      </c>
      <c r="O100" s="48">
        <f t="shared" si="32"/>
        <v>199199.98186714618</v>
      </c>
      <c r="P100" s="38">
        <f t="shared" si="36"/>
        <v>199199.98186714618</v>
      </c>
      <c r="Q100" s="53"/>
      <c r="R100" s="53">
        <f t="shared" si="45"/>
        <v>0.05</v>
      </c>
      <c r="S100" s="53">
        <f t="shared" si="46"/>
        <v>4.2653187775606449E-3</v>
      </c>
      <c r="T100" s="53">
        <f t="shared" si="47"/>
        <v>0.05</v>
      </c>
      <c r="U100" s="53">
        <f t="shared" si="50"/>
        <v>4.2653187775606449E-3</v>
      </c>
      <c r="V100" s="53"/>
      <c r="W100" s="63">
        <f t="shared" si="48"/>
        <v>593.59145871686167</v>
      </c>
      <c r="X100" s="64">
        <f t="shared" si="49"/>
        <v>8.5306375551212914E-4</v>
      </c>
      <c r="Z100" s="63"/>
    </row>
    <row r="101" spans="1:26" x14ac:dyDescent="0.2">
      <c r="A101" s="62">
        <f t="shared" si="40"/>
        <v>0.95158891427412329</v>
      </c>
      <c r="B101" s="45">
        <f t="shared" si="41"/>
        <v>90</v>
      </c>
      <c r="C101" s="49">
        <f t="shared" si="33"/>
        <v>8291389.2602193812</v>
      </c>
      <c r="D101" s="47" cm="1">
        <f t="array" ref="D101">_xlfn.IFS(AND($C$7="Y",B101&lt;C$4),C101,AND($C$7="Y",B101=C$4),D100+F101-J101-K101-L101+N101,AND($C$7="Y",B101&gt;$C$4),D100-J101-K101-L101+N101, TRUE, D100-J101-K101-L101+N101)</f>
        <v>8232725.4902353967</v>
      </c>
      <c r="E101" s="48">
        <f t="shared" si="42"/>
        <v>0</v>
      </c>
      <c r="F101" s="50">
        <f t="shared" si="43"/>
        <v>0</v>
      </c>
      <c r="G101" s="50">
        <f t="shared" si="51"/>
        <v>0</v>
      </c>
      <c r="H101" s="51">
        <f t="shared" si="34"/>
        <v>162002.3484472984</v>
      </c>
      <c r="I101" s="52">
        <f t="shared" si="44"/>
        <v>137600.39736526171</v>
      </c>
      <c r="J101" s="52">
        <f t="shared" si="35"/>
        <v>24401.951082036685</v>
      </c>
      <c r="K101" s="51">
        <f t="shared" si="37"/>
        <v>35261.336203519066</v>
      </c>
      <c r="L101" s="49">
        <f t="shared" si="38"/>
        <v>35365.418303678394</v>
      </c>
      <c r="M101" s="49">
        <f t="shared" si="39"/>
        <v>-36364.935605250001</v>
      </c>
      <c r="N101" s="49">
        <f t="shared" si="52"/>
        <v>36364.935605250001</v>
      </c>
      <c r="O101" s="48">
        <f t="shared" ref="O101:O164" si="53">K101+I101+J101-L101+N101+G101</f>
        <v>198263.20195238906</v>
      </c>
      <c r="P101" s="38">
        <f t="shared" si="36"/>
        <v>198263.20195238906</v>
      </c>
      <c r="Q101" s="53"/>
      <c r="R101" s="53">
        <f t="shared" si="45"/>
        <v>0.05</v>
      </c>
      <c r="S101" s="53">
        <f t="shared" si="46"/>
        <v>4.2653187775606449E-3</v>
      </c>
      <c r="T101" s="53">
        <f t="shared" si="47"/>
        <v>0.05</v>
      </c>
      <c r="U101" s="53">
        <f t="shared" si="50"/>
        <v>4.2653187775606449E-3</v>
      </c>
      <c r="V101" s="53"/>
      <c r="W101" s="63">
        <f t="shared" si="48"/>
        <v>589.42363839463997</v>
      </c>
      <c r="X101" s="64">
        <f t="shared" si="49"/>
        <v>8.5306375551212914E-4</v>
      </c>
      <c r="Z101" s="63"/>
    </row>
    <row r="102" spans="1:26" x14ac:dyDescent="0.2">
      <c r="A102" s="62">
        <f t="shared" si="40"/>
        <v>0.94480372534555701</v>
      </c>
      <c r="B102" s="45">
        <f t="shared" si="41"/>
        <v>91</v>
      </c>
      <c r="C102" s="49">
        <f t="shared" ref="C102:C165" si="54">IF(B102&lt;C$4,C$1,D101)</f>
        <v>8232725.4902353967</v>
      </c>
      <c r="D102" s="47" cm="1">
        <f t="array" ref="D102">_xlfn.IFS(AND($C$7="Y",B102&lt;C$4),C102,AND($C$7="Y",B102=C$4),D101+F102-J102-K102-L102+N102,AND($C$7="Y",B102&gt;$C$4),D101-J102-K102-L102+N102, TRUE, D101-J102-K102-L102+N102)</f>
        <v>8174023.0431909375</v>
      </c>
      <c r="E102" s="48">
        <f t="shared" si="42"/>
        <v>0</v>
      </c>
      <c r="F102" s="50">
        <f t="shared" si="43"/>
        <v>0</v>
      </c>
      <c r="G102" s="50">
        <f t="shared" si="51"/>
        <v>0</v>
      </c>
      <c r="H102" s="51">
        <f t="shared" ref="H102:H165" si="55">IF(AND($B102&lt;=$C$4,C$7="Y"),0,IF(AND(C$7="N",C$4&gt;0,B102&lt;=C$4),0,D101*C$2/12/(1-(1/(1+C$2/12))^(C$3+C$4-B102+1))))</f>
        <v>161319.44179637384</v>
      </c>
      <c r="I102" s="52">
        <f t="shared" si="44"/>
        <v>136626.83819352323</v>
      </c>
      <c r="J102" s="52">
        <f t="shared" ref="J102:J165" si="56">IF(AND($B102&lt;=$C$4,C$7="Y"),0,IF(AND(C$7="N",C$4&gt;0,B102&lt;=C$4),0,H102-I102))</f>
        <v>24692.603602850606</v>
      </c>
      <c r="K102" s="51">
        <f t="shared" si="37"/>
        <v>35009.8767981891</v>
      </c>
      <c r="L102" s="49">
        <f t="shared" si="38"/>
        <v>35115.198624003206</v>
      </c>
      <c r="M102" s="49">
        <f t="shared" si="39"/>
        <v>-36115.23198058398</v>
      </c>
      <c r="N102" s="49">
        <f t="shared" si="52"/>
        <v>36115.23198058398</v>
      </c>
      <c r="O102" s="48">
        <f t="shared" si="53"/>
        <v>197329.3519511437</v>
      </c>
      <c r="P102" s="38">
        <f t="shared" ref="P102:P165" si="57">O102*(1/((1+P$9)^(B102/12)))</f>
        <v>197329.3519511437</v>
      </c>
      <c r="Q102" s="53"/>
      <c r="R102" s="53">
        <f t="shared" si="45"/>
        <v>0.05</v>
      </c>
      <c r="S102" s="53">
        <f t="shared" si="46"/>
        <v>4.2653187775606449E-3</v>
      </c>
      <c r="T102" s="53">
        <f t="shared" si="47"/>
        <v>0.05</v>
      </c>
      <c r="U102" s="53">
        <f t="shared" si="50"/>
        <v>4.2653187775606449E-3</v>
      </c>
      <c r="V102" s="53"/>
      <c r="W102" s="63">
        <f t="shared" si="48"/>
        <v>585.25331040005346</v>
      </c>
      <c r="X102" s="64">
        <f t="shared" si="49"/>
        <v>8.5306375551212903E-4</v>
      </c>
      <c r="Z102" s="63"/>
    </row>
    <row r="103" spans="1:26" x14ac:dyDescent="0.2">
      <c r="A103" s="62">
        <f t="shared" si="40"/>
        <v>0.93801366916176332</v>
      </c>
      <c r="B103" s="45">
        <f t="shared" si="41"/>
        <v>92</v>
      </c>
      <c r="C103" s="49">
        <f t="shared" si="54"/>
        <v>8174023.0431909375</v>
      </c>
      <c r="D103" s="47" cm="1">
        <f t="array" ref="D103">_xlfn.IFS(AND($C$7="Y",B103&lt;C$4),C103,AND($C$7="Y",B103=C$4),D102+F103-J103-K103-L103+N103,AND($C$7="Y",B103&gt;$C$4),D102-J103-K103-L103+N103, TRUE, D102-J103-K103-L103+N103)</f>
        <v>8115278.4868116844</v>
      </c>
      <c r="E103" s="48">
        <f t="shared" si="42"/>
        <v>0</v>
      </c>
      <c r="F103" s="50">
        <f t="shared" si="43"/>
        <v>0</v>
      </c>
      <c r="G103" s="50">
        <f t="shared" si="51"/>
        <v>0</v>
      </c>
      <c r="H103" s="51">
        <f t="shared" si="55"/>
        <v>160639.56345366361</v>
      </c>
      <c r="I103" s="52">
        <f t="shared" si="44"/>
        <v>135652.63715361003</v>
      </c>
      <c r="J103" s="52">
        <f t="shared" si="56"/>
        <v>24986.926300053572</v>
      </c>
      <c r="K103" s="51">
        <f t="shared" ref="K103:K166" si="58">IF(AND(C$7="Y",$B103&lt;=$C$4),0,IF(AND(C$7="N",C$4&gt;0,B103&lt;=C$4),0,S103*(C103-J103)))</f>
        <v>34758.23676839457</v>
      </c>
      <c r="L103" s="49">
        <f t="shared" si="38"/>
        <v>34864.81397433571</v>
      </c>
      <c r="M103" s="49">
        <f t="shared" si="39"/>
        <v>-35865.420663531106</v>
      </c>
      <c r="N103" s="49">
        <f t="shared" si="52"/>
        <v>35865.420663531106</v>
      </c>
      <c r="O103" s="48">
        <f t="shared" si="53"/>
        <v>196398.40691125358</v>
      </c>
      <c r="P103" s="38">
        <f t="shared" si="57"/>
        <v>196398.40691125358</v>
      </c>
      <c r="Q103" s="53"/>
      <c r="R103" s="53">
        <f t="shared" si="45"/>
        <v>0.05</v>
      </c>
      <c r="S103" s="53">
        <f t="shared" si="46"/>
        <v>4.2653187775606449E-3</v>
      </c>
      <c r="T103" s="53">
        <f t="shared" si="47"/>
        <v>0.05</v>
      </c>
      <c r="U103" s="53">
        <f t="shared" si="50"/>
        <v>4.2653187775606449E-3</v>
      </c>
      <c r="V103" s="53"/>
      <c r="W103" s="63">
        <f t="shared" si="48"/>
        <v>581.08023290559515</v>
      </c>
      <c r="X103" s="64">
        <f t="shared" si="49"/>
        <v>8.5306375551212892E-4</v>
      </c>
      <c r="Z103" s="63"/>
    </row>
    <row r="104" spans="1:26" x14ac:dyDescent="0.2">
      <c r="A104" s="62">
        <f t="shared" si="40"/>
        <v>0.93121834541976978</v>
      </c>
      <c r="B104" s="45">
        <f t="shared" si="41"/>
        <v>93</v>
      </c>
      <c r="C104" s="49">
        <f t="shared" si="54"/>
        <v>8115278.4868116844</v>
      </c>
      <c r="D104" s="47" cm="1">
        <f t="array" ref="D104">_xlfn.IFS(AND($C$7="Y",B104&lt;C$4),C104,AND($C$7="Y",B104=C$4),D103+F104-J104-K104-L104+N104,AND($C$7="Y",B104&gt;$C$4),D103-J104-K104-L104+N104, TRUE, D103-J104-K104-L104+N104)</f>
        <v>8056488.3578537544</v>
      </c>
      <c r="E104" s="48">
        <f t="shared" si="42"/>
        <v>0</v>
      </c>
      <c r="F104" s="50">
        <f t="shared" si="43"/>
        <v>0</v>
      </c>
      <c r="G104" s="50">
        <f t="shared" si="51"/>
        <v>0</v>
      </c>
      <c r="H104" s="51">
        <f t="shared" si="55"/>
        <v>159962.70277411593</v>
      </c>
      <c r="I104" s="52">
        <f t="shared" si="44"/>
        <v>134677.73728494588</v>
      </c>
      <c r="J104" s="52">
        <f t="shared" si="56"/>
        <v>25284.965489170048</v>
      </c>
      <c r="K104" s="51">
        <f t="shared" si="58"/>
        <v>34506.401276840887</v>
      </c>
      <c r="L104" s="49">
        <f t="shared" si="38"/>
        <v>34614.249714931815</v>
      </c>
      <c r="M104" s="49">
        <f t="shared" si="39"/>
        <v>-35615.487523011696</v>
      </c>
      <c r="N104" s="49">
        <f t="shared" si="52"/>
        <v>35615.487523011696</v>
      </c>
      <c r="O104" s="48">
        <f t="shared" si="53"/>
        <v>195470.34185903668</v>
      </c>
      <c r="P104" s="38">
        <f t="shared" si="57"/>
        <v>195470.34185903668</v>
      </c>
      <c r="Q104" s="53"/>
      <c r="R104" s="53">
        <f t="shared" si="45"/>
        <v>0.05</v>
      </c>
      <c r="S104" s="53">
        <f t="shared" si="46"/>
        <v>4.2653187775606449E-3</v>
      </c>
      <c r="T104" s="53">
        <f t="shared" si="47"/>
        <v>0.05</v>
      </c>
      <c r="U104" s="53">
        <f t="shared" si="50"/>
        <v>4.2653187775606449E-3</v>
      </c>
      <c r="V104" s="53"/>
      <c r="W104" s="63">
        <f t="shared" si="48"/>
        <v>576.90416191553027</v>
      </c>
      <c r="X104" s="64">
        <f t="shared" si="49"/>
        <v>8.5306375551212903E-4</v>
      </c>
      <c r="Z104" s="63"/>
    </row>
    <row r="105" spans="1:26" x14ac:dyDescent="0.2">
      <c r="A105" s="62">
        <f t="shared" si="40"/>
        <v>0.9244173501818792</v>
      </c>
      <c r="B105" s="45">
        <f t="shared" si="41"/>
        <v>94</v>
      </c>
      <c r="C105" s="49">
        <f t="shared" si="54"/>
        <v>8056488.3578537544</v>
      </c>
      <c r="D105" s="47" cm="1">
        <f t="array" ref="D105">_xlfn.IFS(AND($C$7="Y",B105&lt;C$4),C105,AND($C$7="Y",B105=C$4),D104+F105-J105-K105-L105+N105,AND($C$7="Y",B105&gt;$C$4),D104-J105-K105-L105+N105, TRUE, D104-J105-K105-L105+N105)</f>
        <v>7997649.1616272405</v>
      </c>
      <c r="E105" s="48">
        <f t="shared" si="42"/>
        <v>0</v>
      </c>
      <c r="F105" s="50">
        <f t="shared" si="43"/>
        <v>0</v>
      </c>
      <c r="G105" s="50">
        <f t="shared" si="51"/>
        <v>0</v>
      </c>
      <c r="H105" s="51">
        <f t="shared" si="55"/>
        <v>159288.84921773872</v>
      </c>
      <c r="I105" s="52">
        <f t="shared" si="44"/>
        <v>133702.0811129967</v>
      </c>
      <c r="J105" s="52">
        <f t="shared" si="56"/>
        <v>25586.768104742019</v>
      </c>
      <c r="K105" s="51">
        <f t="shared" si="58"/>
        <v>34254.355351498096</v>
      </c>
      <c r="L105" s="49">
        <f t="shared" si="38"/>
        <v>34363.49107395234</v>
      </c>
      <c r="M105" s="49">
        <f t="shared" si="39"/>
        <v>-35365.418303678394</v>
      </c>
      <c r="N105" s="49">
        <f t="shared" si="52"/>
        <v>35365.418303678394</v>
      </c>
      <c r="O105" s="48">
        <f t="shared" si="53"/>
        <v>194545.13179896286</v>
      </c>
      <c r="P105" s="38">
        <f t="shared" si="57"/>
        <v>194545.13179896286</v>
      </c>
      <c r="Q105" s="53"/>
      <c r="R105" s="53">
        <f t="shared" si="45"/>
        <v>0.05</v>
      </c>
      <c r="S105" s="53">
        <f t="shared" si="46"/>
        <v>4.2653187775606449E-3</v>
      </c>
      <c r="T105" s="53">
        <f t="shared" si="47"/>
        <v>0.05</v>
      </c>
      <c r="U105" s="53">
        <f t="shared" si="50"/>
        <v>4.2653187775606449E-3</v>
      </c>
      <c r="V105" s="53"/>
      <c r="W105" s="63">
        <f t="shared" si="48"/>
        <v>572.72485123253898</v>
      </c>
      <c r="X105" s="64">
        <f t="shared" si="49"/>
        <v>8.5306375551212881E-4</v>
      </c>
      <c r="Z105" s="63"/>
    </row>
    <row r="106" spans="1:26" x14ac:dyDescent="0.2">
      <c r="A106" s="62">
        <f t="shared" si="40"/>
        <v>0.91761027581974419</v>
      </c>
      <c r="B106" s="45">
        <f t="shared" si="41"/>
        <v>95</v>
      </c>
      <c r="C106" s="49">
        <f t="shared" si="54"/>
        <v>7997649.1616272405</v>
      </c>
      <c r="D106" s="47" cm="1">
        <f t="array" ref="D106">_xlfn.IFS(AND($C$7="Y",B106&lt;C$4),C106,AND($C$7="Y",B106=C$4),D105+F106-J106-K106-L106+N106,AND($C$7="Y",B106&gt;$C$4),D105-J106-K106-L106+N106, TRUE, D105-J106-K106-L106+N106)</f>
        <v>7938757.3715123618</v>
      </c>
      <c r="E106" s="48">
        <f t="shared" si="42"/>
        <v>0</v>
      </c>
      <c r="F106" s="50">
        <f t="shared" si="43"/>
        <v>0</v>
      </c>
      <c r="G106" s="50">
        <f t="shared" si="51"/>
        <v>0</v>
      </c>
      <c r="H106" s="51">
        <f t="shared" si="55"/>
        <v>158617.99235128655</v>
      </c>
      <c r="I106" s="52">
        <f t="shared" si="44"/>
        <v>132725.61064136351</v>
      </c>
      <c r="J106" s="52">
        <f t="shared" si="56"/>
        <v>25892.381709923036</v>
      </c>
      <c r="K106" s="51">
        <f t="shared" si="58"/>
        <v>34002.083883527717</v>
      </c>
      <c r="L106" s="49">
        <f t="shared" ref="L106:L169" si="59">IF(AND(C$7="Y",$B106&lt;=$C$4),0,IF(AND(C$7="N",C$4&gt;0,B106&lt;=C$4),0,U106*D105))</f>
        <v>34112.523145430816</v>
      </c>
      <c r="M106" s="49">
        <f t="shared" ref="M106:M169" si="60">IFERROR(L102*-1,0)</f>
        <v>-35115.198624003206</v>
      </c>
      <c r="N106" s="49">
        <f t="shared" si="52"/>
        <v>35115.198624003206</v>
      </c>
      <c r="O106" s="48">
        <f t="shared" si="53"/>
        <v>193622.75171338668</v>
      </c>
      <c r="P106" s="38">
        <f t="shared" si="57"/>
        <v>193622.75171338668</v>
      </c>
      <c r="Q106" s="53"/>
      <c r="R106" s="53">
        <f t="shared" si="45"/>
        <v>0.05</v>
      </c>
      <c r="S106" s="53">
        <f t="shared" si="46"/>
        <v>4.2653187775606449E-3</v>
      </c>
      <c r="T106" s="53">
        <f t="shared" si="47"/>
        <v>0.05</v>
      </c>
      <c r="U106" s="53">
        <f t="shared" si="50"/>
        <v>4.2653187775606449E-3</v>
      </c>
      <c r="V106" s="53"/>
      <c r="W106" s="63">
        <f t="shared" si="48"/>
        <v>568.54205242384694</v>
      </c>
      <c r="X106" s="64">
        <f t="shared" si="49"/>
        <v>8.5306375551212892E-4</v>
      </c>
      <c r="Z106" s="63"/>
    </row>
    <row r="107" spans="1:26" x14ac:dyDescent="0.2">
      <c r="A107" s="62">
        <f t="shared" si="40"/>
        <v>0.91079671095756287</v>
      </c>
      <c r="B107" s="45">
        <f t="shared" si="41"/>
        <v>96</v>
      </c>
      <c r="C107" s="49">
        <f t="shared" si="54"/>
        <v>7938757.3715123618</v>
      </c>
      <c r="D107" s="47" cm="1">
        <f t="array" ref="D107">_xlfn.IFS(AND($C$7="Y",B107&lt;C$4),C107,AND($C$7="Y",B107=C$4),D106+F107-J107-K107-L107+N107,AND($C$7="Y",B107&gt;$C$4),D106-J107-K107-L107+N107, TRUE, D106-J107-K107-L107+N107)</f>
        <v>7879809.4284680253</v>
      </c>
      <c r="E107" s="48">
        <f t="shared" si="42"/>
        <v>0</v>
      </c>
      <c r="F107" s="50">
        <f t="shared" si="43"/>
        <v>0</v>
      </c>
      <c r="G107" s="50">
        <f t="shared" si="51"/>
        <v>0</v>
      </c>
      <c r="H107" s="51">
        <f t="shared" si="55"/>
        <v>157950.12185003841</v>
      </c>
      <c r="I107" s="52">
        <f t="shared" si="44"/>
        <v>131748.26734375252</v>
      </c>
      <c r="J107" s="52">
        <f t="shared" si="56"/>
        <v>26201.85450628589</v>
      </c>
      <c r="K107" s="51">
        <f t="shared" si="58"/>
        <v>33749.571625177094</v>
      </c>
      <c r="L107" s="49">
        <f t="shared" si="59"/>
        <v>33861.330887209668</v>
      </c>
      <c r="M107" s="49">
        <f t="shared" si="60"/>
        <v>-34864.81397433571</v>
      </c>
      <c r="N107" s="49">
        <f t="shared" si="52"/>
        <v>34864.81397433571</v>
      </c>
      <c r="O107" s="48">
        <f t="shared" si="53"/>
        <v>192703.17656234154</v>
      </c>
      <c r="P107" s="38">
        <f t="shared" si="57"/>
        <v>192703.17656234154</v>
      </c>
      <c r="Q107" s="53"/>
      <c r="R107" s="53">
        <f t="shared" si="45"/>
        <v>0.05</v>
      </c>
      <c r="S107" s="53">
        <f t="shared" si="46"/>
        <v>4.2653187775606449E-3</v>
      </c>
      <c r="T107" s="53">
        <f t="shared" si="47"/>
        <v>0.05</v>
      </c>
      <c r="U107" s="53">
        <f t="shared" si="50"/>
        <v>4.2653187775606449E-3</v>
      </c>
      <c r="V107" s="53"/>
      <c r="W107" s="63">
        <f t="shared" si="48"/>
        <v>564.35551478682783</v>
      </c>
      <c r="X107" s="64">
        <f t="shared" si="49"/>
        <v>8.5306375551212903E-4</v>
      </c>
      <c r="Z107" s="63"/>
    </row>
    <row r="108" spans="1:26" x14ac:dyDescent="0.2">
      <c r="A108" s="62">
        <f t="shared" si="40"/>
        <v>0.90397624041437807</v>
      </c>
      <c r="B108" s="45">
        <f t="shared" si="41"/>
        <v>97</v>
      </c>
      <c r="C108" s="49">
        <f t="shared" si="54"/>
        <v>7879809.4284680253</v>
      </c>
      <c r="D108" s="47" cm="1">
        <f t="array" ref="D108">_xlfn.IFS(AND($C$7="Y",B108&lt;C$4),C108,AND($C$7="Y",B108=C$4),D107+F108-J108-K108-L108+N108,AND($C$7="Y",B108&gt;$C$4),D107-J108-K108-L108+N108, TRUE, D107-J108-K108-L108+N108)</f>
        <v>7820801.7405326217</v>
      </c>
      <c r="E108" s="48">
        <f t="shared" si="42"/>
        <v>0</v>
      </c>
      <c r="F108" s="50">
        <f t="shared" si="43"/>
        <v>0</v>
      </c>
      <c r="G108" s="50">
        <f t="shared" si="51"/>
        <v>0</v>
      </c>
      <c r="H108" s="51">
        <f t="shared" si="55"/>
        <v>157285.22749967032</v>
      </c>
      <c r="I108" s="52">
        <f t="shared" si="44"/>
        <v>130769.99215581968</v>
      </c>
      <c r="J108" s="52">
        <f t="shared" si="56"/>
        <v>26515.23534385064</v>
      </c>
      <c r="K108" s="51">
        <f t="shared" si="58"/>
        <v>33496.803187640515</v>
      </c>
      <c r="L108" s="49">
        <f t="shared" si="59"/>
        <v>33609.899118844085</v>
      </c>
      <c r="M108" s="49">
        <f t="shared" si="60"/>
        <v>-34614.249714931815</v>
      </c>
      <c r="N108" s="49">
        <f t="shared" si="52"/>
        <v>34614.249714931815</v>
      </c>
      <c r="O108" s="48">
        <f t="shared" si="53"/>
        <v>191786.3812833986</v>
      </c>
      <c r="P108" s="38">
        <f t="shared" si="57"/>
        <v>191786.3812833986</v>
      </c>
      <c r="Q108" s="53"/>
      <c r="R108" s="53">
        <f t="shared" si="45"/>
        <v>0.05</v>
      </c>
      <c r="S108" s="53">
        <f t="shared" si="46"/>
        <v>4.2653187775606449E-3</v>
      </c>
      <c r="T108" s="53">
        <f t="shared" si="47"/>
        <v>0.05</v>
      </c>
      <c r="U108" s="53">
        <f t="shared" si="50"/>
        <v>4.2653187775606449E-3</v>
      </c>
      <c r="V108" s="53"/>
      <c r="W108" s="63">
        <f t="shared" si="48"/>
        <v>560.16498531406808</v>
      </c>
      <c r="X108" s="64">
        <f t="shared" si="49"/>
        <v>8.5306375551212914E-4</v>
      </c>
      <c r="Z108" s="63"/>
    </row>
    <row r="109" spans="1:26" x14ac:dyDescent="0.2">
      <c r="A109" s="62">
        <f t="shared" si="40"/>
        <v>0.89714844514545788</v>
      </c>
      <c r="B109" s="45">
        <f t="shared" si="41"/>
        <v>98</v>
      </c>
      <c r="C109" s="49">
        <f t="shared" si="54"/>
        <v>7820801.7405326217</v>
      </c>
      <c r="D109" s="47" cm="1">
        <f t="array" ref="D109">_xlfn.IFS(AND($C$7="Y",B109&lt;C$4),C109,AND($C$7="Y",B109=C$4),D108+F109-J109-K109-L109+N109,AND($C$7="Y",B109&gt;$C$4),D108-J109-K109-L109+N109, TRUE, D108-J109-K109-L109+N109)</f>
        <v>7761730.6823168732</v>
      </c>
      <c r="E109" s="48">
        <f t="shared" si="42"/>
        <v>0</v>
      </c>
      <c r="F109" s="50">
        <f t="shared" si="43"/>
        <v>0</v>
      </c>
      <c r="G109" s="50">
        <f t="shared" si="51"/>
        <v>0</v>
      </c>
      <c r="H109" s="51">
        <f t="shared" si="55"/>
        <v>156623.2991982282</v>
      </c>
      <c r="I109" s="52">
        <f t="shared" si="44"/>
        <v>129790.72546688582</v>
      </c>
      <c r="J109" s="52">
        <f t="shared" si="56"/>
        <v>26832.573731342374</v>
      </c>
      <c r="K109" s="51">
        <f t="shared" si="58"/>
        <v>33243.763038886194</v>
      </c>
      <c r="L109" s="49">
        <f t="shared" si="59"/>
        <v>33358.212519472763</v>
      </c>
      <c r="M109" s="49">
        <f t="shared" si="60"/>
        <v>-34363.49107395234</v>
      </c>
      <c r="N109" s="49">
        <f t="shared" si="52"/>
        <v>34363.49107395234</v>
      </c>
      <c r="O109" s="48">
        <f t="shared" si="53"/>
        <v>190872.340791594</v>
      </c>
      <c r="P109" s="38">
        <f t="shared" si="57"/>
        <v>190872.340791594</v>
      </c>
      <c r="Q109" s="53"/>
      <c r="R109" s="53">
        <f t="shared" si="45"/>
        <v>0.05</v>
      </c>
      <c r="S109" s="53">
        <f t="shared" si="46"/>
        <v>4.2653187775606449E-3</v>
      </c>
      <c r="T109" s="53">
        <f t="shared" si="47"/>
        <v>0.05</v>
      </c>
      <c r="U109" s="53">
        <f t="shared" si="50"/>
        <v>4.2653187775606449E-3</v>
      </c>
      <c r="V109" s="53"/>
      <c r="W109" s="63">
        <f t="shared" si="48"/>
        <v>555.97020865787943</v>
      </c>
      <c r="X109" s="64">
        <f t="shared" si="49"/>
        <v>8.5306375551212892E-4</v>
      </c>
      <c r="Z109" s="63"/>
    </row>
    <row r="110" spans="1:26" x14ac:dyDescent="0.2">
      <c r="A110" s="62">
        <f t="shared" si="40"/>
        <v>0.89031290218273151</v>
      </c>
      <c r="B110" s="45">
        <f t="shared" si="41"/>
        <v>99</v>
      </c>
      <c r="C110" s="49">
        <f t="shared" si="54"/>
        <v>7761730.6823168732</v>
      </c>
      <c r="D110" s="47" cm="1">
        <f t="array" ref="D110">_xlfn.IFS(AND($C$7="Y",B110&lt;C$4),C110,AND($C$7="Y",B110=C$4),D109+F110-J110-K110-L110+N110,AND($C$7="Y",B110&gt;$C$4),D109-J110-K110-L110+N110, TRUE, D109-J110-K110-L110+N110)</f>
        <v>7702592.5944885137</v>
      </c>
      <c r="E110" s="48">
        <f t="shared" si="42"/>
        <v>0</v>
      </c>
      <c r="F110" s="50">
        <f t="shared" si="43"/>
        <v>0</v>
      </c>
      <c r="G110" s="50">
        <f t="shared" si="51"/>
        <v>0</v>
      </c>
      <c r="H110" s="51">
        <f t="shared" si="55"/>
        <v>155964.32695820733</v>
      </c>
      <c r="I110" s="52">
        <f t="shared" si="44"/>
        <v>128810.40711152031</v>
      </c>
      <c r="J110" s="52">
        <f t="shared" si="56"/>
        <v>27153.919846687015</v>
      </c>
      <c r="K110" s="51">
        <f t="shared" si="58"/>
        <v>32990.435501448301</v>
      </c>
      <c r="L110" s="49">
        <f t="shared" si="59"/>
        <v>33106.255625654754</v>
      </c>
      <c r="M110" s="49">
        <f t="shared" si="60"/>
        <v>-34112.523145430816</v>
      </c>
      <c r="N110" s="49">
        <f t="shared" si="52"/>
        <v>34112.523145430816</v>
      </c>
      <c r="O110" s="48">
        <f t="shared" si="53"/>
        <v>189961.02997943168</v>
      </c>
      <c r="P110" s="38">
        <f t="shared" si="57"/>
        <v>189961.02997943168</v>
      </c>
      <c r="Q110" s="53"/>
      <c r="R110" s="53">
        <f t="shared" si="45"/>
        <v>0.05</v>
      </c>
      <c r="S110" s="53">
        <f t="shared" si="46"/>
        <v>4.2653187775606449E-3</v>
      </c>
      <c r="T110" s="53">
        <f t="shared" si="47"/>
        <v>0.05</v>
      </c>
      <c r="U110" s="53">
        <f t="shared" si="50"/>
        <v>4.2653187775606449E-3</v>
      </c>
      <c r="V110" s="53"/>
      <c r="W110" s="63">
        <f t="shared" si="48"/>
        <v>551.77092709424596</v>
      </c>
      <c r="X110" s="64">
        <f t="shared" si="49"/>
        <v>8.5306375551212903E-4</v>
      </c>
      <c r="Z110" s="63"/>
    </row>
    <row r="111" spans="1:26" x14ac:dyDescent="0.2">
      <c r="A111" s="62">
        <f t="shared" si="40"/>
        <v>0.88346918457425982</v>
      </c>
      <c r="B111" s="45">
        <f t="shared" si="41"/>
        <v>100</v>
      </c>
      <c r="C111" s="49">
        <f t="shared" si="54"/>
        <v>7702592.5944885137</v>
      </c>
      <c r="D111" s="47" cm="1">
        <f t="array" ref="D111">_xlfn.IFS(AND($C$7="Y",B111&lt;C$4),C111,AND($C$7="Y",B111=C$4),D110+F111-J111-K111-L111+N111,AND($C$7="Y",B111&gt;$C$4),D110-J111-K111-L111+N111, TRUE, D110-J111-K111-L111+N111)</f>
        <v>7643383.7832486136</v>
      </c>
      <c r="E111" s="48">
        <f t="shared" si="42"/>
        <v>0</v>
      </c>
      <c r="F111" s="50">
        <f t="shared" si="43"/>
        <v>0</v>
      </c>
      <c r="G111" s="50">
        <f t="shared" si="51"/>
        <v>0</v>
      </c>
      <c r="H111" s="51">
        <f t="shared" si="55"/>
        <v>155308.30090874355</v>
      </c>
      <c r="I111" s="52">
        <f t="shared" si="44"/>
        <v>127828.97636098904</v>
      </c>
      <c r="J111" s="52">
        <f t="shared" si="56"/>
        <v>27479.324547754513</v>
      </c>
      <c r="K111" s="51">
        <f t="shared" si="58"/>
        <v>32736.804750183204</v>
      </c>
      <c r="L111" s="49">
        <f t="shared" si="59"/>
        <v>32854.012829171421</v>
      </c>
      <c r="M111" s="49">
        <f t="shared" si="60"/>
        <v>-33861.330887209668</v>
      </c>
      <c r="N111" s="49">
        <f t="shared" si="52"/>
        <v>33861.330887209668</v>
      </c>
      <c r="O111" s="48">
        <f t="shared" si="53"/>
        <v>189052.42371696502</v>
      </c>
      <c r="P111" s="38">
        <f t="shared" si="57"/>
        <v>189052.42371696502</v>
      </c>
      <c r="Q111" s="53"/>
      <c r="R111" s="53">
        <f t="shared" si="45"/>
        <v>0.05</v>
      </c>
      <c r="S111" s="53">
        <f t="shared" si="46"/>
        <v>4.2653187775606449E-3</v>
      </c>
      <c r="T111" s="53">
        <f t="shared" si="47"/>
        <v>0.05</v>
      </c>
      <c r="U111" s="53">
        <f t="shared" si="50"/>
        <v>4.2653187775606449E-3</v>
      </c>
      <c r="V111" s="53"/>
      <c r="W111" s="63">
        <f t="shared" si="48"/>
        <v>547.56688048619037</v>
      </c>
      <c r="X111" s="64">
        <f t="shared" si="49"/>
        <v>8.5306375551212903E-4</v>
      </c>
      <c r="Z111" s="63"/>
    </row>
    <row r="112" spans="1:26" x14ac:dyDescent="0.2">
      <c r="A112" s="62">
        <f t="shared" si="40"/>
        <v>0.87661686132271277</v>
      </c>
      <c r="B112" s="45">
        <f t="shared" si="41"/>
        <v>101</v>
      </c>
      <c r="C112" s="49">
        <f t="shared" si="54"/>
        <v>7643383.7832486136</v>
      </c>
      <c r="D112" s="47" cm="1">
        <f t="array" ref="D112">_xlfn.IFS(AND($C$7="Y",B112&lt;C$4),C112,AND($C$7="Y",B112=C$4),D111+F112-J112-K112-L112+N112,AND($C$7="Y",B112&gt;$C$4),D111-J112-K112-L112+N112, TRUE, D111-J112-K112-L112+N112)</f>
        <v>7584100.5197993163</v>
      </c>
      <c r="E112" s="48">
        <f t="shared" si="42"/>
        <v>0</v>
      </c>
      <c r="F112" s="50">
        <f t="shared" si="43"/>
        <v>0</v>
      </c>
      <c r="G112" s="50">
        <f t="shared" si="51"/>
        <v>0</v>
      </c>
      <c r="H112" s="51">
        <f t="shared" si="55"/>
        <v>154655.21129792352</v>
      </c>
      <c r="I112" s="52">
        <f t="shared" si="44"/>
        <v>126846.37191456369</v>
      </c>
      <c r="J112" s="52">
        <f t="shared" si="56"/>
        <v>27808.839383359838</v>
      </c>
      <c r="K112" s="51">
        <f t="shared" si="58"/>
        <v>32482.854809988821</v>
      </c>
      <c r="L112" s="49">
        <f t="shared" si="59"/>
        <v>32601.468374792836</v>
      </c>
      <c r="M112" s="49">
        <f t="shared" si="60"/>
        <v>-33609.899118844085</v>
      </c>
      <c r="N112" s="49">
        <f t="shared" si="52"/>
        <v>33609.899118844085</v>
      </c>
      <c r="O112" s="48">
        <f t="shared" si="53"/>
        <v>188146.49685196357</v>
      </c>
      <c r="P112" s="38">
        <f t="shared" si="57"/>
        <v>188146.49685196357</v>
      </c>
      <c r="Q112" s="53"/>
      <c r="R112" s="53">
        <f t="shared" si="45"/>
        <v>0.05</v>
      </c>
      <c r="S112" s="53">
        <f t="shared" si="46"/>
        <v>4.2653187775606449E-3</v>
      </c>
      <c r="T112" s="53">
        <f t="shared" si="47"/>
        <v>0.05</v>
      </c>
      <c r="U112" s="53">
        <f t="shared" si="50"/>
        <v>4.2653187775606449E-3</v>
      </c>
      <c r="V112" s="53"/>
      <c r="W112" s="63">
        <f t="shared" si="48"/>
        <v>543.35780624654728</v>
      </c>
      <c r="X112" s="64">
        <f t="shared" si="49"/>
        <v>8.5306375551212914E-4</v>
      </c>
      <c r="Z112" s="63"/>
    </row>
    <row r="113" spans="1:26" x14ac:dyDescent="0.2">
      <c r="A113" s="62">
        <f t="shared" si="40"/>
        <v>0.86975549732282931</v>
      </c>
      <c r="B113" s="45">
        <f t="shared" si="41"/>
        <v>102</v>
      </c>
      <c r="C113" s="49">
        <f t="shared" si="54"/>
        <v>7584100.5197993163</v>
      </c>
      <c r="D113" s="47" cm="1">
        <f t="array" ref="D113">_xlfn.IFS(AND($C$7="Y",B113&lt;C$4),C113,AND($C$7="Y",B113=C$4),D112+F113-J113-K113-L113+N113,AND($C$7="Y",B113&gt;$C$4),D112-J113-K113-L113+N113, TRUE, D112-J113-K113-L113+N113)</f>
        <v>7524739.0398027636</v>
      </c>
      <c r="E113" s="48">
        <f t="shared" si="42"/>
        <v>0</v>
      </c>
      <c r="F113" s="50">
        <f t="shared" si="43"/>
        <v>0</v>
      </c>
      <c r="G113" s="50">
        <f t="shared" si="51"/>
        <v>0</v>
      </c>
      <c r="H113" s="51">
        <f t="shared" si="55"/>
        <v>154005.04849522037</v>
      </c>
      <c r="I113" s="52">
        <f t="shared" si="44"/>
        <v>125862.53189068848</v>
      </c>
      <c r="J113" s="52">
        <f t="shared" si="56"/>
        <v>28142.516604531891</v>
      </c>
      <c r="K113" s="51">
        <f t="shared" si="58"/>
        <v>32228.569553486352</v>
      </c>
      <c r="L113" s="49">
        <f t="shared" si="59"/>
        <v>32348.606358007473</v>
      </c>
      <c r="M113" s="49">
        <f t="shared" si="60"/>
        <v>-33358.212519472763</v>
      </c>
      <c r="N113" s="49">
        <f t="shared" si="52"/>
        <v>33358.212519472763</v>
      </c>
      <c r="O113" s="48">
        <f t="shared" si="53"/>
        <v>187243.22421017202</v>
      </c>
      <c r="P113" s="38">
        <f t="shared" si="57"/>
        <v>187243.22421017202</v>
      </c>
      <c r="Q113" s="53"/>
      <c r="R113" s="53">
        <f t="shared" si="45"/>
        <v>0.05</v>
      </c>
      <c r="S113" s="53">
        <f t="shared" si="46"/>
        <v>4.2653187775606449E-3</v>
      </c>
      <c r="T113" s="53">
        <f t="shared" si="47"/>
        <v>0.05</v>
      </c>
      <c r="U113" s="53">
        <f t="shared" si="50"/>
        <v>4.2653187775606449E-3</v>
      </c>
      <c r="V113" s="53"/>
      <c r="W113" s="63">
        <f t="shared" si="48"/>
        <v>539.14343930012456</v>
      </c>
      <c r="X113" s="64">
        <f t="shared" si="49"/>
        <v>8.5306375551212903E-4</v>
      </c>
      <c r="Z113" s="63"/>
    </row>
    <row r="114" spans="1:26" x14ac:dyDescent="0.2">
      <c r="A114" s="62">
        <f t="shared" si="40"/>
        <v>0.86288465329783082</v>
      </c>
      <c r="B114" s="45">
        <f t="shared" si="41"/>
        <v>103</v>
      </c>
      <c r="C114" s="49">
        <f t="shared" si="54"/>
        <v>7524739.0398027636</v>
      </c>
      <c r="D114" s="47" cm="1">
        <f t="array" ref="D114">_xlfn.IFS(AND($C$7="Y",B114&lt;C$4),C114,AND($C$7="Y",B114=C$4),D113+F114-J114-K114-L114+N114,AND($C$7="Y",B114&gt;$C$4),D113-J114-K114-L114+N114, TRUE, D113-J114-K114-L114+N114)</f>
        <v>7465295.5428309804</v>
      </c>
      <c r="E114" s="48">
        <f t="shared" si="42"/>
        <v>0</v>
      </c>
      <c r="F114" s="50">
        <f t="shared" si="43"/>
        <v>0</v>
      </c>
      <c r="G114" s="50">
        <f t="shared" si="51"/>
        <v>0</v>
      </c>
      <c r="H114" s="51">
        <f t="shared" si="55"/>
        <v>153357.80299406213</v>
      </c>
      <c r="I114" s="52">
        <f t="shared" si="44"/>
        <v>124877.39381800081</v>
      </c>
      <c r="J114" s="52">
        <f t="shared" si="56"/>
        <v>28480.409176061323</v>
      </c>
      <c r="K114" s="51">
        <f t="shared" si="58"/>
        <v>31973.93269866312</v>
      </c>
      <c r="L114" s="49">
        <f t="shared" si="59"/>
        <v>32095.410722714383</v>
      </c>
      <c r="M114" s="49">
        <f t="shared" si="60"/>
        <v>-33106.255625654754</v>
      </c>
      <c r="N114" s="49">
        <f t="shared" si="52"/>
        <v>33106.255625654754</v>
      </c>
      <c r="O114" s="48">
        <f t="shared" si="53"/>
        <v>186342.58059566567</v>
      </c>
      <c r="P114" s="38">
        <f t="shared" si="57"/>
        <v>186342.58059566567</v>
      </c>
      <c r="Q114" s="53"/>
      <c r="R114" s="53">
        <f t="shared" si="45"/>
        <v>0.05</v>
      </c>
      <c r="S114" s="53">
        <f t="shared" si="46"/>
        <v>4.2653187775606449E-3</v>
      </c>
      <c r="T114" s="53">
        <f t="shared" si="47"/>
        <v>0.05</v>
      </c>
      <c r="U114" s="53">
        <f t="shared" si="50"/>
        <v>4.2653187775606449E-3</v>
      </c>
      <c r="V114" s="53"/>
      <c r="W114" s="63">
        <f t="shared" si="48"/>
        <v>534.92351204523982</v>
      </c>
      <c r="X114" s="64">
        <f t="shared" si="49"/>
        <v>8.5306375551212903E-4</v>
      </c>
      <c r="Z114" s="63"/>
    </row>
    <row r="115" spans="1:26" x14ac:dyDescent="0.2">
      <c r="A115" s="62">
        <f t="shared" si="40"/>
        <v>0.85600388573476127</v>
      </c>
      <c r="B115" s="45">
        <f t="shared" si="41"/>
        <v>104</v>
      </c>
      <c r="C115" s="49">
        <f t="shared" si="54"/>
        <v>7465295.5428309804</v>
      </c>
      <c r="D115" s="47" cm="1">
        <f t="array" ref="D115">_xlfn.IFS(AND($C$7="Y",B115&lt;C$4),C115,AND($C$7="Y",B115=C$4),D114+F115-J115-K115-L115+N115,AND($C$7="Y",B115&gt;$C$4),D114-J115-K115-L115+N115, TRUE, D114-J115-K115-L115+N115)</f>
        <v>7405766.1918064589</v>
      </c>
      <c r="E115" s="48">
        <f t="shared" si="42"/>
        <v>0</v>
      </c>
      <c r="F115" s="50">
        <f t="shared" si="43"/>
        <v>0</v>
      </c>
      <c r="G115" s="50">
        <f t="shared" si="51"/>
        <v>0</v>
      </c>
      <c r="H115" s="51">
        <f t="shared" si="55"/>
        <v>152713.46541454128</v>
      </c>
      <c r="I115" s="52">
        <f t="shared" si="44"/>
        <v>123890.89462620173</v>
      </c>
      <c r="J115" s="52">
        <f t="shared" si="56"/>
        <v>28822.570788339552</v>
      </c>
      <c r="K115" s="51">
        <f t="shared" si="58"/>
        <v>31718.927806475691</v>
      </c>
      <c r="L115" s="49">
        <f t="shared" si="59"/>
        <v>31841.865258876769</v>
      </c>
      <c r="M115" s="49">
        <f t="shared" si="60"/>
        <v>-32854.012829171421</v>
      </c>
      <c r="N115" s="49">
        <f t="shared" si="52"/>
        <v>32854.012829171421</v>
      </c>
      <c r="O115" s="48">
        <f t="shared" si="53"/>
        <v>185444.54079131165</v>
      </c>
      <c r="P115" s="38">
        <f t="shared" si="57"/>
        <v>185444.54079131165</v>
      </c>
      <c r="Q115" s="53"/>
      <c r="R115" s="53">
        <f t="shared" si="45"/>
        <v>0.05</v>
      </c>
      <c r="S115" s="53">
        <f t="shared" si="46"/>
        <v>4.2653187775606449E-3</v>
      </c>
      <c r="T115" s="53">
        <f t="shared" si="47"/>
        <v>0.05</v>
      </c>
      <c r="U115" s="53">
        <f t="shared" si="50"/>
        <v>4.2653187775606449E-3</v>
      </c>
      <c r="V115" s="53"/>
      <c r="W115" s="63">
        <f t="shared" si="48"/>
        <v>530.69775431461278</v>
      </c>
      <c r="X115" s="64">
        <f t="shared" si="49"/>
        <v>8.5306375551212903E-4</v>
      </c>
      <c r="Z115" s="63"/>
    </row>
    <row r="116" spans="1:26" x14ac:dyDescent="0.2">
      <c r="A116" s="62">
        <f t="shared" si="40"/>
        <v>0.84911274681872317</v>
      </c>
      <c r="B116" s="45">
        <f t="shared" si="41"/>
        <v>105</v>
      </c>
      <c r="C116" s="49">
        <f t="shared" si="54"/>
        <v>7405766.1918064589</v>
      </c>
      <c r="D116" s="47" cm="1">
        <f t="array" ref="D116">_xlfn.IFS(AND($C$7="Y",B116&lt;C$4),C116,AND($C$7="Y",B116=C$4),D115+F116-J116-K116-L116+N116,AND($C$7="Y",B116&gt;$C$4),D115-J116-K116-L116+N116, TRUE, D115-J116-K116-L116+N116)</f>
        <v>7346147.1124332026</v>
      </c>
      <c r="E116" s="48">
        <f t="shared" si="42"/>
        <v>0</v>
      </c>
      <c r="F116" s="50">
        <f t="shared" si="43"/>
        <v>0</v>
      </c>
      <c r="G116" s="50">
        <f t="shared" si="51"/>
        <v>0</v>
      </c>
      <c r="H116" s="51">
        <f t="shared" si="55"/>
        <v>152072.02650627334</v>
      </c>
      <c r="I116" s="52">
        <f t="shared" si="44"/>
        <v>122902.97063677205</v>
      </c>
      <c r="J116" s="52">
        <f t="shared" si="56"/>
        <v>29169.055869501288</v>
      </c>
      <c r="K116" s="51">
        <f t="shared" si="58"/>
        <v>31463.538278411979</v>
      </c>
      <c r="L116" s="49">
        <f t="shared" si="59"/>
        <v>31587.953600135879</v>
      </c>
      <c r="M116" s="49">
        <f t="shared" si="60"/>
        <v>-32601.468374792836</v>
      </c>
      <c r="N116" s="49">
        <f t="shared" si="52"/>
        <v>32601.468374792836</v>
      </c>
      <c r="O116" s="48">
        <f t="shared" si="53"/>
        <v>184549.0795593423</v>
      </c>
      <c r="P116" s="38">
        <f t="shared" si="57"/>
        <v>184549.0795593423</v>
      </c>
      <c r="Q116" s="53"/>
      <c r="R116" s="53">
        <f t="shared" si="45"/>
        <v>0.05</v>
      </c>
      <c r="S116" s="53">
        <f t="shared" si="46"/>
        <v>4.2653187775606449E-3</v>
      </c>
      <c r="T116" s="53">
        <f t="shared" si="47"/>
        <v>0.05</v>
      </c>
      <c r="U116" s="53">
        <f t="shared" si="50"/>
        <v>4.2653187775606449E-3</v>
      </c>
      <c r="V116" s="53"/>
      <c r="W116" s="63">
        <f t="shared" si="48"/>
        <v>526.46589333559803</v>
      </c>
      <c r="X116" s="64">
        <f t="shared" si="49"/>
        <v>8.5306375551212903E-4</v>
      </c>
      <c r="Z116" s="63"/>
    </row>
    <row r="117" spans="1:26" x14ac:dyDescent="0.2">
      <c r="A117" s="62">
        <f t="shared" si="40"/>
        <v>0.84221078436597718</v>
      </c>
      <c r="B117" s="45">
        <f t="shared" si="41"/>
        <v>106</v>
      </c>
      <c r="C117" s="49">
        <f t="shared" si="54"/>
        <v>7346147.1124332026</v>
      </c>
      <c r="D117" s="47" cm="1">
        <f t="array" ref="D117">_xlfn.IFS(AND($C$7="Y",B117&lt;C$4),C117,AND($C$7="Y",B117=C$4),D116+F117-J117-K117-L117+N117,AND($C$7="Y",B117&gt;$C$4),D116-J117-K117-L117+N117, TRUE, D116-J117-K117-L117+N117)</f>
        <v>7286434.3926179307</v>
      </c>
      <c r="E117" s="48">
        <f t="shared" si="42"/>
        <v>0</v>
      </c>
      <c r="F117" s="50">
        <f t="shared" si="43"/>
        <v>0</v>
      </c>
      <c r="G117" s="50">
        <f t="shared" si="51"/>
        <v>0</v>
      </c>
      <c r="H117" s="51">
        <f t="shared" si="55"/>
        <v>151433.47715141409</v>
      </c>
      <c r="I117" s="52">
        <f t="shared" si="44"/>
        <v>121913.55755353031</v>
      </c>
      <c r="J117" s="52">
        <f t="shared" si="56"/>
        <v>29519.919597883782</v>
      </c>
      <c r="K117" s="51">
        <f t="shared" si="58"/>
        <v>31207.747354011317</v>
      </c>
      <c r="L117" s="49">
        <f t="shared" si="59"/>
        <v>31333.659221384249</v>
      </c>
      <c r="M117" s="49">
        <f t="shared" si="60"/>
        <v>-32348.606358007473</v>
      </c>
      <c r="N117" s="49">
        <f t="shared" si="52"/>
        <v>32348.606358007473</v>
      </c>
      <c r="O117" s="48">
        <f t="shared" si="53"/>
        <v>183656.17164204866</v>
      </c>
      <c r="P117" s="38">
        <f t="shared" si="57"/>
        <v>183656.17164204866</v>
      </c>
      <c r="Q117" s="53"/>
      <c r="R117" s="53">
        <f t="shared" si="45"/>
        <v>0.05</v>
      </c>
      <c r="S117" s="53">
        <f t="shared" si="46"/>
        <v>4.2653187775606449E-3</v>
      </c>
      <c r="T117" s="53">
        <f t="shared" si="47"/>
        <v>0.05</v>
      </c>
      <c r="U117" s="53">
        <f t="shared" si="50"/>
        <v>4.2653187775606449E-3</v>
      </c>
      <c r="V117" s="53"/>
      <c r="W117" s="63">
        <f t="shared" si="48"/>
        <v>522.22765368973751</v>
      </c>
      <c r="X117" s="64">
        <f t="shared" si="49"/>
        <v>8.5306375551212903E-4</v>
      </c>
      <c r="Z117" s="63"/>
    </row>
    <row r="118" spans="1:26" x14ac:dyDescent="0.2">
      <c r="A118" s="62">
        <f t="shared" si="40"/>
        <v>0.83529754175587456</v>
      </c>
      <c r="B118" s="45">
        <f t="shared" si="41"/>
        <v>107</v>
      </c>
      <c r="C118" s="49">
        <f t="shared" si="54"/>
        <v>7286434.3926179307</v>
      </c>
      <c r="D118" s="47" cm="1">
        <f t="array" ref="D118">_xlfn.IFS(AND($C$7="Y",B118&lt;C$4),C118,AND($C$7="Y",B118=C$4),D117+F118-J118-K118-L118+N118,AND($C$7="Y",B118&gt;$C$4),D117-J118-K118-L118+N118, TRUE, D117-J118-K118-L118+N118)</f>
        <v>7226624.0818811897</v>
      </c>
      <c r="E118" s="48">
        <f t="shared" si="42"/>
        <v>0</v>
      </c>
      <c r="F118" s="50">
        <f t="shared" si="43"/>
        <v>0</v>
      </c>
      <c r="G118" s="50">
        <f t="shared" si="51"/>
        <v>0</v>
      </c>
      <c r="H118" s="51">
        <f t="shared" si="55"/>
        <v>150797.80836784441</v>
      </c>
      <c r="I118" s="52">
        <f t="shared" si="44"/>
        <v>120922.59045302722</v>
      </c>
      <c r="J118" s="52">
        <f t="shared" si="56"/>
        <v>29875.217914817185</v>
      </c>
      <c r="K118" s="51">
        <f t="shared" si="58"/>
        <v>30951.538108341167</v>
      </c>
      <c r="L118" s="49">
        <f t="shared" si="59"/>
        <v>31078.965436296952</v>
      </c>
      <c r="M118" s="49">
        <f t="shared" si="60"/>
        <v>-32095.410722714383</v>
      </c>
      <c r="N118" s="49">
        <f t="shared" si="52"/>
        <v>32095.410722714383</v>
      </c>
      <c r="O118" s="48">
        <f t="shared" si="53"/>
        <v>182765.79176260301</v>
      </c>
      <c r="P118" s="38">
        <f t="shared" si="57"/>
        <v>182765.79176260301</v>
      </c>
      <c r="Q118" s="53"/>
      <c r="R118" s="53">
        <f t="shared" si="45"/>
        <v>0.05</v>
      </c>
      <c r="S118" s="53">
        <f t="shared" si="46"/>
        <v>4.2653187775606449E-3</v>
      </c>
      <c r="T118" s="53">
        <f t="shared" si="47"/>
        <v>0.05</v>
      </c>
      <c r="U118" s="53">
        <f t="shared" si="50"/>
        <v>4.2653187775606449E-3</v>
      </c>
      <c r="V118" s="53"/>
      <c r="W118" s="63">
        <f t="shared" si="48"/>
        <v>517.98275727161592</v>
      </c>
      <c r="X118" s="64">
        <f t="shared" si="49"/>
        <v>8.5306375551212914E-4</v>
      </c>
      <c r="Z118" s="63"/>
    </row>
    <row r="119" spans="1:26" x14ac:dyDescent="0.2">
      <c r="A119" s="62">
        <f t="shared" si="40"/>
        <v>0.82837255786158692</v>
      </c>
      <c r="B119" s="45">
        <f t="shared" si="41"/>
        <v>108</v>
      </c>
      <c r="C119" s="49">
        <f t="shared" si="54"/>
        <v>7226624.0818811897</v>
      </c>
      <c r="D119" s="47" cm="1">
        <f t="array" ref="D119">_xlfn.IFS(AND($C$7="Y",B119&lt;C$4),C119,AND($C$7="Y",B119=C$4),D118+F119-J119-K119-L119+N119,AND($C$7="Y",B119&gt;$C$4),D118-J119-K119-L119+N119, TRUE, D118-J119-K119-L119+N119)</f>
        <v>7166712.1907580569</v>
      </c>
      <c r="E119" s="48">
        <f t="shared" si="42"/>
        <v>0</v>
      </c>
      <c r="F119" s="50">
        <f t="shared" si="43"/>
        <v>0</v>
      </c>
      <c r="G119" s="50">
        <f t="shared" si="51"/>
        <v>0</v>
      </c>
      <c r="H119" s="51">
        <f t="shared" si="55"/>
        <v>150165.01131253378</v>
      </c>
      <c r="I119" s="52">
        <f t="shared" si="44"/>
        <v>119930.00377477282</v>
      </c>
      <c r="J119" s="52">
        <f t="shared" si="56"/>
        <v>30235.007537760961</v>
      </c>
      <c r="K119" s="51">
        <f t="shared" si="58"/>
        <v>30694.893449429295</v>
      </c>
      <c r="L119" s="49">
        <f t="shared" si="59"/>
        <v>30823.855394819795</v>
      </c>
      <c r="M119" s="49">
        <f t="shared" si="60"/>
        <v>-31841.865258876769</v>
      </c>
      <c r="N119" s="49">
        <f t="shared" si="52"/>
        <v>31841.865258876769</v>
      </c>
      <c r="O119" s="48">
        <f t="shared" si="53"/>
        <v>181877.91462602001</v>
      </c>
      <c r="P119" s="38">
        <f t="shared" si="57"/>
        <v>181877.91462602001</v>
      </c>
      <c r="Q119" s="53"/>
      <c r="R119" s="53">
        <f t="shared" si="45"/>
        <v>0.05</v>
      </c>
      <c r="S119" s="53">
        <f t="shared" si="46"/>
        <v>4.2653187775606449E-3</v>
      </c>
      <c r="T119" s="53">
        <f t="shared" si="47"/>
        <v>0.05</v>
      </c>
      <c r="U119" s="53">
        <f t="shared" si="50"/>
        <v>4.2653187775606449E-3</v>
      </c>
      <c r="V119" s="53"/>
      <c r="W119" s="63">
        <f t="shared" si="48"/>
        <v>513.73092324699667</v>
      </c>
      <c r="X119" s="64">
        <f t="shared" si="49"/>
        <v>8.5306375551212925E-4</v>
      </c>
      <c r="Z119" s="63"/>
    </row>
    <row r="120" spans="1:26" x14ac:dyDescent="0.2">
      <c r="A120" s="62">
        <f t="shared" si="40"/>
        <v>0.82143536697959707</v>
      </c>
      <c r="B120" s="45">
        <f t="shared" si="41"/>
        <v>109</v>
      </c>
      <c r="C120" s="49">
        <f t="shared" si="54"/>
        <v>7166712.1907580569</v>
      </c>
      <c r="D120" s="47" cm="1">
        <f t="array" ref="D120">_xlfn.IFS(AND($C$7="Y",B120&lt;C$4),C120,AND($C$7="Y",B120=C$4),D119+F120-J120-K120-L120+N120,AND($C$7="Y",B120&gt;$C$4),D119-J120-K120-L120+N120, TRUE, D119-J120-K120-L120+N120)</f>
        <v>7106694.6901881266</v>
      </c>
      <c r="E120" s="48">
        <f t="shared" si="42"/>
        <v>0</v>
      </c>
      <c r="F120" s="50">
        <f t="shared" si="43"/>
        <v>0</v>
      </c>
      <c r="G120" s="50">
        <f t="shared" si="51"/>
        <v>0</v>
      </c>
      <c r="H120" s="51">
        <f t="shared" si="55"/>
        <v>149535.07728509328</v>
      </c>
      <c r="I120" s="52">
        <f t="shared" si="44"/>
        <v>118935.73131129074</v>
      </c>
      <c r="J120" s="52">
        <f t="shared" si="56"/>
        <v>30599.345973802541</v>
      </c>
      <c r="K120" s="51">
        <f t="shared" si="58"/>
        <v>30437.796115649991</v>
      </c>
      <c r="L120" s="49">
        <f t="shared" si="59"/>
        <v>30568.312080613126</v>
      </c>
      <c r="M120" s="49">
        <f t="shared" si="60"/>
        <v>-31587.953600135879</v>
      </c>
      <c r="N120" s="49">
        <f t="shared" si="52"/>
        <v>31587.953600135879</v>
      </c>
      <c r="O120" s="48">
        <f t="shared" si="53"/>
        <v>180992.51492026605</v>
      </c>
      <c r="P120" s="38">
        <f t="shared" si="57"/>
        <v>180992.51492026605</v>
      </c>
      <c r="Q120" s="53"/>
      <c r="R120" s="53">
        <f t="shared" si="45"/>
        <v>0.05</v>
      </c>
      <c r="S120" s="53">
        <f t="shared" si="46"/>
        <v>4.2653187775606449E-3</v>
      </c>
      <c r="T120" s="53">
        <f t="shared" si="47"/>
        <v>0.05</v>
      </c>
      <c r="U120" s="53">
        <f t="shared" si="50"/>
        <v>4.2653187775606449E-3</v>
      </c>
      <c r="V120" s="53"/>
      <c r="W120" s="63">
        <f t="shared" si="48"/>
        <v>509.47186801021877</v>
      </c>
      <c r="X120" s="64">
        <f t="shared" si="49"/>
        <v>8.5306375551212903E-4</v>
      </c>
      <c r="Z120" s="63"/>
    </row>
    <row r="121" spans="1:26" x14ac:dyDescent="0.2">
      <c r="A121" s="62">
        <f t="shared" si="40"/>
        <v>0.81448549875791443</v>
      </c>
      <c r="B121" s="45">
        <f t="shared" si="41"/>
        <v>110</v>
      </c>
      <c r="C121" s="49">
        <f t="shared" si="54"/>
        <v>7106694.6901881266</v>
      </c>
      <c r="D121" s="47" cm="1">
        <f t="array" ref="D121">_xlfn.IFS(AND($C$7="Y",B121&lt;C$4),C121,AND($C$7="Y",B121=C$4),D120+F121-J121-K121-L121+N121,AND($C$7="Y",B121&gt;$C$4),D120-J121-K121-L121+N121, TRUE, D120-J121-K121-L121+N121)</f>
        <v>7046567.5108944625</v>
      </c>
      <c r="E121" s="48">
        <f t="shared" si="42"/>
        <v>0</v>
      </c>
      <c r="F121" s="50">
        <f t="shared" si="43"/>
        <v>0</v>
      </c>
      <c r="G121" s="50">
        <f t="shared" si="51"/>
        <v>0</v>
      </c>
      <c r="H121" s="51">
        <f t="shared" si="55"/>
        <v>148907.99773153028</v>
      </c>
      <c r="I121" s="52">
        <f t="shared" si="44"/>
        <v>117939.7061979946</v>
      </c>
      <c r="J121" s="52">
        <f t="shared" si="56"/>
        <v>30968.291533535681</v>
      </c>
      <c r="K121" s="51">
        <f t="shared" si="58"/>
        <v>30180.228673062986</v>
      </c>
      <c r="L121" s="49">
        <f t="shared" si="59"/>
        <v>30312.318308449947</v>
      </c>
      <c r="M121" s="49">
        <f t="shared" si="60"/>
        <v>-31333.659221384249</v>
      </c>
      <c r="N121" s="49">
        <f t="shared" si="52"/>
        <v>31333.659221384249</v>
      </c>
      <c r="O121" s="48">
        <f t="shared" si="53"/>
        <v>180109.56731752757</v>
      </c>
      <c r="P121" s="38">
        <f t="shared" si="57"/>
        <v>180109.56731752757</v>
      </c>
      <c r="Q121" s="53"/>
      <c r="R121" s="53">
        <f t="shared" si="45"/>
        <v>0.05</v>
      </c>
      <c r="S121" s="53">
        <f t="shared" si="46"/>
        <v>4.2653187775606449E-3</v>
      </c>
      <c r="T121" s="53">
        <f t="shared" si="47"/>
        <v>0.05</v>
      </c>
      <c r="U121" s="53">
        <f t="shared" si="50"/>
        <v>4.2653187775606449E-3</v>
      </c>
      <c r="V121" s="53"/>
      <c r="W121" s="63">
        <f t="shared" si="48"/>
        <v>505.20530514083248</v>
      </c>
      <c r="X121" s="64">
        <f t="shared" si="49"/>
        <v>8.5306375551212903E-4</v>
      </c>
      <c r="Z121" s="63"/>
    </row>
    <row r="122" spans="1:26" x14ac:dyDescent="0.2">
      <c r="A122" s="62">
        <f t="shared" si="40"/>
        <v>0.80752247812297351</v>
      </c>
      <c r="B122" s="45">
        <f t="shared" si="41"/>
        <v>111</v>
      </c>
      <c r="C122" s="49">
        <f t="shared" si="54"/>
        <v>7046567.5108944625</v>
      </c>
      <c r="D122" s="47" cm="1">
        <f t="array" ref="D122">_xlfn.IFS(AND($C$7="Y",B122&lt;C$4),C122,AND($C$7="Y",B122=C$4),D121+F122-J122-K122-L122+N122,AND($C$7="Y",B122&gt;$C$4),D121-J122-K122-L122+N122, TRUE, D121-J122-K122-L122+N122)</f>
        <v>6986326.542751153</v>
      </c>
      <c r="E122" s="48">
        <f t="shared" si="42"/>
        <v>0</v>
      </c>
      <c r="F122" s="50">
        <f t="shared" si="43"/>
        <v>0</v>
      </c>
      <c r="G122" s="50">
        <f t="shared" si="51"/>
        <v>0</v>
      </c>
      <c r="H122" s="51">
        <f t="shared" si="55"/>
        <v>148283.76424821702</v>
      </c>
      <c r="I122" s="52">
        <f t="shared" si="44"/>
        <v>116941.8609028816</v>
      </c>
      <c r="J122" s="52">
        <f t="shared" si="56"/>
        <v>31341.90334533542</v>
      </c>
      <c r="K122" s="51">
        <f t="shared" si="58"/>
        <v>29922.173512703575</v>
      </c>
      <c r="L122" s="49">
        <f t="shared" si="59"/>
        <v>30055.856721566925</v>
      </c>
      <c r="M122" s="49">
        <f t="shared" si="60"/>
        <v>-31078.965436296952</v>
      </c>
      <c r="N122" s="49">
        <f t="shared" si="52"/>
        <v>31078.965436296952</v>
      </c>
      <c r="O122" s="48">
        <f t="shared" si="53"/>
        <v>179229.0464756506</v>
      </c>
      <c r="P122" s="38">
        <f t="shared" si="57"/>
        <v>179229.0464756506</v>
      </c>
      <c r="Q122" s="53"/>
      <c r="R122" s="53">
        <f t="shared" si="45"/>
        <v>0.05</v>
      </c>
      <c r="S122" s="53">
        <f t="shared" si="46"/>
        <v>4.2653187775606449E-3</v>
      </c>
      <c r="T122" s="53">
        <f t="shared" si="47"/>
        <v>0.05</v>
      </c>
      <c r="U122" s="53">
        <f t="shared" si="50"/>
        <v>4.2653187775606449E-3</v>
      </c>
      <c r="V122" s="53"/>
      <c r="W122" s="63">
        <f t="shared" si="48"/>
        <v>500.93094535944874</v>
      </c>
      <c r="X122" s="64">
        <f t="shared" si="49"/>
        <v>8.5306375551212892E-4</v>
      </c>
      <c r="Z122" s="63"/>
    </row>
    <row r="123" spans="1:26" x14ac:dyDescent="0.2">
      <c r="A123" s="62">
        <f t="shared" si="40"/>
        <v>0.80054582520517492</v>
      </c>
      <c r="B123" s="45">
        <f t="shared" si="41"/>
        <v>112</v>
      </c>
      <c r="C123" s="49">
        <f t="shared" si="54"/>
        <v>6986326.542751153</v>
      </c>
      <c r="D123" s="47" cm="1">
        <f t="array" ref="D123">_xlfn.IFS(AND($C$7="Y",B123&lt;C$4),C123,AND($C$7="Y",B123=C$4),D122+F123-J123-K123-L123+N123,AND($C$7="Y",B123&gt;$C$4),D122-J123-K123-L123+N123, TRUE, D122-J123-K123-L123+N123)</f>
        <v>6925967.6341391308</v>
      </c>
      <c r="E123" s="48">
        <f t="shared" si="42"/>
        <v>0</v>
      </c>
      <c r="F123" s="50">
        <f t="shared" si="43"/>
        <v>0</v>
      </c>
      <c r="G123" s="50">
        <f t="shared" si="51"/>
        <v>0</v>
      </c>
      <c r="H123" s="51">
        <f t="shared" si="55"/>
        <v>147662.36858608812</v>
      </c>
      <c r="I123" s="52">
        <f t="shared" si="44"/>
        <v>115942.12721603643</v>
      </c>
      <c r="J123" s="52">
        <f t="shared" si="56"/>
        <v>31720.241370051692</v>
      </c>
      <c r="K123" s="51">
        <f t="shared" si="58"/>
        <v>29663.612847822395</v>
      </c>
      <c r="L123" s="49">
        <f t="shared" si="59"/>
        <v>29798.909788966834</v>
      </c>
      <c r="M123" s="49">
        <f t="shared" si="60"/>
        <v>-30823.855394819795</v>
      </c>
      <c r="N123" s="49">
        <f t="shared" si="52"/>
        <v>30823.855394819795</v>
      </c>
      <c r="O123" s="48">
        <f t="shared" si="53"/>
        <v>178350.92703976348</v>
      </c>
      <c r="P123" s="38">
        <f t="shared" si="57"/>
        <v>178350.92703976348</v>
      </c>
      <c r="Q123" s="53"/>
      <c r="R123" s="53">
        <f t="shared" si="45"/>
        <v>0.05</v>
      </c>
      <c r="S123" s="53">
        <f t="shared" si="46"/>
        <v>4.2653187775606449E-3</v>
      </c>
      <c r="T123" s="53">
        <f t="shared" si="47"/>
        <v>0.05</v>
      </c>
      <c r="U123" s="53">
        <f t="shared" si="50"/>
        <v>4.2653187775606449E-3</v>
      </c>
      <c r="V123" s="53"/>
      <c r="W123" s="63">
        <f t="shared" si="48"/>
        <v>496.64849648278056</v>
      </c>
      <c r="X123" s="64">
        <f t="shared" si="49"/>
        <v>8.5306375551212903E-4</v>
      </c>
      <c r="Z123" s="63"/>
    </row>
    <row r="124" spans="1:26" x14ac:dyDescent="0.2">
      <c r="A124" s="62">
        <f t="shared" si="40"/>
        <v>0.79355505526302561</v>
      </c>
      <c r="B124" s="45">
        <f t="shared" si="41"/>
        <v>113</v>
      </c>
      <c r="C124" s="49">
        <f t="shared" si="54"/>
        <v>6925967.6341391308</v>
      </c>
      <c r="D124" s="47" cm="1">
        <f t="array" ref="D124">_xlfn.IFS(AND($C$7="Y",B124&lt;C$4),C124,AND($C$7="Y",B124=C$4),D123+F124-J124-K124-L124+N124,AND($C$7="Y",B124&gt;$C$4),D123-J124-K124-L124+N124, TRUE, D123-J124-K124-L124+N124)</f>
        <v>6865486.5912898602</v>
      </c>
      <c r="E124" s="48">
        <f t="shared" si="42"/>
        <v>0</v>
      </c>
      <c r="F124" s="50">
        <f t="shared" si="43"/>
        <v>0</v>
      </c>
      <c r="G124" s="50">
        <f t="shared" si="51"/>
        <v>0</v>
      </c>
      <c r="H124" s="51">
        <f t="shared" si="55"/>
        <v>147043.80265508068</v>
      </c>
      <c r="I124" s="52">
        <f t="shared" si="44"/>
        <v>114940.43623894099</v>
      </c>
      <c r="J124" s="52">
        <f t="shared" si="56"/>
        <v>32103.366416139688</v>
      </c>
      <c r="K124" s="51">
        <f t="shared" si="58"/>
        <v>29404.528711073239</v>
      </c>
      <c r="L124" s="49">
        <f t="shared" si="59"/>
        <v>29541.45980267091</v>
      </c>
      <c r="M124" s="49">
        <f t="shared" si="60"/>
        <v>-30568.312080613126</v>
      </c>
      <c r="N124" s="49">
        <f t="shared" si="52"/>
        <v>30568.312080613126</v>
      </c>
      <c r="O124" s="48">
        <f t="shared" si="53"/>
        <v>177475.18364409613</v>
      </c>
      <c r="P124" s="38">
        <f t="shared" si="57"/>
        <v>177475.18364409613</v>
      </c>
      <c r="Q124" s="53"/>
      <c r="R124" s="53">
        <f t="shared" si="45"/>
        <v>0.05</v>
      </c>
      <c r="S124" s="53">
        <f t="shared" si="46"/>
        <v>4.2653187775606449E-3</v>
      </c>
      <c r="T124" s="53">
        <f t="shared" si="47"/>
        <v>0.05</v>
      </c>
      <c r="U124" s="53">
        <f t="shared" si="50"/>
        <v>4.2653187775606449E-3</v>
      </c>
      <c r="V124" s="53"/>
      <c r="W124" s="63">
        <f t="shared" si="48"/>
        <v>492.3576633778485</v>
      </c>
      <c r="X124" s="64">
        <f t="shared" si="49"/>
        <v>8.5306375551212903E-4</v>
      </c>
      <c r="Z124" s="63"/>
    </row>
    <row r="125" spans="1:26" x14ac:dyDescent="0.2">
      <c r="A125" s="62">
        <f t="shared" si="40"/>
        <v>0.78654967860582892</v>
      </c>
      <c r="B125" s="45">
        <f t="shared" si="41"/>
        <v>114</v>
      </c>
      <c r="C125" s="49">
        <f t="shared" si="54"/>
        <v>6865486.5912898602</v>
      </c>
      <c r="D125" s="47" cm="1">
        <f t="array" ref="D125">_xlfn.IFS(AND($C$7="Y",B125&lt;C$4),C125,AND($C$7="Y",B125=C$4),D124+F125-J125-K125-L125+N125,AND($C$7="Y",B125&gt;$C$4),D124-J125-K125-L125+N125, TRUE, D124-J125-K125-L125+N125)</f>
        <v>6804879.1776164919</v>
      </c>
      <c r="E125" s="48">
        <f t="shared" si="42"/>
        <v>0</v>
      </c>
      <c r="F125" s="50">
        <f t="shared" si="43"/>
        <v>0</v>
      </c>
      <c r="G125" s="50">
        <f t="shared" si="51"/>
        <v>0</v>
      </c>
      <c r="H125" s="51">
        <f t="shared" si="55"/>
        <v>146428.05852883385</v>
      </c>
      <c r="I125" s="52">
        <f t="shared" si="44"/>
        <v>113936.71837358235</v>
      </c>
      <c r="J125" s="52">
        <f t="shared" si="56"/>
        <v>32491.340155251499</v>
      </c>
      <c r="K125" s="51">
        <f t="shared" si="58"/>
        <v>29144.90295164716</v>
      </c>
      <c r="L125" s="49">
        <f t="shared" si="59"/>
        <v>29283.488874919465</v>
      </c>
      <c r="M125" s="49">
        <f t="shared" si="60"/>
        <v>-30312.318308449947</v>
      </c>
      <c r="N125" s="49">
        <f t="shared" si="52"/>
        <v>30312.318308449947</v>
      </c>
      <c r="O125" s="48">
        <f t="shared" si="53"/>
        <v>176601.79091401148</v>
      </c>
      <c r="P125" s="38">
        <f t="shared" si="57"/>
        <v>176601.79091401148</v>
      </c>
      <c r="Q125" s="53"/>
      <c r="R125" s="53">
        <f t="shared" si="45"/>
        <v>0.05</v>
      </c>
      <c r="S125" s="53">
        <f t="shared" si="46"/>
        <v>4.2653187775606449E-3</v>
      </c>
      <c r="T125" s="53">
        <f t="shared" si="47"/>
        <v>0.05</v>
      </c>
      <c r="U125" s="53">
        <f t="shared" si="50"/>
        <v>4.2653187775606449E-3</v>
      </c>
      <c r="V125" s="53"/>
      <c r="W125" s="63">
        <f t="shared" si="48"/>
        <v>488.05814791532447</v>
      </c>
      <c r="X125" s="64">
        <f t="shared" si="49"/>
        <v>8.5306375551212903E-4</v>
      </c>
      <c r="Z125" s="63"/>
    </row>
    <row r="126" spans="1:26" x14ac:dyDescent="0.2">
      <c r="A126" s="62">
        <f t="shared" si="40"/>
        <v>0.77952920051487984</v>
      </c>
      <c r="B126" s="45">
        <f t="shared" si="41"/>
        <v>115</v>
      </c>
      <c r="C126" s="49">
        <f t="shared" si="54"/>
        <v>6804879.1776164919</v>
      </c>
      <c r="D126" s="47" cm="1">
        <f t="array" ref="D126">_xlfn.IFS(AND($C$7="Y",B126&lt;C$4),C126,AND($C$7="Y",B126=C$4),D125+F126-J126-K126-L126+N126,AND($C$7="Y",B126&gt;$C$4),D125-J126-K126-L126+N126, TRUE, D125-J126-K126-L126+N126)</f>
        <v>6744141.1130320765</v>
      </c>
      <c r="E126" s="48">
        <f t="shared" si="42"/>
        <v>0</v>
      </c>
      <c r="F126" s="50">
        <f t="shared" si="43"/>
        <v>0</v>
      </c>
      <c r="G126" s="50">
        <f t="shared" si="51"/>
        <v>0</v>
      </c>
      <c r="H126" s="51">
        <f t="shared" si="55"/>
        <v>145815.12844966463</v>
      </c>
      <c r="I126" s="52">
        <f t="shared" si="44"/>
        <v>112930.90331135289</v>
      </c>
      <c r="J126" s="52">
        <f t="shared" si="56"/>
        <v>32884.22513831174</v>
      </c>
      <c r="K126" s="51">
        <f t="shared" si="58"/>
        <v>28884.717232351086</v>
      </c>
      <c r="L126" s="49">
        <f t="shared" si="59"/>
        <v>29024.978935319061</v>
      </c>
      <c r="M126" s="49">
        <f t="shared" si="60"/>
        <v>-30055.856721566925</v>
      </c>
      <c r="N126" s="49">
        <f t="shared" si="52"/>
        <v>30055.856721566925</v>
      </c>
      <c r="O126" s="48">
        <f t="shared" si="53"/>
        <v>175730.72346826358</v>
      </c>
      <c r="P126" s="38">
        <f t="shared" si="57"/>
        <v>175730.72346826358</v>
      </c>
      <c r="Q126" s="53"/>
      <c r="R126" s="53">
        <f t="shared" si="45"/>
        <v>0.05</v>
      </c>
      <c r="S126" s="53">
        <f t="shared" si="46"/>
        <v>4.2653187775606449E-3</v>
      </c>
      <c r="T126" s="53">
        <f t="shared" si="47"/>
        <v>0.05</v>
      </c>
      <c r="U126" s="53">
        <f t="shared" si="50"/>
        <v>4.2653187775606449E-3</v>
      </c>
      <c r="V126" s="53"/>
      <c r="W126" s="63">
        <f t="shared" si="48"/>
        <v>483.74964892198437</v>
      </c>
      <c r="X126" s="64">
        <f t="shared" si="49"/>
        <v>8.5306375551212903E-4</v>
      </c>
      <c r="Z126" s="63"/>
    </row>
    <row r="127" spans="1:26" x14ac:dyDescent="0.2">
      <c r="A127" s="62">
        <f t="shared" si="40"/>
        <v>0.77249312116311109</v>
      </c>
      <c r="B127" s="45">
        <f t="shared" si="41"/>
        <v>116</v>
      </c>
      <c r="C127" s="49">
        <f t="shared" si="54"/>
        <v>6744141.1130320765</v>
      </c>
      <c r="D127" s="47" cm="1">
        <f t="array" ref="D127">_xlfn.IFS(AND($C$7="Y",B127&lt;C$4),C127,AND($C$7="Y",B127=C$4),D126+F127-J127-K127-L127+N127,AND($C$7="Y",B127&gt;$C$4),D126-J127-K127-L127+N127, TRUE, D126-J127-K127-L127+N127)</f>
        <v>6683268.0732543776</v>
      </c>
      <c r="E127" s="48">
        <f t="shared" si="42"/>
        <v>0</v>
      </c>
      <c r="F127" s="50">
        <f t="shared" si="43"/>
        <v>0</v>
      </c>
      <c r="G127" s="50">
        <f t="shared" si="51"/>
        <v>0</v>
      </c>
      <c r="H127" s="51">
        <f t="shared" si="55"/>
        <v>145205.00483383882</v>
      </c>
      <c r="I127" s="52">
        <f t="shared" si="44"/>
        <v>111922.9200217357</v>
      </c>
      <c r="J127" s="52">
        <f t="shared" si="56"/>
        <v>33282.084812103116</v>
      </c>
      <c r="K127" s="51">
        <f t="shared" si="58"/>
        <v>28623.953026629035</v>
      </c>
      <c r="L127" s="49">
        <f t="shared" si="59"/>
        <v>28765.911727934465</v>
      </c>
      <c r="M127" s="49">
        <f t="shared" si="60"/>
        <v>-29798.909788966834</v>
      </c>
      <c r="N127" s="49">
        <f t="shared" si="52"/>
        <v>29798.909788966834</v>
      </c>
      <c r="O127" s="48">
        <f t="shared" si="53"/>
        <v>174861.95592150022</v>
      </c>
      <c r="P127" s="38">
        <f t="shared" si="57"/>
        <v>174861.95592150022</v>
      </c>
      <c r="Q127" s="53"/>
      <c r="R127" s="53">
        <f t="shared" si="45"/>
        <v>0.05</v>
      </c>
      <c r="S127" s="53">
        <f t="shared" si="46"/>
        <v>4.2653187775606449E-3</v>
      </c>
      <c r="T127" s="53">
        <f t="shared" si="47"/>
        <v>0.05</v>
      </c>
      <c r="U127" s="53">
        <f t="shared" si="50"/>
        <v>4.2653187775606449E-3</v>
      </c>
      <c r="V127" s="53"/>
      <c r="W127" s="63">
        <f t="shared" si="48"/>
        <v>479.43186213224112</v>
      </c>
      <c r="X127" s="64">
        <f t="shared" si="49"/>
        <v>8.5306375551212914E-4</v>
      </c>
      <c r="Z127" s="63"/>
    </row>
    <row r="128" spans="1:26" x14ac:dyDescent="0.2">
      <c r="A128" s="62">
        <f t="shared" si="40"/>
        <v>0.76544093553313519</v>
      </c>
      <c r="B128" s="45">
        <f t="shared" si="41"/>
        <v>117</v>
      </c>
      <c r="C128" s="49">
        <f t="shared" si="54"/>
        <v>6683268.0732543776</v>
      </c>
      <c r="D128" s="47" cm="1">
        <f t="array" ref="D128">_xlfn.IFS(AND($C$7="Y",B128&lt;C$4),C128,AND($C$7="Y",B128=C$4),D127+F128-J128-K128-L128+N128,AND($C$7="Y",B128&gt;$C$4),D127-J128-K128-L128+N128, TRUE, D127-J128-K128-L128+N128)</f>
        <v>6622255.6890968112</v>
      </c>
      <c r="E128" s="48">
        <f t="shared" si="42"/>
        <v>0</v>
      </c>
      <c r="F128" s="50">
        <f t="shared" si="43"/>
        <v>0</v>
      </c>
      <c r="G128" s="50">
        <f t="shared" si="51"/>
        <v>0</v>
      </c>
      <c r="H128" s="51">
        <f t="shared" si="55"/>
        <v>144597.68027715743</v>
      </c>
      <c r="I128" s="52">
        <f t="shared" si="44"/>
        <v>110912.69674076757</v>
      </c>
      <c r="J128" s="52">
        <f t="shared" si="56"/>
        <v>33684.98353638986</v>
      </c>
      <c r="K128" s="51">
        <f t="shared" si="58"/>
        <v>28362.591615523863</v>
      </c>
      <c r="L128" s="49">
        <f t="shared" si="59"/>
        <v>28506.26880832345</v>
      </c>
      <c r="M128" s="49">
        <f t="shared" si="60"/>
        <v>-29541.45980267091</v>
      </c>
      <c r="N128" s="49">
        <f t="shared" si="52"/>
        <v>29541.45980267091</v>
      </c>
      <c r="O128" s="48">
        <f t="shared" si="53"/>
        <v>173995.46288702873</v>
      </c>
      <c r="P128" s="38">
        <f t="shared" si="57"/>
        <v>173995.46288702873</v>
      </c>
      <c r="Q128" s="53"/>
      <c r="R128" s="53">
        <f t="shared" si="45"/>
        <v>0.05</v>
      </c>
      <c r="S128" s="53">
        <f t="shared" si="46"/>
        <v>4.2653187775606449E-3</v>
      </c>
      <c r="T128" s="53">
        <f t="shared" si="47"/>
        <v>0.05</v>
      </c>
      <c r="U128" s="53">
        <f t="shared" si="50"/>
        <v>4.2653187775606449E-3</v>
      </c>
      <c r="V128" s="53"/>
      <c r="W128" s="63">
        <f t="shared" si="48"/>
        <v>475.10448013872423</v>
      </c>
      <c r="X128" s="64">
        <f t="shared" si="49"/>
        <v>8.5306375551212914E-4</v>
      </c>
      <c r="Z128" s="63"/>
    </row>
    <row r="129" spans="1:26" x14ac:dyDescent="0.2">
      <c r="A129" s="62">
        <f t="shared" si="40"/>
        <v>0.75837213333362852</v>
      </c>
      <c r="B129" s="45">
        <f t="shared" si="41"/>
        <v>118</v>
      </c>
      <c r="C129" s="49">
        <f t="shared" si="54"/>
        <v>6622255.6890968112</v>
      </c>
      <c r="D129" s="47" cm="1">
        <f t="array" ref="D129">_xlfn.IFS(AND($C$7="Y",B129&lt;C$4),C129,AND($C$7="Y",B129=C$4),D128+F129-J129-K129-L129+N129,AND($C$7="Y",B129&gt;$C$4),D128-J129-K129-L129+N129, TRUE, D128-J129-K129-L129+N129)</f>
        <v>6561099.5457450338</v>
      </c>
      <c r="E129" s="48">
        <f t="shared" si="42"/>
        <v>0</v>
      </c>
      <c r="F129" s="50">
        <f t="shared" si="43"/>
        <v>0</v>
      </c>
      <c r="G129" s="50">
        <f t="shared" si="51"/>
        <v>0</v>
      </c>
      <c r="H129" s="51">
        <f t="shared" si="55"/>
        <v>143993.14756087962</v>
      </c>
      <c r="I129" s="52">
        <f t="shared" si="44"/>
        <v>109900.16095927166</v>
      </c>
      <c r="J129" s="52">
        <f t="shared" si="56"/>
        <v>34092.986601607961</v>
      </c>
      <c r="K129" s="51">
        <f t="shared" si="58"/>
        <v>28100.614084577475</v>
      </c>
      <c r="L129" s="49">
        <f t="shared" si="59"/>
        <v>28246.031540512438</v>
      </c>
      <c r="M129" s="49">
        <f t="shared" si="60"/>
        <v>-29283.488874919465</v>
      </c>
      <c r="N129" s="49">
        <f t="shared" si="52"/>
        <v>29283.488874919465</v>
      </c>
      <c r="O129" s="48">
        <f t="shared" si="53"/>
        <v>173131.21897986415</v>
      </c>
      <c r="P129" s="38">
        <f t="shared" si="57"/>
        <v>173131.21897986415</v>
      </c>
      <c r="Q129" s="53"/>
      <c r="R129" s="53">
        <f t="shared" si="45"/>
        <v>0.05</v>
      </c>
      <c r="S129" s="53">
        <f t="shared" si="46"/>
        <v>4.2653187775606449E-3</v>
      </c>
      <c r="T129" s="53">
        <f t="shared" si="47"/>
        <v>0.05</v>
      </c>
      <c r="U129" s="53">
        <f t="shared" si="50"/>
        <v>4.2653187775606449E-3</v>
      </c>
      <c r="V129" s="53"/>
      <c r="W129" s="63">
        <f t="shared" si="48"/>
        <v>470.76719234187402</v>
      </c>
      <c r="X129" s="64">
        <f t="shared" si="49"/>
        <v>8.5306375551212903E-4</v>
      </c>
      <c r="Z129" s="63"/>
    </row>
    <row r="130" spans="1:26" x14ac:dyDescent="0.2">
      <c r="A130" s="62">
        <f t="shared" si="40"/>
        <v>0.75128619891399129</v>
      </c>
      <c r="B130" s="45">
        <f t="shared" si="41"/>
        <v>119</v>
      </c>
      <c r="C130" s="49">
        <f t="shared" si="54"/>
        <v>6561099.5457450338</v>
      </c>
      <c r="D130" s="47" cm="1">
        <f t="array" ref="D130">_xlfn.IFS(AND($C$7="Y",B130&lt;C$4),C130,AND($C$7="Y",B130=C$4),D129+F130-J130-K130-L130+N130,AND($C$7="Y",B130&gt;$C$4),D129-J130-K130-L130+N130, TRUE, D129-J130-K130-L130+N130)</f>
        <v>6499795.18201862</v>
      </c>
      <c r="E130" s="48">
        <f t="shared" si="42"/>
        <v>0</v>
      </c>
      <c r="F130" s="50">
        <f t="shared" si="43"/>
        <v>0</v>
      </c>
      <c r="G130" s="50">
        <f t="shared" si="51"/>
        <v>0</v>
      </c>
      <c r="H130" s="51">
        <f t="shared" si="55"/>
        <v>143391.39965800653</v>
      </c>
      <c r="I130" s="52">
        <f t="shared" si="44"/>
        <v>108885.23941085204</v>
      </c>
      <c r="J130" s="52">
        <f t="shared" si="56"/>
        <v>34506.16024715449</v>
      </c>
      <c r="K130" s="51">
        <f t="shared" si="58"/>
        <v>27838.001320667205</v>
      </c>
      <c r="L130" s="49">
        <f t="shared" si="59"/>
        <v>27985.181093910909</v>
      </c>
      <c r="M130" s="49">
        <f t="shared" si="60"/>
        <v>-29024.978935319061</v>
      </c>
      <c r="N130" s="49">
        <f t="shared" si="52"/>
        <v>29024.978935319061</v>
      </c>
      <c r="O130" s="48">
        <f t="shared" si="53"/>
        <v>172269.19882008186</v>
      </c>
      <c r="P130" s="38">
        <f t="shared" si="57"/>
        <v>172269.19882008186</v>
      </c>
      <c r="Q130" s="53"/>
      <c r="R130" s="53">
        <f t="shared" si="45"/>
        <v>0.05</v>
      </c>
      <c r="S130" s="53">
        <f t="shared" si="46"/>
        <v>4.2653187775606449E-3</v>
      </c>
      <c r="T130" s="53">
        <f t="shared" si="47"/>
        <v>0.05</v>
      </c>
      <c r="U130" s="53">
        <f t="shared" si="50"/>
        <v>4.2653187775606449E-3</v>
      </c>
      <c r="V130" s="53"/>
      <c r="W130" s="63">
        <f t="shared" si="48"/>
        <v>466.41968489851519</v>
      </c>
      <c r="X130" s="64">
        <f t="shared" si="49"/>
        <v>8.5306375551212903E-4</v>
      </c>
      <c r="Z130" s="63"/>
    </row>
    <row r="131" spans="1:26" x14ac:dyDescent="0.2">
      <c r="A131" s="62">
        <f t="shared" si="40"/>
        <v>0.74418261117722362</v>
      </c>
      <c r="B131" s="45">
        <f t="shared" si="41"/>
        <v>120</v>
      </c>
      <c r="C131" s="49">
        <f t="shared" si="54"/>
        <v>6499795.18201862</v>
      </c>
      <c r="D131" s="47" cm="1">
        <f t="array" ref="D131">_xlfn.IFS(AND($C$7="Y",B131&lt;C$4),C131,AND($C$7="Y",B131=C$4),D130+F131-J131-K131-L131+N131,AND($C$7="Y",B131&gt;$C$4),D130-J131-K131-L131+N131, TRUE, D130-J131-K131-L131+N131)</f>
        <v>6438338.0896173064</v>
      </c>
      <c r="E131" s="48">
        <f t="shared" si="42"/>
        <v>0</v>
      </c>
      <c r="F131" s="50">
        <f t="shared" si="43"/>
        <v>0</v>
      </c>
      <c r="G131" s="50">
        <f t="shared" si="51"/>
        <v>0</v>
      </c>
      <c r="H131" s="51">
        <f t="shared" si="55"/>
        <v>142792.42973995054</v>
      </c>
      <c r="I131" s="52">
        <f t="shared" si="44"/>
        <v>107867.85805964096</v>
      </c>
      <c r="J131" s="52">
        <f t="shared" si="56"/>
        <v>34924.571680309586</v>
      </c>
      <c r="K131" s="51">
        <f t="shared" si="58"/>
        <v>27574.734008775944</v>
      </c>
      <c r="L131" s="49">
        <f t="shared" si="59"/>
        <v>27723.698440162229</v>
      </c>
      <c r="M131" s="49">
        <f t="shared" si="60"/>
        <v>-28765.911727934465</v>
      </c>
      <c r="N131" s="49">
        <f t="shared" si="52"/>
        <v>28765.911727934465</v>
      </c>
      <c r="O131" s="48">
        <f t="shared" si="53"/>
        <v>171409.37703649871</v>
      </c>
      <c r="P131" s="38">
        <f t="shared" si="57"/>
        <v>171409.37703649871</v>
      </c>
      <c r="Q131" s="53"/>
      <c r="R131" s="53">
        <f t="shared" si="45"/>
        <v>0.05</v>
      </c>
      <c r="S131" s="53">
        <f t="shared" si="46"/>
        <v>4.2653187775606449E-3</v>
      </c>
      <c r="T131" s="53">
        <f t="shared" si="47"/>
        <v>0.05</v>
      </c>
      <c r="U131" s="53">
        <f t="shared" si="50"/>
        <v>4.2653187775606449E-3</v>
      </c>
      <c r="V131" s="53"/>
      <c r="W131" s="63">
        <f t="shared" si="48"/>
        <v>462.06164066937049</v>
      </c>
      <c r="X131" s="64">
        <f t="shared" si="49"/>
        <v>8.5306375551212903E-4</v>
      </c>
      <c r="Z131" s="63"/>
    </row>
    <row r="132" spans="1:26" x14ac:dyDescent="0.2">
      <c r="A132" s="62">
        <f t="shared" si="40"/>
        <v>0.73706084349094625</v>
      </c>
      <c r="B132" s="45">
        <f t="shared" si="41"/>
        <v>121</v>
      </c>
      <c r="C132" s="49">
        <f t="shared" si="54"/>
        <v>6438338.0896173064</v>
      </c>
      <c r="D132" s="47" cm="1">
        <f t="array" ref="D132">_xlfn.IFS(AND($C$7="Y",B132&lt;C$4),C132,AND($C$7="Y",B132=C$4),D131+F132-J132-K132-L132+N132,AND($C$7="Y",B132&gt;$C$4),D131-J132-K132-L132+N132, TRUE, D131-J132-K132-L132+N132)</f>
        <v>6376723.7123511788</v>
      </c>
      <c r="E132" s="48">
        <f t="shared" si="42"/>
        <v>0</v>
      </c>
      <c r="F132" s="50">
        <f t="shared" si="43"/>
        <v>0</v>
      </c>
      <c r="G132" s="50">
        <f t="shared" si="51"/>
        <v>0</v>
      </c>
      <c r="H132" s="51">
        <f t="shared" si="55"/>
        <v>142196.23118361877</v>
      </c>
      <c r="I132" s="52">
        <f t="shared" si="44"/>
        <v>106847.94208778963</v>
      </c>
      <c r="J132" s="52">
        <f t="shared" si="56"/>
        <v>35348.289095829139</v>
      </c>
      <c r="K132" s="51">
        <f t="shared" si="58"/>
        <v>27310.792628693544</v>
      </c>
      <c r="L132" s="49">
        <f t="shared" si="59"/>
        <v>27461.564349928627</v>
      </c>
      <c r="M132" s="49">
        <f t="shared" si="60"/>
        <v>-28506.26880832345</v>
      </c>
      <c r="N132" s="49">
        <f t="shared" si="52"/>
        <v>28506.26880832345</v>
      </c>
      <c r="O132" s="48">
        <f t="shared" si="53"/>
        <v>170551.72827070716</v>
      </c>
      <c r="P132" s="38">
        <f t="shared" si="57"/>
        <v>170551.72827070716</v>
      </c>
      <c r="Q132" s="53"/>
      <c r="R132" s="53">
        <f t="shared" si="45"/>
        <v>0.05</v>
      </c>
      <c r="S132" s="53">
        <f t="shared" si="46"/>
        <v>4.2653187775606449E-3</v>
      </c>
      <c r="T132" s="53">
        <f t="shared" si="47"/>
        <v>0.05</v>
      </c>
      <c r="U132" s="53">
        <f t="shared" si="50"/>
        <v>4.2653187775606449E-3</v>
      </c>
      <c r="V132" s="53"/>
      <c r="W132" s="63">
        <f t="shared" si="48"/>
        <v>457.69273916547718</v>
      </c>
      <c r="X132" s="64">
        <f t="shared" si="49"/>
        <v>8.5306375551212914E-4</v>
      </c>
      <c r="Z132" s="63"/>
    </row>
    <row r="133" spans="1:26" x14ac:dyDescent="0.2">
      <c r="A133" s="62">
        <f t="shared" si="40"/>
        <v>0.72992036359649359</v>
      </c>
      <c r="B133" s="45">
        <f t="shared" si="41"/>
        <v>122</v>
      </c>
      <c r="C133" s="49">
        <f t="shared" si="54"/>
        <v>6376723.7123511788</v>
      </c>
      <c r="D133" s="47" cm="1">
        <f t="array" ref="D133">_xlfn.IFS(AND($C$7="Y",B133&lt;C$4),C133,AND($C$7="Y",B133=C$4),D132+F133-J133-K133-L133+N133,AND($C$7="Y",B133&gt;$C$4),D132-J133-K133-L133+N133, TRUE, D132-J133-K133-L133+N133)</f>
        <v>6314947.4453541897</v>
      </c>
      <c r="E133" s="48">
        <f t="shared" si="42"/>
        <v>0</v>
      </c>
      <c r="F133" s="50">
        <f t="shared" si="43"/>
        <v>0</v>
      </c>
      <c r="G133" s="50">
        <f t="shared" si="51"/>
        <v>0</v>
      </c>
      <c r="H133" s="51">
        <f t="shared" si="55"/>
        <v>141602.79757893909</v>
      </c>
      <c r="I133" s="52">
        <f t="shared" si="44"/>
        <v>105825.41588269285</v>
      </c>
      <c r="J133" s="52">
        <f t="shared" si="56"/>
        <v>35777.381696246244</v>
      </c>
      <c r="K133" s="51">
        <f t="shared" si="58"/>
        <v>27046.157451646752</v>
      </c>
      <c r="L133" s="49">
        <f t="shared" si="59"/>
        <v>27198.759389607709</v>
      </c>
      <c r="M133" s="49">
        <f t="shared" si="60"/>
        <v>-28246.031540512438</v>
      </c>
      <c r="N133" s="49">
        <f t="shared" si="52"/>
        <v>28246.031540512438</v>
      </c>
      <c r="O133" s="48">
        <f t="shared" si="53"/>
        <v>169696.22718149057</v>
      </c>
      <c r="P133" s="38">
        <f t="shared" si="57"/>
        <v>169696.22718149057</v>
      </c>
      <c r="Q133" s="53"/>
      <c r="R133" s="53">
        <f t="shared" si="45"/>
        <v>0.05</v>
      </c>
      <c r="S133" s="53">
        <f t="shared" si="46"/>
        <v>4.2653187775606449E-3</v>
      </c>
      <c r="T133" s="53">
        <f t="shared" si="47"/>
        <v>0.05</v>
      </c>
      <c r="U133" s="53">
        <f t="shared" si="50"/>
        <v>4.2653187775606449E-3</v>
      </c>
      <c r="V133" s="53"/>
      <c r="W133" s="63">
        <f t="shared" si="48"/>
        <v>453.31265649346187</v>
      </c>
      <c r="X133" s="64">
        <f t="shared" si="49"/>
        <v>8.5306375551212914E-4</v>
      </c>
      <c r="Z133" s="63"/>
    </row>
    <row r="134" spans="1:26" x14ac:dyDescent="0.2">
      <c r="A134" s="62">
        <f t="shared" si="40"/>
        <v>0.72276063351600439</v>
      </c>
      <c r="B134" s="45">
        <f t="shared" si="41"/>
        <v>123</v>
      </c>
      <c r="C134" s="49">
        <f t="shared" si="54"/>
        <v>6314947.4453541897</v>
      </c>
      <c r="D134" s="47" cm="1">
        <f t="array" ref="D134">_xlfn.IFS(AND($C$7="Y",B134&lt;C$4),C134,AND($C$7="Y",B134=C$4),D133+F134-J134-K134-L134+N134,AND($C$7="Y",B134&gt;$C$4),D133-J134-K134-L134+N134, TRUE, D133-J134-K134-L134+N134)</f>
        <v>6253004.6342803426</v>
      </c>
      <c r="E134" s="48">
        <f t="shared" si="42"/>
        <v>0</v>
      </c>
      <c r="F134" s="50">
        <f t="shared" si="43"/>
        <v>0</v>
      </c>
      <c r="G134" s="50">
        <f t="shared" si="51"/>
        <v>0</v>
      </c>
      <c r="H134" s="51">
        <f t="shared" si="55"/>
        <v>141012.12273686266</v>
      </c>
      <c r="I134" s="52">
        <f t="shared" si="44"/>
        <v>104800.20302393688</v>
      </c>
      <c r="J134" s="52">
        <f t="shared" si="56"/>
        <v>36211.919712925781</v>
      </c>
      <c r="K134" s="51">
        <f t="shared" si="58"/>
        <v>26780.808536854791</v>
      </c>
      <c r="L134" s="49">
        <f t="shared" si="59"/>
        <v>26935.263917977849</v>
      </c>
      <c r="M134" s="49">
        <f t="shared" si="60"/>
        <v>-27985.181093910909</v>
      </c>
      <c r="N134" s="49">
        <f t="shared" si="52"/>
        <v>27985.181093910909</v>
      </c>
      <c r="O134" s="48">
        <f t="shared" si="53"/>
        <v>168842.84844965048</v>
      </c>
      <c r="P134" s="38">
        <f t="shared" si="57"/>
        <v>168842.84844965048</v>
      </c>
      <c r="Q134" s="53"/>
      <c r="R134" s="53">
        <f t="shared" si="45"/>
        <v>0.05</v>
      </c>
      <c r="S134" s="53">
        <f t="shared" si="46"/>
        <v>4.2653187775606449E-3</v>
      </c>
      <c r="T134" s="53">
        <f t="shared" si="47"/>
        <v>0.05</v>
      </c>
      <c r="U134" s="53">
        <f t="shared" si="50"/>
        <v>4.2653187775606449E-3</v>
      </c>
      <c r="V134" s="53"/>
      <c r="W134" s="63">
        <f t="shared" si="48"/>
        <v>448.92106529963081</v>
      </c>
      <c r="X134" s="64">
        <f t="shared" si="49"/>
        <v>8.5306375551212903E-4</v>
      </c>
      <c r="Z134" s="63"/>
    </row>
    <row r="135" spans="1:26" x14ac:dyDescent="0.2">
      <c r="A135" s="62">
        <f t="shared" si="40"/>
        <v>0.71558110945742259</v>
      </c>
      <c r="B135" s="45">
        <f t="shared" si="41"/>
        <v>124</v>
      </c>
      <c r="C135" s="49">
        <f t="shared" si="54"/>
        <v>6253004.6342803426</v>
      </c>
      <c r="D135" s="47" cm="1">
        <f t="array" ref="D135">_xlfn.IFS(AND($C$7="Y",B135&lt;C$4),C135,AND($C$7="Y",B135=C$4),D134+F135-J135-K135-L135+N135,AND($C$7="Y",B135&gt;$C$4),D134-J135-K135-L135+N135, TRUE, D134-J135-K135-L135+N135)</f>
        <v>6190890.5744818095</v>
      </c>
      <c r="E135" s="48">
        <f t="shared" si="42"/>
        <v>0</v>
      </c>
      <c r="F135" s="50">
        <f t="shared" si="43"/>
        <v>0</v>
      </c>
      <c r="G135" s="50">
        <f t="shared" si="51"/>
        <v>0</v>
      </c>
      <c r="H135" s="51">
        <f t="shared" si="55"/>
        <v>140424.20069787707</v>
      </c>
      <c r="I135" s="52">
        <f t="shared" si="44"/>
        <v>103772.22626995954</v>
      </c>
      <c r="J135" s="52">
        <f t="shared" si="56"/>
        <v>36651.974427917521</v>
      </c>
      <c r="K135" s="51">
        <f t="shared" si="58"/>
        <v>26514.725728007608</v>
      </c>
      <c r="L135" s="49">
        <f t="shared" si="59"/>
        <v>26671.058082769679</v>
      </c>
      <c r="M135" s="49">
        <f t="shared" si="60"/>
        <v>-27723.698440162229</v>
      </c>
      <c r="N135" s="49">
        <f t="shared" si="52"/>
        <v>27723.698440162229</v>
      </c>
      <c r="O135" s="48">
        <f t="shared" si="53"/>
        <v>167991.5667832772</v>
      </c>
      <c r="P135" s="38">
        <f t="shared" si="57"/>
        <v>167991.5667832772</v>
      </c>
      <c r="Q135" s="53"/>
      <c r="R135" s="53">
        <f t="shared" si="45"/>
        <v>0.05</v>
      </c>
      <c r="S135" s="53">
        <f t="shared" si="46"/>
        <v>4.2653187775606449E-3</v>
      </c>
      <c r="T135" s="53">
        <f t="shared" si="47"/>
        <v>0.05</v>
      </c>
      <c r="U135" s="53">
        <f t="shared" si="50"/>
        <v>4.2653187775606449E-3</v>
      </c>
      <c r="V135" s="53"/>
      <c r="W135" s="63">
        <f t="shared" si="48"/>
        <v>444.51763471282806</v>
      </c>
      <c r="X135" s="64">
        <f t="shared" si="49"/>
        <v>8.5306375551212914E-4</v>
      </c>
      <c r="Z135" s="63"/>
    </row>
    <row r="136" spans="1:26" x14ac:dyDescent="0.2">
      <c r="A136" s="62">
        <f t="shared" si="40"/>
        <v>0.70838124171732808</v>
      </c>
      <c r="B136" s="45">
        <f t="shared" si="41"/>
        <v>125</v>
      </c>
      <c r="C136" s="49">
        <f t="shared" si="54"/>
        <v>6190890.5744818095</v>
      </c>
      <c r="D136" s="47" cm="1">
        <f t="array" ref="D136">_xlfn.IFS(AND($C$7="Y",B136&lt;C$4),C136,AND($C$7="Y",B136=C$4),D135+F136-J136-K136-L136+N136,AND($C$7="Y",B136&gt;$C$4),D135-J136-K136-L136+N136, TRUE, D135-J136-K136-L136+N136)</f>
        <v>6128600.5101682562</v>
      </c>
      <c r="E136" s="48">
        <f t="shared" si="42"/>
        <v>0</v>
      </c>
      <c r="F136" s="50">
        <f t="shared" si="43"/>
        <v>0</v>
      </c>
      <c r="G136" s="50">
        <f t="shared" si="51"/>
        <v>0</v>
      </c>
      <c r="H136" s="51">
        <f t="shared" si="55"/>
        <v>139839.02574106902</v>
      </c>
      <c r="I136" s="52">
        <f t="shared" si="44"/>
        <v>102741.40754441083</v>
      </c>
      <c r="J136" s="52">
        <f t="shared" si="56"/>
        <v>37097.618196658193</v>
      </c>
      <c r="K136" s="51">
        <f t="shared" si="58"/>
        <v>26247.888649663491</v>
      </c>
      <c r="L136" s="49">
        <f t="shared" si="59"/>
        <v>26406.121817160471</v>
      </c>
      <c r="M136" s="49">
        <f t="shared" si="60"/>
        <v>-27461.564349928627</v>
      </c>
      <c r="N136" s="49">
        <f t="shared" si="52"/>
        <v>27461.564349928627</v>
      </c>
      <c r="O136" s="48">
        <f t="shared" si="53"/>
        <v>167142.35692350072</v>
      </c>
      <c r="P136" s="38">
        <f t="shared" si="57"/>
        <v>167142.35692350072</v>
      </c>
      <c r="Q136" s="53"/>
      <c r="R136" s="53">
        <f t="shared" si="45"/>
        <v>0.05</v>
      </c>
      <c r="S136" s="53">
        <f t="shared" si="46"/>
        <v>4.2653187775606449E-3</v>
      </c>
      <c r="T136" s="53">
        <f t="shared" si="47"/>
        <v>0.05</v>
      </c>
      <c r="U136" s="53">
        <f t="shared" si="50"/>
        <v>4.2653187775606449E-3</v>
      </c>
      <c r="V136" s="53"/>
      <c r="W136" s="63">
        <f t="shared" si="48"/>
        <v>440.1020302860079</v>
      </c>
      <c r="X136" s="64">
        <f t="shared" si="49"/>
        <v>8.5306375551212914E-4</v>
      </c>
      <c r="Z136" s="63"/>
    </row>
    <row r="137" spans="1:26" x14ac:dyDescent="0.2">
      <c r="A137" s="62">
        <f t="shared" si="40"/>
        <v>0.70116047458149655</v>
      </c>
      <c r="B137" s="45">
        <f t="shared" si="41"/>
        <v>126</v>
      </c>
      <c r="C137" s="49">
        <f t="shared" si="54"/>
        <v>6128600.5101682562</v>
      </c>
      <c r="D137" s="47" cm="1">
        <f t="array" ref="D137">_xlfn.IFS(AND($C$7="Y",B137&lt;C$4),C137,AND($C$7="Y",B137=C$4),D136+F137-J137-K137-L137+N137,AND($C$7="Y",B137&gt;$C$4),D136-J137-K137-L137+N137, TRUE, D136-J137-K137-L137+N137)</f>
        <v>6066129.6335465368</v>
      </c>
      <c r="E137" s="48">
        <f t="shared" si="42"/>
        <v>0</v>
      </c>
      <c r="F137" s="50">
        <f t="shared" si="43"/>
        <v>0</v>
      </c>
      <c r="G137" s="50">
        <f t="shared" si="51"/>
        <v>0</v>
      </c>
      <c r="H137" s="51">
        <f t="shared" si="55"/>
        <v>139256.59239377809</v>
      </c>
      <c r="I137" s="52">
        <f t="shared" si="44"/>
        <v>101707.66792220114</v>
      </c>
      <c r="J137" s="52">
        <f t="shared" si="56"/>
        <v>37548.924471576946</v>
      </c>
      <c r="K137" s="51">
        <f t="shared" si="58"/>
        <v>25980.276703562587</v>
      </c>
      <c r="L137" s="49">
        <f t="shared" si="59"/>
        <v>26140.434836188411</v>
      </c>
      <c r="M137" s="49">
        <f t="shared" si="60"/>
        <v>-27198.759389607709</v>
      </c>
      <c r="N137" s="49">
        <f t="shared" si="52"/>
        <v>27198.759389607709</v>
      </c>
      <c r="O137" s="48">
        <f t="shared" si="53"/>
        <v>166295.19365075996</v>
      </c>
      <c r="P137" s="38">
        <f t="shared" si="57"/>
        <v>166295.19365075996</v>
      </c>
      <c r="Q137" s="53"/>
      <c r="R137" s="53">
        <f t="shared" si="45"/>
        <v>0.05</v>
      </c>
      <c r="S137" s="53">
        <f t="shared" si="46"/>
        <v>4.2653187775606449E-3</v>
      </c>
      <c r="T137" s="53">
        <f t="shared" si="47"/>
        <v>0.05</v>
      </c>
      <c r="U137" s="53">
        <f t="shared" si="50"/>
        <v>4.2653187775606449E-3</v>
      </c>
      <c r="V137" s="53"/>
      <c r="W137" s="63">
        <f t="shared" si="48"/>
        <v>435.67391393647358</v>
      </c>
      <c r="X137" s="64">
        <f t="shared" si="49"/>
        <v>8.5306375551212914E-4</v>
      </c>
      <c r="Z137" s="63"/>
    </row>
    <row r="138" spans="1:26" x14ac:dyDescent="0.2">
      <c r="A138" s="62">
        <f t="shared" si="40"/>
        <v>0.69391824622309395</v>
      </c>
      <c r="B138" s="45">
        <f t="shared" si="41"/>
        <v>127</v>
      </c>
      <c r="C138" s="49">
        <f t="shared" si="54"/>
        <v>6066129.6335465368</v>
      </c>
      <c r="D138" s="47" cm="1">
        <f t="array" ref="D138">_xlfn.IFS(AND($C$7="Y",B138&lt;C$4),C138,AND($C$7="Y",B138=C$4),D137+F138-J138-K138-L138+N138,AND($C$7="Y",B138&gt;$C$4),D137-J138-K138-L138+N138, TRUE, D137-J138-K138-L138+N138)</f>
        <v>6003473.0839399165</v>
      </c>
      <c r="E138" s="48">
        <f t="shared" si="42"/>
        <v>0</v>
      </c>
      <c r="F138" s="50">
        <f t="shared" si="43"/>
        <v>0</v>
      </c>
      <c r="G138" s="50">
        <f t="shared" si="51"/>
        <v>0</v>
      </c>
      <c r="H138" s="51">
        <f t="shared" si="55"/>
        <v>138676.89544188709</v>
      </c>
      <c r="I138" s="52">
        <f t="shared" si="44"/>
        <v>100670.92761522422</v>
      </c>
      <c r="J138" s="52">
        <f t="shared" si="56"/>
        <v>38005.967826662862</v>
      </c>
      <c r="K138" s="51">
        <f t="shared" si="58"/>
        <v>25711.869064852686</v>
      </c>
      <c r="L138" s="49">
        <f t="shared" si="59"/>
        <v>25873.976633083119</v>
      </c>
      <c r="M138" s="49">
        <f t="shared" si="60"/>
        <v>-26935.263917977849</v>
      </c>
      <c r="N138" s="49">
        <f t="shared" si="52"/>
        <v>26935.263917977849</v>
      </c>
      <c r="O138" s="48">
        <f t="shared" si="53"/>
        <v>165450.05179163453</v>
      </c>
      <c r="P138" s="38">
        <f t="shared" si="57"/>
        <v>165450.05179163453</v>
      </c>
      <c r="Q138" s="53"/>
      <c r="R138" s="53">
        <f t="shared" si="45"/>
        <v>0.05</v>
      </c>
      <c r="S138" s="53">
        <f t="shared" si="46"/>
        <v>4.2653187775606449E-3</v>
      </c>
      <c r="T138" s="53">
        <f t="shared" si="47"/>
        <v>0.05</v>
      </c>
      <c r="U138" s="53">
        <f t="shared" si="50"/>
        <v>4.2653187775606449E-3</v>
      </c>
      <c r="V138" s="53"/>
      <c r="W138" s="63">
        <f t="shared" si="48"/>
        <v>431.23294388471868</v>
      </c>
      <c r="X138" s="64">
        <f t="shared" si="49"/>
        <v>8.5306375551212914E-4</v>
      </c>
      <c r="Z138" s="63"/>
    </row>
    <row r="139" spans="1:26" x14ac:dyDescent="0.2">
      <c r="A139" s="62">
        <f t="shared" si="40"/>
        <v>0.68665398859839799</v>
      </c>
      <c r="B139" s="45">
        <f t="shared" si="41"/>
        <v>128</v>
      </c>
      <c r="C139" s="49">
        <f t="shared" si="54"/>
        <v>6003473.0839399165</v>
      </c>
      <c r="D139" s="47" cm="1">
        <f t="array" ref="D139">_xlfn.IFS(AND($C$7="Y",B139&lt;C$4),C139,AND($C$7="Y",B139=C$4),D138+F139-J139-K139-L139+N139,AND($C$7="Y",B139&gt;$C$4),D138-J139-K139-L139+N139, TRUE, D138-J139-K139-L139+N139)</f>
        <v>5940625.9468858968</v>
      </c>
      <c r="E139" s="48">
        <f t="shared" si="42"/>
        <v>0</v>
      </c>
      <c r="F139" s="50">
        <f t="shared" si="43"/>
        <v>0</v>
      </c>
      <c r="G139" s="50">
        <f t="shared" si="51"/>
        <v>0</v>
      </c>
      <c r="H139" s="51">
        <f t="shared" si="55"/>
        <v>138099.92994079794</v>
      </c>
      <c r="I139" s="52">
        <f t="shared" si="44"/>
        <v>99631.105957740117</v>
      </c>
      <c r="J139" s="52">
        <f t="shared" si="56"/>
        <v>38468.823983057824</v>
      </c>
      <c r="K139" s="51">
        <f t="shared" si="58"/>
        <v>25442.644678223231</v>
      </c>
      <c r="L139" s="49">
        <f t="shared" si="59"/>
        <v>25606.72647550884</v>
      </c>
      <c r="M139" s="49">
        <f t="shared" si="60"/>
        <v>-26671.058082769679</v>
      </c>
      <c r="N139" s="49">
        <f t="shared" si="52"/>
        <v>26671.058082769679</v>
      </c>
      <c r="O139" s="48">
        <f t="shared" si="53"/>
        <v>164606.90622628201</v>
      </c>
      <c r="P139" s="38">
        <f t="shared" si="57"/>
        <v>164606.90622628201</v>
      </c>
      <c r="Q139" s="53"/>
      <c r="R139" s="53">
        <f t="shared" si="45"/>
        <v>0.05</v>
      </c>
      <c r="S139" s="53">
        <f t="shared" si="46"/>
        <v>4.2653187775606449E-3</v>
      </c>
      <c r="T139" s="53">
        <f t="shared" si="47"/>
        <v>0.05</v>
      </c>
      <c r="U139" s="53">
        <f t="shared" si="50"/>
        <v>4.2653187775606449E-3</v>
      </c>
      <c r="V139" s="53"/>
      <c r="W139" s="63">
        <f t="shared" si="48"/>
        <v>426.778774591814</v>
      </c>
      <c r="X139" s="64">
        <f t="shared" si="49"/>
        <v>8.5306375551212903E-4</v>
      </c>
      <c r="Z139" s="63"/>
    </row>
    <row r="140" spans="1:26" x14ac:dyDescent="0.2">
      <c r="A140" s="62">
        <f t="shared" ref="A140:A203" si="61">D140/C$1</f>
        <v>0.67936712733993088</v>
      </c>
      <c r="B140" s="45">
        <f t="shared" si="41"/>
        <v>129</v>
      </c>
      <c r="C140" s="49">
        <f t="shared" si="54"/>
        <v>5940625.9468858968</v>
      </c>
      <c r="D140" s="47" cm="1">
        <f t="array" ref="D140">_xlfn.IFS(AND($C$7="Y",B140&lt;C$4),C140,AND($C$7="Y",B140=C$4),D139+F140-J140-K140-L140+N140,AND($C$7="Y",B140&gt;$C$4),D139-J140-K140-L140+N140, TRUE, D139-J140-K140-L140+N140)</f>
        <v>5877583.2532116519</v>
      </c>
      <c r="E140" s="48">
        <f t="shared" si="42"/>
        <v>0</v>
      </c>
      <c r="F140" s="50">
        <f t="shared" si="43"/>
        <v>0</v>
      </c>
      <c r="G140" s="50">
        <f t="shared" si="51"/>
        <v>0</v>
      </c>
      <c r="H140" s="51">
        <f t="shared" si="55"/>
        <v>137525.6912271484</v>
      </c>
      <c r="I140" s="52">
        <f t="shared" si="44"/>
        <v>98588.121391403009</v>
      </c>
      <c r="J140" s="52">
        <f t="shared" si="56"/>
        <v>38937.569835745395</v>
      </c>
      <c r="K140" s="51">
        <f t="shared" si="58"/>
        <v>25172.582253943416</v>
      </c>
      <c r="L140" s="49">
        <f t="shared" si="59"/>
        <v>25338.663401716403</v>
      </c>
      <c r="M140" s="49">
        <f t="shared" si="60"/>
        <v>-26406.121817160471</v>
      </c>
      <c r="N140" s="49">
        <f t="shared" si="52"/>
        <v>26406.121817160471</v>
      </c>
      <c r="O140" s="48">
        <f t="shared" si="53"/>
        <v>163765.7318965359</v>
      </c>
      <c r="P140" s="38">
        <f t="shared" si="57"/>
        <v>163765.7318965359</v>
      </c>
      <c r="Q140" s="53"/>
      <c r="R140" s="53">
        <f t="shared" si="45"/>
        <v>0.05</v>
      </c>
      <c r="S140" s="53">
        <f t="shared" si="46"/>
        <v>4.2653187775606449E-3</v>
      </c>
      <c r="T140" s="53">
        <f t="shared" si="47"/>
        <v>0.05</v>
      </c>
      <c r="U140" s="53">
        <f t="shared" si="50"/>
        <v>4.2653187775606449E-3</v>
      </c>
      <c r="V140" s="53"/>
      <c r="W140" s="63">
        <f t="shared" si="48"/>
        <v>422.31105669527341</v>
      </c>
      <c r="X140" s="64">
        <f t="shared" si="49"/>
        <v>8.5306375551212903E-4</v>
      </c>
      <c r="Z140" s="63"/>
    </row>
    <row r="141" spans="1:26" x14ac:dyDescent="0.2">
      <c r="A141" s="62">
        <f t="shared" si="61"/>
        <v>0.67205708164688438</v>
      </c>
      <c r="B141" s="45">
        <f t="shared" ref="B141:B204" si="62">B140+1</f>
        <v>130</v>
      </c>
      <c r="C141" s="49">
        <f t="shared" si="54"/>
        <v>5877583.2532116519</v>
      </c>
      <c r="D141" s="47" cm="1">
        <f t="array" ref="D141">_xlfn.IFS(AND($C$7="Y",B141&lt;C$4),C141,AND($C$7="Y",B141=C$4),D140+F141-J141-K141-L141+N141,AND($C$7="Y",B141&gt;$C$4),D140-J141-K141-L141+N141, TRUE, D140-J141-K141-L141+N141)</f>
        <v>5814339.978086031</v>
      </c>
      <c r="E141" s="48">
        <f t="shared" ref="E141:E204" si="63">IF(AND($C$7="Y",B141&lt;=$C$4),D140*C$2/12-G141,0)</f>
        <v>0</v>
      </c>
      <c r="F141" s="50">
        <f t="shared" ref="F141:F204" si="64">IF(AND($C$7="Y",B141&lt;=C$4),E141+F140,0)</f>
        <v>0</v>
      </c>
      <c r="G141" s="50">
        <f t="shared" si="51"/>
        <v>0</v>
      </c>
      <c r="H141" s="51">
        <f t="shared" si="55"/>
        <v>136954.1749313277</v>
      </c>
      <c r="I141" s="52">
        <f t="shared" ref="I141:I204" si="65">IF(AND(C$7="Y",$B141&lt;=C$4),0,IF(AND(C$7="Y",$B141&gt;C$4),(1-U141)*C$2*D140/12,IF(AND($C$7="N",C$4&gt;0),(1-U141)*D140*C$2/12, (1-U141)*D140*C$2/12)))</f>
        <v>97541.89144991753</v>
      </c>
      <c r="J141" s="52">
        <f t="shared" si="56"/>
        <v>39412.283481410166</v>
      </c>
      <c r="K141" s="51">
        <f t="shared" si="58"/>
        <v>24901.66026379984</v>
      </c>
      <c r="L141" s="49">
        <f t="shared" si="59"/>
        <v>25069.766216599641</v>
      </c>
      <c r="M141" s="49">
        <f t="shared" si="60"/>
        <v>-26140.434836188411</v>
      </c>
      <c r="N141" s="49">
        <f t="shared" si="52"/>
        <v>26140.434836188411</v>
      </c>
      <c r="O141" s="48">
        <f t="shared" si="53"/>
        <v>162926.5038147163</v>
      </c>
      <c r="P141" s="38">
        <f t="shared" si="57"/>
        <v>162926.5038147163</v>
      </c>
      <c r="Q141" s="53"/>
      <c r="R141" s="53">
        <f t="shared" ref="R141:R204" si="66">R$9</f>
        <v>0.05</v>
      </c>
      <c r="S141" s="53">
        <f t="shared" ref="S141:S204" si="67">1-(1-R141)^(1/12)</f>
        <v>4.2653187775606449E-3</v>
      </c>
      <c r="T141" s="53">
        <f t="shared" ref="T141:T204" si="68">T$9</f>
        <v>0.05</v>
      </c>
      <c r="U141" s="53">
        <f t="shared" si="50"/>
        <v>4.2653187775606449E-3</v>
      </c>
      <c r="V141" s="53"/>
      <c r="W141" s="63">
        <f t="shared" ref="W141:W204" si="69">D140*U141*C$2/12</f>
        <v>417.82943694332738</v>
      </c>
      <c r="X141" s="64">
        <f t="shared" ref="X141:X204" si="70">12*W141/D140</f>
        <v>8.5306375551212903E-4</v>
      </c>
      <c r="Z141" s="63"/>
    </row>
    <row r="142" spans="1:26" x14ac:dyDescent="0.2">
      <c r="A142" s="62">
        <f t="shared" si="61"/>
        <v>0.66472326417270344</v>
      </c>
      <c r="B142" s="45">
        <f t="shared" si="62"/>
        <v>131</v>
      </c>
      <c r="C142" s="49">
        <f t="shared" si="54"/>
        <v>5814339.978086031</v>
      </c>
      <c r="D142" s="47" cm="1">
        <f t="array" ref="D142">_xlfn.IFS(AND($C$7="Y",B142&lt;C$4),C142,AND($C$7="Y",B142=C$4),D141+F142-J142-K142-L142+N142,AND($C$7="Y",B142&gt;$C$4),D141-J142-K142-L142+N142, TRUE, D141-J142-K142-L142+N142)</f>
        <v>5750891.0400469834</v>
      </c>
      <c r="E142" s="48">
        <f t="shared" si="63"/>
        <v>0</v>
      </c>
      <c r="F142" s="50">
        <f t="shared" si="64"/>
        <v>0</v>
      </c>
      <c r="G142" s="50">
        <f t="shared" si="51"/>
        <v>0</v>
      </c>
      <c r="H142" s="51">
        <f t="shared" si="55"/>
        <v>136385.37699085611</v>
      </c>
      <c r="I142" s="52">
        <f t="shared" si="65"/>
        <v>96492.33274330631</v>
      </c>
      <c r="J142" s="52">
        <f t="shared" si="56"/>
        <v>39893.044247549798</v>
      </c>
      <c r="K142" s="51">
        <f t="shared" si="58"/>
        <v>24629.856936928765</v>
      </c>
      <c r="L142" s="49">
        <f t="shared" si="59"/>
        <v>24800.013487651897</v>
      </c>
      <c r="M142" s="49">
        <f t="shared" si="60"/>
        <v>-25873.976633083119</v>
      </c>
      <c r="N142" s="49">
        <f t="shared" si="52"/>
        <v>25873.976633083119</v>
      </c>
      <c r="O142" s="48">
        <f t="shared" si="53"/>
        <v>162089.19707321614</v>
      </c>
      <c r="P142" s="38">
        <f t="shared" si="57"/>
        <v>162089.19707321614</v>
      </c>
      <c r="Q142" s="53"/>
      <c r="R142" s="53">
        <f t="shared" si="66"/>
        <v>0.05</v>
      </c>
      <c r="S142" s="53">
        <f t="shared" si="67"/>
        <v>4.2653187775606449E-3</v>
      </c>
      <c r="T142" s="53">
        <f t="shared" si="68"/>
        <v>0.05</v>
      </c>
      <c r="U142" s="53">
        <f t="shared" ref="U142:U205" si="71">1-(1-T142)^(1/12)</f>
        <v>4.2653187775606449E-3</v>
      </c>
      <c r="V142" s="53"/>
      <c r="W142" s="63">
        <f t="shared" si="69"/>
        <v>413.33355812753166</v>
      </c>
      <c r="X142" s="64">
        <f t="shared" si="70"/>
        <v>8.5306375551212903E-4</v>
      </c>
      <c r="Z142" s="63"/>
    </row>
    <row r="143" spans="1:26" x14ac:dyDescent="0.2">
      <c r="A143" s="62">
        <f t="shared" si="61"/>
        <v>0.65736508090969048</v>
      </c>
      <c r="B143" s="45">
        <f t="shared" si="62"/>
        <v>132</v>
      </c>
      <c r="C143" s="49">
        <f t="shared" si="54"/>
        <v>5750891.0400469834</v>
      </c>
      <c r="D143" s="47" cm="1">
        <f t="array" ref="D143">_xlfn.IFS(AND($C$7="Y",B143&lt;C$4),C143,AND($C$7="Y",B143=C$4),D142+F143-J143-K143-L143+N143,AND($C$7="Y",B143&gt;$C$4),D142-J143-K143-L143+N143, TRUE, D142-J143-K143-L143+N143)</f>
        <v>5687231.3000032073</v>
      </c>
      <c r="E143" s="48">
        <f t="shared" si="63"/>
        <v>0</v>
      </c>
      <c r="F143" s="50">
        <f t="shared" si="64"/>
        <v>0</v>
      </c>
      <c r="G143" s="50">
        <f t="shared" ref="G143:G206" si="72">IF($B143&lt;=$C$4,C$6,0)</f>
        <v>0</v>
      </c>
      <c r="H143" s="51">
        <f t="shared" si="55"/>
        <v>135819.29366469936</v>
      </c>
      <c r="I143" s="52">
        <f t="shared" si="65"/>
        <v>95439.360941769424</v>
      </c>
      <c r="J143" s="52">
        <f t="shared" si="56"/>
        <v>40379.932722929938</v>
      </c>
      <c r="K143" s="51">
        <f t="shared" si="58"/>
        <v>24357.150255537916</v>
      </c>
      <c r="L143" s="49">
        <f t="shared" si="59"/>
        <v>24529.383540817664</v>
      </c>
      <c r="M143" s="49">
        <f t="shared" si="60"/>
        <v>-25606.72647550884</v>
      </c>
      <c r="N143" s="49">
        <f t="shared" si="52"/>
        <v>25606.72647550884</v>
      </c>
      <c r="O143" s="48">
        <f t="shared" si="53"/>
        <v>161253.78685492848</v>
      </c>
      <c r="P143" s="38">
        <f t="shared" si="57"/>
        <v>161253.78685492848</v>
      </c>
      <c r="Q143" s="53"/>
      <c r="R143" s="53">
        <f t="shared" si="66"/>
        <v>0.05</v>
      </c>
      <c r="S143" s="53">
        <f t="shared" si="67"/>
        <v>4.2653187775606449E-3</v>
      </c>
      <c r="T143" s="53">
        <f t="shared" si="68"/>
        <v>0.05</v>
      </c>
      <c r="U143" s="53">
        <f t="shared" si="71"/>
        <v>4.2653187775606449E-3</v>
      </c>
      <c r="V143" s="53"/>
      <c r="W143" s="63">
        <f t="shared" si="69"/>
        <v>408.82305901362776</v>
      </c>
      <c r="X143" s="64">
        <f t="shared" si="70"/>
        <v>8.5306375551212903E-4</v>
      </c>
      <c r="Z143" s="63"/>
    </row>
    <row r="144" spans="1:26" x14ac:dyDescent="0.2">
      <c r="A144" s="62">
        <f t="shared" si="61"/>
        <v>0.64998193107047775</v>
      </c>
      <c r="B144" s="45">
        <f t="shared" si="62"/>
        <v>133</v>
      </c>
      <c r="C144" s="49">
        <f t="shared" si="54"/>
        <v>5687231.3000032073</v>
      </c>
      <c r="D144" s="47" cm="1">
        <f t="array" ref="D144">_xlfn.IFS(AND($C$7="Y",B144&lt;C$4),C144,AND($C$7="Y",B144=C$4),D143+F144-J144-K144-L144+N144,AND($C$7="Y",B144&gt;$C$4),D143-J144-K144-L144+N144, TRUE, D143-J144-K144-L144+N144)</f>
        <v>5623355.5602086969</v>
      </c>
      <c r="E144" s="48">
        <f t="shared" si="63"/>
        <v>0</v>
      </c>
      <c r="F144" s="50">
        <f t="shared" si="64"/>
        <v>0</v>
      </c>
      <c r="G144" s="50">
        <f t="shared" si="72"/>
        <v>0</v>
      </c>
      <c r="H144" s="51">
        <f t="shared" si="55"/>
        <v>135255.921548596</v>
      </c>
      <c r="I144" s="52">
        <f t="shared" si="65"/>
        <v>94382.890759116213</v>
      </c>
      <c r="J144" s="52">
        <f t="shared" si="56"/>
        <v>40873.030789479788</v>
      </c>
      <c r="K144" s="51">
        <f t="shared" si="58"/>
        <v>24083.517950512134</v>
      </c>
      <c r="L144" s="49">
        <f t="shared" si="59"/>
        <v>24257.854456234316</v>
      </c>
      <c r="M144" s="49">
        <f t="shared" si="60"/>
        <v>-25338.663401716403</v>
      </c>
      <c r="N144" s="49">
        <f t="shared" si="52"/>
        <v>25338.663401716403</v>
      </c>
      <c r="O144" s="48">
        <f t="shared" si="53"/>
        <v>160420.24844459019</v>
      </c>
      <c r="P144" s="38">
        <f t="shared" si="57"/>
        <v>160420.24844459019</v>
      </c>
      <c r="Q144" s="53"/>
      <c r="R144" s="53">
        <f t="shared" si="66"/>
        <v>0.05</v>
      </c>
      <c r="S144" s="53">
        <f t="shared" si="67"/>
        <v>4.2653187775606449E-3</v>
      </c>
      <c r="T144" s="53">
        <f t="shared" si="68"/>
        <v>0.05</v>
      </c>
      <c r="U144" s="53">
        <f t="shared" si="71"/>
        <v>4.2653187775606449E-3</v>
      </c>
      <c r="V144" s="53"/>
      <c r="W144" s="63">
        <f t="shared" si="69"/>
        <v>404.29757427057194</v>
      </c>
      <c r="X144" s="64">
        <f t="shared" si="70"/>
        <v>8.5306375551212903E-4</v>
      </c>
      <c r="Z144" s="63"/>
    </row>
    <row r="145" spans="1:26" x14ac:dyDescent="0.2">
      <c r="A145" s="62">
        <f t="shared" si="61"/>
        <v>0.64257320696620612</v>
      </c>
      <c r="B145" s="45">
        <f t="shared" si="62"/>
        <v>134</v>
      </c>
      <c r="C145" s="49">
        <f t="shared" si="54"/>
        <v>5623355.5602086969</v>
      </c>
      <c r="D145" s="47" cm="1">
        <f t="array" ref="D145">_xlfn.IFS(AND($C$7="Y",B145&lt;C$4),C145,AND($C$7="Y",B145=C$4),D144+F145-J145-K145-L145+N145,AND($C$7="Y",B145&gt;$C$4),D144-J145-K145-L145+N145, TRUE, D144-J145-K145-L145+N145)</f>
        <v>5559258.5632088063</v>
      </c>
      <c r="E145" s="48">
        <f t="shared" si="63"/>
        <v>0</v>
      </c>
      <c r="F145" s="50">
        <f t="shared" si="64"/>
        <v>0</v>
      </c>
      <c r="G145" s="50">
        <f t="shared" si="72"/>
        <v>0</v>
      </c>
      <c r="H145" s="51">
        <f t="shared" si="55"/>
        <v>134695.25759148225</v>
      </c>
      <c r="I145" s="52">
        <f t="shared" si="65"/>
        <v>93322.835935747309</v>
      </c>
      <c r="J145" s="52">
        <f t="shared" si="56"/>
        <v>41372.421655734943</v>
      </c>
      <c r="K145" s="51">
        <f t="shared" si="58"/>
        <v>23808.937496896851</v>
      </c>
      <c r="L145" s="49">
        <f t="shared" si="59"/>
        <v>23985.404063858216</v>
      </c>
      <c r="M145" s="49">
        <f t="shared" si="60"/>
        <v>-25069.766216599641</v>
      </c>
      <c r="N145" s="49">
        <f t="shared" si="52"/>
        <v>25069.766216599641</v>
      </c>
      <c r="O145" s="48">
        <f t="shared" si="53"/>
        <v>159588.55724112052</v>
      </c>
      <c r="P145" s="38">
        <f t="shared" si="57"/>
        <v>159588.55724112052</v>
      </c>
      <c r="Q145" s="53"/>
      <c r="R145" s="53">
        <f t="shared" si="66"/>
        <v>0.05</v>
      </c>
      <c r="S145" s="53">
        <f t="shared" si="67"/>
        <v>4.2653187775606449E-3</v>
      </c>
      <c r="T145" s="53">
        <f t="shared" si="68"/>
        <v>0.05</v>
      </c>
      <c r="U145" s="53">
        <f t="shared" si="71"/>
        <v>4.2653187775606449E-3</v>
      </c>
      <c r="V145" s="53"/>
      <c r="W145" s="63">
        <f t="shared" si="69"/>
        <v>399.75673439763699</v>
      </c>
      <c r="X145" s="64">
        <f t="shared" si="70"/>
        <v>8.5306375551212914E-4</v>
      </c>
      <c r="Z145" s="63"/>
    </row>
    <row r="146" spans="1:26" x14ac:dyDescent="0.2">
      <c r="A146" s="62">
        <f t="shared" si="61"/>
        <v>0.63513829388123555</v>
      </c>
      <c r="B146" s="45">
        <f t="shared" si="62"/>
        <v>135</v>
      </c>
      <c r="C146" s="49">
        <f t="shared" si="54"/>
        <v>5559258.5632088063</v>
      </c>
      <c r="D146" s="47" cm="1">
        <f t="array" ref="D146">_xlfn.IFS(AND($C$7="Y",B146&lt;C$4),C146,AND($C$7="Y",B146=C$4),D145+F146-J146-K146-L146+N146,AND($C$7="Y",B146&gt;$C$4),D145-J146-K146-L146+N146, TRUE, D145-J146-K146-L146+N146)</f>
        <v>5494934.990756291</v>
      </c>
      <c r="E146" s="48">
        <f t="shared" si="63"/>
        <v>0</v>
      </c>
      <c r="F146" s="50">
        <f t="shared" si="64"/>
        <v>0</v>
      </c>
      <c r="G146" s="50">
        <f t="shared" si="72"/>
        <v>0</v>
      </c>
      <c r="H146" s="51">
        <f t="shared" si="55"/>
        <v>134137.29911310889</v>
      </c>
      <c r="I146" s="52">
        <f t="shared" si="65"/>
        <v>92259.109221163948</v>
      </c>
      <c r="J146" s="52">
        <f t="shared" si="56"/>
        <v>41878.189891944945</v>
      </c>
      <c r="K146" s="51">
        <f t="shared" si="58"/>
        <v>23533.38610925297</v>
      </c>
      <c r="L146" s="49">
        <f t="shared" si="59"/>
        <v>23712.009938969331</v>
      </c>
      <c r="M146" s="49">
        <f t="shared" si="60"/>
        <v>-24800.013487651897</v>
      </c>
      <c r="N146" s="49">
        <f t="shared" si="52"/>
        <v>24800.013487651897</v>
      </c>
      <c r="O146" s="48">
        <f t="shared" si="53"/>
        <v>158758.68877104443</v>
      </c>
      <c r="P146" s="38">
        <f t="shared" si="57"/>
        <v>158758.68877104443</v>
      </c>
      <c r="Q146" s="53"/>
      <c r="R146" s="53">
        <f t="shared" si="66"/>
        <v>0.05</v>
      </c>
      <c r="S146" s="53">
        <f t="shared" si="67"/>
        <v>4.2653187775606449E-3</v>
      </c>
      <c r="T146" s="53">
        <f t="shared" si="68"/>
        <v>0.05</v>
      </c>
      <c r="U146" s="53">
        <f t="shared" si="71"/>
        <v>4.2653187775606449E-3</v>
      </c>
      <c r="V146" s="53"/>
      <c r="W146" s="63">
        <f t="shared" si="69"/>
        <v>395.20016564948884</v>
      </c>
      <c r="X146" s="64">
        <f t="shared" si="70"/>
        <v>8.5306375551212892E-4</v>
      </c>
      <c r="Z146" s="63"/>
    </row>
    <row r="147" spans="1:26" x14ac:dyDescent="0.2">
      <c r="A147" s="62">
        <f t="shared" si="61"/>
        <v>0.62767656994419652</v>
      </c>
      <c r="B147" s="45">
        <f t="shared" si="62"/>
        <v>136</v>
      </c>
      <c r="C147" s="49">
        <f t="shared" si="54"/>
        <v>5494934.990756291</v>
      </c>
      <c r="D147" s="47" cm="1">
        <f t="array" ref="D147">_xlfn.IFS(AND($C$7="Y",B147&lt;C$4),C147,AND($C$7="Y",B147=C$4),D146+F147-J147-K147-L147+N147,AND($C$7="Y",B147&gt;$C$4),D146-J147-K147-L147+N147, TRUE, D146-J147-K147-L147+N147)</f>
        <v>5430379.4626957094</v>
      </c>
      <c r="E147" s="48">
        <f t="shared" si="63"/>
        <v>0</v>
      </c>
      <c r="F147" s="50">
        <f t="shared" si="64"/>
        <v>0</v>
      </c>
      <c r="G147" s="50">
        <f t="shared" si="72"/>
        <v>0</v>
      </c>
      <c r="H147" s="51">
        <f t="shared" si="55"/>
        <v>133582.0438229538</v>
      </c>
      <c r="I147" s="52">
        <f t="shared" si="65"/>
        <v>91191.622355979052</v>
      </c>
      <c r="J147" s="52">
        <f t="shared" si="56"/>
        <v>42390.421466974745</v>
      </c>
      <c r="K147" s="51">
        <f t="shared" si="58"/>
        <v>23256.840736876042</v>
      </c>
      <c r="L147" s="49">
        <f t="shared" si="59"/>
        <v>23437.649397547837</v>
      </c>
      <c r="M147" s="49">
        <f t="shared" si="60"/>
        <v>-24529.383540817664</v>
      </c>
      <c r="N147" s="49">
        <f t="shared" si="52"/>
        <v>24529.383540817664</v>
      </c>
      <c r="O147" s="48">
        <f t="shared" si="53"/>
        <v>157930.61870309967</v>
      </c>
      <c r="P147" s="38">
        <f t="shared" si="57"/>
        <v>157930.61870309967</v>
      </c>
      <c r="Q147" s="53"/>
      <c r="R147" s="53">
        <f t="shared" si="66"/>
        <v>0.05</v>
      </c>
      <c r="S147" s="53">
        <f t="shared" si="67"/>
        <v>4.2653187775606449E-3</v>
      </c>
      <c r="T147" s="53">
        <f t="shared" si="68"/>
        <v>0.05</v>
      </c>
      <c r="U147" s="53">
        <f t="shared" si="71"/>
        <v>4.2653187775606449E-3</v>
      </c>
      <c r="V147" s="53"/>
      <c r="W147" s="63">
        <f t="shared" si="69"/>
        <v>390.62748995913063</v>
      </c>
      <c r="X147" s="64">
        <f t="shared" si="70"/>
        <v>8.5306375551212903E-4</v>
      </c>
      <c r="Z147" s="63"/>
    </row>
    <row r="148" spans="1:26" x14ac:dyDescent="0.2">
      <c r="A148" s="62">
        <f t="shared" si="61"/>
        <v>0.62018740599518096</v>
      </c>
      <c r="B148" s="45">
        <f t="shared" si="62"/>
        <v>137</v>
      </c>
      <c r="C148" s="49">
        <f t="shared" si="54"/>
        <v>5430379.4626957094</v>
      </c>
      <c r="D148" s="47" cm="1">
        <f t="array" ref="D148">_xlfn.IFS(AND($C$7="Y",B148&lt;C$4),C148,AND($C$7="Y",B148=C$4),D147+F148-J148-K148-L148+N148,AND($C$7="Y",B148&gt;$C$4),D147-J148-K148-L148+N148, TRUE, D147-J148-K148-L148+N148)</f>
        <v>5365586.5358144166</v>
      </c>
      <c r="E148" s="48">
        <f t="shared" si="63"/>
        <v>0</v>
      </c>
      <c r="F148" s="50">
        <f t="shared" si="64"/>
        <v>0</v>
      </c>
      <c r="G148" s="50">
        <f t="shared" si="72"/>
        <v>0</v>
      </c>
      <c r="H148" s="51">
        <f t="shared" si="55"/>
        <v>133029.48984054272</v>
      </c>
      <c r="I148" s="52">
        <f t="shared" si="65"/>
        <v>90120.286053403222</v>
      </c>
      <c r="J148" s="52">
        <f t="shared" si="56"/>
        <v>42909.2037871395</v>
      </c>
      <c r="K148" s="51">
        <f t="shared" si="58"/>
        <v>22979.278058872231</v>
      </c>
      <c r="L148" s="49">
        <f t="shared" si="59"/>
        <v>23162.299491515696</v>
      </c>
      <c r="M148" s="49">
        <f t="shared" si="60"/>
        <v>-24257.854456234316</v>
      </c>
      <c r="N148" s="49">
        <f t="shared" si="52"/>
        <v>24257.854456234316</v>
      </c>
      <c r="O148" s="48">
        <f t="shared" si="53"/>
        <v>157104.32286413357</v>
      </c>
      <c r="P148" s="38">
        <f t="shared" si="57"/>
        <v>157104.32286413357</v>
      </c>
      <c r="Q148" s="53"/>
      <c r="R148" s="53">
        <f t="shared" si="66"/>
        <v>0.05</v>
      </c>
      <c r="S148" s="53">
        <f t="shared" si="67"/>
        <v>4.2653187775606449E-3</v>
      </c>
      <c r="T148" s="53">
        <f t="shared" si="68"/>
        <v>0.05</v>
      </c>
      <c r="U148" s="53">
        <f t="shared" si="71"/>
        <v>4.2653187775606449E-3</v>
      </c>
      <c r="V148" s="53"/>
      <c r="W148" s="63">
        <f t="shared" si="69"/>
        <v>386.03832485859493</v>
      </c>
      <c r="X148" s="64">
        <f t="shared" si="70"/>
        <v>8.5306375551212903E-4</v>
      </c>
      <c r="Z148" s="63"/>
    </row>
    <row r="149" spans="1:26" x14ac:dyDescent="0.2">
      <c r="A149" s="62">
        <f t="shared" si="61"/>
        <v>0.61267016544884967</v>
      </c>
      <c r="B149" s="45">
        <f t="shared" si="62"/>
        <v>138</v>
      </c>
      <c r="C149" s="49">
        <f t="shared" si="54"/>
        <v>5365586.5358144166</v>
      </c>
      <c r="D149" s="47" cm="1">
        <f t="array" ref="D149">_xlfn.IFS(AND($C$7="Y",B149&lt;C$4),C149,AND($C$7="Y",B149=C$4),D148+F149-J149-K149-L149+N149,AND($C$7="Y",B149&gt;$C$4),D148-J149-K149-L149+N149, TRUE, D148-J149-K149-L149+N149)</f>
        <v>5300550.7026582258</v>
      </c>
      <c r="E149" s="48">
        <f t="shared" si="63"/>
        <v>0</v>
      </c>
      <c r="F149" s="50">
        <f t="shared" si="64"/>
        <v>0</v>
      </c>
      <c r="G149" s="50">
        <f t="shared" si="72"/>
        <v>0</v>
      </c>
      <c r="H149" s="51">
        <f t="shared" si="55"/>
        <v>132479.63571730585</v>
      </c>
      <c r="I149" s="52">
        <f t="shared" si="65"/>
        <v>89045.009980176343</v>
      </c>
      <c r="J149" s="52">
        <f t="shared" si="56"/>
        <v>43434.625737129507</v>
      </c>
      <c r="K149" s="51">
        <f t="shared" si="58"/>
        <v>22700.674479082903</v>
      </c>
      <c r="L149" s="49">
        <f t="shared" si="59"/>
        <v>22885.937003835803</v>
      </c>
      <c r="M149" s="49">
        <f t="shared" si="60"/>
        <v>-23985.404063858216</v>
      </c>
      <c r="N149" s="49">
        <f t="shared" si="52"/>
        <v>23985.404063858216</v>
      </c>
      <c r="O149" s="48">
        <f t="shared" si="53"/>
        <v>156279.77725641115</v>
      </c>
      <c r="P149" s="38">
        <f t="shared" si="57"/>
        <v>156279.77725641115</v>
      </c>
      <c r="Q149" s="53"/>
      <c r="R149" s="53">
        <f t="shared" si="66"/>
        <v>0.05</v>
      </c>
      <c r="S149" s="53">
        <f t="shared" si="67"/>
        <v>4.2653187775606449E-3</v>
      </c>
      <c r="T149" s="53">
        <f t="shared" si="68"/>
        <v>0.05</v>
      </c>
      <c r="U149" s="53">
        <f t="shared" si="71"/>
        <v>4.2653187775606449E-3</v>
      </c>
      <c r="V149" s="53"/>
      <c r="W149" s="63">
        <f t="shared" si="69"/>
        <v>381.43228339726335</v>
      </c>
      <c r="X149" s="64">
        <f t="shared" si="70"/>
        <v>8.5306375551212892E-4</v>
      </c>
      <c r="Z149" s="63"/>
    </row>
    <row r="150" spans="1:26" x14ac:dyDescent="0.2">
      <c r="A150" s="62">
        <f t="shared" si="61"/>
        <v>0.60512420415321821</v>
      </c>
      <c r="B150" s="45">
        <f t="shared" si="62"/>
        <v>139</v>
      </c>
      <c r="C150" s="49">
        <f t="shared" si="54"/>
        <v>5300550.7026582258</v>
      </c>
      <c r="D150" s="47" cm="1">
        <f t="array" ref="D150">_xlfn.IFS(AND($C$7="Y",B150&lt;C$4),C150,AND($C$7="Y",B150=C$4),D149+F150-J150-K150-L150+N150,AND($C$7="Y",B150&gt;$C$4),D149-J150-K150-L150+N150, TRUE, D149-J150-K150-L150+N150)</f>
        <v>5235266.3903096914</v>
      </c>
      <c r="E150" s="48">
        <f t="shared" si="63"/>
        <v>0</v>
      </c>
      <c r="F150" s="50">
        <f t="shared" si="64"/>
        <v>0</v>
      </c>
      <c r="G150" s="50">
        <f t="shared" si="72"/>
        <v>0</v>
      </c>
      <c r="H150" s="51">
        <f t="shared" si="55"/>
        <v>131932.48046010738</v>
      </c>
      <c r="I150" s="52">
        <f t="shared" si="65"/>
        <v>87965.702736912761</v>
      </c>
      <c r="J150" s="52">
        <f t="shared" si="56"/>
        <v>43966.777723194624</v>
      </c>
      <c r="K150" s="51">
        <f t="shared" si="58"/>
        <v>22421.006120848822</v>
      </c>
      <c r="L150" s="49">
        <f t="shared" si="59"/>
        <v>22608.538443460402</v>
      </c>
      <c r="M150" s="49">
        <f t="shared" si="60"/>
        <v>-23712.009938969331</v>
      </c>
      <c r="N150" s="49">
        <f t="shared" si="52"/>
        <v>23712.009938969331</v>
      </c>
      <c r="O150" s="48">
        <f t="shared" si="53"/>
        <v>155456.95807646515</v>
      </c>
      <c r="P150" s="38">
        <f t="shared" si="57"/>
        <v>155456.95807646515</v>
      </c>
      <c r="Q150" s="53"/>
      <c r="R150" s="53">
        <f t="shared" si="66"/>
        <v>0.05</v>
      </c>
      <c r="S150" s="53">
        <f t="shared" si="67"/>
        <v>4.2653187775606449E-3</v>
      </c>
      <c r="T150" s="53">
        <f t="shared" si="68"/>
        <v>0.05</v>
      </c>
      <c r="U150" s="53">
        <f t="shared" si="71"/>
        <v>4.2653187775606449E-3</v>
      </c>
      <c r="V150" s="53"/>
      <c r="W150" s="63">
        <f t="shared" si="69"/>
        <v>376.80897405767337</v>
      </c>
      <c r="X150" s="64">
        <f t="shared" si="70"/>
        <v>8.5306375551212903E-4</v>
      </c>
      <c r="Z150" s="63"/>
    </row>
    <row r="151" spans="1:26" x14ac:dyDescent="0.2">
      <c r="A151" s="62">
        <f t="shared" si="61"/>
        <v>0.59754887024386016</v>
      </c>
      <c r="B151" s="45">
        <f t="shared" si="62"/>
        <v>140</v>
      </c>
      <c r="C151" s="49">
        <f t="shared" si="54"/>
        <v>5235266.3903096914</v>
      </c>
      <c r="D151" s="47" cm="1">
        <f t="array" ref="D151">_xlfn.IFS(AND($C$7="Y",B151&lt;C$4),C151,AND($C$7="Y",B151=C$4),D150+F151-J151-K151-L151+N151,AND($C$7="Y",B151&gt;$C$4),D150-J151-K151-L151+N151, TRUE, D150-J151-K151-L151+N151)</f>
        <v>5169727.959126737</v>
      </c>
      <c r="E151" s="48">
        <f t="shared" si="63"/>
        <v>0</v>
      </c>
      <c r="F151" s="50">
        <f t="shared" si="64"/>
        <v>0</v>
      </c>
      <c r="G151" s="50">
        <f t="shared" si="72"/>
        <v>0</v>
      </c>
      <c r="H151" s="51">
        <f t="shared" si="55"/>
        <v>131388.02355660414</v>
      </c>
      <c r="I151" s="52">
        <f t="shared" si="65"/>
        <v>86882.271837826192</v>
      </c>
      <c r="J151" s="52">
        <f t="shared" si="56"/>
        <v>44505.751718777945</v>
      </c>
      <c r="K151" s="51">
        <f t="shared" si="58"/>
        <v>22140.248821604506</v>
      </c>
      <c r="L151" s="49">
        <f t="shared" si="59"/>
        <v>22330.080040120065</v>
      </c>
      <c r="M151" s="49">
        <f t="shared" si="60"/>
        <v>-23437.649397547837</v>
      </c>
      <c r="N151" s="49">
        <f t="shared" si="52"/>
        <v>23437.649397547837</v>
      </c>
      <c r="O151" s="48">
        <f t="shared" si="53"/>
        <v>154635.84173563641</v>
      </c>
      <c r="P151" s="38">
        <f t="shared" si="57"/>
        <v>154635.84173563641</v>
      </c>
      <c r="Q151" s="53"/>
      <c r="R151" s="53">
        <f t="shared" si="66"/>
        <v>0.05</v>
      </c>
      <c r="S151" s="53">
        <f t="shared" si="67"/>
        <v>4.2653187775606449E-3</v>
      </c>
      <c r="T151" s="53">
        <f t="shared" si="68"/>
        <v>0.05</v>
      </c>
      <c r="U151" s="53">
        <f t="shared" si="71"/>
        <v>4.2653187775606449E-3</v>
      </c>
      <c r="V151" s="53"/>
      <c r="W151" s="63">
        <f t="shared" si="69"/>
        <v>372.16800066866773</v>
      </c>
      <c r="X151" s="64">
        <f t="shared" si="70"/>
        <v>8.5306375551212903E-4</v>
      </c>
      <c r="Z151" s="63"/>
    </row>
    <row r="152" spans="1:26" x14ac:dyDescent="0.2">
      <c r="A152" s="62">
        <f t="shared" si="61"/>
        <v>0.5899435039932468</v>
      </c>
      <c r="B152" s="45">
        <f t="shared" si="62"/>
        <v>141</v>
      </c>
      <c r="C152" s="49">
        <f t="shared" si="54"/>
        <v>5169727.959126737</v>
      </c>
      <c r="D152" s="47" cm="1">
        <f t="array" ref="D152">_xlfn.IFS(AND($C$7="Y",B152&lt;C$4),C152,AND($C$7="Y",B152=C$4),D151+F152-J152-K152-L152+N152,AND($C$7="Y",B152&gt;$C$4),D151-J152-K152-L152+N152, TRUE, D151-J152-K152-L152+N152)</f>
        <v>5103929.7014392121</v>
      </c>
      <c r="E152" s="48">
        <f t="shared" si="63"/>
        <v>0</v>
      </c>
      <c r="F152" s="50">
        <f t="shared" si="64"/>
        <v>0</v>
      </c>
      <c r="G152" s="50">
        <f t="shared" si="72"/>
        <v>0</v>
      </c>
      <c r="H152" s="51">
        <f t="shared" si="55"/>
        <v>130846.26500260113</v>
      </c>
      <c r="I152" s="52">
        <f t="shared" si="65"/>
        <v>85794.623689796557</v>
      </c>
      <c r="J152" s="52">
        <f t="shared" si="56"/>
        <v>45051.641312804568</v>
      </c>
      <c r="K152" s="51">
        <f t="shared" si="58"/>
        <v>21858.378127292108</v>
      </c>
      <c r="L152" s="49">
        <f t="shared" si="59"/>
        <v>22050.537738943542</v>
      </c>
      <c r="M152" s="49">
        <f t="shared" si="60"/>
        <v>-23162.299491515696</v>
      </c>
      <c r="N152" s="49">
        <f t="shared" si="52"/>
        <v>23162.299491515696</v>
      </c>
      <c r="O152" s="48">
        <f t="shared" si="53"/>
        <v>153816.40488246537</v>
      </c>
      <c r="P152" s="38">
        <f t="shared" si="57"/>
        <v>153816.40488246537</v>
      </c>
      <c r="Q152" s="53"/>
      <c r="R152" s="53">
        <f t="shared" si="66"/>
        <v>0.05</v>
      </c>
      <c r="S152" s="53">
        <f t="shared" si="67"/>
        <v>4.2653187775606449E-3</v>
      </c>
      <c r="T152" s="53">
        <f t="shared" si="68"/>
        <v>0.05</v>
      </c>
      <c r="U152" s="53">
        <f t="shared" si="71"/>
        <v>4.2653187775606449E-3</v>
      </c>
      <c r="V152" s="53"/>
      <c r="W152" s="63">
        <f t="shared" si="69"/>
        <v>367.50896231572574</v>
      </c>
      <c r="X152" s="64">
        <f t="shared" si="70"/>
        <v>8.5306375551212914E-4</v>
      </c>
      <c r="Z152" s="63"/>
    </row>
    <row r="153" spans="1:26" x14ac:dyDescent="0.2">
      <c r="A153" s="62">
        <f t="shared" si="61"/>
        <v>0.5823074376549161</v>
      </c>
      <c r="B153" s="45">
        <f t="shared" si="62"/>
        <v>142</v>
      </c>
      <c r="C153" s="49">
        <f t="shared" si="54"/>
        <v>5103929.7014392121</v>
      </c>
      <c r="D153" s="47" cm="1">
        <f t="array" ref="D153">_xlfn.IFS(AND($C$7="Y",B153&lt;C$4),C153,AND($C$7="Y",B153=C$4),D152+F153-J153-K153-L153+N153,AND($C$7="Y",B153&gt;$C$4),D152-J153-K153-L153+N153, TRUE, D152-J153-K153-L153+N153)</f>
        <v>5037865.8402007092</v>
      </c>
      <c r="E153" s="48">
        <f t="shared" si="63"/>
        <v>0</v>
      </c>
      <c r="F153" s="50">
        <f t="shared" si="64"/>
        <v>0</v>
      </c>
      <c r="G153" s="50">
        <f t="shared" si="72"/>
        <v>0</v>
      </c>
      <c r="H153" s="51">
        <f t="shared" si="55"/>
        <v>130307.20533159615</v>
      </c>
      <c r="I153" s="52">
        <f t="shared" si="65"/>
        <v>84702.663570738558</v>
      </c>
      <c r="J153" s="52">
        <f t="shared" si="56"/>
        <v>45604.541760857595</v>
      </c>
      <c r="K153" s="51">
        <f t="shared" si="58"/>
        <v>21575.369286583533</v>
      </c>
      <c r="L153" s="49">
        <f t="shared" si="59"/>
        <v>21769.887194898169</v>
      </c>
      <c r="M153" s="49">
        <f t="shared" si="60"/>
        <v>-22885.937003835803</v>
      </c>
      <c r="N153" s="49">
        <f t="shared" si="52"/>
        <v>22885.937003835803</v>
      </c>
      <c r="O153" s="48">
        <f t="shared" si="53"/>
        <v>152998.62442711735</v>
      </c>
      <c r="P153" s="38">
        <f t="shared" si="57"/>
        <v>152998.62442711735</v>
      </c>
      <c r="Q153" s="53"/>
      <c r="R153" s="53">
        <f t="shared" si="66"/>
        <v>0.05</v>
      </c>
      <c r="S153" s="53">
        <f t="shared" si="67"/>
        <v>4.2653187775606449E-3</v>
      </c>
      <c r="T153" s="53">
        <f t="shared" si="68"/>
        <v>0.05</v>
      </c>
      <c r="U153" s="53">
        <f t="shared" si="71"/>
        <v>4.2653187775606449E-3</v>
      </c>
      <c r="V153" s="53"/>
      <c r="W153" s="63">
        <f t="shared" si="69"/>
        <v>362.83145324830281</v>
      </c>
      <c r="X153" s="64">
        <f t="shared" si="70"/>
        <v>8.5306375551212903E-4</v>
      </c>
      <c r="Z153" s="63"/>
    </row>
    <row r="154" spans="1:26" x14ac:dyDescent="0.2">
      <c r="A154" s="62">
        <f t="shared" si="61"/>
        <v>0.57463999530213461</v>
      </c>
      <c r="B154" s="45">
        <f t="shared" si="62"/>
        <v>143</v>
      </c>
      <c r="C154" s="49">
        <f t="shared" si="54"/>
        <v>5037865.8402007092</v>
      </c>
      <c r="D154" s="47" cm="1">
        <f t="array" ref="D154">_xlfn.IFS(AND($C$7="Y",B154&lt;C$4),C154,AND($C$7="Y",B154=C$4),D153+F154-J154-K154-L154+N154,AND($C$7="Y",B154&gt;$C$4),D153-J154-K154-L154+N154, TRUE, D153-J154-K154-L154+N154)</f>
        <v>4971530.5275927372</v>
      </c>
      <c r="E154" s="48">
        <f t="shared" si="63"/>
        <v>0</v>
      </c>
      <c r="F154" s="50">
        <f t="shared" si="64"/>
        <v>0</v>
      </c>
      <c r="G154" s="50">
        <f t="shared" si="72"/>
        <v>0</v>
      </c>
      <c r="H154" s="51">
        <f t="shared" si="55"/>
        <v>129770.84564672255</v>
      </c>
      <c r="I154" s="52">
        <f t="shared" si="65"/>
        <v>83606.295607227832</v>
      </c>
      <c r="J154" s="52">
        <f t="shared" si="56"/>
        <v>46164.550039494716</v>
      </c>
      <c r="K154" s="51">
        <f t="shared" si="58"/>
        <v>21291.197244898325</v>
      </c>
      <c r="L154" s="49">
        <f t="shared" si="59"/>
        <v>21488.103767039422</v>
      </c>
      <c r="M154" s="49">
        <f t="shared" si="60"/>
        <v>-22608.538443460402</v>
      </c>
      <c r="N154" s="49">
        <f t="shared" si="52"/>
        <v>22608.538443460402</v>
      </c>
      <c r="O154" s="48">
        <f t="shared" si="53"/>
        <v>152182.47756804185</v>
      </c>
      <c r="P154" s="38">
        <f t="shared" si="57"/>
        <v>152182.47756804185</v>
      </c>
      <c r="Q154" s="53"/>
      <c r="R154" s="53">
        <f t="shared" si="66"/>
        <v>0.05</v>
      </c>
      <c r="S154" s="53">
        <f t="shared" si="67"/>
        <v>4.2653187775606449E-3</v>
      </c>
      <c r="T154" s="53">
        <f t="shared" si="68"/>
        <v>0.05</v>
      </c>
      <c r="U154" s="53">
        <f t="shared" si="71"/>
        <v>4.2653187775606449E-3</v>
      </c>
      <c r="V154" s="53"/>
      <c r="W154" s="63">
        <f t="shared" si="69"/>
        <v>358.13506278399041</v>
      </c>
      <c r="X154" s="64">
        <f t="shared" si="70"/>
        <v>8.5306375551212914E-4</v>
      </c>
      <c r="Z154" s="63"/>
    </row>
    <row r="155" spans="1:26" x14ac:dyDescent="0.2">
      <c r="A155" s="62">
        <f t="shared" si="61"/>
        <v>0.56694049266068869</v>
      </c>
      <c r="B155" s="45">
        <f t="shared" si="62"/>
        <v>144</v>
      </c>
      <c r="C155" s="49">
        <f t="shared" si="54"/>
        <v>4971530.5275927372</v>
      </c>
      <c r="D155" s="47" cm="1">
        <f t="array" ref="D155">_xlfn.IFS(AND($C$7="Y",B155&lt;C$4),C155,AND($C$7="Y",B155=C$4),D154+F155-J155-K155-L155+N155,AND($C$7="Y",B155&gt;$C$4),D154-J155-K155-L155+N155, TRUE, D154-J155-K155-L155+N155)</f>
        <v>4904917.8435781077</v>
      </c>
      <c r="E155" s="48">
        <f t="shared" si="63"/>
        <v>0</v>
      </c>
      <c r="F155" s="50">
        <f t="shared" si="64"/>
        <v>0</v>
      </c>
      <c r="G155" s="50">
        <f t="shared" si="72"/>
        <v>0</v>
      </c>
      <c r="H155" s="51">
        <f t="shared" si="55"/>
        <v>129237.18765532468</v>
      </c>
      <c r="I155" s="52">
        <f t="shared" si="65"/>
        <v>82505.422751336329</v>
      </c>
      <c r="J155" s="52">
        <f t="shared" si="56"/>
        <v>46731.764903988354</v>
      </c>
      <c r="K155" s="51">
        <f t="shared" si="58"/>
        <v>21005.836638203749</v>
      </c>
      <c r="L155" s="49">
        <f t="shared" si="59"/>
        <v>21205.162512557283</v>
      </c>
      <c r="M155" s="49">
        <f t="shared" si="60"/>
        <v>-22330.080040120065</v>
      </c>
      <c r="N155" s="49">
        <f t="shared" si="52"/>
        <v>22330.080040120065</v>
      </c>
      <c r="O155" s="48">
        <f t="shared" si="53"/>
        <v>151367.9418210912</v>
      </c>
      <c r="P155" s="38">
        <f t="shared" si="57"/>
        <v>151367.9418210912</v>
      </c>
      <c r="Q155" s="53"/>
      <c r="R155" s="53">
        <f t="shared" si="66"/>
        <v>0.05</v>
      </c>
      <c r="S155" s="53">
        <f t="shared" si="67"/>
        <v>4.2653187775606449E-3</v>
      </c>
      <c r="T155" s="53">
        <f t="shared" si="68"/>
        <v>0.05</v>
      </c>
      <c r="U155" s="53">
        <f t="shared" si="71"/>
        <v>4.2653187775606449E-3</v>
      </c>
      <c r="V155" s="53"/>
      <c r="W155" s="63">
        <f t="shared" si="69"/>
        <v>353.41937520928809</v>
      </c>
      <c r="X155" s="64">
        <f t="shared" si="70"/>
        <v>8.5306375551212914E-4</v>
      </c>
      <c r="Z155" s="63"/>
    </row>
    <row r="156" spans="1:26" x14ac:dyDescent="0.2">
      <c r="A156" s="62">
        <f t="shared" si="61"/>
        <v>0.55920823693540433</v>
      </c>
      <c r="B156" s="45">
        <f t="shared" si="62"/>
        <v>145</v>
      </c>
      <c r="C156" s="49">
        <f t="shared" si="54"/>
        <v>4904917.8435781077</v>
      </c>
      <c r="D156" s="47" cm="1">
        <f t="array" ref="D156">_xlfn.IFS(AND($C$7="Y",B156&lt;C$4),C156,AND($C$7="Y",B156=C$4),D155+F156-J156-K156-L156+N156,AND($C$7="Y",B156&gt;$C$4),D155-J156-K156-L156+N156, TRUE, D155-J156-K156-L156+N156)</f>
        <v>4838021.7944000596</v>
      </c>
      <c r="E156" s="48">
        <f t="shared" si="63"/>
        <v>0</v>
      </c>
      <c r="F156" s="50">
        <f t="shared" si="64"/>
        <v>0</v>
      </c>
      <c r="G156" s="50">
        <f t="shared" si="72"/>
        <v>0</v>
      </c>
      <c r="H156" s="51">
        <f t="shared" si="55"/>
        <v>128706.23370642932</v>
      </c>
      <c r="I156" s="52">
        <f t="shared" si="65"/>
        <v>81399.946756625024</v>
      </c>
      <c r="J156" s="52">
        <f t="shared" si="56"/>
        <v>47306.2869498043</v>
      </c>
      <c r="K156" s="51">
        <f t="shared" si="58"/>
        <v>20719.261786582298</v>
      </c>
      <c r="L156" s="49">
        <f t="shared" si="59"/>
        <v>20921.03818060597</v>
      </c>
      <c r="M156" s="49">
        <f t="shared" si="60"/>
        <v>-22050.537738943542</v>
      </c>
      <c r="N156" s="49">
        <f t="shared" si="52"/>
        <v>22050.537738943542</v>
      </c>
      <c r="O156" s="48">
        <f t="shared" si="53"/>
        <v>150554.99505134916</v>
      </c>
      <c r="P156" s="38">
        <f t="shared" si="57"/>
        <v>150554.99505134916</v>
      </c>
      <c r="Q156" s="53"/>
      <c r="R156" s="53">
        <f t="shared" si="66"/>
        <v>0.05</v>
      </c>
      <c r="S156" s="53">
        <f t="shared" si="67"/>
        <v>4.2653187775606449E-3</v>
      </c>
      <c r="T156" s="53">
        <f t="shared" si="68"/>
        <v>0.05</v>
      </c>
      <c r="U156" s="53">
        <f t="shared" si="71"/>
        <v>4.2653187775606449E-3</v>
      </c>
      <c r="V156" s="53"/>
      <c r="W156" s="63">
        <f t="shared" si="69"/>
        <v>348.68396967676614</v>
      </c>
      <c r="X156" s="64">
        <f t="shared" si="70"/>
        <v>8.5306375551212903E-4</v>
      </c>
      <c r="Z156" s="63"/>
    </row>
    <row r="157" spans="1:26" x14ac:dyDescent="0.2">
      <c r="A157" s="62">
        <f t="shared" si="61"/>
        <v>0.5514425266299573</v>
      </c>
      <c r="B157" s="45">
        <f t="shared" si="62"/>
        <v>146</v>
      </c>
      <c r="C157" s="49">
        <f t="shared" si="54"/>
        <v>4838021.7944000596</v>
      </c>
      <c r="D157" s="47" cm="1">
        <f t="array" ref="D157">_xlfn.IFS(AND($C$7="Y",B157&lt;C$4),C157,AND($C$7="Y",B157=C$4),D156+F157-J157-K157-L157+N157,AND($C$7="Y",B157&gt;$C$4),D156-J157-K157-L157+N157, TRUE, D156-J157-K157-L157+N157)</f>
        <v>4770836.3110233368</v>
      </c>
      <c r="E157" s="48">
        <f t="shared" si="63"/>
        <v>0</v>
      </c>
      <c r="F157" s="50">
        <f t="shared" si="64"/>
        <v>0</v>
      </c>
      <c r="G157" s="50">
        <f t="shared" si="72"/>
        <v>0</v>
      </c>
      <c r="H157" s="51">
        <f t="shared" si="55"/>
        <v>128177.98683140409</v>
      </c>
      <c r="I157" s="52">
        <f t="shared" si="65"/>
        <v>80289.768153235957</v>
      </c>
      <c r="J157" s="52">
        <f t="shared" si="56"/>
        <v>47888.218678168138</v>
      </c>
      <c r="K157" s="51">
        <f t="shared" si="58"/>
        <v>20431.446687550299</v>
      </c>
      <c r="L157" s="49">
        <f t="shared" si="59"/>
        <v>20635.705205902221</v>
      </c>
      <c r="M157" s="49">
        <f t="shared" si="60"/>
        <v>-21769.887194898169</v>
      </c>
      <c r="N157" s="49">
        <f t="shared" si="52"/>
        <v>21769.887194898169</v>
      </c>
      <c r="O157" s="48">
        <f t="shared" si="53"/>
        <v>149743.61550795031</v>
      </c>
      <c r="P157" s="38">
        <f t="shared" si="57"/>
        <v>149743.61550795031</v>
      </c>
      <c r="Q157" s="53"/>
      <c r="R157" s="53">
        <f t="shared" si="66"/>
        <v>0.05</v>
      </c>
      <c r="S157" s="53">
        <f t="shared" si="67"/>
        <v>4.2653187775606449E-3</v>
      </c>
      <c r="T157" s="53">
        <f t="shared" si="68"/>
        <v>0.05</v>
      </c>
      <c r="U157" s="53">
        <f t="shared" si="71"/>
        <v>4.2653187775606449E-3</v>
      </c>
      <c r="V157" s="53"/>
      <c r="W157" s="63">
        <f t="shared" si="69"/>
        <v>343.9284200983704</v>
      </c>
      <c r="X157" s="64">
        <f t="shared" si="70"/>
        <v>8.5306375551212914E-4</v>
      </c>
      <c r="Z157" s="63"/>
    </row>
    <row r="158" spans="1:26" x14ac:dyDescent="0.2">
      <c r="A158" s="62">
        <f t="shared" si="61"/>
        <v>0.54364265135949552</v>
      </c>
      <c r="B158" s="45">
        <f t="shared" si="62"/>
        <v>147</v>
      </c>
      <c r="C158" s="49">
        <f t="shared" si="54"/>
        <v>4770836.3110233368</v>
      </c>
      <c r="D158" s="47" cm="1">
        <f t="array" ref="D158">_xlfn.IFS(AND($C$7="Y",B158&lt;C$4),C158,AND($C$7="Y",B158=C$4),D157+F158-J158-K158-L158+N158,AND($C$7="Y",B158&gt;$C$4),D157-J158-K158-L158+N158, TRUE, D157-J158-K158-L158+N158)</f>
        <v>4703355.2475130809</v>
      </c>
      <c r="E158" s="48">
        <f t="shared" si="63"/>
        <v>0</v>
      </c>
      <c r="F158" s="50">
        <f t="shared" si="64"/>
        <v>0</v>
      </c>
      <c r="G158" s="50">
        <f t="shared" si="72"/>
        <v>0</v>
      </c>
      <c r="H158" s="51">
        <f t="shared" si="55"/>
        <v>127652.45078813095</v>
      </c>
      <c r="I158" s="52">
        <f t="shared" si="65"/>
        <v>79174.786222021023</v>
      </c>
      <c r="J158" s="52">
        <f t="shared" si="56"/>
        <v>48477.664566109932</v>
      </c>
      <c r="K158" s="51">
        <f t="shared" si="58"/>
        <v>20142.365009109883</v>
      </c>
      <c r="L158" s="49">
        <f t="shared" si="59"/>
        <v>20349.137702075997</v>
      </c>
      <c r="M158" s="49">
        <f t="shared" si="60"/>
        <v>-21488.103767039422</v>
      </c>
      <c r="N158" s="49">
        <f t="shared" si="52"/>
        <v>21488.103767039422</v>
      </c>
      <c r="O158" s="48">
        <f t="shared" si="53"/>
        <v>148933.78186220425</v>
      </c>
      <c r="P158" s="38">
        <f t="shared" si="57"/>
        <v>148933.78186220425</v>
      </c>
      <c r="Q158" s="53"/>
      <c r="R158" s="53">
        <f t="shared" si="66"/>
        <v>0.05</v>
      </c>
      <c r="S158" s="53">
        <f t="shared" si="67"/>
        <v>4.2653187775606449E-3</v>
      </c>
      <c r="T158" s="53">
        <f t="shared" si="68"/>
        <v>0.05</v>
      </c>
      <c r="U158" s="53">
        <f t="shared" si="71"/>
        <v>4.2653187775606449E-3</v>
      </c>
      <c r="V158" s="53"/>
      <c r="W158" s="63">
        <f t="shared" si="69"/>
        <v>339.15229503459994</v>
      </c>
      <c r="X158" s="64">
        <f t="shared" si="70"/>
        <v>8.5306375551212892E-4</v>
      </c>
      <c r="Z158" s="63"/>
    </row>
    <row r="159" spans="1:26" x14ac:dyDescent="0.2">
      <c r="A159" s="62">
        <f t="shared" si="61"/>
        <v>0.53580789165554288</v>
      </c>
      <c r="B159" s="45">
        <f t="shared" si="62"/>
        <v>148</v>
      </c>
      <c r="C159" s="49">
        <f t="shared" si="54"/>
        <v>4703355.2475130809</v>
      </c>
      <c r="D159" s="47" cm="1">
        <f t="array" ref="D159">_xlfn.IFS(AND($C$7="Y",B159&lt;C$4),C159,AND($C$7="Y",B159=C$4),D158+F159-J159-K159-L159+N159,AND($C$7="Y",B159&gt;$C$4),D158-J159-K159-L159+N159, TRUE, D158-J159-K159-L159+N159)</f>
        <v>4635572.3793469444</v>
      </c>
      <c r="E159" s="48">
        <f t="shared" si="63"/>
        <v>0</v>
      </c>
      <c r="F159" s="50">
        <f t="shared" si="64"/>
        <v>0</v>
      </c>
      <c r="G159" s="50">
        <f t="shared" si="72"/>
        <v>0</v>
      </c>
      <c r="H159" s="51">
        <f t="shared" si="55"/>
        <v>127129.63010906299</v>
      </c>
      <c r="I159" s="52">
        <f t="shared" si="65"/>
        <v>78054.898967638743</v>
      </c>
      <c r="J159" s="52">
        <f t="shared" si="56"/>
        <v>49074.731141424243</v>
      </c>
      <c r="K159" s="51">
        <f t="shared" si="58"/>
        <v>19851.990082514683</v>
      </c>
      <c r="L159" s="49">
        <f t="shared" si="59"/>
        <v>20061.309454755938</v>
      </c>
      <c r="M159" s="49">
        <f t="shared" si="60"/>
        <v>-21205.162512557283</v>
      </c>
      <c r="N159" s="49">
        <f t="shared" si="52"/>
        <v>21205.162512557283</v>
      </c>
      <c r="O159" s="48">
        <f t="shared" si="53"/>
        <v>148125.47324937902</v>
      </c>
      <c r="P159" s="38">
        <f t="shared" si="57"/>
        <v>148125.47324937902</v>
      </c>
      <c r="Q159" s="53"/>
      <c r="R159" s="53">
        <f t="shared" si="66"/>
        <v>0.05</v>
      </c>
      <c r="S159" s="53">
        <f t="shared" si="67"/>
        <v>4.2653187775606449E-3</v>
      </c>
      <c r="T159" s="53">
        <f t="shared" si="68"/>
        <v>0.05</v>
      </c>
      <c r="U159" s="53">
        <f t="shared" si="71"/>
        <v>4.2653187775606449E-3</v>
      </c>
      <c r="V159" s="53"/>
      <c r="W159" s="63">
        <f t="shared" si="69"/>
        <v>334.35515757926561</v>
      </c>
      <c r="X159" s="64">
        <f t="shared" si="70"/>
        <v>8.5306375551212892E-4</v>
      </c>
      <c r="Z159" s="63"/>
    </row>
    <row r="160" spans="1:26" x14ac:dyDescent="0.2">
      <c r="A160" s="62">
        <f t="shared" si="61"/>
        <v>0.52793751876260553</v>
      </c>
      <c r="B160" s="45">
        <f t="shared" si="62"/>
        <v>149</v>
      </c>
      <c r="C160" s="49">
        <f t="shared" si="54"/>
        <v>4635572.3793469444</v>
      </c>
      <c r="D160" s="47" cm="1">
        <f t="array" ref="D160">_xlfn.IFS(AND($C$7="Y",B160&lt;C$4),C160,AND($C$7="Y",B160=C$4),D159+F160-J160-K160-L160+N160,AND($C$7="Y",B160&gt;$C$4),D159-J160-K160-L160+N160, TRUE, D159-J160-K160-L160+N160)</f>
        <v>4567481.4016554188</v>
      </c>
      <c r="E160" s="48">
        <f t="shared" si="63"/>
        <v>0</v>
      </c>
      <c r="F160" s="50">
        <f t="shared" si="64"/>
        <v>0</v>
      </c>
      <c r="G160" s="50">
        <f t="shared" si="72"/>
        <v>0</v>
      </c>
      <c r="H160" s="51">
        <f t="shared" si="55"/>
        <v>126609.53015357642</v>
      </c>
      <c r="I160" s="52">
        <f t="shared" si="65"/>
        <v>76930.003090542901</v>
      </c>
      <c r="J160" s="52">
        <f t="shared" si="56"/>
        <v>49679.527063033514</v>
      </c>
      <c r="K160" s="51">
        <f t="shared" si="58"/>
        <v>19560.294894727711</v>
      </c>
      <c r="L160" s="49">
        <f t="shared" si="59"/>
        <v>19772.19391437</v>
      </c>
      <c r="M160" s="49">
        <f t="shared" si="60"/>
        <v>-20921.03818060597</v>
      </c>
      <c r="N160" s="49">
        <f t="shared" ref="N160:N223" si="73">IFERROR((1-$N$9)*L156,0)</f>
        <v>20921.03818060597</v>
      </c>
      <c r="O160" s="48">
        <f t="shared" si="53"/>
        <v>147318.66931454011</v>
      </c>
      <c r="P160" s="38">
        <f t="shared" si="57"/>
        <v>147318.66931454011</v>
      </c>
      <c r="Q160" s="53"/>
      <c r="R160" s="53">
        <f t="shared" si="66"/>
        <v>0.05</v>
      </c>
      <c r="S160" s="53">
        <f t="shared" si="67"/>
        <v>4.2653187775606449E-3</v>
      </c>
      <c r="T160" s="53">
        <f t="shared" si="68"/>
        <v>0.05</v>
      </c>
      <c r="U160" s="53">
        <f t="shared" si="71"/>
        <v>4.2653187775606449E-3</v>
      </c>
      <c r="V160" s="53"/>
      <c r="W160" s="63">
        <f t="shared" si="69"/>
        <v>329.53656523950002</v>
      </c>
      <c r="X160" s="64">
        <f t="shared" si="70"/>
        <v>8.5306375551212903E-4</v>
      </c>
      <c r="Z160" s="63"/>
    </row>
    <row r="161" spans="1:26" x14ac:dyDescent="0.2">
      <c r="A161" s="62">
        <f t="shared" si="61"/>
        <v>0.52003079442583977</v>
      </c>
      <c r="B161" s="45">
        <f t="shared" si="62"/>
        <v>150</v>
      </c>
      <c r="C161" s="49">
        <f t="shared" si="54"/>
        <v>4567481.4016554188</v>
      </c>
      <c r="D161" s="47" cm="1">
        <f t="array" ref="D161">_xlfn.IFS(AND($C$7="Y",B161&lt;C$4),C161,AND($C$7="Y",B161=C$4),D160+F161-J161-K161-L161+N161,AND($C$7="Y",B161&gt;$C$4),D160-J161-K161-L161+N161, TRUE, D160-J161-K161-L161+N161)</f>
        <v>4499075.9273848301</v>
      </c>
      <c r="E161" s="48">
        <f t="shared" si="63"/>
        <v>0</v>
      </c>
      <c r="F161" s="50">
        <f t="shared" si="64"/>
        <v>0</v>
      </c>
      <c r="G161" s="50">
        <f t="shared" si="72"/>
        <v>0</v>
      </c>
      <c r="H161" s="51">
        <f t="shared" si="55"/>
        <v>126092.15716508336</v>
      </c>
      <c r="I161" s="52">
        <f t="shared" si="65"/>
        <v>75799.993957779647</v>
      </c>
      <c r="J161" s="52">
        <f t="shared" si="56"/>
        <v>50292.163207303718</v>
      </c>
      <c r="K161" s="51">
        <f t="shared" si="58"/>
        <v>19267.252080547616</v>
      </c>
      <c r="L161" s="49">
        <f t="shared" si="59"/>
        <v>19481.764188639871</v>
      </c>
      <c r="M161" s="49">
        <f t="shared" si="60"/>
        <v>-20635.705205902221</v>
      </c>
      <c r="N161" s="49">
        <f t="shared" si="73"/>
        <v>20635.705205902221</v>
      </c>
      <c r="O161" s="48">
        <f t="shared" si="53"/>
        <v>146513.35026289331</v>
      </c>
      <c r="P161" s="38">
        <f t="shared" si="57"/>
        <v>146513.35026289331</v>
      </c>
      <c r="Q161" s="53"/>
      <c r="R161" s="53">
        <f t="shared" si="66"/>
        <v>0.05</v>
      </c>
      <c r="S161" s="53">
        <f t="shared" si="67"/>
        <v>4.2653187775606449E-3</v>
      </c>
      <c r="T161" s="53">
        <f t="shared" si="68"/>
        <v>0.05</v>
      </c>
      <c r="U161" s="53">
        <f t="shared" si="71"/>
        <v>4.2653187775606449E-3</v>
      </c>
      <c r="V161" s="53"/>
      <c r="W161" s="63">
        <f t="shared" si="69"/>
        <v>324.69606981066454</v>
      </c>
      <c r="X161" s="64">
        <f t="shared" si="70"/>
        <v>8.5306375551212903E-4</v>
      </c>
      <c r="Z161" s="63"/>
    </row>
    <row r="162" spans="1:26" x14ac:dyDescent="0.2">
      <c r="A162" s="62">
        <f t="shared" si="61"/>
        <v>0.51208697066907038</v>
      </c>
      <c r="B162" s="45">
        <f t="shared" si="62"/>
        <v>151</v>
      </c>
      <c r="C162" s="49">
        <f t="shared" si="54"/>
        <v>4499075.9273848301</v>
      </c>
      <c r="D162" s="47" cm="1">
        <f t="array" ref="D162">_xlfn.IFS(AND($C$7="Y",B162&lt;C$4),C162,AND($C$7="Y",B162=C$4),D161+F162-J162-K162-L162+N162,AND($C$7="Y",B162&gt;$C$4),D161-J162-K162-L162+N162, TRUE, D161-J162-K162-L162+N162)</f>
        <v>4430349.4853768544</v>
      </c>
      <c r="E162" s="48">
        <f t="shared" si="63"/>
        <v>0</v>
      </c>
      <c r="F162" s="50">
        <f t="shared" si="64"/>
        <v>0</v>
      </c>
      <c r="G162" s="50">
        <f t="shared" si="72"/>
        <v>0</v>
      </c>
      <c r="H162" s="51">
        <f t="shared" si="55"/>
        <v>125577.5183334302</v>
      </c>
      <c r="I162" s="52">
        <f t="shared" si="65"/>
        <v>74664.765572501405</v>
      </c>
      <c r="J162" s="52">
        <f t="shared" si="56"/>
        <v>50912.752760928794</v>
      </c>
      <c r="K162" s="51">
        <f t="shared" si="58"/>
        <v>18972.833914377094</v>
      </c>
      <c r="L162" s="49">
        <f t="shared" si="59"/>
        <v>19189.993034745588</v>
      </c>
      <c r="M162" s="49">
        <f t="shared" si="60"/>
        <v>-20349.137702075997</v>
      </c>
      <c r="N162" s="49">
        <f t="shared" si="73"/>
        <v>20349.137702075997</v>
      </c>
      <c r="O162" s="48">
        <f t="shared" si="53"/>
        <v>145709.49691513769</v>
      </c>
      <c r="P162" s="38">
        <f t="shared" si="57"/>
        <v>145709.49691513769</v>
      </c>
      <c r="Q162" s="53"/>
      <c r="R162" s="53">
        <f t="shared" si="66"/>
        <v>0.05</v>
      </c>
      <c r="S162" s="53">
        <f t="shared" si="67"/>
        <v>4.2653187775606449E-3</v>
      </c>
      <c r="T162" s="53">
        <f t="shared" si="68"/>
        <v>0.05</v>
      </c>
      <c r="U162" s="53">
        <f t="shared" si="71"/>
        <v>4.2653187775606449E-3</v>
      </c>
      <c r="V162" s="53"/>
      <c r="W162" s="63">
        <f t="shared" si="69"/>
        <v>319.83321724575984</v>
      </c>
      <c r="X162" s="64">
        <f t="shared" si="70"/>
        <v>8.5306375551212903E-4</v>
      </c>
      <c r="Z162" s="63"/>
    </row>
    <row r="163" spans="1:26" x14ac:dyDescent="0.2">
      <c r="A163" s="62">
        <f t="shared" si="61"/>
        <v>0.50410528956237899</v>
      </c>
      <c r="B163" s="45">
        <f t="shared" si="62"/>
        <v>152</v>
      </c>
      <c r="C163" s="49">
        <f t="shared" si="54"/>
        <v>4430349.4853768544</v>
      </c>
      <c r="D163" s="47" cm="1">
        <f t="array" ref="D163">_xlfn.IFS(AND($C$7="Y",B163&lt;C$4),C163,AND($C$7="Y",B163=C$4),D162+F163-J163-K163-L163+N163,AND($C$7="Y",B163&gt;$C$4),D162-J163-K163-L163+N163, TRUE, D162-J163-K163-L163+N163)</f>
        <v>4361295.5183577938</v>
      </c>
      <c r="E163" s="48">
        <f t="shared" si="63"/>
        <v>0</v>
      </c>
      <c r="F163" s="50">
        <f t="shared" si="64"/>
        <v>0</v>
      </c>
      <c r="G163" s="50">
        <f t="shared" si="72"/>
        <v>0</v>
      </c>
      <c r="H163" s="51">
        <f t="shared" si="55"/>
        <v>125065.6218631738</v>
      </c>
      <c r="I163" s="52">
        <f t="shared" si="65"/>
        <v>73524.210542095345</v>
      </c>
      <c r="J163" s="52">
        <f t="shared" si="56"/>
        <v>51541.411321078456</v>
      </c>
      <c r="K163" s="51">
        <f t="shared" si="58"/>
        <v>18677.012301604263</v>
      </c>
      <c r="L163" s="49">
        <f t="shared" si="59"/>
        <v>18896.852851134037</v>
      </c>
      <c r="M163" s="49">
        <f t="shared" si="60"/>
        <v>-20061.309454755938</v>
      </c>
      <c r="N163" s="49">
        <f t="shared" si="73"/>
        <v>20061.309454755938</v>
      </c>
      <c r="O163" s="48">
        <f t="shared" si="53"/>
        <v>144907.09076839994</v>
      </c>
      <c r="P163" s="38">
        <f t="shared" si="57"/>
        <v>144907.09076839994</v>
      </c>
      <c r="Q163" s="53"/>
      <c r="R163" s="53">
        <f t="shared" si="66"/>
        <v>0.05</v>
      </c>
      <c r="S163" s="53">
        <f t="shared" si="67"/>
        <v>4.2653187775606449E-3</v>
      </c>
      <c r="T163" s="53">
        <f t="shared" si="68"/>
        <v>0.05</v>
      </c>
      <c r="U163" s="53">
        <f t="shared" si="71"/>
        <v>4.2653187775606449E-3</v>
      </c>
      <c r="V163" s="53"/>
      <c r="W163" s="63">
        <f t="shared" si="69"/>
        <v>314.94754751890065</v>
      </c>
      <c r="X163" s="64">
        <f t="shared" si="70"/>
        <v>8.5306375551212914E-4</v>
      </c>
      <c r="Z163" s="63"/>
    </row>
    <row r="164" spans="1:26" x14ac:dyDescent="0.2">
      <c r="A164" s="62">
        <f t="shared" si="61"/>
        <v>0.49608498297838882</v>
      </c>
      <c r="B164" s="45">
        <f t="shared" si="62"/>
        <v>153</v>
      </c>
      <c r="C164" s="49">
        <f t="shared" si="54"/>
        <v>4361295.5183577938</v>
      </c>
      <c r="D164" s="47" cm="1">
        <f t="array" ref="D164">_xlfn.IFS(AND($C$7="Y",B164&lt;C$4),C164,AND($C$7="Y",B164=C$4),D163+F164-J164-K164-L164+N164,AND($C$7="Y",B164&gt;$C$4),D163-J164-K164-L164+N164, TRUE, D163-J164-K164-L164+N164)</f>
        <v>4291907.3808300616</v>
      </c>
      <c r="E164" s="48">
        <f t="shared" si="63"/>
        <v>0</v>
      </c>
      <c r="F164" s="50">
        <f t="shared" si="64"/>
        <v>0</v>
      </c>
      <c r="G164" s="50">
        <f t="shared" si="72"/>
        <v>0</v>
      </c>
      <c r="H164" s="51">
        <f t="shared" si="55"/>
        <v>124556.477048409</v>
      </c>
      <c r="I164" s="52">
        <f t="shared" si="65"/>
        <v>72378.220044814181</v>
      </c>
      <c r="J164" s="52">
        <f t="shared" si="56"/>
        <v>52178.257003594816</v>
      </c>
      <c r="K164" s="51">
        <f t="shared" si="58"/>
        <v>18379.758769564763</v>
      </c>
      <c r="L164" s="49">
        <f t="shared" si="59"/>
        <v>18602.315668942585</v>
      </c>
      <c r="M164" s="49">
        <f t="shared" si="60"/>
        <v>-19772.19391437</v>
      </c>
      <c r="N164" s="49">
        <f t="shared" si="73"/>
        <v>19772.19391437</v>
      </c>
      <c r="O164" s="48">
        <f t="shared" si="53"/>
        <v>144106.11406340118</v>
      </c>
      <c r="P164" s="38">
        <f t="shared" si="57"/>
        <v>144106.11406340118</v>
      </c>
      <c r="Q164" s="53"/>
      <c r="R164" s="53">
        <f t="shared" si="66"/>
        <v>0.05</v>
      </c>
      <c r="S164" s="53">
        <f t="shared" si="67"/>
        <v>4.2653187775606449E-3</v>
      </c>
      <c r="T164" s="53">
        <f t="shared" si="68"/>
        <v>0.05</v>
      </c>
      <c r="U164" s="53">
        <f t="shared" si="71"/>
        <v>4.2653187775606449E-3</v>
      </c>
      <c r="V164" s="53"/>
      <c r="W164" s="63">
        <f t="shared" si="69"/>
        <v>310.03859448237642</v>
      </c>
      <c r="X164" s="64">
        <f t="shared" si="70"/>
        <v>8.5306375551212903E-4</v>
      </c>
      <c r="Z164" s="63"/>
    </row>
    <row r="165" spans="1:26" x14ac:dyDescent="0.2">
      <c r="A165" s="62">
        <f t="shared" si="61"/>
        <v>0.48802527233628112</v>
      </c>
      <c r="B165" s="45">
        <f t="shared" si="62"/>
        <v>154</v>
      </c>
      <c r="C165" s="49">
        <f t="shared" si="54"/>
        <v>4291907.3808300616</v>
      </c>
      <c r="D165" s="47" cm="1">
        <f t="array" ref="D165">_xlfn.IFS(AND($C$7="Y",B165&lt;C$4),C165,AND($C$7="Y",B165=C$4),D164+F165-J165-K165-L165+N165,AND($C$7="Y",B165&gt;$C$4),D164-J165-K165-L165+N165, TRUE, D164-J165-K165-L165+N165)</f>
        <v>4222178.3368575219</v>
      </c>
      <c r="E165" s="48">
        <f t="shared" si="63"/>
        <v>0</v>
      </c>
      <c r="F165" s="50">
        <f t="shared" si="64"/>
        <v>0</v>
      </c>
      <c r="G165" s="50">
        <f t="shared" si="72"/>
        <v>0</v>
      </c>
      <c r="H165" s="51">
        <f t="shared" si="55"/>
        <v>124050.09435490948</v>
      </c>
      <c r="I165" s="52">
        <f t="shared" si="65"/>
        <v>71226.683794784258</v>
      </c>
      <c r="J165" s="52">
        <f t="shared" si="56"/>
        <v>52823.410560125223</v>
      </c>
      <c r="K165" s="51">
        <f t="shared" si="58"/>
        <v>18081.044458048691</v>
      </c>
      <c r="L165" s="49">
        <f t="shared" si="59"/>
        <v>18306.353143005588</v>
      </c>
      <c r="M165" s="49">
        <f t="shared" si="60"/>
        <v>-19481.764188639871</v>
      </c>
      <c r="N165" s="49">
        <f t="shared" si="73"/>
        <v>19481.764188639871</v>
      </c>
      <c r="O165" s="48">
        <f t="shared" ref="O165:O215" si="74">K165+I165+J165-L165+N165+G165</f>
        <v>143306.54985859245</v>
      </c>
      <c r="P165" s="38">
        <f t="shared" si="57"/>
        <v>143306.54985859245</v>
      </c>
      <c r="Q165" s="53"/>
      <c r="R165" s="53">
        <f t="shared" si="66"/>
        <v>0.05</v>
      </c>
      <c r="S165" s="53">
        <f t="shared" si="67"/>
        <v>4.2653187775606449E-3</v>
      </c>
      <c r="T165" s="53">
        <f t="shared" si="68"/>
        <v>0.05</v>
      </c>
      <c r="U165" s="53">
        <f t="shared" si="71"/>
        <v>4.2653187775606449E-3</v>
      </c>
      <c r="V165" s="53"/>
      <c r="W165" s="63">
        <f t="shared" si="69"/>
        <v>305.10588571675981</v>
      </c>
      <c r="X165" s="64">
        <f t="shared" si="70"/>
        <v>8.5306375551212914E-4</v>
      </c>
      <c r="Z165" s="63"/>
    </row>
    <row r="166" spans="1:26" x14ac:dyDescent="0.2">
      <c r="A166" s="62">
        <f t="shared" si="61"/>
        <v>0.47992536833246247</v>
      </c>
      <c r="B166" s="45">
        <f t="shared" si="62"/>
        <v>155</v>
      </c>
      <c r="C166" s="49">
        <f t="shared" ref="C166:C216" si="75">IF(B166&lt;C$4,C$1,D165)</f>
        <v>4222178.3368575219</v>
      </c>
      <c r="D166" s="47" cm="1">
        <f t="array" ref="D166">_xlfn.IFS(AND($C$7="Y",B166&lt;C$4),C166,AND($C$7="Y",B166=C$4),D165+F166-J166-K166-L166+N166,AND($C$7="Y",B166&gt;$C$4),D165-J166-K166-L166+N166, TRUE, D165-J166-K166-L166+N166)</f>
        <v>4152101.5577353477</v>
      </c>
      <c r="E166" s="48">
        <f t="shared" si="63"/>
        <v>0</v>
      </c>
      <c r="F166" s="50">
        <f t="shared" si="64"/>
        <v>0</v>
      </c>
      <c r="G166" s="50">
        <f t="shared" si="72"/>
        <v>0</v>
      </c>
      <c r="H166" s="51">
        <f t="shared" ref="H166:H216" si="76">IF(AND($B166&lt;=$C$4,C$7="Y"),0,IF(AND(C$7="N",C$4&gt;0,B166&lt;=C$4),0,D165*C$2/12/(1-(1/(1+C$2/12))^(C$3+C$4-B166+1))))</f>
        <v>123546.48551045141</v>
      </c>
      <c r="I166" s="52">
        <f t="shared" si="65"/>
        <v>70069.490005251893</v>
      </c>
      <c r="J166" s="52">
        <f t="shared" ref="J166:J216" si="77">IF(AND($B166&lt;=$C$4,C$7="Y"),0,IF(AND(C$7="N",C$4&gt;0,B166&lt;=C$4),0,H166-I166))</f>
        <v>53476.99550519952</v>
      </c>
      <c r="K166" s="51">
        <f t="shared" si="58"/>
        <v>17780.84010931231</v>
      </c>
      <c r="L166" s="49">
        <f t="shared" si="59"/>
        <v>18008.936542408162</v>
      </c>
      <c r="M166" s="49">
        <f t="shared" si="60"/>
        <v>-19189.993034745588</v>
      </c>
      <c r="N166" s="49">
        <f t="shared" si="73"/>
        <v>19189.993034745588</v>
      </c>
      <c r="O166" s="48">
        <f t="shared" si="74"/>
        <v>142508.38211210116</v>
      </c>
      <c r="P166" s="38">
        <f t="shared" ref="P166:P229" si="78">O166*(1/((1+P$9)^(B166/12)))</f>
        <v>142508.38211210116</v>
      </c>
      <c r="Q166" s="53"/>
      <c r="R166" s="53">
        <f t="shared" si="66"/>
        <v>0.05</v>
      </c>
      <c r="S166" s="53">
        <f t="shared" si="67"/>
        <v>4.2653187775606449E-3</v>
      </c>
      <c r="T166" s="53">
        <f t="shared" si="68"/>
        <v>0.05</v>
      </c>
      <c r="U166" s="53">
        <f t="shared" si="71"/>
        <v>4.2653187775606449E-3</v>
      </c>
      <c r="V166" s="53"/>
      <c r="W166" s="63">
        <f t="shared" si="69"/>
        <v>300.14894237346942</v>
      </c>
      <c r="X166" s="64">
        <f t="shared" si="70"/>
        <v>8.5306375551212914E-4</v>
      </c>
      <c r="Z166" s="63"/>
    </row>
    <row r="167" spans="1:26" x14ac:dyDescent="0.2">
      <c r="A167" s="62">
        <f t="shared" si="61"/>
        <v>0.47178447065668178</v>
      </c>
      <c r="B167" s="45">
        <f t="shared" si="62"/>
        <v>156</v>
      </c>
      <c r="C167" s="49">
        <f t="shared" si="75"/>
        <v>4152101.5577353477</v>
      </c>
      <c r="D167" s="47" cm="1">
        <f t="array" ref="D167">_xlfn.IFS(AND($C$7="Y",B167&lt;C$4),C167,AND($C$7="Y",B167=C$4),D166+F167-J167-K167-L167+N167,AND($C$7="Y",B167&gt;$C$4),D166-J167-K167-L167+N167, TRUE, D166-J167-K167-L167+N167)</f>
        <v>4081670.1195339868</v>
      </c>
      <c r="E167" s="48">
        <f t="shared" si="63"/>
        <v>0</v>
      </c>
      <c r="F167" s="50">
        <f t="shared" si="64"/>
        <v>0</v>
      </c>
      <c r="G167" s="50">
        <f t="shared" si="72"/>
        <v>0</v>
      </c>
      <c r="H167" s="51">
        <f t="shared" si="76"/>
        <v>123045.66360431111</v>
      </c>
      <c r="I167" s="52">
        <f t="shared" si="65"/>
        <v>68906.52534991334</v>
      </c>
      <c r="J167" s="52">
        <f t="shared" si="77"/>
        <v>54139.138254397767</v>
      </c>
      <c r="K167" s="51">
        <f t="shared" ref="K167:K230" si="79">IF(AND(C$7="Y",$B167&lt;=$C$4),0,IF(AND(C$7="N",C$4&gt;0,B167&lt;=C$4),0,S167*(C167-J167)))</f>
        <v>17479.116057549949</v>
      </c>
      <c r="L167" s="49">
        <f t="shared" si="59"/>
        <v>17710.036740547384</v>
      </c>
      <c r="M167" s="49">
        <f t="shared" si="60"/>
        <v>-18896.852851134037</v>
      </c>
      <c r="N167" s="49">
        <f t="shared" si="73"/>
        <v>18896.852851134037</v>
      </c>
      <c r="O167" s="48">
        <f t="shared" si="74"/>
        <v>141711.59577244773</v>
      </c>
      <c r="P167" s="38">
        <f t="shared" si="78"/>
        <v>141711.59577244773</v>
      </c>
      <c r="Q167" s="53"/>
      <c r="R167" s="53">
        <f t="shared" si="66"/>
        <v>0.05</v>
      </c>
      <c r="S167" s="53">
        <f t="shared" si="67"/>
        <v>4.2653187775606449E-3</v>
      </c>
      <c r="T167" s="53">
        <f t="shared" si="68"/>
        <v>0.05</v>
      </c>
      <c r="U167" s="53">
        <f t="shared" si="71"/>
        <v>4.2653187775606449E-3</v>
      </c>
      <c r="V167" s="53"/>
      <c r="W167" s="63">
        <f t="shared" si="69"/>
        <v>295.16727900912309</v>
      </c>
      <c r="X167" s="64">
        <f t="shared" si="70"/>
        <v>8.5306375551212903E-4</v>
      </c>
      <c r="Z167" s="63"/>
    </row>
    <row r="168" spans="1:26" x14ac:dyDescent="0.2">
      <c r="A168" s="62">
        <f t="shared" si="61"/>
        <v>0.46360176769224798</v>
      </c>
      <c r="B168" s="45">
        <f t="shared" si="62"/>
        <v>157</v>
      </c>
      <c r="C168" s="49">
        <f t="shared" si="75"/>
        <v>4081670.1195339868</v>
      </c>
      <c r="D168" s="47" cm="1">
        <f t="array" ref="D168">_xlfn.IFS(AND($C$7="Y",B168&lt;C$4),C168,AND($C$7="Y",B168=C$4),D167+F168-J168-K168-L168+N168,AND($C$7="Y",B168&gt;$C$4),D167-J168-K168-L168+N168, TRUE, D167-J168-K168-L168+N168)</f>
        <v>4010877.0005055815</v>
      </c>
      <c r="E168" s="48">
        <f t="shared" si="63"/>
        <v>0</v>
      </c>
      <c r="F168" s="50">
        <f t="shared" si="64"/>
        <v>0</v>
      </c>
      <c r="G168" s="50">
        <f t="shared" si="72"/>
        <v>0</v>
      </c>
      <c r="H168" s="51">
        <f t="shared" si="76"/>
        <v>122547.64319707062</v>
      </c>
      <c r="I168" s="52">
        <f t="shared" si="65"/>
        <v>67737.674922155507</v>
      </c>
      <c r="J168" s="52">
        <f t="shared" si="77"/>
        <v>54809.968274915111</v>
      </c>
      <c r="K168" s="51">
        <f t="shared" si="79"/>
        <v>17175.842217776019</v>
      </c>
      <c r="L168" s="49">
        <f t="shared" si="59"/>
        <v>17409.624204656517</v>
      </c>
      <c r="M168" s="49">
        <f t="shared" si="60"/>
        <v>-18602.315668942585</v>
      </c>
      <c r="N168" s="49">
        <f t="shared" si="73"/>
        <v>18602.315668942585</v>
      </c>
      <c r="O168" s="48">
        <f t="shared" si="74"/>
        <v>140916.17687913269</v>
      </c>
      <c r="P168" s="38">
        <f t="shared" si="78"/>
        <v>140916.17687913269</v>
      </c>
      <c r="Q168" s="53"/>
      <c r="R168" s="53">
        <f t="shared" si="66"/>
        <v>0.05</v>
      </c>
      <c r="S168" s="53">
        <f t="shared" si="67"/>
        <v>4.2653187775606449E-3</v>
      </c>
      <c r="T168" s="53">
        <f t="shared" si="68"/>
        <v>0.05</v>
      </c>
      <c r="U168" s="53">
        <f t="shared" si="71"/>
        <v>4.2653187775606449E-3</v>
      </c>
      <c r="V168" s="53"/>
      <c r="W168" s="63">
        <f t="shared" si="69"/>
        <v>290.16040341094197</v>
      </c>
      <c r="X168" s="64">
        <f t="shared" si="70"/>
        <v>8.5306375551212914E-4</v>
      </c>
      <c r="Z168" s="63"/>
    </row>
    <row r="169" spans="1:26" x14ac:dyDescent="0.2">
      <c r="A169" s="62">
        <f t="shared" si="61"/>
        <v>0.4553764361988385</v>
      </c>
      <c r="B169" s="45">
        <f t="shared" si="62"/>
        <v>158</v>
      </c>
      <c r="C169" s="49">
        <f t="shared" si="75"/>
        <v>4010877.0005055815</v>
      </c>
      <c r="D169" s="47" cm="1">
        <f t="array" ref="D169">_xlfn.IFS(AND($C$7="Y",B169&lt;C$4),C169,AND($C$7="Y",B169=C$4),D168+F169-J169-K169-L169+N169,AND($C$7="Y",B169&gt;$C$4),D168-J169-K169-L169+N169, TRUE, D168-J169-K169-L169+N169)</f>
        <v>3939715.0783397658</v>
      </c>
      <c r="E169" s="48">
        <f t="shared" si="63"/>
        <v>0</v>
      </c>
      <c r="F169" s="50">
        <f t="shared" si="64"/>
        <v>0</v>
      </c>
      <c r="G169" s="50">
        <f t="shared" si="72"/>
        <v>0</v>
      </c>
      <c r="H169" s="51">
        <f t="shared" si="76"/>
        <v>122052.44044203179</v>
      </c>
      <c r="I169" s="52">
        <f t="shared" si="65"/>
        <v>66562.822192013977</v>
      </c>
      <c r="J169" s="52">
        <f t="shared" si="77"/>
        <v>55489.618250017811</v>
      </c>
      <c r="K169" s="51">
        <f t="shared" si="79"/>
        <v>16870.988074061101</v>
      </c>
      <c r="L169" s="49">
        <f t="shared" si="59"/>
        <v>17107.668984742573</v>
      </c>
      <c r="M169" s="49">
        <f t="shared" si="60"/>
        <v>-18306.353143005588</v>
      </c>
      <c r="N169" s="49">
        <f t="shared" si="73"/>
        <v>18306.353143005588</v>
      </c>
      <c r="O169" s="48">
        <f t="shared" si="74"/>
        <v>140122.11267435591</v>
      </c>
      <c r="P169" s="38">
        <f t="shared" si="78"/>
        <v>140122.11267435591</v>
      </c>
      <c r="Q169" s="53"/>
      <c r="R169" s="53">
        <f t="shared" si="66"/>
        <v>0.05</v>
      </c>
      <c r="S169" s="53">
        <f t="shared" si="67"/>
        <v>4.2653187775606449E-3</v>
      </c>
      <c r="T169" s="53">
        <f t="shared" si="68"/>
        <v>0.05</v>
      </c>
      <c r="U169" s="53">
        <f t="shared" si="71"/>
        <v>4.2653187775606449E-3</v>
      </c>
      <c r="V169" s="53"/>
      <c r="W169" s="63">
        <f t="shared" si="69"/>
        <v>285.12781641237626</v>
      </c>
      <c r="X169" s="64">
        <f t="shared" si="70"/>
        <v>8.5306375551212914E-4</v>
      </c>
      <c r="Z169" s="63"/>
    </row>
    <row r="170" spans="1:26" x14ac:dyDescent="0.2">
      <c r="A170" s="62">
        <f t="shared" si="61"/>
        <v>0.44710764097619726</v>
      </c>
      <c r="B170" s="45">
        <f t="shared" si="62"/>
        <v>159</v>
      </c>
      <c r="C170" s="49">
        <f t="shared" si="75"/>
        <v>3939715.0783397658</v>
      </c>
      <c r="D170" s="47" cm="1">
        <f t="array" ref="D170">_xlfn.IFS(AND($C$7="Y",B170&lt;C$4),C170,AND($C$7="Y",B170=C$4),D169+F170-J170-K170-L170+N170,AND($C$7="Y",B170&gt;$C$4),D169-J170-K170-L170+N170, TRUE, D169-J170-K170-L170+N170)</f>
        <v>3868177.1272541303</v>
      </c>
      <c r="E170" s="48">
        <f t="shared" si="63"/>
        <v>0</v>
      </c>
      <c r="F170" s="50">
        <f t="shared" si="64"/>
        <v>0</v>
      </c>
      <c r="G170" s="50">
        <f t="shared" si="72"/>
        <v>0</v>
      </c>
      <c r="H170" s="51">
        <f t="shared" si="76"/>
        <v>121560.07321973408</v>
      </c>
      <c r="I170" s="52">
        <f t="shared" si="65"/>
        <v>65381.848960631411</v>
      </c>
      <c r="J170" s="52">
        <f t="shared" si="77"/>
        <v>56178.224259102673</v>
      </c>
      <c r="K170" s="51">
        <f t="shared" si="79"/>
        <v>16564.522667059045</v>
      </c>
      <c r="L170" s="49">
        <f t="shared" ref="L170:L232" si="80">IF(AND(C$7="Y",$B170&lt;=$C$4),0,IF(AND(C$7="N",C$4&gt;0,B170&lt;=C$4),0,U170*D169))</f>
        <v>16804.14070188141</v>
      </c>
      <c r="M170" s="49">
        <f t="shared" ref="M170:M232" si="81">IFERROR(L166*-1,0)</f>
        <v>-18008.936542408162</v>
      </c>
      <c r="N170" s="49">
        <f t="shared" si="73"/>
        <v>18008.936542408162</v>
      </c>
      <c r="O170" s="48">
        <f t="shared" si="74"/>
        <v>139329.39172731989</v>
      </c>
      <c r="P170" s="38">
        <f t="shared" si="78"/>
        <v>139329.39172731989</v>
      </c>
      <c r="Q170" s="53"/>
      <c r="R170" s="53">
        <f t="shared" si="66"/>
        <v>0.05</v>
      </c>
      <c r="S170" s="53">
        <f t="shared" si="67"/>
        <v>4.2653187775606449E-3</v>
      </c>
      <c r="T170" s="53">
        <f t="shared" si="68"/>
        <v>0.05</v>
      </c>
      <c r="U170" s="53">
        <f t="shared" si="71"/>
        <v>4.2653187775606449E-3</v>
      </c>
      <c r="V170" s="53"/>
      <c r="W170" s="63">
        <f t="shared" si="69"/>
        <v>280.06901169802353</v>
      </c>
      <c r="X170" s="64">
        <f t="shared" si="70"/>
        <v>8.5306375551212903E-4</v>
      </c>
      <c r="Z170" s="63"/>
    </row>
    <row r="171" spans="1:26" x14ac:dyDescent="0.2">
      <c r="A171" s="62">
        <f t="shared" si="61"/>
        <v>0.43879453450680755</v>
      </c>
      <c r="B171" s="45">
        <f t="shared" si="62"/>
        <v>160</v>
      </c>
      <c r="C171" s="49">
        <f t="shared" si="75"/>
        <v>3868177.1272541303</v>
      </c>
      <c r="D171" s="47" cm="1">
        <f t="array" ref="D171">_xlfn.IFS(AND($C$7="Y",B171&lt;C$4),C171,AND($C$7="Y",B171=C$4),D170+F171-J171-K171-L171+N171,AND($C$7="Y",B171&gt;$C$4),D170-J171-K171-L171+N171, TRUE, D170-J171-K171-L171+N171)</f>
        <v>3796255.8149027866</v>
      </c>
      <c r="E171" s="48">
        <f t="shared" si="63"/>
        <v>0</v>
      </c>
      <c r="F171" s="50">
        <f t="shared" si="64"/>
        <v>0</v>
      </c>
      <c r="G171" s="50">
        <f t="shared" si="72"/>
        <v>0</v>
      </c>
      <c r="H171" s="51">
        <f t="shared" si="76"/>
        <v>121070.56128730155</v>
      </c>
      <c r="I171" s="52">
        <f t="shared" si="65"/>
        <v>64194.635311972052</v>
      </c>
      <c r="J171" s="52">
        <f t="shared" si="77"/>
        <v>56875.925975329497</v>
      </c>
      <c r="K171" s="51">
        <f t="shared" si="79"/>
        <v>16256.414580753912</v>
      </c>
      <c r="L171" s="49">
        <f t="shared" si="80"/>
        <v>16499.008535807636</v>
      </c>
      <c r="M171" s="49">
        <f t="shared" si="81"/>
        <v>-17710.036740547384</v>
      </c>
      <c r="N171" s="49">
        <f t="shared" si="73"/>
        <v>17710.036740547384</v>
      </c>
      <c r="O171" s="48">
        <f t="shared" si="74"/>
        <v>138538.00407279521</v>
      </c>
      <c r="P171" s="38">
        <f t="shared" si="78"/>
        <v>138538.00407279521</v>
      </c>
      <c r="Q171" s="53"/>
      <c r="R171" s="53">
        <f t="shared" si="66"/>
        <v>0.05</v>
      </c>
      <c r="S171" s="53">
        <f t="shared" si="67"/>
        <v>4.2653187775606449E-3</v>
      </c>
      <c r="T171" s="53">
        <f t="shared" si="68"/>
        <v>0.05</v>
      </c>
      <c r="U171" s="53">
        <f t="shared" si="71"/>
        <v>4.2653187775606449E-3</v>
      </c>
      <c r="V171" s="53"/>
      <c r="W171" s="63">
        <f t="shared" si="69"/>
        <v>274.98347559679394</v>
      </c>
      <c r="X171" s="64">
        <f t="shared" si="70"/>
        <v>8.5306375551212903E-4</v>
      </c>
      <c r="Z171" s="63"/>
    </row>
    <row r="172" spans="1:26" x14ac:dyDescent="0.2">
      <c r="A172" s="62">
        <f t="shared" si="61"/>
        <v>0.43043625657537166</v>
      </c>
      <c r="B172" s="45">
        <f t="shared" si="62"/>
        <v>161</v>
      </c>
      <c r="C172" s="49">
        <f t="shared" si="75"/>
        <v>3796255.8149027866</v>
      </c>
      <c r="D172" s="47" cm="1">
        <f t="array" ref="D172">_xlfn.IFS(AND($C$7="Y",B172&lt;C$4),C172,AND($C$7="Y",B172=C$4),D171+F172-J172-K172-L172+N172,AND($C$7="Y",B172&gt;$C$4),D171-J172-K172-L172+N172, TRUE, D171-J172-K172-L172+N172)</f>
        <v>3723943.6990842726</v>
      </c>
      <c r="E172" s="48">
        <f t="shared" si="63"/>
        <v>0</v>
      </c>
      <c r="F172" s="50">
        <f t="shared" si="64"/>
        <v>0</v>
      </c>
      <c r="G172" s="50">
        <f t="shared" si="72"/>
        <v>0</v>
      </c>
      <c r="H172" s="51">
        <f t="shared" si="76"/>
        <v>120583.92644461295</v>
      </c>
      <c r="I172" s="52">
        <f t="shared" si="65"/>
        <v>63001.059561517635</v>
      </c>
      <c r="J172" s="52">
        <f t="shared" si="77"/>
        <v>57582.866883095317</v>
      </c>
      <c r="K172" s="51">
        <f t="shared" si="79"/>
        <v>15946.631928346402</v>
      </c>
      <c r="L172" s="49">
        <f t="shared" si="80"/>
        <v>16192.241211728644</v>
      </c>
      <c r="M172" s="49">
        <f t="shared" si="81"/>
        <v>-17409.624204656517</v>
      </c>
      <c r="N172" s="49">
        <f t="shared" si="73"/>
        <v>17409.624204656517</v>
      </c>
      <c r="O172" s="48">
        <f t="shared" si="74"/>
        <v>137747.94136588724</v>
      </c>
      <c r="P172" s="38">
        <f t="shared" si="78"/>
        <v>137747.94136588724</v>
      </c>
      <c r="Q172" s="53"/>
      <c r="R172" s="53">
        <f t="shared" si="66"/>
        <v>0.05</v>
      </c>
      <c r="S172" s="53">
        <f t="shared" si="67"/>
        <v>4.2653187775606449E-3</v>
      </c>
      <c r="T172" s="53">
        <f t="shared" si="68"/>
        <v>0.05</v>
      </c>
      <c r="U172" s="53">
        <f t="shared" si="71"/>
        <v>4.2653187775606449E-3</v>
      </c>
      <c r="V172" s="53"/>
      <c r="W172" s="63">
        <f t="shared" si="69"/>
        <v>269.87068686214405</v>
      </c>
      <c r="X172" s="64">
        <f t="shared" si="70"/>
        <v>8.5306375551212892E-4</v>
      </c>
      <c r="Z172" s="63"/>
    </row>
    <row r="173" spans="1:26" x14ac:dyDescent="0.2">
      <c r="A173" s="62">
        <f t="shared" si="61"/>
        <v>0.42203193386264265</v>
      </c>
      <c r="B173" s="45">
        <f t="shared" si="62"/>
        <v>162</v>
      </c>
      <c r="C173" s="49">
        <f t="shared" si="75"/>
        <v>3723943.6990842726</v>
      </c>
      <c r="D173" s="47" cm="1">
        <f t="array" ref="D173">_xlfn.IFS(AND($C$7="Y",B173&lt;C$4),C173,AND($C$7="Y",B173=C$4),D172+F173-J173-K173-L173+N173,AND($C$7="Y",B173&gt;$C$4),D172-J173-K173-L173+N173, TRUE, D172-J173-K173-L173+N173)</f>
        <v>3651233.2242275672</v>
      </c>
      <c r="E173" s="48">
        <f t="shared" si="63"/>
        <v>0</v>
      </c>
      <c r="F173" s="50">
        <f t="shared" si="64"/>
        <v>0</v>
      </c>
      <c r="G173" s="50">
        <f t="shared" si="72"/>
        <v>0</v>
      </c>
      <c r="H173" s="51">
        <f t="shared" si="76"/>
        <v>120100.19271960968</v>
      </c>
      <c r="I173" s="52">
        <f t="shared" si="65"/>
        <v>61800.998201633163</v>
      </c>
      <c r="J173" s="52">
        <f t="shared" si="77"/>
        <v>58299.194517976517</v>
      </c>
      <c r="K173" s="51">
        <f t="shared" si="79"/>
        <v>15635.14233718861</v>
      </c>
      <c r="L173" s="49">
        <f t="shared" si="80"/>
        <v>15883.806986282796</v>
      </c>
      <c r="M173" s="49">
        <f t="shared" si="81"/>
        <v>-17107.668984742573</v>
      </c>
      <c r="N173" s="49">
        <f t="shared" si="73"/>
        <v>17107.668984742573</v>
      </c>
      <c r="O173" s="48">
        <f t="shared" si="74"/>
        <v>136959.19705525809</v>
      </c>
      <c r="P173" s="38">
        <f t="shared" si="78"/>
        <v>136959.19705525809</v>
      </c>
      <c r="Q173" s="53"/>
      <c r="R173" s="53">
        <f t="shared" si="66"/>
        <v>0.05</v>
      </c>
      <c r="S173" s="53">
        <f t="shared" si="67"/>
        <v>4.2653187775606449E-3</v>
      </c>
      <c r="T173" s="53">
        <f t="shared" si="68"/>
        <v>0.05</v>
      </c>
      <c r="U173" s="53">
        <f t="shared" si="71"/>
        <v>4.2653187775606449E-3</v>
      </c>
      <c r="V173" s="53"/>
      <c r="W173" s="63">
        <f t="shared" si="69"/>
        <v>264.73011643804665</v>
      </c>
      <c r="X173" s="64">
        <f t="shared" si="70"/>
        <v>8.5306375551212914E-4</v>
      </c>
      <c r="Z173" s="63"/>
    </row>
    <row r="174" spans="1:26" x14ac:dyDescent="0.2">
      <c r="A174" s="62">
        <f t="shared" si="61"/>
        <v>0.41358067951081601</v>
      </c>
      <c r="B174" s="45">
        <f t="shared" si="62"/>
        <v>163</v>
      </c>
      <c r="C174" s="49">
        <f t="shared" si="75"/>
        <v>3651233.2242275672</v>
      </c>
      <c r="D174" s="47" cm="1">
        <f t="array" ref="D174">_xlfn.IFS(AND($C$7="Y",B174&lt;C$4),C174,AND($C$7="Y",B174=C$4),D173+F174-J174-K174-L174+N174,AND($C$7="Y",B174&gt;$C$4),D173-J174-K174-L174+N174, TRUE, D173-J174-K174-L174+N174)</f>
        <v>3578116.7176320488</v>
      </c>
      <c r="E174" s="48">
        <f t="shared" si="63"/>
        <v>0</v>
      </c>
      <c r="F174" s="50">
        <f t="shared" si="64"/>
        <v>0</v>
      </c>
      <c r="G174" s="50">
        <f t="shared" si="72"/>
        <v>0</v>
      </c>
      <c r="H174" s="51">
        <f t="shared" si="76"/>
        <v>119619.38657543542</v>
      </c>
      <c r="I174" s="52">
        <f t="shared" si="65"/>
        <v>60594.32584325027</v>
      </c>
      <c r="J174" s="52">
        <f t="shared" si="77"/>
        <v>59025.060732185149</v>
      </c>
      <c r="K174" s="51">
        <f t="shared" si="79"/>
        <v>15321.912932663492</v>
      </c>
      <c r="L174" s="49">
        <f t="shared" si="80"/>
        <v>15573.673632551139</v>
      </c>
      <c r="M174" s="49">
        <f t="shared" si="81"/>
        <v>-16804.14070188141</v>
      </c>
      <c r="N174" s="49">
        <f t="shared" si="73"/>
        <v>16804.14070188141</v>
      </c>
      <c r="O174" s="48">
        <f t="shared" si="74"/>
        <v>136171.7665774292</v>
      </c>
      <c r="P174" s="38">
        <f t="shared" si="78"/>
        <v>136171.7665774292</v>
      </c>
      <c r="Q174" s="53"/>
      <c r="R174" s="53">
        <f t="shared" si="66"/>
        <v>0.05</v>
      </c>
      <c r="S174" s="53">
        <f t="shared" si="67"/>
        <v>4.2653187775606449E-3</v>
      </c>
      <c r="T174" s="53">
        <f t="shared" si="68"/>
        <v>0.05</v>
      </c>
      <c r="U174" s="53">
        <f t="shared" si="71"/>
        <v>4.2653187775606449E-3</v>
      </c>
      <c r="V174" s="53"/>
      <c r="W174" s="63">
        <f t="shared" si="69"/>
        <v>259.56122720918569</v>
      </c>
      <c r="X174" s="64">
        <f t="shared" si="70"/>
        <v>8.5306375551212903E-4</v>
      </c>
      <c r="Z174" s="63"/>
    </row>
    <row r="175" spans="1:26" x14ac:dyDescent="0.2">
      <c r="A175" s="62">
        <f t="shared" si="61"/>
        <v>0.4050815926572971</v>
      </c>
      <c r="B175" s="45">
        <f t="shared" si="62"/>
        <v>164</v>
      </c>
      <c r="C175" s="49">
        <f t="shared" si="75"/>
        <v>3578116.7176320488</v>
      </c>
      <c r="D175" s="47" cm="1">
        <f t="array" ref="D175">_xlfn.IFS(AND($C$7="Y",B175&lt;C$4),C175,AND($C$7="Y",B175=C$4),D174+F175-J175-K175-L175+N175,AND($C$7="Y",B175&gt;$C$4),D174-J175-K175-L175+N175, TRUE, D174-J175-K175-L175+N175)</f>
        <v>3504586.3854338606</v>
      </c>
      <c r="E175" s="48">
        <f t="shared" si="63"/>
        <v>0</v>
      </c>
      <c r="F175" s="50">
        <f t="shared" si="64"/>
        <v>0</v>
      </c>
      <c r="G175" s="50">
        <f t="shared" si="72"/>
        <v>0</v>
      </c>
      <c r="H175" s="51">
        <f t="shared" si="76"/>
        <v>119141.53714255206</v>
      </c>
      <c r="I175" s="52">
        <f t="shared" si="65"/>
        <v>59380.915153467155</v>
      </c>
      <c r="J175" s="52">
        <f t="shared" si="77"/>
        <v>59760.621989084902</v>
      </c>
      <c r="K175" s="51">
        <f t="shared" si="79"/>
        <v>15006.910320890891</v>
      </c>
      <c r="L175" s="49">
        <f t="shared" si="80"/>
        <v>15261.808424019637</v>
      </c>
      <c r="M175" s="49">
        <f t="shared" si="81"/>
        <v>-16499.008535807636</v>
      </c>
      <c r="N175" s="49">
        <f t="shared" si="73"/>
        <v>16499.008535807636</v>
      </c>
      <c r="O175" s="48">
        <f t="shared" si="74"/>
        <v>135385.64757523095</v>
      </c>
      <c r="P175" s="38">
        <f t="shared" si="78"/>
        <v>135385.64757523095</v>
      </c>
      <c r="Q175" s="53"/>
      <c r="R175" s="53">
        <f t="shared" si="66"/>
        <v>0.05</v>
      </c>
      <c r="S175" s="53">
        <f t="shared" si="67"/>
        <v>4.2653187775606449E-3</v>
      </c>
      <c r="T175" s="53">
        <f t="shared" si="68"/>
        <v>0.05</v>
      </c>
      <c r="U175" s="53">
        <f t="shared" si="71"/>
        <v>4.2653187775606449E-3</v>
      </c>
      <c r="V175" s="53"/>
      <c r="W175" s="63">
        <f t="shared" si="69"/>
        <v>254.36347373366061</v>
      </c>
      <c r="X175" s="64">
        <f t="shared" si="70"/>
        <v>8.5306375551212892E-4</v>
      </c>
      <c r="Z175" s="63"/>
    </row>
    <row r="176" spans="1:26" x14ac:dyDescent="0.2">
      <c r="A176" s="62">
        <f t="shared" si="61"/>
        <v>0.39653375793320428</v>
      </c>
      <c r="B176" s="45">
        <f t="shared" si="62"/>
        <v>165</v>
      </c>
      <c r="C176" s="49">
        <f t="shared" si="75"/>
        <v>3504586.3854338606</v>
      </c>
      <c r="D176" s="47" cm="1">
        <f t="array" ref="D176">_xlfn.IFS(AND($C$7="Y",B176&lt;C$4),C176,AND($C$7="Y",B176=C$4),D175+F176-J176-K176-L176+N176,AND($C$7="Y",B176&gt;$C$4),D175-J176-K176-L176+N176, TRUE, D175-J176-K176-L176+N176)</f>
        <v>3430634.3082671794</v>
      </c>
      <c r="E176" s="48">
        <f t="shared" si="63"/>
        <v>0</v>
      </c>
      <c r="F176" s="50">
        <f t="shared" si="64"/>
        <v>0</v>
      </c>
      <c r="G176" s="50">
        <f t="shared" si="72"/>
        <v>0</v>
      </c>
      <c r="H176" s="51">
        <f t="shared" si="76"/>
        <v>118666.67647951828</v>
      </c>
      <c r="I176" s="52">
        <f t="shared" si="65"/>
        <v>58160.636788608099</v>
      </c>
      <c r="J176" s="52">
        <f t="shared" si="77"/>
        <v>60506.039690910184</v>
      </c>
      <c r="K176" s="51">
        <f t="shared" si="79"/>
        <v>14690.100570124963</v>
      </c>
      <c r="L176" s="49">
        <f t="shared" si="80"/>
        <v>14948.178117374433</v>
      </c>
      <c r="M176" s="49">
        <f t="shared" si="81"/>
        <v>-16192.241211728644</v>
      </c>
      <c r="N176" s="49">
        <f t="shared" si="73"/>
        <v>16192.241211728644</v>
      </c>
      <c r="O176" s="48">
        <f t="shared" si="74"/>
        <v>134600.84014399746</v>
      </c>
      <c r="P176" s="38">
        <f t="shared" si="78"/>
        <v>134600.84014399746</v>
      </c>
      <c r="Q176" s="53"/>
      <c r="R176" s="53">
        <f t="shared" si="66"/>
        <v>0.05</v>
      </c>
      <c r="S176" s="53">
        <f t="shared" si="67"/>
        <v>4.2653187775606449E-3</v>
      </c>
      <c r="T176" s="53">
        <f t="shared" si="68"/>
        <v>0.05</v>
      </c>
      <c r="U176" s="53">
        <f t="shared" si="71"/>
        <v>4.2653187775606449E-3</v>
      </c>
      <c r="V176" s="53"/>
      <c r="W176" s="63">
        <f t="shared" si="69"/>
        <v>249.13630195624057</v>
      </c>
      <c r="X176" s="64">
        <f t="shared" si="70"/>
        <v>8.5306375551212903E-4</v>
      </c>
      <c r="Z176" s="63"/>
    </row>
    <row r="177" spans="1:26" x14ac:dyDescent="0.2">
      <c r="A177" s="62">
        <f t="shared" si="61"/>
        <v>0.38793624492242751</v>
      </c>
      <c r="B177" s="45">
        <f t="shared" si="62"/>
        <v>166</v>
      </c>
      <c r="C177" s="49">
        <f t="shared" si="75"/>
        <v>3430634.3082671794</v>
      </c>
      <c r="D177" s="47" cm="1">
        <f t="array" ref="D177">_xlfn.IFS(AND($C$7="Y",B177&lt;C$4),C177,AND($C$7="Y",B177=C$4),D176+F177-J177-K177-L177+N177,AND($C$7="Y",B177&gt;$C$4),D176-J177-K177-L177+N177, TRUE, D176-J177-K177-L177+N177)</f>
        <v>3356252.4365842328</v>
      </c>
      <c r="E177" s="48">
        <f t="shared" si="63"/>
        <v>0</v>
      </c>
      <c r="F177" s="50">
        <f t="shared" si="64"/>
        <v>0</v>
      </c>
      <c r="G177" s="50">
        <f t="shared" si="72"/>
        <v>0</v>
      </c>
      <c r="H177" s="51">
        <f t="shared" si="76"/>
        <v>118194.8398667656</v>
      </c>
      <c r="I177" s="52">
        <f t="shared" si="65"/>
        <v>56933.359322219731</v>
      </c>
      <c r="J177" s="52">
        <f t="shared" si="77"/>
        <v>61261.48054454587</v>
      </c>
      <c r="K177" s="51">
        <f t="shared" si="79"/>
        <v>14371.449190687958</v>
      </c>
      <c r="L177" s="49">
        <f t="shared" si="80"/>
        <v>14632.748933995774</v>
      </c>
      <c r="M177" s="49">
        <f t="shared" si="81"/>
        <v>-15883.806986282796</v>
      </c>
      <c r="N177" s="49">
        <f t="shared" si="73"/>
        <v>15883.806986282796</v>
      </c>
      <c r="O177" s="48">
        <f t="shared" si="74"/>
        <v>133817.3471097406</v>
      </c>
      <c r="P177" s="38">
        <f t="shared" si="78"/>
        <v>133817.3471097406</v>
      </c>
      <c r="Q177" s="53"/>
      <c r="R177" s="53">
        <f t="shared" si="66"/>
        <v>0.05</v>
      </c>
      <c r="S177" s="53">
        <f t="shared" si="67"/>
        <v>4.2653187775606449E-3</v>
      </c>
      <c r="T177" s="53">
        <f t="shared" si="68"/>
        <v>0.05</v>
      </c>
      <c r="U177" s="53">
        <f t="shared" si="71"/>
        <v>4.2653187775606449E-3</v>
      </c>
      <c r="V177" s="53"/>
      <c r="W177" s="63">
        <f t="shared" si="69"/>
        <v>243.87914889992956</v>
      </c>
      <c r="X177" s="64">
        <f t="shared" si="70"/>
        <v>8.5306375551212903E-4</v>
      </c>
      <c r="Z177" s="63"/>
    </row>
    <row r="178" spans="1:26" x14ac:dyDescent="0.2">
      <c r="A178" s="62">
        <f t="shared" si="61"/>
        <v>0.37928810757643239</v>
      </c>
      <c r="B178" s="45">
        <f t="shared" si="62"/>
        <v>167</v>
      </c>
      <c r="C178" s="49">
        <f t="shared" si="75"/>
        <v>3356252.4365842328</v>
      </c>
      <c r="D178" s="47" cm="1">
        <f t="array" ref="D178">_xlfn.IFS(AND($C$7="Y",B178&lt;C$4),C178,AND($C$7="Y",B178=C$4),D177+F178-J178-K178-L178+N178,AND($C$7="Y",B178&gt;$C$4),D177-J178-K178-L178+N178, TRUE, D177-J178-K178-L178+N178)</f>
        <v>3281432.5855924413</v>
      </c>
      <c r="E178" s="48">
        <f t="shared" si="63"/>
        <v>0</v>
      </c>
      <c r="F178" s="50">
        <f t="shared" si="64"/>
        <v>0</v>
      </c>
      <c r="G178" s="50">
        <f t="shared" si="72"/>
        <v>0</v>
      </c>
      <c r="H178" s="51">
        <f t="shared" si="76"/>
        <v>117726.06613848885</v>
      </c>
      <c r="I178" s="52">
        <f t="shared" si="65"/>
        <v>55698.949167403945</v>
      </c>
      <c r="J178" s="52">
        <f t="shared" si="77"/>
        <v>62027.116971084906</v>
      </c>
      <c r="K178" s="51">
        <f t="shared" si="79"/>
        <v>14050.921113261677</v>
      </c>
      <c r="L178" s="49">
        <f t="shared" si="80"/>
        <v>14315.486539996396</v>
      </c>
      <c r="M178" s="49">
        <f t="shared" si="81"/>
        <v>-15573.673632551139</v>
      </c>
      <c r="N178" s="49">
        <f t="shared" si="73"/>
        <v>15573.673632551139</v>
      </c>
      <c r="O178" s="48">
        <f t="shared" si="74"/>
        <v>133035.17434430527</v>
      </c>
      <c r="P178" s="38">
        <f t="shared" si="78"/>
        <v>133035.17434430527</v>
      </c>
      <c r="Q178" s="53"/>
      <c r="R178" s="53">
        <f t="shared" si="66"/>
        <v>0.05</v>
      </c>
      <c r="S178" s="53">
        <f t="shared" si="67"/>
        <v>4.2653187775606449E-3</v>
      </c>
      <c r="T178" s="53">
        <f t="shared" si="68"/>
        <v>0.05</v>
      </c>
      <c r="U178" s="53">
        <f t="shared" si="71"/>
        <v>4.2653187775606449E-3</v>
      </c>
      <c r="V178" s="53"/>
      <c r="W178" s="63">
        <f t="shared" si="69"/>
        <v>238.59144233327331</v>
      </c>
      <c r="X178" s="64">
        <f t="shared" si="70"/>
        <v>8.5306375551212914E-4</v>
      </c>
      <c r="Z178" s="63"/>
    </row>
    <row r="179" spans="1:26" x14ac:dyDescent="0.2">
      <c r="A179" s="62">
        <f t="shared" si="61"/>
        <v>0.37058838357924884</v>
      </c>
      <c r="B179" s="45">
        <f t="shared" si="62"/>
        <v>168</v>
      </c>
      <c r="C179" s="49">
        <f t="shared" si="75"/>
        <v>3281432.5855924413</v>
      </c>
      <c r="D179" s="47" cm="1">
        <f t="array" ref="D179">_xlfn.IFS(AND($C$7="Y",B179&lt;C$4),C179,AND($C$7="Y",B179=C$4),D178+F179-J179-K179-L179+N179,AND($C$7="Y",B179&gt;$C$4),D178-J179-K179-L179+N179, TRUE, D178-J179-K179-L179+N179)</f>
        <v>3206166.4297605823</v>
      </c>
      <c r="E179" s="48">
        <f t="shared" si="63"/>
        <v>0</v>
      </c>
      <c r="F179" s="50">
        <f t="shared" si="64"/>
        <v>0</v>
      </c>
      <c r="G179" s="50">
        <f t="shared" si="72"/>
        <v>0</v>
      </c>
      <c r="H179" s="51">
        <f t="shared" si="76"/>
        <v>117260.39805871845</v>
      </c>
      <c r="I179" s="52">
        <f t="shared" si="65"/>
        <v>54457.270492796903</v>
      </c>
      <c r="J179" s="52">
        <f t="shared" si="77"/>
        <v>62803.127565921546</v>
      </c>
      <c r="K179" s="51">
        <f t="shared" si="79"/>
        <v>13728.480665330355</v>
      </c>
      <c r="L179" s="49">
        <f t="shared" si="80"/>
        <v>13996.356024626817</v>
      </c>
      <c r="M179" s="49">
        <f t="shared" si="81"/>
        <v>-15261.808424019637</v>
      </c>
      <c r="N179" s="49">
        <f t="shared" si="73"/>
        <v>15261.808424019637</v>
      </c>
      <c r="O179" s="48">
        <f t="shared" si="74"/>
        <v>132254.33112344163</v>
      </c>
      <c r="P179" s="38">
        <f t="shared" si="78"/>
        <v>132254.33112344163</v>
      </c>
      <c r="Q179" s="53"/>
      <c r="R179" s="53">
        <f t="shared" si="66"/>
        <v>0.05</v>
      </c>
      <c r="S179" s="53">
        <f t="shared" si="67"/>
        <v>4.2653187775606449E-3</v>
      </c>
      <c r="T179" s="53">
        <f t="shared" si="68"/>
        <v>0.05</v>
      </c>
      <c r="U179" s="53">
        <f t="shared" si="71"/>
        <v>4.2653187775606449E-3</v>
      </c>
      <c r="V179" s="53"/>
      <c r="W179" s="63">
        <f t="shared" si="69"/>
        <v>233.27260041044698</v>
      </c>
      <c r="X179" s="64">
        <f t="shared" si="70"/>
        <v>8.5306375551212903E-4</v>
      </c>
      <c r="Z179" s="63"/>
    </row>
    <row r="180" spans="1:26" x14ac:dyDescent="0.2">
      <c r="A180" s="62">
        <f t="shared" si="61"/>
        <v>0.36183609365619546</v>
      </c>
      <c r="B180" s="45">
        <f t="shared" si="62"/>
        <v>169</v>
      </c>
      <c r="C180" s="49">
        <f t="shared" si="75"/>
        <v>3206166.4297605823</v>
      </c>
      <c r="D180" s="47" cm="1">
        <f t="array" ref="D180">_xlfn.IFS(AND($C$7="Y",B180&lt;C$4),C180,AND($C$7="Y",B180=C$4),D179+F180-J180-K180-L180+N180,AND($C$7="Y",B180&gt;$C$4),D179-J180-K180-L180+N180, TRUE, D179-J180-K180-L180+N180)</f>
        <v>3130445.4968381803</v>
      </c>
      <c r="E180" s="48">
        <f t="shared" si="63"/>
        <v>0</v>
      </c>
      <c r="F180" s="50">
        <f t="shared" si="64"/>
        <v>0</v>
      </c>
      <c r="G180" s="50">
        <f t="shared" si="72"/>
        <v>0</v>
      </c>
      <c r="H180" s="51">
        <f t="shared" si="76"/>
        <v>116797.88274879365</v>
      </c>
      <c r="I180" s="52">
        <f t="shared" si="65"/>
        <v>53208.185131395665</v>
      </c>
      <c r="J180" s="52">
        <f t="shared" si="77"/>
        <v>63589.697617397986</v>
      </c>
      <c r="K180" s="51">
        <f t="shared" si="79"/>
        <v>13404.091545535493</v>
      </c>
      <c r="L180" s="49">
        <f t="shared" si="80"/>
        <v>13675.321876842385</v>
      </c>
      <c r="M180" s="49">
        <f t="shared" si="81"/>
        <v>-14948.178117374433</v>
      </c>
      <c r="N180" s="49">
        <f t="shared" si="73"/>
        <v>14948.178117374433</v>
      </c>
      <c r="O180" s="48">
        <f t="shared" si="74"/>
        <v>131474.83053486119</v>
      </c>
      <c r="P180" s="38">
        <f t="shared" si="78"/>
        <v>131474.83053486119</v>
      </c>
      <c r="Q180" s="53"/>
      <c r="R180" s="53">
        <f t="shared" si="66"/>
        <v>0.05</v>
      </c>
      <c r="S180" s="53">
        <f t="shared" si="67"/>
        <v>4.2653187775606449E-3</v>
      </c>
      <c r="T180" s="53">
        <f t="shared" si="68"/>
        <v>0.05</v>
      </c>
      <c r="U180" s="53">
        <f t="shared" si="71"/>
        <v>4.2653187775606449E-3</v>
      </c>
      <c r="V180" s="53"/>
      <c r="W180" s="63">
        <f t="shared" si="69"/>
        <v>227.92203128070642</v>
      </c>
      <c r="X180" s="64">
        <f t="shared" si="70"/>
        <v>8.5306375551212914E-4</v>
      </c>
      <c r="Z180" s="63"/>
    </row>
    <row r="181" spans="1:26" x14ac:dyDescent="0.2">
      <c r="A181" s="62">
        <f t="shared" si="61"/>
        <v>0.35303024081883005</v>
      </c>
      <c r="B181" s="45">
        <f t="shared" si="62"/>
        <v>170</v>
      </c>
      <c r="C181" s="49">
        <f t="shared" si="75"/>
        <v>3130445.4968381803</v>
      </c>
      <c r="D181" s="47" cm="1">
        <f t="array" ref="D181">_xlfn.IFS(AND($C$7="Y",B181&lt;C$4),C181,AND($C$7="Y",B181=C$4),D180+F181-J181-K181-L181+N181,AND($C$7="Y",B181&gt;$C$4),D180-J181-K181-L181+N181, TRUE, D180-J181-K181-L181+N181)</f>
        <v>3054261.1613231539</v>
      </c>
      <c r="E181" s="48">
        <f t="shared" si="63"/>
        <v>0</v>
      </c>
      <c r="F181" s="50">
        <f t="shared" si="64"/>
        <v>0</v>
      </c>
      <c r="G181" s="50">
        <f t="shared" si="72"/>
        <v>0</v>
      </c>
      <c r="H181" s="51">
        <f t="shared" si="76"/>
        <v>116338.5721748705</v>
      </c>
      <c r="I181" s="52">
        <f t="shared" si="65"/>
        <v>51951.552481306433</v>
      </c>
      <c r="J181" s="52">
        <f t="shared" si="77"/>
        <v>64387.019693564063</v>
      </c>
      <c r="K181" s="51">
        <f t="shared" si="79"/>
        <v>13077.716795663928</v>
      </c>
      <c r="L181" s="49">
        <f t="shared" si="80"/>
        <v>13352.347959794053</v>
      </c>
      <c r="M181" s="49">
        <f t="shared" si="81"/>
        <v>-14632.748933995774</v>
      </c>
      <c r="N181" s="49">
        <f t="shared" si="73"/>
        <v>14632.748933995774</v>
      </c>
      <c r="O181" s="48">
        <f t="shared" si="74"/>
        <v>130696.68994473615</v>
      </c>
      <c r="P181" s="38">
        <f t="shared" si="78"/>
        <v>130696.68994473615</v>
      </c>
      <c r="Q181" s="53"/>
      <c r="R181" s="53">
        <f t="shared" si="66"/>
        <v>0.05</v>
      </c>
      <c r="S181" s="53">
        <f t="shared" si="67"/>
        <v>4.2653187775606449E-3</v>
      </c>
      <c r="T181" s="53">
        <f t="shared" si="68"/>
        <v>0.05</v>
      </c>
      <c r="U181" s="53">
        <f t="shared" si="71"/>
        <v>4.2653187775606449E-3</v>
      </c>
      <c r="V181" s="53"/>
      <c r="W181" s="63">
        <f t="shared" si="69"/>
        <v>222.53913266323423</v>
      </c>
      <c r="X181" s="64">
        <f t="shared" si="70"/>
        <v>8.5306375551212903E-4</v>
      </c>
      <c r="Z181" s="63"/>
    </row>
    <row r="182" spans="1:26" x14ac:dyDescent="0.2">
      <c r="A182" s="62">
        <f t="shared" si="61"/>
        <v>0.344169809537345</v>
      </c>
      <c r="B182" s="45">
        <f t="shared" si="62"/>
        <v>171</v>
      </c>
      <c r="C182" s="49">
        <f t="shared" si="75"/>
        <v>3054261.1613231539</v>
      </c>
      <c r="D182" s="47" cm="1">
        <f t="array" ref="D182">_xlfn.IFS(AND($C$7="Y",B182&lt;C$4),C182,AND($C$7="Y",B182=C$4),D181+F182-J182-K182-L182+N182,AND($C$7="Y",B182&gt;$C$4),D181-J182-K182-L182+N182, TRUE, D181-J182-K182-L182+N182)</f>
        <v>2977604.6373017444</v>
      </c>
      <c r="E182" s="48">
        <f t="shared" si="63"/>
        <v>0</v>
      </c>
      <c r="F182" s="50">
        <f t="shared" si="64"/>
        <v>0</v>
      </c>
      <c r="G182" s="50">
        <f t="shared" si="72"/>
        <v>0</v>
      </c>
      <c r="H182" s="51">
        <f t="shared" si="76"/>
        <v>115882.52370583295</v>
      </c>
      <c r="I182" s="52">
        <f t="shared" si="65"/>
        <v>50687.229397336465</v>
      </c>
      <c r="J182" s="52">
        <f t="shared" si="77"/>
        <v>65195.294308496486</v>
      </c>
      <c r="K182" s="51">
        <f t="shared" si="79"/>
        <v>12749.318769943207</v>
      </c>
      <c r="L182" s="49">
        <f t="shared" si="80"/>
        <v>13027.397482965831</v>
      </c>
      <c r="M182" s="49">
        <f t="shared" si="81"/>
        <v>-14315.486539996396</v>
      </c>
      <c r="N182" s="49">
        <f t="shared" si="73"/>
        <v>14315.486539996396</v>
      </c>
      <c r="O182" s="48">
        <f t="shared" si="74"/>
        <v>129919.93153280672</v>
      </c>
      <c r="P182" s="38">
        <f t="shared" si="78"/>
        <v>129919.93153280672</v>
      </c>
      <c r="Q182" s="53"/>
      <c r="R182" s="53">
        <f t="shared" si="66"/>
        <v>0.05</v>
      </c>
      <c r="S182" s="53">
        <f t="shared" si="67"/>
        <v>4.2653187775606449E-3</v>
      </c>
      <c r="T182" s="53">
        <f t="shared" si="68"/>
        <v>0.05</v>
      </c>
      <c r="U182" s="53">
        <f t="shared" si="71"/>
        <v>4.2653187775606449E-3</v>
      </c>
      <c r="V182" s="53"/>
      <c r="W182" s="63">
        <f t="shared" si="69"/>
        <v>217.12329138276388</v>
      </c>
      <c r="X182" s="64">
        <f t="shared" si="70"/>
        <v>8.5306375551212914E-4</v>
      </c>
      <c r="Z182" s="63"/>
    </row>
    <row r="183" spans="1:26" x14ac:dyDescent="0.2">
      <c r="A183" s="62">
        <f t="shared" si="61"/>
        <v>0.33525376483009517</v>
      </c>
      <c r="B183" s="45">
        <f t="shared" si="62"/>
        <v>172</v>
      </c>
      <c r="C183" s="49">
        <f t="shared" si="75"/>
        <v>2977604.6373017444</v>
      </c>
      <c r="D183" s="47" cm="1">
        <f t="array" ref="D183">_xlfn.IFS(AND($C$7="Y",B183&lt;C$4),C183,AND($C$7="Y",B183=C$4),D182+F183-J183-K183-L183+N183,AND($C$7="Y",B183&gt;$C$4),D182-J183-K183-L183+N183, TRUE, D182-J183-K183-L183+N183)</f>
        <v>2900466.9705715193</v>
      </c>
      <c r="E183" s="48">
        <f t="shared" si="63"/>
        <v>0</v>
      </c>
      <c r="F183" s="50">
        <f t="shared" si="64"/>
        <v>0</v>
      </c>
      <c r="G183" s="50">
        <f t="shared" si="72"/>
        <v>0</v>
      </c>
      <c r="H183" s="51">
        <f t="shared" si="76"/>
        <v>115429.80075412377</v>
      </c>
      <c r="I183" s="52">
        <f t="shared" si="65"/>
        <v>49415.070072168492</v>
      </c>
      <c r="J183" s="52">
        <f t="shared" si="77"/>
        <v>66014.73068195529</v>
      </c>
      <c r="K183" s="51">
        <f t="shared" si="79"/>
        <v>12418.859101261431</v>
      </c>
      <c r="L183" s="49">
        <f t="shared" si="80"/>
        <v>12700.432971634784</v>
      </c>
      <c r="M183" s="49">
        <f t="shared" si="81"/>
        <v>-13996.356024626817</v>
      </c>
      <c r="N183" s="49">
        <f t="shared" si="73"/>
        <v>13996.356024626817</v>
      </c>
      <c r="O183" s="48">
        <f t="shared" si="74"/>
        <v>129144.58290837724</v>
      </c>
      <c r="P183" s="38">
        <f t="shared" si="78"/>
        <v>129144.58290837724</v>
      </c>
      <c r="Q183" s="53"/>
      <c r="R183" s="53">
        <f t="shared" si="66"/>
        <v>0.05</v>
      </c>
      <c r="S183" s="53">
        <f t="shared" si="67"/>
        <v>4.2653187775606449E-3</v>
      </c>
      <c r="T183" s="53">
        <f t="shared" si="68"/>
        <v>0.05</v>
      </c>
      <c r="U183" s="53">
        <f t="shared" si="71"/>
        <v>4.2653187775606449E-3</v>
      </c>
      <c r="V183" s="53"/>
      <c r="W183" s="63">
        <f t="shared" si="69"/>
        <v>211.67388286057974</v>
      </c>
      <c r="X183" s="64">
        <f t="shared" si="70"/>
        <v>8.5306375551212903E-4</v>
      </c>
      <c r="Z183" s="63"/>
    </row>
    <row r="184" spans="1:26" x14ac:dyDescent="0.2">
      <c r="A184" s="62">
        <f t="shared" si="61"/>
        <v>0.32628105125809298</v>
      </c>
      <c r="B184" s="45">
        <f t="shared" si="62"/>
        <v>173</v>
      </c>
      <c r="C184" s="49">
        <f t="shared" si="75"/>
        <v>2900466.9705715193</v>
      </c>
      <c r="D184" s="47" cm="1">
        <f t="array" ref="D184">_xlfn.IFS(AND($C$7="Y",B184&lt;C$4),C184,AND($C$7="Y",B184=C$4),D183+F184-J184-K184-L184+N184,AND($C$7="Y",B184&gt;$C$4),D183-J184-K184-L184+N184, TRUE, D183-J184-K184-L184+N184)</f>
        <v>2822839.0299421861</v>
      </c>
      <c r="E184" s="48">
        <f t="shared" si="63"/>
        <v>0</v>
      </c>
      <c r="F184" s="50">
        <f t="shared" si="64"/>
        <v>0</v>
      </c>
      <c r="G184" s="50">
        <f t="shared" si="72"/>
        <v>0</v>
      </c>
      <c r="H184" s="51">
        <f t="shared" si="76"/>
        <v>114980.47351467967</v>
      </c>
      <c r="I184" s="52">
        <f t="shared" si="65"/>
        <v>48134.925905637436</v>
      </c>
      <c r="J184" s="52">
        <f t="shared" si="77"/>
        <v>66845.547609042231</v>
      </c>
      <c r="K184" s="51">
        <f t="shared" si="79"/>
        <v>12086.298663859967</v>
      </c>
      <c r="L184" s="49">
        <f t="shared" si="80"/>
        <v>12371.416233273139</v>
      </c>
      <c r="M184" s="49">
        <f t="shared" si="81"/>
        <v>-13675.321876842385</v>
      </c>
      <c r="N184" s="49">
        <f t="shared" si="73"/>
        <v>13675.321876842385</v>
      </c>
      <c r="O184" s="48">
        <f t="shared" si="74"/>
        <v>128370.67782210888</v>
      </c>
      <c r="P184" s="38">
        <f t="shared" si="78"/>
        <v>128370.67782210888</v>
      </c>
      <c r="Q184" s="53"/>
      <c r="R184" s="53">
        <f t="shared" si="66"/>
        <v>0.05</v>
      </c>
      <c r="S184" s="53">
        <f t="shared" si="67"/>
        <v>4.2653187775606449E-3</v>
      </c>
      <c r="T184" s="53">
        <f t="shared" si="68"/>
        <v>0.05</v>
      </c>
      <c r="U184" s="53">
        <f t="shared" si="71"/>
        <v>4.2653187775606449E-3</v>
      </c>
      <c r="V184" s="53"/>
      <c r="W184" s="63">
        <f t="shared" si="69"/>
        <v>206.19027055455231</v>
      </c>
      <c r="X184" s="64">
        <f t="shared" si="70"/>
        <v>8.5306375551212892E-4</v>
      </c>
      <c r="Z184" s="63"/>
    </row>
    <row r="185" spans="1:26" x14ac:dyDescent="0.2">
      <c r="A185" s="62">
        <f t="shared" si="61"/>
        <v>0.31725059181004672</v>
      </c>
      <c r="B185" s="45">
        <f t="shared" si="62"/>
        <v>174</v>
      </c>
      <c r="C185" s="49">
        <f t="shared" si="75"/>
        <v>2822839.0299421861</v>
      </c>
      <c r="D185" s="47" cm="1">
        <f t="array" ref="D185">_xlfn.IFS(AND($C$7="Y",B185&lt;C$4),C185,AND($C$7="Y",B185=C$4),D184+F185-J185-K185-L185+N185,AND($C$7="Y",B185&gt;$C$4),D184-J185-K185-L185+N185, TRUE, D184-J185-K185-L185+N185)</f>
        <v>2744711.4975894382</v>
      </c>
      <c r="E185" s="48">
        <f t="shared" si="63"/>
        <v>0</v>
      </c>
      <c r="F185" s="50">
        <f t="shared" si="64"/>
        <v>0</v>
      </c>
      <c r="G185" s="50">
        <f t="shared" si="72"/>
        <v>0</v>
      </c>
      <c r="H185" s="51">
        <f t="shared" si="76"/>
        <v>114534.61982049697</v>
      </c>
      <c r="I185" s="52">
        <f t="shared" si="65"/>
        <v>46846.645360362374</v>
      </c>
      <c r="J185" s="52">
        <f t="shared" si="77"/>
        <v>67687.974460134603</v>
      </c>
      <c r="K185" s="51">
        <f t="shared" si="79"/>
        <v>11751.597531963624</v>
      </c>
      <c r="L185" s="49">
        <f t="shared" si="80"/>
        <v>12040.308320443482</v>
      </c>
      <c r="M185" s="49">
        <f t="shared" si="81"/>
        <v>-13352.347959794053</v>
      </c>
      <c r="N185" s="49">
        <f t="shared" si="73"/>
        <v>13352.347959794053</v>
      </c>
      <c r="O185" s="48">
        <f t="shared" si="74"/>
        <v>127598.25699181118</v>
      </c>
      <c r="P185" s="38">
        <f t="shared" si="78"/>
        <v>127598.25699181118</v>
      </c>
      <c r="Q185" s="53"/>
      <c r="R185" s="53">
        <f t="shared" si="66"/>
        <v>0.05</v>
      </c>
      <c r="S185" s="53">
        <f t="shared" si="67"/>
        <v>4.2653187775606449E-3</v>
      </c>
      <c r="T185" s="53">
        <f t="shared" si="68"/>
        <v>0.05</v>
      </c>
      <c r="U185" s="53">
        <f t="shared" si="71"/>
        <v>4.2653187775606449E-3</v>
      </c>
      <c r="V185" s="53"/>
      <c r="W185" s="63">
        <f t="shared" si="69"/>
        <v>200.67180534072472</v>
      </c>
      <c r="X185" s="64">
        <f t="shared" si="70"/>
        <v>8.5306375551212903E-4</v>
      </c>
      <c r="Z185" s="63"/>
    </row>
    <row r="186" spans="1:26" x14ac:dyDescent="0.2">
      <c r="A186" s="62">
        <f t="shared" si="61"/>
        <v>0.30816128666075604</v>
      </c>
      <c r="B186" s="45">
        <f t="shared" si="62"/>
        <v>175</v>
      </c>
      <c r="C186" s="49">
        <f t="shared" si="75"/>
        <v>2744711.4975894382</v>
      </c>
      <c r="D186" s="47" cm="1">
        <f t="array" ref="D186">_xlfn.IFS(AND($C$7="Y",B186&lt;C$4),C186,AND($C$7="Y",B186=C$4),D185+F186-J186-K186-L186+N186,AND($C$7="Y",B186&gt;$C$4),D185-J186-K186-L186+N186, TRUE, D185-J186-K186-L186+N186)</f>
        <v>2666074.8583131456</v>
      </c>
      <c r="E186" s="48">
        <f t="shared" si="63"/>
        <v>0</v>
      </c>
      <c r="F186" s="50">
        <f t="shared" si="64"/>
        <v>0</v>
      </c>
      <c r="G186" s="50">
        <f t="shared" si="72"/>
        <v>0</v>
      </c>
      <c r="H186" s="51">
        <f t="shared" si="76"/>
        <v>114092.32613755662</v>
      </c>
      <c r="I186" s="52">
        <f t="shared" si="65"/>
        <v>45550.073801663057</v>
      </c>
      <c r="J186" s="52">
        <f t="shared" si="77"/>
        <v>68542.252335893572</v>
      </c>
      <c r="K186" s="51">
        <f t="shared" si="79"/>
        <v>11414.714933710244</v>
      </c>
      <c r="L186" s="49">
        <f t="shared" si="80"/>
        <v>11707.06948965483</v>
      </c>
      <c r="M186" s="49">
        <f t="shared" si="81"/>
        <v>-13027.397482965831</v>
      </c>
      <c r="N186" s="49">
        <f t="shared" si="73"/>
        <v>13027.397482965831</v>
      </c>
      <c r="O186" s="48">
        <f t="shared" si="74"/>
        <v>126827.36906457787</v>
      </c>
      <c r="P186" s="38">
        <f t="shared" si="78"/>
        <v>126827.36906457787</v>
      </c>
      <c r="Q186" s="53"/>
      <c r="R186" s="53">
        <f t="shared" si="66"/>
        <v>0.05</v>
      </c>
      <c r="S186" s="53">
        <f t="shared" si="67"/>
        <v>4.2653187775606449E-3</v>
      </c>
      <c r="T186" s="53">
        <f t="shared" si="68"/>
        <v>0.05</v>
      </c>
      <c r="U186" s="53">
        <f t="shared" si="71"/>
        <v>4.2653187775606449E-3</v>
      </c>
      <c r="V186" s="53"/>
      <c r="W186" s="63">
        <f t="shared" si="69"/>
        <v>195.11782482758051</v>
      </c>
      <c r="X186" s="64">
        <f t="shared" si="70"/>
        <v>8.5306375551212903E-4</v>
      </c>
      <c r="Z186" s="63"/>
    </row>
    <row r="187" spans="1:26" x14ac:dyDescent="0.2">
      <c r="A187" s="62">
        <f t="shared" si="61"/>
        <v>0.29901201178227405</v>
      </c>
      <c r="B187" s="45">
        <f t="shared" si="62"/>
        <v>176</v>
      </c>
      <c r="C187" s="49">
        <f t="shared" si="75"/>
        <v>2666074.8583131456</v>
      </c>
      <c r="D187" s="47" cm="1">
        <f t="array" ref="D187">_xlfn.IFS(AND($C$7="Y",B187&lt;C$4),C187,AND($C$7="Y",B187=C$4),D186+F187-J187-K187-L187+N187,AND($C$7="Y",B187&gt;$C$4),D186-J187-K187-L187+N187, TRUE, D186-J187-K187-L187+N187)</f>
        <v>2586919.3875217419</v>
      </c>
      <c r="E187" s="48">
        <f t="shared" si="63"/>
        <v>0</v>
      </c>
      <c r="F187" s="50">
        <f t="shared" si="64"/>
        <v>0</v>
      </c>
      <c r="G187" s="50">
        <f t="shared" si="72"/>
        <v>0</v>
      </c>
      <c r="H187" s="51">
        <f t="shared" si="76"/>
        <v>113653.68872717132</v>
      </c>
      <c r="I187" s="52">
        <f t="shared" si="65"/>
        <v>44245.053319293336</v>
      </c>
      <c r="J187" s="52">
        <f t="shared" si="77"/>
        <v>69408.635407877984</v>
      </c>
      <c r="K187" s="51">
        <f t="shared" si="79"/>
        <v>11075.609199615312</v>
      </c>
      <c r="L187" s="49">
        <f t="shared" si="80"/>
        <v>11371.659155545396</v>
      </c>
      <c r="M187" s="49">
        <f t="shared" si="81"/>
        <v>-12700.432971634784</v>
      </c>
      <c r="N187" s="49">
        <f t="shared" si="73"/>
        <v>12700.432971634784</v>
      </c>
      <c r="O187" s="48">
        <f t="shared" si="74"/>
        <v>126058.07174287603</v>
      </c>
      <c r="P187" s="38">
        <f t="shared" si="78"/>
        <v>126058.07174287603</v>
      </c>
      <c r="Q187" s="53"/>
      <c r="R187" s="53">
        <f t="shared" si="66"/>
        <v>0.05</v>
      </c>
      <c r="S187" s="53">
        <f t="shared" si="67"/>
        <v>4.2653187775606449E-3</v>
      </c>
      <c r="T187" s="53">
        <f t="shared" si="68"/>
        <v>0.05</v>
      </c>
      <c r="U187" s="53">
        <f t="shared" si="71"/>
        <v>4.2653187775606449E-3</v>
      </c>
      <c r="V187" s="53"/>
      <c r="W187" s="63">
        <f t="shared" si="69"/>
        <v>189.52765259242327</v>
      </c>
      <c r="X187" s="64">
        <f t="shared" si="70"/>
        <v>8.5306375551212903E-4</v>
      </c>
      <c r="Z187" s="63"/>
    </row>
    <row r="188" spans="1:26" x14ac:dyDescent="0.2">
      <c r="A188" s="62">
        <f t="shared" si="61"/>
        <v>0.28980161738302285</v>
      </c>
      <c r="B188" s="45">
        <f t="shared" si="62"/>
        <v>177</v>
      </c>
      <c r="C188" s="49">
        <f t="shared" si="75"/>
        <v>2586919.3875217419</v>
      </c>
      <c r="D188" s="47" cm="1">
        <f t="array" ref="D188">_xlfn.IFS(AND($C$7="Y",B188&lt;C$4),C188,AND($C$7="Y",B188=C$4),D187+F188-J188-K188-L188+N188,AND($C$7="Y",B188&gt;$C$4),D187-J188-K188-L188+N188, TRUE, D187-J188-K188-L188+N188)</f>
        <v>2507235.1377281453</v>
      </c>
      <c r="E188" s="48">
        <f t="shared" si="63"/>
        <v>0</v>
      </c>
      <c r="F188" s="50">
        <f t="shared" si="64"/>
        <v>0</v>
      </c>
      <c r="G188" s="50">
        <f t="shared" si="72"/>
        <v>0</v>
      </c>
      <c r="H188" s="51">
        <f t="shared" si="76"/>
        <v>113218.8150106221</v>
      </c>
      <c r="I188" s="52">
        <f t="shared" si="65"/>
        <v>42931.42252803516</v>
      </c>
      <c r="J188" s="52">
        <f t="shared" si="77"/>
        <v>70287.392482586933</v>
      </c>
      <c r="K188" s="51">
        <f t="shared" si="79"/>
        <v>10734.237704650415</v>
      </c>
      <c r="L188" s="49">
        <f t="shared" si="80"/>
        <v>11034.035839632168</v>
      </c>
      <c r="M188" s="49">
        <f t="shared" si="81"/>
        <v>-12371.416233273139</v>
      </c>
      <c r="N188" s="49">
        <f t="shared" si="73"/>
        <v>12371.416233273139</v>
      </c>
      <c r="O188" s="48">
        <f t="shared" si="74"/>
        <v>125290.43310891348</v>
      </c>
      <c r="P188" s="38">
        <f t="shared" si="78"/>
        <v>125290.43310891348</v>
      </c>
      <c r="Q188" s="53"/>
      <c r="R188" s="53">
        <f t="shared" si="66"/>
        <v>0.05</v>
      </c>
      <c r="S188" s="53">
        <f t="shared" si="67"/>
        <v>4.2653187775606449E-3</v>
      </c>
      <c r="T188" s="53">
        <f t="shared" si="68"/>
        <v>0.05</v>
      </c>
      <c r="U188" s="53">
        <f t="shared" si="71"/>
        <v>4.2653187775606449E-3</v>
      </c>
      <c r="V188" s="53"/>
      <c r="W188" s="63">
        <f t="shared" si="69"/>
        <v>183.9005973272028</v>
      </c>
      <c r="X188" s="64">
        <f t="shared" si="70"/>
        <v>8.5306375551212892E-4</v>
      </c>
      <c r="Z188" s="63"/>
    </row>
    <row r="189" spans="1:26" x14ac:dyDescent="0.2">
      <c r="A189" s="62">
        <f t="shared" si="61"/>
        <v>0.28052892614477865</v>
      </c>
      <c r="B189" s="45">
        <f t="shared" si="62"/>
        <v>178</v>
      </c>
      <c r="C189" s="49">
        <f t="shared" si="75"/>
        <v>2507235.1377281453</v>
      </c>
      <c r="D189" s="47" cm="1">
        <f t="array" ref="D189">_xlfn.IFS(AND($C$7="Y",B189&lt;C$4),C189,AND($C$7="Y",B189=C$4),D188+F189-J189-K189-L189+N189,AND($C$7="Y",B189&gt;$C$4),D188-J189-K189-L189+N189, TRUE, D188-J189-K189-L189+N189)</f>
        <v>2427011.9232969349</v>
      </c>
      <c r="E189" s="48">
        <f t="shared" si="63"/>
        <v>0</v>
      </c>
      <c r="F189" s="50">
        <f t="shared" si="64"/>
        <v>0</v>
      </c>
      <c r="G189" s="50">
        <f t="shared" si="72"/>
        <v>0</v>
      </c>
      <c r="H189" s="51">
        <f t="shared" si="76"/>
        <v>112787.82517971465</v>
      </c>
      <c r="I189" s="52">
        <f t="shared" si="65"/>
        <v>41609.016343590563</v>
      </c>
      <c r="J189" s="52">
        <f t="shared" si="77"/>
        <v>71178.808836124081</v>
      </c>
      <c r="K189" s="51">
        <f t="shared" si="79"/>
        <v>10390.55680281859</v>
      </c>
      <c r="L189" s="49">
        <f t="shared" si="80"/>
        <v>10694.157112711708</v>
      </c>
      <c r="M189" s="49">
        <f t="shared" si="81"/>
        <v>-12040.308320443482</v>
      </c>
      <c r="N189" s="49">
        <f t="shared" si="73"/>
        <v>12040.308320443482</v>
      </c>
      <c r="O189" s="48">
        <f t="shared" si="74"/>
        <v>124524.53319026501</v>
      </c>
      <c r="P189" s="38">
        <f t="shared" si="78"/>
        <v>124524.53319026501</v>
      </c>
      <c r="Q189" s="53"/>
      <c r="R189" s="53">
        <f t="shared" si="66"/>
        <v>0.05</v>
      </c>
      <c r="S189" s="53">
        <f t="shared" si="67"/>
        <v>4.2653187775606449E-3</v>
      </c>
      <c r="T189" s="53">
        <f t="shared" si="68"/>
        <v>0.05</v>
      </c>
      <c r="U189" s="53">
        <f t="shared" si="71"/>
        <v>4.2653187775606449E-3</v>
      </c>
      <c r="V189" s="53"/>
      <c r="W189" s="63">
        <f t="shared" si="69"/>
        <v>178.23595187852845</v>
      </c>
      <c r="X189" s="64">
        <f t="shared" si="70"/>
        <v>8.5306375551212892E-4</v>
      </c>
      <c r="Z189" s="63"/>
    </row>
    <row r="190" spans="1:26" x14ac:dyDescent="0.2">
      <c r="A190" s="62">
        <f t="shared" si="61"/>
        <v>0.27119273122080956</v>
      </c>
      <c r="B190" s="45">
        <f t="shared" si="62"/>
        <v>179</v>
      </c>
      <c r="C190" s="49">
        <f t="shared" si="75"/>
        <v>2427011.9232969349</v>
      </c>
      <c r="D190" s="47" cm="1">
        <f t="array" ref="D190">_xlfn.IFS(AND($C$7="Y",B190&lt;C$4),C190,AND($C$7="Y",B190=C$4),D189+F190-J190-K190-L190+N190,AND($C$7="Y",B190&gt;$C$4),D189-J190-K190-L190+N190, TRUE, D189-J190-K190-L190+N190)</f>
        <v>2346239.3031251272</v>
      </c>
      <c r="E190" s="48">
        <f t="shared" si="63"/>
        <v>0</v>
      </c>
      <c r="F190" s="50">
        <f t="shared" si="64"/>
        <v>0</v>
      </c>
      <c r="G190" s="50">
        <f t="shared" si="72"/>
        <v>0</v>
      </c>
      <c r="H190" s="51">
        <f t="shared" si="76"/>
        <v>112360.85410824849</v>
      </c>
      <c r="I190" s="52">
        <f t="shared" si="65"/>
        <v>40277.665729452216</v>
      </c>
      <c r="J190" s="52">
        <f t="shared" si="77"/>
        <v>72083.188378796272</v>
      </c>
      <c r="K190" s="51">
        <f t="shared" si="79"/>
        <v>10044.521752863471</v>
      </c>
      <c r="L190" s="49">
        <f t="shared" si="80"/>
        <v>10351.979529801993</v>
      </c>
      <c r="M190" s="49">
        <f t="shared" si="81"/>
        <v>-11707.06948965483</v>
      </c>
      <c r="N190" s="49">
        <f t="shared" si="73"/>
        <v>11707.06948965483</v>
      </c>
      <c r="O190" s="48">
        <f t="shared" si="74"/>
        <v>123760.4658209648</v>
      </c>
      <c r="P190" s="38">
        <f t="shared" si="78"/>
        <v>123760.4658209648</v>
      </c>
      <c r="Q190" s="53"/>
      <c r="R190" s="53">
        <f t="shared" si="66"/>
        <v>0.05</v>
      </c>
      <c r="S190" s="53">
        <f t="shared" si="67"/>
        <v>4.2653187775606449E-3</v>
      </c>
      <c r="T190" s="53">
        <f t="shared" si="68"/>
        <v>0.05</v>
      </c>
      <c r="U190" s="53">
        <f t="shared" si="71"/>
        <v>4.2653187775606449E-3</v>
      </c>
      <c r="V190" s="53"/>
      <c r="W190" s="63">
        <f t="shared" si="69"/>
        <v>172.53299216336654</v>
      </c>
      <c r="X190" s="64">
        <f t="shared" si="70"/>
        <v>8.5306375551212903E-4</v>
      </c>
      <c r="Z190" s="63"/>
    </row>
    <row r="191" spans="1:26" x14ac:dyDescent="0.2">
      <c r="A191" s="62">
        <f t="shared" si="61"/>
        <v>0.26179179395004437</v>
      </c>
      <c r="B191" s="45">
        <f t="shared" si="62"/>
        <v>180</v>
      </c>
      <c r="C191" s="49">
        <f t="shared" si="75"/>
        <v>2346239.3031251272</v>
      </c>
      <c r="D191" s="47" cm="1">
        <f t="array" ref="D191">_xlfn.IFS(AND($C$7="Y",B191&lt;C$4),C191,AND($C$7="Y",B191=C$4),D190+F191-J191-K191-L191+N191,AND($C$7="Y",B191&gt;$C$4),D190-J191-K191-L191+N191, TRUE, D190-J191-K191-L191+N191)</f>
        <v>2264906.5608661762</v>
      </c>
      <c r="E191" s="48">
        <f t="shared" si="63"/>
        <v>0</v>
      </c>
      <c r="F191" s="50">
        <f t="shared" si="64"/>
        <v>0</v>
      </c>
      <c r="G191" s="50">
        <f t="shared" si="72"/>
        <v>0</v>
      </c>
      <c r="H191" s="51">
        <f t="shared" si="76"/>
        <v>111938.05363427009</v>
      </c>
      <c r="I191" s="52">
        <f t="shared" si="65"/>
        <v>38937.197409480948</v>
      </c>
      <c r="J191" s="52">
        <f t="shared" si="77"/>
        <v>73000.856224789139</v>
      </c>
      <c r="K191" s="51">
        <f t="shared" si="79"/>
        <v>9696.0866334368093</v>
      </c>
      <c r="L191" s="49">
        <f t="shared" si="80"/>
        <v>10007.458556270407</v>
      </c>
      <c r="M191" s="49">
        <f t="shared" si="81"/>
        <v>-11371.659155545396</v>
      </c>
      <c r="N191" s="49">
        <f t="shared" si="73"/>
        <v>11371.659155545396</v>
      </c>
      <c r="O191" s="48">
        <f t="shared" si="74"/>
        <v>122998.34086698189</v>
      </c>
      <c r="P191" s="38">
        <f t="shared" si="78"/>
        <v>122998.34086698189</v>
      </c>
      <c r="Q191" s="53"/>
      <c r="R191" s="53">
        <f t="shared" si="66"/>
        <v>0.05</v>
      </c>
      <c r="S191" s="53">
        <f t="shared" si="67"/>
        <v>4.2653187775606449E-3</v>
      </c>
      <c r="T191" s="53">
        <f t="shared" si="68"/>
        <v>0.05</v>
      </c>
      <c r="U191" s="53">
        <f t="shared" si="71"/>
        <v>4.2653187775606449E-3</v>
      </c>
      <c r="V191" s="53"/>
      <c r="W191" s="63">
        <f t="shared" si="69"/>
        <v>166.79097593784013</v>
      </c>
      <c r="X191" s="64">
        <f t="shared" si="70"/>
        <v>8.5306375551212903E-4</v>
      </c>
      <c r="Z191" s="63"/>
    </row>
    <row r="192" spans="1:26" x14ac:dyDescent="0.2">
      <c r="A192" s="62">
        <f t="shared" si="61"/>
        <v>0.25232484123139265</v>
      </c>
      <c r="B192" s="45">
        <f t="shared" si="62"/>
        <v>181</v>
      </c>
      <c r="C192" s="49">
        <f t="shared" si="75"/>
        <v>2264906.5608661762</v>
      </c>
      <c r="D192" s="47" cm="1">
        <f t="array" ref="D192">_xlfn.IFS(AND($C$7="Y",B192&lt;C$4),C192,AND($C$7="Y",B192=C$4),D191+F192-J192-K192-L192+N192,AND($C$7="Y",B192&gt;$C$4),D191-J192-K192-L192+N192, TRUE, D191-J192-K192-L192+N192)</f>
        <v>2183002.6822137544</v>
      </c>
      <c r="E192" s="48">
        <f t="shared" si="63"/>
        <v>0</v>
      </c>
      <c r="F192" s="50">
        <f t="shared" si="64"/>
        <v>0</v>
      </c>
      <c r="G192" s="50">
        <f t="shared" si="72"/>
        <v>0</v>
      </c>
      <c r="H192" s="51">
        <f t="shared" si="76"/>
        <v>111519.59530263291</v>
      </c>
      <c r="I192" s="52">
        <f t="shared" si="65"/>
        <v>37587.433539711557</v>
      </c>
      <c r="J192" s="52">
        <f t="shared" si="77"/>
        <v>73932.161762921343</v>
      </c>
      <c r="K192" s="51">
        <f t="shared" si="79"/>
        <v>9345.2042456497638</v>
      </c>
      <c r="L192" s="49">
        <f t="shared" si="80"/>
        <v>9660.5484834828021</v>
      </c>
      <c r="M192" s="49">
        <f t="shared" si="81"/>
        <v>-11034.035839632168</v>
      </c>
      <c r="N192" s="49">
        <f t="shared" si="73"/>
        <v>11034.035839632168</v>
      </c>
      <c r="O192" s="48">
        <f t="shared" si="74"/>
        <v>122238.28690443204</v>
      </c>
      <c r="P192" s="38">
        <f t="shared" si="78"/>
        <v>122238.28690443204</v>
      </c>
      <c r="Q192" s="53"/>
      <c r="R192" s="53">
        <f t="shared" si="66"/>
        <v>0.05</v>
      </c>
      <c r="S192" s="53">
        <f t="shared" si="67"/>
        <v>4.2653187775606449E-3</v>
      </c>
      <c r="T192" s="53">
        <f t="shared" si="68"/>
        <v>0.05</v>
      </c>
      <c r="U192" s="53">
        <f t="shared" si="71"/>
        <v>4.2653187775606449E-3</v>
      </c>
      <c r="V192" s="53"/>
      <c r="W192" s="63">
        <f t="shared" si="69"/>
        <v>161.00914139138004</v>
      </c>
      <c r="X192" s="64">
        <f t="shared" si="70"/>
        <v>8.5306375551212903E-4</v>
      </c>
      <c r="Z192" s="63"/>
    </row>
    <row r="193" spans="1:26" x14ac:dyDescent="0.2">
      <c r="A193" s="62">
        <f t="shared" si="61"/>
        <v>0.24279056248846814</v>
      </c>
      <c r="B193" s="45">
        <f t="shared" si="62"/>
        <v>182</v>
      </c>
      <c r="C193" s="49">
        <f t="shared" si="75"/>
        <v>2183002.6822137544</v>
      </c>
      <c r="D193" s="47" cm="1">
        <f t="array" ref="D193">_xlfn.IFS(AND($C$7="Y",B193&lt;C$4),C193,AND($C$7="Y",B193=C$4),D192+F193-J193-K193-L193+N193,AND($C$7="Y",B193&gt;$C$4),D192-J193-K193-L193+N193, TRUE, D192-J193-K193-L193+N193)</f>
        <v>2100516.3286418878</v>
      </c>
      <c r="E193" s="48">
        <f t="shared" si="63"/>
        <v>0</v>
      </c>
      <c r="F193" s="50">
        <f t="shared" si="64"/>
        <v>0</v>
      </c>
      <c r="G193" s="50">
        <f t="shared" si="72"/>
        <v>0</v>
      </c>
      <c r="H193" s="51">
        <f t="shared" si="76"/>
        <v>111105.6736836131</v>
      </c>
      <c r="I193" s="52">
        <f t="shared" si="65"/>
        <v>36228.191331364047</v>
      </c>
      <c r="J193" s="52">
        <f t="shared" si="77"/>
        <v>74877.482352249062</v>
      </c>
      <c r="K193" s="51">
        <f t="shared" si="79"/>
        <v>8991.8260004180665</v>
      </c>
      <c r="L193" s="49">
        <f t="shared" si="80"/>
        <v>9311.2023319115797</v>
      </c>
      <c r="M193" s="49">
        <f t="shared" si="81"/>
        <v>-10694.157112711708</v>
      </c>
      <c r="N193" s="49">
        <f t="shared" si="73"/>
        <v>10694.157112711708</v>
      </c>
      <c r="O193" s="48">
        <f t="shared" si="74"/>
        <v>121480.4544648313</v>
      </c>
      <c r="P193" s="38">
        <f t="shared" si="78"/>
        <v>121480.4544648313</v>
      </c>
      <c r="Q193" s="53"/>
      <c r="R193" s="53">
        <f t="shared" si="66"/>
        <v>0.05</v>
      </c>
      <c r="S193" s="53">
        <f t="shared" si="67"/>
        <v>4.2653187775606449E-3</v>
      </c>
      <c r="T193" s="53">
        <f t="shared" si="68"/>
        <v>0.05</v>
      </c>
      <c r="U193" s="53">
        <f t="shared" si="71"/>
        <v>4.2653187775606449E-3</v>
      </c>
      <c r="V193" s="53"/>
      <c r="W193" s="63">
        <f t="shared" si="69"/>
        <v>155.18670553185967</v>
      </c>
      <c r="X193" s="64">
        <f t="shared" si="70"/>
        <v>8.5306375551212903E-4</v>
      </c>
      <c r="Z193" s="63"/>
    </row>
    <row r="194" spans="1:26" x14ac:dyDescent="0.2">
      <c r="A194" s="62">
        <f t="shared" si="61"/>
        <v>0.23318760613688364</v>
      </c>
      <c r="B194" s="45">
        <f t="shared" si="62"/>
        <v>183</v>
      </c>
      <c r="C194" s="49">
        <f t="shared" si="75"/>
        <v>2100516.3286418878</v>
      </c>
      <c r="D194" s="47" cm="1">
        <f t="array" ref="D194">_xlfn.IFS(AND($C$7="Y",B194&lt;C$4),C194,AND($C$7="Y",B194=C$4),D193+F194-J194-K194-L194+N194,AND($C$7="Y",B194&gt;$C$4),D193-J194-K194-L194+N194, TRUE, D193-J194-K194-L194+N194)</f>
        <v>2017435.8068415537</v>
      </c>
      <c r="E194" s="48">
        <f t="shared" si="63"/>
        <v>0</v>
      </c>
      <c r="F194" s="50">
        <f t="shared" si="64"/>
        <v>0</v>
      </c>
      <c r="G194" s="50">
        <f t="shared" si="72"/>
        <v>0</v>
      </c>
      <c r="H194" s="51">
        <f t="shared" si="76"/>
        <v>110696.51041871309</v>
      </c>
      <c r="I194" s="52">
        <f t="shared" si="65"/>
        <v>34859.28261504598</v>
      </c>
      <c r="J194" s="52">
        <f t="shared" si="77"/>
        <v>75837.227803667105</v>
      </c>
      <c r="K194" s="51">
        <f t="shared" si="79"/>
        <v>8635.9017873398643</v>
      </c>
      <c r="L194" s="49">
        <f t="shared" si="80"/>
        <v>8959.3717391289902</v>
      </c>
      <c r="M194" s="49">
        <f t="shared" si="81"/>
        <v>-10351.979529801993</v>
      </c>
      <c r="N194" s="49">
        <f t="shared" si="73"/>
        <v>10351.979529801993</v>
      </c>
      <c r="O194" s="48">
        <f t="shared" si="74"/>
        <v>120725.01999672595</v>
      </c>
      <c r="P194" s="38">
        <f t="shared" si="78"/>
        <v>120725.01999672595</v>
      </c>
      <c r="Q194" s="53"/>
      <c r="R194" s="53">
        <f t="shared" si="66"/>
        <v>0.05</v>
      </c>
      <c r="S194" s="53">
        <f t="shared" si="67"/>
        <v>4.2653187775606449E-3</v>
      </c>
      <c r="T194" s="53">
        <f t="shared" si="68"/>
        <v>0.05</v>
      </c>
      <c r="U194" s="53">
        <f t="shared" si="71"/>
        <v>4.2653187775606449E-3</v>
      </c>
      <c r="V194" s="53"/>
      <c r="W194" s="63">
        <f t="shared" si="69"/>
        <v>149.3228623188165</v>
      </c>
      <c r="X194" s="64">
        <f t="shared" si="70"/>
        <v>8.5306375551212892E-4</v>
      </c>
      <c r="Z194" s="63"/>
    </row>
    <row r="195" spans="1:26" x14ac:dyDescent="0.2">
      <c r="A195" s="62">
        <f t="shared" si="61"/>
        <v>0.22351457544247613</v>
      </c>
      <c r="B195" s="45">
        <f t="shared" si="62"/>
        <v>184</v>
      </c>
      <c r="C195" s="49">
        <f t="shared" si="75"/>
        <v>2017435.8068415537</v>
      </c>
      <c r="D195" s="47" cm="1">
        <f t="array" ref="D195">_xlfn.IFS(AND($C$7="Y",B195&lt;C$4),C195,AND($C$7="Y",B195=C$4),D194+F195-J195-K195-L195+N195,AND($C$7="Y",B195&gt;$C$4),D194-J195-K195-L195+N195, TRUE, D194-J195-K195-L195+N195)</f>
        <v>1933749.0328878823</v>
      </c>
      <c r="E195" s="48">
        <f t="shared" si="63"/>
        <v>0</v>
      </c>
      <c r="F195" s="50">
        <f t="shared" si="64"/>
        <v>0</v>
      </c>
      <c r="G195" s="50">
        <f t="shared" si="72"/>
        <v>0</v>
      </c>
      <c r="H195" s="51">
        <f t="shared" si="76"/>
        <v>110292.35919307161</v>
      </c>
      <c r="I195" s="52">
        <f t="shared" si="65"/>
        <v>33480.513333535149</v>
      </c>
      <c r="J195" s="52">
        <f t="shared" si="77"/>
        <v>76811.845859536465</v>
      </c>
      <c r="K195" s="51">
        <f t="shared" si="79"/>
        <v>8277.3798209607139</v>
      </c>
      <c r="L195" s="49">
        <f t="shared" si="80"/>
        <v>8605.0068294444882</v>
      </c>
      <c r="M195" s="49">
        <f t="shared" si="81"/>
        <v>-10007.458556270407</v>
      </c>
      <c r="N195" s="49">
        <f t="shared" si="73"/>
        <v>10007.458556270407</v>
      </c>
      <c r="O195" s="48">
        <f t="shared" si="74"/>
        <v>119972.19074085823</v>
      </c>
      <c r="P195" s="38">
        <f t="shared" si="78"/>
        <v>119972.19074085823</v>
      </c>
      <c r="Q195" s="53"/>
      <c r="R195" s="53">
        <f t="shared" si="66"/>
        <v>0.05</v>
      </c>
      <c r="S195" s="53">
        <f t="shared" si="67"/>
        <v>4.2653187775606449E-3</v>
      </c>
      <c r="T195" s="53">
        <f t="shared" si="68"/>
        <v>0.05</v>
      </c>
      <c r="U195" s="53">
        <f t="shared" si="71"/>
        <v>4.2653187775606449E-3</v>
      </c>
      <c r="V195" s="53"/>
      <c r="W195" s="63">
        <f t="shared" si="69"/>
        <v>143.41678049074147</v>
      </c>
      <c r="X195" s="64">
        <f t="shared" si="70"/>
        <v>8.5306375551212892E-4</v>
      </c>
      <c r="Z195" s="63"/>
    </row>
    <row r="196" spans="1:26" x14ac:dyDescent="0.2">
      <c r="A196" s="62">
        <f t="shared" si="61"/>
        <v>0.21377002362710201</v>
      </c>
      <c r="B196" s="45">
        <f t="shared" si="62"/>
        <v>185</v>
      </c>
      <c r="C196" s="49">
        <f t="shared" si="75"/>
        <v>1933749.0328878823</v>
      </c>
      <c r="D196" s="47" cm="1">
        <f t="array" ref="D196">_xlfn.IFS(AND($C$7="Y",B196&lt;C$4),C196,AND($C$7="Y",B196=C$4),D195+F196-J196-K196-L196+N196,AND($C$7="Y",B196&gt;$C$4),D195-J196-K196-L196+N196, TRUE, D195-J196-K196-L196+N196)</f>
        <v>1849443.4898976663</v>
      </c>
      <c r="E196" s="48">
        <f t="shared" si="63"/>
        <v>0</v>
      </c>
      <c r="F196" s="50">
        <f t="shared" si="64"/>
        <v>0</v>
      </c>
      <c r="G196" s="50">
        <f t="shared" si="72"/>
        <v>0</v>
      </c>
      <c r="H196" s="51">
        <f t="shared" si="76"/>
        <v>109893.51190064363</v>
      </c>
      <c r="I196" s="52">
        <f t="shared" si="65"/>
        <v>32091.682947113601</v>
      </c>
      <c r="J196" s="52">
        <f t="shared" si="77"/>
        <v>77801.828953530028</v>
      </c>
      <c r="K196" s="51">
        <f t="shared" si="79"/>
        <v>7916.2064591023691</v>
      </c>
      <c r="L196" s="49">
        <f t="shared" si="80"/>
        <v>8248.0560610664215</v>
      </c>
      <c r="M196" s="49">
        <f t="shared" si="81"/>
        <v>-9660.5484834828021</v>
      </c>
      <c r="N196" s="49">
        <f t="shared" si="73"/>
        <v>9660.5484834828021</v>
      </c>
      <c r="O196" s="48">
        <f t="shared" si="74"/>
        <v>119222.21078216238</v>
      </c>
      <c r="P196" s="38">
        <f t="shared" si="78"/>
        <v>119222.21078216238</v>
      </c>
      <c r="Q196" s="53"/>
      <c r="R196" s="53">
        <f t="shared" si="66"/>
        <v>0.05</v>
      </c>
      <c r="S196" s="53">
        <f t="shared" si="67"/>
        <v>4.2653187775606449E-3</v>
      </c>
      <c r="T196" s="53">
        <f t="shared" si="68"/>
        <v>0.05</v>
      </c>
      <c r="U196" s="53">
        <f t="shared" si="71"/>
        <v>4.2653187775606449E-3</v>
      </c>
      <c r="V196" s="53"/>
      <c r="W196" s="63">
        <f t="shared" si="69"/>
        <v>137.46760101777372</v>
      </c>
      <c r="X196" s="64">
        <f t="shared" si="70"/>
        <v>8.5306375551212903E-4</v>
      </c>
      <c r="Z196" s="63"/>
    </row>
    <row r="197" spans="1:26" x14ac:dyDescent="0.2">
      <c r="A197" s="62">
        <f t="shared" si="61"/>
        <v>0.20395244803586099</v>
      </c>
      <c r="B197" s="45">
        <f t="shared" si="62"/>
        <v>186</v>
      </c>
      <c r="C197" s="49">
        <f t="shared" si="75"/>
        <v>1849443.4898976663</v>
      </c>
      <c r="D197" s="47" cm="1">
        <f t="array" ref="D197">_xlfn.IFS(AND($C$7="Y",B197&lt;C$4),C197,AND($C$7="Y",B197=C$4),D196+F197-J197-K197-L197+N197,AND($C$7="Y",B197&gt;$C$4),D196-J197-K197-L197+N197, TRUE, D196-J197-K197-L197+N197)</f>
        <v>1764506.1775667667</v>
      </c>
      <c r="E197" s="48">
        <f t="shared" si="63"/>
        <v>0</v>
      </c>
      <c r="F197" s="50">
        <f t="shared" si="64"/>
        <v>0</v>
      </c>
      <c r="G197" s="50">
        <f t="shared" si="72"/>
        <v>0</v>
      </c>
      <c r="H197" s="51">
        <f t="shared" si="76"/>
        <v>109500.30636183936</v>
      </c>
      <c r="I197" s="52">
        <f t="shared" si="65"/>
        <v>30692.583730869475</v>
      </c>
      <c r="J197" s="52">
        <f t="shared" si="77"/>
        <v>78807.722630969889</v>
      </c>
      <c r="K197" s="51">
        <f t="shared" si="79"/>
        <v>7552.3259863431394</v>
      </c>
      <c r="L197" s="49">
        <f t="shared" si="80"/>
        <v>7888.4660454978066</v>
      </c>
      <c r="M197" s="49">
        <f t="shared" si="81"/>
        <v>-9311.2023319115797</v>
      </c>
      <c r="N197" s="49">
        <f t="shared" si="73"/>
        <v>9311.2023319115797</v>
      </c>
      <c r="O197" s="48">
        <f t="shared" si="74"/>
        <v>118475.36863459628</v>
      </c>
      <c r="P197" s="38">
        <f t="shared" si="78"/>
        <v>118475.36863459628</v>
      </c>
      <c r="Q197" s="53"/>
      <c r="R197" s="53">
        <f t="shared" si="66"/>
        <v>0.05</v>
      </c>
      <c r="S197" s="53">
        <f t="shared" si="67"/>
        <v>4.2653187775606449E-3</v>
      </c>
      <c r="T197" s="53">
        <f t="shared" si="68"/>
        <v>0.05</v>
      </c>
      <c r="U197" s="53">
        <f t="shared" si="71"/>
        <v>4.2653187775606449E-3</v>
      </c>
      <c r="V197" s="53"/>
      <c r="W197" s="63">
        <f t="shared" si="69"/>
        <v>131.47443409163012</v>
      </c>
      <c r="X197" s="64">
        <f t="shared" si="70"/>
        <v>8.5306375551212903E-4</v>
      </c>
      <c r="Z197" s="63"/>
    </row>
    <row r="198" spans="1:26" x14ac:dyDescent="0.2">
      <c r="A198" s="62">
        <f t="shared" si="61"/>
        <v>0.19406028312111337</v>
      </c>
      <c r="B198" s="45">
        <f t="shared" si="62"/>
        <v>187</v>
      </c>
      <c r="C198" s="49">
        <f t="shared" si="75"/>
        <v>1764506.1775667667</v>
      </c>
      <c r="D198" s="47" cm="1">
        <f t="array" ref="D198">_xlfn.IFS(AND($C$7="Y",B198&lt;C$4),C198,AND($C$7="Y",B198=C$4),D197+F198-J198-K198-L198+N198,AND($C$7="Y",B198&gt;$C$4),D197-J198-K198-L198+N198, TRUE, D197-J198-K198-L198+N198)</f>
        <v>1678923.5514709409</v>
      </c>
      <c r="E198" s="48">
        <f t="shared" si="63"/>
        <v>0</v>
      </c>
      <c r="F198" s="50">
        <f t="shared" si="64"/>
        <v>0</v>
      </c>
      <c r="G198" s="50">
        <f t="shared" si="72"/>
        <v>0</v>
      </c>
      <c r="H198" s="51">
        <f t="shared" si="76"/>
        <v>109113.13608633322</v>
      </c>
      <c r="I198" s="52">
        <f t="shared" si="65"/>
        <v>29282.999937241158</v>
      </c>
      <c r="J198" s="52">
        <f t="shared" si="77"/>
        <v>79830.136149092068</v>
      </c>
      <c r="K198" s="51">
        <f t="shared" si="79"/>
        <v>7185.6803535653426</v>
      </c>
      <c r="L198" s="49">
        <f t="shared" si="80"/>
        <v>7526.1813322972876</v>
      </c>
      <c r="M198" s="49">
        <f t="shared" si="81"/>
        <v>-8959.3717391289902</v>
      </c>
      <c r="N198" s="49">
        <f t="shared" si="73"/>
        <v>8959.3717391289902</v>
      </c>
      <c r="O198" s="48">
        <f t="shared" si="74"/>
        <v>117732.00684673028</v>
      </c>
      <c r="P198" s="38">
        <f t="shared" si="78"/>
        <v>117732.00684673028</v>
      </c>
      <c r="Q198" s="53"/>
      <c r="R198" s="53">
        <f t="shared" si="66"/>
        <v>0.05</v>
      </c>
      <c r="S198" s="53">
        <f t="shared" si="67"/>
        <v>4.2653187775606449E-3</v>
      </c>
      <c r="T198" s="53">
        <f t="shared" si="68"/>
        <v>0.05</v>
      </c>
      <c r="U198" s="53">
        <f t="shared" si="71"/>
        <v>4.2653187775606449E-3</v>
      </c>
      <c r="V198" s="53"/>
      <c r="W198" s="63">
        <f t="shared" si="69"/>
        <v>125.43635553828813</v>
      </c>
      <c r="X198" s="64">
        <f t="shared" si="70"/>
        <v>8.5306375551212892E-4</v>
      </c>
      <c r="Z198" s="63"/>
    </row>
    <row r="199" spans="1:26" x14ac:dyDescent="0.2">
      <c r="A199" s="62">
        <f t="shared" si="61"/>
        <v>0.18409189191748274</v>
      </c>
      <c r="B199" s="45">
        <f t="shared" si="62"/>
        <v>188</v>
      </c>
      <c r="C199" s="49">
        <f t="shared" si="75"/>
        <v>1678923.5514709409</v>
      </c>
      <c r="D199" s="47" cm="1">
        <f t="array" ref="D199">_xlfn.IFS(AND($C$7="Y",B199&lt;C$4),C199,AND($C$7="Y",B199=C$4),D198+F199-J199-K199-L199+N199,AND($C$7="Y",B199&gt;$C$4),D198-J199-K199-L199+N199, TRUE, D198-J199-K199-L199+N199)</f>
        <v>1592681.4493113447</v>
      </c>
      <c r="E199" s="48">
        <f t="shared" si="63"/>
        <v>0</v>
      </c>
      <c r="F199" s="50">
        <f t="shared" si="64"/>
        <v>0</v>
      </c>
      <c r="G199" s="50">
        <f t="shared" si="72"/>
        <v>0</v>
      </c>
      <c r="H199" s="51">
        <f t="shared" si="76"/>
        <v>108732.4627660718</v>
      </c>
      <c r="I199" s="52">
        <f t="shared" si="65"/>
        <v>27862.706788679385</v>
      </c>
      <c r="J199" s="52">
        <f t="shared" si="77"/>
        <v>80869.755977392415</v>
      </c>
      <c r="K199" s="51">
        <f t="shared" si="79"/>
        <v>6816.2088614706909</v>
      </c>
      <c r="L199" s="49">
        <f t="shared" si="80"/>
        <v>7161.1441501778099</v>
      </c>
      <c r="M199" s="49">
        <f t="shared" si="81"/>
        <v>-8605.0068294444882</v>
      </c>
      <c r="N199" s="49">
        <f t="shared" si="73"/>
        <v>8605.0068294444882</v>
      </c>
      <c r="O199" s="48">
        <f t="shared" si="74"/>
        <v>116992.53430680919</v>
      </c>
      <c r="P199" s="38">
        <f t="shared" si="78"/>
        <v>116992.53430680919</v>
      </c>
      <c r="Q199" s="53"/>
      <c r="R199" s="53">
        <f t="shared" si="66"/>
        <v>0.05</v>
      </c>
      <c r="S199" s="53">
        <f t="shared" si="67"/>
        <v>4.2653187775606449E-3</v>
      </c>
      <c r="T199" s="53">
        <f t="shared" si="68"/>
        <v>0.05</v>
      </c>
      <c r="U199" s="53">
        <f t="shared" si="71"/>
        <v>4.2653187775606449E-3</v>
      </c>
      <c r="V199" s="53"/>
      <c r="W199" s="63">
        <f t="shared" si="69"/>
        <v>119.35240250296351</v>
      </c>
      <c r="X199" s="64">
        <f t="shared" si="70"/>
        <v>8.5306375551212903E-4</v>
      </c>
      <c r="Z199" s="63"/>
    </row>
    <row r="200" spans="1:26" x14ac:dyDescent="0.2">
      <c r="A200" s="62">
        <f t="shared" si="61"/>
        <v>0.17404555556753448</v>
      </c>
      <c r="B200" s="45">
        <f t="shared" si="62"/>
        <v>189</v>
      </c>
      <c r="C200" s="49">
        <f t="shared" si="75"/>
        <v>1592681.4493113447</v>
      </c>
      <c r="D200" s="47" cm="1">
        <f t="array" ref="D200">_xlfn.IFS(AND($C$7="Y",B200&lt;C$4),C200,AND($C$7="Y",B200=C$4),D199+F200-J200-K200-L200+N200,AND($C$7="Y",B200&gt;$C$4),D199-J200-K200-L200+N200, TRUE, D199-J200-K200-L200+N200)</f>
        <v>1505765.000295345</v>
      </c>
      <c r="E200" s="48">
        <f t="shared" si="63"/>
        <v>0</v>
      </c>
      <c r="F200" s="50">
        <f t="shared" si="64"/>
        <v>0</v>
      </c>
      <c r="G200" s="50">
        <f t="shared" si="72"/>
        <v>0</v>
      </c>
      <c r="H200" s="51">
        <f t="shared" si="76"/>
        <v>108358.83246658245</v>
      </c>
      <c r="I200" s="52">
        <f t="shared" si="65"/>
        <v>26431.469253648742</v>
      </c>
      <c r="J200" s="52">
        <f t="shared" si="77"/>
        <v>81927.363212933706</v>
      </c>
      <c r="K200" s="51">
        <f t="shared" si="79"/>
        <v>6443.8477717120231</v>
      </c>
      <c r="L200" s="49">
        <f t="shared" si="80"/>
        <v>6793.2940924201812</v>
      </c>
      <c r="M200" s="49">
        <f t="shared" si="81"/>
        <v>-8248.0560610664215</v>
      </c>
      <c r="N200" s="49">
        <f t="shared" si="73"/>
        <v>8248.0560610664215</v>
      </c>
      <c r="O200" s="48">
        <f t="shared" si="74"/>
        <v>116257.44220694072</v>
      </c>
      <c r="P200" s="38">
        <f t="shared" si="78"/>
        <v>116257.44220694072</v>
      </c>
      <c r="Q200" s="53"/>
      <c r="R200" s="53">
        <f t="shared" si="66"/>
        <v>0.05</v>
      </c>
      <c r="S200" s="53">
        <f t="shared" si="67"/>
        <v>4.2653187775606449E-3</v>
      </c>
      <c r="T200" s="53">
        <f t="shared" si="68"/>
        <v>0.05</v>
      </c>
      <c r="U200" s="53">
        <f t="shared" si="71"/>
        <v>4.2653187775606449E-3</v>
      </c>
      <c r="V200" s="53"/>
      <c r="W200" s="63">
        <f t="shared" si="69"/>
        <v>113.22156820700303</v>
      </c>
      <c r="X200" s="64">
        <f t="shared" si="70"/>
        <v>8.5306375551212914E-4</v>
      </c>
      <c r="Z200" s="63"/>
    </row>
    <row r="201" spans="1:26" x14ac:dyDescent="0.2">
      <c r="A201" s="62">
        <f t="shared" si="61"/>
        <v>0.16391946029335264</v>
      </c>
      <c r="B201" s="45">
        <f t="shared" si="62"/>
        <v>190</v>
      </c>
      <c r="C201" s="49">
        <f t="shared" si="75"/>
        <v>1505765.000295345</v>
      </c>
      <c r="D201" s="47" cm="1">
        <f t="array" ref="D201">_xlfn.IFS(AND($C$7="Y",B201&lt;C$4),C201,AND($C$7="Y",B201=C$4),D200+F201-J201-K201-L201+N201,AND($C$7="Y",B201&gt;$C$4),D200-J201-K201-L201+N201, TRUE, D200-J201-K201-L201+N201)</f>
        <v>1418158.5124203779</v>
      </c>
      <c r="E201" s="48">
        <f t="shared" si="63"/>
        <v>0</v>
      </c>
      <c r="F201" s="50">
        <f t="shared" si="64"/>
        <v>0</v>
      </c>
      <c r="G201" s="50">
        <f t="shared" si="72"/>
        <v>0</v>
      </c>
      <c r="H201" s="51">
        <f t="shared" si="76"/>
        <v>107992.89690967993</v>
      </c>
      <c r="I201" s="52">
        <f t="shared" si="65"/>
        <v>24989.040542749863</v>
      </c>
      <c r="J201" s="52">
        <f t="shared" si="77"/>
        <v>83003.856366930064</v>
      </c>
      <c r="K201" s="51">
        <f t="shared" si="79"/>
        <v>6068.5298231815314</v>
      </c>
      <c r="L201" s="49">
        <f t="shared" si="80"/>
        <v>6422.5677303533448</v>
      </c>
      <c r="M201" s="49">
        <f t="shared" si="81"/>
        <v>-7888.4660454978066</v>
      </c>
      <c r="N201" s="49">
        <f t="shared" si="73"/>
        <v>7888.4660454978066</v>
      </c>
      <c r="O201" s="48">
        <f t="shared" si="74"/>
        <v>115527.32504800592</v>
      </c>
      <c r="P201" s="38">
        <f t="shared" si="78"/>
        <v>115527.32504800592</v>
      </c>
      <c r="Q201" s="53"/>
      <c r="R201" s="53">
        <f t="shared" si="66"/>
        <v>0.05</v>
      </c>
      <c r="S201" s="53">
        <f t="shared" si="67"/>
        <v>4.2653187775606449E-3</v>
      </c>
      <c r="T201" s="53">
        <f t="shared" si="68"/>
        <v>0.05</v>
      </c>
      <c r="U201" s="53">
        <f t="shared" si="71"/>
        <v>4.2653187775606449E-3</v>
      </c>
      <c r="V201" s="53"/>
      <c r="W201" s="63">
        <f t="shared" si="69"/>
        <v>107.04279550588909</v>
      </c>
      <c r="X201" s="64">
        <f t="shared" si="70"/>
        <v>8.5306375551212903E-4</v>
      </c>
      <c r="Z201" s="63"/>
    </row>
    <row r="202" spans="1:26" x14ac:dyDescent="0.2">
      <c r="A202" s="62">
        <f t="shared" si="61"/>
        <v>0.15371168096820334</v>
      </c>
      <c r="B202" s="45">
        <f t="shared" si="62"/>
        <v>191</v>
      </c>
      <c r="C202" s="49">
        <f t="shared" si="75"/>
        <v>1418158.5124203779</v>
      </c>
      <c r="D202" s="47" cm="1">
        <f t="array" ref="D202">_xlfn.IFS(AND($C$7="Y",B202&lt;C$4),C202,AND($C$7="Y",B202=C$4),D201+F202-J202-K202-L202+N202,AND($C$7="Y",B202&gt;$C$4),D201-J202-K202-L202+N202, TRUE, D201-J202-K202-L202+N202)</f>
        <v>1329845.3303432632</v>
      </c>
      <c r="E202" s="48">
        <f t="shared" si="63"/>
        <v>0</v>
      </c>
      <c r="F202" s="50">
        <f t="shared" si="64"/>
        <v>0</v>
      </c>
      <c r="G202" s="50">
        <f t="shared" si="72"/>
        <v>0</v>
      </c>
      <c r="H202" s="51">
        <f t="shared" si="76"/>
        <v>107635.44189291423</v>
      </c>
      <c r="I202" s="52">
        <f t="shared" si="65"/>
        <v>23535.160238129898</v>
      </c>
      <c r="J202" s="52">
        <f t="shared" si="77"/>
        <v>84100.281654784325</v>
      </c>
      <c r="K202" s="51">
        <f t="shared" si="79"/>
        <v>5690.183622043819</v>
      </c>
      <c r="L202" s="49">
        <f t="shared" si="80"/>
        <v>6048.8981325841087</v>
      </c>
      <c r="M202" s="49">
        <f t="shared" si="81"/>
        <v>-7526.1813322972876</v>
      </c>
      <c r="N202" s="49">
        <f t="shared" si="73"/>
        <v>7526.1813322972876</v>
      </c>
      <c r="O202" s="48">
        <f t="shared" si="74"/>
        <v>114802.90871467123</v>
      </c>
      <c r="P202" s="38">
        <f t="shared" si="78"/>
        <v>114802.90871467123</v>
      </c>
      <c r="Q202" s="53"/>
      <c r="R202" s="53">
        <f t="shared" si="66"/>
        <v>0.05</v>
      </c>
      <c r="S202" s="53">
        <f t="shared" si="67"/>
        <v>4.2653187775606449E-3</v>
      </c>
      <c r="T202" s="53">
        <f t="shared" si="68"/>
        <v>0.05</v>
      </c>
      <c r="U202" s="53">
        <f t="shared" si="71"/>
        <v>4.2653187775606449E-3</v>
      </c>
      <c r="V202" s="53"/>
      <c r="W202" s="63">
        <f t="shared" si="69"/>
        <v>100.81496887640181</v>
      </c>
      <c r="X202" s="64">
        <f t="shared" si="70"/>
        <v>8.5306375551212892E-4</v>
      </c>
      <c r="Z202" s="63"/>
    </row>
    <row r="203" spans="1:26" x14ac:dyDescent="0.2">
      <c r="A203" s="62">
        <f t="shared" si="61"/>
        <v>0.14342016008119166</v>
      </c>
      <c r="B203" s="45">
        <f t="shared" si="62"/>
        <v>192</v>
      </c>
      <c r="C203" s="49">
        <f t="shared" si="75"/>
        <v>1329845.3303432632</v>
      </c>
      <c r="D203" s="47" cm="1">
        <f t="array" ref="D203">_xlfn.IFS(AND($C$7="Y",B203&lt;C$4),C203,AND($C$7="Y",B203=C$4),D202+F203-J203-K203-L203+N203,AND($C$7="Y",B203&gt;$C$4),D202-J203-K203-L203+N203, TRUE, D202-J203-K203-L203+N203)</f>
        <v>1240807.6533917391</v>
      </c>
      <c r="E203" s="48">
        <f t="shared" si="63"/>
        <v>0</v>
      </c>
      <c r="F203" s="50">
        <f t="shared" si="64"/>
        <v>0</v>
      </c>
      <c r="G203" s="50">
        <f t="shared" si="72"/>
        <v>0</v>
      </c>
      <c r="H203" s="51">
        <f t="shared" si="76"/>
        <v>107287.42591699494</v>
      </c>
      <c r="I203" s="52">
        <f t="shared" si="65"/>
        <v>22069.551934741645</v>
      </c>
      <c r="J203" s="52">
        <f t="shared" si="77"/>
        <v>85217.873982253295</v>
      </c>
      <c r="K203" s="51">
        <f t="shared" si="79"/>
        <v>5308.7328606841584</v>
      </c>
      <c r="L203" s="49">
        <f t="shared" si="80"/>
        <v>5672.2142587644594</v>
      </c>
      <c r="M203" s="49">
        <f t="shared" si="81"/>
        <v>-7161.1441501778099</v>
      </c>
      <c r="N203" s="49">
        <f t="shared" si="73"/>
        <v>7161.1441501778099</v>
      </c>
      <c r="O203" s="48">
        <f t="shared" si="74"/>
        <v>114085.08866909245</v>
      </c>
      <c r="P203" s="38">
        <f t="shared" si="78"/>
        <v>114085.08866909245</v>
      </c>
      <c r="Q203" s="53"/>
      <c r="R203" s="53">
        <f t="shared" si="66"/>
        <v>0.05</v>
      </c>
      <c r="S203" s="53">
        <f t="shared" si="67"/>
        <v>4.2653187775606449E-3</v>
      </c>
      <c r="T203" s="53">
        <f t="shared" si="68"/>
        <v>0.05</v>
      </c>
      <c r="U203" s="53">
        <f t="shared" si="71"/>
        <v>4.2653187775606449E-3</v>
      </c>
      <c r="V203" s="53"/>
      <c r="W203" s="63">
        <f t="shared" si="69"/>
        <v>94.536904312741001</v>
      </c>
      <c r="X203" s="64">
        <f t="shared" si="70"/>
        <v>8.5306375551212903E-4</v>
      </c>
      <c r="Z203" s="63"/>
    </row>
    <row r="204" spans="1:26" x14ac:dyDescent="0.2">
      <c r="A204" s="62">
        <f t="shared" ref="A204:A232" si="82">D204/C$1</f>
        <v>0.1330426803323943</v>
      </c>
      <c r="B204" s="45">
        <f t="shared" si="62"/>
        <v>193</v>
      </c>
      <c r="C204" s="49">
        <f t="shared" si="75"/>
        <v>1240807.6533917391</v>
      </c>
      <c r="D204" s="47" cm="1">
        <f t="array" ref="D204">_xlfn.IFS(AND($C$7="Y",B204&lt;C$4),C204,AND($C$7="Y",B204=C$4),D203+F204-J204-K204-L204+N204,AND($C$7="Y",B204&gt;$C$4),D203-J204-K204-L204+N204, TRUE, D203-J204-K204-L204+N204)</f>
        <v>1151026.2984696971</v>
      </c>
      <c r="E204" s="48">
        <f t="shared" si="63"/>
        <v>0</v>
      </c>
      <c r="F204" s="50">
        <f t="shared" si="64"/>
        <v>0</v>
      </c>
      <c r="G204" s="50">
        <f t="shared" si="72"/>
        <v>0</v>
      </c>
      <c r="H204" s="51">
        <f t="shared" si="76"/>
        <v>106950.03375113511</v>
      </c>
      <c r="I204" s="52">
        <f t="shared" si="65"/>
        <v>20591.920220139775</v>
      </c>
      <c r="J204" s="52">
        <f t="shared" si="77"/>
        <v>86358.113530995339</v>
      </c>
      <c r="K204" s="51">
        <f t="shared" si="79"/>
        <v>4924.0953001142771</v>
      </c>
      <c r="L204" s="49">
        <f t="shared" si="80"/>
        <v>5292.4401833527454</v>
      </c>
      <c r="M204" s="49">
        <f t="shared" si="81"/>
        <v>-6793.2940924201812</v>
      </c>
      <c r="N204" s="49">
        <f t="shared" si="73"/>
        <v>6793.2940924201812</v>
      </c>
      <c r="O204" s="48">
        <f t="shared" si="74"/>
        <v>113374.98296031682</v>
      </c>
      <c r="P204" s="38">
        <f t="shared" si="78"/>
        <v>113374.98296031682</v>
      </c>
      <c r="Q204" s="53"/>
      <c r="R204" s="53">
        <f t="shared" si="66"/>
        <v>0.05</v>
      </c>
      <c r="S204" s="53">
        <f t="shared" si="67"/>
        <v>4.2653187775606449E-3</v>
      </c>
      <c r="T204" s="53">
        <f t="shared" si="68"/>
        <v>0.05</v>
      </c>
      <c r="U204" s="53">
        <f t="shared" si="71"/>
        <v>4.2653187775606449E-3</v>
      </c>
      <c r="V204" s="53"/>
      <c r="W204" s="63">
        <f t="shared" si="69"/>
        <v>88.207336389212415</v>
      </c>
      <c r="X204" s="64">
        <f t="shared" si="70"/>
        <v>8.5306375551212903E-4</v>
      </c>
      <c r="Z204" s="63"/>
    </row>
    <row r="205" spans="1:26" x14ac:dyDescent="0.2">
      <c r="A205" s="62">
        <f t="shared" si="82"/>
        <v>0.12257682821713235</v>
      </c>
      <c r="B205" s="45">
        <f t="shared" ref="B205:B220" si="83">B204+1</f>
        <v>194</v>
      </c>
      <c r="C205" s="49">
        <f t="shared" si="75"/>
        <v>1151026.2984696971</v>
      </c>
      <c r="D205" s="47" cm="1">
        <f t="array" ref="D205">_xlfn.IFS(AND($C$7="Y",B205&lt;C$4),C205,AND($C$7="Y",B205=C$4),D204+F205-J205-K205-L205+N205,AND($C$7="Y",B205&gt;$C$4),D204-J205-K205-L205+N205, TRUE, D204-J205-K205-L205+N205)</f>
        <v>1060480.3850044522</v>
      </c>
      <c r="E205" s="48">
        <f t="shared" ref="E205:E216" si="84">IF(AND($C$7="Y",B205&lt;=$C$4),D204*C$2/12-G205,0)</f>
        <v>0</v>
      </c>
      <c r="F205" s="50">
        <f t="shared" ref="F205:F216" si="85">IF(AND($C$7="Y",B205&lt;=C$4),E205+F204,0)</f>
        <v>0</v>
      </c>
      <c r="G205" s="50">
        <f t="shared" si="72"/>
        <v>0</v>
      </c>
      <c r="H205" s="51">
        <f t="shared" si="76"/>
        <v>106624.75243328612</v>
      </c>
      <c r="I205" s="52">
        <f t="shared" ref="I205:I216" si="86">IF(AND(C$7="Y",$B205&lt;=C$4),0,IF(AND(C$7="Y",$B205&gt;C$4),(1-U205)*C$2*D204/12,IF(AND($C$7="N",C$4&gt;0),(1-U205)*D204*C$2/12, (1-U205)*D204*C$2/12)))</f>
        <v>19101.946739756135</v>
      </c>
      <c r="J205" s="52">
        <f t="shared" si="77"/>
        <v>87522.805693529983</v>
      </c>
      <c r="K205" s="51">
        <f t="shared" si="79"/>
        <v>4536.1814177395172</v>
      </c>
      <c r="L205" s="49">
        <f t="shared" si="80"/>
        <v>4909.4940843289223</v>
      </c>
      <c r="M205" s="49">
        <f t="shared" si="81"/>
        <v>-6422.5677303533448</v>
      </c>
      <c r="N205" s="49">
        <f t="shared" si="73"/>
        <v>6422.5677303533448</v>
      </c>
      <c r="O205" s="48">
        <f t="shared" si="74"/>
        <v>112674.00749705006</v>
      </c>
      <c r="P205" s="38">
        <f t="shared" si="78"/>
        <v>112674.00749705006</v>
      </c>
      <c r="Q205" s="53"/>
      <c r="R205" s="53">
        <f t="shared" ref="R205:R216" si="87">R$9</f>
        <v>0.05</v>
      </c>
      <c r="S205" s="53">
        <f t="shared" ref="S205:S216" si="88">1-(1-R205)^(1/12)</f>
        <v>4.2653187775606449E-3</v>
      </c>
      <c r="T205" s="53">
        <f t="shared" ref="T205:T216" si="89">T$9</f>
        <v>0.05</v>
      </c>
      <c r="U205" s="53">
        <f t="shared" si="71"/>
        <v>4.2653187775606449E-3</v>
      </c>
      <c r="V205" s="53"/>
      <c r="W205" s="63">
        <f t="shared" ref="W205:W216" si="90">D204*U205*C$2/12</f>
        <v>81.824901405482038</v>
      </c>
      <c r="X205" s="64">
        <f t="shared" ref="X205:X216" si="91">12*W205/D204</f>
        <v>8.5306375551212903E-4</v>
      </c>
      <c r="Z205" s="63"/>
    </row>
    <row r="206" spans="1:26" x14ac:dyDescent="0.2">
      <c r="A206" s="62">
        <f t="shared" si="82"/>
        <v>0.11201994452093038</v>
      </c>
      <c r="B206" s="45">
        <f t="shared" si="83"/>
        <v>195</v>
      </c>
      <c r="C206" s="49">
        <f t="shared" si="75"/>
        <v>1060480.3850044522</v>
      </c>
      <c r="D206" s="47" cm="1">
        <f t="array" ref="D206">_xlfn.IFS(AND($C$7="Y",B206&lt;C$4),C206,AND($C$7="Y",B206=C$4),D205+F206-J206-K206-L206+N206,AND($C$7="Y",B206&gt;$C$4),D205-J206-K206-L206+N206, TRUE, D205-J206-K206-L206+N206)</f>
        <v>969146.90665107174</v>
      </c>
      <c r="E206" s="48">
        <f t="shared" si="84"/>
        <v>0</v>
      </c>
      <c r="F206" s="50">
        <f t="shared" si="85"/>
        <v>0</v>
      </c>
      <c r="G206" s="50">
        <f t="shared" si="72"/>
        <v>0</v>
      </c>
      <c r="H206" s="51">
        <f t="shared" si="76"/>
        <v>106313.48198596884</v>
      </c>
      <c r="I206" s="52">
        <f t="shared" si="86"/>
        <v>17599.284968417633</v>
      </c>
      <c r="J206" s="52">
        <f t="shared" si="77"/>
        <v>88714.197017551211</v>
      </c>
      <c r="K206" s="51">
        <f t="shared" si="79"/>
        <v>4144.8925690190563</v>
      </c>
      <c r="L206" s="49">
        <f t="shared" si="80"/>
        <v>4523.286899394232</v>
      </c>
      <c r="M206" s="49">
        <f t="shared" si="81"/>
        <v>-6048.8981325841087</v>
      </c>
      <c r="N206" s="49">
        <f t="shared" si="73"/>
        <v>6048.8981325841087</v>
      </c>
      <c r="O206" s="48">
        <f t="shared" si="74"/>
        <v>111983.98578817779</v>
      </c>
      <c r="P206" s="38">
        <f t="shared" si="78"/>
        <v>111983.98578817779</v>
      </c>
      <c r="Q206" s="53"/>
      <c r="R206" s="53">
        <f t="shared" si="87"/>
        <v>0.05</v>
      </c>
      <c r="S206" s="53">
        <f t="shared" si="88"/>
        <v>4.2653187775606449E-3</v>
      </c>
      <c r="T206" s="53">
        <f t="shared" si="89"/>
        <v>0.05</v>
      </c>
      <c r="U206" s="53">
        <f t="shared" ref="U206:U216" si="92">1-(1-T206)^(1/12)</f>
        <v>4.2653187775606449E-3</v>
      </c>
      <c r="V206" s="53"/>
      <c r="W206" s="63">
        <f t="shared" si="90"/>
        <v>75.388114989903869</v>
      </c>
      <c r="X206" s="64">
        <f t="shared" si="91"/>
        <v>8.5306375551212903E-4</v>
      </c>
      <c r="Z206" s="63"/>
    </row>
    <row r="207" spans="1:26" x14ac:dyDescent="0.2">
      <c r="A207" s="62">
        <f t="shared" si="82"/>
        <v>0.10136905520513856</v>
      </c>
      <c r="B207" s="45">
        <f t="shared" si="83"/>
        <v>196</v>
      </c>
      <c r="C207" s="49">
        <f t="shared" si="75"/>
        <v>969146.90665107174</v>
      </c>
      <c r="D207" s="47" cm="1">
        <f t="array" ref="D207">_xlfn.IFS(AND($C$7="Y",B207&lt;C$4),C207,AND($C$7="Y",B207=C$4),D206+F207-J207-K207-L207+N207,AND($C$7="Y",B207&gt;$C$4),D206-J207-K207-L207+N207, TRUE, D206-J207-K207-L207+N207)</f>
        <v>877000.13334541337</v>
      </c>
      <c r="E207" s="48">
        <f t="shared" si="84"/>
        <v>0</v>
      </c>
      <c r="F207" s="50">
        <f t="shared" si="85"/>
        <v>0</v>
      </c>
      <c r="G207" s="50">
        <f t="shared" ref="G207:G216" si="93">IF($B207&lt;=$C$4,C$6,0)</f>
        <v>0</v>
      </c>
      <c r="H207" s="51">
        <f t="shared" si="76"/>
        <v>106018.70174692312</v>
      </c>
      <c r="I207" s="52">
        <f t="shared" si="86"/>
        <v>16083.553102531967</v>
      </c>
      <c r="J207" s="52">
        <f t="shared" si="77"/>
        <v>89935.148644391156</v>
      </c>
      <c r="K207" s="51">
        <f t="shared" si="79"/>
        <v>3750.1184208780001</v>
      </c>
      <c r="L207" s="49">
        <f t="shared" si="80"/>
        <v>4133.72049915363</v>
      </c>
      <c r="M207" s="49">
        <f t="shared" si="81"/>
        <v>-5672.2142587644594</v>
      </c>
      <c r="N207" s="49">
        <f t="shared" si="73"/>
        <v>5672.2142587644594</v>
      </c>
      <c r="O207" s="48">
        <f t="shared" si="74"/>
        <v>111307.31392741196</v>
      </c>
      <c r="P207" s="38">
        <f t="shared" si="78"/>
        <v>111307.31392741196</v>
      </c>
      <c r="Q207" s="53"/>
      <c r="R207" s="53">
        <f t="shared" si="87"/>
        <v>0.05</v>
      </c>
      <c r="S207" s="53">
        <f t="shared" si="88"/>
        <v>4.2653187775606449E-3</v>
      </c>
      <c r="T207" s="53">
        <f t="shared" si="89"/>
        <v>0.05</v>
      </c>
      <c r="U207" s="53">
        <f t="shared" si="92"/>
        <v>4.2653187775606449E-3</v>
      </c>
      <c r="V207" s="53"/>
      <c r="W207" s="63">
        <f t="shared" si="90"/>
        <v>68.895341652560504</v>
      </c>
      <c r="X207" s="64">
        <f t="shared" si="91"/>
        <v>8.5306375551212914E-4</v>
      </c>
      <c r="Z207" s="63"/>
    </row>
    <row r="208" spans="1:26" x14ac:dyDescent="0.2">
      <c r="A208" s="62">
        <f t="shared" si="82"/>
        <v>9.0620771825233121E-2</v>
      </c>
      <c r="B208" s="45">
        <f t="shared" si="83"/>
        <v>197</v>
      </c>
      <c r="C208" s="49">
        <f t="shared" si="75"/>
        <v>877000.13334541337</v>
      </c>
      <c r="D208" s="47" cm="1">
        <f t="array" ref="D208">_xlfn.IFS(AND($C$7="Y",B208&lt;C$4),C208,AND($C$7="Y",B208=C$4),D207+F208-J208-K208-L208+N208,AND($C$7="Y",B208&gt;$C$4),D207-J208-K208-L208+N208, TRUE, D207-J208-K208-L208+N208)</f>
        <v>784010.74976740091</v>
      </c>
      <c r="E208" s="48">
        <f t="shared" si="84"/>
        <v>0</v>
      </c>
      <c r="F208" s="50">
        <f t="shared" si="85"/>
        <v>0</v>
      </c>
      <c r="G208" s="50">
        <f t="shared" si="93"/>
        <v>0</v>
      </c>
      <c r="H208" s="51">
        <f t="shared" si="76"/>
        <v>105743.72950785836</v>
      </c>
      <c r="I208" s="52">
        <f t="shared" si="86"/>
        <v>14554.324136812198</v>
      </c>
      <c r="J208" s="52">
        <f t="shared" si="77"/>
        <v>91189.405371046159</v>
      </c>
      <c r="K208" s="51">
        <f t="shared" si="79"/>
        <v>3351.7332536376684</v>
      </c>
      <c r="L208" s="49">
        <f t="shared" si="80"/>
        <v>3740.6851366813812</v>
      </c>
      <c r="M208" s="49">
        <f t="shared" si="81"/>
        <v>-5292.4401833527454</v>
      </c>
      <c r="N208" s="49">
        <f t="shared" si="73"/>
        <v>5292.4401833527454</v>
      </c>
      <c r="O208" s="48">
        <f t="shared" si="74"/>
        <v>110647.21780816739</v>
      </c>
      <c r="P208" s="38">
        <f t="shared" si="78"/>
        <v>110647.21780816739</v>
      </c>
      <c r="Q208" s="53"/>
      <c r="R208" s="53">
        <f t="shared" si="87"/>
        <v>0.05</v>
      </c>
      <c r="S208" s="53">
        <f t="shared" si="88"/>
        <v>4.2653187775606449E-3</v>
      </c>
      <c r="T208" s="53">
        <f t="shared" si="89"/>
        <v>0.05</v>
      </c>
      <c r="U208" s="53">
        <f t="shared" si="92"/>
        <v>4.2653187775606449E-3</v>
      </c>
      <c r="V208" s="53"/>
      <c r="W208" s="63">
        <f t="shared" si="90"/>
        <v>62.34475227802303</v>
      </c>
      <c r="X208" s="64">
        <f t="shared" si="91"/>
        <v>8.5306375551212914E-4</v>
      </c>
      <c r="Z208" s="63"/>
    </row>
    <row r="209" spans="1:26" x14ac:dyDescent="0.2">
      <c r="A209" s="62">
        <f t="shared" si="82"/>
        <v>7.9771142494776875E-2</v>
      </c>
      <c r="B209" s="45">
        <f t="shared" si="83"/>
        <v>198</v>
      </c>
      <c r="C209" s="49">
        <f t="shared" si="75"/>
        <v>784010.74976740091</v>
      </c>
      <c r="D209" s="47" cm="1">
        <f t="array" ref="D209">_xlfn.IFS(AND($C$7="Y",B209&lt;C$4),C209,AND($C$7="Y",B209=C$4),D208+F209-J209-K209-L209+N209,AND($C$7="Y",B209&gt;$C$4),D208-J209-K209-L209+N209, TRUE, D208-J209-K209-L209+N209)</f>
        <v>690144.56594727095</v>
      </c>
      <c r="E209" s="48">
        <f t="shared" si="84"/>
        <v>0</v>
      </c>
      <c r="F209" s="50">
        <f t="shared" si="85"/>
        <v>0</v>
      </c>
      <c r="G209" s="50">
        <f t="shared" si="93"/>
        <v>0</v>
      </c>
      <c r="H209" s="51">
        <f t="shared" si="76"/>
        <v>105493.14327187066</v>
      </c>
      <c r="I209" s="52">
        <f t="shared" si="86"/>
        <v>13011.11156657681</v>
      </c>
      <c r="J209" s="52">
        <f t="shared" si="77"/>
        <v>92482.031705293848</v>
      </c>
      <c r="K209" s="51">
        <f t="shared" si="79"/>
        <v>2949.5904263727466</v>
      </c>
      <c r="L209" s="49">
        <f t="shared" si="80"/>
        <v>3344.0557727922951</v>
      </c>
      <c r="M209" s="49">
        <f t="shared" si="81"/>
        <v>-4909.4940843289223</v>
      </c>
      <c r="N209" s="49">
        <f t="shared" si="73"/>
        <v>4909.4940843289223</v>
      </c>
      <c r="O209" s="48">
        <f t="shared" si="74"/>
        <v>110008.17200978003</v>
      </c>
      <c r="P209" s="38">
        <f t="shared" si="78"/>
        <v>110008.17200978003</v>
      </c>
      <c r="Q209" s="53"/>
      <c r="R209" s="53">
        <f t="shared" si="87"/>
        <v>0.05</v>
      </c>
      <c r="S209" s="53">
        <f t="shared" si="88"/>
        <v>4.2653187775606449E-3</v>
      </c>
      <c r="T209" s="53">
        <f t="shared" si="89"/>
        <v>0.05</v>
      </c>
      <c r="U209" s="53">
        <f t="shared" si="92"/>
        <v>4.2653187775606449E-3</v>
      </c>
      <c r="V209" s="53"/>
      <c r="W209" s="63">
        <f t="shared" si="90"/>
        <v>55.734262879871586</v>
      </c>
      <c r="X209" s="64">
        <f t="shared" si="91"/>
        <v>8.5306375551212903E-4</v>
      </c>
      <c r="Z209" s="63"/>
    </row>
    <row r="210" spans="1:26" x14ac:dyDescent="0.2">
      <c r="A210" s="62">
        <f t="shared" si="82"/>
        <v>6.8815418158783892E-2</v>
      </c>
      <c r="B210" s="45">
        <f t="shared" si="83"/>
        <v>199</v>
      </c>
      <c r="C210" s="49">
        <f t="shared" si="75"/>
        <v>690144.56594727095</v>
      </c>
      <c r="D210" s="47" cm="1">
        <f t="array" ref="D210">_xlfn.IFS(AND($C$7="Y",B210&lt;C$4),C210,AND($C$7="Y",B210=C$4),D209+F210-J210-K210-L210+N210,AND($C$7="Y",B210&gt;$C$4),D209-J210-K210-L210+N210, TRUE, D209-J210-K210-L210+N210)</f>
        <v>595360.49516632536</v>
      </c>
      <c r="E210" s="48">
        <f t="shared" si="84"/>
        <v>0</v>
      </c>
      <c r="F210" s="50">
        <f t="shared" si="85"/>
        <v>0</v>
      </c>
      <c r="G210" s="50">
        <f t="shared" si="93"/>
        <v>0</v>
      </c>
      <c r="H210" s="51">
        <f t="shared" si="76"/>
        <v>105273.50539622283</v>
      </c>
      <c r="I210" s="52">
        <f t="shared" si="86"/>
        <v>11453.347989515076</v>
      </c>
      <c r="J210" s="52">
        <f t="shared" si="77"/>
        <v>93820.157406707745</v>
      </c>
      <c r="K210" s="51">
        <f t="shared" si="79"/>
        <v>2543.5136972658097</v>
      </c>
      <c r="L210" s="49">
        <f t="shared" si="80"/>
        <v>2943.6865763663354</v>
      </c>
      <c r="M210" s="49">
        <f t="shared" si="81"/>
        <v>-4523.286899394232</v>
      </c>
      <c r="N210" s="49">
        <f t="shared" si="73"/>
        <v>4523.286899394232</v>
      </c>
      <c r="O210" s="48">
        <f t="shared" si="74"/>
        <v>109396.61941651654</v>
      </c>
      <c r="P210" s="38">
        <f t="shared" si="78"/>
        <v>109396.61941651654</v>
      </c>
      <c r="Q210" s="53"/>
      <c r="R210" s="53">
        <f t="shared" si="87"/>
        <v>0.05</v>
      </c>
      <c r="S210" s="53">
        <f t="shared" si="88"/>
        <v>4.2653187775606449E-3</v>
      </c>
      <c r="T210" s="53">
        <f t="shared" si="89"/>
        <v>0.05</v>
      </c>
      <c r="U210" s="53">
        <f t="shared" si="92"/>
        <v>4.2653187775606449E-3</v>
      </c>
      <c r="V210" s="53"/>
      <c r="W210" s="63">
        <f t="shared" si="90"/>
        <v>49.061442939438926</v>
      </c>
      <c r="X210" s="64">
        <f t="shared" si="91"/>
        <v>8.5306375551212892E-4</v>
      </c>
      <c r="Z210" s="63"/>
    </row>
    <row r="211" spans="1:26" x14ac:dyDescent="0.2">
      <c r="A211" s="62">
        <f t="shared" si="82"/>
        <v>5.7747663751755496E-2</v>
      </c>
      <c r="B211" s="45">
        <f t="shared" si="83"/>
        <v>200</v>
      </c>
      <c r="C211" s="49">
        <f t="shared" si="75"/>
        <v>595360.49516632536</v>
      </c>
      <c r="D211" s="47" cm="1">
        <f t="array" ref="D211">_xlfn.IFS(AND($C$7="Y",B211&lt;C$4),C211,AND($C$7="Y",B211=C$4),D210+F211-J211-K211-L211+N211,AND($C$7="Y",B211&gt;$C$4),D210-J211-K211-L211+N211, TRUE, D210-J211-K211-L211+N211)</f>
        <v>499607.18986861396</v>
      </c>
      <c r="E211" s="48">
        <f t="shared" si="84"/>
        <v>0</v>
      </c>
      <c r="F211" s="50">
        <f t="shared" si="85"/>
        <v>0</v>
      </c>
      <c r="G211" s="50">
        <f t="shared" si="93"/>
        <v>0</v>
      </c>
      <c r="H211" s="51">
        <f t="shared" si="76"/>
        <v>105094.69226108235</v>
      </c>
      <c r="I211" s="52">
        <f t="shared" si="86"/>
        <v>9880.3515477812434</v>
      </c>
      <c r="J211" s="52">
        <f t="shared" si="77"/>
        <v>95214.340713301106</v>
      </c>
      <c r="K211" s="51">
        <f t="shared" si="79"/>
        <v>2133.2827841132312</v>
      </c>
      <c r="L211" s="49">
        <f t="shared" si="80"/>
        <v>2539.4022994507313</v>
      </c>
      <c r="M211" s="49">
        <f t="shared" si="81"/>
        <v>-4133.72049915363</v>
      </c>
      <c r="N211" s="49">
        <f t="shared" si="73"/>
        <v>4133.72049915363</v>
      </c>
      <c r="O211" s="48">
        <f t="shared" si="74"/>
        <v>108822.29324489848</v>
      </c>
      <c r="P211" s="38">
        <f t="shared" si="78"/>
        <v>108822.29324489848</v>
      </c>
      <c r="Q211" s="53"/>
      <c r="R211" s="53">
        <f t="shared" si="87"/>
        <v>0.05</v>
      </c>
      <c r="S211" s="53">
        <f t="shared" si="88"/>
        <v>4.2653187775606449E-3</v>
      </c>
      <c r="T211" s="53">
        <f t="shared" si="89"/>
        <v>0.05</v>
      </c>
      <c r="U211" s="53">
        <f t="shared" si="92"/>
        <v>4.2653187775606449E-3</v>
      </c>
      <c r="V211" s="53"/>
      <c r="W211" s="63">
        <f t="shared" si="90"/>
        <v>42.32337165751219</v>
      </c>
      <c r="X211" s="64">
        <f t="shared" si="91"/>
        <v>8.5306375551212914E-4</v>
      </c>
      <c r="Z211" s="63"/>
    </row>
    <row r="212" spans="1:26" x14ac:dyDescent="0.2">
      <c r="A212" s="62">
        <f t="shared" si="82"/>
        <v>4.6560059405017576E-2</v>
      </c>
      <c r="B212" s="45">
        <f t="shared" si="83"/>
        <v>201</v>
      </c>
      <c r="C212" s="49">
        <f t="shared" si="75"/>
        <v>499607.18986861396</v>
      </c>
      <c r="D212" s="47" cm="1">
        <f t="array" ref="D212">_xlfn.IFS(AND($C$7="Y",B212&lt;C$4),C212,AND($C$7="Y",B212=C$4),D211+F212-J212-K212-L212+N212,AND($C$7="Y",B212&gt;$C$4),D211-J212-K212-L212+N212, TRUE, D211-J212-K212-L212+N212)</f>
        <v>402816.99601656036</v>
      </c>
      <c r="E212" s="48">
        <f t="shared" si="84"/>
        <v>0</v>
      </c>
      <c r="F212" s="50">
        <f t="shared" si="85"/>
        <v>0</v>
      </c>
      <c r="G212" s="50">
        <f t="shared" si="93"/>
        <v>0</v>
      </c>
      <c r="H212" s="51">
        <f t="shared" si="76"/>
        <v>104972.5577426628</v>
      </c>
      <c r="I212" s="52">
        <f t="shared" si="86"/>
        <v>8291.2700990043832</v>
      </c>
      <c r="J212" s="52">
        <f t="shared" si="77"/>
        <v>96681.287643658419</v>
      </c>
      <c r="K212" s="51">
        <f t="shared" si="79"/>
        <v>1718.6074167256675</v>
      </c>
      <c r="L212" s="49">
        <f t="shared" si="80"/>
        <v>2130.9839283509054</v>
      </c>
      <c r="M212" s="49">
        <f t="shared" si="81"/>
        <v>-3740.6851366813812</v>
      </c>
      <c r="N212" s="49">
        <f t="shared" si="73"/>
        <v>3740.6851366813812</v>
      </c>
      <c r="O212" s="48">
        <f t="shared" si="74"/>
        <v>108300.86636771895</v>
      </c>
      <c r="P212" s="38">
        <f t="shared" si="78"/>
        <v>108300.86636771895</v>
      </c>
      <c r="Q212" s="53"/>
      <c r="R212" s="53">
        <f t="shared" si="87"/>
        <v>0.05</v>
      </c>
      <c r="S212" s="53">
        <f t="shared" si="88"/>
        <v>4.2653187775606449E-3</v>
      </c>
      <c r="T212" s="53">
        <f t="shared" si="89"/>
        <v>0.05</v>
      </c>
      <c r="U212" s="53">
        <f t="shared" si="92"/>
        <v>4.2653187775606449E-3</v>
      </c>
      <c r="V212" s="53"/>
      <c r="W212" s="63">
        <f t="shared" si="90"/>
        <v>35.516398805848425</v>
      </c>
      <c r="X212" s="64">
        <f t="shared" si="91"/>
        <v>8.5306375551212903E-4</v>
      </c>
      <c r="Z212" s="63"/>
    </row>
    <row r="213" spans="1:26" x14ac:dyDescent="0.2">
      <c r="A213" s="62">
        <f t="shared" si="82"/>
        <v>3.524150484917285E-2</v>
      </c>
      <c r="B213" s="45">
        <f t="shared" si="83"/>
        <v>202</v>
      </c>
      <c r="C213" s="49">
        <f t="shared" si="75"/>
        <v>402816.99601656036</v>
      </c>
      <c r="D213" s="47" cm="1">
        <f t="array" ref="D213">_xlfn.IFS(AND($C$7="Y",B213&lt;C$4),C213,AND($C$7="Y",B213=C$4),D212+F213-J213-K213-L213+N213,AND($C$7="Y",B213&gt;$C$4),D212-J213-K213-L213+N213, TRUE, D212-J213-K213-L213+N213)</f>
        <v>304893.8789995836</v>
      </c>
      <c r="E213" s="48">
        <f t="shared" si="84"/>
        <v>0</v>
      </c>
      <c r="F213" s="50">
        <f t="shared" si="85"/>
        <v>0</v>
      </c>
      <c r="G213" s="50">
        <f t="shared" si="93"/>
        <v>0</v>
      </c>
      <c r="H213" s="51">
        <f t="shared" si="76"/>
        <v>104934.93525630762</v>
      </c>
      <c r="I213" s="52">
        <f t="shared" si="86"/>
        <v>6684.9808853255054</v>
      </c>
      <c r="J213" s="52">
        <f t="shared" si="77"/>
        <v>98249.954370982116</v>
      </c>
      <c r="K213" s="51">
        <f t="shared" si="79"/>
        <v>1299.0755217569797</v>
      </c>
      <c r="L213" s="49">
        <f t="shared" si="80"/>
        <v>1718.1428970300065</v>
      </c>
      <c r="M213" s="49">
        <f t="shared" si="81"/>
        <v>-3344.0557727922951</v>
      </c>
      <c r="N213" s="49">
        <f t="shared" si="73"/>
        <v>3344.0557727922951</v>
      </c>
      <c r="O213" s="48">
        <f t="shared" si="74"/>
        <v>107859.9236538269</v>
      </c>
      <c r="P213" s="38">
        <f t="shared" si="78"/>
        <v>107859.9236538269</v>
      </c>
      <c r="Q213" s="53"/>
      <c r="R213" s="53">
        <f t="shared" si="87"/>
        <v>0.05</v>
      </c>
      <c r="S213" s="53">
        <f t="shared" si="88"/>
        <v>4.2653187775606449E-3</v>
      </c>
      <c r="T213" s="53">
        <f t="shared" si="89"/>
        <v>0.05</v>
      </c>
      <c r="U213" s="53">
        <f t="shared" si="92"/>
        <v>4.2653187775606449E-3</v>
      </c>
      <c r="V213" s="53"/>
      <c r="W213" s="63">
        <f t="shared" si="90"/>
        <v>28.635714950500113</v>
      </c>
      <c r="X213" s="64">
        <f t="shared" si="91"/>
        <v>8.5306375551212914E-4</v>
      </c>
      <c r="Z213" s="63"/>
    </row>
    <row r="214" spans="1:26" x14ac:dyDescent="0.2">
      <c r="A214" s="62">
        <f t="shared" si="82"/>
        <v>2.3774367121462667E-2</v>
      </c>
      <c r="B214" s="45">
        <f t="shared" si="83"/>
        <v>203</v>
      </c>
      <c r="C214" s="49">
        <f t="shared" si="75"/>
        <v>304893.8789995836</v>
      </c>
      <c r="D214" s="47" cm="1">
        <f t="array" ref="D214">_xlfn.IFS(AND($C$7="Y",B214&lt;C$4),C214,AND($C$7="Y",B214=C$4),D213+F214-J214-K214-L214+N214,AND($C$7="Y",B214&gt;$C$4),D213-J214-K214-L214+N214, TRUE, D213-J214-K214-L214+N214)</f>
        <v>205685.28623978578</v>
      </c>
      <c r="E214" s="48">
        <f t="shared" si="84"/>
        <v>0</v>
      </c>
      <c r="F214" s="50">
        <f t="shared" si="85"/>
        <v>0</v>
      </c>
      <c r="G214" s="50">
        <f t="shared" si="93"/>
        <v>0</v>
      </c>
      <c r="H214" s="51">
        <f t="shared" si="76"/>
        <v>105037.66740916877</v>
      </c>
      <c r="I214" s="52">
        <f t="shared" si="86"/>
        <v>5059.8901568720567</v>
      </c>
      <c r="J214" s="52">
        <f t="shared" si="77"/>
        <v>99977.777252296713</v>
      </c>
      <c r="K214" s="51">
        <f t="shared" si="79"/>
        <v>874.03249660723043</v>
      </c>
      <c r="L214" s="49">
        <f t="shared" si="80"/>
        <v>1300.4695872602272</v>
      </c>
      <c r="M214" s="49">
        <f t="shared" si="81"/>
        <v>-2943.6865763663354</v>
      </c>
      <c r="N214" s="49">
        <f t="shared" si="73"/>
        <v>2943.6865763663354</v>
      </c>
      <c r="O214" s="48">
        <f t="shared" si="74"/>
        <v>107554.9168948821</v>
      </c>
      <c r="P214" s="38">
        <f t="shared" si="78"/>
        <v>107554.9168948821</v>
      </c>
      <c r="Q214" s="53"/>
      <c r="R214" s="53">
        <f t="shared" si="87"/>
        <v>0.05</v>
      </c>
      <c r="S214" s="53">
        <f t="shared" si="88"/>
        <v>4.2653187775606449E-3</v>
      </c>
      <c r="T214" s="53">
        <f t="shared" si="89"/>
        <v>0.05</v>
      </c>
      <c r="U214" s="53">
        <f t="shared" si="92"/>
        <v>4.2653187775606449E-3</v>
      </c>
      <c r="V214" s="53"/>
      <c r="W214" s="63">
        <f t="shared" si="90"/>
        <v>21.674493121003788</v>
      </c>
      <c r="X214" s="64">
        <f t="shared" si="91"/>
        <v>8.5306375551212903E-4</v>
      </c>
      <c r="Z214" s="63"/>
    </row>
    <row r="215" spans="1:26" x14ac:dyDescent="0.2">
      <c r="A215" s="62">
        <f t="shared" si="82"/>
        <v>1.2124734651890064E-2</v>
      </c>
      <c r="B215" s="45">
        <f t="shared" si="83"/>
        <v>204</v>
      </c>
      <c r="C215" s="49">
        <f t="shared" si="75"/>
        <v>205685.28623978578</v>
      </c>
      <c r="D215" s="47" cm="1">
        <f t="array" ref="D215">_xlfn.IFS(AND($C$7="Y",B215&lt;C$4),C215,AND($C$7="Y",B215=C$4),D214+F215-J215-K215-L215+N215,AND($C$7="Y",B215&gt;$C$4),D214-J215-K215-L215+N215, TRUE, D214-J215-K215-L215+N215)</f>
        <v>104897.82986500912</v>
      </c>
      <c r="E215" s="48">
        <f t="shared" si="84"/>
        <v>0</v>
      </c>
      <c r="F215" s="50">
        <f t="shared" si="85"/>
        <v>0</v>
      </c>
      <c r="G215" s="50">
        <f t="shared" si="93"/>
        <v>0</v>
      </c>
      <c r="H215" s="51">
        <f t="shared" si="76"/>
        <v>105420.79202455209</v>
      </c>
      <c r="I215" s="52">
        <f t="shared" si="86"/>
        <v>3413.4662154353214</v>
      </c>
      <c r="J215" s="52">
        <f t="shared" si="77"/>
        <v>102007.32580911677</v>
      </c>
      <c r="K215" s="51">
        <f t="shared" si="79"/>
        <v>442.21955144412209</v>
      </c>
      <c r="L215" s="49">
        <f t="shared" si="80"/>
        <v>877.31331366649442</v>
      </c>
      <c r="M215" s="49">
        <f t="shared" si="81"/>
        <v>-2539.4022994507313</v>
      </c>
      <c r="N215" s="49">
        <f t="shared" si="73"/>
        <v>2539.4022994507313</v>
      </c>
      <c r="O215" s="48">
        <f t="shared" si="74"/>
        <v>107525.10056178043</v>
      </c>
      <c r="P215" s="38">
        <f t="shared" si="78"/>
        <v>107525.10056178043</v>
      </c>
      <c r="Q215" s="53"/>
      <c r="R215" s="53">
        <f t="shared" si="87"/>
        <v>0.05</v>
      </c>
      <c r="S215" s="53">
        <f t="shared" si="88"/>
        <v>4.2653187775606449E-3</v>
      </c>
      <c r="T215" s="53">
        <f t="shared" si="89"/>
        <v>0.05</v>
      </c>
      <c r="U215" s="53">
        <f t="shared" si="92"/>
        <v>4.2653187775606449E-3</v>
      </c>
      <c r="V215" s="53"/>
      <c r="W215" s="63">
        <f t="shared" si="90"/>
        <v>14.621888561108241</v>
      </c>
      <c r="X215" s="64">
        <f t="shared" si="91"/>
        <v>8.5306375551212892E-4</v>
      </c>
      <c r="Z215" s="63"/>
    </row>
    <row r="216" spans="1:26" x14ac:dyDescent="0.2">
      <c r="A216" s="62">
        <f t="shared" si="82"/>
        <v>1.9373808161420733E-4</v>
      </c>
      <c r="B216" s="45">
        <f t="shared" si="83"/>
        <v>205</v>
      </c>
      <c r="C216" s="49">
        <f t="shared" si="75"/>
        <v>104897.82986500912</v>
      </c>
      <c r="D216" s="47" cm="1">
        <f t="array" ref="D216">_xlfn.IFS(AND($C$7="Y",B216&lt;C$4),C216,AND($C$7="Y",B216=C$4),D215+F216-J216-K216-L216+N216,AND($C$7="Y",B216&gt;$C$4),D215-J216-K216-L216+N216, TRUE, D215-J216-K216-L216+N216)</f>
        <v>1676.1360068504564</v>
      </c>
      <c r="E216" s="48">
        <f t="shared" si="84"/>
        <v>0</v>
      </c>
      <c r="F216" s="50">
        <f t="shared" si="85"/>
        <v>0</v>
      </c>
      <c r="G216" s="50">
        <f t="shared" si="93"/>
        <v>0</v>
      </c>
      <c r="H216" s="51">
        <f t="shared" si="76"/>
        <v>106646.12702942654</v>
      </c>
      <c r="I216" s="52">
        <f t="shared" si="86"/>
        <v>1740.8401196926754</v>
      </c>
      <c r="J216" s="52">
        <f t="shared" si="77"/>
        <v>104905.28690973387</v>
      </c>
      <c r="K216" s="51">
        <f t="shared" si="79"/>
        <v>-3.1806672889600054E-2</v>
      </c>
      <c r="L216" s="49">
        <f t="shared" si="80"/>
        <v>447.42268344858519</v>
      </c>
      <c r="M216" s="49">
        <f t="shared" si="81"/>
        <v>-2130.9839283509054</v>
      </c>
      <c r="N216" s="49">
        <f t="shared" si="73"/>
        <v>2130.9839283509054</v>
      </c>
      <c r="O216" s="48">
        <f>K216+I216+J216-L216+N216+G216</f>
        <v>108329.65646765598</v>
      </c>
      <c r="P216" s="38">
        <f t="shared" si="78"/>
        <v>108329.65646765598</v>
      </c>
      <c r="Q216" s="53"/>
      <c r="R216" s="53">
        <f t="shared" si="87"/>
        <v>0.05</v>
      </c>
      <c r="S216" s="53">
        <f t="shared" si="88"/>
        <v>4.2653187775606449E-3</v>
      </c>
      <c r="T216" s="53">
        <f t="shared" si="89"/>
        <v>0.05</v>
      </c>
      <c r="U216" s="53">
        <f t="shared" si="92"/>
        <v>4.2653187775606449E-3</v>
      </c>
      <c r="V216" s="53"/>
      <c r="W216" s="63">
        <f t="shared" si="90"/>
        <v>7.4570447241430875</v>
      </c>
      <c r="X216" s="64">
        <f t="shared" si="91"/>
        <v>8.5306375551212903E-4</v>
      </c>
      <c r="Z216" s="63"/>
    </row>
    <row r="217" spans="1:26" x14ac:dyDescent="0.2">
      <c r="A217" s="62">
        <f t="shared" si="82"/>
        <v>0</v>
      </c>
      <c r="B217" s="45">
        <f t="shared" si="83"/>
        <v>206</v>
      </c>
      <c r="C217" s="49"/>
      <c r="D217" s="46"/>
      <c r="E217" s="61"/>
      <c r="F217" s="50"/>
      <c r="G217" s="50"/>
      <c r="H217" s="51"/>
      <c r="I217" s="51"/>
      <c r="J217" s="51"/>
      <c r="K217" s="51">
        <f t="shared" si="79"/>
        <v>0</v>
      </c>
      <c r="L217" s="49">
        <f t="shared" si="80"/>
        <v>0</v>
      </c>
      <c r="M217" s="49">
        <f t="shared" si="81"/>
        <v>-1718.1428970300065</v>
      </c>
      <c r="N217" s="49">
        <f t="shared" si="73"/>
        <v>1718.1428970300065</v>
      </c>
      <c r="O217" s="48">
        <f>K217+I217+J217-L217+N217+G217</f>
        <v>1718.1428970300065</v>
      </c>
      <c r="P217" s="38">
        <f t="shared" si="78"/>
        <v>1718.1428970300065</v>
      </c>
      <c r="Q217" s="53"/>
      <c r="R217" s="53"/>
      <c r="S217" s="53"/>
    </row>
    <row r="218" spans="1:26" x14ac:dyDescent="0.2">
      <c r="A218" s="62">
        <f t="shared" si="82"/>
        <v>0</v>
      </c>
      <c r="B218" s="45">
        <f t="shared" si="83"/>
        <v>207</v>
      </c>
      <c r="C218" s="49"/>
      <c r="D218" s="46"/>
      <c r="E218" s="61"/>
      <c r="F218" s="50"/>
      <c r="G218" s="56"/>
      <c r="H218" s="51"/>
      <c r="I218" s="51">
        <f t="shared" ref="I218:I232" si="94">IF($B217&lt;=25,0,C$2*D217/12)</f>
        <v>0</v>
      </c>
      <c r="J218" s="51">
        <f t="shared" ref="J218:J232" si="95">H218-I218</f>
        <v>0</v>
      </c>
      <c r="K218" s="51" t="e">
        <f>IF(AND(C$7="Y",$B218&lt;=$C$4),0,IF(AND(C$7="N",C$4&gt;0,B218&lt;=C$4),0,S218*(C218-J218)))</f>
        <v>#REF!</v>
      </c>
      <c r="L218" s="49">
        <f t="shared" si="80"/>
        <v>0</v>
      </c>
      <c r="M218" s="49">
        <f t="shared" si="81"/>
        <v>-1300.4695872602272</v>
      </c>
      <c r="N218" s="49">
        <f t="shared" si="73"/>
        <v>1300.4695872602272</v>
      </c>
      <c r="O218" s="48" t="e">
        <f t="shared" ref="O218:O232" si="96">K218+I218+J218-L218+N218+G218</f>
        <v>#REF!</v>
      </c>
      <c r="P218" s="38" t="e">
        <f>O218*(1/((1+P$9)^(B218/12)))</f>
        <v>#REF!</v>
      </c>
      <c r="Q218" s="53"/>
      <c r="R218" s="53" t="e">
        <f>INDEX(#REF!,MATCH(#REF!,#REF!,0),MATCH(ActiveCDR,#REF!,0))%</f>
        <v>#REF!</v>
      </c>
      <c r="S218" s="53" t="e">
        <f>1-(1-R218)^(1/12)</f>
        <v>#REF!</v>
      </c>
    </row>
    <row r="219" spans="1:26" x14ac:dyDescent="0.2">
      <c r="A219" s="62">
        <f t="shared" si="82"/>
        <v>0</v>
      </c>
      <c r="B219" s="45">
        <f t="shared" si="83"/>
        <v>208</v>
      </c>
      <c r="C219" s="49"/>
      <c r="D219" s="46"/>
      <c r="E219" s="61"/>
      <c r="F219" s="50"/>
      <c r="G219" s="56"/>
      <c r="H219" s="51"/>
      <c r="I219" s="51">
        <f t="shared" si="94"/>
        <v>0</v>
      </c>
      <c r="J219" s="51">
        <f t="shared" si="95"/>
        <v>0</v>
      </c>
      <c r="K219" s="51" t="e">
        <f t="shared" si="79"/>
        <v>#REF!</v>
      </c>
      <c r="L219" s="49">
        <f t="shared" si="80"/>
        <v>0</v>
      </c>
      <c r="M219" s="49">
        <f t="shared" si="81"/>
        <v>-877.31331366649442</v>
      </c>
      <c r="N219" s="49">
        <f t="shared" si="73"/>
        <v>877.31331366649442</v>
      </c>
      <c r="O219" s="48" t="e">
        <f t="shared" si="96"/>
        <v>#REF!</v>
      </c>
      <c r="P219" s="38" t="e">
        <f t="shared" si="78"/>
        <v>#REF!</v>
      </c>
      <c r="Q219" s="53"/>
      <c r="R219" s="53" t="e">
        <f>INDEX(#REF!,MATCH(#REF!,#REF!,0),MATCH(ActiveCDR,#REF!,0))%</f>
        <v>#REF!</v>
      </c>
      <c r="S219" s="53" t="e">
        <f t="shared" ref="S219:S221" si="97">1-(1-R219)^(1/12)</f>
        <v>#REF!</v>
      </c>
    </row>
    <row r="220" spans="1:26" x14ac:dyDescent="0.2">
      <c r="A220" s="62">
        <f t="shared" si="82"/>
        <v>0</v>
      </c>
      <c r="B220" s="45">
        <f t="shared" si="83"/>
        <v>209</v>
      </c>
      <c r="C220" s="49"/>
      <c r="D220" s="46"/>
      <c r="E220" s="61"/>
      <c r="F220" s="50"/>
      <c r="G220" s="56"/>
      <c r="H220" s="51"/>
      <c r="I220" s="51">
        <f t="shared" si="94"/>
        <v>0</v>
      </c>
      <c r="J220" s="51">
        <f t="shared" si="95"/>
        <v>0</v>
      </c>
      <c r="K220" s="51" t="e">
        <f t="shared" si="79"/>
        <v>#REF!</v>
      </c>
      <c r="L220" s="49">
        <f t="shared" si="80"/>
        <v>0</v>
      </c>
      <c r="M220" s="49">
        <f t="shared" si="81"/>
        <v>-447.42268344858519</v>
      </c>
      <c r="N220" s="49">
        <f t="shared" si="73"/>
        <v>447.42268344858519</v>
      </c>
      <c r="O220" s="48" t="e">
        <f t="shared" si="96"/>
        <v>#REF!</v>
      </c>
      <c r="P220" s="38" t="e">
        <f t="shared" si="78"/>
        <v>#REF!</v>
      </c>
      <c r="Q220" s="53"/>
      <c r="R220" s="53" t="e">
        <f>INDEX(#REF!,MATCH(#REF!,#REF!,0),MATCH(ActiveCDR,#REF!,0))%</f>
        <v>#REF!</v>
      </c>
      <c r="S220" s="53" t="e">
        <f t="shared" si="97"/>
        <v>#REF!</v>
      </c>
    </row>
    <row r="221" spans="1:26" x14ac:dyDescent="0.2">
      <c r="A221" s="62">
        <f t="shared" si="82"/>
        <v>0</v>
      </c>
      <c r="B221" s="45"/>
      <c r="C221" s="49"/>
      <c r="D221" s="46"/>
      <c r="E221" s="61"/>
      <c r="F221" s="50"/>
      <c r="G221" s="56"/>
      <c r="H221" s="51"/>
      <c r="I221" s="51">
        <f t="shared" si="94"/>
        <v>0</v>
      </c>
      <c r="J221" s="51">
        <f t="shared" si="95"/>
        <v>0</v>
      </c>
      <c r="K221" s="51">
        <f t="shared" si="79"/>
        <v>0</v>
      </c>
      <c r="L221" s="49">
        <f t="shared" si="80"/>
        <v>0</v>
      </c>
      <c r="M221" s="49">
        <f t="shared" si="81"/>
        <v>0</v>
      </c>
      <c r="N221" s="49">
        <f t="shared" si="73"/>
        <v>0</v>
      </c>
      <c r="O221" s="48">
        <f t="shared" si="96"/>
        <v>0</v>
      </c>
      <c r="P221" s="38">
        <f t="shared" si="78"/>
        <v>0</v>
      </c>
      <c r="Q221" s="53"/>
      <c r="R221" s="53" t="e">
        <f>INDEX(#REF!,MATCH(#REF!,#REF!,0),MATCH(ActiveCDR,#REF!,0))%</f>
        <v>#REF!</v>
      </c>
      <c r="S221" s="53" t="e">
        <f t="shared" si="97"/>
        <v>#REF!</v>
      </c>
    </row>
    <row r="222" spans="1:26" x14ac:dyDescent="0.2">
      <c r="A222" s="62">
        <f t="shared" si="82"/>
        <v>0</v>
      </c>
      <c r="B222" s="45"/>
      <c r="C222" s="49"/>
      <c r="D222" s="46"/>
      <c r="E222" s="61"/>
      <c r="F222" s="50"/>
      <c r="G222" s="56"/>
      <c r="H222" s="51"/>
      <c r="I222" s="51">
        <f t="shared" si="94"/>
        <v>0</v>
      </c>
      <c r="J222" s="51">
        <f t="shared" si="95"/>
        <v>0</v>
      </c>
      <c r="K222" s="51">
        <f t="shared" si="79"/>
        <v>0</v>
      </c>
      <c r="L222" s="49">
        <f t="shared" si="80"/>
        <v>0</v>
      </c>
      <c r="M222" s="49">
        <f t="shared" si="81"/>
        <v>0</v>
      </c>
      <c r="N222" s="49">
        <f t="shared" si="73"/>
        <v>0</v>
      </c>
      <c r="O222" s="48">
        <f t="shared" si="96"/>
        <v>0</v>
      </c>
      <c r="P222" s="38">
        <f t="shared" si="78"/>
        <v>0</v>
      </c>
      <c r="Q222" s="53"/>
      <c r="R222" s="53"/>
      <c r="S222" s="53"/>
    </row>
    <row r="223" spans="1:26" x14ac:dyDescent="0.2">
      <c r="A223" s="62">
        <f t="shared" si="82"/>
        <v>0</v>
      </c>
      <c r="B223" s="45"/>
      <c r="C223" s="49"/>
      <c r="D223" s="46"/>
      <c r="E223" s="61"/>
      <c r="F223" s="50"/>
      <c r="G223" s="56"/>
      <c r="H223" s="51"/>
      <c r="I223" s="51">
        <f t="shared" si="94"/>
        <v>0</v>
      </c>
      <c r="J223" s="51">
        <f t="shared" si="95"/>
        <v>0</v>
      </c>
      <c r="K223" s="51">
        <f t="shared" si="79"/>
        <v>0</v>
      </c>
      <c r="L223" s="49">
        <f t="shared" si="80"/>
        <v>0</v>
      </c>
      <c r="M223" s="49">
        <f t="shared" si="81"/>
        <v>0</v>
      </c>
      <c r="N223" s="49">
        <f t="shared" si="73"/>
        <v>0</v>
      </c>
      <c r="O223" s="48">
        <f t="shared" si="96"/>
        <v>0</v>
      </c>
      <c r="P223" s="38">
        <f t="shared" si="78"/>
        <v>0</v>
      </c>
      <c r="Q223" s="53"/>
      <c r="R223" s="53"/>
      <c r="S223" s="53"/>
    </row>
    <row r="224" spans="1:26" x14ac:dyDescent="0.2">
      <c r="A224" s="62">
        <f t="shared" si="82"/>
        <v>0</v>
      </c>
      <c r="B224" s="45"/>
      <c r="C224" s="49"/>
      <c r="D224" s="46"/>
      <c r="E224" s="61"/>
      <c r="F224" s="50"/>
      <c r="G224" s="56"/>
      <c r="H224" s="51"/>
      <c r="I224" s="51">
        <f t="shared" si="94"/>
        <v>0</v>
      </c>
      <c r="J224" s="51">
        <f t="shared" si="95"/>
        <v>0</v>
      </c>
      <c r="K224" s="51">
        <f t="shared" si="79"/>
        <v>0</v>
      </c>
      <c r="L224" s="49">
        <f t="shared" si="80"/>
        <v>0</v>
      </c>
      <c r="M224" s="49">
        <f t="shared" si="81"/>
        <v>0</v>
      </c>
      <c r="N224" s="49">
        <f t="shared" ref="N224:N232" si="98">IFERROR((1-$N$9)*L220,0)</f>
        <v>0</v>
      </c>
      <c r="O224" s="48">
        <f t="shared" si="96"/>
        <v>0</v>
      </c>
      <c r="P224" s="38">
        <f t="shared" si="78"/>
        <v>0</v>
      </c>
      <c r="Q224" s="53"/>
      <c r="R224" s="53"/>
      <c r="S224" s="53"/>
    </row>
    <row r="225" spans="1:19" x14ac:dyDescent="0.2">
      <c r="A225" s="62">
        <f t="shared" si="82"/>
        <v>0</v>
      </c>
      <c r="B225" s="45"/>
      <c r="C225" s="49"/>
      <c r="D225" s="46"/>
      <c r="E225" s="61"/>
      <c r="F225" s="50"/>
      <c r="G225" s="56"/>
      <c r="H225" s="51"/>
      <c r="I225" s="51">
        <f t="shared" si="94"/>
        <v>0</v>
      </c>
      <c r="J225" s="51">
        <f t="shared" si="95"/>
        <v>0</v>
      </c>
      <c r="K225" s="51">
        <f t="shared" si="79"/>
        <v>0</v>
      </c>
      <c r="L225" s="49">
        <f t="shared" si="80"/>
        <v>0</v>
      </c>
      <c r="M225" s="49">
        <f t="shared" si="81"/>
        <v>0</v>
      </c>
      <c r="N225" s="49">
        <f t="shared" si="98"/>
        <v>0</v>
      </c>
      <c r="O225" s="48">
        <f t="shared" si="96"/>
        <v>0</v>
      </c>
      <c r="P225" s="38">
        <f t="shared" si="78"/>
        <v>0</v>
      </c>
      <c r="Q225" s="53"/>
      <c r="R225" s="53"/>
      <c r="S225" s="53"/>
    </row>
    <row r="226" spans="1:19" x14ac:dyDescent="0.2">
      <c r="A226" s="62">
        <f t="shared" si="82"/>
        <v>0</v>
      </c>
      <c r="B226" s="45"/>
      <c r="C226" s="49"/>
      <c r="D226" s="46"/>
      <c r="E226" s="61"/>
      <c r="F226" s="50"/>
      <c r="G226" s="56"/>
      <c r="H226" s="51"/>
      <c r="I226" s="51">
        <f t="shared" si="94"/>
        <v>0</v>
      </c>
      <c r="J226" s="51">
        <f t="shared" si="95"/>
        <v>0</v>
      </c>
      <c r="K226" s="51">
        <f t="shared" si="79"/>
        <v>0</v>
      </c>
      <c r="L226" s="49">
        <f t="shared" si="80"/>
        <v>0</v>
      </c>
      <c r="M226" s="49">
        <f t="shared" si="81"/>
        <v>0</v>
      </c>
      <c r="N226" s="49">
        <f t="shared" si="98"/>
        <v>0</v>
      </c>
      <c r="O226" s="48">
        <f t="shared" si="96"/>
        <v>0</v>
      </c>
      <c r="P226" s="38">
        <f t="shared" si="78"/>
        <v>0</v>
      </c>
      <c r="Q226" s="53"/>
      <c r="R226" s="53"/>
      <c r="S226" s="53"/>
    </row>
    <row r="227" spans="1:19" x14ac:dyDescent="0.2">
      <c r="A227" s="62">
        <f t="shared" si="82"/>
        <v>0</v>
      </c>
      <c r="B227" s="45"/>
      <c r="C227" s="49"/>
      <c r="D227" s="46"/>
      <c r="E227" s="61"/>
      <c r="F227" s="50"/>
      <c r="G227" s="56"/>
      <c r="H227" s="51"/>
      <c r="I227" s="51">
        <f t="shared" si="94"/>
        <v>0</v>
      </c>
      <c r="J227" s="51">
        <f t="shared" si="95"/>
        <v>0</v>
      </c>
      <c r="K227" s="51">
        <f t="shared" si="79"/>
        <v>0</v>
      </c>
      <c r="L227" s="49">
        <f t="shared" si="80"/>
        <v>0</v>
      </c>
      <c r="M227" s="49">
        <f t="shared" si="81"/>
        <v>0</v>
      </c>
      <c r="N227" s="49">
        <f t="shared" si="98"/>
        <v>0</v>
      </c>
      <c r="O227" s="48">
        <f t="shared" si="96"/>
        <v>0</v>
      </c>
      <c r="P227" s="38">
        <f t="shared" si="78"/>
        <v>0</v>
      </c>
      <c r="Q227" s="53"/>
      <c r="R227" s="53"/>
      <c r="S227" s="53"/>
    </row>
    <row r="228" spans="1:19" x14ac:dyDescent="0.2">
      <c r="A228" s="62">
        <f t="shared" si="82"/>
        <v>0</v>
      </c>
      <c r="B228" s="45"/>
      <c r="C228" s="49"/>
      <c r="D228" s="46"/>
      <c r="E228" s="61"/>
      <c r="F228" s="50"/>
      <c r="G228" s="56"/>
      <c r="H228" s="51"/>
      <c r="I228" s="51">
        <f t="shared" si="94"/>
        <v>0</v>
      </c>
      <c r="J228" s="51">
        <f t="shared" si="95"/>
        <v>0</v>
      </c>
      <c r="K228" s="51">
        <f t="shared" si="79"/>
        <v>0</v>
      </c>
      <c r="L228" s="49">
        <f t="shared" si="80"/>
        <v>0</v>
      </c>
      <c r="M228" s="49">
        <f t="shared" si="81"/>
        <v>0</v>
      </c>
      <c r="N228" s="49">
        <f t="shared" si="98"/>
        <v>0</v>
      </c>
      <c r="O228" s="48">
        <f t="shared" si="96"/>
        <v>0</v>
      </c>
      <c r="P228" s="38">
        <f t="shared" si="78"/>
        <v>0</v>
      </c>
      <c r="Q228" s="53"/>
      <c r="R228" s="53"/>
      <c r="S228" s="53"/>
    </row>
    <row r="229" spans="1:19" x14ac:dyDescent="0.2">
      <c r="A229" s="62">
        <f t="shared" si="82"/>
        <v>0</v>
      </c>
      <c r="B229" s="45"/>
      <c r="C229" s="49"/>
      <c r="D229" s="46"/>
      <c r="E229" s="61"/>
      <c r="F229" s="50"/>
      <c r="G229" s="56"/>
      <c r="H229" s="51"/>
      <c r="I229" s="51">
        <f t="shared" si="94"/>
        <v>0</v>
      </c>
      <c r="J229" s="51">
        <f t="shared" si="95"/>
        <v>0</v>
      </c>
      <c r="K229" s="51">
        <f t="shared" si="79"/>
        <v>0</v>
      </c>
      <c r="L229" s="49">
        <f t="shared" si="80"/>
        <v>0</v>
      </c>
      <c r="M229" s="49">
        <f t="shared" si="81"/>
        <v>0</v>
      </c>
      <c r="N229" s="49">
        <f t="shared" si="98"/>
        <v>0</v>
      </c>
      <c r="O229" s="48">
        <f t="shared" si="96"/>
        <v>0</v>
      </c>
      <c r="P229" s="38">
        <f t="shared" si="78"/>
        <v>0</v>
      </c>
      <c r="Q229" s="53"/>
      <c r="R229" s="53"/>
      <c r="S229" s="53"/>
    </row>
    <row r="230" spans="1:19" x14ac:dyDescent="0.2">
      <c r="A230" s="62">
        <f t="shared" si="82"/>
        <v>0</v>
      </c>
      <c r="B230" s="45"/>
      <c r="C230" s="49"/>
      <c r="D230" s="46"/>
      <c r="E230" s="61"/>
      <c r="F230" s="50"/>
      <c r="G230" s="56"/>
      <c r="H230" s="51"/>
      <c r="I230" s="51">
        <f t="shared" si="94"/>
        <v>0</v>
      </c>
      <c r="J230" s="51">
        <f t="shared" si="95"/>
        <v>0</v>
      </c>
      <c r="K230" s="51">
        <f t="shared" si="79"/>
        <v>0</v>
      </c>
      <c r="L230" s="49">
        <f t="shared" si="80"/>
        <v>0</v>
      </c>
      <c r="M230" s="49">
        <f t="shared" si="81"/>
        <v>0</v>
      </c>
      <c r="N230" s="49">
        <f t="shared" si="98"/>
        <v>0</v>
      </c>
      <c r="O230" s="48">
        <f t="shared" si="96"/>
        <v>0</v>
      </c>
      <c r="P230" s="38">
        <f t="shared" ref="P230:P232" si="99">O230*(1/((1+P$9)^(B230/12)))</f>
        <v>0</v>
      </c>
      <c r="Q230" s="53"/>
      <c r="R230" s="53"/>
      <c r="S230" s="53"/>
    </row>
    <row r="231" spans="1:19" x14ac:dyDescent="0.2">
      <c r="A231" s="62">
        <f t="shared" si="82"/>
        <v>0</v>
      </c>
      <c r="B231" s="45"/>
      <c r="C231" s="49"/>
      <c r="D231" s="46"/>
      <c r="E231" s="61"/>
      <c r="F231" s="50"/>
      <c r="G231" s="56"/>
      <c r="H231" s="51"/>
      <c r="I231" s="51">
        <f t="shared" si="94"/>
        <v>0</v>
      </c>
      <c r="J231" s="51">
        <f t="shared" si="95"/>
        <v>0</v>
      </c>
      <c r="K231" s="51">
        <f t="shared" ref="K231:K232" si="100">IF(AND(C$7="Y",$B231&lt;=$C$4),0,IF(AND(C$7="N",C$4&gt;0,B231&lt;=C$4),0,S231*(C231-J231)))</f>
        <v>0</v>
      </c>
      <c r="L231" s="49">
        <f t="shared" si="80"/>
        <v>0</v>
      </c>
      <c r="M231" s="49">
        <f t="shared" si="81"/>
        <v>0</v>
      </c>
      <c r="N231" s="49">
        <f t="shared" si="98"/>
        <v>0</v>
      </c>
      <c r="O231" s="48">
        <f t="shared" si="96"/>
        <v>0</v>
      </c>
      <c r="P231" s="38">
        <f t="shared" si="99"/>
        <v>0</v>
      </c>
      <c r="Q231" s="53"/>
      <c r="R231" s="53"/>
      <c r="S231" s="53"/>
    </row>
    <row r="232" spans="1:19" x14ac:dyDescent="0.2">
      <c r="A232" s="62">
        <f t="shared" si="82"/>
        <v>0</v>
      </c>
      <c r="B232" s="45"/>
      <c r="C232" s="49"/>
      <c r="D232" s="46"/>
      <c r="E232" s="61"/>
      <c r="F232" s="50"/>
      <c r="G232" s="56"/>
      <c r="H232" s="51"/>
      <c r="I232" s="51">
        <f t="shared" si="94"/>
        <v>0</v>
      </c>
      <c r="J232" s="51">
        <f t="shared" si="95"/>
        <v>0</v>
      </c>
      <c r="K232" s="51">
        <f t="shared" si="100"/>
        <v>0</v>
      </c>
      <c r="L232" s="49">
        <f t="shared" si="80"/>
        <v>0</v>
      </c>
      <c r="M232" s="49">
        <f t="shared" si="81"/>
        <v>0</v>
      </c>
      <c r="N232" s="49">
        <f t="shared" si="98"/>
        <v>0</v>
      </c>
      <c r="O232" s="48">
        <f t="shared" si="96"/>
        <v>0</v>
      </c>
      <c r="P232" s="38">
        <f t="shared" si="99"/>
        <v>0</v>
      </c>
      <c r="Q232" s="53"/>
      <c r="R232" s="53"/>
      <c r="S232" s="53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61FF-ACFF-4656-9772-47932056A345}">
  <sheetPr codeName="Sheet2"/>
  <dimension ref="C1:U152"/>
  <sheetViews>
    <sheetView showGridLines="0" topLeftCell="A25" workbookViewId="0">
      <selection activeCell="M30" sqref="M30"/>
    </sheetView>
  </sheetViews>
  <sheetFormatPr defaultRowHeight="14.5" x14ac:dyDescent="0.35"/>
  <cols>
    <col min="4" max="4" width="16.26953125" customWidth="1"/>
    <col min="7" max="8" width="14.26953125" bestFit="1" customWidth="1"/>
    <col min="9" max="9" width="12.26953125" bestFit="1" customWidth="1"/>
    <col min="13" max="13" width="15.26953125" bestFit="1" customWidth="1"/>
    <col min="16" max="16" width="15.1796875" customWidth="1"/>
    <col min="17" max="17" width="9.54296875" bestFit="1" customWidth="1"/>
  </cols>
  <sheetData>
    <row r="1" spans="6:21" x14ac:dyDescent="0.35">
      <c r="M1" s="67">
        <v>100000000</v>
      </c>
    </row>
    <row r="2" spans="6:21" x14ac:dyDescent="0.35">
      <c r="G2" s="67">
        <v>83058599.829999998</v>
      </c>
      <c r="H2" s="67">
        <v>83414388.790000007</v>
      </c>
      <c r="I2" s="68">
        <f>G2-H2</f>
        <v>-355788.96000000834</v>
      </c>
      <c r="J2" s="69"/>
      <c r="M2" s="70">
        <f>20%-19.9146%</f>
        <v>8.5400000000002141E-4</v>
      </c>
      <c r="U2">
        <f>80/12</f>
        <v>6.666666666666667</v>
      </c>
    </row>
    <row r="3" spans="6:21" x14ac:dyDescent="0.35">
      <c r="M3">
        <f>M2*100000000/2</f>
        <v>42700.00000000107</v>
      </c>
      <c r="P3" s="66">
        <v>100000000</v>
      </c>
      <c r="Q3" s="67">
        <f>P3*M$2/12</f>
        <v>7116.6666666668452</v>
      </c>
    </row>
    <row r="4" spans="6:21" x14ac:dyDescent="0.35">
      <c r="M4" s="67">
        <f>2.62*M3</f>
        <v>111874.00000000281</v>
      </c>
      <c r="P4" s="66">
        <v>98360944.469999999</v>
      </c>
      <c r="Q4" s="67">
        <f t="shared" ref="Q4:Q67" si="0">P4*M$2/12</f>
        <v>7000.0205481151752</v>
      </c>
    </row>
    <row r="5" spans="6:21" x14ac:dyDescent="0.35">
      <c r="I5" s="68">
        <f>I2/2.62</f>
        <v>-135797.31297710241</v>
      </c>
      <c r="P5" s="66">
        <v>96746009.730000004</v>
      </c>
      <c r="Q5" s="67">
        <f t="shared" si="0"/>
        <v>6885.0910257851729</v>
      </c>
    </row>
    <row r="6" spans="6:21" x14ac:dyDescent="0.35">
      <c r="P6" s="66">
        <v>95154836.939999998</v>
      </c>
      <c r="Q6" s="67">
        <f t="shared" si="0"/>
        <v>6771.8525622301704</v>
      </c>
    </row>
    <row r="7" spans="6:21" x14ac:dyDescent="0.35">
      <c r="I7" s="69">
        <f>2*I5/M1</f>
        <v>-2.7159462595420483E-3</v>
      </c>
      <c r="P7" s="66">
        <v>93587072.590000004</v>
      </c>
      <c r="Q7" s="67">
        <f>P7*M$2/12</f>
        <v>6660.2799993218332</v>
      </c>
    </row>
    <row r="8" spans="6:21" x14ac:dyDescent="0.35">
      <c r="P8" s="66">
        <v>92042368.420000002</v>
      </c>
      <c r="Q8" s="67">
        <f t="shared" si="0"/>
        <v>6550.3485525568312</v>
      </c>
    </row>
    <row r="9" spans="6:21" x14ac:dyDescent="0.35">
      <c r="P9" s="66">
        <v>90520381.349999994</v>
      </c>
      <c r="Q9" s="67">
        <f t="shared" si="0"/>
        <v>6442.033806075161</v>
      </c>
    </row>
    <row r="10" spans="6:21" x14ac:dyDescent="0.35">
      <c r="P10" s="66">
        <v>89020773.390000001</v>
      </c>
      <c r="Q10" s="67">
        <f t="shared" si="0"/>
        <v>6335.3117062551582</v>
      </c>
    </row>
    <row r="11" spans="6:21" x14ac:dyDescent="0.35">
      <c r="P11" s="66">
        <v>87543211.590000004</v>
      </c>
      <c r="Q11" s="67">
        <f t="shared" si="0"/>
        <v>6230.1585581551562</v>
      </c>
    </row>
    <row r="12" spans="6:21" x14ac:dyDescent="0.35">
      <c r="P12" s="66">
        <v>86087367.920000002</v>
      </c>
      <c r="Q12" s="67">
        <f t="shared" si="0"/>
        <v>6126.5510169734871</v>
      </c>
    </row>
    <row r="13" spans="6:21" x14ac:dyDescent="0.35">
      <c r="F13" t="s">
        <v>39</v>
      </c>
      <c r="P13" s="66">
        <v>84652919.25</v>
      </c>
      <c r="Q13" s="67">
        <f t="shared" si="0"/>
        <v>6024.4660866251506</v>
      </c>
    </row>
    <row r="14" spans="6:21" x14ac:dyDescent="0.35">
      <c r="F14" t="s">
        <v>40</v>
      </c>
      <c r="P14" s="66">
        <v>83239547.239999995</v>
      </c>
      <c r="Q14" s="67">
        <f t="shared" si="0"/>
        <v>5923.8811119134816</v>
      </c>
    </row>
    <row r="15" spans="6:21" x14ac:dyDescent="0.35">
      <c r="F15" t="s">
        <v>41</v>
      </c>
      <c r="P15" s="66">
        <v>81846938.269999996</v>
      </c>
      <c r="Q15" s="67">
        <f t="shared" si="0"/>
        <v>5824.7737735484798</v>
      </c>
    </row>
    <row r="16" spans="6:21" x14ac:dyDescent="0.35">
      <c r="F16" t="s">
        <v>42</v>
      </c>
      <c r="P16" s="66">
        <v>80474783.409999996</v>
      </c>
      <c r="Q16" s="67">
        <f t="shared" si="0"/>
        <v>5727.1220860118092</v>
      </c>
    </row>
    <row r="17" spans="3:17" x14ac:dyDescent="0.35">
      <c r="F17" t="s">
        <v>43</v>
      </c>
      <c r="G17" t="s">
        <v>44</v>
      </c>
      <c r="P17" s="66">
        <v>79122778.299999997</v>
      </c>
      <c r="Q17" s="67">
        <f t="shared" si="0"/>
        <v>5630.9043890168077</v>
      </c>
    </row>
    <row r="18" spans="3:17" x14ac:dyDescent="0.35">
      <c r="P18" s="66">
        <v>77790623.090000004</v>
      </c>
      <c r="Q18" s="67">
        <f t="shared" si="0"/>
        <v>5536.0993432384721</v>
      </c>
    </row>
    <row r="19" spans="3:17" x14ac:dyDescent="0.35">
      <c r="F19">
        <v>12.1</v>
      </c>
      <c r="H19" t="s">
        <v>45</v>
      </c>
      <c r="P19" s="66">
        <v>76478022.420000002</v>
      </c>
      <c r="Q19" s="67">
        <f t="shared" si="0"/>
        <v>5442.6859288901369</v>
      </c>
    </row>
    <row r="20" spans="3:17" x14ac:dyDescent="0.35">
      <c r="P20" s="66">
        <v>75184685.280000001</v>
      </c>
      <c r="Q20" s="67">
        <f t="shared" si="0"/>
        <v>5350.6434357601347</v>
      </c>
    </row>
    <row r="21" spans="3:17" x14ac:dyDescent="0.35">
      <c r="P21" s="66">
        <v>73910325.030000001</v>
      </c>
      <c r="Q21" s="67">
        <f t="shared" si="0"/>
        <v>5259.9514646351317</v>
      </c>
    </row>
    <row r="22" spans="3:17" x14ac:dyDescent="0.35">
      <c r="P22" s="66">
        <v>72654659.239999995</v>
      </c>
      <c r="Q22" s="67">
        <f t="shared" si="0"/>
        <v>5170.5899159134624</v>
      </c>
    </row>
    <row r="23" spans="3:17" x14ac:dyDescent="0.35">
      <c r="P23" s="66">
        <v>71417409.709999993</v>
      </c>
      <c r="Q23" s="67">
        <f t="shared" si="0"/>
        <v>5082.5389910284603</v>
      </c>
    </row>
    <row r="24" spans="3:17" x14ac:dyDescent="0.35">
      <c r="P24" s="66">
        <v>70198302.370000005</v>
      </c>
      <c r="Q24" s="67">
        <f t="shared" si="0"/>
        <v>4995.7791853317922</v>
      </c>
    </row>
    <row r="25" spans="3:17" x14ac:dyDescent="0.35">
      <c r="P25" s="66">
        <v>68997067.200000003</v>
      </c>
      <c r="Q25" s="67">
        <f t="shared" si="0"/>
        <v>4910.2912824001232</v>
      </c>
    </row>
    <row r="26" spans="3:17" x14ac:dyDescent="0.35">
      <c r="P26" s="66">
        <v>67813438.230000004</v>
      </c>
      <c r="Q26" s="67">
        <f t="shared" si="0"/>
        <v>4826.0563540351213</v>
      </c>
    </row>
    <row r="27" spans="3:17" x14ac:dyDescent="0.35">
      <c r="C27">
        <v>474</v>
      </c>
      <c r="E27">
        <v>474.39800000000002</v>
      </c>
      <c r="F27">
        <v>4.7720000000000002</v>
      </c>
      <c r="G27">
        <v>4.83</v>
      </c>
      <c r="P27" s="66">
        <v>66647153.409999996</v>
      </c>
      <c r="Q27" s="67">
        <f t="shared" si="0"/>
        <v>4743.0557510117851</v>
      </c>
    </row>
    <row r="28" spans="3:17" x14ac:dyDescent="0.35">
      <c r="C28">
        <v>97.2</v>
      </c>
      <c r="D28" s="71"/>
      <c r="E28">
        <v>97.19</v>
      </c>
      <c r="F28">
        <v>5.0270000000000001</v>
      </c>
      <c r="G28">
        <v>5.42</v>
      </c>
      <c r="P28" s="66">
        <v>65497954.590000004</v>
      </c>
      <c r="Q28" s="67">
        <f t="shared" si="0"/>
        <v>4661.2711016551175</v>
      </c>
    </row>
    <row r="29" spans="3:17" x14ac:dyDescent="0.35">
      <c r="C29">
        <v>10.1</v>
      </c>
      <c r="E29">
        <v>10.17</v>
      </c>
      <c r="F29">
        <v>5.4020000000000001</v>
      </c>
      <c r="G29">
        <v>5.0999999999999996</v>
      </c>
      <c r="P29" s="66">
        <v>64365587.469999999</v>
      </c>
      <c r="Q29" s="67">
        <f t="shared" si="0"/>
        <v>4580.6843082817813</v>
      </c>
    </row>
    <row r="30" spans="3:17" x14ac:dyDescent="0.35">
      <c r="C30">
        <v>34</v>
      </c>
      <c r="E30">
        <v>34</v>
      </c>
      <c r="F30">
        <v>5.7439999999999998</v>
      </c>
      <c r="G30">
        <v>6.08</v>
      </c>
      <c r="P30" s="66">
        <v>63249801.520000003</v>
      </c>
      <c r="Q30" s="67">
        <f t="shared" si="0"/>
        <v>4501.2775415067799</v>
      </c>
    </row>
    <row r="31" spans="3:17" x14ac:dyDescent="0.35">
      <c r="C31">
        <v>615.75400000000002</v>
      </c>
      <c r="E31">
        <f>C31-C33</f>
        <v>34.192999999999984</v>
      </c>
      <c r="F31">
        <v>20</v>
      </c>
      <c r="G31">
        <v>5</v>
      </c>
      <c r="P31" s="66">
        <v>62150349.93</v>
      </c>
      <c r="Q31" s="67">
        <f t="shared" si="0"/>
        <v>4423.0332366851108</v>
      </c>
    </row>
    <row r="32" spans="3:17" x14ac:dyDescent="0.35">
      <c r="F32">
        <f>SUMPRODUCT(E27:E31,F27:F31)/SUM(E27:E31)</f>
        <v>5.671959464636565</v>
      </c>
      <c r="G32">
        <f>SUMPRODUCT(E27:E31,F27:F31,G27:G31)/SUMPRODUCT(E27:E31,G27:G31)</f>
        <v>5.6869312370090102</v>
      </c>
      <c r="P32" s="66">
        <v>61066989.549999997</v>
      </c>
      <c r="Q32" s="67">
        <f t="shared" si="0"/>
        <v>4345.9340896417752</v>
      </c>
    </row>
    <row r="33" spans="3:17" x14ac:dyDescent="0.35">
      <c r="C33">
        <v>581.56100000000004</v>
      </c>
      <c r="P33" s="66">
        <v>59999480.869999997</v>
      </c>
      <c r="Q33" s="67">
        <f t="shared" si="0"/>
        <v>4269.9630552484405</v>
      </c>
    </row>
    <row r="34" spans="3:17" x14ac:dyDescent="0.35">
      <c r="C34">
        <f>C31/C33</f>
        <v>1.0587952080693168</v>
      </c>
      <c r="P34" s="66">
        <v>58947587.909999996</v>
      </c>
      <c r="Q34" s="67">
        <f t="shared" si="0"/>
        <v>4195.1033395951044</v>
      </c>
    </row>
    <row r="35" spans="3:17" x14ac:dyDescent="0.35">
      <c r="P35" s="66">
        <v>57911078.210000001</v>
      </c>
      <c r="Q35" s="67">
        <f t="shared" si="0"/>
        <v>4121.3383992784366</v>
      </c>
    </row>
    <row r="36" spans="3:17" x14ac:dyDescent="0.35">
      <c r="C36">
        <v>624.81200000000001</v>
      </c>
      <c r="P36" s="66">
        <v>56889722.770000003</v>
      </c>
      <c r="Q36" s="67">
        <f t="shared" si="0"/>
        <v>4048.6519371317681</v>
      </c>
    </row>
    <row r="37" spans="3:17" x14ac:dyDescent="0.35">
      <c r="C37">
        <f>C36/105.49%</f>
        <v>592.29500426580728</v>
      </c>
      <c r="D37" s="71"/>
      <c r="P37" s="66">
        <v>55883295.969999999</v>
      </c>
      <c r="Q37" s="67">
        <f t="shared" si="0"/>
        <v>3977.0278965317661</v>
      </c>
    </row>
    <row r="38" spans="3:17" x14ac:dyDescent="0.35">
      <c r="P38" s="66">
        <v>54891575.57</v>
      </c>
      <c r="Q38" s="67">
        <f t="shared" si="0"/>
        <v>3906.4504613984313</v>
      </c>
    </row>
    <row r="39" spans="3:17" x14ac:dyDescent="0.35">
      <c r="D39" s="71"/>
      <c r="P39" s="66">
        <v>53914342.609999999</v>
      </c>
      <c r="Q39" s="67">
        <f t="shared" si="0"/>
        <v>3836.9040490784296</v>
      </c>
    </row>
    <row r="40" spans="3:17" ht="15" thickBot="1" x14ac:dyDescent="0.4">
      <c r="P40" s="66">
        <v>52951381.409999996</v>
      </c>
      <c r="Q40" s="67">
        <f t="shared" si="0"/>
        <v>3768.3733103450941</v>
      </c>
    </row>
    <row r="41" spans="3:17" x14ac:dyDescent="0.35">
      <c r="C41" s="72"/>
      <c r="D41" s="73"/>
      <c r="E41" s="74" t="s">
        <v>3</v>
      </c>
      <c r="F41" s="74" t="s">
        <v>34</v>
      </c>
      <c r="G41" s="74" t="s">
        <v>13</v>
      </c>
      <c r="H41" s="74" t="s">
        <v>46</v>
      </c>
      <c r="I41" s="75" t="s">
        <v>48</v>
      </c>
      <c r="P41" s="66">
        <v>52002479.450000003</v>
      </c>
      <c r="Q41" s="67">
        <f t="shared" si="0"/>
        <v>3700.8431208584261</v>
      </c>
    </row>
    <row r="42" spans="3:17" x14ac:dyDescent="0.35">
      <c r="C42" s="76"/>
      <c r="D42" s="77" t="s">
        <v>47</v>
      </c>
      <c r="E42" s="78">
        <v>7.4</v>
      </c>
      <c r="F42" s="78">
        <v>12</v>
      </c>
      <c r="G42" s="78">
        <v>6</v>
      </c>
      <c r="H42" s="78">
        <v>105.49</v>
      </c>
      <c r="I42" s="79">
        <v>6.67</v>
      </c>
      <c r="P42" s="66">
        <v>51067427.420000002</v>
      </c>
      <c r="Q42" s="67">
        <f t="shared" si="0"/>
        <v>3634.2985847234245</v>
      </c>
    </row>
    <row r="43" spans="3:17" x14ac:dyDescent="0.35">
      <c r="C43" s="76"/>
      <c r="D43" s="77" t="s">
        <v>49</v>
      </c>
      <c r="E43" s="78">
        <v>5.8</v>
      </c>
      <c r="F43" s="78">
        <v>6</v>
      </c>
      <c r="G43" s="78">
        <v>7.9</v>
      </c>
      <c r="H43" s="78">
        <v>106.73</v>
      </c>
      <c r="I43" s="79">
        <v>7.87</v>
      </c>
      <c r="P43" s="66">
        <v>50146019.090000004</v>
      </c>
      <c r="Q43" s="67">
        <f t="shared" si="0"/>
        <v>3568.7250252384233</v>
      </c>
    </row>
    <row r="44" spans="3:17" ht="15" thickBot="1" x14ac:dyDescent="0.4">
      <c r="C44" s="80"/>
      <c r="D44" s="81"/>
      <c r="E44" s="81"/>
      <c r="F44" s="81"/>
      <c r="G44" s="81"/>
      <c r="H44" s="81"/>
      <c r="I44" s="82"/>
      <c r="P44" s="66">
        <v>49238051.299999997</v>
      </c>
      <c r="Q44" s="67">
        <f t="shared" si="0"/>
        <v>3504.1079841834212</v>
      </c>
    </row>
    <row r="45" spans="3:17" x14ac:dyDescent="0.35">
      <c r="P45" s="66">
        <v>48343323.899999999</v>
      </c>
      <c r="Q45" s="67">
        <f t="shared" si="0"/>
        <v>3440.4332175500863</v>
      </c>
    </row>
    <row r="46" spans="3:17" x14ac:dyDescent="0.35">
      <c r="P46" s="66">
        <v>47461639.729999997</v>
      </c>
      <c r="Q46" s="67">
        <f t="shared" si="0"/>
        <v>3377.686694118418</v>
      </c>
    </row>
    <row r="47" spans="3:17" x14ac:dyDescent="0.35">
      <c r="P47" s="66">
        <v>46592804.539999999</v>
      </c>
      <c r="Q47" s="67">
        <f t="shared" si="0"/>
        <v>3315.8545897634162</v>
      </c>
    </row>
    <row r="48" spans="3:17" x14ac:dyDescent="0.35">
      <c r="D48" s="71"/>
      <c r="P48" s="66">
        <v>45736627</v>
      </c>
      <c r="Q48" s="67">
        <f t="shared" si="0"/>
        <v>3254.9232881667485</v>
      </c>
    </row>
    <row r="49" spans="4:17" x14ac:dyDescent="0.35">
      <c r="P49" s="66">
        <v>44892918.590000004</v>
      </c>
      <c r="Q49" s="67">
        <f t="shared" si="0"/>
        <v>3194.8793729884133</v>
      </c>
    </row>
    <row r="50" spans="4:17" x14ac:dyDescent="0.35">
      <c r="D50" s="71"/>
      <c r="P50" s="66">
        <v>44061493.590000004</v>
      </c>
      <c r="Q50" s="67">
        <f t="shared" si="0"/>
        <v>3135.7096271550786</v>
      </c>
    </row>
    <row r="51" spans="4:17" x14ac:dyDescent="0.35">
      <c r="P51" s="66">
        <v>43242169.07</v>
      </c>
      <c r="Q51" s="67">
        <f t="shared" si="0"/>
        <v>3077.4010321484106</v>
      </c>
    </row>
    <row r="52" spans="4:17" x14ac:dyDescent="0.35">
      <c r="P52" s="66">
        <v>42434764.799999997</v>
      </c>
      <c r="Q52" s="67">
        <f t="shared" si="0"/>
        <v>3019.9407616000753</v>
      </c>
    </row>
    <row r="53" spans="4:17" x14ac:dyDescent="0.35">
      <c r="P53" s="66">
        <v>41639103.210000001</v>
      </c>
      <c r="Q53" s="67">
        <f t="shared" si="0"/>
        <v>2963.3161784450745</v>
      </c>
    </row>
    <row r="54" spans="4:17" x14ac:dyDescent="0.35">
      <c r="P54" s="66">
        <v>40855009.399999999</v>
      </c>
      <c r="Q54" s="67">
        <f t="shared" si="0"/>
        <v>2907.5148356334062</v>
      </c>
    </row>
    <row r="55" spans="4:17" x14ac:dyDescent="0.35">
      <c r="P55" s="66">
        <v>40082311.049999997</v>
      </c>
      <c r="Q55" s="67">
        <f t="shared" si="0"/>
        <v>2852.5244697250714</v>
      </c>
    </row>
    <row r="56" spans="4:17" x14ac:dyDescent="0.35">
      <c r="P56" s="66">
        <v>39320838.399999999</v>
      </c>
      <c r="Q56" s="67">
        <f t="shared" si="0"/>
        <v>2798.3329994667365</v>
      </c>
    </row>
    <row r="57" spans="4:17" x14ac:dyDescent="0.35">
      <c r="P57" s="66">
        <v>38570424.229999997</v>
      </c>
      <c r="Q57" s="67">
        <f t="shared" si="0"/>
        <v>2744.9285243684021</v>
      </c>
    </row>
    <row r="58" spans="4:17" x14ac:dyDescent="0.35">
      <c r="P58" s="66">
        <v>37830903.780000001</v>
      </c>
      <c r="Q58" s="67">
        <f t="shared" si="0"/>
        <v>2692.2993190100674</v>
      </c>
    </row>
    <row r="59" spans="4:17" x14ac:dyDescent="0.35">
      <c r="D59" s="71"/>
      <c r="P59" s="66">
        <v>37102114.759999998</v>
      </c>
      <c r="Q59" s="67">
        <f t="shared" si="0"/>
        <v>2640.4338337533995</v>
      </c>
    </row>
    <row r="60" spans="4:17" x14ac:dyDescent="0.35">
      <c r="P60" s="66">
        <v>36383897.259999998</v>
      </c>
      <c r="Q60" s="67">
        <f t="shared" si="0"/>
        <v>2589.3206883367316</v>
      </c>
    </row>
    <row r="61" spans="4:17" x14ac:dyDescent="0.35">
      <c r="D61" s="71"/>
      <c r="P61" s="66">
        <v>35676093.789999999</v>
      </c>
      <c r="Q61" s="67">
        <f t="shared" si="0"/>
        <v>2538.9486747217302</v>
      </c>
    </row>
    <row r="62" spans="4:17" x14ac:dyDescent="0.35">
      <c r="P62" s="66">
        <v>34978549.170000002</v>
      </c>
      <c r="Q62" s="67">
        <f t="shared" si="0"/>
        <v>2489.3067492650625</v>
      </c>
    </row>
    <row r="63" spans="4:17" x14ac:dyDescent="0.35">
      <c r="P63" s="66">
        <v>34291110.530000001</v>
      </c>
      <c r="Q63" s="67">
        <f t="shared" si="0"/>
        <v>2440.3840327183948</v>
      </c>
    </row>
    <row r="64" spans="4:17" x14ac:dyDescent="0.35">
      <c r="P64" s="66">
        <v>33613627.270000003</v>
      </c>
      <c r="Q64" s="67">
        <f t="shared" si="0"/>
        <v>2392.169807381727</v>
      </c>
    </row>
    <row r="65" spans="4:17" x14ac:dyDescent="0.35">
      <c r="P65" s="66">
        <v>32945951.039999999</v>
      </c>
      <c r="Q65" s="67">
        <f t="shared" si="0"/>
        <v>2344.6535156800587</v>
      </c>
    </row>
    <row r="66" spans="4:17" x14ac:dyDescent="0.35">
      <c r="P66" s="66">
        <v>32287935.670000002</v>
      </c>
      <c r="Q66" s="67">
        <f t="shared" si="0"/>
        <v>2297.8247551817244</v>
      </c>
    </row>
    <row r="67" spans="4:17" x14ac:dyDescent="0.35">
      <c r="P67" s="66">
        <v>31639437.190000001</v>
      </c>
      <c r="Q67" s="67">
        <f t="shared" si="0"/>
        <v>2251.6732800217233</v>
      </c>
    </row>
    <row r="68" spans="4:17" x14ac:dyDescent="0.35">
      <c r="P68" s="66">
        <v>31000313.760000002</v>
      </c>
      <c r="Q68" s="67">
        <f t="shared" ref="Q68:Q131" si="1">P68*M$2/12</f>
        <v>2206.1889959200553</v>
      </c>
    </row>
    <row r="69" spans="4:17" x14ac:dyDescent="0.35">
      <c r="P69" s="66">
        <v>30370425.620000001</v>
      </c>
      <c r="Q69" s="67">
        <f t="shared" si="1"/>
        <v>2161.3619566233879</v>
      </c>
    </row>
    <row r="70" spans="4:17" x14ac:dyDescent="0.35">
      <c r="D70" s="71"/>
      <c r="P70" s="66">
        <v>29749635.140000001</v>
      </c>
      <c r="Q70" s="67">
        <f t="shared" si="1"/>
        <v>2117.1823674633865</v>
      </c>
    </row>
    <row r="71" spans="4:17" x14ac:dyDescent="0.35">
      <c r="P71" s="66">
        <v>29137806.68</v>
      </c>
      <c r="Q71" s="67">
        <f t="shared" si="1"/>
        <v>2073.6405753933855</v>
      </c>
    </row>
    <row r="72" spans="4:17" x14ac:dyDescent="0.35">
      <c r="D72" s="71"/>
      <c r="P72" s="66">
        <v>28534806.649999999</v>
      </c>
      <c r="Q72" s="67">
        <f t="shared" si="1"/>
        <v>2030.7270732583841</v>
      </c>
    </row>
    <row r="73" spans="4:17" x14ac:dyDescent="0.35">
      <c r="P73" s="66">
        <v>27940503.43</v>
      </c>
      <c r="Q73" s="67">
        <f t="shared" si="1"/>
        <v>1988.4324941017164</v>
      </c>
    </row>
    <row r="74" spans="4:17" x14ac:dyDescent="0.35">
      <c r="P74" s="66">
        <v>27354767.359999999</v>
      </c>
      <c r="Q74" s="67">
        <f t="shared" si="1"/>
        <v>1946.7476104533819</v>
      </c>
    </row>
    <row r="75" spans="4:17" x14ac:dyDescent="0.35">
      <c r="P75" s="66">
        <v>26777470.719999999</v>
      </c>
      <c r="Q75" s="67">
        <f t="shared" si="1"/>
        <v>1905.6633329067145</v>
      </c>
    </row>
    <row r="76" spans="4:17" x14ac:dyDescent="0.35">
      <c r="P76" s="66">
        <v>26208487.649999999</v>
      </c>
      <c r="Q76" s="67">
        <f t="shared" si="1"/>
        <v>1865.1707044250468</v>
      </c>
    </row>
    <row r="77" spans="4:17" x14ac:dyDescent="0.35">
      <c r="P77" s="66">
        <v>25647694.199999999</v>
      </c>
      <c r="Q77" s="67">
        <f t="shared" si="1"/>
        <v>1825.2609039000456</v>
      </c>
    </row>
    <row r="78" spans="4:17" x14ac:dyDescent="0.35">
      <c r="P78" s="66">
        <v>25094968.23</v>
      </c>
      <c r="Q78" s="67">
        <f t="shared" si="1"/>
        <v>1785.9252390350448</v>
      </c>
    </row>
    <row r="79" spans="4:17" x14ac:dyDescent="0.35">
      <c r="P79" s="66">
        <v>24550189.449999999</v>
      </c>
      <c r="Q79" s="67">
        <f t="shared" si="1"/>
        <v>1747.1551491917105</v>
      </c>
    </row>
    <row r="80" spans="4:17" x14ac:dyDescent="0.35">
      <c r="P80" s="66">
        <v>24013239.32</v>
      </c>
      <c r="Q80" s="67">
        <f t="shared" si="1"/>
        <v>1708.9421982733763</v>
      </c>
    </row>
    <row r="81" spans="16:17" x14ac:dyDescent="0.35">
      <c r="P81" s="66">
        <v>23484001.079999998</v>
      </c>
      <c r="Q81" s="67">
        <f t="shared" si="1"/>
        <v>1671.2780768600417</v>
      </c>
    </row>
    <row r="82" spans="16:17" x14ac:dyDescent="0.35">
      <c r="P82" s="66">
        <v>22962359.699999999</v>
      </c>
      <c r="Q82" s="67">
        <f t="shared" si="1"/>
        <v>1634.1545986500407</v>
      </c>
    </row>
    <row r="83" spans="16:17" x14ac:dyDescent="0.35">
      <c r="P83" s="66">
        <v>22448201.870000001</v>
      </c>
      <c r="Q83" s="67">
        <f t="shared" si="1"/>
        <v>1597.5636997483734</v>
      </c>
    </row>
    <row r="84" spans="16:17" x14ac:dyDescent="0.35">
      <c r="P84" s="66">
        <v>21941415.949999999</v>
      </c>
      <c r="Q84" s="67">
        <f t="shared" si="1"/>
        <v>1561.4974351083722</v>
      </c>
    </row>
    <row r="85" spans="16:17" x14ac:dyDescent="0.35">
      <c r="P85" s="66">
        <v>21441891.949999999</v>
      </c>
      <c r="Q85" s="67">
        <f t="shared" si="1"/>
        <v>1525.9479771083716</v>
      </c>
    </row>
    <row r="86" spans="16:17" x14ac:dyDescent="0.35">
      <c r="P86" s="66">
        <v>20949521.550000001</v>
      </c>
      <c r="Q86" s="67">
        <f t="shared" si="1"/>
        <v>1490.9076169750376</v>
      </c>
    </row>
    <row r="87" spans="16:17" x14ac:dyDescent="0.35">
      <c r="P87" s="66">
        <v>20464198</v>
      </c>
      <c r="Q87" s="67">
        <f t="shared" si="1"/>
        <v>1456.3687576667032</v>
      </c>
    </row>
    <row r="88" spans="16:17" x14ac:dyDescent="0.35">
      <c r="P88" s="66">
        <v>19985816.149999999</v>
      </c>
      <c r="Q88" s="67">
        <f t="shared" si="1"/>
        <v>1422.3239160083688</v>
      </c>
    </row>
    <row r="89" spans="16:17" x14ac:dyDescent="0.35">
      <c r="P89" s="66">
        <v>19514272.420000002</v>
      </c>
      <c r="Q89" s="67">
        <f t="shared" si="1"/>
        <v>1388.7657205567018</v>
      </c>
    </row>
    <row r="90" spans="16:17" x14ac:dyDescent="0.35">
      <c r="P90" s="66">
        <v>19049464.760000002</v>
      </c>
      <c r="Q90" s="67">
        <f t="shared" si="1"/>
        <v>1355.6869087533676</v>
      </c>
    </row>
    <row r="91" spans="16:17" x14ac:dyDescent="0.35">
      <c r="P91" s="66">
        <v>18591292.640000001</v>
      </c>
      <c r="Q91" s="67">
        <f t="shared" si="1"/>
        <v>1323.0803262133666</v>
      </c>
    </row>
    <row r="92" spans="16:17" x14ac:dyDescent="0.35">
      <c r="P92" s="66">
        <v>18139657.02</v>
      </c>
      <c r="Q92" s="67">
        <f t="shared" si="1"/>
        <v>1290.9389245900322</v>
      </c>
    </row>
    <row r="93" spans="16:17" x14ac:dyDescent="0.35">
      <c r="P93" s="66">
        <v>17694460.329999998</v>
      </c>
      <c r="Q93" s="67">
        <f t="shared" si="1"/>
        <v>1259.255760151698</v>
      </c>
    </row>
    <row r="94" spans="16:17" x14ac:dyDescent="0.35">
      <c r="P94" s="66">
        <v>17255606.460000001</v>
      </c>
      <c r="Q94" s="67">
        <f t="shared" si="1"/>
        <v>1228.0239930700309</v>
      </c>
    </row>
    <row r="95" spans="16:17" x14ac:dyDescent="0.35">
      <c r="P95" s="66">
        <v>16823000.710000001</v>
      </c>
      <c r="Q95" s="67">
        <f t="shared" si="1"/>
        <v>1197.2368838616967</v>
      </c>
    </row>
    <row r="96" spans="16:17" x14ac:dyDescent="0.35">
      <c r="P96" s="66">
        <v>16396549.800000001</v>
      </c>
      <c r="Q96" s="67">
        <f t="shared" si="1"/>
        <v>1166.8877941000294</v>
      </c>
    </row>
    <row r="97" spans="16:17" x14ac:dyDescent="0.35">
      <c r="P97" s="66">
        <v>15976161.84</v>
      </c>
      <c r="Q97" s="67">
        <f t="shared" si="1"/>
        <v>1136.9701842800284</v>
      </c>
    </row>
    <row r="98" spans="16:17" x14ac:dyDescent="0.35">
      <c r="P98" s="66">
        <v>15561746.289999999</v>
      </c>
      <c r="Q98" s="67">
        <f t="shared" si="1"/>
        <v>1107.4776109716943</v>
      </c>
    </row>
    <row r="99" spans="16:17" x14ac:dyDescent="0.35">
      <c r="P99" s="66">
        <v>15153213.960000001</v>
      </c>
      <c r="Q99" s="67">
        <f t="shared" si="1"/>
        <v>1078.403726820027</v>
      </c>
    </row>
    <row r="100" spans="16:17" x14ac:dyDescent="0.35">
      <c r="P100" s="66">
        <v>14750476.99</v>
      </c>
      <c r="Q100" s="67">
        <f t="shared" si="1"/>
        <v>1049.7422791216929</v>
      </c>
    </row>
    <row r="101" spans="16:17" x14ac:dyDescent="0.35">
      <c r="P101" s="66">
        <v>14353448.82</v>
      </c>
      <c r="Q101" s="67">
        <f t="shared" si="1"/>
        <v>1021.4871076900257</v>
      </c>
    </row>
    <row r="102" spans="16:17" x14ac:dyDescent="0.35">
      <c r="P102" s="66">
        <v>13962044.18</v>
      </c>
      <c r="Q102" s="67">
        <f t="shared" si="1"/>
        <v>993.63214414335823</v>
      </c>
    </row>
    <row r="103" spans="16:17" x14ac:dyDescent="0.35">
      <c r="P103" s="66">
        <v>13576179.060000001</v>
      </c>
      <c r="Q103" s="67">
        <f t="shared" si="1"/>
        <v>966.17140977002418</v>
      </c>
    </row>
    <row r="104" spans="16:17" x14ac:dyDescent="0.35">
      <c r="P104" s="66">
        <v>13195770.710000001</v>
      </c>
      <c r="Q104" s="67">
        <f t="shared" si="1"/>
        <v>939.09901552835697</v>
      </c>
    </row>
    <row r="105" spans="16:17" x14ac:dyDescent="0.35">
      <c r="P105" s="66">
        <v>12820737.6</v>
      </c>
      <c r="Q105" s="67">
        <f t="shared" si="1"/>
        <v>912.40915920002283</v>
      </c>
    </row>
    <row r="106" spans="16:17" x14ac:dyDescent="0.35">
      <c r="P106" s="66">
        <v>12450999.41</v>
      </c>
      <c r="Q106" s="67">
        <f t="shared" si="1"/>
        <v>886.09612467835552</v>
      </c>
    </row>
    <row r="107" spans="16:17" x14ac:dyDescent="0.35">
      <c r="P107" s="66">
        <v>12086477.01</v>
      </c>
      <c r="Q107" s="67">
        <f t="shared" si="1"/>
        <v>860.15428054502161</v>
      </c>
    </row>
    <row r="108" spans="16:17" x14ac:dyDescent="0.35">
      <c r="P108" s="66">
        <v>11727092.449999999</v>
      </c>
      <c r="Q108" s="67">
        <f t="shared" si="1"/>
        <v>834.5780793583541</v>
      </c>
    </row>
    <row r="109" spans="16:17" x14ac:dyDescent="0.35">
      <c r="P109" s="66">
        <v>11372768.949999999</v>
      </c>
      <c r="Q109" s="67">
        <f t="shared" si="1"/>
        <v>809.362056941687</v>
      </c>
    </row>
    <row r="110" spans="16:17" x14ac:dyDescent="0.35">
      <c r="P110" s="66">
        <v>11023430.85</v>
      </c>
      <c r="Q110" s="67">
        <f t="shared" si="1"/>
        <v>784.50082882501965</v>
      </c>
    </row>
    <row r="111" spans="16:17" x14ac:dyDescent="0.35">
      <c r="P111" s="66">
        <v>10679003.630000001</v>
      </c>
      <c r="Q111" s="67">
        <f t="shared" si="1"/>
        <v>759.98909166835244</v>
      </c>
    </row>
    <row r="112" spans="16:17" x14ac:dyDescent="0.35">
      <c r="P112" s="66">
        <v>10339413.859999999</v>
      </c>
      <c r="Q112" s="67">
        <f t="shared" si="1"/>
        <v>735.82161970335176</v>
      </c>
    </row>
    <row r="113" spans="16:17" x14ac:dyDescent="0.35">
      <c r="P113" s="66">
        <v>10004589.210000001</v>
      </c>
      <c r="Q113" s="67">
        <f t="shared" si="1"/>
        <v>711.99326544501798</v>
      </c>
    </row>
    <row r="114" spans="16:17" x14ac:dyDescent="0.35">
      <c r="P114" s="66">
        <v>9674458.4299999997</v>
      </c>
      <c r="Q114" s="67">
        <f t="shared" si="1"/>
        <v>688.49895826835063</v>
      </c>
    </row>
    <row r="115" spans="16:17" x14ac:dyDescent="0.35">
      <c r="P115" s="66">
        <v>9348951.3200000003</v>
      </c>
      <c r="Q115" s="67">
        <f t="shared" si="1"/>
        <v>665.33370227335001</v>
      </c>
    </row>
    <row r="116" spans="16:17" x14ac:dyDescent="0.35">
      <c r="P116" s="66">
        <v>9027998.7300000004</v>
      </c>
      <c r="Q116" s="67">
        <f t="shared" si="1"/>
        <v>642.49257628501607</v>
      </c>
    </row>
    <row r="117" spans="16:17" x14ac:dyDescent="0.35">
      <c r="P117" s="66">
        <v>8711532.5199999996</v>
      </c>
      <c r="Q117" s="67">
        <f t="shared" si="1"/>
        <v>619.97073100668217</v>
      </c>
    </row>
    <row r="118" spans="16:17" x14ac:dyDescent="0.35">
      <c r="P118" s="66">
        <v>8399485.5800000001</v>
      </c>
      <c r="Q118" s="67">
        <f t="shared" si="1"/>
        <v>597.76339044334838</v>
      </c>
    </row>
    <row r="119" spans="16:17" x14ac:dyDescent="0.35">
      <c r="P119" s="66">
        <v>8091791.7999999998</v>
      </c>
      <c r="Q119" s="67">
        <f t="shared" si="1"/>
        <v>575.86584976668109</v>
      </c>
    </row>
    <row r="120" spans="16:17" x14ac:dyDescent="0.35">
      <c r="P120" s="66">
        <v>7788386.0300000003</v>
      </c>
      <c r="Q120" s="67">
        <f t="shared" si="1"/>
        <v>554.27347246834722</v>
      </c>
    </row>
    <row r="121" spans="16:17" x14ac:dyDescent="0.35">
      <c r="P121" s="66">
        <v>7489204.0999999996</v>
      </c>
      <c r="Q121" s="67">
        <f t="shared" si="1"/>
        <v>532.98169178334672</v>
      </c>
    </row>
    <row r="122" spans="16:17" x14ac:dyDescent="0.35">
      <c r="P122" s="66">
        <v>7194182.7999999998</v>
      </c>
      <c r="Q122" s="67">
        <f t="shared" si="1"/>
        <v>511.9860092666795</v>
      </c>
    </row>
    <row r="123" spans="16:17" x14ac:dyDescent="0.35">
      <c r="P123" s="66">
        <v>6903259.8499999996</v>
      </c>
      <c r="Q123" s="67">
        <f t="shared" si="1"/>
        <v>491.28199265834564</v>
      </c>
    </row>
    <row r="124" spans="16:17" x14ac:dyDescent="0.35">
      <c r="P124" s="66">
        <v>6616373.9000000004</v>
      </c>
      <c r="Q124" s="67">
        <f t="shared" si="1"/>
        <v>470.86527588334519</v>
      </c>
    </row>
    <row r="125" spans="16:17" x14ac:dyDescent="0.35">
      <c r="P125" s="66">
        <v>6333464.5</v>
      </c>
      <c r="Q125" s="67">
        <f t="shared" si="1"/>
        <v>450.73155691667802</v>
      </c>
    </row>
    <row r="126" spans="16:17" x14ac:dyDescent="0.35">
      <c r="P126" s="66">
        <v>6054472.0999999996</v>
      </c>
      <c r="Q126" s="67">
        <f t="shared" si="1"/>
        <v>430.8765977833441</v>
      </c>
    </row>
    <row r="127" spans="16:17" x14ac:dyDescent="0.35">
      <c r="P127" s="66">
        <v>5779338.0499999998</v>
      </c>
      <c r="Q127" s="67">
        <f t="shared" si="1"/>
        <v>411.29622455834368</v>
      </c>
    </row>
    <row r="128" spans="16:17" x14ac:dyDescent="0.35">
      <c r="P128" s="66">
        <v>5508004.5599999996</v>
      </c>
      <c r="Q128" s="67">
        <f t="shared" si="1"/>
        <v>391.98632452000976</v>
      </c>
    </row>
    <row r="129" spans="16:17" x14ac:dyDescent="0.35">
      <c r="P129" s="66">
        <v>5240414.7</v>
      </c>
      <c r="Q129" s="67">
        <f t="shared" si="1"/>
        <v>372.94284615000942</v>
      </c>
    </row>
    <row r="130" spans="16:17" x14ac:dyDescent="0.35">
      <c r="P130" s="66">
        <v>4976512.38</v>
      </c>
      <c r="Q130" s="67">
        <f t="shared" si="1"/>
        <v>354.16179771000884</v>
      </c>
    </row>
    <row r="131" spans="16:17" x14ac:dyDescent="0.35">
      <c r="P131" s="66">
        <v>4716242.34</v>
      </c>
      <c r="Q131" s="67">
        <f t="shared" si="1"/>
        <v>335.63924653000839</v>
      </c>
    </row>
    <row r="132" spans="16:17" x14ac:dyDescent="0.35">
      <c r="P132" s="66">
        <v>4459550.16</v>
      </c>
      <c r="Q132" s="67">
        <f t="shared" ref="Q132:Q152" si="2">P132*M$2/12</f>
        <v>317.37131972000799</v>
      </c>
    </row>
    <row r="133" spans="16:17" x14ac:dyDescent="0.35">
      <c r="P133" s="66">
        <v>4206382.21</v>
      </c>
      <c r="Q133" s="67">
        <f t="shared" si="2"/>
        <v>299.35420061167417</v>
      </c>
    </row>
    <row r="134" spans="16:17" x14ac:dyDescent="0.35">
      <c r="P134" s="66">
        <v>3956685.66</v>
      </c>
      <c r="Q134" s="67">
        <f t="shared" si="2"/>
        <v>281.5841294700071</v>
      </c>
    </row>
    <row r="135" spans="16:17" x14ac:dyDescent="0.35">
      <c r="P135" s="66">
        <v>3710408.47</v>
      </c>
      <c r="Q135" s="67">
        <f t="shared" si="2"/>
        <v>264.05740278167332</v>
      </c>
    </row>
    <row r="136" spans="16:17" x14ac:dyDescent="0.35">
      <c r="P136" s="66">
        <v>3467499.37</v>
      </c>
      <c r="Q136" s="67">
        <f t="shared" si="2"/>
        <v>246.77037183167286</v>
      </c>
    </row>
    <row r="137" spans="16:17" x14ac:dyDescent="0.35">
      <c r="P137" s="66">
        <v>3227907.85</v>
      </c>
      <c r="Q137" s="67">
        <f t="shared" si="2"/>
        <v>229.71944199167243</v>
      </c>
    </row>
    <row r="138" spans="16:17" x14ac:dyDescent="0.35">
      <c r="P138" s="66">
        <v>2991584.14</v>
      </c>
      <c r="Q138" s="67">
        <f t="shared" si="2"/>
        <v>212.90107129667203</v>
      </c>
    </row>
    <row r="139" spans="16:17" x14ac:dyDescent="0.35">
      <c r="P139" s="66">
        <v>2758479.23</v>
      </c>
      <c r="Q139" s="67">
        <f t="shared" si="2"/>
        <v>196.31177186833827</v>
      </c>
    </row>
    <row r="140" spans="16:17" x14ac:dyDescent="0.35">
      <c r="P140" s="66">
        <v>2528544.8199999998</v>
      </c>
      <c r="Q140" s="67">
        <f t="shared" si="2"/>
        <v>179.94810635667116</v>
      </c>
    </row>
    <row r="141" spans="16:17" x14ac:dyDescent="0.35">
      <c r="P141" s="66">
        <v>2301733.35</v>
      </c>
      <c r="Q141" s="67">
        <f t="shared" si="2"/>
        <v>163.80669007500413</v>
      </c>
    </row>
    <row r="142" spans="16:17" x14ac:dyDescent="0.35">
      <c r="P142" s="66">
        <v>2077997.93</v>
      </c>
      <c r="Q142" s="67">
        <f t="shared" si="2"/>
        <v>147.88418601833703</v>
      </c>
    </row>
    <row r="143" spans="16:17" x14ac:dyDescent="0.35">
      <c r="P143" s="66">
        <v>1857292.39</v>
      </c>
      <c r="Q143" s="67">
        <f t="shared" si="2"/>
        <v>132.17730842166998</v>
      </c>
    </row>
    <row r="144" spans="16:17" x14ac:dyDescent="0.35">
      <c r="P144" s="66">
        <v>1639571.25</v>
      </c>
      <c r="Q144" s="67">
        <f t="shared" si="2"/>
        <v>116.68282062500293</v>
      </c>
    </row>
    <row r="145" spans="16:17" x14ac:dyDescent="0.35">
      <c r="P145" s="66">
        <v>1424789.69</v>
      </c>
      <c r="Q145" s="67">
        <f t="shared" si="2"/>
        <v>101.39753293833587</v>
      </c>
    </row>
    <row r="146" spans="16:17" x14ac:dyDescent="0.35">
      <c r="P146" s="66">
        <v>1212903.56</v>
      </c>
      <c r="Q146" s="67">
        <f t="shared" si="2"/>
        <v>86.318303353335509</v>
      </c>
    </row>
    <row r="147" spans="16:17" x14ac:dyDescent="0.35">
      <c r="P147" s="66">
        <v>1003869.38</v>
      </c>
      <c r="Q147" s="67">
        <f t="shared" si="2"/>
        <v>71.442037543335132</v>
      </c>
    </row>
    <row r="148" spans="16:17" x14ac:dyDescent="0.35">
      <c r="P148" s="66">
        <v>797644.29</v>
      </c>
      <c r="Q148" s="67">
        <f t="shared" si="2"/>
        <v>56.765685305001426</v>
      </c>
    </row>
    <row r="149" spans="16:17" x14ac:dyDescent="0.35">
      <c r="P149" s="66">
        <v>594186.07999999996</v>
      </c>
      <c r="Q149" s="67">
        <f t="shared" si="2"/>
        <v>42.286242693334394</v>
      </c>
    </row>
    <row r="150" spans="16:17" x14ac:dyDescent="0.35">
      <c r="P150" s="66">
        <v>393453.17</v>
      </c>
      <c r="Q150" s="67">
        <f t="shared" si="2"/>
        <v>28.000750598334033</v>
      </c>
    </row>
    <row r="151" spans="16:17" x14ac:dyDescent="0.35">
      <c r="P151" s="66">
        <v>195404.6</v>
      </c>
      <c r="Q151" s="67">
        <f t="shared" si="2"/>
        <v>13.906294033333682</v>
      </c>
    </row>
    <row r="152" spans="16:17" x14ac:dyDescent="0.35">
      <c r="P152">
        <v>0</v>
      </c>
      <c r="Q152" s="67">
        <f t="shared" si="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1BBF-7F78-48CB-BDBC-2FF9562D9926}">
  <sheetPr codeName="Sheet3"/>
  <dimension ref="D5:Q82"/>
  <sheetViews>
    <sheetView showGridLines="0" topLeftCell="A49" workbookViewId="0">
      <selection activeCell="H56" sqref="H56"/>
    </sheetView>
  </sheetViews>
  <sheetFormatPr defaultRowHeight="14.5" x14ac:dyDescent="0.35"/>
  <cols>
    <col min="4" max="4" width="14.6328125" customWidth="1"/>
    <col min="5" max="5" width="13.90625" customWidth="1"/>
    <col min="6" max="6" width="15.1796875" customWidth="1"/>
    <col min="7" max="7" width="17" customWidth="1"/>
    <col min="8" max="8" width="15.54296875" customWidth="1"/>
    <col min="9" max="9" width="13.6328125" bestFit="1" customWidth="1"/>
    <col min="10" max="10" width="21.1796875" customWidth="1"/>
    <col min="12" max="12" width="9.81640625" bestFit="1" customWidth="1"/>
    <col min="13" max="14" width="14.08984375" customWidth="1"/>
    <col min="15" max="15" width="12.54296875" customWidth="1"/>
    <col min="17" max="17" width="10.81640625" bestFit="1" customWidth="1"/>
  </cols>
  <sheetData>
    <row r="5" spans="5:17" x14ac:dyDescent="0.35">
      <c r="F5">
        <f>2.75*150</f>
        <v>412.5</v>
      </c>
      <c r="I5">
        <f>100-88.5</f>
        <v>11.5</v>
      </c>
    </row>
    <row r="6" spans="5:17" x14ac:dyDescent="0.35">
      <c r="I6" s="67">
        <f>I5*0.01*150123701</f>
        <v>17264225.615000002</v>
      </c>
    </row>
    <row r="8" spans="5:17" x14ac:dyDescent="0.35">
      <c r="M8" s="66">
        <v>107432367.62</v>
      </c>
      <c r="N8" s="66">
        <v>108099034.28</v>
      </c>
      <c r="O8" s="66">
        <f>N8-M8</f>
        <v>666666.65999999642</v>
      </c>
      <c r="Q8">
        <f>O8/(12%/360)</f>
        <v>1999999979.9999893</v>
      </c>
    </row>
    <row r="13" spans="5:17" x14ac:dyDescent="0.35">
      <c r="E13" t="s">
        <v>53</v>
      </c>
      <c r="F13" t="s">
        <v>54</v>
      </c>
      <c r="H13" t="s">
        <v>18</v>
      </c>
      <c r="J13" t="s">
        <v>55</v>
      </c>
    </row>
    <row r="14" spans="5:17" x14ac:dyDescent="0.35">
      <c r="E14" s="67">
        <f>F14*H14*J14</f>
        <v>1966016865</v>
      </c>
      <c r="F14">
        <v>2.2069000000000001</v>
      </c>
      <c r="H14">
        <v>8.9085000000000001</v>
      </c>
      <c r="I14" s="66">
        <v>107650650</v>
      </c>
      <c r="J14" s="66">
        <v>100000000</v>
      </c>
    </row>
    <row r="15" spans="5:17" x14ac:dyDescent="0.35">
      <c r="E15" s="67">
        <f>F15*H15*J15</f>
        <v>132300000</v>
      </c>
      <c r="F15">
        <v>0.88200000000000001</v>
      </c>
      <c r="H15">
        <v>5</v>
      </c>
      <c r="I15" s="66">
        <v>30832817.84</v>
      </c>
      <c r="J15" s="66">
        <v>30000000</v>
      </c>
    </row>
    <row r="16" spans="5:17" x14ac:dyDescent="0.35">
      <c r="E16" s="67">
        <f t="shared" ref="E16" si="0">F16*H16*J16</f>
        <v>1049405000</v>
      </c>
      <c r="F16">
        <v>2.9983</v>
      </c>
      <c r="H16">
        <v>5</v>
      </c>
      <c r="I16" s="66">
        <v>76817832.319999993</v>
      </c>
      <c r="J16" s="66">
        <v>70000000</v>
      </c>
    </row>
    <row r="17" spans="5:15" x14ac:dyDescent="0.35">
      <c r="J17" s="66"/>
    </row>
    <row r="20" spans="5:15" x14ac:dyDescent="0.35">
      <c r="G20" t="s">
        <v>57</v>
      </c>
      <c r="H20" t="s">
        <v>18</v>
      </c>
      <c r="I20" t="s">
        <v>56</v>
      </c>
      <c r="J20" t="s">
        <v>13</v>
      </c>
    </row>
    <row r="21" spans="5:15" x14ac:dyDescent="0.35">
      <c r="G21" s="67">
        <f>H21*I21</f>
        <v>966891308.58000004</v>
      </c>
      <c r="H21">
        <v>9</v>
      </c>
      <c r="I21" s="66">
        <v>107432367.62</v>
      </c>
      <c r="J21">
        <v>2.73</v>
      </c>
    </row>
    <row r="22" spans="5:15" x14ac:dyDescent="0.35">
      <c r="G22" s="67">
        <f>H22*I22</f>
        <v>337372564.95999998</v>
      </c>
      <c r="H22">
        <v>4</v>
      </c>
      <c r="I22" s="66">
        <v>84343141.239999995</v>
      </c>
      <c r="J22">
        <v>2.73</v>
      </c>
    </row>
    <row r="23" spans="5:15" x14ac:dyDescent="0.35">
      <c r="G23" s="67">
        <f>H23*I23</f>
        <v>290073859.19999999</v>
      </c>
      <c r="H23">
        <v>9</v>
      </c>
      <c r="I23" s="66">
        <v>32230428.800000001</v>
      </c>
      <c r="J23">
        <v>2.73</v>
      </c>
      <c r="O23">
        <f>13*0.7</f>
        <v>9.1</v>
      </c>
    </row>
    <row r="24" spans="5:15" x14ac:dyDescent="0.35">
      <c r="I24" s="66"/>
    </row>
    <row r="29" spans="5:15" x14ac:dyDescent="0.35">
      <c r="F29">
        <f>88.5*4.1</f>
        <v>362.84999999999997</v>
      </c>
    </row>
    <row r="30" spans="5:15" x14ac:dyDescent="0.35">
      <c r="F30">
        <f>9*100</f>
        <v>900</v>
      </c>
      <c r="I30" t="s">
        <v>71</v>
      </c>
    </row>
    <row r="31" spans="5:15" x14ac:dyDescent="0.35">
      <c r="E31">
        <f>F31/11.5</f>
        <v>46.708695652173922</v>
      </c>
      <c r="F31">
        <f>F30-F29</f>
        <v>537.15000000000009</v>
      </c>
      <c r="G31" t="s">
        <v>58</v>
      </c>
    </row>
    <row r="36" spans="4:12" x14ac:dyDescent="0.35">
      <c r="E36" t="s">
        <v>64</v>
      </c>
    </row>
    <row r="37" spans="4:12" x14ac:dyDescent="0.35">
      <c r="F37" t="s">
        <v>62</v>
      </c>
      <c r="G37" t="s">
        <v>63</v>
      </c>
      <c r="I37" t="s">
        <v>65</v>
      </c>
      <c r="J37" t="s">
        <v>66</v>
      </c>
    </row>
    <row r="38" spans="4:12" x14ac:dyDescent="0.35">
      <c r="E38" t="s">
        <v>59</v>
      </c>
      <c r="F38" s="66">
        <v>1249056.1100000001</v>
      </c>
      <c r="G38" s="66">
        <v>975388.66</v>
      </c>
      <c r="H38" s="66">
        <f>SUM(F38:G38)</f>
        <v>2224444.77</v>
      </c>
      <c r="L38" s="66">
        <f>F38-F39</f>
        <v>249811.22000000009</v>
      </c>
    </row>
    <row r="39" spans="4:12" x14ac:dyDescent="0.35">
      <c r="D39">
        <v>80</v>
      </c>
      <c r="E39" t="s">
        <v>60</v>
      </c>
      <c r="F39" s="66">
        <v>999244.89</v>
      </c>
      <c r="G39" s="66">
        <v>780310.93</v>
      </c>
      <c r="H39" s="66">
        <f t="shared" ref="H39:H40" si="1">SUM(F39:G39)</f>
        <v>1779555.82</v>
      </c>
      <c r="I39" s="83">
        <f>F39/F38</f>
        <v>0.80000000160120899</v>
      </c>
      <c r="J39" s="69">
        <f>G39/G38</f>
        <v>0.80000000205046473</v>
      </c>
    </row>
    <row r="40" spans="4:12" x14ac:dyDescent="0.35">
      <c r="D40">
        <v>10</v>
      </c>
      <c r="E40" t="s">
        <v>61</v>
      </c>
      <c r="F40" s="66">
        <v>249811.22</v>
      </c>
      <c r="G40" s="66">
        <v>95077.73</v>
      </c>
      <c r="H40" s="66">
        <f t="shared" si="1"/>
        <v>344888.95</v>
      </c>
      <c r="I40" s="83">
        <f>F40/F38</f>
        <v>0.1999999983987909</v>
      </c>
      <c r="J40" s="69">
        <f>G40/G38</f>
        <v>9.7476763775375438E-2</v>
      </c>
    </row>
    <row r="41" spans="4:12" x14ac:dyDescent="0.35">
      <c r="H41" s="66">
        <f>H38-H39-H40</f>
        <v>99999.999999999942</v>
      </c>
    </row>
    <row r="45" spans="4:12" x14ac:dyDescent="0.35">
      <c r="E45" t="s">
        <v>67</v>
      </c>
      <c r="I45" s="66">
        <v>9507773.1999999993</v>
      </c>
    </row>
    <row r="46" spans="4:12" x14ac:dyDescent="0.35">
      <c r="I46">
        <f>I45*12%/12</f>
        <v>95077.731999999975</v>
      </c>
    </row>
    <row r="48" spans="4:12" x14ac:dyDescent="0.35">
      <c r="E48" s="101" t="s">
        <v>68</v>
      </c>
    </row>
    <row r="49" spans="5:7" x14ac:dyDescent="0.35">
      <c r="E49" t="s">
        <v>69</v>
      </c>
      <c r="F49" s="101" t="s">
        <v>70</v>
      </c>
    </row>
    <row r="55" spans="5:7" x14ac:dyDescent="0.35">
      <c r="E55" t="s">
        <v>72</v>
      </c>
      <c r="F55" s="66">
        <v>86338907.019999996</v>
      </c>
    </row>
    <row r="56" spans="5:7" x14ac:dyDescent="0.35">
      <c r="E56" t="s">
        <v>73</v>
      </c>
      <c r="F56" s="66">
        <v>67327546.129999995</v>
      </c>
      <c r="G56" t="s">
        <v>74</v>
      </c>
    </row>
    <row r="57" spans="5:7" x14ac:dyDescent="0.35">
      <c r="E57" t="s">
        <v>61</v>
      </c>
      <c r="F57" s="66">
        <v>9011360.8800000008</v>
      </c>
      <c r="G57" t="s">
        <v>74</v>
      </c>
    </row>
    <row r="59" spans="5:7" x14ac:dyDescent="0.35">
      <c r="F59" s="69">
        <f>(F55-F56-F57)/F55</f>
        <v>0.11582263842746524</v>
      </c>
      <c r="G59">
        <v>11.5823</v>
      </c>
    </row>
    <row r="69" spans="4:8" x14ac:dyDescent="0.35">
      <c r="D69" t="s">
        <v>84</v>
      </c>
    </row>
    <row r="77" spans="4:8" x14ac:dyDescent="0.35">
      <c r="D77" s="104" t="s">
        <v>82</v>
      </c>
      <c r="E77" s="104"/>
      <c r="G77" s="104" t="s">
        <v>83</v>
      </c>
      <c r="H77" s="104"/>
    </row>
    <row r="78" spans="4:8" x14ac:dyDescent="0.35">
      <c r="D78" t="s">
        <v>76</v>
      </c>
      <c r="E78" s="78" t="s">
        <v>75</v>
      </c>
      <c r="G78" t="s">
        <v>76</v>
      </c>
      <c r="H78" s="78" t="s">
        <v>79</v>
      </c>
    </row>
    <row r="79" spans="4:8" x14ac:dyDescent="0.35">
      <c r="D79" t="s">
        <v>77</v>
      </c>
      <c r="E79" s="102">
        <v>0.13500000000000001</v>
      </c>
      <c r="G79" t="s">
        <v>77</v>
      </c>
      <c r="H79" s="102">
        <v>0.13</v>
      </c>
    </row>
    <row r="80" spans="4:8" x14ac:dyDescent="0.35">
      <c r="D80" t="s">
        <v>34</v>
      </c>
      <c r="E80" s="78" t="s">
        <v>78</v>
      </c>
      <c r="G80" t="s">
        <v>34</v>
      </c>
      <c r="H80" s="78" t="s">
        <v>80</v>
      </c>
    </row>
    <row r="81" spans="4:8" x14ac:dyDescent="0.35">
      <c r="D81" t="s">
        <v>81</v>
      </c>
      <c r="E81" s="103">
        <v>1</v>
      </c>
      <c r="G81" t="s">
        <v>81</v>
      </c>
      <c r="H81" s="103">
        <v>1</v>
      </c>
    </row>
    <row r="82" spans="4:8" x14ac:dyDescent="0.35">
      <c r="E82" s="78"/>
      <c r="H82" s="78"/>
    </row>
  </sheetData>
  <mergeCells count="2">
    <mergeCell ref="D77:E77"/>
    <mergeCell ref="G77:H7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80D3-52C2-483A-8E1C-D760184CFC1F}">
  <sheetPr codeName="Sheet4"/>
  <dimension ref="A1:X235"/>
  <sheetViews>
    <sheetView showGridLines="0" zoomScale="110" zoomScaleNormal="110" workbookViewId="0">
      <selection activeCell="D14" sqref="D14"/>
    </sheetView>
  </sheetViews>
  <sheetFormatPr defaultColWidth="9.1796875" defaultRowHeight="10" x14ac:dyDescent="0.2"/>
  <cols>
    <col min="1" max="1" width="12.54296875" style="7" customWidth="1"/>
    <col min="2" max="2" width="37.54296875" style="7" customWidth="1"/>
    <col min="3" max="3" width="15.7265625" style="7" customWidth="1"/>
    <col min="4" max="4" width="15.81640625" style="7" customWidth="1"/>
    <col min="5" max="5" width="17.453125" style="7" customWidth="1"/>
    <col min="6" max="6" width="24.08984375" style="7" customWidth="1"/>
    <col min="7" max="7" width="10.90625" style="7" customWidth="1"/>
    <col min="8" max="8" width="18" style="7" customWidth="1"/>
    <col min="9" max="9" width="12.7265625" style="7" customWidth="1"/>
    <col min="10" max="10" width="14.81640625" style="7" customWidth="1"/>
    <col min="11" max="11" width="17" style="7" customWidth="1"/>
    <col min="12" max="12" width="13.453125" style="7" customWidth="1"/>
    <col min="13" max="13" width="14.54296875" style="7" customWidth="1"/>
    <col min="14" max="14" width="9.7265625" style="7" customWidth="1"/>
    <col min="15" max="15" width="12.36328125" style="7" customWidth="1"/>
    <col min="16" max="16" width="12.90625" style="7" customWidth="1"/>
    <col min="17" max="17" width="7.6328125" style="7" customWidth="1"/>
    <col min="18" max="19" width="9.1796875" style="7"/>
    <col min="20" max="20" width="11.1796875" style="7" bestFit="1" customWidth="1"/>
    <col min="21" max="21" width="12.90625" style="7" customWidth="1"/>
    <col min="22" max="22" width="11.453125" style="7" bestFit="1" customWidth="1"/>
    <col min="23" max="23" width="12.6328125" style="7" bestFit="1" customWidth="1"/>
    <col min="24" max="24" width="11.1796875" style="7" bestFit="1" customWidth="1"/>
    <col min="25" max="16384" width="9.1796875" style="7"/>
  </cols>
  <sheetData>
    <row r="1" spans="1:24" ht="11.5" x14ac:dyDescent="0.25">
      <c r="A1" s="1"/>
      <c r="B1" s="2" t="s">
        <v>0</v>
      </c>
      <c r="C1" s="3">
        <v>100000000</v>
      </c>
      <c r="D1" s="4" t="s">
        <v>1</v>
      </c>
      <c r="E1" s="5" t="s">
        <v>2</v>
      </c>
      <c r="F1" s="6"/>
      <c r="H1" s="8" t="s">
        <v>3</v>
      </c>
      <c r="I1" s="9">
        <f>T8*(-1)/C1</f>
        <v>-2.2688788903808988E-10</v>
      </c>
      <c r="N1" s="10">
        <f>M8*0.9/C1</f>
        <v>-0.11706403296599427</v>
      </c>
    </row>
    <row r="2" spans="1:24" ht="11.5" x14ac:dyDescent="0.25">
      <c r="A2" s="11"/>
      <c r="B2" s="12" t="s">
        <v>4</v>
      </c>
      <c r="C2" s="13">
        <v>0.12</v>
      </c>
      <c r="D2" s="14"/>
      <c r="E2" s="15" t="s">
        <v>5</v>
      </c>
      <c r="F2" s="16"/>
      <c r="H2" s="17" t="s">
        <v>6</v>
      </c>
      <c r="I2" s="18">
        <v>0.05</v>
      </c>
      <c r="M2" s="19">
        <f>(M8+N8)/C1</f>
        <v>-0.13007114773999362</v>
      </c>
    </row>
    <row r="3" spans="1:24" ht="11.5" x14ac:dyDescent="0.25">
      <c r="A3" s="11"/>
      <c r="B3" s="12" t="s">
        <v>7</v>
      </c>
      <c r="C3" s="20">
        <v>60</v>
      </c>
      <c r="E3" s="17" t="s">
        <v>8</v>
      </c>
      <c r="F3" s="21"/>
      <c r="H3" s="17" t="s">
        <v>9</v>
      </c>
      <c r="I3" s="22">
        <f>T12</f>
        <v>0.05</v>
      </c>
      <c r="K3" s="46">
        <v>419512.21</v>
      </c>
      <c r="L3" s="49">
        <f>K3/U16</f>
        <v>98354245.456870854</v>
      </c>
      <c r="T3" s="46">
        <v>2339837.2599999998</v>
      </c>
      <c r="U3" s="46">
        <v>3564282.02</v>
      </c>
      <c r="V3" s="46"/>
    </row>
    <row r="4" spans="1:24" ht="11.5" x14ac:dyDescent="0.25">
      <c r="B4" s="12" t="s">
        <v>10</v>
      </c>
      <c r="C4" s="20">
        <v>0</v>
      </c>
      <c r="E4" s="17" t="s">
        <v>11</v>
      </c>
      <c r="F4" s="23"/>
      <c r="H4" s="17"/>
      <c r="I4" s="24"/>
      <c r="L4" s="38">
        <f>L3-D15</f>
        <v>426531.33361001313</v>
      </c>
    </row>
    <row r="5" spans="1:24" ht="11.5" x14ac:dyDescent="0.25">
      <c r="B5" s="17" t="s">
        <v>12</v>
      </c>
      <c r="C5" s="25">
        <v>0</v>
      </c>
      <c r="E5" s="17" t="s">
        <v>13</v>
      </c>
      <c r="F5" s="26"/>
      <c r="H5" s="17"/>
      <c r="I5" s="24"/>
      <c r="T5" s="46"/>
      <c r="U5" s="46"/>
    </row>
    <row r="6" spans="1:24" ht="11.5" x14ac:dyDescent="0.25">
      <c r="B6" s="17" t="s">
        <v>14</v>
      </c>
      <c r="C6" s="25">
        <v>0</v>
      </c>
      <c r="E6" s="17" t="s">
        <v>15</v>
      </c>
      <c r="F6" s="27"/>
      <c r="H6" s="17"/>
      <c r="I6" s="24"/>
      <c r="V6" s="46"/>
    </row>
    <row r="7" spans="1:24" ht="10.5" x14ac:dyDescent="0.25">
      <c r="B7" s="17" t="s">
        <v>16</v>
      </c>
      <c r="C7" s="28" t="s">
        <v>38</v>
      </c>
      <c r="E7" s="17" t="s">
        <v>17</v>
      </c>
      <c r="F7" s="26"/>
      <c r="H7" s="29"/>
      <c r="I7" s="30"/>
      <c r="J7" s="31"/>
      <c r="T7" s="86">
        <f>1-T8</f>
        <v>0.97731121109619101</v>
      </c>
    </row>
    <row r="8" spans="1:24" ht="11" thickBot="1" x14ac:dyDescent="0.3">
      <c r="B8" s="32" t="s">
        <v>18</v>
      </c>
      <c r="C8" s="33">
        <v>0.12</v>
      </c>
      <c r="E8" s="34"/>
      <c r="F8" s="35"/>
      <c r="H8" s="36"/>
      <c r="I8" s="37"/>
      <c r="J8" s="31">
        <f t="shared" ref="J8:Q8" si="0">_xlfn.AGGREGATE(9, 6, J14:J303)</f>
        <v>86573509.235231876</v>
      </c>
      <c r="K8" s="38" t="e">
        <f>D15+J12</f>
        <v>#VALUE!</v>
      </c>
      <c r="L8" s="31">
        <f t="shared" si="0"/>
        <v>13007114.773999363</v>
      </c>
      <c r="M8" s="31">
        <f t="shared" si="0"/>
        <v>-13007114.773999363</v>
      </c>
      <c r="N8" s="31">
        <f t="shared" si="0"/>
        <v>0</v>
      </c>
      <c r="O8" s="31">
        <f t="shared" si="0"/>
        <v>103935670.33698313</v>
      </c>
      <c r="P8" s="31">
        <f t="shared" si="0"/>
        <v>103935670.33698313</v>
      </c>
      <c r="Q8" s="31">
        <f t="shared" si="0"/>
        <v>0</v>
      </c>
      <c r="T8" s="86">
        <v>2.2688788903808987E-2</v>
      </c>
      <c r="V8" s="46"/>
      <c r="W8" s="46"/>
    </row>
    <row r="9" spans="1:24" ht="10.5" x14ac:dyDescent="0.25">
      <c r="B9" s="90"/>
      <c r="C9" s="91"/>
      <c r="E9" s="92"/>
      <c r="F9" s="93"/>
      <c r="H9" s="94"/>
      <c r="I9" s="94"/>
      <c r="J9" s="31"/>
      <c r="K9" s="38"/>
      <c r="L9" s="31"/>
      <c r="M9" s="31"/>
      <c r="N9" s="31"/>
      <c r="O9" s="31"/>
      <c r="P9" s="31"/>
      <c r="Q9" s="31"/>
      <c r="T9" s="86"/>
      <c r="V9" s="46"/>
      <c r="W9" s="46"/>
    </row>
    <row r="10" spans="1:24" ht="10.5" x14ac:dyDescent="0.25">
      <c r="B10" s="90"/>
      <c r="C10" s="95">
        <v>979347.34</v>
      </c>
      <c r="E10" s="92"/>
      <c r="F10" s="93"/>
      <c r="H10" s="94"/>
      <c r="I10" s="94"/>
      <c r="J10" s="31"/>
      <c r="K10" s="38"/>
      <c r="L10" s="31"/>
      <c r="M10" s="31"/>
      <c r="N10" s="31"/>
      <c r="O10" s="31"/>
      <c r="P10" s="31"/>
      <c r="Q10" s="31"/>
      <c r="T10" s="86"/>
      <c r="V10" s="46"/>
      <c r="W10" s="46"/>
    </row>
    <row r="11" spans="1:24" ht="10.5" x14ac:dyDescent="0.25">
      <c r="B11" s="90"/>
      <c r="C11" s="95">
        <f>C10/((C2/12)*(1-U16))</f>
        <v>98354246.21322608</v>
      </c>
      <c r="D11" s="38">
        <f>C15-C11</f>
        <v>-0.21220917999744415</v>
      </c>
      <c r="E11" s="92"/>
      <c r="F11" s="93"/>
      <c r="H11" s="94"/>
      <c r="I11" s="94"/>
      <c r="J11" s="31"/>
      <c r="K11" s="38"/>
      <c r="L11" s="31"/>
      <c r="M11" s="31"/>
      <c r="N11" s="31"/>
      <c r="O11" s="31"/>
      <c r="P11" s="31"/>
      <c r="Q11" s="31"/>
      <c r="T11" s="86"/>
      <c r="V11" s="46"/>
      <c r="W11" s="46"/>
    </row>
    <row r="12" spans="1:24" ht="45" customHeight="1" x14ac:dyDescent="0.25">
      <c r="A12" s="49">
        <v>-2214956.7997302408</v>
      </c>
      <c r="B12" s="87">
        <f>PMT(C2/12,60,C1)</f>
        <v>-2224444.7684901771</v>
      </c>
      <c r="C12" s="38"/>
      <c r="D12" s="88">
        <f>D15-W16</f>
        <v>1913305.504026711</v>
      </c>
      <c r="E12" s="38">
        <f>D14-F12-L15</f>
        <v>108931979.4420384</v>
      </c>
      <c r="F12" s="55">
        <f>H15-C1*C2/1</f>
        <v>-9785043.1975505147</v>
      </c>
      <c r="G12" s="38" t="e">
        <f>I12+I15</f>
        <v>#VALUE!</v>
      </c>
      <c r="H12" s="46" t="s">
        <v>50</v>
      </c>
      <c r="I12" s="38" t="e">
        <f>H12-H15</f>
        <v>#VALUE!</v>
      </c>
      <c r="J12" s="38" t="s">
        <v>50</v>
      </c>
      <c r="K12" s="38">
        <f>J15-L15</f>
        <v>792690.24347098195</v>
      </c>
      <c r="N12" s="39">
        <v>1</v>
      </c>
      <c r="O12" s="11"/>
      <c r="P12" s="40"/>
      <c r="Q12" s="11"/>
      <c r="R12" s="40">
        <v>0</v>
      </c>
      <c r="S12" s="11"/>
      <c r="T12" s="41">
        <v>0.05</v>
      </c>
      <c r="U12" s="11"/>
      <c r="V12" s="49"/>
    </row>
    <row r="13" spans="1:24" ht="22.5" customHeight="1" x14ac:dyDescent="0.25">
      <c r="B13" s="42" t="s">
        <v>19</v>
      </c>
      <c r="C13" s="43" t="s">
        <v>20</v>
      </c>
      <c r="D13" s="43" t="s">
        <v>51</v>
      </c>
      <c r="E13" s="44" t="s">
        <v>22</v>
      </c>
      <c r="F13" s="44" t="s">
        <v>23</v>
      </c>
      <c r="G13" s="44" t="s">
        <v>24</v>
      </c>
      <c r="H13" s="43" t="s">
        <v>25</v>
      </c>
      <c r="I13" s="43" t="s">
        <v>26</v>
      </c>
      <c r="J13" s="43" t="s">
        <v>27</v>
      </c>
      <c r="K13" s="43" t="s">
        <v>28</v>
      </c>
      <c r="L13" s="43" t="s">
        <v>29</v>
      </c>
      <c r="M13" s="43" t="s">
        <v>30</v>
      </c>
      <c r="N13" s="43" t="s">
        <v>31</v>
      </c>
      <c r="O13" s="43" t="s">
        <v>32</v>
      </c>
      <c r="P13" s="43" t="s">
        <v>33</v>
      </c>
      <c r="Q13" s="43"/>
      <c r="R13" s="43" t="s">
        <v>34</v>
      </c>
      <c r="S13" s="43" t="s">
        <v>35</v>
      </c>
      <c r="T13" s="43" t="s">
        <v>36</v>
      </c>
      <c r="U13" s="43" t="s">
        <v>37</v>
      </c>
      <c r="V13" s="38"/>
      <c r="W13" s="38"/>
    </row>
    <row r="14" spans="1:24" x14ac:dyDescent="0.2">
      <c r="A14" s="62">
        <f>D14/C$1</f>
        <v>0.99573468122243936</v>
      </c>
      <c r="B14" s="45">
        <v>0</v>
      </c>
      <c r="C14" s="46">
        <f>C1</f>
        <v>100000000</v>
      </c>
      <c r="D14" s="47">
        <f>C1-L15+N15</f>
        <v>99573468.122243941</v>
      </c>
      <c r="E14" s="38">
        <f>C5</f>
        <v>0</v>
      </c>
      <c r="F14" s="38">
        <f>C$5</f>
        <v>0</v>
      </c>
      <c r="O14" s="48">
        <f>K14+I14+J14+M14+N14+G14</f>
        <v>0</v>
      </c>
      <c r="P14" s="38">
        <f>O14*(1/((1+P$12)^(B14/12)))</f>
        <v>0</v>
      </c>
    </row>
    <row r="15" spans="1:24" x14ac:dyDescent="0.2">
      <c r="A15" s="62">
        <f t="shared" ref="A15:A78" si="1">D15/C$1</f>
        <v>0.97927714123260845</v>
      </c>
      <c r="B15" s="45">
        <f>B14+1</f>
        <v>1</v>
      </c>
      <c r="C15" s="49">
        <f>IF(B15&lt;C$4,C$1,D14-J15)</f>
        <v>98354246.0010169</v>
      </c>
      <c r="D15" s="47" cm="1">
        <f t="array" ref="D15">_xlfn.IFS(AND($C$7="Y",B15&lt;C$4),C15,AND($C$7="Y",B15=C$4),D14+F15-J15-K15-L15+N15,AND($C$7="Y",B15&gt;$C$4),D14-J15-K15-L15+N15, TRUE, D14-J15-K15-L15+N15)</f>
        <v>97927714.123260841</v>
      </c>
      <c r="E15" s="48">
        <f>IF(AND($C$7="Y",B15&lt;=$C$4),D14*C$2/12-G15,0)</f>
        <v>0</v>
      </c>
      <c r="F15" s="50">
        <f>IF(AND($C$7="Y",B15&lt;=C$4),E15+F14,0)</f>
        <v>0</v>
      </c>
      <c r="G15" s="50">
        <f>IF(AND(C$7="Y",$B15&lt;=$C$4),C$6,0)</f>
        <v>0</v>
      </c>
      <c r="H15" s="51">
        <f>IF(AND($B15&lt;=$C$4,C$7="Y"),0,IF(AND(C$7="N",C$4&gt;0,B15&lt;=C$4),0,D14*C$2/12/(1-(1/(1+C$2/12))^(C$3+C$4-B15+1))))</f>
        <v>2214956.8024494858</v>
      </c>
      <c r="I15" s="52">
        <f>IF(AND(C$7="Y",$B15&lt;=C$4),0,IF(AND(C$7="Y",$B15&gt;C$4),(1-U15)*C$2*C14/12,IF(AND($C$7="N",C$4&gt;0),(1-U15)*C14*C$2/12, (1-U15)*C14*C$2/12)))</f>
        <v>995734.68122243939</v>
      </c>
      <c r="J15" s="57">
        <f>IF(AND($B15&lt;=$C$4,C$7="Y"),0,IF(AND(C$7="N",C$4&gt;0,B15&lt;=C$4),0,H15-I15))</f>
        <v>1219222.1212270465</v>
      </c>
      <c r="K15" s="51">
        <f>IF(AND(C$7="Y",$B15&lt;=$C$4),0,IF(AND(C$7="N",C$4&gt;0,B15&lt;=C$4),0,S15*(C15-J15)))</f>
        <v>0</v>
      </c>
      <c r="L15" s="49">
        <f>IF(AND(C$7="Y",$B15&lt;=$C$4),0,IF(AND(C$7="N",C$4&gt;0,B15&lt;=C$4),0,U15*C14))</f>
        <v>426531.87775606447</v>
      </c>
      <c r="M15" s="49">
        <f>IFERROR(#REF!*-1,0)</f>
        <v>0</v>
      </c>
      <c r="N15" s="49">
        <f>IFERROR((1-$N$12)*#REF!,0)</f>
        <v>0</v>
      </c>
      <c r="O15" s="48">
        <f>K15+I15+J15-L15+N15+G15</f>
        <v>1788424.9246934212</v>
      </c>
      <c r="P15" s="38">
        <f>O15*(1/((1+P$12)^(B15/12)))</f>
        <v>1788424.9246934212</v>
      </c>
      <c r="Q15" s="53"/>
      <c r="R15" s="53">
        <f>R$12</f>
        <v>0</v>
      </c>
      <c r="S15" s="53">
        <f>1-(1-R15)^(1/12)</f>
        <v>0</v>
      </c>
      <c r="T15" s="53">
        <f>T$12</f>
        <v>0.05</v>
      </c>
      <c r="U15" s="53">
        <f>1-(1-T15)^(1/12)</f>
        <v>4.2653187775606449E-3</v>
      </c>
      <c r="V15" s="38">
        <f>C$2*D14/12</f>
        <v>995734.68122243939</v>
      </c>
      <c r="W15" s="89">
        <f>S15*D14</f>
        <v>0</v>
      </c>
    </row>
    <row r="16" spans="1:24" x14ac:dyDescent="0.2">
      <c r="A16" s="62">
        <f t="shared" si="1"/>
        <v>0.96284017321880433</v>
      </c>
      <c r="B16" s="45">
        <f t="shared" ref="B16:B79" si="2">B15+1</f>
        <v>2</v>
      </c>
      <c r="C16" s="49">
        <f t="shared" ref="C15:C39" si="3">IF(B16&lt;C$4,C$1,D15)</f>
        <v>97927714.123260841</v>
      </c>
      <c r="D16" s="47" cm="1">
        <f t="array" ref="D16">_xlfn.IFS(AND($C$7="Y",B16&lt;C$4),C16,AND($C$7="Y",B16=C$4),D15+F16-J16-K16-L16+N16,AND($C$7="Y",B16&gt;$C$4),D15-J16-K16-L16+N16, TRUE, D15-J16-K16-L16+N16)</f>
        <v>96284017.32188043</v>
      </c>
      <c r="E16" s="48">
        <f t="shared" ref="E16:E79" si="4">IF(AND($C$7="Y",B16&lt;=$C$4),D15*C$2/12-G16,0)</f>
        <v>0</v>
      </c>
      <c r="F16" s="50">
        <f t="shared" ref="F16:F79" si="5">IF(AND($C$7="Y",B16&lt;=C$4),E16+F15,0)</f>
        <v>0</v>
      </c>
      <c r="G16" s="50">
        <f>IF(AND(C$7="Y",$B16&lt;=$C$4),C$6,0)</f>
        <v>0</v>
      </c>
      <c r="H16" s="51">
        <f>IF(AND($B16&lt;=$C$4,C$7="Y"),0,IF(AND(C$7="N",C$4&gt;0,B16&lt;=C$4),0,D15*C$2/12/(1-(1/(1+C$2/12))^(C$3+C$4-B16+1))))</f>
        <v>2205351.2213738346</v>
      </c>
      <c r="I16" s="52">
        <f>IF(AND(C$7="Y",$B16&lt;=C$4),0,IF(AND(C$7="Y",$B16&gt;C$4),(1-U16)*C$2*C15/12,IF(AND($C$7="N",C$4&gt;0),(1-U16)*C15*C$2/12, (1-U16)*C15*C$2/12)))</f>
        <v>979347.33788695943</v>
      </c>
      <c r="J16" s="52">
        <f>IF(AND($B16&lt;=$C$4,C$7="Y"),0,IF(AND(C$7="N",C$4&gt;0,B16&lt;=C$4),0,H16-I16))</f>
        <v>1226003.8834868753</v>
      </c>
      <c r="K16" s="51">
        <f>IF(AND(C$7="Y",$B16&lt;=$C$4),0,IF(AND(C$7="N",C$4&gt;0,B16&lt;=C$4),0,S16*(C16-J16)))</f>
        <v>0</v>
      </c>
      <c r="L16" s="49">
        <f>IF(AND(C$7="Y",$B16&lt;=$C$4),0,IF(AND(C$7="N",C$4&gt;0,B16&lt;=C$4),0,U16*D15))</f>
        <v>417692.91789353522</v>
      </c>
      <c r="M16" s="49">
        <f>IFERROR(L12*-1,0)</f>
        <v>0</v>
      </c>
      <c r="N16" s="49">
        <f>IFERROR((1-$N$12)*K8,0)</f>
        <v>0</v>
      </c>
      <c r="O16" s="48">
        <f t="shared" ref="O16:O34" si="6">K16+I16+J16-L16+N16+G16</f>
        <v>1787658.3034802994</v>
      </c>
      <c r="P16" s="38">
        <f t="shared" ref="P16:P39" si="7">O16*(1/((1+P$12)^(B16/12)))</f>
        <v>1787658.3034802994</v>
      </c>
      <c r="Q16" s="53"/>
      <c r="R16" s="53">
        <f t="shared" ref="R16:R79" si="8">R$12</f>
        <v>0</v>
      </c>
      <c r="S16" s="86">
        <f t="shared" ref="S16:S79" si="9">1-(1-R16)^(1/12)</f>
        <v>0</v>
      </c>
      <c r="T16" s="53">
        <f t="shared" ref="T16:T79" si="10">T$12</f>
        <v>0.05</v>
      </c>
      <c r="U16" s="86">
        <f>1-(1-T16)^(1/12)</f>
        <v>4.2653187775606449E-3</v>
      </c>
      <c r="V16" s="46">
        <v>409532.06</v>
      </c>
      <c r="W16" s="49">
        <f>V16/U16</f>
        <v>96014408.61923413</v>
      </c>
      <c r="X16" s="38">
        <f>D15-W16</f>
        <v>1913305.504026711</v>
      </c>
    </row>
    <row r="17" spans="1:24" x14ac:dyDescent="0.2">
      <c r="A17" s="62">
        <f t="shared" si="1"/>
        <v>0.94636241616240535</v>
      </c>
      <c r="B17" s="45">
        <f t="shared" si="2"/>
        <v>3</v>
      </c>
      <c r="C17" s="49">
        <f t="shared" si="3"/>
        <v>96284017.32188043</v>
      </c>
      <c r="D17" s="47" cm="1">
        <f t="array" ref="D17">_xlfn.IFS(AND($C$7="Y",B17&lt;C$4),C17,AND($C$7="Y",B17=C$4),D16+F17-J17-K17-L17+N17,AND($C$7="Y",B17&gt;$C$4),D16-J17-K17-L17+N17, TRUE, D16-J17-K17-L17+N17)</f>
        <v>94636241.616240531</v>
      </c>
      <c r="E17" s="48">
        <f t="shared" si="4"/>
        <v>0</v>
      </c>
      <c r="F17" s="50">
        <f t="shared" si="5"/>
        <v>0</v>
      </c>
      <c r="G17" s="50">
        <f>IF(AND(C$7="Y",$B17&lt;=$C$4),C$6,0)</f>
        <v>0</v>
      </c>
      <c r="H17" s="51">
        <f t="shared" ref="H17:H39" si="11">IF(AND($B17&lt;=$C$4,C$7="Y"),0,IF(AND(C$7="N",C$4&gt;0,B17&lt;=C$4),0,D16*C$2/12/(1-(1/(1+C$2/12))^(C$3+C$4-B17+1))))</f>
        <v>2195827.0315260966</v>
      </c>
      <c r="I17" s="52">
        <f t="shared" ref="I17:I79" si="12">IF(AND(C$7="Y",$B17&lt;=C$4),0,IF(AND(C$7="Y",$B17&gt;C$4),(1-U17)*C$2*D16/12,IF(AND($C$7="N",C$4&gt;0),(1-U17)*D16*C$2/12, (1-U17)*D16*C$2/12)))</f>
        <v>958733.35294818447</v>
      </c>
      <c r="J17" s="52">
        <f>IF(AND($B17&lt;=$C$4,C$7="Y"),0,IF(AND(C$7="N",C$4&gt;0,B17&lt;=C$4),0,H17-I17))</f>
        <v>1237093.678577912</v>
      </c>
      <c r="K17" s="51">
        <f t="shared" ref="K17:K29" si="13">IF(AND(C$7="Y",$B17&lt;=$C$4),0,IF(AND(C$7="N",C$4&gt;0,B17&lt;=C$4),0,S17*(C17-J17)))</f>
        <v>0</v>
      </c>
      <c r="L17" s="49">
        <f t="shared" ref="L17:L21" si="14">IF(AND(C$7="Y",$B17&lt;=$C$4),0,IF(AND(C$7="N",C$4&gt;0,B17&lt;=C$4),0,U17*D16))</f>
        <v>410682.02706199099</v>
      </c>
      <c r="M17" s="49">
        <f>IFERROR(L13*-1,0)</f>
        <v>0</v>
      </c>
      <c r="N17" s="49">
        <f t="shared" ref="N17:N24" si="15">IFERROR((1-$N$12)*L13,0)</f>
        <v>0</v>
      </c>
      <c r="O17" s="48">
        <f t="shared" si="6"/>
        <v>1785145.0044641057</v>
      </c>
      <c r="P17" s="38">
        <f t="shared" si="7"/>
        <v>1785145.0044641057</v>
      </c>
      <c r="Q17" s="53"/>
      <c r="R17" s="53">
        <f t="shared" si="8"/>
        <v>0</v>
      </c>
      <c r="S17" s="53">
        <f t="shared" si="9"/>
        <v>0</v>
      </c>
      <c r="T17" s="53">
        <f t="shared" si="10"/>
        <v>0.05</v>
      </c>
      <c r="U17" s="53">
        <f t="shared" ref="U17:U80" si="16">1-(1-T17)^(1/12)</f>
        <v>4.2653187775606449E-3</v>
      </c>
      <c r="X17" s="38"/>
    </row>
    <row r="18" spans="1:24" x14ac:dyDescent="0.2">
      <c r="A18" s="62">
        <f t="shared" si="1"/>
        <v>0.92988668994307266</v>
      </c>
      <c r="B18" s="45">
        <f t="shared" si="2"/>
        <v>4</v>
      </c>
      <c r="C18" s="49">
        <f t="shared" si="3"/>
        <v>94636241.616240531</v>
      </c>
      <c r="D18" s="47" cm="1">
        <f t="array" ref="D18">_xlfn.IFS(AND($C$7="Y",B18&lt;C$4),C18,AND($C$7="Y",B18=C$4),D17+F18-J18-K18-L18+N18,AND($C$7="Y",B18&gt;$C$4),D17-J18-K18-L18+N18, TRUE, D17-J18-K18-L18+N18)</f>
        <v>92988668.994307265</v>
      </c>
      <c r="E18" s="48">
        <f t="shared" si="4"/>
        <v>0</v>
      </c>
      <c r="F18" s="50">
        <f t="shared" si="5"/>
        <v>0</v>
      </c>
      <c r="G18" s="50">
        <f t="shared" ref="G18:G81" si="17">IF($B18&lt;=$C$4,C$6,0)</f>
        <v>0</v>
      </c>
      <c r="H18" s="51">
        <f t="shared" si="11"/>
        <v>2186244.7623081151</v>
      </c>
      <c r="I18" s="52">
        <f t="shared" si="12"/>
        <v>942325.8787783701</v>
      </c>
      <c r="J18" s="52">
        <f t="shared" ref="J18:J29" si="18">IF(AND($B18&lt;=$C$4,C$7="Y"),0,IF(AND(C$7="N",C$4&gt;0,B18&lt;=C$4),0,H18-I18))</f>
        <v>1243918.883529745</v>
      </c>
      <c r="K18" s="51">
        <f t="shared" si="13"/>
        <v>0</v>
      </c>
      <c r="L18" s="49">
        <f t="shared" si="14"/>
        <v>403653.73840351688</v>
      </c>
      <c r="M18" s="49">
        <f t="shared" ref="M18:M23" si="19">IFERROR(L14*-1,0)</f>
        <v>0</v>
      </c>
      <c r="N18" s="49">
        <f t="shared" si="15"/>
        <v>0</v>
      </c>
      <c r="O18" s="48">
        <f t="shared" si="6"/>
        <v>1782591.0239045983</v>
      </c>
      <c r="P18" s="38">
        <f t="shared" si="7"/>
        <v>1782591.0239045983</v>
      </c>
      <c r="Q18" s="53"/>
      <c r="R18" s="53">
        <f t="shared" si="8"/>
        <v>0</v>
      </c>
      <c r="S18" s="53">
        <f t="shared" si="9"/>
        <v>0</v>
      </c>
      <c r="T18" s="53">
        <f t="shared" si="10"/>
        <v>0.05</v>
      </c>
      <c r="U18" s="53">
        <f t="shared" si="16"/>
        <v>4.2653187775606449E-3</v>
      </c>
    </row>
    <row r="19" spans="1:24" x14ac:dyDescent="0.2">
      <c r="A19" s="62">
        <f t="shared" si="1"/>
        <v>0.91341261656254547</v>
      </c>
      <c r="B19" s="45">
        <f t="shared" si="2"/>
        <v>5</v>
      </c>
      <c r="C19" s="49">
        <f t="shared" si="3"/>
        <v>92988668.994307265</v>
      </c>
      <c r="D19" s="47" cm="1">
        <f t="array" ref="D19">_xlfn.IFS(AND($C$7="Y",B19&lt;C$4),C19,AND($C$7="Y",B19=C$4),D18+F19-J19-K19-L19+N19,AND($C$7="Y",B19&gt;$C$4),D18-J19-K19-L19+N19, TRUE, D18-J19-K19-L19+N19)</f>
        <v>91341261.656254545</v>
      </c>
      <c r="E19" s="48">
        <f t="shared" si="4"/>
        <v>0</v>
      </c>
      <c r="F19" s="50">
        <f t="shared" si="5"/>
        <v>0</v>
      </c>
      <c r="G19" s="50">
        <f t="shared" si="17"/>
        <v>0</v>
      </c>
      <c r="H19" s="51">
        <f t="shared" si="11"/>
        <v>2176701.4488743772</v>
      </c>
      <c r="I19" s="52">
        <f t="shared" si="12"/>
        <v>925920.4267834546</v>
      </c>
      <c r="J19" s="52">
        <f>IF(AND($B19&lt;=$C$4,C$7="Y"),0,IF(AND(C$7="N",C$4&gt;0,B19&lt;=C$4),0,H19-I19))</f>
        <v>1250781.0220909226</v>
      </c>
      <c r="K19" s="51">
        <f t="shared" si="13"/>
        <v>0</v>
      </c>
      <c r="L19" s="49">
        <f t="shared" si="14"/>
        <v>396626.3159617901</v>
      </c>
      <c r="M19" s="49">
        <f>IFERROR(L15*-1,0)</f>
        <v>-426531.87775606447</v>
      </c>
      <c r="N19" s="49">
        <f>IFERROR((1-$N$12)*L15,0)</f>
        <v>0</v>
      </c>
      <c r="O19" s="48">
        <f t="shared" si="6"/>
        <v>1780075.1329125871</v>
      </c>
      <c r="P19" s="38">
        <f t="shared" si="7"/>
        <v>1780075.1329125871</v>
      </c>
      <c r="Q19" s="53"/>
      <c r="R19" s="53">
        <f t="shared" si="8"/>
        <v>0</v>
      </c>
      <c r="S19" s="53">
        <f t="shared" si="9"/>
        <v>0</v>
      </c>
      <c r="T19" s="53">
        <f t="shared" si="10"/>
        <v>0.05</v>
      </c>
      <c r="U19" s="53">
        <f t="shared" si="16"/>
        <v>4.2653187775606449E-3</v>
      </c>
    </row>
    <row r="20" spans="1:24" x14ac:dyDescent="0.2">
      <c r="A20" s="62">
        <f t="shared" si="1"/>
        <v>0.89693981838383063</v>
      </c>
      <c r="B20" s="45">
        <f t="shared" si="2"/>
        <v>6</v>
      </c>
      <c r="C20" s="49">
        <f t="shared" si="3"/>
        <v>91341261.656254545</v>
      </c>
      <c r="D20" s="47" cm="1">
        <f t="array" ref="D20">_xlfn.IFS(AND($C$7="Y",B20&lt;C$4),C20,AND($C$7="Y",B20=C$4),D19+F20-J20-K20-L20+N20,AND($C$7="Y",B20&gt;$C$4),D19-J20-K20-L20+N20, TRUE, D19-J20-K20-L20+N20)</f>
        <v>89693981.838383064</v>
      </c>
      <c r="E20" s="48">
        <f t="shared" si="4"/>
        <v>0</v>
      </c>
      <c r="F20" s="50">
        <f t="shared" si="5"/>
        <v>0</v>
      </c>
      <c r="G20" s="50">
        <f t="shared" si="17"/>
        <v>0</v>
      </c>
      <c r="H20" s="51">
        <f t="shared" si="11"/>
        <v>2167196.8399404367</v>
      </c>
      <c r="I20" s="52">
        <f t="shared" si="12"/>
        <v>909516.62057746027</v>
      </c>
      <c r="J20" s="52">
        <f t="shared" si="18"/>
        <v>1257680.2193629765</v>
      </c>
      <c r="K20" s="51">
        <f t="shared" si="13"/>
        <v>0</v>
      </c>
      <c r="L20" s="49">
        <f t="shared" si="14"/>
        <v>389599.59850850265</v>
      </c>
      <c r="M20" s="49">
        <f t="shared" ref="M20:M25" si="20">IFERROR(L16*-1,0)</f>
        <v>-417692.91789353522</v>
      </c>
      <c r="N20" s="49">
        <f>IFERROR((1-$N$12)*L16,0)</f>
        <v>0</v>
      </c>
      <c r="O20" s="48">
        <f t="shared" si="6"/>
        <v>1777597.2414319341</v>
      </c>
      <c r="P20" s="38">
        <f t="shared" si="7"/>
        <v>1777597.2414319341</v>
      </c>
      <c r="Q20" s="53"/>
      <c r="R20" s="53">
        <f t="shared" si="8"/>
        <v>0</v>
      </c>
      <c r="S20" s="53">
        <f t="shared" si="9"/>
        <v>0</v>
      </c>
      <c r="T20" s="53">
        <f t="shared" si="10"/>
        <v>0.05</v>
      </c>
      <c r="U20" s="53">
        <f t="shared" si="16"/>
        <v>4.2653187775606449E-3</v>
      </c>
    </row>
    <row r="21" spans="1:24" x14ac:dyDescent="0.2">
      <c r="A21" s="62">
        <f t="shared" si="1"/>
        <v>0.88046791816869618</v>
      </c>
      <c r="B21" s="45">
        <f t="shared" si="2"/>
        <v>7</v>
      </c>
      <c r="C21" s="49">
        <f t="shared" si="3"/>
        <v>89693981.838383064</v>
      </c>
      <c r="D21" s="47" cm="1">
        <f t="array" ref="D21">_xlfn.IFS(AND($C$7="Y",B21&lt;C$4),C21,AND($C$7="Y",B21=C$4),D20+F21-J21-K21-L21+N21,AND($C$7="Y",B21&gt;$C$4),D20-J21-K21-L21+N21, TRUE, D20-J21-K21-L21+N21)</f>
        <v>88046791.816869617</v>
      </c>
      <c r="E21" s="48">
        <f t="shared" si="4"/>
        <v>0</v>
      </c>
      <c r="F21" s="50">
        <f t="shared" si="5"/>
        <v>0</v>
      </c>
      <c r="G21" s="50">
        <f t="shared" si="17"/>
        <v>0</v>
      </c>
      <c r="H21" s="51">
        <f t="shared" si="11"/>
        <v>2157730.6806781525</v>
      </c>
      <c r="I21" s="52">
        <f t="shared" si="12"/>
        <v>893114.08413413633</v>
      </c>
      <c r="J21" s="52">
        <f t="shared" si="18"/>
        <v>1264616.5965440162</v>
      </c>
      <c r="K21" s="51">
        <f t="shared" si="13"/>
        <v>0</v>
      </c>
      <c r="L21" s="49">
        <f t="shared" si="14"/>
        <v>382573.42496943875</v>
      </c>
      <c r="M21" s="49">
        <f t="shared" si="20"/>
        <v>-410682.02706199099</v>
      </c>
      <c r="N21" s="49">
        <f t="shared" ref="N21:N28" si="21">IFERROR((1-$N$12)*L17,0)</f>
        <v>0</v>
      </c>
      <c r="O21" s="48">
        <f t="shared" si="6"/>
        <v>1775157.2557087138</v>
      </c>
      <c r="P21" s="38">
        <f t="shared" si="7"/>
        <v>1775157.2557087138</v>
      </c>
      <c r="Q21" s="53"/>
      <c r="R21" s="53">
        <f t="shared" si="8"/>
        <v>0</v>
      </c>
      <c r="S21" s="53">
        <f t="shared" si="9"/>
        <v>0</v>
      </c>
      <c r="T21" s="53">
        <f t="shared" si="10"/>
        <v>0.05</v>
      </c>
      <c r="U21" s="53">
        <f t="shared" si="16"/>
        <v>4.2653187775606449E-3</v>
      </c>
    </row>
    <row r="22" spans="1:24" x14ac:dyDescent="0.2">
      <c r="A22" s="62">
        <f t="shared" si="1"/>
        <v>0.86399653911871266</v>
      </c>
      <c r="B22" s="45">
        <f t="shared" si="2"/>
        <v>8</v>
      </c>
      <c r="C22" s="49">
        <f t="shared" si="3"/>
        <v>88046791.816869617</v>
      </c>
      <c r="D22" s="47" cm="1">
        <f t="array" ref="D22">_xlfn.IFS(AND($C$7="Y",B22&lt;C$4),C22,AND($C$7="Y",B22=C$4),D21+F22-J22-K22-L22+N22,AND($C$7="Y",B22&gt;$C$4),D21-J22-K22-L22+N22, TRUE, D21-J22-K22-L22+N22)</f>
        <v>86399653.911871269</v>
      </c>
      <c r="E22" s="48">
        <f t="shared" si="4"/>
        <v>0</v>
      </c>
      <c r="F22" s="50">
        <f t="shared" si="5"/>
        <v>0</v>
      </c>
      <c r="G22" s="50">
        <f t="shared" si="17"/>
        <v>0</v>
      </c>
      <c r="H22" s="51">
        <f t="shared" si="11"/>
        <v>2148302.712382168</v>
      </c>
      <c r="I22" s="52">
        <f t="shared" si="12"/>
        <v>876712.44182429148</v>
      </c>
      <c r="J22" s="52">
        <f t="shared" si="18"/>
        <v>1271590.2705578767</v>
      </c>
      <c r="K22" s="51">
        <f t="shared" si="13"/>
        <v>0</v>
      </c>
      <c r="L22" s="49">
        <f>IF(AND(C$7="Y",$B22&lt;=$C$4),0,IF(AND(C$7="N",C$4&gt;0,B22&lt;=C$4),0,U22*D21))</f>
        <v>375547.63444046694</v>
      </c>
      <c r="M22" s="49">
        <f t="shared" si="20"/>
        <v>-403653.73840351688</v>
      </c>
      <c r="N22" s="49">
        <f t="shared" si="21"/>
        <v>0</v>
      </c>
      <c r="O22" s="48">
        <f t="shared" si="6"/>
        <v>1772755.077941701</v>
      </c>
      <c r="P22" s="38">
        <f t="shared" si="7"/>
        <v>1772755.077941701</v>
      </c>
      <c r="Q22" s="53"/>
      <c r="R22" s="53">
        <f t="shared" si="8"/>
        <v>0</v>
      </c>
      <c r="S22" s="53">
        <f t="shared" si="9"/>
        <v>0</v>
      </c>
      <c r="T22" s="53">
        <f t="shared" si="10"/>
        <v>0.05</v>
      </c>
      <c r="U22" s="53">
        <f t="shared" si="16"/>
        <v>4.2653187775606449E-3</v>
      </c>
    </row>
    <row r="23" spans="1:24" x14ac:dyDescent="0.2">
      <c r="A23" s="62">
        <f t="shared" si="1"/>
        <v>0.84752530492018596</v>
      </c>
      <c r="B23" s="45">
        <f t="shared" si="2"/>
        <v>9</v>
      </c>
      <c r="C23" s="49">
        <f t="shared" si="3"/>
        <v>86399653.911871269</v>
      </c>
      <c r="D23" s="47" cm="1">
        <f t="array" ref="D23">_xlfn.IFS(AND($C$7="Y",B23&lt;C$4),C23,AND($C$7="Y",B23=C$4),D22+F23-J23-K23-L23+N23,AND($C$7="Y",B23&gt;$C$4),D22-J23-K23-L23+N23, TRUE, D22-J23-K23-L23+N23)</f>
        <v>84752530.492018595</v>
      </c>
      <c r="E23" s="48">
        <f t="shared" si="4"/>
        <v>0</v>
      </c>
      <c r="F23" s="50">
        <f t="shared" si="5"/>
        <v>0</v>
      </c>
      <c r="G23" s="50">
        <f t="shared" si="17"/>
        <v>0</v>
      </c>
      <c r="H23" s="51">
        <f t="shared" si="11"/>
        <v>2138912.6721042995</v>
      </c>
      <c r="I23" s="52">
        <f t="shared" si="12"/>
        <v>860311.31845666224</v>
      </c>
      <c r="J23" s="52">
        <f t="shared" si="18"/>
        <v>1278601.3536476372</v>
      </c>
      <c r="K23" s="51">
        <f t="shared" si="13"/>
        <v>0</v>
      </c>
      <c r="L23" s="49">
        <f t="shared" ref="L23:L38" si="22">IF(AND(C$7="Y",$B23&lt;=$C$4),0,IF(AND(C$7="N",C$4&gt;0,B23&lt;=C$4),0,U23*D22))</f>
        <v>368522.06620504556</v>
      </c>
      <c r="M23" s="49">
        <f t="shared" si="20"/>
        <v>-396626.3159617901</v>
      </c>
      <c r="N23" s="49">
        <f t="shared" si="21"/>
        <v>0</v>
      </c>
      <c r="O23" s="48">
        <f t="shared" si="6"/>
        <v>1770390.6058992539</v>
      </c>
      <c r="P23" s="38">
        <f t="shared" si="7"/>
        <v>1770390.6058992539</v>
      </c>
      <c r="Q23" s="53"/>
      <c r="R23" s="53">
        <f t="shared" si="8"/>
        <v>0</v>
      </c>
      <c r="S23" s="53">
        <f t="shared" si="9"/>
        <v>0</v>
      </c>
      <c r="T23" s="53">
        <f t="shared" si="10"/>
        <v>0.05</v>
      </c>
      <c r="U23" s="53">
        <f t="shared" si="16"/>
        <v>4.2653187775606449E-3</v>
      </c>
    </row>
    <row r="24" spans="1:24" x14ac:dyDescent="0.2">
      <c r="A24" s="62">
        <f t="shared" si="1"/>
        <v>0.8310538397933579</v>
      </c>
      <c r="B24" s="45">
        <f t="shared" si="2"/>
        <v>10</v>
      </c>
      <c r="C24" s="49">
        <f t="shared" si="3"/>
        <v>84752530.492018595</v>
      </c>
      <c r="D24" s="47" cm="1">
        <f t="array" ref="D24">_xlfn.IFS(AND($C$7="Y",B24&lt;C$4),C24,AND($C$7="Y",B24=C$4),D23+F24-J24-K24-L24+N24,AND($C$7="Y",B24&gt;$C$4),D23-J24-K24-L24+N24, TRUE, D23-J24-K24-L24+N24)</f>
        <v>83105383.979335785</v>
      </c>
      <c r="E24" s="48">
        <f t="shared" si="4"/>
        <v>0</v>
      </c>
      <c r="F24" s="50">
        <f t="shared" si="5"/>
        <v>0</v>
      </c>
      <c r="G24" s="50">
        <f t="shared" si="17"/>
        <v>0</v>
      </c>
      <c r="H24" s="51">
        <f t="shared" si="11"/>
        <v>2129560.2922520707</v>
      </c>
      <c r="I24" s="52">
        <f t="shared" si="12"/>
        <v>843910.33932265209</v>
      </c>
      <c r="J24" s="52">
        <f t="shared" si="18"/>
        <v>1285649.9529294185</v>
      </c>
      <c r="K24" s="51">
        <f t="shared" si="13"/>
        <v>0</v>
      </c>
      <c r="L24" s="49">
        <f t="shared" si="22"/>
        <v>361496.55975338805</v>
      </c>
      <c r="M24" s="49">
        <f>IFERROR(L20*-1,0)</f>
        <v>-389599.59850850265</v>
      </c>
      <c r="N24" s="49">
        <f t="shared" si="21"/>
        <v>0</v>
      </c>
      <c r="O24" s="48">
        <f t="shared" si="6"/>
        <v>1768063.7324986826</v>
      </c>
      <c r="P24" s="38">
        <f t="shared" si="7"/>
        <v>1768063.7324986826</v>
      </c>
      <c r="Q24" s="53"/>
      <c r="R24" s="53">
        <f t="shared" si="8"/>
        <v>0</v>
      </c>
      <c r="S24" s="53">
        <f t="shared" si="9"/>
        <v>0</v>
      </c>
      <c r="T24" s="53">
        <f t="shared" si="10"/>
        <v>0.05</v>
      </c>
      <c r="U24" s="53">
        <f t="shared" si="16"/>
        <v>4.2653187775606449E-3</v>
      </c>
    </row>
    <row r="25" spans="1:24" x14ac:dyDescent="0.2">
      <c r="A25" s="62">
        <f t="shared" si="1"/>
        <v>0.81458176854630637</v>
      </c>
      <c r="B25" s="45">
        <f t="shared" si="2"/>
        <v>11</v>
      </c>
      <c r="C25" s="49">
        <f t="shared" si="3"/>
        <v>83105383.979335785</v>
      </c>
      <c r="D25" s="47" cm="1">
        <f t="array" ref="D25">_xlfn.IFS(AND($C$7="Y",B25&lt;C$4),C25,AND($C$7="Y",B25=C$4),D24+F25-J25-K25-L25+N25,AND($C$7="Y",B25&gt;$C$4),D24-J25-K25-L25+N25, TRUE, D24-J25-K25-L25+N25)</f>
        <v>81458176.854630634</v>
      </c>
      <c r="E25" s="48">
        <f t="shared" si="4"/>
        <v>0</v>
      </c>
      <c r="F25" s="50">
        <f t="shared" si="5"/>
        <v>0</v>
      </c>
      <c r="G25" s="50">
        <f t="shared" si="17"/>
        <v>0</v>
      </c>
      <c r="H25" s="51">
        <f t="shared" si="11"/>
        <v>2120245.3001470189</v>
      </c>
      <c r="I25" s="52">
        <f t="shared" si="12"/>
        <v>827509.13024532329</v>
      </c>
      <c r="J25" s="52">
        <f t="shared" si="18"/>
        <v>1292736.1699016956</v>
      </c>
      <c r="K25" s="51">
        <f t="shared" si="13"/>
        <v>0</v>
      </c>
      <c r="L25" s="49">
        <f t="shared" si="22"/>
        <v>354470.95480344852</v>
      </c>
      <c r="M25" s="49">
        <f t="shared" ref="M25:M28" si="23">IFERROR(L21*-1,0)</f>
        <v>-382573.42496943875</v>
      </c>
      <c r="N25" s="49">
        <f>IFERROR((1-$N$12)*L21,0)</f>
        <v>0</v>
      </c>
      <c r="O25" s="48">
        <f t="shared" si="6"/>
        <v>1765774.3453435702</v>
      </c>
      <c r="P25" s="38">
        <f t="shared" si="7"/>
        <v>1765774.3453435702</v>
      </c>
      <c r="Q25" s="53"/>
      <c r="R25" s="53">
        <f t="shared" si="8"/>
        <v>0</v>
      </c>
      <c r="S25" s="53">
        <f t="shared" si="9"/>
        <v>0</v>
      </c>
      <c r="T25" s="53">
        <f t="shared" si="10"/>
        <v>0.05</v>
      </c>
      <c r="U25" s="53">
        <f t="shared" si="16"/>
        <v>4.2653187775606449E-3</v>
      </c>
    </row>
    <row r="26" spans="1:24" x14ac:dyDescent="0.2">
      <c r="A26" s="62">
        <f t="shared" si="1"/>
        <v>0.79810871663401928</v>
      </c>
      <c r="B26" s="45">
        <f t="shared" si="2"/>
        <v>12</v>
      </c>
      <c r="C26" s="49">
        <f t="shared" si="3"/>
        <v>81458176.854630634</v>
      </c>
      <c r="D26" s="47" cm="1">
        <f t="array" ref="D26">_xlfn.IFS(AND($C$7="Y",B26&lt;C$4),C26,AND($C$7="Y",B26=C$4),D25+F26-J26-K26-L26+N26,AND($C$7="Y",B26&gt;$C$4),D25-J26-K26-L26+N26, TRUE, D25-J26-K26-L26+N26)</f>
        <v>79810871.663401932</v>
      </c>
      <c r="E26" s="48">
        <f t="shared" si="4"/>
        <v>0</v>
      </c>
      <c r="F26" s="50">
        <f t="shared" si="5"/>
        <v>0</v>
      </c>
      <c r="G26" s="50">
        <f t="shared" si="17"/>
        <v>0</v>
      </c>
      <c r="H26" s="51">
        <f t="shared" si="11"/>
        <v>2110967.4175378503</v>
      </c>
      <c r="I26" s="52">
        <f t="shared" si="12"/>
        <v>811107.31763306726</v>
      </c>
      <c r="J26" s="52">
        <f t="shared" si="18"/>
        <v>1299860.0999047831</v>
      </c>
      <c r="K26" s="51">
        <f t="shared" si="13"/>
        <v>0</v>
      </c>
      <c r="L26" s="49">
        <f t="shared" si="22"/>
        <v>347445.09132391197</v>
      </c>
      <c r="M26" s="49">
        <f t="shared" si="23"/>
        <v>-375547.63444046694</v>
      </c>
      <c r="N26" s="49">
        <f t="shared" ref="N26:N33" si="24">IFERROR((1-$N$12)*L22,0)</f>
        <v>0</v>
      </c>
      <c r="O26" s="48">
        <f t="shared" si="6"/>
        <v>1763522.3262139384</v>
      </c>
      <c r="P26" s="38">
        <f t="shared" si="7"/>
        <v>1763522.3262139384</v>
      </c>
      <c r="Q26" s="53"/>
      <c r="R26" s="53">
        <f t="shared" si="8"/>
        <v>0</v>
      </c>
      <c r="S26" s="53">
        <f t="shared" si="9"/>
        <v>0</v>
      </c>
      <c r="T26" s="53">
        <f t="shared" si="10"/>
        <v>0.05</v>
      </c>
      <c r="U26" s="53">
        <f t="shared" si="16"/>
        <v>4.2653187775606449E-3</v>
      </c>
    </row>
    <row r="27" spans="1:24" x14ac:dyDescent="0.2">
      <c r="A27" s="62">
        <f t="shared" si="1"/>
        <v>0.78163431022318242</v>
      </c>
      <c r="B27" s="45">
        <f t="shared" si="2"/>
        <v>13</v>
      </c>
      <c r="C27" s="49">
        <f t="shared" si="3"/>
        <v>79810871.663401932</v>
      </c>
      <c r="D27" s="47" cm="1">
        <f t="array" ref="D27">_xlfn.IFS(AND($C$7="Y",B27&lt;C$4),C27,AND($C$7="Y",B27=C$4),D26+F27-J27-K27-L27+N27,AND($C$7="Y",B27&gt;$C$4),D26-J27-K27-L27+N27, TRUE, D26-J27-K27-L27+N27)</f>
        <v>78163431.022318244</v>
      </c>
      <c r="E27" s="48">
        <f t="shared" si="4"/>
        <v>0</v>
      </c>
      <c r="F27" s="50">
        <f t="shared" si="5"/>
        <v>0</v>
      </c>
      <c r="G27" s="50">
        <f t="shared" si="17"/>
        <v>0</v>
      </c>
      <c r="H27" s="51">
        <f t="shared" si="11"/>
        <v>2101726.3600627291</v>
      </c>
      <c r="I27" s="52">
        <f t="shared" si="12"/>
        <v>794704.52853842545</v>
      </c>
      <c r="J27" s="52">
        <f t="shared" si="18"/>
        <v>1307021.8315243036</v>
      </c>
      <c r="K27" s="51">
        <f t="shared" si="13"/>
        <v>0</v>
      </c>
      <c r="L27" s="49">
        <f t="shared" si="22"/>
        <v>340418.80955939105</v>
      </c>
      <c r="M27" s="49">
        <f t="shared" si="23"/>
        <v>-368522.06620504556</v>
      </c>
      <c r="N27" s="49">
        <f t="shared" si="24"/>
        <v>0</v>
      </c>
      <c r="O27" s="48">
        <f t="shared" si="6"/>
        <v>1761307.550503338</v>
      </c>
      <c r="P27" s="38">
        <f t="shared" si="7"/>
        <v>1761307.550503338</v>
      </c>
      <c r="Q27" s="53"/>
      <c r="R27" s="53">
        <f t="shared" si="8"/>
        <v>0</v>
      </c>
      <c r="S27" s="53">
        <f t="shared" si="9"/>
        <v>0</v>
      </c>
      <c r="T27" s="53">
        <f t="shared" si="10"/>
        <v>0.05</v>
      </c>
      <c r="U27" s="53">
        <f t="shared" si="16"/>
        <v>4.2653187775606449E-3</v>
      </c>
    </row>
    <row r="28" spans="1:24" x14ac:dyDescent="0.2">
      <c r="A28" s="62">
        <f t="shared" si="1"/>
        <v>0.76515817626328597</v>
      </c>
      <c r="B28" s="45">
        <f t="shared" si="2"/>
        <v>14</v>
      </c>
      <c r="C28" s="49">
        <f t="shared" si="3"/>
        <v>78163431.022318244</v>
      </c>
      <c r="D28" s="47" cm="1">
        <f t="array" ref="D28">_xlfn.IFS(AND($C$7="Y",B28&lt;C$4),C28,AND($C$7="Y",B28=C$4),D27+F28-J28-K28-L28+N28,AND($C$7="Y",B28&gt;$C$4),D27-J28-K28-L28+N28, TRUE, D27-J28-K28-L28+N28)</f>
        <v>76515817.626328602</v>
      </c>
      <c r="E28" s="48">
        <f t="shared" si="4"/>
        <v>0</v>
      </c>
      <c r="F28" s="50">
        <f t="shared" si="5"/>
        <v>0</v>
      </c>
      <c r="G28" s="50">
        <f t="shared" si="17"/>
        <v>0</v>
      </c>
      <c r="H28" s="51">
        <f t="shared" si="11"/>
        <v>2092521.8366541872</v>
      </c>
      <c r="I28" s="52">
        <f t="shared" si="12"/>
        <v>778300.39072260179</v>
      </c>
      <c r="J28" s="52">
        <f t="shared" si="18"/>
        <v>1314221.4459315855</v>
      </c>
      <c r="K28" s="51">
        <f t="shared" si="13"/>
        <v>0</v>
      </c>
      <c r="L28" s="49">
        <f t="shared" si="22"/>
        <v>333391.95005806023</v>
      </c>
      <c r="M28" s="49">
        <f t="shared" si="23"/>
        <v>-361496.55975338805</v>
      </c>
      <c r="N28" s="49">
        <f t="shared" si="24"/>
        <v>0</v>
      </c>
      <c r="O28" s="48">
        <f t="shared" si="6"/>
        <v>1759129.8865961269</v>
      </c>
      <c r="P28" s="38">
        <f t="shared" si="7"/>
        <v>1759129.8865961269</v>
      </c>
      <c r="Q28" s="53"/>
      <c r="R28" s="53">
        <f t="shared" si="8"/>
        <v>0</v>
      </c>
      <c r="S28" s="53">
        <f t="shared" si="9"/>
        <v>0</v>
      </c>
      <c r="T28" s="53">
        <f t="shared" si="10"/>
        <v>0.05</v>
      </c>
      <c r="U28" s="53">
        <f t="shared" si="16"/>
        <v>4.2653187775606449E-3</v>
      </c>
    </row>
    <row r="29" spans="1:24" x14ac:dyDescent="0.2">
      <c r="A29" s="62">
        <f t="shared" si="1"/>
        <v>0.74867994256473791</v>
      </c>
      <c r="B29" s="45">
        <f t="shared" si="2"/>
        <v>15</v>
      </c>
      <c r="C29" s="51">
        <f t="shared" si="3"/>
        <v>76515817.626328602</v>
      </c>
      <c r="D29" s="47" cm="1">
        <f t="array" ref="D29">_xlfn.IFS(AND($C$7="Y",B29&lt;C$4),C29,AND($C$7="Y",B29=C$4),D28+F29-J29-K29-L29+N29,AND($C$7="Y",B29&gt;$C$4),D28-J29-K29-L29+N29, TRUE, D28-J29-K29-L29+N29)</f>
        <v>74867994.256473795</v>
      </c>
      <c r="E29" s="48">
        <f t="shared" si="4"/>
        <v>0</v>
      </c>
      <c r="F29" s="50">
        <f t="shared" si="5"/>
        <v>0</v>
      </c>
      <c r="G29" s="50">
        <f t="shared" si="17"/>
        <v>0</v>
      </c>
      <c r="H29" s="51">
        <f t="shared" si="11"/>
        <v>2083353.5488790979</v>
      </c>
      <c r="I29" s="52">
        <f t="shared" si="12"/>
        <v>761894.5327262663</v>
      </c>
      <c r="J29" s="52">
        <f t="shared" si="18"/>
        <v>1321459.0161528317</v>
      </c>
      <c r="K29" s="51">
        <f t="shared" si="13"/>
        <v>0</v>
      </c>
      <c r="L29" s="51">
        <f t="shared" si="22"/>
        <v>326364.35370198515</v>
      </c>
      <c r="M29" s="51">
        <f>IFERROR(L25*-1,0)</f>
        <v>-354470.95480344852</v>
      </c>
      <c r="N29" s="51">
        <f t="shared" si="24"/>
        <v>0</v>
      </c>
      <c r="O29" s="48">
        <f t="shared" si="6"/>
        <v>1756989.1951771129</v>
      </c>
      <c r="P29" s="38">
        <f t="shared" si="7"/>
        <v>1756989.1951771129</v>
      </c>
      <c r="Q29" s="53"/>
      <c r="R29" s="53">
        <f t="shared" si="8"/>
        <v>0</v>
      </c>
      <c r="S29" s="53">
        <f t="shared" si="9"/>
        <v>0</v>
      </c>
      <c r="T29" s="53">
        <f t="shared" si="10"/>
        <v>0.05</v>
      </c>
      <c r="U29" s="53">
        <f t="shared" si="16"/>
        <v>4.2653187775606449E-3</v>
      </c>
    </row>
    <row r="30" spans="1:24" x14ac:dyDescent="0.2">
      <c r="A30" s="62">
        <f t="shared" si="1"/>
        <v>0.73219923788475649</v>
      </c>
      <c r="B30" s="45">
        <f t="shared" si="2"/>
        <v>16</v>
      </c>
      <c r="C30" s="49">
        <f t="shared" si="3"/>
        <v>74867994.256473795</v>
      </c>
      <c r="D30" s="47" cm="1">
        <f t="array" ref="D30">_xlfn.IFS(AND($C$7="Y",B30&lt;C$4),C30,AND($C$7="Y",B30=C$4),D29+F30-J30-K30-L30+N30,AND($C$7="Y",B30&gt;$C$4),D29-J30-K30-L30+N30, TRUE, D29-J30-K30-L30+N30)</f>
        <v>73219923.788475648</v>
      </c>
      <c r="E30" s="48">
        <f t="shared" si="4"/>
        <v>0</v>
      </c>
      <c r="F30" s="50">
        <f t="shared" si="5"/>
        <v>0</v>
      </c>
      <c r="G30" s="50">
        <f t="shared" si="17"/>
        <v>0</v>
      </c>
      <c r="H30" s="51">
        <f t="shared" si="11"/>
        <v>2074221.1902050332</v>
      </c>
      <c r="I30" s="52">
        <f t="shared" si="12"/>
        <v>745486.58394733351</v>
      </c>
      <c r="J30" s="52">
        <f>IF(AND($B30&lt;=$C$4,C$7="Y"),0,IF(AND(C$7="N",C$4&gt;0,B30&lt;=C$4),0,H30-I30))</f>
        <v>1328734.6062576997</v>
      </c>
      <c r="K30" s="51">
        <f>IF(AND(C$7="Y",$B30&lt;=$C$4),0,IF(AND(C$7="N",C$4&gt;0,B30&lt;=C$4),0,S30*(C30-J30)))</f>
        <v>0</v>
      </c>
      <c r="L30" s="49">
        <f t="shared" si="22"/>
        <v>319335.86174044019</v>
      </c>
      <c r="M30" s="49">
        <f t="shared" ref="M30:M43" si="25">IFERROR(L26*-1,0)</f>
        <v>-347445.09132391197</v>
      </c>
      <c r="N30" s="49">
        <f t="shared" si="24"/>
        <v>0</v>
      </c>
      <c r="O30" s="48">
        <f t="shared" si="6"/>
        <v>1754885.328464593</v>
      </c>
      <c r="P30" s="38">
        <f t="shared" si="7"/>
        <v>1754885.328464593</v>
      </c>
      <c r="Q30" s="53"/>
      <c r="R30" s="53">
        <f t="shared" si="8"/>
        <v>0</v>
      </c>
      <c r="S30" s="53">
        <f t="shared" si="9"/>
        <v>0</v>
      </c>
      <c r="T30" s="53">
        <f t="shared" si="10"/>
        <v>0.05</v>
      </c>
      <c r="U30" s="53">
        <f t="shared" si="16"/>
        <v>4.2653187775606449E-3</v>
      </c>
    </row>
    <row r="31" spans="1:24" x14ac:dyDescent="0.2">
      <c r="A31" s="62">
        <f t="shared" si="1"/>
        <v>0.7157156920219272</v>
      </c>
      <c r="B31" s="45">
        <f t="shared" si="2"/>
        <v>17</v>
      </c>
      <c r="C31" s="49">
        <f t="shared" si="3"/>
        <v>73219923.788475648</v>
      </c>
      <c r="D31" s="47" cm="1">
        <f t="array" ref="D31">_xlfn.IFS(AND($C$7="Y",B31&lt;C$4),C31,AND($C$7="Y",B31=C$4),D30+F31-J31-K31-L31+N31,AND($C$7="Y",B31&gt;$C$4),D30-J31-K31-L31+N31, TRUE, D30-J31-K31-L31+N31)</f>
        <v>71571569.202192724</v>
      </c>
      <c r="E31" s="48">
        <f t="shared" si="4"/>
        <v>0</v>
      </c>
      <c r="F31" s="50">
        <f t="shared" si="5"/>
        <v>0</v>
      </c>
      <c r="G31" s="50">
        <f t="shared" si="17"/>
        <v>0</v>
      </c>
      <c r="H31" s="51">
        <f t="shared" si="11"/>
        <v>2065124.4451828597</v>
      </c>
      <c r="I31" s="52">
        <f t="shared" si="12"/>
        <v>729076.17472649098</v>
      </c>
      <c r="J31" s="52">
        <f t="shared" ref="J31:J39" si="26">IF(AND($B31&lt;=$C$4,C$7="Y"),0,IF(AND(C$7="N",C$4&gt;0,B31&lt;=C$4),0,H31-I31))</f>
        <v>1336048.2704563686</v>
      </c>
      <c r="K31" s="51">
        <f t="shared" ref="K31:K39" si="27">IF(AND(C$7="Y",$B31&lt;=$C$4),0,IF(AND(C$7="N",C$4&gt;0,B31&lt;=C$4),0,S31*(C31-J31)))</f>
        <v>0</v>
      </c>
      <c r="L31" s="49">
        <f t="shared" si="22"/>
        <v>312306.31582654454</v>
      </c>
      <c r="M31" s="49">
        <f t="shared" si="25"/>
        <v>-340418.80955939105</v>
      </c>
      <c r="N31" s="49">
        <f t="shared" si="24"/>
        <v>0</v>
      </c>
      <c r="O31" s="48">
        <f t="shared" si="6"/>
        <v>1752818.1293563149</v>
      </c>
      <c r="P31" s="38">
        <f t="shared" si="7"/>
        <v>1752818.1293563149</v>
      </c>
      <c r="Q31" s="53"/>
      <c r="R31" s="53">
        <f t="shared" si="8"/>
        <v>0</v>
      </c>
      <c r="S31" s="53">
        <f t="shared" si="9"/>
        <v>0</v>
      </c>
      <c r="T31" s="53">
        <f t="shared" si="10"/>
        <v>0.05</v>
      </c>
      <c r="U31" s="53">
        <f t="shared" si="16"/>
        <v>4.2653187775606449E-3</v>
      </c>
    </row>
    <row r="32" spans="1:24" x14ac:dyDescent="0.2">
      <c r="A32" s="62">
        <f t="shared" si="1"/>
        <v>0.69922893592042623</v>
      </c>
      <c r="B32" s="45">
        <f t="shared" si="2"/>
        <v>18</v>
      </c>
      <c r="C32" s="49">
        <f t="shared" si="3"/>
        <v>71571569.202192724</v>
      </c>
      <c r="D32" s="47" cm="1">
        <f t="array" ref="D32">_xlfn.IFS(AND($C$7="Y",B32&lt;C$4),C32,AND($C$7="Y",B32=C$4),D31+F32-J32-K32-L32+N32,AND($C$7="Y",B32&gt;$C$4),D31-J32-K32-L32+N32, TRUE, D31-J32-K32-L32+N32)</f>
        <v>69922893.592042625</v>
      </c>
      <c r="E32" s="48">
        <f t="shared" si="4"/>
        <v>0</v>
      </c>
      <c r="F32" s="50">
        <f t="shared" si="5"/>
        <v>0</v>
      </c>
      <c r="G32" s="50">
        <f t="shared" si="17"/>
        <v>0</v>
      </c>
      <c r="H32" s="51">
        <f t="shared" si="11"/>
        <v>2056062.9885338547</v>
      </c>
      <c r="I32" s="52">
        <f t="shared" si="12"/>
        <v>712662.93644135131</v>
      </c>
      <c r="J32" s="52">
        <f t="shared" si="26"/>
        <v>1343400.0520925033</v>
      </c>
      <c r="K32" s="51">
        <f t="shared" si="27"/>
        <v>0</v>
      </c>
      <c r="L32" s="49">
        <f t="shared" si="22"/>
        <v>305275.55805759376</v>
      </c>
      <c r="M32" s="49">
        <f t="shared" si="25"/>
        <v>-333391.95005806023</v>
      </c>
      <c r="N32" s="49">
        <f t="shared" si="24"/>
        <v>0</v>
      </c>
      <c r="O32" s="48">
        <f t="shared" si="6"/>
        <v>1750787.4304762608</v>
      </c>
      <c r="P32" s="38">
        <f t="shared" si="7"/>
        <v>1750787.4304762608</v>
      </c>
      <c r="Q32" s="53"/>
      <c r="R32" s="53">
        <f t="shared" si="8"/>
        <v>0</v>
      </c>
      <c r="S32" s="53">
        <f t="shared" si="9"/>
        <v>0</v>
      </c>
      <c r="T32" s="53">
        <f t="shared" si="10"/>
        <v>0.05</v>
      </c>
      <c r="U32" s="53">
        <f t="shared" si="16"/>
        <v>4.2653187775606449E-3</v>
      </c>
    </row>
    <row r="33" spans="1:23" x14ac:dyDescent="0.2">
      <c r="A33" s="62">
        <f t="shared" si="1"/>
        <v>0.68273860178505752</v>
      </c>
      <c r="B33" s="45">
        <f t="shared" si="2"/>
        <v>19</v>
      </c>
      <c r="C33" s="49">
        <f t="shared" si="3"/>
        <v>69922893.592042625</v>
      </c>
      <c r="D33" s="47" cm="1">
        <f t="array" ref="D33">_xlfn.IFS(AND($C$7="Y",B33&lt;C$4),C33,AND($C$7="Y",B33=C$4),D32+F33-J33-K33-L33+N33,AND($C$7="Y",B33&gt;$C$4),D32-J33-K33-L33+N33, TRUE, D32-J33-K33-L33+N33)</f>
        <v>68273860.178505749</v>
      </c>
      <c r="E33" s="48">
        <f t="shared" si="4"/>
        <v>0</v>
      </c>
      <c r="F33" s="50">
        <f t="shared" si="5"/>
        <v>0</v>
      </c>
      <c r="G33" s="50">
        <f t="shared" si="17"/>
        <v>0</v>
      </c>
      <c r="H33" s="51">
        <f t="shared" si="11"/>
        <v>2047036.4841275967</v>
      </c>
      <c r="I33" s="52">
        <f t="shared" si="12"/>
        <v>696246.501610231</v>
      </c>
      <c r="J33" s="52">
        <f t="shared" si="26"/>
        <v>1350789.9825173658</v>
      </c>
      <c r="K33" s="51">
        <f t="shared" si="27"/>
        <v>0</v>
      </c>
      <c r="L33" s="49">
        <f t="shared" si="22"/>
        <v>298243.43101951428</v>
      </c>
      <c r="M33" s="49">
        <f t="shared" si="25"/>
        <v>-326364.35370198515</v>
      </c>
      <c r="N33" s="49">
        <f t="shared" si="24"/>
        <v>0</v>
      </c>
      <c r="O33" s="48">
        <f t="shared" si="6"/>
        <v>1748793.0531080826</v>
      </c>
      <c r="P33" s="38">
        <f t="shared" si="7"/>
        <v>1748793.0531080826</v>
      </c>
      <c r="Q33" s="53"/>
      <c r="R33" s="53">
        <f t="shared" si="8"/>
        <v>0</v>
      </c>
      <c r="S33" s="53">
        <f t="shared" si="9"/>
        <v>0</v>
      </c>
      <c r="T33" s="53">
        <f t="shared" si="10"/>
        <v>0.05</v>
      </c>
      <c r="U33" s="53">
        <f t="shared" si="16"/>
        <v>4.2653187775606449E-3</v>
      </c>
    </row>
    <row r="34" spans="1:23" x14ac:dyDescent="0.2">
      <c r="A34" s="62">
        <f t="shared" si="1"/>
        <v>0.66624432320841964</v>
      </c>
      <c r="B34" s="45">
        <f t="shared" si="2"/>
        <v>20</v>
      </c>
      <c r="C34" s="49">
        <f t="shared" si="3"/>
        <v>68273860.178505749</v>
      </c>
      <c r="D34" s="47" cm="1">
        <f t="array" ref="D34">_xlfn.IFS(AND($C$7="Y",B34&lt;C$4),C34,AND($C$7="Y",B34=C$4),D33+F34-J34-K34-L34+N34,AND($C$7="Y",B34&gt;$C$4),D33-J34-K34-L34+N34, TRUE, D33-J34-K34-L34+N34)</f>
        <v>66624432.320841961</v>
      </c>
      <c r="E34" s="48">
        <f t="shared" si="4"/>
        <v>0</v>
      </c>
      <c r="F34" s="50">
        <f t="shared" si="5"/>
        <v>0</v>
      </c>
      <c r="G34" s="50">
        <f t="shared" si="17"/>
        <v>0</v>
      </c>
      <c r="H34" s="51">
        <f t="shared" si="11"/>
        <v>2038044.5838345569</v>
      </c>
      <c r="I34" s="52">
        <f t="shared" si="12"/>
        <v>679826.50400669815</v>
      </c>
      <c r="J34" s="52">
        <f t="shared" si="26"/>
        <v>1358218.0798278586</v>
      </c>
      <c r="K34" s="51">
        <f t="shared" si="27"/>
        <v>0</v>
      </c>
      <c r="L34" s="49">
        <f t="shared" si="22"/>
        <v>291209.77783593052</v>
      </c>
      <c r="M34" s="49">
        <f t="shared" si="25"/>
        <v>-319335.86174044019</v>
      </c>
      <c r="N34" s="49">
        <f>IFERROR((1-$N$12)*L30,0)</f>
        <v>0</v>
      </c>
      <c r="O34" s="48">
        <f t="shared" si="6"/>
        <v>1746834.8059986264</v>
      </c>
      <c r="P34" s="38">
        <f t="shared" si="7"/>
        <v>1746834.8059986264</v>
      </c>
      <c r="Q34" s="53"/>
      <c r="R34" s="53">
        <f t="shared" si="8"/>
        <v>0</v>
      </c>
      <c r="S34" s="53">
        <f t="shared" si="9"/>
        <v>0</v>
      </c>
      <c r="T34" s="53">
        <f t="shared" si="10"/>
        <v>0.05</v>
      </c>
      <c r="U34" s="53">
        <f t="shared" si="16"/>
        <v>4.2653187775606449E-3</v>
      </c>
    </row>
    <row r="35" spans="1:23" x14ac:dyDescent="0.2">
      <c r="A35" s="62">
        <f t="shared" si="1"/>
        <v>0.64974573531171242</v>
      </c>
      <c r="B35" s="45">
        <f t="shared" si="2"/>
        <v>21</v>
      </c>
      <c r="C35" s="49">
        <f t="shared" si="3"/>
        <v>66624432.320841961</v>
      </c>
      <c r="D35" s="47" cm="1">
        <f t="array" ref="D35">_xlfn.IFS(AND($C$7="Y",B35&lt;C$4),C35,AND($C$7="Y",B35=C$4),D34+F35-J35-K35-L35+N35,AND($C$7="Y",B35&gt;$C$4),D34-J35-K35-L35+N35, TRUE, D34-J35-K35-L35+N35)</f>
        <v>64974573.531171247</v>
      </c>
      <c r="E35" s="48">
        <f t="shared" si="4"/>
        <v>0</v>
      </c>
      <c r="F35" s="50">
        <f t="shared" si="5"/>
        <v>0</v>
      </c>
      <c r="G35" s="50">
        <f t="shared" si="17"/>
        <v>0</v>
      </c>
      <c r="H35" s="51">
        <f t="shared" si="11"/>
        <v>2029086.9262344965</v>
      </c>
      <c r="I35" s="52">
        <f t="shared" si="12"/>
        <v>663402.57878619549</v>
      </c>
      <c r="J35" s="52">
        <f t="shared" si="26"/>
        <v>1365684.347448301</v>
      </c>
      <c r="K35" s="51">
        <f t="shared" si="27"/>
        <v>0</v>
      </c>
      <c r="L35" s="49">
        <f t="shared" si="22"/>
        <v>284174.44222240557</v>
      </c>
      <c r="M35" s="49">
        <f t="shared" si="25"/>
        <v>-312306.31582654454</v>
      </c>
      <c r="N35" s="49">
        <f t="shared" ref="N35:N98" si="28">IFERROR((1-$N$12)*L31,0)</f>
        <v>0</v>
      </c>
      <c r="O35" s="48">
        <f>K35+I35+J35-L35+N35+G35</f>
        <v>1744912.4840120911</v>
      </c>
      <c r="P35" s="38">
        <f t="shared" si="7"/>
        <v>1744912.4840120911</v>
      </c>
      <c r="Q35" s="53"/>
      <c r="R35" s="53">
        <f t="shared" si="8"/>
        <v>0</v>
      </c>
      <c r="S35" s="53">
        <f t="shared" si="9"/>
        <v>0</v>
      </c>
      <c r="T35" s="53">
        <f t="shared" si="10"/>
        <v>0.05</v>
      </c>
      <c r="U35" s="53">
        <f t="shared" si="16"/>
        <v>4.2653187775606449E-3</v>
      </c>
    </row>
    <row r="36" spans="1:23" x14ac:dyDescent="0.2">
      <c r="A36" s="62">
        <f t="shared" si="1"/>
        <v>0.63324247490092633</v>
      </c>
      <c r="B36" s="45">
        <f t="shared" si="2"/>
        <v>22</v>
      </c>
      <c r="C36" s="49">
        <f t="shared" si="3"/>
        <v>64974573.531171247</v>
      </c>
      <c r="D36" s="47" cm="1">
        <f t="array" ref="D36">_xlfn.IFS(AND($C$7="Y",B36&lt;C$4),C36,AND($C$7="Y",B36=C$4),D35+F36-J36-K36-L36+N36,AND($C$7="Y",B36&gt;$C$4),D35-J36-K36-L36+N36, TRUE, D35-J36-K36-L36+N36)</f>
        <v>63324247.490092635</v>
      </c>
      <c r="E36" s="48">
        <f t="shared" si="4"/>
        <v>0</v>
      </c>
      <c r="F36" s="50">
        <f t="shared" si="5"/>
        <v>0</v>
      </c>
      <c r="G36" s="50">
        <f t="shared" si="17"/>
        <v>0</v>
      </c>
      <c r="H36" s="51">
        <f t="shared" si="11"/>
        <v>2020163.1351583605</v>
      </c>
      <c r="I36" s="52">
        <f t="shared" si="12"/>
        <v>646974.36262624746</v>
      </c>
      <c r="J36" s="52">
        <f t="shared" si="26"/>
        <v>1373188.7725321129</v>
      </c>
      <c r="K36" s="51">
        <f t="shared" si="27"/>
        <v>0</v>
      </c>
      <c r="L36" s="49">
        <f t="shared" si="22"/>
        <v>277137.2685464996</v>
      </c>
      <c r="M36" s="49">
        <f t="shared" si="25"/>
        <v>-305275.55805759376</v>
      </c>
      <c r="N36" s="49">
        <f t="shared" si="28"/>
        <v>0</v>
      </c>
      <c r="O36" s="48">
        <f t="shared" ref="O36:O38" si="29">K36+I36+J36-L36+N36+G36</f>
        <v>1743025.8666118609</v>
      </c>
      <c r="P36" s="38">
        <f t="shared" si="7"/>
        <v>1743025.8666118609</v>
      </c>
      <c r="Q36" s="53"/>
      <c r="R36" s="53">
        <f t="shared" si="8"/>
        <v>0</v>
      </c>
      <c r="S36" s="53">
        <f t="shared" si="9"/>
        <v>0</v>
      </c>
      <c r="T36" s="53">
        <f t="shared" si="10"/>
        <v>0.05</v>
      </c>
      <c r="U36" s="53">
        <f t="shared" si="16"/>
        <v>4.2653187775606449E-3</v>
      </c>
      <c r="W36" s="49"/>
    </row>
    <row r="37" spans="1:23" x14ac:dyDescent="0.2">
      <c r="A37" s="62">
        <f t="shared" si="1"/>
        <v>0.61673418064042995</v>
      </c>
      <c r="B37" s="45">
        <f t="shared" si="2"/>
        <v>23</v>
      </c>
      <c r="C37" s="49">
        <f t="shared" si="3"/>
        <v>63324247.490092635</v>
      </c>
      <c r="D37" s="47" cm="1">
        <f t="array" ref="D37">_xlfn.IFS(AND($C$7="Y",B37&lt;C$4),C37,AND($C$7="Y",B37=C$4),D36+F37-J37-K37-L37+N37,AND($C$7="Y",B37&gt;$C$4),D36-J37-K37-L37+N37, TRUE, D36-J37-K37-L37+N37)</f>
        <v>61673418.064042993</v>
      </c>
      <c r="E37" s="48">
        <f t="shared" si="4"/>
        <v>0</v>
      </c>
      <c r="F37" s="50">
        <f t="shared" si="5"/>
        <v>0</v>
      </c>
      <c r="G37" s="50">
        <f t="shared" si="17"/>
        <v>0</v>
      </c>
      <c r="H37" s="51">
        <f t="shared" si="11"/>
        <v>2011272.8180372347</v>
      </c>
      <c r="I37" s="52">
        <f t="shared" si="12"/>
        <v>630541.4938819824</v>
      </c>
      <c r="J37" s="52">
        <f t="shared" si="26"/>
        <v>1380731.3241552524</v>
      </c>
      <c r="K37" s="51">
        <f t="shared" si="27"/>
        <v>0</v>
      </c>
      <c r="L37" s="49">
        <f t="shared" si="22"/>
        <v>270098.10189438966</v>
      </c>
      <c r="M37" s="49">
        <f t="shared" si="25"/>
        <v>-298243.43101951428</v>
      </c>
      <c r="N37" s="49">
        <f t="shared" si="28"/>
        <v>0</v>
      </c>
      <c r="O37" s="48">
        <f t="shared" si="29"/>
        <v>1741174.7161428451</v>
      </c>
      <c r="P37" s="38">
        <f t="shared" si="7"/>
        <v>1741174.7161428451</v>
      </c>
      <c r="Q37" s="53"/>
      <c r="R37" s="53">
        <f t="shared" si="8"/>
        <v>0</v>
      </c>
      <c r="S37" s="53">
        <f t="shared" si="9"/>
        <v>0</v>
      </c>
      <c r="T37" s="53">
        <f t="shared" si="10"/>
        <v>0.05</v>
      </c>
      <c r="U37" s="53">
        <f t="shared" si="16"/>
        <v>4.2653187775606449E-3</v>
      </c>
    </row>
    <row r="38" spans="1:23" x14ac:dyDescent="0.2">
      <c r="A38" s="62">
        <f t="shared" si="1"/>
        <v>0.60022049324630145</v>
      </c>
      <c r="B38" s="45">
        <f t="shared" si="2"/>
        <v>24</v>
      </c>
      <c r="C38" s="49">
        <f t="shared" si="3"/>
        <v>61673418.064042993</v>
      </c>
      <c r="D38" s="47" cm="1">
        <f t="array" ref="D38">_xlfn.IFS(AND($C$7="Y",B38&lt;C$4),C38,AND($C$7="Y",B38=C$4),D37+F38-J38-K38-L38+N38,AND($C$7="Y",B38&gt;$C$4),D37-J38-K38-L38+N38, TRUE, D37-J38-K38-L38+N38)</f>
        <v>60022049.324630149</v>
      </c>
      <c r="E38" s="48">
        <f t="shared" si="4"/>
        <v>0</v>
      </c>
      <c r="F38" s="50">
        <f t="shared" si="5"/>
        <v>0</v>
      </c>
      <c r="G38" s="50">
        <f t="shared" si="17"/>
        <v>0</v>
      </c>
      <c r="H38" s="51">
        <f t="shared" si="11"/>
        <v>2002415.5640269143</v>
      </c>
      <c r="I38" s="52">
        <f t="shared" si="12"/>
        <v>614103.61275898083</v>
      </c>
      <c r="J38" s="52">
        <f t="shared" si="26"/>
        <v>1388311.9512679335</v>
      </c>
      <c r="K38" s="51">
        <f t="shared" si="27"/>
        <v>0</v>
      </c>
      <c r="L38" s="49">
        <f t="shared" si="22"/>
        <v>263056.78814491048</v>
      </c>
      <c r="M38" s="49">
        <f t="shared" si="25"/>
        <v>-291209.77783593052</v>
      </c>
      <c r="N38" s="49">
        <f t="shared" si="28"/>
        <v>0</v>
      </c>
      <c r="O38" s="48">
        <f t="shared" si="29"/>
        <v>1739358.7758820038</v>
      </c>
      <c r="P38" s="38">
        <f t="shared" si="7"/>
        <v>1739358.7758820038</v>
      </c>
      <c r="Q38" s="53"/>
      <c r="R38" s="53">
        <f t="shared" si="8"/>
        <v>0</v>
      </c>
      <c r="S38" s="53">
        <f t="shared" si="9"/>
        <v>0</v>
      </c>
      <c r="T38" s="53">
        <f t="shared" si="10"/>
        <v>0.05</v>
      </c>
      <c r="U38" s="53">
        <f t="shared" si="16"/>
        <v>4.2653187775606449E-3</v>
      </c>
    </row>
    <row r="39" spans="1:23" s="59" customFormat="1" x14ac:dyDescent="0.2">
      <c r="A39" s="62">
        <f t="shared" si="1"/>
        <v>0.58370105570213415</v>
      </c>
      <c r="B39" s="54">
        <f t="shared" si="2"/>
        <v>25</v>
      </c>
      <c r="C39" s="55">
        <f t="shared" si="3"/>
        <v>60022049.324630149</v>
      </c>
      <c r="D39" s="47" cm="1">
        <f t="array" ref="D39">_xlfn.IFS(AND($C$7="Y",B39&lt;C$4),C39,AND($C$7="Y",B39=C$4),D38+F39-J39-K39-L39+N39,AND($C$7="Y",B39&gt;$C$4),D38-J39-K39-L39+N39, TRUE, D38-J39-K39-L39+N39)</f>
        <v>58370105.570213415</v>
      </c>
      <c r="E39" s="48">
        <f t="shared" si="4"/>
        <v>0</v>
      </c>
      <c r="F39" s="50">
        <f t="shared" si="5"/>
        <v>0</v>
      </c>
      <c r="G39" s="56">
        <f t="shared" si="17"/>
        <v>0</v>
      </c>
      <c r="H39" s="51">
        <f t="shared" si="11"/>
        <v>1993590.9418704973</v>
      </c>
      <c r="I39" s="52">
        <f t="shared" si="12"/>
        <v>597660.3615057813</v>
      </c>
      <c r="J39" s="57">
        <f t="shared" si="26"/>
        <v>1395930.580364716</v>
      </c>
      <c r="K39" s="55">
        <f t="shared" si="27"/>
        <v>0</v>
      </c>
      <c r="L39" s="55">
        <f>IF(AND(C$7="Y",$B39&lt;=$C$4),0,IF(AND(C$7="N",C$4&gt;0,B39&lt;=C$4),0,U39*D38))</f>
        <v>256013.1740520162</v>
      </c>
      <c r="M39" s="55">
        <f t="shared" si="25"/>
        <v>-284174.44222240557</v>
      </c>
      <c r="N39" s="55">
        <f t="shared" si="28"/>
        <v>0</v>
      </c>
      <c r="O39" s="48">
        <f>K39+I39+J39-L39+N39+G39</f>
        <v>1737577.7678184812</v>
      </c>
      <c r="P39" s="58">
        <f t="shared" si="7"/>
        <v>1737577.7678184812</v>
      </c>
      <c r="Q39" s="53"/>
      <c r="R39" s="53">
        <f t="shared" si="8"/>
        <v>0</v>
      </c>
      <c r="S39" s="53">
        <f t="shared" si="9"/>
        <v>0</v>
      </c>
      <c r="T39" s="53">
        <f t="shared" si="10"/>
        <v>0.05</v>
      </c>
      <c r="U39" s="53">
        <f t="shared" si="16"/>
        <v>4.2653187775606449E-3</v>
      </c>
    </row>
    <row r="40" spans="1:23" x14ac:dyDescent="0.2">
      <c r="A40" s="62">
        <f t="shared" si="1"/>
        <v>0.56717551350051487</v>
      </c>
      <c r="B40" s="45">
        <f t="shared" si="2"/>
        <v>26</v>
      </c>
      <c r="C40" s="49">
        <f>IF(B40&lt;C$4,C$1,D39)</f>
        <v>58370105.570213415</v>
      </c>
      <c r="D40" s="60" cm="1">
        <f t="array" ref="D40">_xlfn.IFS(AND($C$7="Y",B40&lt;C$4),C40,AND($C$7="Y",B40=C$4),D39+F40-J40-K40-L40+N40,AND($C$7="Y",B40&gt;$C$4),D39-J40-K40-L40+N40, TRUE, D39-J40-K40-L40+N40)</f>
        <v>56717551.350051485</v>
      </c>
      <c r="E40" s="48">
        <f t="shared" si="4"/>
        <v>0</v>
      </c>
      <c r="F40" s="50">
        <f t="shared" si="5"/>
        <v>0</v>
      </c>
      <c r="G40" s="50">
        <f t="shared" si="17"/>
        <v>0</v>
      </c>
      <c r="H40" s="51">
        <f>IF(AND($B40&lt;=$C$4,C$7="Y"),0,IF(AND(C$7="N",C$4&gt;0,B40&lt;=C$4),0,D39*C$2/12/(1-(1/(1+C$2/12))^(C$3+C$4-B40+1))))</f>
        <v>1984798.4974538712</v>
      </c>
      <c r="I40" s="52">
        <f t="shared" si="12"/>
        <v>581211.38462876587</v>
      </c>
      <c r="J40" s="52">
        <f>IF(AND($B40&lt;=$C$4,C$7="Y"),0,IF(AND(C$7="N",C$4&gt;0,B40&lt;=C$4),0,H40-I40))</f>
        <v>1403587.1128251054</v>
      </c>
      <c r="K40" s="51">
        <f>IF(AND(C$7="Y",$B40&lt;=$C$4),0,IF(AND(C$7="N",C$4&gt;0,B40&lt;=C$4),0,S40*(C40-J40)))</f>
        <v>0</v>
      </c>
      <c r="L40" s="49">
        <f t="shared" ref="L40:L43" si="30">IF(AND(C$7="Y",$B40&lt;=$C$4),0,IF(AND(C$7="N",C$4&gt;0,B40&lt;=C$4),0,U40*D39))</f>
        <v>248967.10733682849</v>
      </c>
      <c r="M40" s="49">
        <f t="shared" si="25"/>
        <v>-277137.2685464996</v>
      </c>
      <c r="N40" s="49">
        <f t="shared" si="28"/>
        <v>0</v>
      </c>
      <c r="O40" s="48">
        <f t="shared" ref="O40:O103" si="31">K40+I40+J40-L40+N40+G40</f>
        <v>1735831.3901170427</v>
      </c>
      <c r="P40" s="38">
        <f>O40*(1/((1+P$12)^(B40/12)))</f>
        <v>1735831.3901170427</v>
      </c>
      <c r="Q40" s="53"/>
      <c r="R40" s="53">
        <f t="shared" si="8"/>
        <v>0</v>
      </c>
      <c r="S40" s="53">
        <f t="shared" si="9"/>
        <v>0</v>
      </c>
      <c r="T40" s="53">
        <f t="shared" si="10"/>
        <v>0.05</v>
      </c>
      <c r="U40" s="53">
        <f t="shared" si="16"/>
        <v>4.2653187775606449E-3</v>
      </c>
    </row>
    <row r="41" spans="1:23" x14ac:dyDescent="0.2">
      <c r="A41" s="62">
        <f t="shared" si="1"/>
        <v>0.55064351491393826</v>
      </c>
      <c r="B41" s="45">
        <f t="shared" si="2"/>
        <v>27</v>
      </c>
      <c r="C41" s="49">
        <f t="shared" ref="C41:C104" si="32">IF(B41&lt;C$4,C$1,D40)</f>
        <v>56717551.350051485</v>
      </c>
      <c r="D41" s="47" cm="1">
        <f t="array" ref="D41">_xlfn.IFS(AND($C$7="Y",B41&lt;C$4),C41,AND($C$7="Y",B41=C$4),D40+F41-J41-K41-L41+N41,AND($C$7="Y",B41&gt;$C$4),D40-J41-K41-L41+N41, TRUE, D40-J41-K41-L41+N41)</f>
        <v>55064351.491393827</v>
      </c>
      <c r="E41" s="48">
        <f t="shared" si="4"/>
        <v>0</v>
      </c>
      <c r="F41" s="50">
        <f t="shared" si="5"/>
        <v>0</v>
      </c>
      <c r="G41" s="50">
        <f t="shared" si="17"/>
        <v>0</v>
      </c>
      <c r="H41" s="51">
        <f t="shared" ref="H41:H104" si="33">IF(AND($B41&lt;=$C$4,C$7="Y"),0,IF(AND(C$7="N",C$4&gt;0,B41&lt;=C$4),0,D40*C$2/12/(1-(1/(1+C$2/12))^(C$3+C$4-B41+1))))</f>
        <v>1976037.7509996279</v>
      </c>
      <c r="I41" s="52">
        <f t="shared" si="12"/>
        <v>564756.32913260849</v>
      </c>
      <c r="J41" s="52">
        <f t="shared" ref="J41:J104" si="34">IF(AND($B41&lt;=$C$4,C$7="Y"),0,IF(AND(C$7="N",C$4&gt;0,B41&lt;=C$4),0,H41-I41))</f>
        <v>1411281.4218670195</v>
      </c>
      <c r="K41" s="51">
        <f>IF(AND(C$7="Y",$B41&lt;=$C$4),0,IF(AND(C$7="N",C$4&gt;0,B41&lt;=C$4),0,S41*(C41-J41)))</f>
        <v>0</v>
      </c>
      <c r="L41" s="49">
        <f t="shared" si="30"/>
        <v>241918.4367906347</v>
      </c>
      <c r="M41" s="49">
        <f t="shared" si="25"/>
        <v>-270098.10189438966</v>
      </c>
      <c r="N41" s="49">
        <f t="shared" si="28"/>
        <v>0</v>
      </c>
      <c r="O41" s="48">
        <f t="shared" si="31"/>
        <v>1734119.3142089935</v>
      </c>
      <c r="P41" s="38">
        <f t="shared" ref="P41:P104" si="35">O41*(1/((1+P$12)^(B41/12)))</f>
        <v>1734119.3142089935</v>
      </c>
      <c r="Q41" s="53"/>
      <c r="R41" s="53">
        <f t="shared" si="8"/>
        <v>0</v>
      </c>
      <c r="S41" s="53">
        <f t="shared" si="9"/>
        <v>0</v>
      </c>
      <c r="T41" s="53">
        <f t="shared" si="10"/>
        <v>0.05</v>
      </c>
      <c r="U41" s="53">
        <f t="shared" si="16"/>
        <v>4.2653187775606449E-3</v>
      </c>
    </row>
    <row r="42" spans="1:23" x14ac:dyDescent="0.2">
      <c r="A42" s="62">
        <f t="shared" si="1"/>
        <v>0.53410471129960047</v>
      </c>
      <c r="B42" s="45">
        <f t="shared" si="2"/>
        <v>28</v>
      </c>
      <c r="C42" s="49">
        <f t="shared" si="32"/>
        <v>55064351.491393827</v>
      </c>
      <c r="D42" s="47" cm="1">
        <f t="array" ref="D42">_xlfn.IFS(AND($C$7="Y",B42&lt;C$4),C42,AND($C$7="Y",B42=C$4),D41+F42-J42-K42-L42+N42,AND($C$7="Y",B42&gt;$C$4),D41-J42-K42-L42+N42, TRUE, D41-J42-K42-L42+N42)</f>
        <v>53410471.129960045</v>
      </c>
      <c r="E42" s="48">
        <f t="shared" si="4"/>
        <v>0</v>
      </c>
      <c r="F42" s="50">
        <f t="shared" si="5"/>
        <v>0</v>
      </c>
      <c r="G42" s="50">
        <f t="shared" si="17"/>
        <v>0</v>
      </c>
      <c r="H42" s="51">
        <f t="shared" si="33"/>
        <v>1967308.1938333721</v>
      </c>
      <c r="I42" s="52">
        <f t="shared" si="12"/>
        <v>548294.84479003388</v>
      </c>
      <c r="J42" s="52">
        <f t="shared" si="34"/>
        <v>1419013.3490433381</v>
      </c>
      <c r="K42" s="51">
        <f t="shared" ref="K42:K105" si="36">IF(AND(C$7="Y",$B42&lt;=$C$4),0,IF(AND(C$7="N",C$4&gt;0,B42&lt;=C$4),0,S42*(C42-J42)))</f>
        <v>0</v>
      </c>
      <c r="L42" s="49">
        <f t="shared" si="30"/>
        <v>234867.01239044158</v>
      </c>
      <c r="M42" s="49">
        <f t="shared" si="25"/>
        <v>-263056.78814491048</v>
      </c>
      <c r="N42" s="49">
        <f t="shared" si="28"/>
        <v>0</v>
      </c>
      <c r="O42" s="48">
        <f t="shared" si="31"/>
        <v>1732441.1814429306</v>
      </c>
      <c r="P42" s="38">
        <f t="shared" si="35"/>
        <v>1732441.1814429306</v>
      </c>
      <c r="Q42" s="53"/>
      <c r="R42" s="53">
        <f t="shared" si="8"/>
        <v>0</v>
      </c>
      <c r="S42" s="53">
        <f t="shared" si="9"/>
        <v>0</v>
      </c>
      <c r="T42" s="53">
        <f t="shared" si="10"/>
        <v>0.05</v>
      </c>
      <c r="U42" s="53">
        <f t="shared" si="16"/>
        <v>4.2653187775606449E-3</v>
      </c>
    </row>
    <row r="43" spans="1:23" x14ac:dyDescent="0.2">
      <c r="A43" s="62">
        <f t="shared" si="1"/>
        <v>0.51755875744334523</v>
      </c>
      <c r="B43" s="45">
        <f t="shared" si="2"/>
        <v>29</v>
      </c>
      <c r="C43" s="49">
        <f t="shared" si="32"/>
        <v>53410471.129960045</v>
      </c>
      <c r="D43" s="47" cm="1">
        <f t="array" ref="D43">_xlfn.IFS(AND($C$7="Y",B43&lt;C$4),C43,AND($C$7="Y",B43=C$4),D42+F43-J43-K43-L43+N43,AND($C$7="Y",B43&gt;$C$4),D42-J43-K43-L43+N43, TRUE, D42-J43-K43-L43+N43)</f>
        <v>51755875.744334519</v>
      </c>
      <c r="E43" s="48">
        <f t="shared" si="4"/>
        <v>0</v>
      </c>
      <c r="F43" s="50">
        <f t="shared" si="5"/>
        <v>0</v>
      </c>
      <c r="G43" s="50">
        <f t="shared" si="17"/>
        <v>0</v>
      </c>
      <c r="H43" s="51">
        <f t="shared" si="33"/>
        <v>1958609.2846418626</v>
      </c>
      <c r="I43" s="52">
        <f t="shared" si="12"/>
        <v>531826.58444531064</v>
      </c>
      <c r="J43" s="52">
        <f t="shared" si="34"/>
        <v>1426782.7001965521</v>
      </c>
      <c r="K43" s="51">
        <f t="shared" si="36"/>
        <v>0</v>
      </c>
      <c r="L43" s="49">
        <f t="shared" si="30"/>
        <v>227812.68542897931</v>
      </c>
      <c r="M43" s="49">
        <f t="shared" si="25"/>
        <v>-256013.1740520162</v>
      </c>
      <c r="N43" s="49">
        <f t="shared" si="28"/>
        <v>0</v>
      </c>
      <c r="O43" s="48">
        <f t="shared" si="31"/>
        <v>1730796.5992128835</v>
      </c>
      <c r="P43" s="38">
        <f t="shared" si="35"/>
        <v>1730796.5992128835</v>
      </c>
      <c r="Q43" s="53"/>
      <c r="R43" s="53">
        <f t="shared" si="8"/>
        <v>0</v>
      </c>
      <c r="S43" s="53">
        <f t="shared" si="9"/>
        <v>0</v>
      </c>
      <c r="T43" s="53">
        <f t="shared" si="10"/>
        <v>0.05</v>
      </c>
      <c r="U43" s="53">
        <f t="shared" si="16"/>
        <v>4.2653187775606449E-3</v>
      </c>
    </row>
    <row r="44" spans="1:23" x14ac:dyDescent="0.2">
      <c r="A44" s="62">
        <f t="shared" si="1"/>
        <v>0.50100531194905618</v>
      </c>
      <c r="B44" s="54">
        <f t="shared" si="2"/>
        <v>30</v>
      </c>
      <c r="C44" s="55">
        <f t="shared" si="32"/>
        <v>51755875.744334519</v>
      </c>
      <c r="D44" s="60" cm="1">
        <f t="array" ref="D44">_xlfn.IFS(AND($C$7="Y",B44&lt;C$4),C44,AND($C$7="Y",B44=C$4),D43+F44-J44-K44-L44+N44,AND($C$7="Y",B44&gt;$C$4),D43-J44-K44-L44+N44, TRUE, D43-J44-K44-L44+N44)</f>
        <v>50100531.194905616</v>
      </c>
      <c r="E44" s="48">
        <f t="shared" si="4"/>
        <v>0</v>
      </c>
      <c r="F44" s="50">
        <f t="shared" si="5"/>
        <v>0</v>
      </c>
      <c r="G44" s="50">
        <f t="shared" si="17"/>
        <v>0</v>
      </c>
      <c r="H44" s="51">
        <f t="shared" si="33"/>
        <v>1949940.4451242224</v>
      </c>
      <c r="I44" s="52">
        <f t="shared" si="12"/>
        <v>515351.20435673109</v>
      </c>
      <c r="J44" s="52">
        <f t="shared" si="34"/>
        <v>1434589.2407674913</v>
      </c>
      <c r="K44" s="51">
        <f t="shared" si="36"/>
        <v>0</v>
      </c>
      <c r="L44" s="49">
        <f>IF(AND(C$7="Y",$B44&lt;=$C$4),0,IF(AND(C$7="N",C$4&gt;0,B44&lt;=C$4),0,U44*D43))</f>
        <v>220755.30866140555</v>
      </c>
      <c r="M44" s="49">
        <f>IFERROR(L40*-1,0)</f>
        <v>-248967.10733682849</v>
      </c>
      <c r="N44" s="49">
        <f t="shared" si="28"/>
        <v>0</v>
      </c>
      <c r="O44" s="48">
        <f t="shared" si="31"/>
        <v>1729185.136462817</v>
      </c>
      <c r="P44" s="38">
        <f t="shared" si="35"/>
        <v>1729185.136462817</v>
      </c>
      <c r="Q44" s="53"/>
      <c r="R44" s="53">
        <f t="shared" si="8"/>
        <v>0</v>
      </c>
      <c r="S44" s="53">
        <f t="shared" si="9"/>
        <v>0</v>
      </c>
      <c r="T44" s="53">
        <f t="shared" si="10"/>
        <v>0.05</v>
      </c>
      <c r="U44" s="53">
        <f t="shared" si="16"/>
        <v>4.2653187775606449E-3</v>
      </c>
    </row>
    <row r="45" spans="1:23" x14ac:dyDescent="0.2">
      <c r="A45" s="62">
        <f t="shared" si="1"/>
        <v>0.48444403768104283</v>
      </c>
      <c r="B45" s="54">
        <f t="shared" si="2"/>
        <v>31</v>
      </c>
      <c r="C45" s="55">
        <f t="shared" si="32"/>
        <v>50100531.194905616</v>
      </c>
      <c r="D45" s="60" cm="1">
        <f t="array" ref="D45">_xlfn.IFS(AND($C$7="Y",B45&lt;C$4),C45,AND($C$7="Y",B45=C$4),D44+F45-J45-K45-L45+N45,AND($C$7="Y",B45&gt;$C$4),D44-J45-K45-L45+N45, TRUE, D44-J45-K45-L45+N45)</f>
        <v>48444403.768104285</v>
      </c>
      <c r="E45" s="48">
        <f t="shared" si="4"/>
        <v>0</v>
      </c>
      <c r="F45" s="50">
        <f t="shared" si="5"/>
        <v>0</v>
      </c>
      <c r="G45" s="50">
        <f t="shared" si="17"/>
        <v>0</v>
      </c>
      <c r="H45" s="51">
        <f t="shared" si="33"/>
        <v>1941301.0549142808</v>
      </c>
      <c r="I45" s="52">
        <f t="shared" si="12"/>
        <v>498868.36458434217</v>
      </c>
      <c r="J45" s="52">
        <f t="shared" si="34"/>
        <v>1442432.6903299387</v>
      </c>
      <c r="K45" s="51">
        <f t="shared" si="36"/>
        <v>0</v>
      </c>
      <c r="L45" s="49">
        <f t="shared" ref="L45:L108" si="37">IF(AND(C$7="Y",$B45&lt;=$C$4),0,IF(AND(C$7="N",C$4&gt;0,B45&lt;=C$4),0,U45*D44))</f>
        <v>213694.73647139379</v>
      </c>
      <c r="M45" s="49">
        <f t="shared" ref="M45:M108" si="38">IFERROR(L41*-1,0)</f>
        <v>-241918.4367906347</v>
      </c>
      <c r="N45" s="49">
        <f t="shared" si="28"/>
        <v>0</v>
      </c>
      <c r="O45" s="48">
        <f t="shared" si="31"/>
        <v>1727606.3184428869</v>
      </c>
      <c r="P45" s="38">
        <f t="shared" si="35"/>
        <v>1727606.3184428869</v>
      </c>
      <c r="Q45" s="53"/>
      <c r="R45" s="53">
        <f t="shared" si="8"/>
        <v>0</v>
      </c>
      <c r="S45" s="53">
        <f t="shared" si="9"/>
        <v>0</v>
      </c>
      <c r="T45" s="53">
        <f t="shared" si="10"/>
        <v>0.05</v>
      </c>
      <c r="U45" s="53">
        <f t="shared" si="16"/>
        <v>4.2653187775606449E-3</v>
      </c>
    </row>
    <row r="46" spans="1:23" x14ac:dyDescent="0.2">
      <c r="A46" s="62">
        <f t="shared" si="1"/>
        <v>0.46787460226852245</v>
      </c>
      <c r="B46" s="45">
        <f t="shared" si="2"/>
        <v>32</v>
      </c>
      <c r="C46" s="49">
        <f t="shared" si="32"/>
        <v>48444403.768104285</v>
      </c>
      <c r="D46" s="47" cm="1">
        <f t="array" ref="D46">_xlfn.IFS(AND($C$7="Y",B46&lt;C$4),C46,AND($C$7="Y",B46=C$4),D45+F46-J46-K46-L46+N46,AND($C$7="Y",B46&gt;$C$4),D45-J46-K46-L46+N46, TRUE, D45-J46-K46-L46+N46)</f>
        <v>46787460.226852246</v>
      </c>
      <c r="E46" s="48">
        <f t="shared" si="4"/>
        <v>0</v>
      </c>
      <c r="F46" s="50">
        <f t="shared" si="5"/>
        <v>0</v>
      </c>
      <c r="G46" s="50">
        <f t="shared" si="17"/>
        <v>0</v>
      </c>
      <c r="H46" s="51">
        <f t="shared" si="33"/>
        <v>1932690.4456226595</v>
      </c>
      <c r="I46" s="52">
        <f t="shared" si="12"/>
        <v>482377.7294304446</v>
      </c>
      <c r="J46" s="52">
        <f t="shared" si="34"/>
        <v>1450312.716192215</v>
      </c>
      <c r="K46" s="51">
        <f t="shared" si="36"/>
        <v>0</v>
      </c>
      <c r="L46" s="49">
        <f t="shared" si="37"/>
        <v>206630.82505982486</v>
      </c>
      <c r="M46" s="49">
        <f t="shared" si="38"/>
        <v>-234867.01239044158</v>
      </c>
      <c r="N46" s="49">
        <f t="shared" si="28"/>
        <v>0</v>
      </c>
      <c r="O46" s="48">
        <f t="shared" si="31"/>
        <v>1726059.6205628347</v>
      </c>
      <c r="P46" s="38">
        <f t="shared" si="35"/>
        <v>1726059.6205628347</v>
      </c>
      <c r="Q46" s="53"/>
      <c r="R46" s="53">
        <f t="shared" si="8"/>
        <v>0</v>
      </c>
      <c r="S46" s="53">
        <f t="shared" si="9"/>
        <v>0</v>
      </c>
      <c r="T46" s="53">
        <f t="shared" si="10"/>
        <v>0.05</v>
      </c>
      <c r="U46" s="53">
        <f t="shared" si="16"/>
        <v>4.2653187775606449E-3</v>
      </c>
    </row>
    <row r="47" spans="1:23" x14ac:dyDescent="0.2">
      <c r="A47" s="62">
        <f t="shared" si="1"/>
        <v>0.45129667868325024</v>
      </c>
      <c r="B47" s="45">
        <f t="shared" si="2"/>
        <v>33</v>
      </c>
      <c r="C47" s="49">
        <f t="shared" si="32"/>
        <v>46787460.226852246</v>
      </c>
      <c r="D47" s="47" cm="1">
        <f t="array" ref="D47">_xlfn.IFS(AND($C$7="Y",B47&lt;C$4),C47,AND($C$7="Y",B47=C$4),D46+F47-J47-K47-L47+N47,AND($C$7="Y",B47&gt;$C$4),D46-J47-K47-L47+N47, TRUE, D46-J47-K47-L47+N47)</f>
        <v>45129667.868325025</v>
      </c>
      <c r="E47" s="48">
        <f t="shared" si="4"/>
        <v>0</v>
      </c>
      <c r="F47" s="50">
        <f t="shared" si="5"/>
        <v>0</v>
      </c>
      <c r="G47" s="50">
        <f t="shared" si="17"/>
        <v>0</v>
      </c>
      <c r="H47" s="51">
        <f t="shared" si="33"/>
        <v>1924107.8938091826</v>
      </c>
      <c r="I47" s="52">
        <f t="shared" si="12"/>
        <v>465878.96794192283</v>
      </c>
      <c r="J47" s="52">
        <f t="shared" si="34"/>
        <v>1458228.9258672597</v>
      </c>
      <c r="K47" s="51">
        <f t="shared" si="36"/>
        <v>0</v>
      </c>
      <c r="L47" s="49">
        <f t="shared" si="37"/>
        <v>199563.43265996472</v>
      </c>
      <c r="M47" s="49">
        <f t="shared" si="38"/>
        <v>-227812.68542897931</v>
      </c>
      <c r="N47" s="49">
        <f t="shared" si="28"/>
        <v>0</v>
      </c>
      <c r="O47" s="48">
        <f t="shared" si="31"/>
        <v>1724544.4611492178</v>
      </c>
      <c r="P47" s="38">
        <f t="shared" si="35"/>
        <v>1724544.4611492178</v>
      </c>
      <c r="Q47" s="53"/>
      <c r="R47" s="53">
        <f t="shared" si="8"/>
        <v>0</v>
      </c>
      <c r="S47" s="53">
        <f t="shared" si="9"/>
        <v>0</v>
      </c>
      <c r="T47" s="53">
        <f t="shared" si="10"/>
        <v>0.05</v>
      </c>
      <c r="U47" s="53">
        <f t="shared" si="16"/>
        <v>4.2653187775606449E-3</v>
      </c>
    </row>
    <row r="48" spans="1:23" x14ac:dyDescent="0.2">
      <c r="A48" s="62">
        <f t="shared" si="1"/>
        <v>0.43470994590379575</v>
      </c>
      <c r="B48" s="45">
        <f t="shared" si="2"/>
        <v>34</v>
      </c>
      <c r="C48" s="49">
        <f t="shared" si="32"/>
        <v>45129667.868325025</v>
      </c>
      <c r="D48" s="47" cm="1">
        <f t="array" ref="D48">_xlfn.IFS(AND($C$7="Y",B48&lt;C$4),C48,AND($C$7="Y",B48=C$4),D47+F48-J48-K48-L48+N48,AND($C$7="Y",B48&gt;$C$4),D47-J48-K48-L48+N48, TRUE, D47-J48-K48-L48+N48)</f>
        <v>43470994.590379573</v>
      </c>
      <c r="E48" s="48">
        <f t="shared" si="4"/>
        <v>0</v>
      </c>
      <c r="F48" s="50">
        <f t="shared" si="5"/>
        <v>0</v>
      </c>
      <c r="G48" s="50">
        <f t="shared" si="17"/>
        <v>0</v>
      </c>
      <c r="H48" s="51">
        <f t="shared" si="33"/>
        <v>1915552.6126470149</v>
      </c>
      <c r="I48" s="52">
        <f t="shared" si="12"/>
        <v>449371.7544854118</v>
      </c>
      <c r="J48" s="52">
        <f t="shared" si="34"/>
        <v>1466180.8581616031</v>
      </c>
      <c r="K48" s="51">
        <f t="shared" si="36"/>
        <v>0</v>
      </c>
      <c r="L48" s="49">
        <f t="shared" si="37"/>
        <v>192492.41978384202</v>
      </c>
      <c r="M48" s="49">
        <f t="shared" si="38"/>
        <v>-220755.30866140555</v>
      </c>
      <c r="N48" s="49">
        <f t="shared" si="28"/>
        <v>0</v>
      </c>
      <c r="O48" s="48">
        <f t="shared" si="31"/>
        <v>1723060.1928631729</v>
      </c>
      <c r="P48" s="38">
        <f t="shared" si="35"/>
        <v>1723060.1928631729</v>
      </c>
      <c r="Q48" s="53"/>
      <c r="R48" s="53">
        <f t="shared" si="8"/>
        <v>0</v>
      </c>
      <c r="S48" s="53">
        <f t="shared" si="9"/>
        <v>0</v>
      </c>
      <c r="T48" s="53">
        <f t="shared" si="10"/>
        <v>0.05</v>
      </c>
      <c r="U48" s="53">
        <f t="shared" si="16"/>
        <v>4.2653187775606449E-3</v>
      </c>
    </row>
    <row r="49" spans="1:21" x14ac:dyDescent="0.2">
      <c r="A49" s="62">
        <f t="shared" si="1"/>
        <v>0.41811408968307262</v>
      </c>
      <c r="B49" s="45">
        <f t="shared" si="2"/>
        <v>35</v>
      </c>
      <c r="C49" s="49">
        <f t="shared" si="32"/>
        <v>43470994.590379573</v>
      </c>
      <c r="D49" s="47" cm="1">
        <f t="array" ref="D49">_xlfn.IFS(AND($C$7="Y",B49&lt;C$4),C49,AND($C$7="Y",B49=C$4),D48+F49-J49-K49-L49+N49,AND($C$7="Y",B49&gt;$C$4),D48-J49-K49-L49+N49, TRUE, D48-J49-K49-L49+N49)</f>
        <v>41811408.968307264</v>
      </c>
      <c r="E49" s="48">
        <f t="shared" si="4"/>
        <v>0</v>
      </c>
      <c r="F49" s="50">
        <f t="shared" si="5"/>
        <v>0</v>
      </c>
      <c r="G49" s="50">
        <f t="shared" si="17"/>
        <v>0</v>
      </c>
      <c r="H49" s="51">
        <f t="shared" si="33"/>
        <v>1907023.7419754667</v>
      </c>
      <c r="I49" s="52">
        <f t="shared" si="12"/>
        <v>432855.76940873987</v>
      </c>
      <c r="J49" s="52">
        <f t="shared" si="34"/>
        <v>1474167.9725667269</v>
      </c>
      <c r="K49" s="51">
        <f t="shared" si="36"/>
        <v>0</v>
      </c>
      <c r="L49" s="49">
        <f t="shared" si="37"/>
        <v>185417.64950558322</v>
      </c>
      <c r="M49" s="49">
        <f t="shared" si="38"/>
        <v>-213694.73647139379</v>
      </c>
      <c r="N49" s="49">
        <f t="shared" si="28"/>
        <v>0</v>
      </c>
      <c r="O49" s="48">
        <f t="shared" si="31"/>
        <v>1721606.0924698836</v>
      </c>
      <c r="P49" s="38">
        <f t="shared" si="35"/>
        <v>1721606.0924698836</v>
      </c>
      <c r="Q49" s="53"/>
      <c r="R49" s="53">
        <f t="shared" si="8"/>
        <v>0</v>
      </c>
      <c r="S49" s="53">
        <f t="shared" si="9"/>
        <v>0</v>
      </c>
      <c r="T49" s="53">
        <f t="shared" si="10"/>
        <v>0.05</v>
      </c>
      <c r="U49" s="53">
        <f t="shared" si="16"/>
        <v>4.2653187775606449E-3</v>
      </c>
    </row>
    <row r="50" spans="1:21" x14ac:dyDescent="0.2">
      <c r="A50" s="62">
        <f t="shared" si="1"/>
        <v>0.40150880343970274</v>
      </c>
      <c r="B50" s="45">
        <f t="shared" si="2"/>
        <v>36</v>
      </c>
      <c r="C50" s="49">
        <f t="shared" si="32"/>
        <v>41811408.968307264</v>
      </c>
      <c r="D50" s="47" cm="1">
        <f t="array" ref="D50">_xlfn.IFS(AND($C$7="Y",B50&lt;C$4),C50,AND($C$7="Y",B50=C$4),D49+F50-J50-K50-L50+N50,AND($C$7="Y",B50&gt;$C$4),D49-J50-K50-L50+N50, TRUE, D49-J50-K50-L50+N50)</f>
        <v>40150880.343970276</v>
      </c>
      <c r="E50" s="48">
        <f t="shared" si="4"/>
        <v>0</v>
      </c>
      <c r="F50" s="50">
        <f t="shared" si="5"/>
        <v>0</v>
      </c>
      <c r="G50" s="50">
        <f t="shared" si="17"/>
        <v>0</v>
      </c>
      <c r="H50" s="51">
        <f t="shared" si="33"/>
        <v>1898520.3363533854</v>
      </c>
      <c r="I50" s="52">
        <f t="shared" si="12"/>
        <v>416330.69980518473</v>
      </c>
      <c r="J50" s="52">
        <f t="shared" si="34"/>
        <v>1482189.6365482006</v>
      </c>
      <c r="K50" s="51">
        <f t="shared" si="36"/>
        <v>0</v>
      </c>
      <c r="L50" s="49">
        <f t="shared" si="37"/>
        <v>178338.98778878854</v>
      </c>
      <c r="M50" s="49">
        <f t="shared" si="38"/>
        <v>-206630.82505982486</v>
      </c>
      <c r="N50" s="49">
        <f t="shared" si="28"/>
        <v>0</v>
      </c>
      <c r="O50" s="48">
        <f t="shared" si="31"/>
        <v>1720181.3485645968</v>
      </c>
      <c r="P50" s="38">
        <f t="shared" si="35"/>
        <v>1720181.3485645968</v>
      </c>
      <c r="Q50" s="53"/>
      <c r="R50" s="53">
        <f t="shared" si="8"/>
        <v>0</v>
      </c>
      <c r="S50" s="53">
        <f t="shared" si="9"/>
        <v>0</v>
      </c>
      <c r="T50" s="53">
        <f t="shared" si="10"/>
        <v>0.05</v>
      </c>
      <c r="U50" s="53">
        <f t="shared" si="16"/>
        <v>4.2653187775606449E-3</v>
      </c>
    </row>
    <row r="51" spans="1:21" x14ac:dyDescent="0.2">
      <c r="A51" s="62">
        <f t="shared" si="1"/>
        <v>0.38489378929893076</v>
      </c>
      <c r="B51" s="45">
        <f t="shared" si="2"/>
        <v>37</v>
      </c>
      <c r="C51" s="49">
        <f t="shared" si="32"/>
        <v>40150880.343970276</v>
      </c>
      <c r="D51" s="47" cm="1">
        <f t="array" ref="D51">_xlfn.IFS(AND($C$7="Y",B51&lt;C$4),C51,AND($C$7="Y",B51=C$4),D50+F51-J51-K51-L51+N51,AND($C$7="Y",B51&gt;$C$4),D50-J51-K51-L51+N51, TRUE, D50-J51-K51-L51+N51)</f>
        <v>38489378.929893076</v>
      </c>
      <c r="E51" s="48">
        <f t="shared" si="4"/>
        <v>0</v>
      </c>
      <c r="F51" s="50">
        <f t="shared" si="5"/>
        <v>0</v>
      </c>
      <c r="G51" s="50">
        <f t="shared" si="17"/>
        <v>0</v>
      </c>
      <c r="H51" s="51">
        <f t="shared" si="33"/>
        <v>1890041.3506115053</v>
      </c>
      <c r="I51" s="52">
        <f t="shared" si="12"/>
        <v>399796.24040103547</v>
      </c>
      <c r="J51" s="52">
        <f t="shared" si="34"/>
        <v>1490245.1102104699</v>
      </c>
      <c r="K51" s="51">
        <f t="shared" si="36"/>
        <v>0</v>
      </c>
      <c r="L51" s="49">
        <f t="shared" si="37"/>
        <v>171256.30386672702</v>
      </c>
      <c r="M51" s="49">
        <f t="shared" si="38"/>
        <v>-199563.43265996472</v>
      </c>
      <c r="N51" s="49">
        <f t="shared" si="28"/>
        <v>0</v>
      </c>
      <c r="O51" s="48">
        <f t="shared" si="31"/>
        <v>1718785.0467447783</v>
      </c>
      <c r="P51" s="38">
        <f t="shared" si="35"/>
        <v>1718785.0467447783</v>
      </c>
      <c r="Q51" s="53"/>
      <c r="R51" s="53">
        <f t="shared" si="8"/>
        <v>0</v>
      </c>
      <c r="S51" s="53">
        <f t="shared" si="9"/>
        <v>0</v>
      </c>
      <c r="T51" s="53">
        <f t="shared" si="10"/>
        <v>0.05</v>
      </c>
      <c r="U51" s="53">
        <f t="shared" si="16"/>
        <v>4.2653187775606449E-3</v>
      </c>
    </row>
    <row r="52" spans="1:21" x14ac:dyDescent="0.2">
      <c r="A52" s="62">
        <f t="shared" si="1"/>
        <v>0.36826875931549652</v>
      </c>
      <c r="B52" s="45">
        <f t="shared" si="2"/>
        <v>38</v>
      </c>
      <c r="C52" s="49">
        <f t="shared" si="32"/>
        <v>38489378.929893076</v>
      </c>
      <c r="D52" s="47" cm="1">
        <f t="array" ref="D52">_xlfn.IFS(AND($C$7="Y",B52&lt;C$4),C52,AND($C$7="Y",B52=C$4),D51+F52-J52-K52-L52+N52,AND($C$7="Y",B52&gt;$C$4),D51-J52-K52-L52+N52, TRUE, D51-J52-K52-L52+N52)</f>
        <v>36826875.931549653</v>
      </c>
      <c r="E52" s="48">
        <f t="shared" si="4"/>
        <v>0</v>
      </c>
      <c r="F52" s="50">
        <f t="shared" si="5"/>
        <v>0</v>
      </c>
      <c r="G52" s="50">
        <f t="shared" si="17"/>
        <v>0</v>
      </c>
      <c r="H52" s="51">
        <f t="shared" si="33"/>
        <v>1881585.6222491772</v>
      </c>
      <c r="I52" s="52">
        <f t="shared" si="12"/>
        <v>383252.09459206759</v>
      </c>
      <c r="J52" s="52">
        <f t="shared" si="34"/>
        <v>1498333.5276571095</v>
      </c>
      <c r="K52" s="51">
        <f t="shared" si="36"/>
        <v>0</v>
      </c>
      <c r="L52" s="49">
        <f t="shared" si="37"/>
        <v>164169.47068631998</v>
      </c>
      <c r="M52" s="49">
        <f t="shared" si="38"/>
        <v>-192492.41978384202</v>
      </c>
      <c r="N52" s="49">
        <f t="shared" si="28"/>
        <v>0</v>
      </c>
      <c r="O52" s="48">
        <f t="shared" si="31"/>
        <v>1717416.1515628572</v>
      </c>
      <c r="P52" s="38">
        <f t="shared" si="35"/>
        <v>1717416.1515628572</v>
      </c>
      <c r="Q52" s="53"/>
      <c r="R52" s="53">
        <f t="shared" si="8"/>
        <v>0</v>
      </c>
      <c r="S52" s="53">
        <f t="shared" si="9"/>
        <v>0</v>
      </c>
      <c r="T52" s="53">
        <f t="shared" si="10"/>
        <v>0.05</v>
      </c>
      <c r="U52" s="53">
        <f t="shared" si="16"/>
        <v>4.2653187775606449E-3</v>
      </c>
    </row>
    <row r="53" spans="1:21" x14ac:dyDescent="0.2">
      <c r="A53" s="62">
        <f t="shared" si="1"/>
        <v>0.35163343691969029</v>
      </c>
      <c r="B53" s="45">
        <f t="shared" si="2"/>
        <v>39</v>
      </c>
      <c r="C53" s="49">
        <f t="shared" si="32"/>
        <v>36826875.931549653</v>
      </c>
      <c r="D53" s="47" cm="1">
        <f t="array" ref="D53">_xlfn.IFS(AND($C$7="Y",B53&lt;C$4),C53,AND($C$7="Y",B53=C$4),D52+F53-J53-K53-L53+N53,AND($C$7="Y",B53&gt;$C$4),D52-J53-K53-L53+N53, TRUE, D52-J53-K53-L53+N53)</f>
        <v>35163343.69196903</v>
      </c>
      <c r="E53" s="48">
        <f t="shared" si="4"/>
        <v>0</v>
      </c>
      <c r="F53" s="50">
        <f t="shared" si="5"/>
        <v>0</v>
      </c>
      <c r="G53" s="50">
        <f t="shared" si="17"/>
        <v>0</v>
      </c>
      <c r="H53" s="51">
        <f t="shared" si="33"/>
        <v>1873151.8498120841</v>
      </c>
      <c r="I53" s="52">
        <f t="shared" si="12"/>
        <v>366697.97566119913</v>
      </c>
      <c r="J53" s="52">
        <f t="shared" si="34"/>
        <v>1506453.874150885</v>
      </c>
      <c r="K53" s="51">
        <f t="shared" si="36"/>
        <v>0</v>
      </c>
      <c r="L53" s="49">
        <f t="shared" si="37"/>
        <v>157078.3654297349</v>
      </c>
      <c r="M53" s="49">
        <f t="shared" si="38"/>
        <v>-185417.64950558322</v>
      </c>
      <c r="N53" s="49">
        <f t="shared" si="28"/>
        <v>0</v>
      </c>
      <c r="O53" s="48">
        <f t="shared" si="31"/>
        <v>1716073.4843823493</v>
      </c>
      <c r="P53" s="38">
        <f t="shared" si="35"/>
        <v>1716073.4843823493</v>
      </c>
      <c r="Q53" s="53"/>
      <c r="R53" s="53">
        <f t="shared" si="8"/>
        <v>0</v>
      </c>
      <c r="S53" s="53">
        <f t="shared" si="9"/>
        <v>0</v>
      </c>
      <c r="T53" s="53">
        <f t="shared" si="10"/>
        <v>0.05</v>
      </c>
      <c r="U53" s="53">
        <f t="shared" si="16"/>
        <v>4.2653187775606449E-3</v>
      </c>
    </row>
    <row r="54" spans="1:21" x14ac:dyDescent="0.2">
      <c r="A54" s="62">
        <f t="shared" si="1"/>
        <v>0.3349875586395708</v>
      </c>
      <c r="B54" s="45">
        <f t="shared" si="2"/>
        <v>40</v>
      </c>
      <c r="C54" s="49">
        <f t="shared" si="32"/>
        <v>35163343.69196903</v>
      </c>
      <c r="D54" s="47" cm="1">
        <f t="array" ref="D54">_xlfn.IFS(AND($C$7="Y",B54&lt;C$4),C54,AND($C$7="Y",B54=C$4),D53+F54-J54-K54-L54+N54,AND($C$7="Y",B54&gt;$C$4),D53-J54-K54-L54+N54, TRUE, D53-J54-K54-L54+N54)</f>
        <v>33498755.863957081</v>
      </c>
      <c r="E54" s="48">
        <f t="shared" si="4"/>
        <v>0</v>
      </c>
      <c r="F54" s="50">
        <f t="shared" si="5"/>
        <v>0</v>
      </c>
      <c r="G54" s="50">
        <f t="shared" si="17"/>
        <v>0</v>
      </c>
      <c r="H54" s="51">
        <f t="shared" si="33"/>
        <v>1864738.5660991548</v>
      </c>
      <c r="I54" s="52">
        <f t="shared" si="12"/>
        <v>350133.60821837856</v>
      </c>
      <c r="J54" s="52">
        <f t="shared" si="34"/>
        <v>1514604.9578807761</v>
      </c>
      <c r="K54" s="51">
        <f t="shared" si="36"/>
        <v>0</v>
      </c>
      <c r="L54" s="49">
        <f t="shared" si="37"/>
        <v>149982.87013117416</v>
      </c>
      <c r="M54" s="49">
        <f t="shared" si="38"/>
        <v>-178338.98778878854</v>
      </c>
      <c r="N54" s="49">
        <f t="shared" si="28"/>
        <v>0</v>
      </c>
      <c r="O54" s="48">
        <f t="shared" si="31"/>
        <v>1714755.6959679807</v>
      </c>
      <c r="P54" s="38">
        <f t="shared" si="35"/>
        <v>1714755.6959679807</v>
      </c>
      <c r="Q54" s="53"/>
      <c r="R54" s="53">
        <f t="shared" si="8"/>
        <v>0</v>
      </c>
      <c r="S54" s="53">
        <f t="shared" si="9"/>
        <v>0</v>
      </c>
      <c r="T54" s="53">
        <f t="shared" si="10"/>
        <v>0.05</v>
      </c>
      <c r="U54" s="53">
        <f t="shared" si="16"/>
        <v>4.2653187775606449E-3</v>
      </c>
    </row>
    <row r="55" spans="1:21" x14ac:dyDescent="0.2">
      <c r="A55" s="62">
        <f t="shared" si="1"/>
        <v>0.31833087616818201</v>
      </c>
      <c r="B55" s="45">
        <f t="shared" si="2"/>
        <v>41</v>
      </c>
      <c r="C55" s="49">
        <f t="shared" si="32"/>
        <v>33498755.863957081</v>
      </c>
      <c r="D55" s="47" cm="1">
        <f t="array" ref="D55">_xlfn.IFS(AND($C$7="Y",B55&lt;C$4),C55,AND($C$7="Y",B55=C$4),D54+F55-J55-K55-L55+N55,AND($C$7="Y",B55&gt;$C$4),D54-J55-K55-L55+N55, TRUE, D54-J55-K55-L55+N55)</f>
        <v>31833087.616818201</v>
      </c>
      <c r="E55" s="48">
        <f t="shared" si="4"/>
        <v>0</v>
      </c>
      <c r="F55" s="50">
        <f t="shared" si="5"/>
        <v>0</v>
      </c>
      <c r="G55" s="50">
        <f t="shared" si="17"/>
        <v>0</v>
      </c>
      <c r="H55" s="51">
        <f t="shared" si="33"/>
        <v>1856344.1046428815</v>
      </c>
      <c r="I55" s="52">
        <f t="shared" si="12"/>
        <v>333558.72991545621</v>
      </c>
      <c r="J55" s="52">
        <f t="shared" si="34"/>
        <v>1522785.3747274254</v>
      </c>
      <c r="K55" s="51">
        <f t="shared" si="36"/>
        <v>0</v>
      </c>
      <c r="L55" s="49">
        <f t="shared" si="37"/>
        <v>142882.8724114559</v>
      </c>
      <c r="M55" s="49">
        <f t="shared" si="38"/>
        <v>-171256.30386672702</v>
      </c>
      <c r="N55" s="49">
        <f t="shared" si="28"/>
        <v>0</v>
      </c>
      <c r="O55" s="48">
        <f t="shared" si="31"/>
        <v>1713461.2322314256</v>
      </c>
      <c r="P55" s="38">
        <f t="shared" si="35"/>
        <v>1713461.2322314256</v>
      </c>
      <c r="Q55" s="53"/>
      <c r="R55" s="53">
        <f t="shared" si="8"/>
        <v>0</v>
      </c>
      <c r="S55" s="53">
        <f t="shared" si="9"/>
        <v>0</v>
      </c>
      <c r="T55" s="53">
        <f t="shared" si="10"/>
        <v>0.05</v>
      </c>
      <c r="U55" s="53">
        <f t="shared" si="16"/>
        <v>4.2653187775606449E-3</v>
      </c>
    </row>
    <row r="56" spans="1:21" x14ac:dyDescent="0.2">
      <c r="A56" s="62">
        <f t="shared" si="1"/>
        <v>0.30166315886630068</v>
      </c>
      <c r="B56" s="45">
        <f t="shared" si="2"/>
        <v>42</v>
      </c>
      <c r="C56" s="49">
        <f t="shared" si="32"/>
        <v>31833087.616818201</v>
      </c>
      <c r="D56" s="47" cm="1">
        <f t="array" ref="D56">_xlfn.IFS(AND($C$7="Y",B56&lt;C$4),C56,AND($C$7="Y",B56=C$4),D55+F56-J56-K56-L56+N56,AND($C$7="Y",B56&gt;$C$4),D55-J56-K56-L56+N56, TRUE, D55-J56-K56-L56+N56)</f>
        <v>30166315.886630066</v>
      </c>
      <c r="E56" s="48">
        <f t="shared" si="4"/>
        <v>0</v>
      </c>
      <c r="F56" s="50">
        <f t="shared" si="5"/>
        <v>0</v>
      </c>
      <c r="G56" s="50">
        <f t="shared" si="17"/>
        <v>0</v>
      </c>
      <c r="H56" s="51">
        <f t="shared" si="33"/>
        <v>1847966.5573329732</v>
      </c>
      <c r="I56" s="52">
        <f t="shared" si="12"/>
        <v>316973.09350458457</v>
      </c>
      <c r="J56" s="52">
        <f t="shared" si="34"/>
        <v>1530993.4638283886</v>
      </c>
      <c r="K56" s="51">
        <f t="shared" si="36"/>
        <v>0</v>
      </c>
      <c r="L56" s="49">
        <f t="shared" si="37"/>
        <v>135778.26635974791</v>
      </c>
      <c r="M56" s="49">
        <f t="shared" si="38"/>
        <v>-164169.47068631998</v>
      </c>
      <c r="N56" s="49">
        <f t="shared" si="28"/>
        <v>0</v>
      </c>
      <c r="O56" s="48">
        <f t="shared" si="31"/>
        <v>1712188.2909732254</v>
      </c>
      <c r="P56" s="38">
        <f t="shared" si="35"/>
        <v>1712188.2909732254</v>
      </c>
      <c r="Q56" s="53"/>
      <c r="R56" s="53">
        <f t="shared" si="8"/>
        <v>0</v>
      </c>
      <c r="S56" s="53">
        <f t="shared" si="9"/>
        <v>0</v>
      </c>
      <c r="T56" s="53">
        <f t="shared" si="10"/>
        <v>0.05</v>
      </c>
      <c r="U56" s="53">
        <f t="shared" si="16"/>
        <v>4.2653187775606449E-3</v>
      </c>
    </row>
    <row r="57" spans="1:21" x14ac:dyDescent="0.2">
      <c r="A57" s="62">
        <f t="shared" si="1"/>
        <v>0.28498419682136028</v>
      </c>
      <c r="B57" s="45">
        <f t="shared" si="2"/>
        <v>43</v>
      </c>
      <c r="C57" s="49">
        <f t="shared" si="32"/>
        <v>30166315.886630066</v>
      </c>
      <c r="D57" s="47" cm="1">
        <f t="array" ref="D57">_xlfn.IFS(AND($C$7="Y",B57&lt;C$4),C57,AND($C$7="Y",B57=C$4),D56+F57-J57-K57-L57+N57,AND($C$7="Y",B57&gt;$C$4),D56-J57-K57-L57+N57, TRUE, D56-J57-K57-L57+N57)</f>
        <v>28498419.682136025</v>
      </c>
      <c r="E57" s="48">
        <f t="shared" si="4"/>
        <v>0</v>
      </c>
      <c r="F57" s="50">
        <f t="shared" si="5"/>
        <v>0</v>
      </c>
      <c r="G57" s="50">
        <f t="shared" si="17"/>
        <v>0</v>
      </c>
      <c r="H57" s="51">
        <f t="shared" si="33"/>
        <v>1839603.7202232596</v>
      </c>
      <c r="I57" s="52">
        <f t="shared" si="12"/>
        <v>300376.46933028992</v>
      </c>
      <c r="J57" s="52">
        <f t="shared" si="34"/>
        <v>1539227.2508929698</v>
      </c>
      <c r="K57" s="51">
        <f t="shared" si="36"/>
        <v>0</v>
      </c>
      <c r="L57" s="49">
        <f t="shared" si="37"/>
        <v>128668.95360106921</v>
      </c>
      <c r="M57" s="49">
        <f t="shared" si="38"/>
        <v>-157078.3654297349</v>
      </c>
      <c r="N57" s="49">
        <f t="shared" si="28"/>
        <v>0</v>
      </c>
      <c r="O57" s="48">
        <f t="shared" si="31"/>
        <v>1710934.7666221904</v>
      </c>
      <c r="P57" s="38">
        <f t="shared" si="35"/>
        <v>1710934.7666221904</v>
      </c>
      <c r="Q57" s="53"/>
      <c r="R57" s="53">
        <f t="shared" si="8"/>
        <v>0</v>
      </c>
      <c r="S57" s="53">
        <f t="shared" si="9"/>
        <v>0</v>
      </c>
      <c r="T57" s="53">
        <f t="shared" si="10"/>
        <v>0.05</v>
      </c>
      <c r="U57" s="53">
        <f t="shared" si="16"/>
        <v>4.2653187775606449E-3</v>
      </c>
    </row>
    <row r="58" spans="1:21" x14ac:dyDescent="0.2">
      <c r="A58" s="62">
        <f t="shared" si="1"/>
        <v>0.26829380462569563</v>
      </c>
      <c r="B58" s="45">
        <f t="shared" si="2"/>
        <v>44</v>
      </c>
      <c r="C58" s="49">
        <f t="shared" si="32"/>
        <v>28498419.682136025</v>
      </c>
      <c r="D58" s="47" cm="1">
        <f t="array" ref="D58">_xlfn.IFS(AND($C$7="Y",B58&lt;C$4),C58,AND($C$7="Y",B58=C$4),D57+F58-J58-K58-L58+N58,AND($C$7="Y",B58&gt;$C$4),D57-J58-K58-L58+N58, TRUE, D57-J58-K58-L58+N58)</f>
        <v>26829380.462569565</v>
      </c>
      <c r="E58" s="48">
        <f t="shared" si="4"/>
        <v>0</v>
      </c>
      <c r="F58" s="50">
        <f t="shared" si="5"/>
        <v>0</v>
      </c>
      <c r="G58" s="50">
        <f t="shared" si="17"/>
        <v>0</v>
      </c>
      <c r="H58" s="51">
        <f t="shared" si="33"/>
        <v>1831253.0233407889</v>
      </c>
      <c r="I58" s="52">
        <f t="shared" si="12"/>
        <v>283768.64837535005</v>
      </c>
      <c r="J58" s="52">
        <f t="shared" si="34"/>
        <v>1547484.3749654389</v>
      </c>
      <c r="K58" s="51">
        <f t="shared" si="36"/>
        <v>0</v>
      </c>
      <c r="L58" s="49">
        <f t="shared" si="37"/>
        <v>121554.84460101866</v>
      </c>
      <c r="M58" s="49">
        <f t="shared" si="38"/>
        <v>-149982.87013117416</v>
      </c>
      <c r="N58" s="49">
        <f t="shared" si="28"/>
        <v>0</v>
      </c>
      <c r="O58" s="48">
        <f t="shared" si="31"/>
        <v>1709698.1787397703</v>
      </c>
      <c r="P58" s="38">
        <f t="shared" si="35"/>
        <v>1709698.1787397703</v>
      </c>
      <c r="Q58" s="53"/>
      <c r="R58" s="53">
        <f t="shared" si="8"/>
        <v>0</v>
      </c>
      <c r="S58" s="53">
        <f t="shared" si="9"/>
        <v>0</v>
      </c>
      <c r="T58" s="53">
        <f t="shared" si="10"/>
        <v>0.05</v>
      </c>
      <c r="U58" s="53">
        <f t="shared" si="16"/>
        <v>4.2653187775606449E-3</v>
      </c>
    </row>
    <row r="59" spans="1:21" x14ac:dyDescent="0.2">
      <c r="A59" s="62">
        <f t="shared" si="1"/>
        <v>0.25159182609831504</v>
      </c>
      <c r="B59" s="45">
        <f t="shared" si="2"/>
        <v>45</v>
      </c>
      <c r="C59" s="49">
        <f t="shared" si="32"/>
        <v>26829380.462569565</v>
      </c>
      <c r="D59" s="47" cm="1">
        <f t="array" ref="D59">_xlfn.IFS(AND($C$7="Y",B59&lt;C$4),C59,AND($C$7="Y",B59=C$4),D58+F59-J59-K59-L59+N59,AND($C$7="Y",B59&gt;$C$4),D58-J59-K59-L59+N59, TRUE, D58-J59-K59-L59+N59)</f>
        <v>25159182.609831505</v>
      </c>
      <c r="E59" s="48">
        <f t="shared" si="4"/>
        <v>0</v>
      </c>
      <c r="F59" s="50">
        <f t="shared" si="5"/>
        <v>0</v>
      </c>
      <c r="G59" s="50">
        <f t="shared" si="17"/>
        <v>0</v>
      </c>
      <c r="H59" s="51">
        <f t="shared" si="33"/>
        <v>1822911.4384836652</v>
      </c>
      <c r="I59" s="52">
        <f t="shared" si="12"/>
        <v>267149.44602292246</v>
      </c>
      <c r="J59" s="52">
        <f t="shared" si="34"/>
        <v>1555761.9924607428</v>
      </c>
      <c r="K59" s="51">
        <f t="shared" si="36"/>
        <v>0</v>
      </c>
      <c r="L59" s="49">
        <f t="shared" si="37"/>
        <v>114435.86027731666</v>
      </c>
      <c r="M59" s="49">
        <f t="shared" si="38"/>
        <v>-142882.8724114559</v>
      </c>
      <c r="N59" s="49">
        <f t="shared" si="28"/>
        <v>0</v>
      </c>
      <c r="O59" s="48">
        <f t="shared" si="31"/>
        <v>1708475.5782063485</v>
      </c>
      <c r="P59" s="38">
        <f t="shared" si="35"/>
        <v>1708475.5782063485</v>
      </c>
      <c r="Q59" s="53"/>
      <c r="R59" s="53">
        <f t="shared" si="8"/>
        <v>0</v>
      </c>
      <c r="S59" s="53">
        <f t="shared" si="9"/>
        <v>0</v>
      </c>
      <c r="T59" s="53">
        <f t="shared" si="10"/>
        <v>0.05</v>
      </c>
      <c r="U59" s="53">
        <f t="shared" si="16"/>
        <v>4.2653187775606449E-3</v>
      </c>
    </row>
    <row r="60" spans="1:21" x14ac:dyDescent="0.2">
      <c r="A60" s="62">
        <f t="shared" si="1"/>
        <v>0.23487814026392456</v>
      </c>
      <c r="B60" s="45">
        <f t="shared" si="2"/>
        <v>46</v>
      </c>
      <c r="C60" s="49">
        <f t="shared" si="32"/>
        <v>25159182.609831505</v>
      </c>
      <c r="D60" s="47" cm="1">
        <f t="array" ref="D60">_xlfn.IFS(AND($C$7="Y",B60&lt;C$4),C60,AND($C$7="Y",B60=C$4),D59+F60-J60-K60-L60+N60,AND($C$7="Y",B60&gt;$C$4),D59-J60-K60-L60+N60, TRUE, D59-J60-K60-L60+N60)</f>
        <v>23487814.026392456</v>
      </c>
      <c r="E60" s="48">
        <f t="shared" si="4"/>
        <v>0</v>
      </c>
      <c r="F60" s="50">
        <f t="shared" si="5"/>
        <v>0</v>
      </c>
      <c r="G60" s="50">
        <f t="shared" si="17"/>
        <v>0</v>
      </c>
      <c r="H60" s="51">
        <f t="shared" si="33"/>
        <v>1814575.3561834358</v>
      </c>
      <c r="I60" s="52">
        <f t="shared" si="12"/>
        <v>250518.70675817714</v>
      </c>
      <c r="J60" s="52">
        <f t="shared" si="34"/>
        <v>1564056.6494252586</v>
      </c>
      <c r="K60" s="51">
        <f t="shared" si="36"/>
        <v>0</v>
      </c>
      <c r="L60" s="49">
        <f t="shared" si="37"/>
        <v>107311.93401379154</v>
      </c>
      <c r="M60" s="49">
        <f t="shared" si="38"/>
        <v>-135778.26635974791</v>
      </c>
      <c r="N60" s="49">
        <f t="shared" si="28"/>
        <v>0</v>
      </c>
      <c r="O60" s="48">
        <f t="shared" si="31"/>
        <v>1707263.4221696442</v>
      </c>
      <c r="P60" s="38">
        <f t="shared" si="35"/>
        <v>1707263.4221696442</v>
      </c>
      <c r="Q60" s="53"/>
      <c r="R60" s="53">
        <f t="shared" si="8"/>
        <v>0</v>
      </c>
      <c r="S60" s="53">
        <f t="shared" si="9"/>
        <v>0</v>
      </c>
      <c r="T60" s="53">
        <f t="shared" si="10"/>
        <v>0.05</v>
      </c>
      <c r="U60" s="53">
        <f t="shared" si="16"/>
        <v>4.2653187775606449E-3</v>
      </c>
    </row>
    <row r="61" spans="1:21" x14ac:dyDescent="0.2">
      <c r="A61" s="62">
        <f t="shared" si="1"/>
        <v>0.21815266903714611</v>
      </c>
      <c r="B61" s="45">
        <f t="shared" si="2"/>
        <v>47</v>
      </c>
      <c r="C61" s="49">
        <f t="shared" si="32"/>
        <v>23487814.026392456</v>
      </c>
      <c r="D61" s="47" cm="1">
        <f t="array" ref="D61">_xlfn.IFS(AND($C$7="Y",B61&lt;C$4),C61,AND($C$7="Y",B61=C$4),D60+F61-J61-K61-L61+N61,AND($C$7="Y",B61&gt;$C$4),D60-J61-K61-L61+N61, TRUE, D60-J61-K61-L61+N61)</f>
        <v>21815266.903714612</v>
      </c>
      <c r="E61" s="48">
        <f t="shared" si="4"/>
        <v>0</v>
      </c>
      <c r="F61" s="50">
        <f t="shared" si="5"/>
        <v>0</v>
      </c>
      <c r="G61" s="50">
        <f t="shared" si="17"/>
        <v>0</v>
      </c>
      <c r="H61" s="51">
        <f t="shared" si="33"/>
        <v>1806240.4185890383</v>
      </c>
      <c r="I61" s="52">
        <f t="shared" si="12"/>
        <v>233876.31012181833</v>
      </c>
      <c r="J61" s="52">
        <f t="shared" si="34"/>
        <v>1572364.1084672199</v>
      </c>
      <c r="K61" s="51">
        <f t="shared" si="36"/>
        <v>0</v>
      </c>
      <c r="L61" s="49">
        <f t="shared" si="37"/>
        <v>100183.01421062404</v>
      </c>
      <c r="M61" s="49">
        <f t="shared" si="38"/>
        <v>-128668.95360106921</v>
      </c>
      <c r="N61" s="49">
        <f t="shared" si="28"/>
        <v>0</v>
      </c>
      <c r="O61" s="48">
        <f t="shared" si="31"/>
        <v>1706057.4043784142</v>
      </c>
      <c r="P61" s="38">
        <f t="shared" si="35"/>
        <v>1706057.4043784142</v>
      </c>
      <c r="Q61" s="53"/>
      <c r="R61" s="53">
        <f t="shared" si="8"/>
        <v>0</v>
      </c>
      <c r="S61" s="53">
        <f t="shared" si="9"/>
        <v>0</v>
      </c>
      <c r="T61" s="53">
        <f t="shared" si="10"/>
        <v>0.05</v>
      </c>
      <c r="U61" s="53">
        <f t="shared" si="16"/>
        <v>4.2653187775606449E-3</v>
      </c>
    </row>
    <row r="62" spans="1:21" x14ac:dyDescent="0.2">
      <c r="A62" s="62">
        <f t="shared" si="1"/>
        <v>0.20141538726625699</v>
      </c>
      <c r="B62" s="45">
        <f t="shared" si="2"/>
        <v>48</v>
      </c>
      <c r="C62" s="49">
        <f t="shared" si="32"/>
        <v>21815266.903714612</v>
      </c>
      <c r="D62" s="47" cm="1">
        <f t="array" ref="D62">_xlfn.IFS(AND($C$7="Y",B62&lt;C$4),C62,AND($C$7="Y",B62=C$4),D61+F62-J62-K62-L62+N62,AND($C$7="Y",B62&gt;$C$4),D61-J62-K62-L62+N62, TRUE, D61-J62-K62-L62+N62)</f>
        <v>20141538.7266257</v>
      </c>
      <c r="E62" s="48">
        <f t="shared" si="4"/>
        <v>0</v>
      </c>
      <c r="F62" s="50">
        <f t="shared" si="5"/>
        <v>0</v>
      </c>
      <c r="G62" s="50">
        <f t="shared" si="17"/>
        <v>0</v>
      </c>
      <c r="H62" s="51">
        <f t="shared" si="33"/>
        <v>1797901.287888529</v>
      </c>
      <c r="I62" s="52">
        <f t="shared" si="12"/>
        <v>217222.17836152701</v>
      </c>
      <c r="J62" s="52">
        <f t="shared" si="34"/>
        <v>1580679.1095270021</v>
      </c>
      <c r="K62" s="51">
        <f t="shared" si="36"/>
        <v>0</v>
      </c>
      <c r="L62" s="49">
        <f t="shared" si="37"/>
        <v>93049.067561911201</v>
      </c>
      <c r="M62" s="49">
        <f t="shared" si="38"/>
        <v>-121554.84460101866</v>
      </c>
      <c r="N62" s="49">
        <f t="shared" si="28"/>
        <v>0</v>
      </c>
      <c r="O62" s="48">
        <f t="shared" si="31"/>
        <v>1704852.2203266178</v>
      </c>
      <c r="P62" s="38">
        <f t="shared" si="35"/>
        <v>1704852.2203266178</v>
      </c>
      <c r="Q62" s="53"/>
      <c r="R62" s="53">
        <f t="shared" si="8"/>
        <v>0</v>
      </c>
      <c r="S62" s="53">
        <f t="shared" si="9"/>
        <v>0</v>
      </c>
      <c r="T62" s="53">
        <f t="shared" si="10"/>
        <v>0.05</v>
      </c>
      <c r="U62" s="53">
        <f t="shared" si="16"/>
        <v>4.2653187775606449E-3</v>
      </c>
    </row>
    <row r="63" spans="1:21" x14ac:dyDescent="0.2">
      <c r="A63" s="62">
        <f t="shared" si="1"/>
        <v>0.18466633611740318</v>
      </c>
      <c r="B63" s="45">
        <f t="shared" si="2"/>
        <v>49</v>
      </c>
      <c r="C63" s="49">
        <f t="shared" si="32"/>
        <v>20141538.7266257</v>
      </c>
      <c r="D63" s="47" cm="1">
        <f t="array" ref="D63">_xlfn.IFS(AND($C$7="Y",B63&lt;C$4),C63,AND($C$7="Y",B63=C$4),D62+F63-J63-K63-L63+N63,AND($C$7="Y",B63&gt;$C$4),D62-J63-K63-L63+N63, TRUE, D62-J63-K63-L63+N63)</f>
        <v>18466633.611740317</v>
      </c>
      <c r="E63" s="48">
        <f t="shared" si="4"/>
        <v>0</v>
      </c>
      <c r="F63" s="50">
        <f t="shared" si="5"/>
        <v>0</v>
      </c>
      <c r="G63" s="50">
        <f t="shared" si="17"/>
        <v>0</v>
      </c>
      <c r="H63" s="51">
        <f t="shared" si="33"/>
        <v>1789551.3179785986</v>
      </c>
      <c r="I63" s="52">
        <f t="shared" si="12"/>
        <v>200556.28643286056</v>
      </c>
      <c r="J63" s="52">
        <f t="shared" si="34"/>
        <v>1588995.031545738</v>
      </c>
      <c r="K63" s="51">
        <f t="shared" si="36"/>
        <v>0</v>
      </c>
      <c r="L63" s="49">
        <f t="shared" si="37"/>
        <v>85910.083339641511</v>
      </c>
      <c r="M63" s="49">
        <f t="shared" si="38"/>
        <v>-114435.86027731666</v>
      </c>
      <c r="N63" s="49">
        <f t="shared" si="28"/>
        <v>0</v>
      </c>
      <c r="O63" s="48">
        <f t="shared" si="31"/>
        <v>1703641.2346389571</v>
      </c>
      <c r="P63" s="38">
        <f t="shared" si="35"/>
        <v>1703641.2346389571</v>
      </c>
      <c r="Q63" s="53"/>
      <c r="R63" s="53">
        <f t="shared" si="8"/>
        <v>0</v>
      </c>
      <c r="S63" s="53">
        <f t="shared" si="9"/>
        <v>0</v>
      </c>
      <c r="T63" s="53">
        <f t="shared" si="10"/>
        <v>0.05</v>
      </c>
      <c r="U63" s="53">
        <f t="shared" si="16"/>
        <v>4.2653187775606449E-3</v>
      </c>
    </row>
    <row r="64" spans="1:21" x14ac:dyDescent="0.2">
      <c r="A64" s="62">
        <f t="shared" si="1"/>
        <v>0.16790564131445238</v>
      </c>
      <c r="B64" s="45">
        <f t="shared" si="2"/>
        <v>50</v>
      </c>
      <c r="C64" s="49">
        <f t="shared" si="32"/>
        <v>18466633.611740317</v>
      </c>
      <c r="D64" s="47" cm="1">
        <f t="array" ref="D64">_xlfn.IFS(AND($C$7="Y",B64&lt;C$4),C64,AND($C$7="Y",B64=C$4),D63+F64-J64-K64-L64+N64,AND($C$7="Y",B64&gt;$C$4),D63-J64-K64-L64+N64, TRUE, D63-J64-K64-L64+N64)</f>
        <v>16790564.131445237</v>
      </c>
      <c r="E64" s="48">
        <f t="shared" si="4"/>
        <v>0</v>
      </c>
      <c r="F64" s="50">
        <f t="shared" si="5"/>
        <v>0</v>
      </c>
      <c r="G64" s="50">
        <f t="shared" si="17"/>
        <v>0</v>
      </c>
      <c r="H64" s="51">
        <f t="shared" si="33"/>
        <v>1781182.0765189682</v>
      </c>
      <c r="I64" s="52">
        <f t="shared" si="12"/>
        <v>183878.67532637829</v>
      </c>
      <c r="J64" s="52">
        <f t="shared" si="34"/>
        <v>1597303.4011925899</v>
      </c>
      <c r="K64" s="51">
        <f t="shared" si="36"/>
        <v>0</v>
      </c>
      <c r="L64" s="49">
        <f t="shared" si="37"/>
        <v>78766.079102488526</v>
      </c>
      <c r="M64" s="49">
        <f t="shared" si="38"/>
        <v>-107311.93401379154</v>
      </c>
      <c r="N64" s="49">
        <f t="shared" si="28"/>
        <v>0</v>
      </c>
      <c r="O64" s="48">
        <f t="shared" si="31"/>
        <v>1702415.9974164797</v>
      </c>
      <c r="P64" s="38">
        <f t="shared" si="35"/>
        <v>1702415.9974164797</v>
      </c>
      <c r="Q64" s="53"/>
      <c r="R64" s="53">
        <f t="shared" si="8"/>
        <v>0</v>
      </c>
      <c r="S64" s="53">
        <f t="shared" si="9"/>
        <v>0</v>
      </c>
      <c r="T64" s="53">
        <f t="shared" si="10"/>
        <v>0.05</v>
      </c>
      <c r="U64" s="53">
        <f t="shared" si="16"/>
        <v>4.2653187775606449E-3</v>
      </c>
    </row>
    <row r="65" spans="1:21" x14ac:dyDescent="0.2">
      <c r="A65" s="62">
        <f t="shared" si="1"/>
        <v>0.15113353865735643</v>
      </c>
      <c r="B65" s="45">
        <f t="shared" si="2"/>
        <v>51</v>
      </c>
      <c r="C65" s="49">
        <f t="shared" si="32"/>
        <v>16790564.131445237</v>
      </c>
      <c r="D65" s="47" cm="1">
        <f t="array" ref="D65">_xlfn.IFS(AND($C$7="Y",B65&lt;C$4),C65,AND($C$7="Y",B65=C$4),D64+F65-J65-K65-L65+N65,AND($C$7="Y",B65&gt;$C$4),D64-J65-K65-L65+N65, TRUE, D64-J65-K65-L65+N65)</f>
        <v>15113353.865735644</v>
      </c>
      <c r="E65" s="48">
        <f t="shared" si="4"/>
        <v>0</v>
      </c>
      <c r="F65" s="50">
        <f t="shared" si="5"/>
        <v>0</v>
      </c>
      <c r="G65" s="50">
        <f t="shared" si="17"/>
        <v>0</v>
      </c>
      <c r="H65" s="51">
        <f t="shared" si="33"/>
        <v>1772782.6274635985</v>
      </c>
      <c r="I65" s="52">
        <f t="shared" si="12"/>
        <v>167189.47022969546</v>
      </c>
      <c r="J65" s="52">
        <f t="shared" si="34"/>
        <v>1605593.157233903</v>
      </c>
      <c r="K65" s="51">
        <f t="shared" si="36"/>
        <v>0</v>
      </c>
      <c r="L65" s="49">
        <f t="shared" si="37"/>
        <v>71617.108475689602</v>
      </c>
      <c r="M65" s="49">
        <f t="shared" si="38"/>
        <v>-100183.01421062404</v>
      </c>
      <c r="N65" s="49">
        <f t="shared" si="28"/>
        <v>0</v>
      </c>
      <c r="O65" s="48">
        <f t="shared" si="31"/>
        <v>1701165.518987909</v>
      </c>
      <c r="P65" s="38">
        <f t="shared" si="35"/>
        <v>1701165.518987909</v>
      </c>
      <c r="Q65" s="53"/>
      <c r="R65" s="53">
        <f t="shared" si="8"/>
        <v>0</v>
      </c>
      <c r="S65" s="53">
        <f t="shared" si="9"/>
        <v>0</v>
      </c>
      <c r="T65" s="53">
        <f t="shared" si="10"/>
        <v>0.05</v>
      </c>
      <c r="U65" s="53">
        <f t="shared" si="16"/>
        <v>4.2653187775606449E-3</v>
      </c>
    </row>
    <row r="66" spans="1:21" x14ac:dyDescent="0.2">
      <c r="A66" s="62">
        <f t="shared" si="1"/>
        <v>0.13435041085475602</v>
      </c>
      <c r="B66" s="45">
        <f t="shared" si="2"/>
        <v>52</v>
      </c>
      <c r="C66" s="49">
        <f t="shared" si="32"/>
        <v>15113353.865735644</v>
      </c>
      <c r="D66" s="47" cm="1">
        <f t="array" ref="D66">_xlfn.IFS(AND($C$7="Y",B66&lt;C$4),C66,AND($C$7="Y",B66=C$4),D65+F66-J66-K66-L66+N66,AND($C$7="Y",B66&gt;$C$4),D65-J66-K66-L66+N66, TRUE, D65-J66-K66-L66+N66)</f>
        <v>13435041.085475601</v>
      </c>
      <c r="E66" s="48">
        <f t="shared" si="4"/>
        <v>0</v>
      </c>
      <c r="F66" s="50">
        <f t="shared" si="5"/>
        <v>0</v>
      </c>
      <c r="G66" s="50">
        <f t="shared" si="17"/>
        <v>0</v>
      </c>
      <c r="H66" s="51">
        <f t="shared" si="33"/>
        <v>1764338.4141616048</v>
      </c>
      <c r="I66" s="52">
        <f t="shared" si="12"/>
        <v>150488.90593700204</v>
      </c>
      <c r="J66" s="52">
        <f t="shared" si="34"/>
        <v>1613849.5082246028</v>
      </c>
      <c r="K66" s="51">
        <f t="shared" si="36"/>
        <v>0</v>
      </c>
      <c r="L66" s="49">
        <f t="shared" si="37"/>
        <v>64463.272035441005</v>
      </c>
      <c r="M66" s="49">
        <f t="shared" si="38"/>
        <v>-93049.067561911201</v>
      </c>
      <c r="N66" s="49">
        <f t="shared" si="28"/>
        <v>0</v>
      </c>
      <c r="O66" s="48">
        <f t="shared" si="31"/>
        <v>1699875.1421261639</v>
      </c>
      <c r="P66" s="38">
        <f t="shared" si="35"/>
        <v>1699875.1421261639</v>
      </c>
      <c r="Q66" s="53"/>
      <c r="R66" s="53">
        <f t="shared" si="8"/>
        <v>0</v>
      </c>
      <c r="S66" s="53">
        <f t="shared" si="9"/>
        <v>0</v>
      </c>
      <c r="T66" s="53">
        <f t="shared" si="10"/>
        <v>0.05</v>
      </c>
      <c r="U66" s="53">
        <f t="shared" si="16"/>
        <v>4.2653187775606449E-3</v>
      </c>
    </row>
    <row r="67" spans="1:21" x14ac:dyDescent="0.2">
      <c r="A67" s="62">
        <f t="shared" si="1"/>
        <v>0.11755684272906244</v>
      </c>
      <c r="B67" s="45">
        <f t="shared" si="2"/>
        <v>53</v>
      </c>
      <c r="C67" s="49">
        <f t="shared" si="32"/>
        <v>13435041.085475601</v>
      </c>
      <c r="D67" s="47" cm="1">
        <f t="array" ref="D67">_xlfn.IFS(AND($C$7="Y",B67&lt;C$4),C67,AND($C$7="Y",B67=C$4),D66+F67-J67-K67-L67+N67,AND($C$7="Y",B67&gt;$C$4),D66-J67-K67-L67+N67, TRUE, D66-J67-K67-L67+N67)</f>
        <v>11755684.272906244</v>
      </c>
      <c r="E67" s="48">
        <f t="shared" si="4"/>
        <v>0</v>
      </c>
      <c r="F67" s="50">
        <f t="shared" si="5"/>
        <v>0</v>
      </c>
      <c r="G67" s="50">
        <f t="shared" si="17"/>
        <v>0</v>
      </c>
      <c r="H67" s="51">
        <f t="shared" si="33"/>
        <v>1755829.443074743</v>
      </c>
      <c r="I67" s="52">
        <f t="shared" si="12"/>
        <v>133777.36352456422</v>
      </c>
      <c r="J67" s="52">
        <f t="shared" si="34"/>
        <v>1622052.0795501787</v>
      </c>
      <c r="K67" s="51">
        <f t="shared" si="36"/>
        <v>0</v>
      </c>
      <c r="L67" s="49">
        <f t="shared" si="37"/>
        <v>57304.733019177831</v>
      </c>
      <c r="M67" s="49">
        <f t="shared" si="38"/>
        <v>-85910.083339641511</v>
      </c>
      <c r="N67" s="49">
        <f t="shared" si="28"/>
        <v>0</v>
      </c>
      <c r="O67" s="48">
        <f t="shared" si="31"/>
        <v>1698524.7100555652</v>
      </c>
      <c r="P67" s="38">
        <f t="shared" si="35"/>
        <v>1698524.7100555652</v>
      </c>
      <c r="Q67" s="53"/>
      <c r="R67" s="53">
        <f t="shared" si="8"/>
        <v>0</v>
      </c>
      <c r="S67" s="53">
        <f t="shared" si="9"/>
        <v>0</v>
      </c>
      <c r="T67" s="53">
        <f t="shared" si="10"/>
        <v>0.05</v>
      </c>
      <c r="U67" s="53">
        <f t="shared" si="16"/>
        <v>4.2653187775606449E-3</v>
      </c>
    </row>
    <row r="68" spans="1:21" x14ac:dyDescent="0.2">
      <c r="A68" s="62">
        <f t="shared" si="1"/>
        <v>0.10075370789391742</v>
      </c>
      <c r="B68" s="45">
        <f t="shared" si="2"/>
        <v>54</v>
      </c>
      <c r="C68" s="49">
        <f t="shared" si="32"/>
        <v>11755684.272906244</v>
      </c>
      <c r="D68" s="47" cm="1">
        <f t="array" ref="D68">_xlfn.IFS(AND($C$7="Y",B68&lt;C$4),C68,AND($C$7="Y",B68=C$4),D67+F68-J68-K68-L68+N68,AND($C$7="Y",B68&gt;$C$4),D67-J68-K68-L68+N68, TRUE, D67-J68-K68-L68+N68)</f>
        <v>10075370.789391743</v>
      </c>
      <c r="E68" s="48">
        <f t="shared" si="4"/>
        <v>0</v>
      </c>
      <c r="F68" s="50">
        <f t="shared" si="5"/>
        <v>0</v>
      </c>
      <c r="G68" s="50">
        <f t="shared" si="17"/>
        <v>0</v>
      </c>
      <c r="H68" s="51">
        <f t="shared" si="33"/>
        <v>1747227.1679625385</v>
      </c>
      <c r="I68" s="52">
        <f t="shared" si="12"/>
        <v>117055.42532033943</v>
      </c>
      <c r="J68" s="52">
        <f t="shared" si="34"/>
        <v>1630171.7426421992</v>
      </c>
      <c r="K68" s="51">
        <f t="shared" si="36"/>
        <v>0</v>
      </c>
      <c r="L68" s="49">
        <f t="shared" si="37"/>
        <v>50141.740872301358</v>
      </c>
      <c r="M68" s="49">
        <f t="shared" si="38"/>
        <v>-78766.079102488526</v>
      </c>
      <c r="N68" s="49">
        <f t="shared" si="28"/>
        <v>0</v>
      </c>
      <c r="O68" s="48">
        <f t="shared" si="31"/>
        <v>1697085.4270902371</v>
      </c>
      <c r="P68" s="38">
        <f t="shared" si="35"/>
        <v>1697085.4270902371</v>
      </c>
      <c r="Q68" s="53"/>
      <c r="R68" s="53">
        <f t="shared" si="8"/>
        <v>0</v>
      </c>
      <c r="S68" s="53">
        <f t="shared" si="9"/>
        <v>0</v>
      </c>
      <c r="T68" s="53">
        <f t="shared" si="10"/>
        <v>0.05</v>
      </c>
      <c r="U68" s="53">
        <f t="shared" si="16"/>
        <v>4.2653187775606449E-3</v>
      </c>
    </row>
    <row r="69" spans="1:21" x14ac:dyDescent="0.2">
      <c r="A69" s="62">
        <f t="shared" si="1"/>
        <v>8.3942313086685275E-2</v>
      </c>
      <c r="B69" s="45">
        <f t="shared" si="2"/>
        <v>55</v>
      </c>
      <c r="C69" s="49">
        <f t="shared" si="32"/>
        <v>10075370.789391743</v>
      </c>
      <c r="D69" s="47" cm="1">
        <f t="array" ref="D69">_xlfn.IFS(AND($C$7="Y",B69&lt;C$4),C69,AND($C$7="Y",B69=C$4),D68+F69-J69-K69-L69+N69,AND($C$7="Y",B69&gt;$C$4),D68-J69-K69-L69+N69, TRUE, D68-J69-K69-L69+N69)</f>
        <v>8394231.3086685278</v>
      </c>
      <c r="E69" s="48">
        <f t="shared" si="4"/>
        <v>0</v>
      </c>
      <c r="F69" s="50">
        <f t="shared" si="5"/>
        <v>0</v>
      </c>
      <c r="G69" s="50">
        <f t="shared" si="17"/>
        <v>0</v>
      </c>
      <c r="H69" s="51">
        <f t="shared" si="33"/>
        <v>1738488.7737160651</v>
      </c>
      <c r="I69" s="52">
        <f t="shared" si="12"/>
        <v>100323.96121172863</v>
      </c>
      <c r="J69" s="52">
        <f t="shared" si="34"/>
        <v>1638164.8125043365</v>
      </c>
      <c r="K69" s="51">
        <f t="shared" si="36"/>
        <v>0</v>
      </c>
      <c r="L69" s="49">
        <f t="shared" si="37"/>
        <v>42974.668218878622</v>
      </c>
      <c r="M69" s="49">
        <f t="shared" si="38"/>
        <v>-71617.108475689602</v>
      </c>
      <c r="N69" s="49">
        <f t="shared" si="28"/>
        <v>0</v>
      </c>
      <c r="O69" s="48">
        <f t="shared" si="31"/>
        <v>1695514.1054971865</v>
      </c>
      <c r="P69" s="38">
        <f t="shared" si="35"/>
        <v>1695514.1054971865</v>
      </c>
      <c r="Q69" s="53"/>
      <c r="R69" s="53">
        <f t="shared" si="8"/>
        <v>0</v>
      </c>
      <c r="S69" s="53">
        <f t="shared" si="9"/>
        <v>0</v>
      </c>
      <c r="T69" s="53">
        <f t="shared" si="10"/>
        <v>0.05</v>
      </c>
      <c r="U69" s="53">
        <f t="shared" si="16"/>
        <v>4.2653187775606449E-3</v>
      </c>
    </row>
    <row r="70" spans="1:21" x14ac:dyDescent="0.2">
      <c r="A70" s="62">
        <f t="shared" si="1"/>
        <v>6.7124657718395125E-2</v>
      </c>
      <c r="B70" s="45">
        <f t="shared" si="2"/>
        <v>56</v>
      </c>
      <c r="C70" s="49">
        <f t="shared" si="32"/>
        <v>8394231.3086685278</v>
      </c>
      <c r="D70" s="47" cm="1">
        <f t="array" ref="D70">_xlfn.IFS(AND($C$7="Y",B70&lt;C$4),C70,AND($C$7="Y",B70=C$4),D69+F70-J70-K70-L70+N70,AND($C$7="Y",B70&gt;$C$4),D69-J70-K70-L70+N70, TRUE, D69-J70-K70-L70+N70)</f>
        <v>6712465.7718395125</v>
      </c>
      <c r="E70" s="48">
        <f t="shared" si="4"/>
        <v>0</v>
      </c>
      <c r="F70" s="50">
        <f t="shared" si="5"/>
        <v>0</v>
      </c>
      <c r="G70" s="50">
        <f t="shared" si="17"/>
        <v>0</v>
      </c>
      <c r="H70" s="51">
        <f t="shared" si="33"/>
        <v>1729545.7367674087</v>
      </c>
      <c r="I70" s="52">
        <f t="shared" si="12"/>
        <v>83584.272362444768</v>
      </c>
      <c r="J70" s="52">
        <f t="shared" si="34"/>
        <v>1645961.4644049639</v>
      </c>
      <c r="K70" s="51">
        <f t="shared" si="36"/>
        <v>0</v>
      </c>
      <c r="L70" s="49">
        <f t="shared" si="37"/>
        <v>35804.072424051337</v>
      </c>
      <c r="M70" s="49">
        <f t="shared" si="38"/>
        <v>-64463.272035441005</v>
      </c>
      <c r="N70" s="49">
        <f t="shared" si="28"/>
        <v>0</v>
      </c>
      <c r="O70" s="48">
        <f t="shared" si="31"/>
        <v>1693741.6643433573</v>
      </c>
      <c r="P70" s="38">
        <f t="shared" si="35"/>
        <v>1693741.6643433573</v>
      </c>
      <c r="Q70" s="53"/>
      <c r="R70" s="53">
        <f t="shared" si="8"/>
        <v>0</v>
      </c>
      <c r="S70" s="53">
        <f t="shared" si="9"/>
        <v>0</v>
      </c>
      <c r="T70" s="53">
        <f t="shared" si="10"/>
        <v>0.05</v>
      </c>
      <c r="U70" s="53">
        <f t="shared" si="16"/>
        <v>4.2653187775606449E-3</v>
      </c>
    </row>
    <row r="71" spans="1:21" x14ac:dyDescent="0.2">
      <c r="A71" s="62">
        <f t="shared" si="1"/>
        <v>5.0303952443429389E-2</v>
      </c>
      <c r="B71" s="45">
        <f t="shared" si="2"/>
        <v>57</v>
      </c>
      <c r="C71" s="49">
        <f t="shared" si="32"/>
        <v>6712465.7718395125</v>
      </c>
      <c r="D71" s="47" cm="1">
        <f t="array" ref="D71">_xlfn.IFS(AND($C$7="Y",B71&lt;C$4),C71,AND($C$7="Y",B71=C$4),D70+F71-J71-K71-L71+N71,AND($C$7="Y",B71&gt;$C$4),D70-J71-K71-L71+N71, TRUE, D70-J71-K71-L71+N71)</f>
        <v>5030395.244342939</v>
      </c>
      <c r="E71" s="48">
        <f t="shared" si="4"/>
        <v>0</v>
      </c>
      <c r="F71" s="50">
        <f t="shared" si="5"/>
        <v>0</v>
      </c>
      <c r="G71" s="50">
        <f t="shared" si="17"/>
        <v>0</v>
      </c>
      <c r="H71" s="51">
        <f t="shared" si="33"/>
        <v>1720278.0708516056</v>
      </c>
      <c r="I71" s="52">
        <f t="shared" si="12"/>
        <v>66838.349655391517</v>
      </c>
      <c r="J71" s="52">
        <f t="shared" si="34"/>
        <v>1653439.7211962142</v>
      </c>
      <c r="K71" s="51">
        <f t="shared" si="36"/>
        <v>0</v>
      </c>
      <c r="L71" s="49">
        <f t="shared" si="37"/>
        <v>28630.806300360182</v>
      </c>
      <c r="M71" s="49">
        <f t="shared" si="38"/>
        <v>-57304.733019177831</v>
      </c>
      <c r="N71" s="49">
        <f t="shared" si="28"/>
        <v>0</v>
      </c>
      <c r="O71" s="48">
        <f t="shared" si="31"/>
        <v>1691647.2645512454</v>
      </c>
      <c r="P71" s="38">
        <f t="shared" si="35"/>
        <v>1691647.2645512454</v>
      </c>
      <c r="Q71" s="53"/>
      <c r="R71" s="53">
        <f t="shared" si="8"/>
        <v>0</v>
      </c>
      <c r="S71" s="53">
        <f t="shared" si="9"/>
        <v>0</v>
      </c>
      <c r="T71" s="53">
        <f t="shared" si="10"/>
        <v>0.05</v>
      </c>
      <c r="U71" s="53">
        <f t="shared" si="16"/>
        <v>4.2653187775606449E-3</v>
      </c>
    </row>
    <row r="72" spans="1:21" x14ac:dyDescent="0.2">
      <c r="A72" s="62">
        <f t="shared" si="1"/>
        <v>3.3485827825313522E-2</v>
      </c>
      <c r="B72" s="45">
        <f t="shared" si="2"/>
        <v>58</v>
      </c>
      <c r="C72" s="49">
        <f t="shared" si="32"/>
        <v>5030395.244342939</v>
      </c>
      <c r="D72" s="47" cm="1">
        <f t="array" ref="D72">_xlfn.IFS(AND($C$7="Y",B72&lt;C$4),C72,AND($C$7="Y",B72=C$4),D71+F72-J72-K72-L72+N72,AND($C$7="Y",B72&gt;$C$4),D71-J72-K72-L72+N72, TRUE, D71-J72-K72-L72+N72)</f>
        <v>3348582.7825313522</v>
      </c>
      <c r="E72" s="48">
        <f t="shared" si="4"/>
        <v>0</v>
      </c>
      <c r="F72" s="50">
        <f t="shared" si="5"/>
        <v>0</v>
      </c>
      <c r="G72" s="50">
        <f t="shared" si="17"/>
        <v>0</v>
      </c>
      <c r="H72" s="51">
        <f t="shared" si="33"/>
        <v>1710445.6125678259</v>
      </c>
      <c r="I72" s="52">
        <f t="shared" si="12"/>
        <v>50089.390050486916</v>
      </c>
      <c r="J72" s="52">
        <f t="shared" si="34"/>
        <v>1660356.222517339</v>
      </c>
      <c r="K72" s="51">
        <f t="shared" si="36"/>
        <v>0</v>
      </c>
      <c r="L72" s="49">
        <f t="shared" si="37"/>
        <v>21456.239294247705</v>
      </c>
      <c r="M72" s="49">
        <f t="shared" si="38"/>
        <v>-50141.740872301358</v>
      </c>
      <c r="N72" s="49">
        <f t="shared" si="28"/>
        <v>0</v>
      </c>
      <c r="O72" s="48">
        <f t="shared" si="31"/>
        <v>1688989.3732735782</v>
      </c>
      <c r="P72" s="38">
        <f t="shared" si="35"/>
        <v>1688989.3732735782</v>
      </c>
      <c r="Q72" s="53"/>
      <c r="R72" s="53">
        <f t="shared" si="8"/>
        <v>0</v>
      </c>
      <c r="S72" s="53">
        <f t="shared" si="9"/>
        <v>0</v>
      </c>
      <c r="T72" s="53">
        <f t="shared" si="10"/>
        <v>0.05</v>
      </c>
      <c r="U72" s="53">
        <f t="shared" si="16"/>
        <v>4.2653187775606449E-3</v>
      </c>
    </row>
    <row r="73" spans="1:21" x14ac:dyDescent="0.2">
      <c r="A73" s="62">
        <f t="shared" si="1"/>
        <v>1.6681955984316731E-2</v>
      </c>
      <c r="B73" s="45">
        <f t="shared" si="2"/>
        <v>59</v>
      </c>
      <c r="C73" s="49">
        <f t="shared" si="32"/>
        <v>3348582.7825313522</v>
      </c>
      <c r="D73" s="47" cm="1">
        <f t="array" ref="D73">_xlfn.IFS(AND($C$7="Y",B73&lt;C$4),C73,AND($C$7="Y",B73=C$4),D72+F73-J73-K73-L73+N73,AND($C$7="Y",B73&gt;$C$4),D72-J73-K73-L73+N73, TRUE, D72-J73-K73-L73+N73)</f>
        <v>1668195.5984316729</v>
      </c>
      <c r="E73" s="48">
        <f t="shared" si="4"/>
        <v>0</v>
      </c>
      <c r="F73" s="50">
        <f t="shared" si="5"/>
        <v>0</v>
      </c>
      <c r="G73" s="50">
        <f t="shared" si="17"/>
        <v>0</v>
      </c>
      <c r="H73" s="51">
        <f t="shared" si="33"/>
        <v>1699447.4111742401</v>
      </c>
      <c r="I73" s="52">
        <f t="shared" si="12"/>
        <v>33343.000095108051</v>
      </c>
      <c r="J73" s="52">
        <f t="shared" si="34"/>
        <v>1666104.411079132</v>
      </c>
      <c r="K73" s="51">
        <f t="shared" si="36"/>
        <v>0</v>
      </c>
      <c r="L73" s="49">
        <f t="shared" si="37"/>
        <v>14282.773020547251</v>
      </c>
      <c r="M73" s="49">
        <f t="shared" si="38"/>
        <v>-42974.668218878622</v>
      </c>
      <c r="N73" s="49">
        <f t="shared" si="28"/>
        <v>0</v>
      </c>
      <c r="O73" s="48">
        <f t="shared" si="31"/>
        <v>1685164.6381536927</v>
      </c>
      <c r="P73" s="38">
        <f t="shared" si="35"/>
        <v>1685164.6381536927</v>
      </c>
      <c r="Q73" s="53"/>
      <c r="R73" s="53">
        <f t="shared" si="8"/>
        <v>0</v>
      </c>
      <c r="S73" s="53">
        <f t="shared" si="9"/>
        <v>0</v>
      </c>
      <c r="T73" s="53">
        <f t="shared" si="10"/>
        <v>0.05</v>
      </c>
      <c r="U73" s="53">
        <f t="shared" si="16"/>
        <v>4.2653187775606449E-3</v>
      </c>
    </row>
    <row r="74" spans="1:21" x14ac:dyDescent="0.2">
      <c r="A74" s="62">
        <f t="shared" si="1"/>
        <v>-7.1865398707391352E-5</v>
      </c>
      <c r="B74" s="45">
        <f t="shared" si="2"/>
        <v>60</v>
      </c>
      <c r="C74" s="49">
        <f t="shared" si="32"/>
        <v>1668195.5984316729</v>
      </c>
      <c r="D74" s="47" cm="1">
        <f t="array" ref="D74">_xlfn.IFS(AND($C$7="Y",B74&lt;C$4),C74,AND($C$7="Y",B74=C$4),D73+F74-J74-K74-L74+N74,AND($C$7="Y",B74&gt;$C$4),D73-J74-K74-L74+N74, TRUE, D73-J74-K74-L74+N74)</f>
        <v>-7186.539870739135</v>
      </c>
      <c r="E74" s="48">
        <f t="shared" si="4"/>
        <v>0</v>
      </c>
      <c r="F74" s="50">
        <f t="shared" si="5"/>
        <v>0</v>
      </c>
      <c r="G74" s="50">
        <f t="shared" si="17"/>
        <v>0</v>
      </c>
      <c r="H74" s="51">
        <f t="shared" si="33"/>
        <v>1684877.5544159878</v>
      </c>
      <c r="I74" s="52">
        <f t="shared" si="12"/>
        <v>16610.802124210382</v>
      </c>
      <c r="J74" s="52">
        <f t="shared" si="34"/>
        <v>1668266.7522917774</v>
      </c>
      <c r="K74" s="51">
        <f t="shared" si="36"/>
        <v>0</v>
      </c>
      <c r="L74" s="49">
        <f t="shared" si="37"/>
        <v>7115.3860106346319</v>
      </c>
      <c r="M74" s="49">
        <f t="shared" si="38"/>
        <v>-35804.072424051337</v>
      </c>
      <c r="N74" s="49">
        <f t="shared" si="28"/>
        <v>0</v>
      </c>
      <c r="O74" s="48">
        <f t="shared" si="31"/>
        <v>1677762.1684053531</v>
      </c>
      <c r="P74" s="38">
        <f t="shared" si="35"/>
        <v>1677762.1684053531</v>
      </c>
      <c r="Q74" s="53"/>
      <c r="R74" s="53">
        <f t="shared" si="8"/>
        <v>0</v>
      </c>
      <c r="S74" s="53">
        <f t="shared" si="9"/>
        <v>0</v>
      </c>
      <c r="T74" s="53">
        <f t="shared" si="10"/>
        <v>0.05</v>
      </c>
      <c r="U74" s="53">
        <f t="shared" si="16"/>
        <v>4.2653187775606449E-3</v>
      </c>
    </row>
    <row r="75" spans="1:21" x14ac:dyDescent="0.2">
      <c r="A75" s="62" t="e">
        <f t="shared" si="1"/>
        <v>#DIV/0!</v>
      </c>
      <c r="B75" s="45">
        <f t="shared" si="2"/>
        <v>61</v>
      </c>
      <c r="C75" s="49">
        <f t="shared" si="32"/>
        <v>-7186.539870739135</v>
      </c>
      <c r="D75" s="47" t="e" cm="1">
        <f t="array" ref="D75">_xlfn.IFS(AND($C$7="Y",B75&lt;C$4),C75,AND($C$7="Y",B75=C$4),D74+F75-J75-K75-L75+N75,AND($C$7="Y",B75&gt;$C$4),D74-J75-K75-L75+N75, TRUE, D74-J75-K75-L75+N75)</f>
        <v>#DIV/0!</v>
      </c>
      <c r="E75" s="48">
        <f t="shared" si="4"/>
        <v>0</v>
      </c>
      <c r="F75" s="50">
        <f t="shared" si="5"/>
        <v>0</v>
      </c>
      <c r="G75" s="50">
        <f t="shared" si="17"/>
        <v>0</v>
      </c>
      <c r="H75" s="51" t="e">
        <f t="shared" si="33"/>
        <v>#DIV/0!</v>
      </c>
      <c r="I75" s="52">
        <f t="shared" si="12"/>
        <v>-71.558869872827827</v>
      </c>
      <c r="J75" s="52" t="e">
        <f t="shared" si="34"/>
        <v>#DIV/0!</v>
      </c>
      <c r="K75" s="51" t="e">
        <f t="shared" si="36"/>
        <v>#DIV/0!</v>
      </c>
      <c r="L75" s="49">
        <f t="shared" si="37"/>
        <v>-30.652883456351883</v>
      </c>
      <c r="M75" s="49">
        <f t="shared" si="38"/>
        <v>-28630.806300360182</v>
      </c>
      <c r="N75" s="49">
        <f t="shared" si="28"/>
        <v>0</v>
      </c>
      <c r="O75" s="48" t="e">
        <f t="shared" si="31"/>
        <v>#DIV/0!</v>
      </c>
      <c r="P75" s="38" t="e">
        <f t="shared" si="35"/>
        <v>#DIV/0!</v>
      </c>
      <c r="Q75" s="53"/>
      <c r="R75" s="53">
        <f t="shared" si="8"/>
        <v>0</v>
      </c>
      <c r="S75" s="53">
        <f t="shared" si="9"/>
        <v>0</v>
      </c>
      <c r="T75" s="53">
        <f t="shared" si="10"/>
        <v>0.05</v>
      </c>
      <c r="U75" s="53">
        <f t="shared" si="16"/>
        <v>4.2653187775606449E-3</v>
      </c>
    </row>
    <row r="76" spans="1:21" x14ac:dyDescent="0.2">
      <c r="A76" s="62" t="e">
        <f t="shared" si="1"/>
        <v>#DIV/0!</v>
      </c>
      <c r="B76" s="45">
        <f t="shared" si="2"/>
        <v>62</v>
      </c>
      <c r="C76" s="49" t="e">
        <f t="shared" si="32"/>
        <v>#DIV/0!</v>
      </c>
      <c r="D76" s="47" t="e" cm="1">
        <f t="array" ref="D76">_xlfn.IFS(AND($C$7="Y",B76&lt;C$4),C76,AND($C$7="Y",B76=C$4),D75+F76-J76-K76-L76+N76,AND($C$7="Y",B76&gt;$C$4),D75-J76-K76-L76+N76, TRUE, D75-J76-K76-L76+N76)</f>
        <v>#DIV/0!</v>
      </c>
      <c r="E76" s="48">
        <f t="shared" si="4"/>
        <v>0</v>
      </c>
      <c r="F76" s="50">
        <f t="shared" si="5"/>
        <v>0</v>
      </c>
      <c r="G76" s="50">
        <f t="shared" si="17"/>
        <v>0</v>
      </c>
      <c r="H76" s="51" t="e">
        <f t="shared" si="33"/>
        <v>#DIV/0!</v>
      </c>
      <c r="I76" s="52" t="e">
        <f t="shared" si="12"/>
        <v>#DIV/0!</v>
      </c>
      <c r="J76" s="52" t="e">
        <f t="shared" si="34"/>
        <v>#DIV/0!</v>
      </c>
      <c r="K76" s="51" t="e">
        <f t="shared" si="36"/>
        <v>#DIV/0!</v>
      </c>
      <c r="L76" s="49" t="e">
        <f t="shared" si="37"/>
        <v>#DIV/0!</v>
      </c>
      <c r="M76" s="49">
        <f t="shared" si="38"/>
        <v>-21456.239294247705</v>
      </c>
      <c r="N76" s="49">
        <f t="shared" si="28"/>
        <v>0</v>
      </c>
      <c r="O76" s="48" t="e">
        <f t="shared" si="31"/>
        <v>#DIV/0!</v>
      </c>
      <c r="P76" s="38" t="e">
        <f t="shared" si="35"/>
        <v>#DIV/0!</v>
      </c>
      <c r="Q76" s="53"/>
      <c r="R76" s="53">
        <f t="shared" si="8"/>
        <v>0</v>
      </c>
      <c r="S76" s="53">
        <f t="shared" si="9"/>
        <v>0</v>
      </c>
      <c r="T76" s="53">
        <f t="shared" si="10"/>
        <v>0.05</v>
      </c>
      <c r="U76" s="53">
        <f t="shared" si="16"/>
        <v>4.2653187775606449E-3</v>
      </c>
    </row>
    <row r="77" spans="1:21" x14ac:dyDescent="0.2">
      <c r="A77" s="62" t="e">
        <f t="shared" si="1"/>
        <v>#DIV/0!</v>
      </c>
      <c r="B77" s="45">
        <f t="shared" si="2"/>
        <v>63</v>
      </c>
      <c r="C77" s="49" t="e">
        <f t="shared" si="32"/>
        <v>#DIV/0!</v>
      </c>
      <c r="D77" s="47" t="e" cm="1">
        <f t="array" ref="D77">_xlfn.IFS(AND($C$7="Y",B77&lt;C$4),C77,AND($C$7="Y",B77=C$4),D76+F77-J77-K77-L77+N77,AND($C$7="Y",B77&gt;$C$4),D76-J77-K77-L77+N77, TRUE, D76-J77-K77-L77+N77)</f>
        <v>#DIV/0!</v>
      </c>
      <c r="E77" s="48">
        <f t="shared" si="4"/>
        <v>0</v>
      </c>
      <c r="F77" s="50">
        <f t="shared" si="5"/>
        <v>0</v>
      </c>
      <c r="G77" s="50">
        <f t="shared" si="17"/>
        <v>0</v>
      </c>
      <c r="H77" s="51" t="e">
        <f t="shared" si="33"/>
        <v>#DIV/0!</v>
      </c>
      <c r="I77" s="52" t="e">
        <f t="shared" si="12"/>
        <v>#DIV/0!</v>
      </c>
      <c r="J77" s="52" t="e">
        <f t="shared" si="34"/>
        <v>#DIV/0!</v>
      </c>
      <c r="K77" s="51" t="e">
        <f t="shared" si="36"/>
        <v>#DIV/0!</v>
      </c>
      <c r="L77" s="49" t="e">
        <f t="shared" si="37"/>
        <v>#DIV/0!</v>
      </c>
      <c r="M77" s="49">
        <f t="shared" si="38"/>
        <v>-14282.773020547251</v>
      </c>
      <c r="N77" s="49">
        <f t="shared" si="28"/>
        <v>0</v>
      </c>
      <c r="O77" s="48" t="e">
        <f t="shared" si="31"/>
        <v>#DIV/0!</v>
      </c>
      <c r="P77" s="38" t="e">
        <f t="shared" si="35"/>
        <v>#DIV/0!</v>
      </c>
      <c r="Q77" s="53"/>
      <c r="R77" s="53">
        <f t="shared" si="8"/>
        <v>0</v>
      </c>
      <c r="S77" s="53">
        <f t="shared" si="9"/>
        <v>0</v>
      </c>
      <c r="T77" s="53">
        <f t="shared" si="10"/>
        <v>0.05</v>
      </c>
      <c r="U77" s="53">
        <f t="shared" si="16"/>
        <v>4.2653187775606449E-3</v>
      </c>
    </row>
    <row r="78" spans="1:21" x14ac:dyDescent="0.2">
      <c r="A78" s="62" t="e">
        <f t="shared" si="1"/>
        <v>#DIV/0!</v>
      </c>
      <c r="B78" s="45">
        <f t="shared" si="2"/>
        <v>64</v>
      </c>
      <c r="C78" s="49" t="e">
        <f t="shared" si="32"/>
        <v>#DIV/0!</v>
      </c>
      <c r="D78" s="47" t="e" cm="1">
        <f t="array" ref="D78">_xlfn.IFS(AND($C$7="Y",B78&lt;C$4),C78,AND($C$7="Y",B78=C$4),D77+F78-J78-K78-L78+N78,AND($C$7="Y",B78&gt;$C$4),D77-J78-K78-L78+N78, TRUE, D77-J78-K78-L78+N78)</f>
        <v>#DIV/0!</v>
      </c>
      <c r="E78" s="48">
        <f t="shared" si="4"/>
        <v>0</v>
      </c>
      <c r="F78" s="50">
        <f t="shared" si="5"/>
        <v>0</v>
      </c>
      <c r="G78" s="50">
        <f t="shared" si="17"/>
        <v>0</v>
      </c>
      <c r="H78" s="51" t="e">
        <f t="shared" si="33"/>
        <v>#DIV/0!</v>
      </c>
      <c r="I78" s="52" t="e">
        <f t="shared" si="12"/>
        <v>#DIV/0!</v>
      </c>
      <c r="J78" s="52" t="e">
        <f t="shared" si="34"/>
        <v>#DIV/0!</v>
      </c>
      <c r="K78" s="51" t="e">
        <f t="shared" si="36"/>
        <v>#DIV/0!</v>
      </c>
      <c r="L78" s="49" t="e">
        <f t="shared" si="37"/>
        <v>#DIV/0!</v>
      </c>
      <c r="M78" s="49">
        <f t="shared" si="38"/>
        <v>-7115.3860106346319</v>
      </c>
      <c r="N78" s="49">
        <f t="shared" si="28"/>
        <v>0</v>
      </c>
      <c r="O78" s="48" t="e">
        <f t="shared" si="31"/>
        <v>#DIV/0!</v>
      </c>
      <c r="P78" s="38" t="e">
        <f t="shared" si="35"/>
        <v>#DIV/0!</v>
      </c>
      <c r="Q78" s="53"/>
      <c r="R78" s="53">
        <f t="shared" si="8"/>
        <v>0</v>
      </c>
      <c r="S78" s="53">
        <f t="shared" si="9"/>
        <v>0</v>
      </c>
      <c r="T78" s="53">
        <f t="shared" si="10"/>
        <v>0.05</v>
      </c>
      <c r="U78" s="53">
        <f t="shared" si="16"/>
        <v>4.2653187775606449E-3</v>
      </c>
    </row>
    <row r="79" spans="1:21" x14ac:dyDescent="0.2">
      <c r="A79" s="62" t="e">
        <f t="shared" ref="A79:A142" si="39">D79/C$1</f>
        <v>#DIV/0!</v>
      </c>
      <c r="B79" s="45">
        <f t="shared" si="2"/>
        <v>65</v>
      </c>
      <c r="C79" s="49" t="e">
        <f t="shared" si="32"/>
        <v>#DIV/0!</v>
      </c>
      <c r="D79" s="47" t="e" cm="1">
        <f t="array" ref="D79">_xlfn.IFS(AND($C$7="Y",B79&lt;C$4),C79,AND($C$7="Y",B79=C$4),D78+F79-J79-K79-L79+N79,AND($C$7="Y",B79&gt;$C$4),D78-J79-K79-L79+N79, TRUE, D78-J79-K79-L79+N79)</f>
        <v>#DIV/0!</v>
      </c>
      <c r="E79" s="48">
        <f t="shared" si="4"/>
        <v>0</v>
      </c>
      <c r="F79" s="50">
        <f t="shared" si="5"/>
        <v>0</v>
      </c>
      <c r="G79" s="50">
        <f t="shared" si="17"/>
        <v>0</v>
      </c>
      <c r="H79" s="51" t="e">
        <f t="shared" si="33"/>
        <v>#DIV/0!</v>
      </c>
      <c r="I79" s="52" t="e">
        <f t="shared" si="12"/>
        <v>#DIV/0!</v>
      </c>
      <c r="J79" s="52" t="e">
        <f t="shared" si="34"/>
        <v>#DIV/0!</v>
      </c>
      <c r="K79" s="51" t="e">
        <f t="shared" si="36"/>
        <v>#DIV/0!</v>
      </c>
      <c r="L79" s="49" t="e">
        <f t="shared" si="37"/>
        <v>#DIV/0!</v>
      </c>
      <c r="M79" s="49">
        <f t="shared" si="38"/>
        <v>30.652883456351883</v>
      </c>
      <c r="N79" s="49">
        <f t="shared" si="28"/>
        <v>0</v>
      </c>
      <c r="O79" s="48" t="e">
        <f t="shared" si="31"/>
        <v>#DIV/0!</v>
      </c>
      <c r="P79" s="38" t="e">
        <f t="shared" si="35"/>
        <v>#DIV/0!</v>
      </c>
      <c r="Q79" s="53"/>
      <c r="R79" s="53">
        <f t="shared" si="8"/>
        <v>0</v>
      </c>
      <c r="S79" s="53">
        <f t="shared" si="9"/>
        <v>0</v>
      </c>
      <c r="T79" s="53">
        <f t="shared" si="10"/>
        <v>0.05</v>
      </c>
      <c r="U79" s="53">
        <f t="shared" si="16"/>
        <v>4.2653187775606449E-3</v>
      </c>
    </row>
    <row r="80" spans="1:21" x14ac:dyDescent="0.2">
      <c r="A80" s="62" t="e">
        <f t="shared" si="39"/>
        <v>#DIV/0!</v>
      </c>
      <c r="B80" s="45">
        <f t="shared" ref="B80:B143" si="40">B79+1</f>
        <v>66</v>
      </c>
      <c r="C80" s="49" t="e">
        <f t="shared" si="32"/>
        <v>#DIV/0!</v>
      </c>
      <c r="D80" s="47" t="e" cm="1">
        <f t="array" ref="D80">_xlfn.IFS(AND($C$7="Y",B80&lt;C$4),C80,AND($C$7="Y",B80=C$4),D79+F80-J80-K80-L80+N80,AND($C$7="Y",B80&gt;$C$4),D79-J80-K80-L80+N80, TRUE, D79-J80-K80-L80+N80)</f>
        <v>#DIV/0!</v>
      </c>
      <c r="E80" s="48">
        <f t="shared" ref="E80:E143" si="41">IF(AND($C$7="Y",B80&lt;=$C$4),D79*C$2/12-G80,0)</f>
        <v>0</v>
      </c>
      <c r="F80" s="50">
        <f t="shared" ref="F80:F143" si="42">IF(AND($C$7="Y",B80&lt;=C$4),E80+F79,0)</f>
        <v>0</v>
      </c>
      <c r="G80" s="50">
        <f t="shared" si="17"/>
        <v>0</v>
      </c>
      <c r="H80" s="51" t="e">
        <f t="shared" si="33"/>
        <v>#DIV/0!</v>
      </c>
      <c r="I80" s="52" t="e">
        <f t="shared" ref="I80:I143" si="43">IF(AND(C$7="Y",$B80&lt;=C$4),0,IF(AND(C$7="Y",$B80&gt;C$4),(1-U80)*C$2*D79/12,IF(AND($C$7="N",C$4&gt;0),(1-U80)*D79*C$2/12, (1-U80)*D79*C$2/12)))</f>
        <v>#DIV/0!</v>
      </c>
      <c r="J80" s="52" t="e">
        <f t="shared" si="34"/>
        <v>#DIV/0!</v>
      </c>
      <c r="K80" s="51" t="e">
        <f t="shared" si="36"/>
        <v>#DIV/0!</v>
      </c>
      <c r="L80" s="49" t="e">
        <f t="shared" si="37"/>
        <v>#DIV/0!</v>
      </c>
      <c r="M80" s="49">
        <f t="shared" si="38"/>
        <v>0</v>
      </c>
      <c r="N80" s="49">
        <f t="shared" si="28"/>
        <v>0</v>
      </c>
      <c r="O80" s="48" t="e">
        <f t="shared" si="31"/>
        <v>#DIV/0!</v>
      </c>
      <c r="P80" s="38" t="e">
        <f t="shared" si="35"/>
        <v>#DIV/0!</v>
      </c>
      <c r="Q80" s="53"/>
      <c r="R80" s="53">
        <f t="shared" ref="R80:R143" si="44">R$12</f>
        <v>0</v>
      </c>
      <c r="S80" s="53">
        <f t="shared" ref="S80:S143" si="45">1-(1-R80)^(1/12)</f>
        <v>0</v>
      </c>
      <c r="T80" s="53">
        <f t="shared" ref="T80:T143" si="46">T$12</f>
        <v>0.05</v>
      </c>
      <c r="U80" s="53">
        <f t="shared" si="16"/>
        <v>4.2653187775606449E-3</v>
      </c>
    </row>
    <row r="81" spans="1:21" x14ac:dyDescent="0.2">
      <c r="A81" s="62" t="e">
        <f t="shared" si="39"/>
        <v>#DIV/0!</v>
      </c>
      <c r="B81" s="45">
        <f t="shared" si="40"/>
        <v>67</v>
      </c>
      <c r="C81" s="49" t="e">
        <f t="shared" si="32"/>
        <v>#DIV/0!</v>
      </c>
      <c r="D81" s="47" t="e" cm="1">
        <f t="array" ref="D81">_xlfn.IFS(AND($C$7="Y",B81&lt;C$4),C81,AND($C$7="Y",B81=C$4),D80+F81-J81-K81-L81+N81,AND($C$7="Y",B81&gt;$C$4),D80-J81-K81-L81+N81, TRUE, D80-J81-K81-L81+N81)</f>
        <v>#DIV/0!</v>
      </c>
      <c r="E81" s="48">
        <f t="shared" si="41"/>
        <v>0</v>
      </c>
      <c r="F81" s="50">
        <f t="shared" si="42"/>
        <v>0</v>
      </c>
      <c r="G81" s="50">
        <f t="shared" si="17"/>
        <v>0</v>
      </c>
      <c r="H81" s="51" t="e">
        <f t="shared" si="33"/>
        <v>#DIV/0!</v>
      </c>
      <c r="I81" s="52" t="e">
        <f t="shared" si="43"/>
        <v>#DIV/0!</v>
      </c>
      <c r="J81" s="52" t="e">
        <f t="shared" si="34"/>
        <v>#DIV/0!</v>
      </c>
      <c r="K81" s="51" t="e">
        <f t="shared" si="36"/>
        <v>#DIV/0!</v>
      </c>
      <c r="L81" s="49" t="e">
        <f t="shared" si="37"/>
        <v>#DIV/0!</v>
      </c>
      <c r="M81" s="49">
        <f t="shared" si="38"/>
        <v>0</v>
      </c>
      <c r="N81" s="49">
        <f t="shared" si="28"/>
        <v>0</v>
      </c>
      <c r="O81" s="48" t="e">
        <f t="shared" si="31"/>
        <v>#DIV/0!</v>
      </c>
      <c r="P81" s="38" t="e">
        <f t="shared" si="35"/>
        <v>#DIV/0!</v>
      </c>
      <c r="Q81" s="53"/>
      <c r="R81" s="53">
        <f t="shared" si="44"/>
        <v>0</v>
      </c>
      <c r="S81" s="53">
        <f t="shared" si="45"/>
        <v>0</v>
      </c>
      <c r="T81" s="53">
        <f t="shared" si="46"/>
        <v>0.05</v>
      </c>
      <c r="U81" s="53">
        <f t="shared" ref="U81:U144" si="47">1-(1-T81)^(1/12)</f>
        <v>4.2653187775606449E-3</v>
      </c>
    </row>
    <row r="82" spans="1:21" x14ac:dyDescent="0.2">
      <c r="A82" s="62" t="e">
        <f t="shared" si="39"/>
        <v>#DIV/0!</v>
      </c>
      <c r="B82" s="45">
        <f t="shared" si="40"/>
        <v>68</v>
      </c>
      <c r="C82" s="49" t="e">
        <f t="shared" si="32"/>
        <v>#DIV/0!</v>
      </c>
      <c r="D82" s="47" t="e" cm="1">
        <f t="array" ref="D82">_xlfn.IFS(AND($C$7="Y",B82&lt;C$4),C82,AND($C$7="Y",B82=C$4),D81+F82-J82-K82-L82+N82,AND($C$7="Y",B82&gt;$C$4),D81-J82-K82-L82+N82, TRUE, D81-J82-K82-L82+N82)</f>
        <v>#DIV/0!</v>
      </c>
      <c r="E82" s="48">
        <f t="shared" si="41"/>
        <v>0</v>
      </c>
      <c r="F82" s="50">
        <f t="shared" si="42"/>
        <v>0</v>
      </c>
      <c r="G82" s="50">
        <f t="shared" ref="G82:G145" si="48">IF($B82&lt;=$C$4,C$6,0)</f>
        <v>0</v>
      </c>
      <c r="H82" s="51" t="e">
        <f t="shared" si="33"/>
        <v>#DIV/0!</v>
      </c>
      <c r="I82" s="52" t="e">
        <f t="shared" si="43"/>
        <v>#DIV/0!</v>
      </c>
      <c r="J82" s="52" t="e">
        <f t="shared" si="34"/>
        <v>#DIV/0!</v>
      </c>
      <c r="K82" s="51" t="e">
        <f t="shared" si="36"/>
        <v>#DIV/0!</v>
      </c>
      <c r="L82" s="49" t="e">
        <f t="shared" si="37"/>
        <v>#DIV/0!</v>
      </c>
      <c r="M82" s="49">
        <f t="shared" si="38"/>
        <v>0</v>
      </c>
      <c r="N82" s="49">
        <f t="shared" si="28"/>
        <v>0</v>
      </c>
      <c r="O82" s="48" t="e">
        <f t="shared" si="31"/>
        <v>#DIV/0!</v>
      </c>
      <c r="P82" s="38" t="e">
        <f t="shared" si="35"/>
        <v>#DIV/0!</v>
      </c>
      <c r="Q82" s="53"/>
      <c r="R82" s="53">
        <f t="shared" si="44"/>
        <v>0</v>
      </c>
      <c r="S82" s="53">
        <f t="shared" si="45"/>
        <v>0</v>
      </c>
      <c r="T82" s="53">
        <f t="shared" si="46"/>
        <v>0.05</v>
      </c>
      <c r="U82" s="53">
        <f t="shared" si="47"/>
        <v>4.2653187775606449E-3</v>
      </c>
    </row>
    <row r="83" spans="1:21" x14ac:dyDescent="0.2">
      <c r="A83" s="62" t="e">
        <f t="shared" si="39"/>
        <v>#DIV/0!</v>
      </c>
      <c r="B83" s="45">
        <f t="shared" si="40"/>
        <v>69</v>
      </c>
      <c r="C83" s="49" t="e">
        <f t="shared" si="32"/>
        <v>#DIV/0!</v>
      </c>
      <c r="D83" s="47" t="e" cm="1">
        <f t="array" ref="D83">_xlfn.IFS(AND($C$7="Y",B83&lt;C$4),C83,AND($C$7="Y",B83=C$4),D82+F83-J83-K83-L83+N83,AND($C$7="Y",B83&gt;$C$4),D82-J83-K83-L83+N83, TRUE, D82-J83-K83-L83+N83)</f>
        <v>#DIV/0!</v>
      </c>
      <c r="E83" s="48">
        <f t="shared" si="41"/>
        <v>0</v>
      </c>
      <c r="F83" s="50">
        <f t="shared" si="42"/>
        <v>0</v>
      </c>
      <c r="G83" s="50">
        <f t="shared" si="48"/>
        <v>0</v>
      </c>
      <c r="H83" s="51" t="e">
        <f t="shared" si="33"/>
        <v>#DIV/0!</v>
      </c>
      <c r="I83" s="52" t="e">
        <f t="shared" si="43"/>
        <v>#DIV/0!</v>
      </c>
      <c r="J83" s="52" t="e">
        <f t="shared" si="34"/>
        <v>#DIV/0!</v>
      </c>
      <c r="K83" s="51" t="e">
        <f t="shared" si="36"/>
        <v>#DIV/0!</v>
      </c>
      <c r="L83" s="49" t="e">
        <f t="shared" si="37"/>
        <v>#DIV/0!</v>
      </c>
      <c r="M83" s="49">
        <f t="shared" si="38"/>
        <v>0</v>
      </c>
      <c r="N83" s="49">
        <f t="shared" si="28"/>
        <v>0</v>
      </c>
      <c r="O83" s="48" t="e">
        <f t="shared" si="31"/>
        <v>#DIV/0!</v>
      </c>
      <c r="P83" s="38" t="e">
        <f t="shared" si="35"/>
        <v>#DIV/0!</v>
      </c>
      <c r="Q83" s="53"/>
      <c r="R83" s="53">
        <f t="shared" si="44"/>
        <v>0</v>
      </c>
      <c r="S83" s="53">
        <f t="shared" si="45"/>
        <v>0</v>
      </c>
      <c r="T83" s="53">
        <f t="shared" si="46"/>
        <v>0.05</v>
      </c>
      <c r="U83" s="53">
        <f t="shared" si="47"/>
        <v>4.2653187775606449E-3</v>
      </c>
    </row>
    <row r="84" spans="1:21" x14ac:dyDescent="0.2">
      <c r="A84" s="62" t="e">
        <f t="shared" si="39"/>
        <v>#DIV/0!</v>
      </c>
      <c r="B84" s="45">
        <f t="shared" si="40"/>
        <v>70</v>
      </c>
      <c r="C84" s="49" t="e">
        <f t="shared" si="32"/>
        <v>#DIV/0!</v>
      </c>
      <c r="D84" s="47" t="e" cm="1">
        <f t="array" ref="D84">_xlfn.IFS(AND($C$7="Y",B84&lt;C$4),C84,AND($C$7="Y",B84=C$4),D83+F84-J84-K84-L84+N84,AND($C$7="Y",B84&gt;$C$4),D83-J84-K84-L84+N84, TRUE, D83-J84-K84-L84+N84)</f>
        <v>#DIV/0!</v>
      </c>
      <c r="E84" s="48">
        <f t="shared" si="41"/>
        <v>0</v>
      </c>
      <c r="F84" s="50">
        <f t="shared" si="42"/>
        <v>0</v>
      </c>
      <c r="G84" s="50">
        <f t="shared" si="48"/>
        <v>0</v>
      </c>
      <c r="H84" s="51" t="e">
        <f t="shared" si="33"/>
        <v>#DIV/0!</v>
      </c>
      <c r="I84" s="52" t="e">
        <f t="shared" si="43"/>
        <v>#DIV/0!</v>
      </c>
      <c r="J84" s="52" t="e">
        <f t="shared" si="34"/>
        <v>#DIV/0!</v>
      </c>
      <c r="K84" s="51" t="e">
        <f t="shared" si="36"/>
        <v>#DIV/0!</v>
      </c>
      <c r="L84" s="49" t="e">
        <f t="shared" si="37"/>
        <v>#DIV/0!</v>
      </c>
      <c r="M84" s="49">
        <f t="shared" si="38"/>
        <v>0</v>
      </c>
      <c r="N84" s="49">
        <f t="shared" si="28"/>
        <v>0</v>
      </c>
      <c r="O84" s="48" t="e">
        <f t="shared" si="31"/>
        <v>#DIV/0!</v>
      </c>
      <c r="P84" s="38" t="e">
        <f t="shared" si="35"/>
        <v>#DIV/0!</v>
      </c>
      <c r="Q84" s="53"/>
      <c r="R84" s="53">
        <f t="shared" si="44"/>
        <v>0</v>
      </c>
      <c r="S84" s="53">
        <f t="shared" si="45"/>
        <v>0</v>
      </c>
      <c r="T84" s="53">
        <f t="shared" si="46"/>
        <v>0.05</v>
      </c>
      <c r="U84" s="53">
        <f t="shared" si="47"/>
        <v>4.2653187775606449E-3</v>
      </c>
    </row>
    <row r="85" spans="1:21" x14ac:dyDescent="0.2">
      <c r="A85" s="62" t="e">
        <f t="shared" si="39"/>
        <v>#DIV/0!</v>
      </c>
      <c r="B85" s="45">
        <f t="shared" si="40"/>
        <v>71</v>
      </c>
      <c r="C85" s="49" t="e">
        <f t="shared" si="32"/>
        <v>#DIV/0!</v>
      </c>
      <c r="D85" s="47" t="e" cm="1">
        <f t="array" ref="D85">_xlfn.IFS(AND($C$7="Y",B85&lt;C$4),C85,AND($C$7="Y",B85=C$4),D84+F85-J85-K85-L85+N85,AND($C$7="Y",B85&gt;$C$4),D84-J85-K85-L85+N85, TRUE, D84-J85-K85-L85+N85)</f>
        <v>#DIV/0!</v>
      </c>
      <c r="E85" s="48">
        <f t="shared" si="41"/>
        <v>0</v>
      </c>
      <c r="F85" s="50">
        <f t="shared" si="42"/>
        <v>0</v>
      </c>
      <c r="G85" s="50">
        <f t="shared" si="48"/>
        <v>0</v>
      </c>
      <c r="H85" s="51" t="e">
        <f t="shared" si="33"/>
        <v>#DIV/0!</v>
      </c>
      <c r="I85" s="52" t="e">
        <f t="shared" si="43"/>
        <v>#DIV/0!</v>
      </c>
      <c r="J85" s="52" t="e">
        <f t="shared" si="34"/>
        <v>#DIV/0!</v>
      </c>
      <c r="K85" s="51" t="e">
        <f t="shared" si="36"/>
        <v>#DIV/0!</v>
      </c>
      <c r="L85" s="49" t="e">
        <f t="shared" si="37"/>
        <v>#DIV/0!</v>
      </c>
      <c r="M85" s="49">
        <f t="shared" si="38"/>
        <v>0</v>
      </c>
      <c r="N85" s="49">
        <f t="shared" si="28"/>
        <v>0</v>
      </c>
      <c r="O85" s="48" t="e">
        <f t="shared" si="31"/>
        <v>#DIV/0!</v>
      </c>
      <c r="P85" s="38" t="e">
        <f t="shared" si="35"/>
        <v>#DIV/0!</v>
      </c>
      <c r="Q85" s="53"/>
      <c r="R85" s="53">
        <f t="shared" si="44"/>
        <v>0</v>
      </c>
      <c r="S85" s="53">
        <f t="shared" si="45"/>
        <v>0</v>
      </c>
      <c r="T85" s="53">
        <f t="shared" si="46"/>
        <v>0.05</v>
      </c>
      <c r="U85" s="53">
        <f t="shared" si="47"/>
        <v>4.2653187775606449E-3</v>
      </c>
    </row>
    <row r="86" spans="1:21" x14ac:dyDescent="0.2">
      <c r="A86" s="62" t="e">
        <f t="shared" si="39"/>
        <v>#DIV/0!</v>
      </c>
      <c r="B86" s="45">
        <f t="shared" si="40"/>
        <v>72</v>
      </c>
      <c r="C86" s="49" t="e">
        <f t="shared" si="32"/>
        <v>#DIV/0!</v>
      </c>
      <c r="D86" s="47" t="e" cm="1">
        <f t="array" ref="D86">_xlfn.IFS(AND($C$7="Y",B86&lt;C$4),C86,AND($C$7="Y",B86=C$4),D85+F86-J86-K86-L86+N86,AND($C$7="Y",B86&gt;$C$4),D85-J86-K86-L86+N86, TRUE, D85-J86-K86-L86+N86)</f>
        <v>#DIV/0!</v>
      </c>
      <c r="E86" s="48">
        <f t="shared" si="41"/>
        <v>0</v>
      </c>
      <c r="F86" s="50">
        <f t="shared" si="42"/>
        <v>0</v>
      </c>
      <c r="G86" s="50">
        <f t="shared" si="48"/>
        <v>0</v>
      </c>
      <c r="H86" s="51" t="e">
        <f t="shared" si="33"/>
        <v>#DIV/0!</v>
      </c>
      <c r="I86" s="52" t="e">
        <f t="shared" si="43"/>
        <v>#DIV/0!</v>
      </c>
      <c r="J86" s="52" t="e">
        <f t="shared" si="34"/>
        <v>#DIV/0!</v>
      </c>
      <c r="K86" s="51" t="e">
        <f t="shared" si="36"/>
        <v>#DIV/0!</v>
      </c>
      <c r="L86" s="49" t="e">
        <f t="shared" si="37"/>
        <v>#DIV/0!</v>
      </c>
      <c r="M86" s="49">
        <f t="shared" si="38"/>
        <v>0</v>
      </c>
      <c r="N86" s="49">
        <f t="shared" si="28"/>
        <v>0</v>
      </c>
      <c r="O86" s="48" t="e">
        <f t="shared" si="31"/>
        <v>#DIV/0!</v>
      </c>
      <c r="P86" s="38" t="e">
        <f t="shared" si="35"/>
        <v>#DIV/0!</v>
      </c>
      <c r="Q86" s="53"/>
      <c r="R86" s="53">
        <f t="shared" si="44"/>
        <v>0</v>
      </c>
      <c r="S86" s="53">
        <f t="shared" si="45"/>
        <v>0</v>
      </c>
      <c r="T86" s="53">
        <f t="shared" si="46"/>
        <v>0.05</v>
      </c>
      <c r="U86" s="53">
        <f t="shared" si="47"/>
        <v>4.2653187775606449E-3</v>
      </c>
    </row>
    <row r="87" spans="1:21" x14ac:dyDescent="0.2">
      <c r="A87" s="62" t="e">
        <f t="shared" si="39"/>
        <v>#DIV/0!</v>
      </c>
      <c r="B87" s="45">
        <f t="shared" si="40"/>
        <v>73</v>
      </c>
      <c r="C87" s="49" t="e">
        <f t="shared" si="32"/>
        <v>#DIV/0!</v>
      </c>
      <c r="D87" s="47" t="e" cm="1">
        <f t="array" ref="D87">_xlfn.IFS(AND($C$7="Y",B87&lt;C$4),C87,AND($C$7="Y",B87=C$4),D86+F87-J87-K87-L87+N87,AND($C$7="Y",B87&gt;$C$4),D86-J87-K87-L87+N87, TRUE, D86-J87-K87-L87+N87)</f>
        <v>#DIV/0!</v>
      </c>
      <c r="E87" s="48">
        <f t="shared" si="41"/>
        <v>0</v>
      </c>
      <c r="F87" s="50">
        <f t="shared" si="42"/>
        <v>0</v>
      </c>
      <c r="G87" s="50">
        <f t="shared" si="48"/>
        <v>0</v>
      </c>
      <c r="H87" s="51" t="e">
        <f t="shared" si="33"/>
        <v>#DIV/0!</v>
      </c>
      <c r="I87" s="52" t="e">
        <f t="shared" si="43"/>
        <v>#DIV/0!</v>
      </c>
      <c r="J87" s="52" t="e">
        <f t="shared" si="34"/>
        <v>#DIV/0!</v>
      </c>
      <c r="K87" s="51" t="e">
        <f t="shared" si="36"/>
        <v>#DIV/0!</v>
      </c>
      <c r="L87" s="49" t="e">
        <f t="shared" si="37"/>
        <v>#DIV/0!</v>
      </c>
      <c r="M87" s="49">
        <f t="shared" si="38"/>
        <v>0</v>
      </c>
      <c r="N87" s="49">
        <f t="shared" si="28"/>
        <v>0</v>
      </c>
      <c r="O87" s="48" t="e">
        <f t="shared" si="31"/>
        <v>#DIV/0!</v>
      </c>
      <c r="P87" s="38" t="e">
        <f t="shared" si="35"/>
        <v>#DIV/0!</v>
      </c>
      <c r="Q87" s="53"/>
      <c r="R87" s="53">
        <f t="shared" si="44"/>
        <v>0</v>
      </c>
      <c r="S87" s="53">
        <f t="shared" si="45"/>
        <v>0</v>
      </c>
      <c r="T87" s="53">
        <f t="shared" si="46"/>
        <v>0.05</v>
      </c>
      <c r="U87" s="53">
        <f t="shared" si="47"/>
        <v>4.2653187775606449E-3</v>
      </c>
    </row>
    <row r="88" spans="1:21" x14ac:dyDescent="0.2">
      <c r="A88" s="62" t="e">
        <f t="shared" si="39"/>
        <v>#DIV/0!</v>
      </c>
      <c r="B88" s="45">
        <f t="shared" si="40"/>
        <v>74</v>
      </c>
      <c r="C88" s="49" t="e">
        <f t="shared" si="32"/>
        <v>#DIV/0!</v>
      </c>
      <c r="D88" s="47" t="e" cm="1">
        <f t="array" ref="D88">_xlfn.IFS(AND($C$7="Y",B88&lt;C$4),C88,AND($C$7="Y",B88=C$4),D87+F88-J88-K88-L88+N88,AND($C$7="Y",B88&gt;$C$4),D87-J88-K88-L88+N88, TRUE, D87-J88-K88-L88+N88)</f>
        <v>#DIV/0!</v>
      </c>
      <c r="E88" s="48">
        <f t="shared" si="41"/>
        <v>0</v>
      </c>
      <c r="F88" s="50">
        <f t="shared" si="42"/>
        <v>0</v>
      </c>
      <c r="G88" s="50">
        <f t="shared" si="48"/>
        <v>0</v>
      </c>
      <c r="H88" s="51" t="e">
        <f t="shared" si="33"/>
        <v>#DIV/0!</v>
      </c>
      <c r="I88" s="52" t="e">
        <f t="shared" si="43"/>
        <v>#DIV/0!</v>
      </c>
      <c r="J88" s="52" t="e">
        <f t="shared" si="34"/>
        <v>#DIV/0!</v>
      </c>
      <c r="K88" s="51" t="e">
        <f t="shared" si="36"/>
        <v>#DIV/0!</v>
      </c>
      <c r="L88" s="49" t="e">
        <f t="shared" si="37"/>
        <v>#DIV/0!</v>
      </c>
      <c r="M88" s="49">
        <f t="shared" si="38"/>
        <v>0</v>
      </c>
      <c r="N88" s="49">
        <f t="shared" si="28"/>
        <v>0</v>
      </c>
      <c r="O88" s="48" t="e">
        <f t="shared" si="31"/>
        <v>#DIV/0!</v>
      </c>
      <c r="P88" s="38" t="e">
        <f t="shared" si="35"/>
        <v>#DIV/0!</v>
      </c>
      <c r="Q88" s="53"/>
      <c r="R88" s="53">
        <f t="shared" si="44"/>
        <v>0</v>
      </c>
      <c r="S88" s="53">
        <f t="shared" si="45"/>
        <v>0</v>
      </c>
      <c r="T88" s="53">
        <f t="shared" si="46"/>
        <v>0.05</v>
      </c>
      <c r="U88" s="53">
        <f t="shared" si="47"/>
        <v>4.2653187775606449E-3</v>
      </c>
    </row>
    <row r="89" spans="1:21" x14ac:dyDescent="0.2">
      <c r="A89" s="62" t="e">
        <f t="shared" si="39"/>
        <v>#DIV/0!</v>
      </c>
      <c r="B89" s="45">
        <f t="shared" si="40"/>
        <v>75</v>
      </c>
      <c r="C89" s="49" t="e">
        <f t="shared" si="32"/>
        <v>#DIV/0!</v>
      </c>
      <c r="D89" s="47" t="e" cm="1">
        <f t="array" ref="D89">_xlfn.IFS(AND($C$7="Y",B89&lt;C$4),C89,AND($C$7="Y",B89=C$4),D88+F89-J89-K89-L89+N89,AND($C$7="Y",B89&gt;$C$4),D88-J89-K89-L89+N89, TRUE, D88-J89-K89-L89+N89)</f>
        <v>#DIV/0!</v>
      </c>
      <c r="E89" s="48">
        <f t="shared" si="41"/>
        <v>0</v>
      </c>
      <c r="F89" s="50">
        <f t="shared" si="42"/>
        <v>0</v>
      </c>
      <c r="G89" s="50">
        <f t="shared" si="48"/>
        <v>0</v>
      </c>
      <c r="H89" s="51" t="e">
        <f t="shared" si="33"/>
        <v>#DIV/0!</v>
      </c>
      <c r="I89" s="52" t="e">
        <f t="shared" si="43"/>
        <v>#DIV/0!</v>
      </c>
      <c r="J89" s="52" t="e">
        <f t="shared" si="34"/>
        <v>#DIV/0!</v>
      </c>
      <c r="K89" s="51" t="e">
        <f t="shared" si="36"/>
        <v>#DIV/0!</v>
      </c>
      <c r="L89" s="49" t="e">
        <f t="shared" si="37"/>
        <v>#DIV/0!</v>
      </c>
      <c r="M89" s="49">
        <f t="shared" si="38"/>
        <v>0</v>
      </c>
      <c r="N89" s="49">
        <f t="shared" si="28"/>
        <v>0</v>
      </c>
      <c r="O89" s="48" t="e">
        <f t="shared" si="31"/>
        <v>#DIV/0!</v>
      </c>
      <c r="P89" s="38" t="e">
        <f t="shared" si="35"/>
        <v>#DIV/0!</v>
      </c>
      <c r="Q89" s="53"/>
      <c r="R89" s="53">
        <f t="shared" si="44"/>
        <v>0</v>
      </c>
      <c r="S89" s="53">
        <f t="shared" si="45"/>
        <v>0</v>
      </c>
      <c r="T89" s="53">
        <f t="shared" si="46"/>
        <v>0.05</v>
      </c>
      <c r="U89" s="53">
        <f t="shared" si="47"/>
        <v>4.2653187775606449E-3</v>
      </c>
    </row>
    <row r="90" spans="1:21" x14ac:dyDescent="0.2">
      <c r="A90" s="62" t="e">
        <f t="shared" si="39"/>
        <v>#DIV/0!</v>
      </c>
      <c r="B90" s="45">
        <f t="shared" si="40"/>
        <v>76</v>
      </c>
      <c r="C90" s="49" t="e">
        <f t="shared" si="32"/>
        <v>#DIV/0!</v>
      </c>
      <c r="D90" s="47" t="e" cm="1">
        <f t="array" ref="D90">_xlfn.IFS(AND($C$7="Y",B90&lt;C$4),C90,AND($C$7="Y",B90=C$4),D89+F90-J90-K90-L90+N90,AND($C$7="Y",B90&gt;$C$4),D89-J90-K90-L90+N90, TRUE, D89-J90-K90-L90+N90)</f>
        <v>#DIV/0!</v>
      </c>
      <c r="E90" s="48">
        <f t="shared" si="41"/>
        <v>0</v>
      </c>
      <c r="F90" s="50">
        <f t="shared" si="42"/>
        <v>0</v>
      </c>
      <c r="G90" s="50">
        <f t="shared" si="48"/>
        <v>0</v>
      </c>
      <c r="H90" s="51" t="e">
        <f t="shared" si="33"/>
        <v>#DIV/0!</v>
      </c>
      <c r="I90" s="52" t="e">
        <f t="shared" si="43"/>
        <v>#DIV/0!</v>
      </c>
      <c r="J90" s="52" t="e">
        <f t="shared" si="34"/>
        <v>#DIV/0!</v>
      </c>
      <c r="K90" s="51" t="e">
        <f t="shared" si="36"/>
        <v>#DIV/0!</v>
      </c>
      <c r="L90" s="49" t="e">
        <f t="shared" si="37"/>
        <v>#DIV/0!</v>
      </c>
      <c r="M90" s="49">
        <f t="shared" si="38"/>
        <v>0</v>
      </c>
      <c r="N90" s="49">
        <f t="shared" si="28"/>
        <v>0</v>
      </c>
      <c r="O90" s="48" t="e">
        <f t="shared" si="31"/>
        <v>#DIV/0!</v>
      </c>
      <c r="P90" s="38" t="e">
        <f t="shared" si="35"/>
        <v>#DIV/0!</v>
      </c>
      <c r="Q90" s="53"/>
      <c r="R90" s="53">
        <f t="shared" si="44"/>
        <v>0</v>
      </c>
      <c r="S90" s="53">
        <f t="shared" si="45"/>
        <v>0</v>
      </c>
      <c r="T90" s="53">
        <f t="shared" si="46"/>
        <v>0.05</v>
      </c>
      <c r="U90" s="53">
        <f t="shared" si="47"/>
        <v>4.2653187775606449E-3</v>
      </c>
    </row>
    <row r="91" spans="1:21" x14ac:dyDescent="0.2">
      <c r="A91" s="62" t="e">
        <f t="shared" si="39"/>
        <v>#DIV/0!</v>
      </c>
      <c r="B91" s="45">
        <f t="shared" si="40"/>
        <v>77</v>
      </c>
      <c r="C91" s="49" t="e">
        <f t="shared" si="32"/>
        <v>#DIV/0!</v>
      </c>
      <c r="D91" s="47" t="e" cm="1">
        <f t="array" ref="D91">_xlfn.IFS(AND($C$7="Y",B91&lt;C$4),C91,AND($C$7="Y",B91=C$4),D90+F91-J91-K91-L91+N91,AND($C$7="Y",B91&gt;$C$4),D90-J91-K91-L91+N91, TRUE, D90-J91-K91-L91+N91)</f>
        <v>#DIV/0!</v>
      </c>
      <c r="E91" s="48">
        <f t="shared" si="41"/>
        <v>0</v>
      </c>
      <c r="F91" s="50">
        <f t="shared" si="42"/>
        <v>0</v>
      </c>
      <c r="G91" s="50">
        <f t="shared" si="48"/>
        <v>0</v>
      </c>
      <c r="H91" s="51" t="e">
        <f t="shared" si="33"/>
        <v>#DIV/0!</v>
      </c>
      <c r="I91" s="52" t="e">
        <f t="shared" si="43"/>
        <v>#DIV/0!</v>
      </c>
      <c r="J91" s="52" t="e">
        <f t="shared" si="34"/>
        <v>#DIV/0!</v>
      </c>
      <c r="K91" s="51" t="e">
        <f t="shared" si="36"/>
        <v>#DIV/0!</v>
      </c>
      <c r="L91" s="49" t="e">
        <f t="shared" si="37"/>
        <v>#DIV/0!</v>
      </c>
      <c r="M91" s="49">
        <f t="shared" si="38"/>
        <v>0</v>
      </c>
      <c r="N91" s="49">
        <f t="shared" si="28"/>
        <v>0</v>
      </c>
      <c r="O91" s="48" t="e">
        <f t="shared" si="31"/>
        <v>#DIV/0!</v>
      </c>
      <c r="P91" s="38" t="e">
        <f t="shared" si="35"/>
        <v>#DIV/0!</v>
      </c>
      <c r="Q91" s="53"/>
      <c r="R91" s="53">
        <f t="shared" si="44"/>
        <v>0</v>
      </c>
      <c r="S91" s="53">
        <f t="shared" si="45"/>
        <v>0</v>
      </c>
      <c r="T91" s="53">
        <f t="shared" si="46"/>
        <v>0.05</v>
      </c>
      <c r="U91" s="53">
        <f t="shared" si="47"/>
        <v>4.2653187775606449E-3</v>
      </c>
    </row>
    <row r="92" spans="1:21" x14ac:dyDescent="0.2">
      <c r="A92" s="62" t="e">
        <f t="shared" si="39"/>
        <v>#DIV/0!</v>
      </c>
      <c r="B92" s="45">
        <f t="shared" si="40"/>
        <v>78</v>
      </c>
      <c r="C92" s="49" t="e">
        <f t="shared" si="32"/>
        <v>#DIV/0!</v>
      </c>
      <c r="D92" s="47" t="e" cm="1">
        <f t="array" ref="D92">_xlfn.IFS(AND($C$7="Y",B92&lt;C$4),C92,AND($C$7="Y",B92=C$4),D91+F92-J92-K92-L92+N92,AND($C$7="Y",B92&gt;$C$4),D91-J92-K92-L92+N92, TRUE, D91-J92-K92-L92+N92)</f>
        <v>#DIV/0!</v>
      </c>
      <c r="E92" s="48">
        <f t="shared" si="41"/>
        <v>0</v>
      </c>
      <c r="F92" s="50">
        <f t="shared" si="42"/>
        <v>0</v>
      </c>
      <c r="G92" s="50">
        <f t="shared" si="48"/>
        <v>0</v>
      </c>
      <c r="H92" s="51" t="e">
        <f t="shared" si="33"/>
        <v>#DIV/0!</v>
      </c>
      <c r="I92" s="52" t="e">
        <f t="shared" si="43"/>
        <v>#DIV/0!</v>
      </c>
      <c r="J92" s="52" t="e">
        <f t="shared" si="34"/>
        <v>#DIV/0!</v>
      </c>
      <c r="K92" s="51" t="e">
        <f t="shared" si="36"/>
        <v>#DIV/0!</v>
      </c>
      <c r="L92" s="49" t="e">
        <f t="shared" si="37"/>
        <v>#DIV/0!</v>
      </c>
      <c r="M92" s="49">
        <f t="shared" si="38"/>
        <v>0</v>
      </c>
      <c r="N92" s="49">
        <f t="shared" si="28"/>
        <v>0</v>
      </c>
      <c r="O92" s="48" t="e">
        <f t="shared" si="31"/>
        <v>#DIV/0!</v>
      </c>
      <c r="P92" s="38" t="e">
        <f t="shared" si="35"/>
        <v>#DIV/0!</v>
      </c>
      <c r="Q92" s="53"/>
      <c r="R92" s="53">
        <f t="shared" si="44"/>
        <v>0</v>
      </c>
      <c r="S92" s="53">
        <f t="shared" si="45"/>
        <v>0</v>
      </c>
      <c r="T92" s="53">
        <f t="shared" si="46"/>
        <v>0.05</v>
      </c>
      <c r="U92" s="53">
        <f t="shared" si="47"/>
        <v>4.2653187775606449E-3</v>
      </c>
    </row>
    <row r="93" spans="1:21" x14ac:dyDescent="0.2">
      <c r="A93" s="62" t="e">
        <f t="shared" si="39"/>
        <v>#DIV/0!</v>
      </c>
      <c r="B93" s="45">
        <f t="shared" si="40"/>
        <v>79</v>
      </c>
      <c r="C93" s="49" t="e">
        <f t="shared" si="32"/>
        <v>#DIV/0!</v>
      </c>
      <c r="D93" s="47" t="e" cm="1">
        <f t="array" ref="D93">_xlfn.IFS(AND($C$7="Y",B93&lt;C$4),C93,AND($C$7="Y",B93=C$4),D92+F93-J93-K93-L93+N93,AND($C$7="Y",B93&gt;$C$4),D92-J93-K93-L93+N93, TRUE, D92-J93-K93-L93+N93)</f>
        <v>#DIV/0!</v>
      </c>
      <c r="E93" s="48">
        <f t="shared" si="41"/>
        <v>0</v>
      </c>
      <c r="F93" s="50">
        <f t="shared" si="42"/>
        <v>0</v>
      </c>
      <c r="G93" s="50">
        <f t="shared" si="48"/>
        <v>0</v>
      </c>
      <c r="H93" s="51" t="e">
        <f t="shared" si="33"/>
        <v>#DIV/0!</v>
      </c>
      <c r="I93" s="52" t="e">
        <f t="shared" si="43"/>
        <v>#DIV/0!</v>
      </c>
      <c r="J93" s="52" t="e">
        <f t="shared" si="34"/>
        <v>#DIV/0!</v>
      </c>
      <c r="K93" s="51" t="e">
        <f t="shared" si="36"/>
        <v>#DIV/0!</v>
      </c>
      <c r="L93" s="49" t="e">
        <f t="shared" si="37"/>
        <v>#DIV/0!</v>
      </c>
      <c r="M93" s="49">
        <f t="shared" si="38"/>
        <v>0</v>
      </c>
      <c r="N93" s="49">
        <f t="shared" si="28"/>
        <v>0</v>
      </c>
      <c r="O93" s="48" t="e">
        <f t="shared" si="31"/>
        <v>#DIV/0!</v>
      </c>
      <c r="P93" s="38" t="e">
        <f t="shared" si="35"/>
        <v>#DIV/0!</v>
      </c>
      <c r="Q93" s="53"/>
      <c r="R93" s="53">
        <f t="shared" si="44"/>
        <v>0</v>
      </c>
      <c r="S93" s="53">
        <f t="shared" si="45"/>
        <v>0</v>
      </c>
      <c r="T93" s="53">
        <f t="shared" si="46"/>
        <v>0.05</v>
      </c>
      <c r="U93" s="53">
        <f t="shared" si="47"/>
        <v>4.2653187775606449E-3</v>
      </c>
    </row>
    <row r="94" spans="1:21" x14ac:dyDescent="0.2">
      <c r="A94" s="62" t="e">
        <f t="shared" si="39"/>
        <v>#DIV/0!</v>
      </c>
      <c r="B94" s="45">
        <f t="shared" si="40"/>
        <v>80</v>
      </c>
      <c r="C94" s="49" t="e">
        <f t="shared" si="32"/>
        <v>#DIV/0!</v>
      </c>
      <c r="D94" s="47" t="e" cm="1">
        <f t="array" ref="D94">_xlfn.IFS(AND($C$7="Y",B94&lt;C$4),C94,AND($C$7="Y",B94=C$4),D93+F94-J94-K94-L94+N94,AND($C$7="Y",B94&gt;$C$4),D93-J94-K94-L94+N94, TRUE, D93-J94-K94-L94+N94)</f>
        <v>#DIV/0!</v>
      </c>
      <c r="E94" s="48">
        <f t="shared" si="41"/>
        <v>0</v>
      </c>
      <c r="F94" s="50">
        <f t="shared" si="42"/>
        <v>0</v>
      </c>
      <c r="G94" s="50">
        <f t="shared" si="48"/>
        <v>0</v>
      </c>
      <c r="H94" s="51" t="e">
        <f t="shared" si="33"/>
        <v>#DIV/0!</v>
      </c>
      <c r="I94" s="52" t="e">
        <f t="shared" si="43"/>
        <v>#DIV/0!</v>
      </c>
      <c r="J94" s="52" t="e">
        <f t="shared" si="34"/>
        <v>#DIV/0!</v>
      </c>
      <c r="K94" s="51" t="e">
        <f t="shared" si="36"/>
        <v>#DIV/0!</v>
      </c>
      <c r="L94" s="49" t="e">
        <f t="shared" si="37"/>
        <v>#DIV/0!</v>
      </c>
      <c r="M94" s="49">
        <f t="shared" si="38"/>
        <v>0</v>
      </c>
      <c r="N94" s="49">
        <f t="shared" si="28"/>
        <v>0</v>
      </c>
      <c r="O94" s="48" t="e">
        <f t="shared" si="31"/>
        <v>#DIV/0!</v>
      </c>
      <c r="P94" s="38" t="e">
        <f t="shared" si="35"/>
        <v>#DIV/0!</v>
      </c>
      <c r="Q94" s="53"/>
      <c r="R94" s="53">
        <f t="shared" si="44"/>
        <v>0</v>
      </c>
      <c r="S94" s="53">
        <f t="shared" si="45"/>
        <v>0</v>
      </c>
      <c r="T94" s="53">
        <f t="shared" si="46"/>
        <v>0.05</v>
      </c>
      <c r="U94" s="53">
        <f t="shared" si="47"/>
        <v>4.2653187775606449E-3</v>
      </c>
    </row>
    <row r="95" spans="1:21" x14ac:dyDescent="0.2">
      <c r="A95" s="62" t="e">
        <f t="shared" si="39"/>
        <v>#DIV/0!</v>
      </c>
      <c r="B95" s="45">
        <f t="shared" si="40"/>
        <v>81</v>
      </c>
      <c r="C95" s="49" t="e">
        <f t="shared" si="32"/>
        <v>#DIV/0!</v>
      </c>
      <c r="D95" s="47" t="e" cm="1">
        <f t="array" ref="D95">_xlfn.IFS(AND($C$7="Y",B95&lt;C$4),C95,AND($C$7="Y",B95=C$4),D94+F95-J95-K95-L95+N95,AND($C$7="Y",B95&gt;$C$4),D94-J95-K95-L95+N95, TRUE, D94-J95-K95-L95+N95)</f>
        <v>#DIV/0!</v>
      </c>
      <c r="E95" s="48">
        <f t="shared" si="41"/>
        <v>0</v>
      </c>
      <c r="F95" s="50">
        <f t="shared" si="42"/>
        <v>0</v>
      </c>
      <c r="G95" s="50">
        <f t="shared" si="48"/>
        <v>0</v>
      </c>
      <c r="H95" s="51" t="e">
        <f t="shared" si="33"/>
        <v>#DIV/0!</v>
      </c>
      <c r="I95" s="52" t="e">
        <f t="shared" si="43"/>
        <v>#DIV/0!</v>
      </c>
      <c r="J95" s="52" t="e">
        <f t="shared" si="34"/>
        <v>#DIV/0!</v>
      </c>
      <c r="K95" s="51" t="e">
        <f t="shared" si="36"/>
        <v>#DIV/0!</v>
      </c>
      <c r="L95" s="49" t="e">
        <f t="shared" si="37"/>
        <v>#DIV/0!</v>
      </c>
      <c r="M95" s="49">
        <f t="shared" si="38"/>
        <v>0</v>
      </c>
      <c r="N95" s="49">
        <f t="shared" si="28"/>
        <v>0</v>
      </c>
      <c r="O95" s="48" t="e">
        <f t="shared" si="31"/>
        <v>#DIV/0!</v>
      </c>
      <c r="P95" s="38" t="e">
        <f t="shared" si="35"/>
        <v>#DIV/0!</v>
      </c>
      <c r="Q95" s="53"/>
      <c r="R95" s="53">
        <f t="shared" si="44"/>
        <v>0</v>
      </c>
      <c r="S95" s="53">
        <f t="shared" si="45"/>
        <v>0</v>
      </c>
      <c r="T95" s="53">
        <f t="shared" si="46"/>
        <v>0.05</v>
      </c>
      <c r="U95" s="53">
        <f t="shared" si="47"/>
        <v>4.2653187775606449E-3</v>
      </c>
    </row>
    <row r="96" spans="1:21" x14ac:dyDescent="0.2">
      <c r="A96" s="62" t="e">
        <f t="shared" si="39"/>
        <v>#DIV/0!</v>
      </c>
      <c r="B96" s="45">
        <f t="shared" si="40"/>
        <v>82</v>
      </c>
      <c r="C96" s="49" t="e">
        <f t="shared" si="32"/>
        <v>#DIV/0!</v>
      </c>
      <c r="D96" s="47" t="e" cm="1">
        <f t="array" ref="D96">_xlfn.IFS(AND($C$7="Y",B96&lt;C$4),C96,AND($C$7="Y",B96=C$4),D95+F96-J96-K96-L96+N96,AND($C$7="Y",B96&gt;$C$4),D95-J96-K96-L96+N96, TRUE, D95-J96-K96-L96+N96)</f>
        <v>#DIV/0!</v>
      </c>
      <c r="E96" s="48">
        <f t="shared" si="41"/>
        <v>0</v>
      </c>
      <c r="F96" s="50">
        <f t="shared" si="42"/>
        <v>0</v>
      </c>
      <c r="G96" s="50">
        <f t="shared" si="48"/>
        <v>0</v>
      </c>
      <c r="H96" s="51" t="e">
        <f t="shared" si="33"/>
        <v>#DIV/0!</v>
      </c>
      <c r="I96" s="52" t="e">
        <f t="shared" si="43"/>
        <v>#DIV/0!</v>
      </c>
      <c r="J96" s="52" t="e">
        <f t="shared" si="34"/>
        <v>#DIV/0!</v>
      </c>
      <c r="K96" s="51" t="e">
        <f t="shared" si="36"/>
        <v>#DIV/0!</v>
      </c>
      <c r="L96" s="49" t="e">
        <f t="shared" si="37"/>
        <v>#DIV/0!</v>
      </c>
      <c r="M96" s="49">
        <f t="shared" si="38"/>
        <v>0</v>
      </c>
      <c r="N96" s="49">
        <f t="shared" si="28"/>
        <v>0</v>
      </c>
      <c r="O96" s="48" t="e">
        <f t="shared" si="31"/>
        <v>#DIV/0!</v>
      </c>
      <c r="P96" s="38" t="e">
        <f t="shared" si="35"/>
        <v>#DIV/0!</v>
      </c>
      <c r="Q96" s="53"/>
      <c r="R96" s="53">
        <f t="shared" si="44"/>
        <v>0</v>
      </c>
      <c r="S96" s="53">
        <f t="shared" si="45"/>
        <v>0</v>
      </c>
      <c r="T96" s="53">
        <f t="shared" si="46"/>
        <v>0.05</v>
      </c>
      <c r="U96" s="53">
        <f t="shared" si="47"/>
        <v>4.2653187775606449E-3</v>
      </c>
    </row>
    <row r="97" spans="1:21" x14ac:dyDescent="0.2">
      <c r="A97" s="62" t="e">
        <f t="shared" si="39"/>
        <v>#DIV/0!</v>
      </c>
      <c r="B97" s="45">
        <f t="shared" si="40"/>
        <v>83</v>
      </c>
      <c r="C97" s="49" t="e">
        <f t="shared" si="32"/>
        <v>#DIV/0!</v>
      </c>
      <c r="D97" s="47" t="e" cm="1">
        <f t="array" ref="D97">_xlfn.IFS(AND($C$7="Y",B97&lt;C$4),C97,AND($C$7="Y",B97=C$4),D96+F97-J97-K97-L97+N97,AND($C$7="Y",B97&gt;$C$4),D96-J97-K97-L97+N97, TRUE, D96-J97-K97-L97+N97)</f>
        <v>#DIV/0!</v>
      </c>
      <c r="E97" s="48">
        <f t="shared" si="41"/>
        <v>0</v>
      </c>
      <c r="F97" s="50">
        <f t="shared" si="42"/>
        <v>0</v>
      </c>
      <c r="G97" s="50">
        <f t="shared" si="48"/>
        <v>0</v>
      </c>
      <c r="H97" s="51" t="e">
        <f t="shared" si="33"/>
        <v>#DIV/0!</v>
      </c>
      <c r="I97" s="52" t="e">
        <f t="shared" si="43"/>
        <v>#DIV/0!</v>
      </c>
      <c r="J97" s="52" t="e">
        <f t="shared" si="34"/>
        <v>#DIV/0!</v>
      </c>
      <c r="K97" s="51" t="e">
        <f t="shared" si="36"/>
        <v>#DIV/0!</v>
      </c>
      <c r="L97" s="49" t="e">
        <f t="shared" si="37"/>
        <v>#DIV/0!</v>
      </c>
      <c r="M97" s="49">
        <f t="shared" si="38"/>
        <v>0</v>
      </c>
      <c r="N97" s="49">
        <f t="shared" si="28"/>
        <v>0</v>
      </c>
      <c r="O97" s="48" t="e">
        <f t="shared" si="31"/>
        <v>#DIV/0!</v>
      </c>
      <c r="P97" s="38" t="e">
        <f t="shared" si="35"/>
        <v>#DIV/0!</v>
      </c>
      <c r="Q97" s="53"/>
      <c r="R97" s="53">
        <f t="shared" si="44"/>
        <v>0</v>
      </c>
      <c r="S97" s="53">
        <f t="shared" si="45"/>
        <v>0</v>
      </c>
      <c r="T97" s="53">
        <f t="shared" si="46"/>
        <v>0.05</v>
      </c>
      <c r="U97" s="53">
        <f t="shared" si="47"/>
        <v>4.2653187775606449E-3</v>
      </c>
    </row>
    <row r="98" spans="1:21" x14ac:dyDescent="0.2">
      <c r="A98" s="62" t="e">
        <f t="shared" si="39"/>
        <v>#DIV/0!</v>
      </c>
      <c r="B98" s="45">
        <f t="shared" si="40"/>
        <v>84</v>
      </c>
      <c r="C98" s="49" t="e">
        <f t="shared" si="32"/>
        <v>#DIV/0!</v>
      </c>
      <c r="D98" s="47" t="e" cm="1">
        <f t="array" ref="D98">_xlfn.IFS(AND($C$7="Y",B98&lt;C$4),C98,AND($C$7="Y",B98=C$4),D97+F98-J98-K98-L98+N98,AND($C$7="Y",B98&gt;$C$4),D97-J98-K98-L98+N98, TRUE, D97-J98-K98-L98+N98)</f>
        <v>#DIV/0!</v>
      </c>
      <c r="E98" s="48">
        <f t="shared" si="41"/>
        <v>0</v>
      </c>
      <c r="F98" s="50">
        <f t="shared" si="42"/>
        <v>0</v>
      </c>
      <c r="G98" s="50">
        <f t="shared" si="48"/>
        <v>0</v>
      </c>
      <c r="H98" s="51" t="e">
        <f t="shared" si="33"/>
        <v>#DIV/0!</v>
      </c>
      <c r="I98" s="52" t="e">
        <f t="shared" si="43"/>
        <v>#DIV/0!</v>
      </c>
      <c r="J98" s="52" t="e">
        <f t="shared" si="34"/>
        <v>#DIV/0!</v>
      </c>
      <c r="K98" s="51" t="e">
        <f t="shared" si="36"/>
        <v>#DIV/0!</v>
      </c>
      <c r="L98" s="49" t="e">
        <f t="shared" si="37"/>
        <v>#DIV/0!</v>
      </c>
      <c r="M98" s="49">
        <f t="shared" si="38"/>
        <v>0</v>
      </c>
      <c r="N98" s="49">
        <f t="shared" si="28"/>
        <v>0</v>
      </c>
      <c r="O98" s="48" t="e">
        <f t="shared" si="31"/>
        <v>#DIV/0!</v>
      </c>
      <c r="P98" s="38" t="e">
        <f t="shared" si="35"/>
        <v>#DIV/0!</v>
      </c>
      <c r="Q98" s="53"/>
      <c r="R98" s="53">
        <f t="shared" si="44"/>
        <v>0</v>
      </c>
      <c r="S98" s="53">
        <f t="shared" si="45"/>
        <v>0</v>
      </c>
      <c r="T98" s="53">
        <f t="shared" si="46"/>
        <v>0.05</v>
      </c>
      <c r="U98" s="53">
        <f t="shared" si="47"/>
        <v>4.2653187775606449E-3</v>
      </c>
    </row>
    <row r="99" spans="1:21" x14ac:dyDescent="0.2">
      <c r="A99" s="62" t="e">
        <f t="shared" si="39"/>
        <v>#DIV/0!</v>
      </c>
      <c r="B99" s="45">
        <f t="shared" si="40"/>
        <v>85</v>
      </c>
      <c r="C99" s="49" t="e">
        <f t="shared" si="32"/>
        <v>#DIV/0!</v>
      </c>
      <c r="D99" s="47" t="e" cm="1">
        <f t="array" ref="D99">_xlfn.IFS(AND($C$7="Y",B99&lt;C$4),C99,AND($C$7="Y",B99=C$4),D98+F99-J99-K99-L99+N99,AND($C$7="Y",B99&gt;$C$4),D98-J99-K99-L99+N99, TRUE, D98-J99-K99-L99+N99)</f>
        <v>#DIV/0!</v>
      </c>
      <c r="E99" s="48">
        <f t="shared" si="41"/>
        <v>0</v>
      </c>
      <c r="F99" s="50">
        <f t="shared" si="42"/>
        <v>0</v>
      </c>
      <c r="G99" s="50">
        <f t="shared" si="48"/>
        <v>0</v>
      </c>
      <c r="H99" s="51" t="e">
        <f t="shared" si="33"/>
        <v>#DIV/0!</v>
      </c>
      <c r="I99" s="52" t="e">
        <f t="shared" si="43"/>
        <v>#DIV/0!</v>
      </c>
      <c r="J99" s="52" t="e">
        <f t="shared" si="34"/>
        <v>#DIV/0!</v>
      </c>
      <c r="K99" s="51" t="e">
        <f t="shared" si="36"/>
        <v>#DIV/0!</v>
      </c>
      <c r="L99" s="49" t="e">
        <f t="shared" si="37"/>
        <v>#DIV/0!</v>
      </c>
      <c r="M99" s="49">
        <f t="shared" si="38"/>
        <v>0</v>
      </c>
      <c r="N99" s="49">
        <f t="shared" ref="N99:N162" si="49">IFERROR((1-$N$12)*L95,0)</f>
        <v>0</v>
      </c>
      <c r="O99" s="48" t="e">
        <f t="shared" si="31"/>
        <v>#DIV/0!</v>
      </c>
      <c r="P99" s="38" t="e">
        <f t="shared" si="35"/>
        <v>#DIV/0!</v>
      </c>
      <c r="Q99" s="53"/>
      <c r="R99" s="53">
        <f t="shared" si="44"/>
        <v>0</v>
      </c>
      <c r="S99" s="53">
        <f t="shared" si="45"/>
        <v>0</v>
      </c>
      <c r="T99" s="53">
        <f t="shared" si="46"/>
        <v>0.05</v>
      </c>
      <c r="U99" s="53">
        <f t="shared" si="47"/>
        <v>4.2653187775606449E-3</v>
      </c>
    </row>
    <row r="100" spans="1:21" x14ac:dyDescent="0.2">
      <c r="A100" s="62" t="e">
        <f t="shared" si="39"/>
        <v>#DIV/0!</v>
      </c>
      <c r="B100" s="45">
        <f t="shared" si="40"/>
        <v>86</v>
      </c>
      <c r="C100" s="49" t="e">
        <f t="shared" si="32"/>
        <v>#DIV/0!</v>
      </c>
      <c r="D100" s="47" t="e" cm="1">
        <f t="array" ref="D100">_xlfn.IFS(AND($C$7="Y",B100&lt;C$4),C100,AND($C$7="Y",B100=C$4),D99+F100-J100-K100-L100+N100,AND($C$7="Y",B100&gt;$C$4),D99-J100-K100-L100+N100, TRUE, D99-J100-K100-L100+N100)</f>
        <v>#DIV/0!</v>
      </c>
      <c r="E100" s="48">
        <f t="shared" si="41"/>
        <v>0</v>
      </c>
      <c r="F100" s="50">
        <f t="shared" si="42"/>
        <v>0</v>
      </c>
      <c r="G100" s="50">
        <f t="shared" si="48"/>
        <v>0</v>
      </c>
      <c r="H100" s="51" t="e">
        <f t="shared" si="33"/>
        <v>#DIV/0!</v>
      </c>
      <c r="I100" s="52" t="e">
        <f t="shared" si="43"/>
        <v>#DIV/0!</v>
      </c>
      <c r="J100" s="52" t="e">
        <f t="shared" si="34"/>
        <v>#DIV/0!</v>
      </c>
      <c r="K100" s="51" t="e">
        <f t="shared" si="36"/>
        <v>#DIV/0!</v>
      </c>
      <c r="L100" s="49" t="e">
        <f t="shared" si="37"/>
        <v>#DIV/0!</v>
      </c>
      <c r="M100" s="49">
        <f t="shared" si="38"/>
        <v>0</v>
      </c>
      <c r="N100" s="49">
        <f t="shared" si="49"/>
        <v>0</v>
      </c>
      <c r="O100" s="48" t="e">
        <f t="shared" si="31"/>
        <v>#DIV/0!</v>
      </c>
      <c r="P100" s="38" t="e">
        <f t="shared" si="35"/>
        <v>#DIV/0!</v>
      </c>
      <c r="Q100" s="53"/>
      <c r="R100" s="53">
        <f t="shared" si="44"/>
        <v>0</v>
      </c>
      <c r="S100" s="53">
        <f t="shared" si="45"/>
        <v>0</v>
      </c>
      <c r="T100" s="53">
        <f t="shared" si="46"/>
        <v>0.05</v>
      </c>
      <c r="U100" s="53">
        <f t="shared" si="47"/>
        <v>4.2653187775606449E-3</v>
      </c>
    </row>
    <row r="101" spans="1:21" x14ac:dyDescent="0.2">
      <c r="A101" s="62" t="e">
        <f t="shared" si="39"/>
        <v>#DIV/0!</v>
      </c>
      <c r="B101" s="45">
        <f t="shared" si="40"/>
        <v>87</v>
      </c>
      <c r="C101" s="49" t="e">
        <f t="shared" si="32"/>
        <v>#DIV/0!</v>
      </c>
      <c r="D101" s="47" t="e" cm="1">
        <f t="array" ref="D101">_xlfn.IFS(AND($C$7="Y",B101&lt;C$4),C101,AND($C$7="Y",B101=C$4),D100+F101-J101-K101-L101+N101,AND($C$7="Y",B101&gt;$C$4),D100-J101-K101-L101+N101, TRUE, D100-J101-K101-L101+N101)</f>
        <v>#DIV/0!</v>
      </c>
      <c r="E101" s="48">
        <f t="shared" si="41"/>
        <v>0</v>
      </c>
      <c r="F101" s="50">
        <f t="shared" si="42"/>
        <v>0</v>
      </c>
      <c r="G101" s="50">
        <f t="shared" si="48"/>
        <v>0</v>
      </c>
      <c r="H101" s="51" t="e">
        <f t="shared" si="33"/>
        <v>#DIV/0!</v>
      </c>
      <c r="I101" s="52" t="e">
        <f t="shared" si="43"/>
        <v>#DIV/0!</v>
      </c>
      <c r="J101" s="52" t="e">
        <f t="shared" si="34"/>
        <v>#DIV/0!</v>
      </c>
      <c r="K101" s="51" t="e">
        <f t="shared" si="36"/>
        <v>#DIV/0!</v>
      </c>
      <c r="L101" s="49" t="e">
        <f t="shared" si="37"/>
        <v>#DIV/0!</v>
      </c>
      <c r="M101" s="49">
        <f t="shared" si="38"/>
        <v>0</v>
      </c>
      <c r="N101" s="49">
        <f t="shared" si="49"/>
        <v>0</v>
      </c>
      <c r="O101" s="48" t="e">
        <f t="shared" si="31"/>
        <v>#DIV/0!</v>
      </c>
      <c r="P101" s="38" t="e">
        <f t="shared" si="35"/>
        <v>#DIV/0!</v>
      </c>
      <c r="Q101" s="53"/>
      <c r="R101" s="53">
        <f t="shared" si="44"/>
        <v>0</v>
      </c>
      <c r="S101" s="53">
        <f t="shared" si="45"/>
        <v>0</v>
      </c>
      <c r="T101" s="53">
        <f t="shared" si="46"/>
        <v>0.05</v>
      </c>
      <c r="U101" s="53">
        <f t="shared" si="47"/>
        <v>4.2653187775606449E-3</v>
      </c>
    </row>
    <row r="102" spans="1:21" x14ac:dyDescent="0.2">
      <c r="A102" s="62" t="e">
        <f t="shared" si="39"/>
        <v>#DIV/0!</v>
      </c>
      <c r="B102" s="45">
        <f t="shared" si="40"/>
        <v>88</v>
      </c>
      <c r="C102" s="49" t="e">
        <f t="shared" si="32"/>
        <v>#DIV/0!</v>
      </c>
      <c r="D102" s="47" t="e" cm="1">
        <f t="array" ref="D102">_xlfn.IFS(AND($C$7="Y",B102&lt;C$4),C102,AND($C$7="Y",B102=C$4),D101+F102-J102-K102-L102+N102,AND($C$7="Y",B102&gt;$C$4),D101-J102-K102-L102+N102, TRUE, D101-J102-K102-L102+N102)</f>
        <v>#DIV/0!</v>
      </c>
      <c r="E102" s="48">
        <f t="shared" si="41"/>
        <v>0</v>
      </c>
      <c r="F102" s="50">
        <f t="shared" si="42"/>
        <v>0</v>
      </c>
      <c r="G102" s="50">
        <f t="shared" si="48"/>
        <v>0</v>
      </c>
      <c r="H102" s="51" t="e">
        <f t="shared" si="33"/>
        <v>#DIV/0!</v>
      </c>
      <c r="I102" s="52" t="e">
        <f t="shared" si="43"/>
        <v>#DIV/0!</v>
      </c>
      <c r="J102" s="52" t="e">
        <f t="shared" si="34"/>
        <v>#DIV/0!</v>
      </c>
      <c r="K102" s="51" t="e">
        <f t="shared" si="36"/>
        <v>#DIV/0!</v>
      </c>
      <c r="L102" s="49" t="e">
        <f t="shared" si="37"/>
        <v>#DIV/0!</v>
      </c>
      <c r="M102" s="49">
        <f t="shared" si="38"/>
        <v>0</v>
      </c>
      <c r="N102" s="49">
        <f t="shared" si="49"/>
        <v>0</v>
      </c>
      <c r="O102" s="48" t="e">
        <f t="shared" si="31"/>
        <v>#DIV/0!</v>
      </c>
      <c r="P102" s="38" t="e">
        <f t="shared" si="35"/>
        <v>#DIV/0!</v>
      </c>
      <c r="Q102" s="53"/>
      <c r="R102" s="53">
        <f t="shared" si="44"/>
        <v>0</v>
      </c>
      <c r="S102" s="53">
        <f t="shared" si="45"/>
        <v>0</v>
      </c>
      <c r="T102" s="53">
        <f t="shared" si="46"/>
        <v>0.05</v>
      </c>
      <c r="U102" s="53">
        <f t="shared" si="47"/>
        <v>4.2653187775606449E-3</v>
      </c>
    </row>
    <row r="103" spans="1:21" x14ac:dyDescent="0.2">
      <c r="A103" s="62" t="e">
        <f t="shared" si="39"/>
        <v>#DIV/0!</v>
      </c>
      <c r="B103" s="45">
        <f t="shared" si="40"/>
        <v>89</v>
      </c>
      <c r="C103" s="49" t="e">
        <f t="shared" si="32"/>
        <v>#DIV/0!</v>
      </c>
      <c r="D103" s="47" t="e" cm="1">
        <f t="array" ref="D103">_xlfn.IFS(AND($C$7="Y",B103&lt;C$4),C103,AND($C$7="Y",B103=C$4),D102+F103-J103-K103-L103+N103,AND($C$7="Y",B103&gt;$C$4),D102-J103-K103-L103+N103, TRUE, D102-J103-K103-L103+N103)</f>
        <v>#DIV/0!</v>
      </c>
      <c r="E103" s="48">
        <f t="shared" si="41"/>
        <v>0</v>
      </c>
      <c r="F103" s="50">
        <f t="shared" si="42"/>
        <v>0</v>
      </c>
      <c r="G103" s="50">
        <f t="shared" si="48"/>
        <v>0</v>
      </c>
      <c r="H103" s="51" t="e">
        <f t="shared" si="33"/>
        <v>#DIV/0!</v>
      </c>
      <c r="I103" s="52" t="e">
        <f t="shared" si="43"/>
        <v>#DIV/0!</v>
      </c>
      <c r="J103" s="52" t="e">
        <f t="shared" si="34"/>
        <v>#DIV/0!</v>
      </c>
      <c r="K103" s="51" t="e">
        <f t="shared" si="36"/>
        <v>#DIV/0!</v>
      </c>
      <c r="L103" s="49" t="e">
        <f t="shared" si="37"/>
        <v>#DIV/0!</v>
      </c>
      <c r="M103" s="49">
        <f t="shared" si="38"/>
        <v>0</v>
      </c>
      <c r="N103" s="49">
        <f t="shared" si="49"/>
        <v>0</v>
      </c>
      <c r="O103" s="48" t="e">
        <f t="shared" si="31"/>
        <v>#DIV/0!</v>
      </c>
      <c r="P103" s="38" t="e">
        <f t="shared" si="35"/>
        <v>#DIV/0!</v>
      </c>
      <c r="Q103" s="53"/>
      <c r="R103" s="53">
        <f t="shared" si="44"/>
        <v>0</v>
      </c>
      <c r="S103" s="53">
        <f t="shared" si="45"/>
        <v>0</v>
      </c>
      <c r="T103" s="53">
        <f t="shared" si="46"/>
        <v>0.05</v>
      </c>
      <c r="U103" s="53">
        <f t="shared" si="47"/>
        <v>4.2653187775606449E-3</v>
      </c>
    </row>
    <row r="104" spans="1:21" x14ac:dyDescent="0.2">
      <c r="A104" s="62" t="e">
        <f t="shared" si="39"/>
        <v>#DIV/0!</v>
      </c>
      <c r="B104" s="45">
        <f t="shared" si="40"/>
        <v>90</v>
      </c>
      <c r="C104" s="49" t="e">
        <f t="shared" si="32"/>
        <v>#DIV/0!</v>
      </c>
      <c r="D104" s="47" t="e" cm="1">
        <f t="array" ref="D104">_xlfn.IFS(AND($C$7="Y",B104&lt;C$4),C104,AND($C$7="Y",B104=C$4),D103+F104-J104-K104-L104+N104,AND($C$7="Y",B104&gt;$C$4),D103-J104-K104-L104+N104, TRUE, D103-J104-K104-L104+N104)</f>
        <v>#DIV/0!</v>
      </c>
      <c r="E104" s="48">
        <f t="shared" si="41"/>
        <v>0</v>
      </c>
      <c r="F104" s="50">
        <f t="shared" si="42"/>
        <v>0</v>
      </c>
      <c r="G104" s="50">
        <f t="shared" si="48"/>
        <v>0</v>
      </c>
      <c r="H104" s="51" t="e">
        <f t="shared" si="33"/>
        <v>#DIV/0!</v>
      </c>
      <c r="I104" s="52" t="e">
        <f t="shared" si="43"/>
        <v>#DIV/0!</v>
      </c>
      <c r="J104" s="52" t="e">
        <f t="shared" si="34"/>
        <v>#DIV/0!</v>
      </c>
      <c r="K104" s="51" t="e">
        <f t="shared" si="36"/>
        <v>#DIV/0!</v>
      </c>
      <c r="L104" s="49" t="e">
        <f t="shared" si="37"/>
        <v>#DIV/0!</v>
      </c>
      <c r="M104" s="49">
        <f t="shared" si="38"/>
        <v>0</v>
      </c>
      <c r="N104" s="49">
        <f t="shared" si="49"/>
        <v>0</v>
      </c>
      <c r="O104" s="48" t="e">
        <f t="shared" ref="O104:O167" si="50">K104+I104+J104-L104+N104+G104</f>
        <v>#DIV/0!</v>
      </c>
      <c r="P104" s="38" t="e">
        <f t="shared" si="35"/>
        <v>#DIV/0!</v>
      </c>
      <c r="Q104" s="53"/>
      <c r="R104" s="53">
        <f t="shared" si="44"/>
        <v>0</v>
      </c>
      <c r="S104" s="53">
        <f t="shared" si="45"/>
        <v>0</v>
      </c>
      <c r="T104" s="53">
        <f t="shared" si="46"/>
        <v>0.05</v>
      </c>
      <c r="U104" s="53">
        <f t="shared" si="47"/>
        <v>4.2653187775606449E-3</v>
      </c>
    </row>
    <row r="105" spans="1:21" x14ac:dyDescent="0.2">
      <c r="A105" s="62" t="e">
        <f t="shared" si="39"/>
        <v>#DIV/0!</v>
      </c>
      <c r="B105" s="45">
        <f t="shared" si="40"/>
        <v>91</v>
      </c>
      <c r="C105" s="49" t="e">
        <f t="shared" ref="C105:C168" si="51">IF(B105&lt;C$4,C$1,D104)</f>
        <v>#DIV/0!</v>
      </c>
      <c r="D105" s="47" t="e" cm="1">
        <f t="array" ref="D105">_xlfn.IFS(AND($C$7="Y",B105&lt;C$4),C105,AND($C$7="Y",B105=C$4),D104+F105-J105-K105-L105+N105,AND($C$7="Y",B105&gt;$C$4),D104-J105-K105-L105+N105, TRUE, D104-J105-K105-L105+N105)</f>
        <v>#DIV/0!</v>
      </c>
      <c r="E105" s="48">
        <f t="shared" si="41"/>
        <v>0</v>
      </c>
      <c r="F105" s="50">
        <f t="shared" si="42"/>
        <v>0</v>
      </c>
      <c r="G105" s="50">
        <f t="shared" si="48"/>
        <v>0</v>
      </c>
      <c r="H105" s="51" t="e">
        <f t="shared" ref="H105:H168" si="52">IF(AND($B105&lt;=$C$4,C$7="Y"),0,IF(AND(C$7="N",C$4&gt;0,B105&lt;=C$4),0,D104*C$2/12/(1-(1/(1+C$2/12))^(C$3+C$4-B105+1))))</f>
        <v>#DIV/0!</v>
      </c>
      <c r="I105" s="52" t="e">
        <f t="shared" si="43"/>
        <v>#DIV/0!</v>
      </c>
      <c r="J105" s="52" t="e">
        <f t="shared" ref="J105:J168" si="53">IF(AND($B105&lt;=$C$4,C$7="Y"),0,IF(AND(C$7="N",C$4&gt;0,B105&lt;=C$4),0,H105-I105))</f>
        <v>#DIV/0!</v>
      </c>
      <c r="K105" s="51" t="e">
        <f t="shared" si="36"/>
        <v>#DIV/0!</v>
      </c>
      <c r="L105" s="49" t="e">
        <f t="shared" si="37"/>
        <v>#DIV/0!</v>
      </c>
      <c r="M105" s="49">
        <f t="shared" si="38"/>
        <v>0</v>
      </c>
      <c r="N105" s="49">
        <f t="shared" si="49"/>
        <v>0</v>
      </c>
      <c r="O105" s="48" t="e">
        <f t="shared" si="50"/>
        <v>#DIV/0!</v>
      </c>
      <c r="P105" s="38" t="e">
        <f t="shared" ref="P105:P168" si="54">O105*(1/((1+P$12)^(B105/12)))</f>
        <v>#DIV/0!</v>
      </c>
      <c r="Q105" s="53"/>
      <c r="R105" s="53">
        <f t="shared" si="44"/>
        <v>0</v>
      </c>
      <c r="S105" s="53">
        <f t="shared" si="45"/>
        <v>0</v>
      </c>
      <c r="T105" s="53">
        <f t="shared" si="46"/>
        <v>0.05</v>
      </c>
      <c r="U105" s="53">
        <f t="shared" si="47"/>
        <v>4.2653187775606449E-3</v>
      </c>
    </row>
    <row r="106" spans="1:21" x14ac:dyDescent="0.2">
      <c r="A106" s="62" t="e">
        <f t="shared" si="39"/>
        <v>#DIV/0!</v>
      </c>
      <c r="B106" s="45">
        <f t="shared" si="40"/>
        <v>92</v>
      </c>
      <c r="C106" s="49" t="e">
        <f t="shared" si="51"/>
        <v>#DIV/0!</v>
      </c>
      <c r="D106" s="47" t="e" cm="1">
        <f t="array" ref="D106">_xlfn.IFS(AND($C$7="Y",B106&lt;C$4),C106,AND($C$7="Y",B106=C$4),D105+F106-J106-K106-L106+N106,AND($C$7="Y",B106&gt;$C$4),D105-J106-K106-L106+N106, TRUE, D105-J106-K106-L106+N106)</f>
        <v>#DIV/0!</v>
      </c>
      <c r="E106" s="48">
        <f t="shared" si="41"/>
        <v>0</v>
      </c>
      <c r="F106" s="50">
        <f t="shared" si="42"/>
        <v>0</v>
      </c>
      <c r="G106" s="50">
        <f t="shared" si="48"/>
        <v>0</v>
      </c>
      <c r="H106" s="51" t="e">
        <f t="shared" si="52"/>
        <v>#DIV/0!</v>
      </c>
      <c r="I106" s="52" t="e">
        <f t="shared" si="43"/>
        <v>#DIV/0!</v>
      </c>
      <c r="J106" s="52" t="e">
        <f t="shared" si="53"/>
        <v>#DIV/0!</v>
      </c>
      <c r="K106" s="51" t="e">
        <f t="shared" ref="K106:K169" si="55">IF(AND(C$7="Y",$B106&lt;=$C$4),0,IF(AND(C$7="N",C$4&gt;0,B106&lt;=C$4),0,S106*(C106-J106)))</f>
        <v>#DIV/0!</v>
      </c>
      <c r="L106" s="49" t="e">
        <f t="shared" si="37"/>
        <v>#DIV/0!</v>
      </c>
      <c r="M106" s="49">
        <f t="shared" si="38"/>
        <v>0</v>
      </c>
      <c r="N106" s="49">
        <f t="shared" si="49"/>
        <v>0</v>
      </c>
      <c r="O106" s="48" t="e">
        <f t="shared" si="50"/>
        <v>#DIV/0!</v>
      </c>
      <c r="P106" s="38" t="e">
        <f t="shared" si="54"/>
        <v>#DIV/0!</v>
      </c>
      <c r="Q106" s="53"/>
      <c r="R106" s="53">
        <f t="shared" si="44"/>
        <v>0</v>
      </c>
      <c r="S106" s="53">
        <f t="shared" si="45"/>
        <v>0</v>
      </c>
      <c r="T106" s="53">
        <f t="shared" si="46"/>
        <v>0.05</v>
      </c>
      <c r="U106" s="53">
        <f t="shared" si="47"/>
        <v>4.2653187775606449E-3</v>
      </c>
    </row>
    <row r="107" spans="1:21" x14ac:dyDescent="0.2">
      <c r="A107" s="62" t="e">
        <f t="shared" si="39"/>
        <v>#DIV/0!</v>
      </c>
      <c r="B107" s="45">
        <f t="shared" si="40"/>
        <v>93</v>
      </c>
      <c r="C107" s="49" t="e">
        <f t="shared" si="51"/>
        <v>#DIV/0!</v>
      </c>
      <c r="D107" s="47" t="e" cm="1">
        <f t="array" ref="D107">_xlfn.IFS(AND($C$7="Y",B107&lt;C$4),C107,AND($C$7="Y",B107=C$4),D106+F107-J107-K107-L107+N107,AND($C$7="Y",B107&gt;$C$4),D106-J107-K107-L107+N107, TRUE, D106-J107-K107-L107+N107)</f>
        <v>#DIV/0!</v>
      </c>
      <c r="E107" s="48">
        <f t="shared" si="41"/>
        <v>0</v>
      </c>
      <c r="F107" s="50">
        <f t="shared" si="42"/>
        <v>0</v>
      </c>
      <c r="G107" s="50">
        <f t="shared" si="48"/>
        <v>0</v>
      </c>
      <c r="H107" s="51" t="e">
        <f t="shared" si="52"/>
        <v>#DIV/0!</v>
      </c>
      <c r="I107" s="52" t="e">
        <f t="shared" si="43"/>
        <v>#DIV/0!</v>
      </c>
      <c r="J107" s="52" t="e">
        <f t="shared" si="53"/>
        <v>#DIV/0!</v>
      </c>
      <c r="K107" s="51" t="e">
        <f t="shared" si="55"/>
        <v>#DIV/0!</v>
      </c>
      <c r="L107" s="49" t="e">
        <f t="shared" si="37"/>
        <v>#DIV/0!</v>
      </c>
      <c r="M107" s="49">
        <f t="shared" si="38"/>
        <v>0</v>
      </c>
      <c r="N107" s="49">
        <f t="shared" si="49"/>
        <v>0</v>
      </c>
      <c r="O107" s="48" t="e">
        <f t="shared" si="50"/>
        <v>#DIV/0!</v>
      </c>
      <c r="P107" s="38" t="e">
        <f t="shared" si="54"/>
        <v>#DIV/0!</v>
      </c>
      <c r="Q107" s="53"/>
      <c r="R107" s="53">
        <f t="shared" si="44"/>
        <v>0</v>
      </c>
      <c r="S107" s="53">
        <f t="shared" si="45"/>
        <v>0</v>
      </c>
      <c r="T107" s="53">
        <f t="shared" si="46"/>
        <v>0.05</v>
      </c>
      <c r="U107" s="53">
        <f t="shared" si="47"/>
        <v>4.2653187775606449E-3</v>
      </c>
    </row>
    <row r="108" spans="1:21" x14ac:dyDescent="0.2">
      <c r="A108" s="62" t="e">
        <f t="shared" si="39"/>
        <v>#DIV/0!</v>
      </c>
      <c r="B108" s="45">
        <f t="shared" si="40"/>
        <v>94</v>
      </c>
      <c r="C108" s="49" t="e">
        <f t="shared" si="51"/>
        <v>#DIV/0!</v>
      </c>
      <c r="D108" s="47" t="e" cm="1">
        <f t="array" ref="D108">_xlfn.IFS(AND($C$7="Y",B108&lt;C$4),C108,AND($C$7="Y",B108=C$4),D107+F108-J108-K108-L108+N108,AND($C$7="Y",B108&gt;$C$4),D107-J108-K108-L108+N108, TRUE, D107-J108-K108-L108+N108)</f>
        <v>#DIV/0!</v>
      </c>
      <c r="E108" s="48">
        <f t="shared" si="41"/>
        <v>0</v>
      </c>
      <c r="F108" s="50">
        <f t="shared" si="42"/>
        <v>0</v>
      </c>
      <c r="G108" s="50">
        <f t="shared" si="48"/>
        <v>0</v>
      </c>
      <c r="H108" s="51" t="e">
        <f t="shared" si="52"/>
        <v>#DIV/0!</v>
      </c>
      <c r="I108" s="52" t="e">
        <f t="shared" si="43"/>
        <v>#DIV/0!</v>
      </c>
      <c r="J108" s="52" t="e">
        <f t="shared" si="53"/>
        <v>#DIV/0!</v>
      </c>
      <c r="K108" s="51" t="e">
        <f t="shared" si="55"/>
        <v>#DIV/0!</v>
      </c>
      <c r="L108" s="49" t="e">
        <f t="shared" si="37"/>
        <v>#DIV/0!</v>
      </c>
      <c r="M108" s="49">
        <f t="shared" si="38"/>
        <v>0</v>
      </c>
      <c r="N108" s="49">
        <f t="shared" si="49"/>
        <v>0</v>
      </c>
      <c r="O108" s="48" t="e">
        <f t="shared" si="50"/>
        <v>#DIV/0!</v>
      </c>
      <c r="P108" s="38" t="e">
        <f t="shared" si="54"/>
        <v>#DIV/0!</v>
      </c>
      <c r="Q108" s="53"/>
      <c r="R108" s="53">
        <f t="shared" si="44"/>
        <v>0</v>
      </c>
      <c r="S108" s="53">
        <f t="shared" si="45"/>
        <v>0</v>
      </c>
      <c r="T108" s="53">
        <f t="shared" si="46"/>
        <v>0.05</v>
      </c>
      <c r="U108" s="53">
        <f t="shared" si="47"/>
        <v>4.2653187775606449E-3</v>
      </c>
    </row>
    <row r="109" spans="1:21" x14ac:dyDescent="0.2">
      <c r="A109" s="62" t="e">
        <f t="shared" si="39"/>
        <v>#DIV/0!</v>
      </c>
      <c r="B109" s="45">
        <f t="shared" si="40"/>
        <v>95</v>
      </c>
      <c r="C109" s="49" t="e">
        <f t="shared" si="51"/>
        <v>#DIV/0!</v>
      </c>
      <c r="D109" s="47" t="e" cm="1">
        <f t="array" ref="D109">_xlfn.IFS(AND($C$7="Y",B109&lt;C$4),C109,AND($C$7="Y",B109=C$4),D108+F109-J109-K109-L109+N109,AND($C$7="Y",B109&gt;$C$4),D108-J109-K109-L109+N109, TRUE, D108-J109-K109-L109+N109)</f>
        <v>#DIV/0!</v>
      </c>
      <c r="E109" s="48">
        <f t="shared" si="41"/>
        <v>0</v>
      </c>
      <c r="F109" s="50">
        <f t="shared" si="42"/>
        <v>0</v>
      </c>
      <c r="G109" s="50">
        <f t="shared" si="48"/>
        <v>0</v>
      </c>
      <c r="H109" s="51" t="e">
        <f t="shared" si="52"/>
        <v>#DIV/0!</v>
      </c>
      <c r="I109" s="52" t="e">
        <f t="shared" si="43"/>
        <v>#DIV/0!</v>
      </c>
      <c r="J109" s="52" t="e">
        <f t="shared" si="53"/>
        <v>#DIV/0!</v>
      </c>
      <c r="K109" s="51" t="e">
        <f t="shared" si="55"/>
        <v>#DIV/0!</v>
      </c>
      <c r="L109" s="49" t="e">
        <f t="shared" ref="L109:L172" si="56">IF(AND(C$7="Y",$B109&lt;=$C$4),0,IF(AND(C$7="N",C$4&gt;0,B109&lt;=C$4),0,U109*D108))</f>
        <v>#DIV/0!</v>
      </c>
      <c r="M109" s="49">
        <f t="shared" ref="M109:M172" si="57">IFERROR(L105*-1,0)</f>
        <v>0</v>
      </c>
      <c r="N109" s="49">
        <f t="shared" si="49"/>
        <v>0</v>
      </c>
      <c r="O109" s="48" t="e">
        <f t="shared" si="50"/>
        <v>#DIV/0!</v>
      </c>
      <c r="P109" s="38" t="e">
        <f t="shared" si="54"/>
        <v>#DIV/0!</v>
      </c>
      <c r="Q109" s="53"/>
      <c r="R109" s="53">
        <f t="shared" si="44"/>
        <v>0</v>
      </c>
      <c r="S109" s="53">
        <f t="shared" si="45"/>
        <v>0</v>
      </c>
      <c r="T109" s="53">
        <f t="shared" si="46"/>
        <v>0.05</v>
      </c>
      <c r="U109" s="53">
        <f t="shared" si="47"/>
        <v>4.2653187775606449E-3</v>
      </c>
    </row>
    <row r="110" spans="1:21" x14ac:dyDescent="0.2">
      <c r="A110" s="62" t="e">
        <f t="shared" si="39"/>
        <v>#DIV/0!</v>
      </c>
      <c r="B110" s="45">
        <f t="shared" si="40"/>
        <v>96</v>
      </c>
      <c r="C110" s="49" t="e">
        <f t="shared" si="51"/>
        <v>#DIV/0!</v>
      </c>
      <c r="D110" s="47" t="e" cm="1">
        <f t="array" ref="D110">_xlfn.IFS(AND($C$7="Y",B110&lt;C$4),C110,AND($C$7="Y",B110=C$4),D109+F110-J110-K110-L110+N110,AND($C$7="Y",B110&gt;$C$4),D109-J110-K110-L110+N110, TRUE, D109-J110-K110-L110+N110)</f>
        <v>#DIV/0!</v>
      </c>
      <c r="E110" s="48">
        <f t="shared" si="41"/>
        <v>0</v>
      </c>
      <c r="F110" s="50">
        <f t="shared" si="42"/>
        <v>0</v>
      </c>
      <c r="G110" s="50">
        <f t="shared" si="48"/>
        <v>0</v>
      </c>
      <c r="H110" s="51" t="e">
        <f t="shared" si="52"/>
        <v>#DIV/0!</v>
      </c>
      <c r="I110" s="52" t="e">
        <f t="shared" si="43"/>
        <v>#DIV/0!</v>
      </c>
      <c r="J110" s="52" t="e">
        <f t="shared" si="53"/>
        <v>#DIV/0!</v>
      </c>
      <c r="K110" s="51" t="e">
        <f t="shared" si="55"/>
        <v>#DIV/0!</v>
      </c>
      <c r="L110" s="49" t="e">
        <f t="shared" si="56"/>
        <v>#DIV/0!</v>
      </c>
      <c r="M110" s="49">
        <f t="shared" si="57"/>
        <v>0</v>
      </c>
      <c r="N110" s="49">
        <f t="shared" si="49"/>
        <v>0</v>
      </c>
      <c r="O110" s="48" t="e">
        <f t="shared" si="50"/>
        <v>#DIV/0!</v>
      </c>
      <c r="P110" s="38" t="e">
        <f t="shared" si="54"/>
        <v>#DIV/0!</v>
      </c>
      <c r="Q110" s="53"/>
      <c r="R110" s="53">
        <f t="shared" si="44"/>
        <v>0</v>
      </c>
      <c r="S110" s="53">
        <f t="shared" si="45"/>
        <v>0</v>
      </c>
      <c r="T110" s="53">
        <f t="shared" si="46"/>
        <v>0.05</v>
      </c>
      <c r="U110" s="53">
        <f t="shared" si="47"/>
        <v>4.2653187775606449E-3</v>
      </c>
    </row>
    <row r="111" spans="1:21" x14ac:dyDescent="0.2">
      <c r="A111" s="62" t="e">
        <f t="shared" si="39"/>
        <v>#DIV/0!</v>
      </c>
      <c r="B111" s="45">
        <f t="shared" si="40"/>
        <v>97</v>
      </c>
      <c r="C111" s="49" t="e">
        <f t="shared" si="51"/>
        <v>#DIV/0!</v>
      </c>
      <c r="D111" s="47" t="e" cm="1">
        <f t="array" ref="D111">_xlfn.IFS(AND($C$7="Y",B111&lt;C$4),C111,AND($C$7="Y",B111=C$4),D110+F111-J111-K111-L111+N111,AND($C$7="Y",B111&gt;$C$4),D110-J111-K111-L111+N111, TRUE, D110-J111-K111-L111+N111)</f>
        <v>#DIV/0!</v>
      </c>
      <c r="E111" s="48">
        <f t="shared" si="41"/>
        <v>0</v>
      </c>
      <c r="F111" s="50">
        <f t="shared" si="42"/>
        <v>0</v>
      </c>
      <c r="G111" s="50">
        <f t="shared" si="48"/>
        <v>0</v>
      </c>
      <c r="H111" s="51" t="e">
        <f t="shared" si="52"/>
        <v>#DIV/0!</v>
      </c>
      <c r="I111" s="52" t="e">
        <f t="shared" si="43"/>
        <v>#DIV/0!</v>
      </c>
      <c r="J111" s="52" t="e">
        <f t="shared" si="53"/>
        <v>#DIV/0!</v>
      </c>
      <c r="K111" s="51" t="e">
        <f t="shared" si="55"/>
        <v>#DIV/0!</v>
      </c>
      <c r="L111" s="49" t="e">
        <f t="shared" si="56"/>
        <v>#DIV/0!</v>
      </c>
      <c r="M111" s="49">
        <f t="shared" si="57"/>
        <v>0</v>
      </c>
      <c r="N111" s="49">
        <f t="shared" si="49"/>
        <v>0</v>
      </c>
      <c r="O111" s="48" t="e">
        <f t="shared" si="50"/>
        <v>#DIV/0!</v>
      </c>
      <c r="P111" s="38" t="e">
        <f t="shared" si="54"/>
        <v>#DIV/0!</v>
      </c>
      <c r="Q111" s="53"/>
      <c r="R111" s="53">
        <f t="shared" si="44"/>
        <v>0</v>
      </c>
      <c r="S111" s="53">
        <f t="shared" si="45"/>
        <v>0</v>
      </c>
      <c r="T111" s="53">
        <f t="shared" si="46"/>
        <v>0.05</v>
      </c>
      <c r="U111" s="53">
        <f t="shared" si="47"/>
        <v>4.2653187775606449E-3</v>
      </c>
    </row>
    <row r="112" spans="1:21" x14ac:dyDescent="0.2">
      <c r="A112" s="62" t="e">
        <f t="shared" si="39"/>
        <v>#DIV/0!</v>
      </c>
      <c r="B112" s="45">
        <f t="shared" si="40"/>
        <v>98</v>
      </c>
      <c r="C112" s="49" t="e">
        <f t="shared" si="51"/>
        <v>#DIV/0!</v>
      </c>
      <c r="D112" s="47" t="e" cm="1">
        <f t="array" ref="D112">_xlfn.IFS(AND($C$7="Y",B112&lt;C$4),C112,AND($C$7="Y",B112=C$4),D111+F112-J112-K112-L112+N112,AND($C$7="Y",B112&gt;$C$4),D111-J112-K112-L112+N112, TRUE, D111-J112-K112-L112+N112)</f>
        <v>#DIV/0!</v>
      </c>
      <c r="E112" s="48">
        <f t="shared" si="41"/>
        <v>0</v>
      </c>
      <c r="F112" s="50">
        <f t="shared" si="42"/>
        <v>0</v>
      </c>
      <c r="G112" s="50">
        <f t="shared" si="48"/>
        <v>0</v>
      </c>
      <c r="H112" s="51" t="e">
        <f t="shared" si="52"/>
        <v>#DIV/0!</v>
      </c>
      <c r="I112" s="52" t="e">
        <f t="shared" si="43"/>
        <v>#DIV/0!</v>
      </c>
      <c r="J112" s="52" t="e">
        <f t="shared" si="53"/>
        <v>#DIV/0!</v>
      </c>
      <c r="K112" s="51" t="e">
        <f t="shared" si="55"/>
        <v>#DIV/0!</v>
      </c>
      <c r="L112" s="49" t="e">
        <f t="shared" si="56"/>
        <v>#DIV/0!</v>
      </c>
      <c r="M112" s="49">
        <f t="shared" si="57"/>
        <v>0</v>
      </c>
      <c r="N112" s="49">
        <f t="shared" si="49"/>
        <v>0</v>
      </c>
      <c r="O112" s="48" t="e">
        <f t="shared" si="50"/>
        <v>#DIV/0!</v>
      </c>
      <c r="P112" s="38" t="e">
        <f t="shared" si="54"/>
        <v>#DIV/0!</v>
      </c>
      <c r="Q112" s="53"/>
      <c r="R112" s="53">
        <f t="shared" si="44"/>
        <v>0</v>
      </c>
      <c r="S112" s="53">
        <f t="shared" si="45"/>
        <v>0</v>
      </c>
      <c r="T112" s="53">
        <f t="shared" si="46"/>
        <v>0.05</v>
      </c>
      <c r="U112" s="53">
        <f t="shared" si="47"/>
        <v>4.2653187775606449E-3</v>
      </c>
    </row>
    <row r="113" spans="1:21" x14ac:dyDescent="0.2">
      <c r="A113" s="62" t="e">
        <f t="shared" si="39"/>
        <v>#DIV/0!</v>
      </c>
      <c r="B113" s="45">
        <f t="shared" si="40"/>
        <v>99</v>
      </c>
      <c r="C113" s="49" t="e">
        <f t="shared" si="51"/>
        <v>#DIV/0!</v>
      </c>
      <c r="D113" s="47" t="e" cm="1">
        <f t="array" ref="D113">_xlfn.IFS(AND($C$7="Y",B113&lt;C$4),C113,AND($C$7="Y",B113=C$4),D112+F113-J113-K113-L113+N113,AND($C$7="Y",B113&gt;$C$4),D112-J113-K113-L113+N113, TRUE, D112-J113-K113-L113+N113)</f>
        <v>#DIV/0!</v>
      </c>
      <c r="E113" s="48">
        <f t="shared" si="41"/>
        <v>0</v>
      </c>
      <c r="F113" s="50">
        <f t="shared" si="42"/>
        <v>0</v>
      </c>
      <c r="G113" s="50">
        <f t="shared" si="48"/>
        <v>0</v>
      </c>
      <c r="H113" s="51" t="e">
        <f t="shared" si="52"/>
        <v>#DIV/0!</v>
      </c>
      <c r="I113" s="52" t="e">
        <f t="shared" si="43"/>
        <v>#DIV/0!</v>
      </c>
      <c r="J113" s="52" t="e">
        <f t="shared" si="53"/>
        <v>#DIV/0!</v>
      </c>
      <c r="K113" s="51" t="e">
        <f t="shared" si="55"/>
        <v>#DIV/0!</v>
      </c>
      <c r="L113" s="49" t="e">
        <f t="shared" si="56"/>
        <v>#DIV/0!</v>
      </c>
      <c r="M113" s="49">
        <f t="shared" si="57"/>
        <v>0</v>
      </c>
      <c r="N113" s="49">
        <f t="shared" si="49"/>
        <v>0</v>
      </c>
      <c r="O113" s="48" t="e">
        <f t="shared" si="50"/>
        <v>#DIV/0!</v>
      </c>
      <c r="P113" s="38" t="e">
        <f t="shared" si="54"/>
        <v>#DIV/0!</v>
      </c>
      <c r="Q113" s="53"/>
      <c r="R113" s="53">
        <f t="shared" si="44"/>
        <v>0</v>
      </c>
      <c r="S113" s="53">
        <f t="shared" si="45"/>
        <v>0</v>
      </c>
      <c r="T113" s="53">
        <f t="shared" si="46"/>
        <v>0.05</v>
      </c>
      <c r="U113" s="53">
        <f t="shared" si="47"/>
        <v>4.2653187775606449E-3</v>
      </c>
    </row>
    <row r="114" spans="1:21" x14ac:dyDescent="0.2">
      <c r="A114" s="62" t="e">
        <f t="shared" si="39"/>
        <v>#DIV/0!</v>
      </c>
      <c r="B114" s="45">
        <f t="shared" si="40"/>
        <v>100</v>
      </c>
      <c r="C114" s="49" t="e">
        <f t="shared" si="51"/>
        <v>#DIV/0!</v>
      </c>
      <c r="D114" s="47" t="e" cm="1">
        <f t="array" ref="D114">_xlfn.IFS(AND($C$7="Y",B114&lt;C$4),C114,AND($C$7="Y",B114=C$4),D113+F114-J114-K114-L114+N114,AND($C$7="Y",B114&gt;$C$4),D113-J114-K114-L114+N114, TRUE, D113-J114-K114-L114+N114)</f>
        <v>#DIV/0!</v>
      </c>
      <c r="E114" s="48">
        <f t="shared" si="41"/>
        <v>0</v>
      </c>
      <c r="F114" s="50">
        <f t="shared" si="42"/>
        <v>0</v>
      </c>
      <c r="G114" s="50">
        <f t="shared" si="48"/>
        <v>0</v>
      </c>
      <c r="H114" s="51" t="e">
        <f t="shared" si="52"/>
        <v>#DIV/0!</v>
      </c>
      <c r="I114" s="52" t="e">
        <f t="shared" si="43"/>
        <v>#DIV/0!</v>
      </c>
      <c r="J114" s="52" t="e">
        <f t="shared" si="53"/>
        <v>#DIV/0!</v>
      </c>
      <c r="K114" s="51" t="e">
        <f t="shared" si="55"/>
        <v>#DIV/0!</v>
      </c>
      <c r="L114" s="49" t="e">
        <f t="shared" si="56"/>
        <v>#DIV/0!</v>
      </c>
      <c r="M114" s="49">
        <f t="shared" si="57"/>
        <v>0</v>
      </c>
      <c r="N114" s="49">
        <f t="shared" si="49"/>
        <v>0</v>
      </c>
      <c r="O114" s="48" t="e">
        <f t="shared" si="50"/>
        <v>#DIV/0!</v>
      </c>
      <c r="P114" s="38" t="e">
        <f t="shared" si="54"/>
        <v>#DIV/0!</v>
      </c>
      <c r="Q114" s="53"/>
      <c r="R114" s="53">
        <f t="shared" si="44"/>
        <v>0</v>
      </c>
      <c r="S114" s="53">
        <f t="shared" si="45"/>
        <v>0</v>
      </c>
      <c r="T114" s="53">
        <f t="shared" si="46"/>
        <v>0.05</v>
      </c>
      <c r="U114" s="53">
        <f t="shared" si="47"/>
        <v>4.2653187775606449E-3</v>
      </c>
    </row>
    <row r="115" spans="1:21" x14ac:dyDescent="0.2">
      <c r="A115" s="62" t="e">
        <f t="shared" si="39"/>
        <v>#DIV/0!</v>
      </c>
      <c r="B115" s="45">
        <f t="shared" si="40"/>
        <v>101</v>
      </c>
      <c r="C115" s="49" t="e">
        <f t="shared" si="51"/>
        <v>#DIV/0!</v>
      </c>
      <c r="D115" s="47" t="e" cm="1">
        <f t="array" ref="D115">_xlfn.IFS(AND($C$7="Y",B115&lt;C$4),C115,AND($C$7="Y",B115=C$4),D114+F115-J115-K115-L115+N115,AND($C$7="Y",B115&gt;$C$4),D114-J115-K115-L115+N115, TRUE, D114-J115-K115-L115+N115)</f>
        <v>#DIV/0!</v>
      </c>
      <c r="E115" s="48">
        <f t="shared" si="41"/>
        <v>0</v>
      </c>
      <c r="F115" s="50">
        <f t="shared" si="42"/>
        <v>0</v>
      </c>
      <c r="G115" s="50">
        <f t="shared" si="48"/>
        <v>0</v>
      </c>
      <c r="H115" s="51" t="e">
        <f t="shared" si="52"/>
        <v>#DIV/0!</v>
      </c>
      <c r="I115" s="52" t="e">
        <f t="shared" si="43"/>
        <v>#DIV/0!</v>
      </c>
      <c r="J115" s="52" t="e">
        <f t="shared" si="53"/>
        <v>#DIV/0!</v>
      </c>
      <c r="K115" s="51" t="e">
        <f t="shared" si="55"/>
        <v>#DIV/0!</v>
      </c>
      <c r="L115" s="49" t="e">
        <f t="shared" si="56"/>
        <v>#DIV/0!</v>
      </c>
      <c r="M115" s="49">
        <f t="shared" si="57"/>
        <v>0</v>
      </c>
      <c r="N115" s="49">
        <f t="shared" si="49"/>
        <v>0</v>
      </c>
      <c r="O115" s="48" t="e">
        <f t="shared" si="50"/>
        <v>#DIV/0!</v>
      </c>
      <c r="P115" s="38" t="e">
        <f t="shared" si="54"/>
        <v>#DIV/0!</v>
      </c>
      <c r="Q115" s="53"/>
      <c r="R115" s="53">
        <f t="shared" si="44"/>
        <v>0</v>
      </c>
      <c r="S115" s="53">
        <f t="shared" si="45"/>
        <v>0</v>
      </c>
      <c r="T115" s="53">
        <f t="shared" si="46"/>
        <v>0.05</v>
      </c>
      <c r="U115" s="53">
        <f t="shared" si="47"/>
        <v>4.2653187775606449E-3</v>
      </c>
    </row>
    <row r="116" spans="1:21" x14ac:dyDescent="0.2">
      <c r="A116" s="62" t="e">
        <f t="shared" si="39"/>
        <v>#DIV/0!</v>
      </c>
      <c r="B116" s="45">
        <f t="shared" si="40"/>
        <v>102</v>
      </c>
      <c r="C116" s="49" t="e">
        <f t="shared" si="51"/>
        <v>#DIV/0!</v>
      </c>
      <c r="D116" s="47" t="e" cm="1">
        <f t="array" ref="D116">_xlfn.IFS(AND($C$7="Y",B116&lt;C$4),C116,AND($C$7="Y",B116=C$4),D115+F116-J116-K116-L116+N116,AND($C$7="Y",B116&gt;$C$4),D115-J116-K116-L116+N116, TRUE, D115-J116-K116-L116+N116)</f>
        <v>#DIV/0!</v>
      </c>
      <c r="E116" s="48">
        <f t="shared" si="41"/>
        <v>0</v>
      </c>
      <c r="F116" s="50">
        <f t="shared" si="42"/>
        <v>0</v>
      </c>
      <c r="G116" s="50">
        <f t="shared" si="48"/>
        <v>0</v>
      </c>
      <c r="H116" s="51" t="e">
        <f t="shared" si="52"/>
        <v>#DIV/0!</v>
      </c>
      <c r="I116" s="52" t="e">
        <f t="shared" si="43"/>
        <v>#DIV/0!</v>
      </c>
      <c r="J116" s="52" t="e">
        <f t="shared" si="53"/>
        <v>#DIV/0!</v>
      </c>
      <c r="K116" s="51" t="e">
        <f t="shared" si="55"/>
        <v>#DIV/0!</v>
      </c>
      <c r="L116" s="49" t="e">
        <f t="shared" si="56"/>
        <v>#DIV/0!</v>
      </c>
      <c r="M116" s="49">
        <f t="shared" si="57"/>
        <v>0</v>
      </c>
      <c r="N116" s="49">
        <f t="shared" si="49"/>
        <v>0</v>
      </c>
      <c r="O116" s="48" t="e">
        <f t="shared" si="50"/>
        <v>#DIV/0!</v>
      </c>
      <c r="P116" s="38" t="e">
        <f t="shared" si="54"/>
        <v>#DIV/0!</v>
      </c>
      <c r="Q116" s="53"/>
      <c r="R116" s="53">
        <f t="shared" si="44"/>
        <v>0</v>
      </c>
      <c r="S116" s="53">
        <f t="shared" si="45"/>
        <v>0</v>
      </c>
      <c r="T116" s="53">
        <f t="shared" si="46"/>
        <v>0.05</v>
      </c>
      <c r="U116" s="53">
        <f t="shared" si="47"/>
        <v>4.2653187775606449E-3</v>
      </c>
    </row>
    <row r="117" spans="1:21" x14ac:dyDescent="0.2">
      <c r="A117" s="62" t="e">
        <f t="shared" si="39"/>
        <v>#DIV/0!</v>
      </c>
      <c r="B117" s="45">
        <f t="shared" si="40"/>
        <v>103</v>
      </c>
      <c r="C117" s="49" t="e">
        <f t="shared" si="51"/>
        <v>#DIV/0!</v>
      </c>
      <c r="D117" s="47" t="e" cm="1">
        <f t="array" ref="D117">_xlfn.IFS(AND($C$7="Y",B117&lt;C$4),C117,AND($C$7="Y",B117=C$4),D116+F117-J117-K117-L117+N117,AND($C$7="Y",B117&gt;$C$4),D116-J117-K117-L117+N117, TRUE, D116-J117-K117-L117+N117)</f>
        <v>#DIV/0!</v>
      </c>
      <c r="E117" s="48">
        <f t="shared" si="41"/>
        <v>0</v>
      </c>
      <c r="F117" s="50">
        <f t="shared" si="42"/>
        <v>0</v>
      </c>
      <c r="G117" s="50">
        <f t="shared" si="48"/>
        <v>0</v>
      </c>
      <c r="H117" s="51" t="e">
        <f t="shared" si="52"/>
        <v>#DIV/0!</v>
      </c>
      <c r="I117" s="52" t="e">
        <f t="shared" si="43"/>
        <v>#DIV/0!</v>
      </c>
      <c r="J117" s="52" t="e">
        <f t="shared" si="53"/>
        <v>#DIV/0!</v>
      </c>
      <c r="K117" s="51" t="e">
        <f t="shared" si="55"/>
        <v>#DIV/0!</v>
      </c>
      <c r="L117" s="49" t="e">
        <f t="shared" si="56"/>
        <v>#DIV/0!</v>
      </c>
      <c r="M117" s="49">
        <f t="shared" si="57"/>
        <v>0</v>
      </c>
      <c r="N117" s="49">
        <f t="shared" si="49"/>
        <v>0</v>
      </c>
      <c r="O117" s="48" t="e">
        <f t="shared" si="50"/>
        <v>#DIV/0!</v>
      </c>
      <c r="P117" s="38" t="e">
        <f t="shared" si="54"/>
        <v>#DIV/0!</v>
      </c>
      <c r="Q117" s="53"/>
      <c r="R117" s="53">
        <f t="shared" si="44"/>
        <v>0</v>
      </c>
      <c r="S117" s="53">
        <f t="shared" si="45"/>
        <v>0</v>
      </c>
      <c r="T117" s="53">
        <f t="shared" si="46"/>
        <v>0.05</v>
      </c>
      <c r="U117" s="53">
        <f t="shared" si="47"/>
        <v>4.2653187775606449E-3</v>
      </c>
    </row>
    <row r="118" spans="1:21" x14ac:dyDescent="0.2">
      <c r="A118" s="62" t="e">
        <f t="shared" si="39"/>
        <v>#DIV/0!</v>
      </c>
      <c r="B118" s="45">
        <f t="shared" si="40"/>
        <v>104</v>
      </c>
      <c r="C118" s="49" t="e">
        <f t="shared" si="51"/>
        <v>#DIV/0!</v>
      </c>
      <c r="D118" s="47" t="e" cm="1">
        <f t="array" ref="D118">_xlfn.IFS(AND($C$7="Y",B118&lt;C$4),C118,AND($C$7="Y",B118=C$4),D117+F118-J118-K118-L118+N118,AND($C$7="Y",B118&gt;$C$4),D117-J118-K118-L118+N118, TRUE, D117-J118-K118-L118+N118)</f>
        <v>#DIV/0!</v>
      </c>
      <c r="E118" s="48">
        <f t="shared" si="41"/>
        <v>0</v>
      </c>
      <c r="F118" s="50">
        <f t="shared" si="42"/>
        <v>0</v>
      </c>
      <c r="G118" s="50">
        <f t="shared" si="48"/>
        <v>0</v>
      </c>
      <c r="H118" s="51" t="e">
        <f t="shared" si="52"/>
        <v>#DIV/0!</v>
      </c>
      <c r="I118" s="52" t="e">
        <f t="shared" si="43"/>
        <v>#DIV/0!</v>
      </c>
      <c r="J118" s="52" t="e">
        <f t="shared" si="53"/>
        <v>#DIV/0!</v>
      </c>
      <c r="K118" s="51" t="e">
        <f t="shared" si="55"/>
        <v>#DIV/0!</v>
      </c>
      <c r="L118" s="49" t="e">
        <f t="shared" si="56"/>
        <v>#DIV/0!</v>
      </c>
      <c r="M118" s="49">
        <f t="shared" si="57"/>
        <v>0</v>
      </c>
      <c r="N118" s="49">
        <f t="shared" si="49"/>
        <v>0</v>
      </c>
      <c r="O118" s="48" t="e">
        <f t="shared" si="50"/>
        <v>#DIV/0!</v>
      </c>
      <c r="P118" s="38" t="e">
        <f t="shared" si="54"/>
        <v>#DIV/0!</v>
      </c>
      <c r="Q118" s="53"/>
      <c r="R118" s="53">
        <f t="shared" si="44"/>
        <v>0</v>
      </c>
      <c r="S118" s="53">
        <f t="shared" si="45"/>
        <v>0</v>
      </c>
      <c r="T118" s="53">
        <f t="shared" si="46"/>
        <v>0.05</v>
      </c>
      <c r="U118" s="53">
        <f t="shared" si="47"/>
        <v>4.2653187775606449E-3</v>
      </c>
    </row>
    <row r="119" spans="1:21" x14ac:dyDescent="0.2">
      <c r="A119" s="62" t="e">
        <f t="shared" si="39"/>
        <v>#DIV/0!</v>
      </c>
      <c r="B119" s="45">
        <f t="shared" si="40"/>
        <v>105</v>
      </c>
      <c r="C119" s="49" t="e">
        <f t="shared" si="51"/>
        <v>#DIV/0!</v>
      </c>
      <c r="D119" s="47" t="e" cm="1">
        <f t="array" ref="D119">_xlfn.IFS(AND($C$7="Y",B119&lt;C$4),C119,AND($C$7="Y",B119=C$4),D118+F119-J119-K119-L119+N119,AND($C$7="Y",B119&gt;$C$4),D118-J119-K119-L119+N119, TRUE, D118-J119-K119-L119+N119)</f>
        <v>#DIV/0!</v>
      </c>
      <c r="E119" s="48">
        <f t="shared" si="41"/>
        <v>0</v>
      </c>
      <c r="F119" s="50">
        <f t="shared" si="42"/>
        <v>0</v>
      </c>
      <c r="G119" s="50">
        <f t="shared" si="48"/>
        <v>0</v>
      </c>
      <c r="H119" s="51" t="e">
        <f t="shared" si="52"/>
        <v>#DIV/0!</v>
      </c>
      <c r="I119" s="52" t="e">
        <f t="shared" si="43"/>
        <v>#DIV/0!</v>
      </c>
      <c r="J119" s="52" t="e">
        <f t="shared" si="53"/>
        <v>#DIV/0!</v>
      </c>
      <c r="K119" s="51" t="e">
        <f t="shared" si="55"/>
        <v>#DIV/0!</v>
      </c>
      <c r="L119" s="49" t="e">
        <f t="shared" si="56"/>
        <v>#DIV/0!</v>
      </c>
      <c r="M119" s="49">
        <f t="shared" si="57"/>
        <v>0</v>
      </c>
      <c r="N119" s="49">
        <f t="shared" si="49"/>
        <v>0</v>
      </c>
      <c r="O119" s="48" t="e">
        <f t="shared" si="50"/>
        <v>#DIV/0!</v>
      </c>
      <c r="P119" s="38" t="e">
        <f t="shared" si="54"/>
        <v>#DIV/0!</v>
      </c>
      <c r="Q119" s="53"/>
      <c r="R119" s="53">
        <f t="shared" si="44"/>
        <v>0</v>
      </c>
      <c r="S119" s="53">
        <f t="shared" si="45"/>
        <v>0</v>
      </c>
      <c r="T119" s="53">
        <f t="shared" si="46"/>
        <v>0.05</v>
      </c>
      <c r="U119" s="53">
        <f t="shared" si="47"/>
        <v>4.2653187775606449E-3</v>
      </c>
    </row>
    <row r="120" spans="1:21" x14ac:dyDescent="0.2">
      <c r="A120" s="62" t="e">
        <f t="shared" si="39"/>
        <v>#DIV/0!</v>
      </c>
      <c r="B120" s="45">
        <f t="shared" si="40"/>
        <v>106</v>
      </c>
      <c r="C120" s="49" t="e">
        <f t="shared" si="51"/>
        <v>#DIV/0!</v>
      </c>
      <c r="D120" s="47" t="e" cm="1">
        <f t="array" ref="D120">_xlfn.IFS(AND($C$7="Y",B120&lt;C$4),C120,AND($C$7="Y",B120=C$4),D119+F120-J120-K120-L120+N120,AND($C$7="Y",B120&gt;$C$4),D119-J120-K120-L120+N120, TRUE, D119-J120-K120-L120+N120)</f>
        <v>#DIV/0!</v>
      </c>
      <c r="E120" s="48">
        <f t="shared" si="41"/>
        <v>0</v>
      </c>
      <c r="F120" s="50">
        <f t="shared" si="42"/>
        <v>0</v>
      </c>
      <c r="G120" s="50">
        <f t="shared" si="48"/>
        <v>0</v>
      </c>
      <c r="H120" s="51" t="e">
        <f t="shared" si="52"/>
        <v>#DIV/0!</v>
      </c>
      <c r="I120" s="52" t="e">
        <f t="shared" si="43"/>
        <v>#DIV/0!</v>
      </c>
      <c r="J120" s="52" t="e">
        <f t="shared" si="53"/>
        <v>#DIV/0!</v>
      </c>
      <c r="K120" s="51" t="e">
        <f t="shared" si="55"/>
        <v>#DIV/0!</v>
      </c>
      <c r="L120" s="49" t="e">
        <f t="shared" si="56"/>
        <v>#DIV/0!</v>
      </c>
      <c r="M120" s="49">
        <f t="shared" si="57"/>
        <v>0</v>
      </c>
      <c r="N120" s="49">
        <f t="shared" si="49"/>
        <v>0</v>
      </c>
      <c r="O120" s="48" t="e">
        <f t="shared" si="50"/>
        <v>#DIV/0!</v>
      </c>
      <c r="P120" s="38" t="e">
        <f t="shared" si="54"/>
        <v>#DIV/0!</v>
      </c>
      <c r="Q120" s="53"/>
      <c r="R120" s="53">
        <f t="shared" si="44"/>
        <v>0</v>
      </c>
      <c r="S120" s="53">
        <f t="shared" si="45"/>
        <v>0</v>
      </c>
      <c r="T120" s="53">
        <f t="shared" si="46"/>
        <v>0.05</v>
      </c>
      <c r="U120" s="53">
        <f t="shared" si="47"/>
        <v>4.2653187775606449E-3</v>
      </c>
    </row>
    <row r="121" spans="1:21" x14ac:dyDescent="0.2">
      <c r="A121" s="62" t="e">
        <f t="shared" si="39"/>
        <v>#DIV/0!</v>
      </c>
      <c r="B121" s="45">
        <f t="shared" si="40"/>
        <v>107</v>
      </c>
      <c r="C121" s="49" t="e">
        <f t="shared" si="51"/>
        <v>#DIV/0!</v>
      </c>
      <c r="D121" s="47" t="e" cm="1">
        <f t="array" ref="D121">_xlfn.IFS(AND($C$7="Y",B121&lt;C$4),C121,AND($C$7="Y",B121=C$4),D120+F121-J121-K121-L121+N121,AND($C$7="Y",B121&gt;$C$4),D120-J121-K121-L121+N121, TRUE, D120-J121-K121-L121+N121)</f>
        <v>#DIV/0!</v>
      </c>
      <c r="E121" s="48">
        <f t="shared" si="41"/>
        <v>0</v>
      </c>
      <c r="F121" s="50">
        <f t="shared" si="42"/>
        <v>0</v>
      </c>
      <c r="G121" s="50">
        <f t="shared" si="48"/>
        <v>0</v>
      </c>
      <c r="H121" s="51" t="e">
        <f t="shared" si="52"/>
        <v>#DIV/0!</v>
      </c>
      <c r="I121" s="52" t="e">
        <f t="shared" si="43"/>
        <v>#DIV/0!</v>
      </c>
      <c r="J121" s="52" t="e">
        <f t="shared" si="53"/>
        <v>#DIV/0!</v>
      </c>
      <c r="K121" s="51" t="e">
        <f t="shared" si="55"/>
        <v>#DIV/0!</v>
      </c>
      <c r="L121" s="49" t="e">
        <f t="shared" si="56"/>
        <v>#DIV/0!</v>
      </c>
      <c r="M121" s="49">
        <f t="shared" si="57"/>
        <v>0</v>
      </c>
      <c r="N121" s="49">
        <f t="shared" si="49"/>
        <v>0</v>
      </c>
      <c r="O121" s="48" t="e">
        <f t="shared" si="50"/>
        <v>#DIV/0!</v>
      </c>
      <c r="P121" s="38" t="e">
        <f t="shared" si="54"/>
        <v>#DIV/0!</v>
      </c>
      <c r="Q121" s="53"/>
      <c r="R121" s="53">
        <f t="shared" si="44"/>
        <v>0</v>
      </c>
      <c r="S121" s="53">
        <f t="shared" si="45"/>
        <v>0</v>
      </c>
      <c r="T121" s="53">
        <f t="shared" si="46"/>
        <v>0.05</v>
      </c>
      <c r="U121" s="53">
        <f t="shared" si="47"/>
        <v>4.2653187775606449E-3</v>
      </c>
    </row>
    <row r="122" spans="1:21" x14ac:dyDescent="0.2">
      <c r="A122" s="62" t="e">
        <f t="shared" si="39"/>
        <v>#DIV/0!</v>
      </c>
      <c r="B122" s="45">
        <f t="shared" si="40"/>
        <v>108</v>
      </c>
      <c r="C122" s="49" t="e">
        <f t="shared" si="51"/>
        <v>#DIV/0!</v>
      </c>
      <c r="D122" s="47" t="e" cm="1">
        <f t="array" ref="D122">_xlfn.IFS(AND($C$7="Y",B122&lt;C$4),C122,AND($C$7="Y",B122=C$4),D121+F122-J122-K122-L122+N122,AND($C$7="Y",B122&gt;$C$4),D121-J122-K122-L122+N122, TRUE, D121-J122-K122-L122+N122)</f>
        <v>#DIV/0!</v>
      </c>
      <c r="E122" s="48">
        <f t="shared" si="41"/>
        <v>0</v>
      </c>
      <c r="F122" s="50">
        <f t="shared" si="42"/>
        <v>0</v>
      </c>
      <c r="G122" s="50">
        <f t="shared" si="48"/>
        <v>0</v>
      </c>
      <c r="H122" s="51" t="e">
        <f t="shared" si="52"/>
        <v>#DIV/0!</v>
      </c>
      <c r="I122" s="52" t="e">
        <f t="shared" si="43"/>
        <v>#DIV/0!</v>
      </c>
      <c r="J122" s="52" t="e">
        <f t="shared" si="53"/>
        <v>#DIV/0!</v>
      </c>
      <c r="K122" s="51" t="e">
        <f t="shared" si="55"/>
        <v>#DIV/0!</v>
      </c>
      <c r="L122" s="49" t="e">
        <f t="shared" si="56"/>
        <v>#DIV/0!</v>
      </c>
      <c r="M122" s="49">
        <f t="shared" si="57"/>
        <v>0</v>
      </c>
      <c r="N122" s="49">
        <f t="shared" si="49"/>
        <v>0</v>
      </c>
      <c r="O122" s="48" t="e">
        <f t="shared" si="50"/>
        <v>#DIV/0!</v>
      </c>
      <c r="P122" s="38" t="e">
        <f t="shared" si="54"/>
        <v>#DIV/0!</v>
      </c>
      <c r="Q122" s="53"/>
      <c r="R122" s="53">
        <f t="shared" si="44"/>
        <v>0</v>
      </c>
      <c r="S122" s="53">
        <f t="shared" si="45"/>
        <v>0</v>
      </c>
      <c r="T122" s="53">
        <f t="shared" si="46"/>
        <v>0.05</v>
      </c>
      <c r="U122" s="53">
        <f t="shared" si="47"/>
        <v>4.2653187775606449E-3</v>
      </c>
    </row>
    <row r="123" spans="1:21" x14ac:dyDescent="0.2">
      <c r="A123" s="62" t="e">
        <f t="shared" si="39"/>
        <v>#DIV/0!</v>
      </c>
      <c r="B123" s="45">
        <f t="shared" si="40"/>
        <v>109</v>
      </c>
      <c r="C123" s="49" t="e">
        <f t="shared" si="51"/>
        <v>#DIV/0!</v>
      </c>
      <c r="D123" s="47" t="e" cm="1">
        <f t="array" ref="D123">_xlfn.IFS(AND($C$7="Y",B123&lt;C$4),C123,AND($C$7="Y",B123=C$4),D122+F123-J123-K123-L123+N123,AND($C$7="Y",B123&gt;$C$4),D122-J123-K123-L123+N123, TRUE, D122-J123-K123-L123+N123)</f>
        <v>#DIV/0!</v>
      </c>
      <c r="E123" s="48">
        <f t="shared" si="41"/>
        <v>0</v>
      </c>
      <c r="F123" s="50">
        <f t="shared" si="42"/>
        <v>0</v>
      </c>
      <c r="G123" s="50">
        <f t="shared" si="48"/>
        <v>0</v>
      </c>
      <c r="H123" s="51" t="e">
        <f t="shared" si="52"/>
        <v>#DIV/0!</v>
      </c>
      <c r="I123" s="52" t="e">
        <f t="shared" si="43"/>
        <v>#DIV/0!</v>
      </c>
      <c r="J123" s="52" t="e">
        <f t="shared" si="53"/>
        <v>#DIV/0!</v>
      </c>
      <c r="K123" s="51" t="e">
        <f t="shared" si="55"/>
        <v>#DIV/0!</v>
      </c>
      <c r="L123" s="49" t="e">
        <f t="shared" si="56"/>
        <v>#DIV/0!</v>
      </c>
      <c r="M123" s="49">
        <f t="shared" si="57"/>
        <v>0</v>
      </c>
      <c r="N123" s="49">
        <f t="shared" si="49"/>
        <v>0</v>
      </c>
      <c r="O123" s="48" t="e">
        <f t="shared" si="50"/>
        <v>#DIV/0!</v>
      </c>
      <c r="P123" s="38" t="e">
        <f t="shared" si="54"/>
        <v>#DIV/0!</v>
      </c>
      <c r="Q123" s="53"/>
      <c r="R123" s="53">
        <f t="shared" si="44"/>
        <v>0</v>
      </c>
      <c r="S123" s="53">
        <f t="shared" si="45"/>
        <v>0</v>
      </c>
      <c r="T123" s="53">
        <f t="shared" si="46"/>
        <v>0.05</v>
      </c>
      <c r="U123" s="53">
        <f t="shared" si="47"/>
        <v>4.2653187775606449E-3</v>
      </c>
    </row>
    <row r="124" spans="1:21" x14ac:dyDescent="0.2">
      <c r="A124" s="62" t="e">
        <f t="shared" si="39"/>
        <v>#DIV/0!</v>
      </c>
      <c r="B124" s="45">
        <f t="shared" si="40"/>
        <v>110</v>
      </c>
      <c r="C124" s="49" t="e">
        <f t="shared" si="51"/>
        <v>#DIV/0!</v>
      </c>
      <c r="D124" s="47" t="e" cm="1">
        <f t="array" ref="D124">_xlfn.IFS(AND($C$7="Y",B124&lt;C$4),C124,AND($C$7="Y",B124=C$4),D123+F124-J124-K124-L124+N124,AND($C$7="Y",B124&gt;$C$4),D123-J124-K124-L124+N124, TRUE, D123-J124-K124-L124+N124)</f>
        <v>#DIV/0!</v>
      </c>
      <c r="E124" s="48">
        <f t="shared" si="41"/>
        <v>0</v>
      </c>
      <c r="F124" s="50">
        <f t="shared" si="42"/>
        <v>0</v>
      </c>
      <c r="G124" s="50">
        <f t="shared" si="48"/>
        <v>0</v>
      </c>
      <c r="H124" s="51" t="e">
        <f t="shared" si="52"/>
        <v>#DIV/0!</v>
      </c>
      <c r="I124" s="52" t="e">
        <f t="shared" si="43"/>
        <v>#DIV/0!</v>
      </c>
      <c r="J124" s="52" t="e">
        <f t="shared" si="53"/>
        <v>#DIV/0!</v>
      </c>
      <c r="K124" s="51" t="e">
        <f t="shared" si="55"/>
        <v>#DIV/0!</v>
      </c>
      <c r="L124" s="49" t="e">
        <f t="shared" si="56"/>
        <v>#DIV/0!</v>
      </c>
      <c r="M124" s="49">
        <f t="shared" si="57"/>
        <v>0</v>
      </c>
      <c r="N124" s="49">
        <f t="shared" si="49"/>
        <v>0</v>
      </c>
      <c r="O124" s="48" t="e">
        <f t="shared" si="50"/>
        <v>#DIV/0!</v>
      </c>
      <c r="P124" s="38" t="e">
        <f t="shared" si="54"/>
        <v>#DIV/0!</v>
      </c>
      <c r="Q124" s="53"/>
      <c r="R124" s="53">
        <f t="shared" si="44"/>
        <v>0</v>
      </c>
      <c r="S124" s="53">
        <f t="shared" si="45"/>
        <v>0</v>
      </c>
      <c r="T124" s="53">
        <f t="shared" si="46"/>
        <v>0.05</v>
      </c>
      <c r="U124" s="53">
        <f t="shared" si="47"/>
        <v>4.2653187775606449E-3</v>
      </c>
    </row>
    <row r="125" spans="1:21" x14ac:dyDescent="0.2">
      <c r="A125" s="62" t="e">
        <f t="shared" si="39"/>
        <v>#DIV/0!</v>
      </c>
      <c r="B125" s="45">
        <f t="shared" si="40"/>
        <v>111</v>
      </c>
      <c r="C125" s="49" t="e">
        <f t="shared" si="51"/>
        <v>#DIV/0!</v>
      </c>
      <c r="D125" s="47" t="e" cm="1">
        <f t="array" ref="D125">_xlfn.IFS(AND($C$7="Y",B125&lt;C$4),C125,AND($C$7="Y",B125=C$4),D124+F125-J125-K125-L125+N125,AND($C$7="Y",B125&gt;$C$4),D124-J125-K125-L125+N125, TRUE, D124-J125-K125-L125+N125)</f>
        <v>#DIV/0!</v>
      </c>
      <c r="E125" s="48">
        <f t="shared" si="41"/>
        <v>0</v>
      </c>
      <c r="F125" s="50">
        <f t="shared" si="42"/>
        <v>0</v>
      </c>
      <c r="G125" s="50">
        <f t="shared" si="48"/>
        <v>0</v>
      </c>
      <c r="H125" s="51" t="e">
        <f t="shared" si="52"/>
        <v>#DIV/0!</v>
      </c>
      <c r="I125" s="52" t="e">
        <f t="shared" si="43"/>
        <v>#DIV/0!</v>
      </c>
      <c r="J125" s="52" t="e">
        <f t="shared" si="53"/>
        <v>#DIV/0!</v>
      </c>
      <c r="K125" s="51" t="e">
        <f t="shared" si="55"/>
        <v>#DIV/0!</v>
      </c>
      <c r="L125" s="49" t="e">
        <f t="shared" si="56"/>
        <v>#DIV/0!</v>
      </c>
      <c r="M125" s="49">
        <f t="shared" si="57"/>
        <v>0</v>
      </c>
      <c r="N125" s="49">
        <f t="shared" si="49"/>
        <v>0</v>
      </c>
      <c r="O125" s="48" t="e">
        <f t="shared" si="50"/>
        <v>#DIV/0!</v>
      </c>
      <c r="P125" s="38" t="e">
        <f t="shared" si="54"/>
        <v>#DIV/0!</v>
      </c>
      <c r="Q125" s="53"/>
      <c r="R125" s="53">
        <f t="shared" si="44"/>
        <v>0</v>
      </c>
      <c r="S125" s="53">
        <f t="shared" si="45"/>
        <v>0</v>
      </c>
      <c r="T125" s="53">
        <f t="shared" si="46"/>
        <v>0.05</v>
      </c>
      <c r="U125" s="53">
        <f t="shared" si="47"/>
        <v>4.2653187775606449E-3</v>
      </c>
    </row>
    <row r="126" spans="1:21" x14ac:dyDescent="0.2">
      <c r="A126" s="62" t="e">
        <f t="shared" si="39"/>
        <v>#DIV/0!</v>
      </c>
      <c r="B126" s="45">
        <f t="shared" si="40"/>
        <v>112</v>
      </c>
      <c r="C126" s="49" t="e">
        <f t="shared" si="51"/>
        <v>#DIV/0!</v>
      </c>
      <c r="D126" s="47" t="e" cm="1">
        <f t="array" ref="D126">_xlfn.IFS(AND($C$7="Y",B126&lt;C$4),C126,AND($C$7="Y",B126=C$4),D125+F126-J126-K126-L126+N126,AND($C$7="Y",B126&gt;$C$4),D125-J126-K126-L126+N126, TRUE, D125-J126-K126-L126+N126)</f>
        <v>#DIV/0!</v>
      </c>
      <c r="E126" s="48">
        <f t="shared" si="41"/>
        <v>0</v>
      </c>
      <c r="F126" s="50">
        <f t="shared" si="42"/>
        <v>0</v>
      </c>
      <c r="G126" s="50">
        <f t="shared" si="48"/>
        <v>0</v>
      </c>
      <c r="H126" s="51" t="e">
        <f t="shared" si="52"/>
        <v>#DIV/0!</v>
      </c>
      <c r="I126" s="52" t="e">
        <f t="shared" si="43"/>
        <v>#DIV/0!</v>
      </c>
      <c r="J126" s="52" t="e">
        <f t="shared" si="53"/>
        <v>#DIV/0!</v>
      </c>
      <c r="K126" s="51" t="e">
        <f t="shared" si="55"/>
        <v>#DIV/0!</v>
      </c>
      <c r="L126" s="49" t="e">
        <f t="shared" si="56"/>
        <v>#DIV/0!</v>
      </c>
      <c r="M126" s="49">
        <f t="shared" si="57"/>
        <v>0</v>
      </c>
      <c r="N126" s="49">
        <f t="shared" si="49"/>
        <v>0</v>
      </c>
      <c r="O126" s="48" t="e">
        <f t="shared" si="50"/>
        <v>#DIV/0!</v>
      </c>
      <c r="P126" s="38" t="e">
        <f t="shared" si="54"/>
        <v>#DIV/0!</v>
      </c>
      <c r="Q126" s="53"/>
      <c r="R126" s="53">
        <f t="shared" si="44"/>
        <v>0</v>
      </c>
      <c r="S126" s="53">
        <f t="shared" si="45"/>
        <v>0</v>
      </c>
      <c r="T126" s="53">
        <f t="shared" si="46"/>
        <v>0.05</v>
      </c>
      <c r="U126" s="53">
        <f t="shared" si="47"/>
        <v>4.2653187775606449E-3</v>
      </c>
    </row>
    <row r="127" spans="1:21" x14ac:dyDescent="0.2">
      <c r="A127" s="62" t="e">
        <f t="shared" si="39"/>
        <v>#DIV/0!</v>
      </c>
      <c r="B127" s="45">
        <f t="shared" si="40"/>
        <v>113</v>
      </c>
      <c r="C127" s="49" t="e">
        <f t="shared" si="51"/>
        <v>#DIV/0!</v>
      </c>
      <c r="D127" s="47" t="e" cm="1">
        <f t="array" ref="D127">_xlfn.IFS(AND($C$7="Y",B127&lt;C$4),C127,AND($C$7="Y",B127=C$4),D126+F127-J127-K127-L127+N127,AND($C$7="Y",B127&gt;$C$4),D126-J127-K127-L127+N127, TRUE, D126-J127-K127-L127+N127)</f>
        <v>#DIV/0!</v>
      </c>
      <c r="E127" s="48">
        <f t="shared" si="41"/>
        <v>0</v>
      </c>
      <c r="F127" s="50">
        <f t="shared" si="42"/>
        <v>0</v>
      </c>
      <c r="G127" s="50">
        <f t="shared" si="48"/>
        <v>0</v>
      </c>
      <c r="H127" s="51" t="e">
        <f t="shared" si="52"/>
        <v>#DIV/0!</v>
      </c>
      <c r="I127" s="52" t="e">
        <f t="shared" si="43"/>
        <v>#DIV/0!</v>
      </c>
      <c r="J127" s="52" t="e">
        <f t="shared" si="53"/>
        <v>#DIV/0!</v>
      </c>
      <c r="K127" s="51" t="e">
        <f t="shared" si="55"/>
        <v>#DIV/0!</v>
      </c>
      <c r="L127" s="49" t="e">
        <f t="shared" si="56"/>
        <v>#DIV/0!</v>
      </c>
      <c r="M127" s="49">
        <f t="shared" si="57"/>
        <v>0</v>
      </c>
      <c r="N127" s="49">
        <f t="shared" si="49"/>
        <v>0</v>
      </c>
      <c r="O127" s="48" t="e">
        <f t="shared" si="50"/>
        <v>#DIV/0!</v>
      </c>
      <c r="P127" s="38" t="e">
        <f t="shared" si="54"/>
        <v>#DIV/0!</v>
      </c>
      <c r="Q127" s="53"/>
      <c r="R127" s="53">
        <f t="shared" si="44"/>
        <v>0</v>
      </c>
      <c r="S127" s="53">
        <f t="shared" si="45"/>
        <v>0</v>
      </c>
      <c r="T127" s="53">
        <f t="shared" si="46"/>
        <v>0.05</v>
      </c>
      <c r="U127" s="53">
        <f t="shared" si="47"/>
        <v>4.2653187775606449E-3</v>
      </c>
    </row>
    <row r="128" spans="1:21" x14ac:dyDescent="0.2">
      <c r="A128" s="62" t="e">
        <f t="shared" si="39"/>
        <v>#DIV/0!</v>
      </c>
      <c r="B128" s="45">
        <f t="shared" si="40"/>
        <v>114</v>
      </c>
      <c r="C128" s="49" t="e">
        <f t="shared" si="51"/>
        <v>#DIV/0!</v>
      </c>
      <c r="D128" s="47" t="e" cm="1">
        <f t="array" ref="D128">_xlfn.IFS(AND($C$7="Y",B128&lt;C$4),C128,AND($C$7="Y",B128=C$4),D127+F128-J128-K128-L128+N128,AND($C$7="Y",B128&gt;$C$4),D127-J128-K128-L128+N128, TRUE, D127-J128-K128-L128+N128)</f>
        <v>#DIV/0!</v>
      </c>
      <c r="E128" s="48">
        <f t="shared" si="41"/>
        <v>0</v>
      </c>
      <c r="F128" s="50">
        <f t="shared" si="42"/>
        <v>0</v>
      </c>
      <c r="G128" s="50">
        <f t="shared" si="48"/>
        <v>0</v>
      </c>
      <c r="H128" s="51" t="e">
        <f t="shared" si="52"/>
        <v>#DIV/0!</v>
      </c>
      <c r="I128" s="52" t="e">
        <f t="shared" si="43"/>
        <v>#DIV/0!</v>
      </c>
      <c r="J128" s="52" t="e">
        <f t="shared" si="53"/>
        <v>#DIV/0!</v>
      </c>
      <c r="K128" s="51" t="e">
        <f t="shared" si="55"/>
        <v>#DIV/0!</v>
      </c>
      <c r="L128" s="49" t="e">
        <f t="shared" si="56"/>
        <v>#DIV/0!</v>
      </c>
      <c r="M128" s="49">
        <f t="shared" si="57"/>
        <v>0</v>
      </c>
      <c r="N128" s="49">
        <f t="shared" si="49"/>
        <v>0</v>
      </c>
      <c r="O128" s="48" t="e">
        <f t="shared" si="50"/>
        <v>#DIV/0!</v>
      </c>
      <c r="P128" s="38" t="e">
        <f t="shared" si="54"/>
        <v>#DIV/0!</v>
      </c>
      <c r="Q128" s="53"/>
      <c r="R128" s="53">
        <f t="shared" si="44"/>
        <v>0</v>
      </c>
      <c r="S128" s="53">
        <f t="shared" si="45"/>
        <v>0</v>
      </c>
      <c r="T128" s="53">
        <f t="shared" si="46"/>
        <v>0.05</v>
      </c>
      <c r="U128" s="53">
        <f t="shared" si="47"/>
        <v>4.2653187775606449E-3</v>
      </c>
    </row>
    <row r="129" spans="1:21" x14ac:dyDescent="0.2">
      <c r="A129" s="62" t="e">
        <f t="shared" si="39"/>
        <v>#DIV/0!</v>
      </c>
      <c r="B129" s="45">
        <f t="shared" si="40"/>
        <v>115</v>
      </c>
      <c r="C129" s="49" t="e">
        <f t="shared" si="51"/>
        <v>#DIV/0!</v>
      </c>
      <c r="D129" s="47" t="e" cm="1">
        <f t="array" ref="D129">_xlfn.IFS(AND($C$7="Y",B129&lt;C$4),C129,AND($C$7="Y",B129=C$4),D128+F129-J129-K129-L129+N129,AND($C$7="Y",B129&gt;$C$4),D128-J129-K129-L129+N129, TRUE, D128-J129-K129-L129+N129)</f>
        <v>#DIV/0!</v>
      </c>
      <c r="E129" s="48">
        <f t="shared" si="41"/>
        <v>0</v>
      </c>
      <c r="F129" s="50">
        <f t="shared" si="42"/>
        <v>0</v>
      </c>
      <c r="G129" s="50">
        <f t="shared" si="48"/>
        <v>0</v>
      </c>
      <c r="H129" s="51" t="e">
        <f t="shared" si="52"/>
        <v>#DIV/0!</v>
      </c>
      <c r="I129" s="52" t="e">
        <f t="shared" si="43"/>
        <v>#DIV/0!</v>
      </c>
      <c r="J129" s="52" t="e">
        <f t="shared" si="53"/>
        <v>#DIV/0!</v>
      </c>
      <c r="K129" s="51" t="e">
        <f t="shared" si="55"/>
        <v>#DIV/0!</v>
      </c>
      <c r="L129" s="49" t="e">
        <f t="shared" si="56"/>
        <v>#DIV/0!</v>
      </c>
      <c r="M129" s="49">
        <f t="shared" si="57"/>
        <v>0</v>
      </c>
      <c r="N129" s="49">
        <f t="shared" si="49"/>
        <v>0</v>
      </c>
      <c r="O129" s="48" t="e">
        <f t="shared" si="50"/>
        <v>#DIV/0!</v>
      </c>
      <c r="P129" s="38" t="e">
        <f t="shared" si="54"/>
        <v>#DIV/0!</v>
      </c>
      <c r="Q129" s="53"/>
      <c r="R129" s="53">
        <f t="shared" si="44"/>
        <v>0</v>
      </c>
      <c r="S129" s="53">
        <f t="shared" si="45"/>
        <v>0</v>
      </c>
      <c r="T129" s="53">
        <f t="shared" si="46"/>
        <v>0.05</v>
      </c>
      <c r="U129" s="53">
        <f t="shared" si="47"/>
        <v>4.2653187775606449E-3</v>
      </c>
    </row>
    <row r="130" spans="1:21" x14ac:dyDescent="0.2">
      <c r="A130" s="62" t="e">
        <f t="shared" si="39"/>
        <v>#DIV/0!</v>
      </c>
      <c r="B130" s="45">
        <f t="shared" si="40"/>
        <v>116</v>
      </c>
      <c r="C130" s="49" t="e">
        <f t="shared" si="51"/>
        <v>#DIV/0!</v>
      </c>
      <c r="D130" s="47" t="e" cm="1">
        <f t="array" ref="D130">_xlfn.IFS(AND($C$7="Y",B130&lt;C$4),C130,AND($C$7="Y",B130=C$4),D129+F130-J130-K130-L130+N130,AND($C$7="Y",B130&gt;$C$4),D129-J130-K130-L130+N130, TRUE, D129-J130-K130-L130+N130)</f>
        <v>#DIV/0!</v>
      </c>
      <c r="E130" s="48">
        <f t="shared" si="41"/>
        <v>0</v>
      </c>
      <c r="F130" s="50">
        <f t="shared" si="42"/>
        <v>0</v>
      </c>
      <c r="G130" s="50">
        <f t="shared" si="48"/>
        <v>0</v>
      </c>
      <c r="H130" s="51" t="e">
        <f t="shared" si="52"/>
        <v>#DIV/0!</v>
      </c>
      <c r="I130" s="52" t="e">
        <f t="shared" si="43"/>
        <v>#DIV/0!</v>
      </c>
      <c r="J130" s="52" t="e">
        <f t="shared" si="53"/>
        <v>#DIV/0!</v>
      </c>
      <c r="K130" s="51" t="e">
        <f t="shared" si="55"/>
        <v>#DIV/0!</v>
      </c>
      <c r="L130" s="49" t="e">
        <f t="shared" si="56"/>
        <v>#DIV/0!</v>
      </c>
      <c r="M130" s="49">
        <f t="shared" si="57"/>
        <v>0</v>
      </c>
      <c r="N130" s="49">
        <f t="shared" si="49"/>
        <v>0</v>
      </c>
      <c r="O130" s="48" t="e">
        <f t="shared" si="50"/>
        <v>#DIV/0!</v>
      </c>
      <c r="P130" s="38" t="e">
        <f t="shared" si="54"/>
        <v>#DIV/0!</v>
      </c>
      <c r="Q130" s="53"/>
      <c r="R130" s="53">
        <f t="shared" si="44"/>
        <v>0</v>
      </c>
      <c r="S130" s="53">
        <f t="shared" si="45"/>
        <v>0</v>
      </c>
      <c r="T130" s="53">
        <f t="shared" si="46"/>
        <v>0.05</v>
      </c>
      <c r="U130" s="53">
        <f t="shared" si="47"/>
        <v>4.2653187775606449E-3</v>
      </c>
    </row>
    <row r="131" spans="1:21" x14ac:dyDescent="0.2">
      <c r="A131" s="62" t="e">
        <f t="shared" si="39"/>
        <v>#DIV/0!</v>
      </c>
      <c r="B131" s="45">
        <f t="shared" si="40"/>
        <v>117</v>
      </c>
      <c r="C131" s="49" t="e">
        <f t="shared" si="51"/>
        <v>#DIV/0!</v>
      </c>
      <c r="D131" s="47" t="e" cm="1">
        <f t="array" ref="D131">_xlfn.IFS(AND($C$7="Y",B131&lt;C$4),C131,AND($C$7="Y",B131=C$4),D130+F131-J131-K131-L131+N131,AND($C$7="Y",B131&gt;$C$4),D130-J131-K131-L131+N131, TRUE, D130-J131-K131-L131+N131)</f>
        <v>#DIV/0!</v>
      </c>
      <c r="E131" s="48">
        <f t="shared" si="41"/>
        <v>0</v>
      </c>
      <c r="F131" s="50">
        <f t="shared" si="42"/>
        <v>0</v>
      </c>
      <c r="G131" s="50">
        <f t="shared" si="48"/>
        <v>0</v>
      </c>
      <c r="H131" s="51" t="e">
        <f t="shared" si="52"/>
        <v>#DIV/0!</v>
      </c>
      <c r="I131" s="52" t="e">
        <f t="shared" si="43"/>
        <v>#DIV/0!</v>
      </c>
      <c r="J131" s="52" t="e">
        <f t="shared" si="53"/>
        <v>#DIV/0!</v>
      </c>
      <c r="K131" s="51" t="e">
        <f t="shared" si="55"/>
        <v>#DIV/0!</v>
      </c>
      <c r="L131" s="49" t="e">
        <f t="shared" si="56"/>
        <v>#DIV/0!</v>
      </c>
      <c r="M131" s="49">
        <f t="shared" si="57"/>
        <v>0</v>
      </c>
      <c r="N131" s="49">
        <f t="shared" si="49"/>
        <v>0</v>
      </c>
      <c r="O131" s="48" t="e">
        <f t="shared" si="50"/>
        <v>#DIV/0!</v>
      </c>
      <c r="P131" s="38" t="e">
        <f t="shared" si="54"/>
        <v>#DIV/0!</v>
      </c>
      <c r="Q131" s="53"/>
      <c r="R131" s="53">
        <f t="shared" si="44"/>
        <v>0</v>
      </c>
      <c r="S131" s="53">
        <f t="shared" si="45"/>
        <v>0</v>
      </c>
      <c r="T131" s="53">
        <f t="shared" si="46"/>
        <v>0.05</v>
      </c>
      <c r="U131" s="53">
        <f t="shared" si="47"/>
        <v>4.2653187775606449E-3</v>
      </c>
    </row>
    <row r="132" spans="1:21" x14ac:dyDescent="0.2">
      <c r="A132" s="62" t="e">
        <f t="shared" si="39"/>
        <v>#DIV/0!</v>
      </c>
      <c r="B132" s="45">
        <f t="shared" si="40"/>
        <v>118</v>
      </c>
      <c r="C132" s="49" t="e">
        <f t="shared" si="51"/>
        <v>#DIV/0!</v>
      </c>
      <c r="D132" s="47" t="e" cm="1">
        <f t="array" ref="D132">_xlfn.IFS(AND($C$7="Y",B132&lt;C$4),C132,AND($C$7="Y",B132=C$4),D131+F132-J132-K132-L132+N132,AND($C$7="Y",B132&gt;$C$4),D131-J132-K132-L132+N132, TRUE, D131-J132-K132-L132+N132)</f>
        <v>#DIV/0!</v>
      </c>
      <c r="E132" s="48">
        <f t="shared" si="41"/>
        <v>0</v>
      </c>
      <c r="F132" s="50">
        <f t="shared" si="42"/>
        <v>0</v>
      </c>
      <c r="G132" s="50">
        <f t="shared" si="48"/>
        <v>0</v>
      </c>
      <c r="H132" s="51" t="e">
        <f t="shared" si="52"/>
        <v>#DIV/0!</v>
      </c>
      <c r="I132" s="52" t="e">
        <f t="shared" si="43"/>
        <v>#DIV/0!</v>
      </c>
      <c r="J132" s="52" t="e">
        <f t="shared" si="53"/>
        <v>#DIV/0!</v>
      </c>
      <c r="K132" s="51" t="e">
        <f t="shared" si="55"/>
        <v>#DIV/0!</v>
      </c>
      <c r="L132" s="49" t="e">
        <f t="shared" si="56"/>
        <v>#DIV/0!</v>
      </c>
      <c r="M132" s="49">
        <f t="shared" si="57"/>
        <v>0</v>
      </c>
      <c r="N132" s="49">
        <f t="shared" si="49"/>
        <v>0</v>
      </c>
      <c r="O132" s="48" t="e">
        <f t="shared" si="50"/>
        <v>#DIV/0!</v>
      </c>
      <c r="P132" s="38" t="e">
        <f t="shared" si="54"/>
        <v>#DIV/0!</v>
      </c>
      <c r="Q132" s="53"/>
      <c r="R132" s="53">
        <f t="shared" si="44"/>
        <v>0</v>
      </c>
      <c r="S132" s="53">
        <f t="shared" si="45"/>
        <v>0</v>
      </c>
      <c r="T132" s="53">
        <f t="shared" si="46"/>
        <v>0.05</v>
      </c>
      <c r="U132" s="53">
        <f t="shared" si="47"/>
        <v>4.2653187775606449E-3</v>
      </c>
    </row>
    <row r="133" spans="1:21" x14ac:dyDescent="0.2">
      <c r="A133" s="62" t="e">
        <f t="shared" si="39"/>
        <v>#DIV/0!</v>
      </c>
      <c r="B133" s="45">
        <f t="shared" si="40"/>
        <v>119</v>
      </c>
      <c r="C133" s="49" t="e">
        <f t="shared" si="51"/>
        <v>#DIV/0!</v>
      </c>
      <c r="D133" s="47" t="e" cm="1">
        <f t="array" ref="D133">_xlfn.IFS(AND($C$7="Y",B133&lt;C$4),C133,AND($C$7="Y",B133=C$4),D132+F133-J133-K133-L133+N133,AND($C$7="Y",B133&gt;$C$4),D132-J133-K133-L133+N133, TRUE, D132-J133-K133-L133+N133)</f>
        <v>#DIV/0!</v>
      </c>
      <c r="E133" s="48">
        <f t="shared" si="41"/>
        <v>0</v>
      </c>
      <c r="F133" s="50">
        <f t="shared" si="42"/>
        <v>0</v>
      </c>
      <c r="G133" s="50">
        <f t="shared" si="48"/>
        <v>0</v>
      </c>
      <c r="H133" s="51" t="e">
        <f t="shared" si="52"/>
        <v>#DIV/0!</v>
      </c>
      <c r="I133" s="52" t="e">
        <f t="shared" si="43"/>
        <v>#DIV/0!</v>
      </c>
      <c r="J133" s="52" t="e">
        <f t="shared" si="53"/>
        <v>#DIV/0!</v>
      </c>
      <c r="K133" s="51" t="e">
        <f t="shared" si="55"/>
        <v>#DIV/0!</v>
      </c>
      <c r="L133" s="49" t="e">
        <f t="shared" si="56"/>
        <v>#DIV/0!</v>
      </c>
      <c r="M133" s="49">
        <f t="shared" si="57"/>
        <v>0</v>
      </c>
      <c r="N133" s="49">
        <f t="shared" si="49"/>
        <v>0</v>
      </c>
      <c r="O133" s="48" t="e">
        <f t="shared" si="50"/>
        <v>#DIV/0!</v>
      </c>
      <c r="P133" s="38" t="e">
        <f t="shared" si="54"/>
        <v>#DIV/0!</v>
      </c>
      <c r="Q133" s="53"/>
      <c r="R133" s="53">
        <f t="shared" si="44"/>
        <v>0</v>
      </c>
      <c r="S133" s="53">
        <f t="shared" si="45"/>
        <v>0</v>
      </c>
      <c r="T133" s="53">
        <f t="shared" si="46"/>
        <v>0.05</v>
      </c>
      <c r="U133" s="53">
        <f t="shared" si="47"/>
        <v>4.2653187775606449E-3</v>
      </c>
    </row>
    <row r="134" spans="1:21" x14ac:dyDescent="0.2">
      <c r="A134" s="62" t="e">
        <f t="shared" si="39"/>
        <v>#DIV/0!</v>
      </c>
      <c r="B134" s="45">
        <f t="shared" si="40"/>
        <v>120</v>
      </c>
      <c r="C134" s="49" t="e">
        <f t="shared" si="51"/>
        <v>#DIV/0!</v>
      </c>
      <c r="D134" s="47" t="e" cm="1">
        <f t="array" ref="D134">_xlfn.IFS(AND($C$7="Y",B134&lt;C$4),C134,AND($C$7="Y",B134=C$4),D133+F134-J134-K134-L134+N134,AND($C$7="Y",B134&gt;$C$4),D133-J134-K134-L134+N134, TRUE, D133-J134-K134-L134+N134)</f>
        <v>#DIV/0!</v>
      </c>
      <c r="E134" s="48">
        <f t="shared" si="41"/>
        <v>0</v>
      </c>
      <c r="F134" s="50">
        <f t="shared" si="42"/>
        <v>0</v>
      </c>
      <c r="G134" s="50">
        <f t="shared" si="48"/>
        <v>0</v>
      </c>
      <c r="H134" s="51" t="e">
        <f t="shared" si="52"/>
        <v>#DIV/0!</v>
      </c>
      <c r="I134" s="52" t="e">
        <f t="shared" si="43"/>
        <v>#DIV/0!</v>
      </c>
      <c r="J134" s="52" t="e">
        <f t="shared" si="53"/>
        <v>#DIV/0!</v>
      </c>
      <c r="K134" s="51" t="e">
        <f t="shared" si="55"/>
        <v>#DIV/0!</v>
      </c>
      <c r="L134" s="49" t="e">
        <f t="shared" si="56"/>
        <v>#DIV/0!</v>
      </c>
      <c r="M134" s="49">
        <f t="shared" si="57"/>
        <v>0</v>
      </c>
      <c r="N134" s="49">
        <f t="shared" si="49"/>
        <v>0</v>
      </c>
      <c r="O134" s="48" t="e">
        <f t="shared" si="50"/>
        <v>#DIV/0!</v>
      </c>
      <c r="P134" s="38" t="e">
        <f t="shared" si="54"/>
        <v>#DIV/0!</v>
      </c>
      <c r="Q134" s="53"/>
      <c r="R134" s="53">
        <f t="shared" si="44"/>
        <v>0</v>
      </c>
      <c r="S134" s="53">
        <f t="shared" si="45"/>
        <v>0</v>
      </c>
      <c r="T134" s="53">
        <f t="shared" si="46"/>
        <v>0.05</v>
      </c>
      <c r="U134" s="53">
        <f t="shared" si="47"/>
        <v>4.2653187775606449E-3</v>
      </c>
    </row>
    <row r="135" spans="1:21" x14ac:dyDescent="0.2">
      <c r="A135" s="62" t="e">
        <f t="shared" si="39"/>
        <v>#DIV/0!</v>
      </c>
      <c r="B135" s="45">
        <f t="shared" si="40"/>
        <v>121</v>
      </c>
      <c r="C135" s="49" t="e">
        <f t="shared" si="51"/>
        <v>#DIV/0!</v>
      </c>
      <c r="D135" s="47" t="e" cm="1">
        <f t="array" ref="D135">_xlfn.IFS(AND($C$7="Y",B135&lt;C$4),C135,AND($C$7="Y",B135=C$4),D134+F135-J135-K135-L135+N135,AND($C$7="Y",B135&gt;$C$4),D134-J135-K135-L135+N135, TRUE, D134-J135-K135-L135+N135)</f>
        <v>#DIV/0!</v>
      </c>
      <c r="E135" s="48">
        <f t="shared" si="41"/>
        <v>0</v>
      </c>
      <c r="F135" s="50">
        <f t="shared" si="42"/>
        <v>0</v>
      </c>
      <c r="G135" s="50">
        <f t="shared" si="48"/>
        <v>0</v>
      </c>
      <c r="H135" s="51" t="e">
        <f t="shared" si="52"/>
        <v>#DIV/0!</v>
      </c>
      <c r="I135" s="52" t="e">
        <f t="shared" si="43"/>
        <v>#DIV/0!</v>
      </c>
      <c r="J135" s="52" t="e">
        <f t="shared" si="53"/>
        <v>#DIV/0!</v>
      </c>
      <c r="K135" s="51" t="e">
        <f t="shared" si="55"/>
        <v>#DIV/0!</v>
      </c>
      <c r="L135" s="49" t="e">
        <f t="shared" si="56"/>
        <v>#DIV/0!</v>
      </c>
      <c r="M135" s="49">
        <f t="shared" si="57"/>
        <v>0</v>
      </c>
      <c r="N135" s="49">
        <f t="shared" si="49"/>
        <v>0</v>
      </c>
      <c r="O135" s="48" t="e">
        <f t="shared" si="50"/>
        <v>#DIV/0!</v>
      </c>
      <c r="P135" s="38" t="e">
        <f t="shared" si="54"/>
        <v>#DIV/0!</v>
      </c>
      <c r="Q135" s="53"/>
      <c r="R135" s="53">
        <f t="shared" si="44"/>
        <v>0</v>
      </c>
      <c r="S135" s="53">
        <f t="shared" si="45"/>
        <v>0</v>
      </c>
      <c r="T135" s="53">
        <f t="shared" si="46"/>
        <v>0.05</v>
      </c>
      <c r="U135" s="53">
        <f t="shared" si="47"/>
        <v>4.2653187775606449E-3</v>
      </c>
    </row>
    <row r="136" spans="1:21" x14ac:dyDescent="0.2">
      <c r="A136" s="62" t="e">
        <f t="shared" si="39"/>
        <v>#DIV/0!</v>
      </c>
      <c r="B136" s="45">
        <f t="shared" si="40"/>
        <v>122</v>
      </c>
      <c r="C136" s="49" t="e">
        <f t="shared" si="51"/>
        <v>#DIV/0!</v>
      </c>
      <c r="D136" s="47" t="e" cm="1">
        <f t="array" ref="D136">_xlfn.IFS(AND($C$7="Y",B136&lt;C$4),C136,AND($C$7="Y",B136=C$4),D135+F136-J136-K136-L136+N136,AND($C$7="Y",B136&gt;$C$4),D135-J136-K136-L136+N136, TRUE, D135-J136-K136-L136+N136)</f>
        <v>#DIV/0!</v>
      </c>
      <c r="E136" s="48">
        <f t="shared" si="41"/>
        <v>0</v>
      </c>
      <c r="F136" s="50">
        <f t="shared" si="42"/>
        <v>0</v>
      </c>
      <c r="G136" s="50">
        <f t="shared" si="48"/>
        <v>0</v>
      </c>
      <c r="H136" s="51" t="e">
        <f t="shared" si="52"/>
        <v>#DIV/0!</v>
      </c>
      <c r="I136" s="52" t="e">
        <f t="shared" si="43"/>
        <v>#DIV/0!</v>
      </c>
      <c r="J136" s="52" t="e">
        <f t="shared" si="53"/>
        <v>#DIV/0!</v>
      </c>
      <c r="K136" s="51" t="e">
        <f t="shared" si="55"/>
        <v>#DIV/0!</v>
      </c>
      <c r="L136" s="49" t="e">
        <f t="shared" si="56"/>
        <v>#DIV/0!</v>
      </c>
      <c r="M136" s="49">
        <f t="shared" si="57"/>
        <v>0</v>
      </c>
      <c r="N136" s="49">
        <f t="shared" si="49"/>
        <v>0</v>
      </c>
      <c r="O136" s="48" t="e">
        <f t="shared" si="50"/>
        <v>#DIV/0!</v>
      </c>
      <c r="P136" s="38" t="e">
        <f t="shared" si="54"/>
        <v>#DIV/0!</v>
      </c>
      <c r="Q136" s="53"/>
      <c r="R136" s="53">
        <f t="shared" si="44"/>
        <v>0</v>
      </c>
      <c r="S136" s="53">
        <f t="shared" si="45"/>
        <v>0</v>
      </c>
      <c r="T136" s="53">
        <f t="shared" si="46"/>
        <v>0.05</v>
      </c>
      <c r="U136" s="53">
        <f t="shared" si="47"/>
        <v>4.2653187775606449E-3</v>
      </c>
    </row>
    <row r="137" spans="1:21" x14ac:dyDescent="0.2">
      <c r="A137" s="62" t="e">
        <f t="shared" si="39"/>
        <v>#DIV/0!</v>
      </c>
      <c r="B137" s="45">
        <f t="shared" si="40"/>
        <v>123</v>
      </c>
      <c r="C137" s="49" t="e">
        <f t="shared" si="51"/>
        <v>#DIV/0!</v>
      </c>
      <c r="D137" s="47" t="e" cm="1">
        <f t="array" ref="D137">_xlfn.IFS(AND($C$7="Y",B137&lt;C$4),C137,AND($C$7="Y",B137=C$4),D136+F137-J137-K137-L137+N137,AND($C$7="Y",B137&gt;$C$4),D136-J137-K137-L137+N137, TRUE, D136-J137-K137-L137+N137)</f>
        <v>#DIV/0!</v>
      </c>
      <c r="E137" s="48">
        <f t="shared" si="41"/>
        <v>0</v>
      </c>
      <c r="F137" s="50">
        <f t="shared" si="42"/>
        <v>0</v>
      </c>
      <c r="G137" s="50">
        <f t="shared" si="48"/>
        <v>0</v>
      </c>
      <c r="H137" s="51" t="e">
        <f t="shared" si="52"/>
        <v>#DIV/0!</v>
      </c>
      <c r="I137" s="52" t="e">
        <f t="shared" si="43"/>
        <v>#DIV/0!</v>
      </c>
      <c r="J137" s="52" t="e">
        <f t="shared" si="53"/>
        <v>#DIV/0!</v>
      </c>
      <c r="K137" s="51" t="e">
        <f t="shared" si="55"/>
        <v>#DIV/0!</v>
      </c>
      <c r="L137" s="49" t="e">
        <f t="shared" si="56"/>
        <v>#DIV/0!</v>
      </c>
      <c r="M137" s="49">
        <f t="shared" si="57"/>
        <v>0</v>
      </c>
      <c r="N137" s="49">
        <f t="shared" si="49"/>
        <v>0</v>
      </c>
      <c r="O137" s="48" t="e">
        <f t="shared" si="50"/>
        <v>#DIV/0!</v>
      </c>
      <c r="P137" s="38" t="e">
        <f t="shared" si="54"/>
        <v>#DIV/0!</v>
      </c>
      <c r="Q137" s="53"/>
      <c r="R137" s="53">
        <f t="shared" si="44"/>
        <v>0</v>
      </c>
      <c r="S137" s="53">
        <f t="shared" si="45"/>
        <v>0</v>
      </c>
      <c r="T137" s="53">
        <f t="shared" si="46"/>
        <v>0.05</v>
      </c>
      <c r="U137" s="53">
        <f t="shared" si="47"/>
        <v>4.2653187775606449E-3</v>
      </c>
    </row>
    <row r="138" spans="1:21" x14ac:dyDescent="0.2">
      <c r="A138" s="62" t="e">
        <f t="shared" si="39"/>
        <v>#DIV/0!</v>
      </c>
      <c r="B138" s="45">
        <f t="shared" si="40"/>
        <v>124</v>
      </c>
      <c r="C138" s="49" t="e">
        <f t="shared" si="51"/>
        <v>#DIV/0!</v>
      </c>
      <c r="D138" s="47" t="e" cm="1">
        <f t="array" ref="D138">_xlfn.IFS(AND($C$7="Y",B138&lt;C$4),C138,AND($C$7="Y",B138=C$4),D137+F138-J138-K138-L138+N138,AND($C$7="Y",B138&gt;$C$4),D137-J138-K138-L138+N138, TRUE, D137-J138-K138-L138+N138)</f>
        <v>#DIV/0!</v>
      </c>
      <c r="E138" s="48">
        <f t="shared" si="41"/>
        <v>0</v>
      </c>
      <c r="F138" s="50">
        <f t="shared" si="42"/>
        <v>0</v>
      </c>
      <c r="G138" s="50">
        <f t="shared" si="48"/>
        <v>0</v>
      </c>
      <c r="H138" s="51" t="e">
        <f t="shared" si="52"/>
        <v>#DIV/0!</v>
      </c>
      <c r="I138" s="52" t="e">
        <f t="shared" si="43"/>
        <v>#DIV/0!</v>
      </c>
      <c r="J138" s="52" t="e">
        <f t="shared" si="53"/>
        <v>#DIV/0!</v>
      </c>
      <c r="K138" s="51" t="e">
        <f t="shared" si="55"/>
        <v>#DIV/0!</v>
      </c>
      <c r="L138" s="49" t="e">
        <f t="shared" si="56"/>
        <v>#DIV/0!</v>
      </c>
      <c r="M138" s="49">
        <f t="shared" si="57"/>
        <v>0</v>
      </c>
      <c r="N138" s="49">
        <f t="shared" si="49"/>
        <v>0</v>
      </c>
      <c r="O138" s="48" t="e">
        <f t="shared" si="50"/>
        <v>#DIV/0!</v>
      </c>
      <c r="P138" s="38" t="e">
        <f t="shared" si="54"/>
        <v>#DIV/0!</v>
      </c>
      <c r="Q138" s="53"/>
      <c r="R138" s="53">
        <f t="shared" si="44"/>
        <v>0</v>
      </c>
      <c r="S138" s="53">
        <f t="shared" si="45"/>
        <v>0</v>
      </c>
      <c r="T138" s="53">
        <f t="shared" si="46"/>
        <v>0.05</v>
      </c>
      <c r="U138" s="53">
        <f t="shared" si="47"/>
        <v>4.2653187775606449E-3</v>
      </c>
    </row>
    <row r="139" spans="1:21" x14ac:dyDescent="0.2">
      <c r="A139" s="62" t="e">
        <f t="shared" si="39"/>
        <v>#DIV/0!</v>
      </c>
      <c r="B139" s="45">
        <f t="shared" si="40"/>
        <v>125</v>
      </c>
      <c r="C139" s="49" t="e">
        <f t="shared" si="51"/>
        <v>#DIV/0!</v>
      </c>
      <c r="D139" s="47" t="e" cm="1">
        <f t="array" ref="D139">_xlfn.IFS(AND($C$7="Y",B139&lt;C$4),C139,AND($C$7="Y",B139=C$4),D138+F139-J139-K139-L139+N139,AND($C$7="Y",B139&gt;$C$4),D138-J139-K139-L139+N139, TRUE, D138-J139-K139-L139+N139)</f>
        <v>#DIV/0!</v>
      </c>
      <c r="E139" s="48">
        <f t="shared" si="41"/>
        <v>0</v>
      </c>
      <c r="F139" s="50">
        <f t="shared" si="42"/>
        <v>0</v>
      </c>
      <c r="G139" s="50">
        <f t="shared" si="48"/>
        <v>0</v>
      </c>
      <c r="H139" s="51" t="e">
        <f t="shared" si="52"/>
        <v>#DIV/0!</v>
      </c>
      <c r="I139" s="52" t="e">
        <f t="shared" si="43"/>
        <v>#DIV/0!</v>
      </c>
      <c r="J139" s="52" t="e">
        <f t="shared" si="53"/>
        <v>#DIV/0!</v>
      </c>
      <c r="K139" s="51" t="e">
        <f t="shared" si="55"/>
        <v>#DIV/0!</v>
      </c>
      <c r="L139" s="49" t="e">
        <f t="shared" si="56"/>
        <v>#DIV/0!</v>
      </c>
      <c r="M139" s="49">
        <f t="shared" si="57"/>
        <v>0</v>
      </c>
      <c r="N139" s="49">
        <f t="shared" si="49"/>
        <v>0</v>
      </c>
      <c r="O139" s="48" t="e">
        <f t="shared" si="50"/>
        <v>#DIV/0!</v>
      </c>
      <c r="P139" s="38" t="e">
        <f t="shared" si="54"/>
        <v>#DIV/0!</v>
      </c>
      <c r="Q139" s="53"/>
      <c r="R139" s="53">
        <f t="shared" si="44"/>
        <v>0</v>
      </c>
      <c r="S139" s="53">
        <f t="shared" si="45"/>
        <v>0</v>
      </c>
      <c r="T139" s="53">
        <f t="shared" si="46"/>
        <v>0.05</v>
      </c>
      <c r="U139" s="53">
        <f t="shared" si="47"/>
        <v>4.2653187775606449E-3</v>
      </c>
    </row>
    <row r="140" spans="1:21" x14ac:dyDescent="0.2">
      <c r="A140" s="62" t="e">
        <f t="shared" si="39"/>
        <v>#DIV/0!</v>
      </c>
      <c r="B140" s="45">
        <f t="shared" si="40"/>
        <v>126</v>
      </c>
      <c r="C140" s="49" t="e">
        <f t="shared" si="51"/>
        <v>#DIV/0!</v>
      </c>
      <c r="D140" s="47" t="e" cm="1">
        <f t="array" ref="D140">_xlfn.IFS(AND($C$7="Y",B140&lt;C$4),C140,AND($C$7="Y",B140=C$4),D139+F140-J140-K140-L140+N140,AND($C$7="Y",B140&gt;$C$4),D139-J140-K140-L140+N140, TRUE, D139-J140-K140-L140+N140)</f>
        <v>#DIV/0!</v>
      </c>
      <c r="E140" s="48">
        <f t="shared" si="41"/>
        <v>0</v>
      </c>
      <c r="F140" s="50">
        <f t="shared" si="42"/>
        <v>0</v>
      </c>
      <c r="G140" s="50">
        <f t="shared" si="48"/>
        <v>0</v>
      </c>
      <c r="H140" s="51" t="e">
        <f t="shared" si="52"/>
        <v>#DIV/0!</v>
      </c>
      <c r="I140" s="52" t="e">
        <f t="shared" si="43"/>
        <v>#DIV/0!</v>
      </c>
      <c r="J140" s="52" t="e">
        <f t="shared" si="53"/>
        <v>#DIV/0!</v>
      </c>
      <c r="K140" s="51" t="e">
        <f t="shared" si="55"/>
        <v>#DIV/0!</v>
      </c>
      <c r="L140" s="49" t="e">
        <f t="shared" si="56"/>
        <v>#DIV/0!</v>
      </c>
      <c r="M140" s="49">
        <f t="shared" si="57"/>
        <v>0</v>
      </c>
      <c r="N140" s="49">
        <f t="shared" si="49"/>
        <v>0</v>
      </c>
      <c r="O140" s="48" t="e">
        <f t="shared" si="50"/>
        <v>#DIV/0!</v>
      </c>
      <c r="P140" s="38" t="e">
        <f t="shared" si="54"/>
        <v>#DIV/0!</v>
      </c>
      <c r="Q140" s="53"/>
      <c r="R140" s="53">
        <f t="shared" si="44"/>
        <v>0</v>
      </c>
      <c r="S140" s="53">
        <f t="shared" si="45"/>
        <v>0</v>
      </c>
      <c r="T140" s="53">
        <f t="shared" si="46"/>
        <v>0.05</v>
      </c>
      <c r="U140" s="53">
        <f t="shared" si="47"/>
        <v>4.2653187775606449E-3</v>
      </c>
    </row>
    <row r="141" spans="1:21" x14ac:dyDescent="0.2">
      <c r="A141" s="62" t="e">
        <f t="shared" si="39"/>
        <v>#DIV/0!</v>
      </c>
      <c r="B141" s="45">
        <f t="shared" si="40"/>
        <v>127</v>
      </c>
      <c r="C141" s="49" t="e">
        <f t="shared" si="51"/>
        <v>#DIV/0!</v>
      </c>
      <c r="D141" s="47" t="e" cm="1">
        <f t="array" ref="D141">_xlfn.IFS(AND($C$7="Y",B141&lt;C$4),C141,AND($C$7="Y",B141=C$4),D140+F141-J141-K141-L141+N141,AND($C$7="Y",B141&gt;$C$4),D140-J141-K141-L141+N141, TRUE, D140-J141-K141-L141+N141)</f>
        <v>#DIV/0!</v>
      </c>
      <c r="E141" s="48">
        <f t="shared" si="41"/>
        <v>0</v>
      </c>
      <c r="F141" s="50">
        <f t="shared" si="42"/>
        <v>0</v>
      </c>
      <c r="G141" s="50">
        <f t="shared" si="48"/>
        <v>0</v>
      </c>
      <c r="H141" s="51" t="e">
        <f t="shared" si="52"/>
        <v>#DIV/0!</v>
      </c>
      <c r="I141" s="52" t="e">
        <f t="shared" si="43"/>
        <v>#DIV/0!</v>
      </c>
      <c r="J141" s="52" t="e">
        <f t="shared" si="53"/>
        <v>#DIV/0!</v>
      </c>
      <c r="K141" s="51" t="e">
        <f t="shared" si="55"/>
        <v>#DIV/0!</v>
      </c>
      <c r="L141" s="49" t="e">
        <f t="shared" si="56"/>
        <v>#DIV/0!</v>
      </c>
      <c r="M141" s="49">
        <f t="shared" si="57"/>
        <v>0</v>
      </c>
      <c r="N141" s="49">
        <f t="shared" si="49"/>
        <v>0</v>
      </c>
      <c r="O141" s="48" t="e">
        <f t="shared" si="50"/>
        <v>#DIV/0!</v>
      </c>
      <c r="P141" s="38" t="e">
        <f t="shared" si="54"/>
        <v>#DIV/0!</v>
      </c>
      <c r="Q141" s="53"/>
      <c r="R141" s="53">
        <f t="shared" si="44"/>
        <v>0</v>
      </c>
      <c r="S141" s="53">
        <f t="shared" si="45"/>
        <v>0</v>
      </c>
      <c r="T141" s="53">
        <f t="shared" si="46"/>
        <v>0.05</v>
      </c>
      <c r="U141" s="53">
        <f t="shared" si="47"/>
        <v>4.2653187775606449E-3</v>
      </c>
    </row>
    <row r="142" spans="1:21" x14ac:dyDescent="0.2">
      <c r="A142" s="62" t="e">
        <f t="shared" si="39"/>
        <v>#DIV/0!</v>
      </c>
      <c r="B142" s="45">
        <f t="shared" si="40"/>
        <v>128</v>
      </c>
      <c r="C142" s="49" t="e">
        <f t="shared" si="51"/>
        <v>#DIV/0!</v>
      </c>
      <c r="D142" s="47" t="e" cm="1">
        <f t="array" ref="D142">_xlfn.IFS(AND($C$7="Y",B142&lt;C$4),C142,AND($C$7="Y",B142=C$4),D141+F142-J142-K142-L142+N142,AND($C$7="Y",B142&gt;$C$4),D141-J142-K142-L142+N142, TRUE, D141-J142-K142-L142+N142)</f>
        <v>#DIV/0!</v>
      </c>
      <c r="E142" s="48">
        <f t="shared" si="41"/>
        <v>0</v>
      </c>
      <c r="F142" s="50">
        <f t="shared" si="42"/>
        <v>0</v>
      </c>
      <c r="G142" s="50">
        <f t="shared" si="48"/>
        <v>0</v>
      </c>
      <c r="H142" s="51" t="e">
        <f t="shared" si="52"/>
        <v>#DIV/0!</v>
      </c>
      <c r="I142" s="52" t="e">
        <f t="shared" si="43"/>
        <v>#DIV/0!</v>
      </c>
      <c r="J142" s="52" t="e">
        <f t="shared" si="53"/>
        <v>#DIV/0!</v>
      </c>
      <c r="K142" s="51" t="e">
        <f t="shared" si="55"/>
        <v>#DIV/0!</v>
      </c>
      <c r="L142" s="49" t="e">
        <f t="shared" si="56"/>
        <v>#DIV/0!</v>
      </c>
      <c r="M142" s="49">
        <f t="shared" si="57"/>
        <v>0</v>
      </c>
      <c r="N142" s="49">
        <f t="shared" si="49"/>
        <v>0</v>
      </c>
      <c r="O142" s="48" t="e">
        <f t="shared" si="50"/>
        <v>#DIV/0!</v>
      </c>
      <c r="P142" s="38" t="e">
        <f t="shared" si="54"/>
        <v>#DIV/0!</v>
      </c>
      <c r="Q142" s="53"/>
      <c r="R142" s="53">
        <f t="shared" si="44"/>
        <v>0</v>
      </c>
      <c r="S142" s="53">
        <f t="shared" si="45"/>
        <v>0</v>
      </c>
      <c r="T142" s="53">
        <f t="shared" si="46"/>
        <v>0.05</v>
      </c>
      <c r="U142" s="53">
        <f t="shared" si="47"/>
        <v>4.2653187775606449E-3</v>
      </c>
    </row>
    <row r="143" spans="1:21" x14ac:dyDescent="0.2">
      <c r="A143" s="62" t="e">
        <f t="shared" ref="A143:A206" si="58">D143/C$1</f>
        <v>#DIV/0!</v>
      </c>
      <c r="B143" s="45">
        <f t="shared" si="40"/>
        <v>129</v>
      </c>
      <c r="C143" s="49" t="e">
        <f t="shared" si="51"/>
        <v>#DIV/0!</v>
      </c>
      <c r="D143" s="47" t="e" cm="1">
        <f t="array" ref="D143">_xlfn.IFS(AND($C$7="Y",B143&lt;C$4),C143,AND($C$7="Y",B143=C$4),D142+F143-J143-K143-L143+N143,AND($C$7="Y",B143&gt;$C$4),D142-J143-K143-L143+N143, TRUE, D142-J143-K143-L143+N143)</f>
        <v>#DIV/0!</v>
      </c>
      <c r="E143" s="48">
        <f t="shared" si="41"/>
        <v>0</v>
      </c>
      <c r="F143" s="50">
        <f t="shared" si="42"/>
        <v>0</v>
      </c>
      <c r="G143" s="50">
        <f t="shared" si="48"/>
        <v>0</v>
      </c>
      <c r="H143" s="51" t="e">
        <f t="shared" si="52"/>
        <v>#DIV/0!</v>
      </c>
      <c r="I143" s="52" t="e">
        <f t="shared" si="43"/>
        <v>#DIV/0!</v>
      </c>
      <c r="J143" s="52" t="e">
        <f t="shared" si="53"/>
        <v>#DIV/0!</v>
      </c>
      <c r="K143" s="51" t="e">
        <f t="shared" si="55"/>
        <v>#DIV/0!</v>
      </c>
      <c r="L143" s="49" t="e">
        <f t="shared" si="56"/>
        <v>#DIV/0!</v>
      </c>
      <c r="M143" s="49">
        <f t="shared" si="57"/>
        <v>0</v>
      </c>
      <c r="N143" s="49">
        <f t="shared" si="49"/>
        <v>0</v>
      </c>
      <c r="O143" s="48" t="e">
        <f t="shared" si="50"/>
        <v>#DIV/0!</v>
      </c>
      <c r="P143" s="38" t="e">
        <f t="shared" si="54"/>
        <v>#DIV/0!</v>
      </c>
      <c r="Q143" s="53"/>
      <c r="R143" s="53">
        <f t="shared" si="44"/>
        <v>0</v>
      </c>
      <c r="S143" s="53">
        <f t="shared" si="45"/>
        <v>0</v>
      </c>
      <c r="T143" s="53">
        <f t="shared" si="46"/>
        <v>0.05</v>
      </c>
      <c r="U143" s="53">
        <f t="shared" si="47"/>
        <v>4.2653187775606449E-3</v>
      </c>
    </row>
    <row r="144" spans="1:21" x14ac:dyDescent="0.2">
      <c r="A144" s="62" t="e">
        <f t="shared" si="58"/>
        <v>#DIV/0!</v>
      </c>
      <c r="B144" s="45">
        <f t="shared" ref="B144:B207" si="59">B143+1</f>
        <v>130</v>
      </c>
      <c r="C144" s="49" t="e">
        <f t="shared" si="51"/>
        <v>#DIV/0!</v>
      </c>
      <c r="D144" s="47" t="e" cm="1">
        <f t="array" ref="D144">_xlfn.IFS(AND($C$7="Y",B144&lt;C$4),C144,AND($C$7="Y",B144=C$4),D143+F144-J144-K144-L144+N144,AND($C$7="Y",B144&gt;$C$4),D143-J144-K144-L144+N144, TRUE, D143-J144-K144-L144+N144)</f>
        <v>#DIV/0!</v>
      </c>
      <c r="E144" s="48">
        <f t="shared" ref="E144:E207" si="60">IF(AND($C$7="Y",B144&lt;=$C$4),D143*C$2/12-G144,0)</f>
        <v>0</v>
      </c>
      <c r="F144" s="50">
        <f t="shared" ref="F144:F207" si="61">IF(AND($C$7="Y",B144&lt;=C$4),E144+F143,0)</f>
        <v>0</v>
      </c>
      <c r="G144" s="50">
        <f t="shared" si="48"/>
        <v>0</v>
      </c>
      <c r="H144" s="51" t="e">
        <f t="shared" si="52"/>
        <v>#DIV/0!</v>
      </c>
      <c r="I144" s="52" t="e">
        <f t="shared" ref="I144:I207" si="62">IF(AND(C$7="Y",$B144&lt;=C$4),0,IF(AND(C$7="Y",$B144&gt;C$4),(1-U144)*C$2*D143/12,IF(AND($C$7="N",C$4&gt;0),(1-U144)*D143*C$2/12, (1-U144)*D143*C$2/12)))</f>
        <v>#DIV/0!</v>
      </c>
      <c r="J144" s="52" t="e">
        <f t="shared" si="53"/>
        <v>#DIV/0!</v>
      </c>
      <c r="K144" s="51" t="e">
        <f t="shared" si="55"/>
        <v>#DIV/0!</v>
      </c>
      <c r="L144" s="49" t="e">
        <f t="shared" si="56"/>
        <v>#DIV/0!</v>
      </c>
      <c r="M144" s="49">
        <f t="shared" si="57"/>
        <v>0</v>
      </c>
      <c r="N144" s="49">
        <f t="shared" si="49"/>
        <v>0</v>
      </c>
      <c r="O144" s="48" t="e">
        <f t="shared" si="50"/>
        <v>#DIV/0!</v>
      </c>
      <c r="P144" s="38" t="e">
        <f t="shared" si="54"/>
        <v>#DIV/0!</v>
      </c>
      <c r="Q144" s="53"/>
      <c r="R144" s="53">
        <f t="shared" ref="R144:R207" si="63">R$12</f>
        <v>0</v>
      </c>
      <c r="S144" s="53">
        <f t="shared" ref="S144:S207" si="64">1-(1-R144)^(1/12)</f>
        <v>0</v>
      </c>
      <c r="T144" s="53">
        <f t="shared" ref="T144:T207" si="65">T$12</f>
        <v>0.05</v>
      </c>
      <c r="U144" s="53">
        <f t="shared" si="47"/>
        <v>4.2653187775606449E-3</v>
      </c>
    </row>
    <row r="145" spans="1:21" x14ac:dyDescent="0.2">
      <c r="A145" s="62" t="e">
        <f t="shared" si="58"/>
        <v>#DIV/0!</v>
      </c>
      <c r="B145" s="45">
        <f t="shared" si="59"/>
        <v>131</v>
      </c>
      <c r="C145" s="49" t="e">
        <f t="shared" si="51"/>
        <v>#DIV/0!</v>
      </c>
      <c r="D145" s="47" t="e" cm="1">
        <f t="array" ref="D145">_xlfn.IFS(AND($C$7="Y",B145&lt;C$4),C145,AND($C$7="Y",B145=C$4),D144+F145-J145-K145-L145+N145,AND($C$7="Y",B145&gt;$C$4),D144-J145-K145-L145+N145, TRUE, D144-J145-K145-L145+N145)</f>
        <v>#DIV/0!</v>
      </c>
      <c r="E145" s="48">
        <f t="shared" si="60"/>
        <v>0</v>
      </c>
      <c r="F145" s="50">
        <f t="shared" si="61"/>
        <v>0</v>
      </c>
      <c r="G145" s="50">
        <f t="shared" si="48"/>
        <v>0</v>
      </c>
      <c r="H145" s="51" t="e">
        <f t="shared" si="52"/>
        <v>#DIV/0!</v>
      </c>
      <c r="I145" s="52" t="e">
        <f t="shared" si="62"/>
        <v>#DIV/0!</v>
      </c>
      <c r="J145" s="52" t="e">
        <f t="shared" si="53"/>
        <v>#DIV/0!</v>
      </c>
      <c r="K145" s="51" t="e">
        <f t="shared" si="55"/>
        <v>#DIV/0!</v>
      </c>
      <c r="L145" s="49" t="e">
        <f t="shared" si="56"/>
        <v>#DIV/0!</v>
      </c>
      <c r="M145" s="49">
        <f t="shared" si="57"/>
        <v>0</v>
      </c>
      <c r="N145" s="49">
        <f t="shared" si="49"/>
        <v>0</v>
      </c>
      <c r="O145" s="48" t="e">
        <f t="shared" si="50"/>
        <v>#DIV/0!</v>
      </c>
      <c r="P145" s="38" t="e">
        <f t="shared" si="54"/>
        <v>#DIV/0!</v>
      </c>
      <c r="Q145" s="53"/>
      <c r="R145" s="53">
        <f t="shared" si="63"/>
        <v>0</v>
      </c>
      <c r="S145" s="53">
        <f t="shared" si="64"/>
        <v>0</v>
      </c>
      <c r="T145" s="53">
        <f t="shared" si="65"/>
        <v>0.05</v>
      </c>
      <c r="U145" s="53">
        <f t="shared" ref="U145:U208" si="66">1-(1-T145)^(1/12)</f>
        <v>4.2653187775606449E-3</v>
      </c>
    </row>
    <row r="146" spans="1:21" x14ac:dyDescent="0.2">
      <c r="A146" s="62" t="e">
        <f t="shared" si="58"/>
        <v>#DIV/0!</v>
      </c>
      <c r="B146" s="45">
        <f t="shared" si="59"/>
        <v>132</v>
      </c>
      <c r="C146" s="49" t="e">
        <f t="shared" si="51"/>
        <v>#DIV/0!</v>
      </c>
      <c r="D146" s="47" t="e" cm="1">
        <f t="array" ref="D146">_xlfn.IFS(AND($C$7="Y",B146&lt;C$4),C146,AND($C$7="Y",B146=C$4),D145+F146-J146-K146-L146+N146,AND($C$7="Y",B146&gt;$C$4),D145-J146-K146-L146+N146, TRUE, D145-J146-K146-L146+N146)</f>
        <v>#DIV/0!</v>
      </c>
      <c r="E146" s="48">
        <f t="shared" si="60"/>
        <v>0</v>
      </c>
      <c r="F146" s="50">
        <f t="shared" si="61"/>
        <v>0</v>
      </c>
      <c r="G146" s="50">
        <f t="shared" ref="G146:G209" si="67">IF($B146&lt;=$C$4,C$6,0)</f>
        <v>0</v>
      </c>
      <c r="H146" s="51" t="e">
        <f t="shared" si="52"/>
        <v>#DIV/0!</v>
      </c>
      <c r="I146" s="52" t="e">
        <f t="shared" si="62"/>
        <v>#DIV/0!</v>
      </c>
      <c r="J146" s="52" t="e">
        <f t="shared" si="53"/>
        <v>#DIV/0!</v>
      </c>
      <c r="K146" s="51" t="e">
        <f t="shared" si="55"/>
        <v>#DIV/0!</v>
      </c>
      <c r="L146" s="49" t="e">
        <f t="shared" si="56"/>
        <v>#DIV/0!</v>
      </c>
      <c r="M146" s="49">
        <f t="shared" si="57"/>
        <v>0</v>
      </c>
      <c r="N146" s="49">
        <f t="shared" si="49"/>
        <v>0</v>
      </c>
      <c r="O146" s="48" t="e">
        <f t="shared" si="50"/>
        <v>#DIV/0!</v>
      </c>
      <c r="P146" s="38" t="e">
        <f t="shared" si="54"/>
        <v>#DIV/0!</v>
      </c>
      <c r="Q146" s="53"/>
      <c r="R146" s="53">
        <f t="shared" si="63"/>
        <v>0</v>
      </c>
      <c r="S146" s="53">
        <f t="shared" si="64"/>
        <v>0</v>
      </c>
      <c r="T146" s="53">
        <f t="shared" si="65"/>
        <v>0.05</v>
      </c>
      <c r="U146" s="53">
        <f t="shared" si="66"/>
        <v>4.2653187775606449E-3</v>
      </c>
    </row>
    <row r="147" spans="1:21" x14ac:dyDescent="0.2">
      <c r="A147" s="62" t="e">
        <f t="shared" si="58"/>
        <v>#DIV/0!</v>
      </c>
      <c r="B147" s="45">
        <f t="shared" si="59"/>
        <v>133</v>
      </c>
      <c r="C147" s="49" t="e">
        <f t="shared" si="51"/>
        <v>#DIV/0!</v>
      </c>
      <c r="D147" s="47" t="e" cm="1">
        <f t="array" ref="D147">_xlfn.IFS(AND($C$7="Y",B147&lt;C$4),C147,AND($C$7="Y",B147=C$4),D146+F147-J147-K147-L147+N147,AND($C$7="Y",B147&gt;$C$4),D146-J147-K147-L147+N147, TRUE, D146-J147-K147-L147+N147)</f>
        <v>#DIV/0!</v>
      </c>
      <c r="E147" s="48">
        <f t="shared" si="60"/>
        <v>0</v>
      </c>
      <c r="F147" s="50">
        <f t="shared" si="61"/>
        <v>0</v>
      </c>
      <c r="G147" s="50">
        <f t="shared" si="67"/>
        <v>0</v>
      </c>
      <c r="H147" s="51" t="e">
        <f t="shared" si="52"/>
        <v>#DIV/0!</v>
      </c>
      <c r="I147" s="52" t="e">
        <f t="shared" si="62"/>
        <v>#DIV/0!</v>
      </c>
      <c r="J147" s="52" t="e">
        <f t="shared" si="53"/>
        <v>#DIV/0!</v>
      </c>
      <c r="K147" s="51" t="e">
        <f t="shared" si="55"/>
        <v>#DIV/0!</v>
      </c>
      <c r="L147" s="49" t="e">
        <f t="shared" si="56"/>
        <v>#DIV/0!</v>
      </c>
      <c r="M147" s="49">
        <f t="shared" si="57"/>
        <v>0</v>
      </c>
      <c r="N147" s="49">
        <f t="shared" si="49"/>
        <v>0</v>
      </c>
      <c r="O147" s="48" t="e">
        <f t="shared" si="50"/>
        <v>#DIV/0!</v>
      </c>
      <c r="P147" s="38" t="e">
        <f t="shared" si="54"/>
        <v>#DIV/0!</v>
      </c>
      <c r="Q147" s="53"/>
      <c r="R147" s="53">
        <f t="shared" si="63"/>
        <v>0</v>
      </c>
      <c r="S147" s="53">
        <f t="shared" si="64"/>
        <v>0</v>
      </c>
      <c r="T147" s="53">
        <f t="shared" si="65"/>
        <v>0.05</v>
      </c>
      <c r="U147" s="53">
        <f t="shared" si="66"/>
        <v>4.2653187775606449E-3</v>
      </c>
    </row>
    <row r="148" spans="1:21" x14ac:dyDescent="0.2">
      <c r="A148" s="62" t="e">
        <f t="shared" si="58"/>
        <v>#DIV/0!</v>
      </c>
      <c r="B148" s="45">
        <f t="shared" si="59"/>
        <v>134</v>
      </c>
      <c r="C148" s="49" t="e">
        <f t="shared" si="51"/>
        <v>#DIV/0!</v>
      </c>
      <c r="D148" s="47" t="e" cm="1">
        <f t="array" ref="D148">_xlfn.IFS(AND($C$7="Y",B148&lt;C$4),C148,AND($C$7="Y",B148=C$4),D147+F148-J148-K148-L148+N148,AND($C$7="Y",B148&gt;$C$4),D147-J148-K148-L148+N148, TRUE, D147-J148-K148-L148+N148)</f>
        <v>#DIV/0!</v>
      </c>
      <c r="E148" s="48">
        <f t="shared" si="60"/>
        <v>0</v>
      </c>
      <c r="F148" s="50">
        <f t="shared" si="61"/>
        <v>0</v>
      </c>
      <c r="G148" s="50">
        <f t="shared" si="67"/>
        <v>0</v>
      </c>
      <c r="H148" s="51" t="e">
        <f t="shared" si="52"/>
        <v>#DIV/0!</v>
      </c>
      <c r="I148" s="52" t="e">
        <f t="shared" si="62"/>
        <v>#DIV/0!</v>
      </c>
      <c r="J148" s="52" t="e">
        <f t="shared" si="53"/>
        <v>#DIV/0!</v>
      </c>
      <c r="K148" s="51" t="e">
        <f t="shared" si="55"/>
        <v>#DIV/0!</v>
      </c>
      <c r="L148" s="49" t="e">
        <f t="shared" si="56"/>
        <v>#DIV/0!</v>
      </c>
      <c r="M148" s="49">
        <f t="shared" si="57"/>
        <v>0</v>
      </c>
      <c r="N148" s="49">
        <f t="shared" si="49"/>
        <v>0</v>
      </c>
      <c r="O148" s="48" t="e">
        <f t="shared" si="50"/>
        <v>#DIV/0!</v>
      </c>
      <c r="P148" s="38" t="e">
        <f t="shared" si="54"/>
        <v>#DIV/0!</v>
      </c>
      <c r="Q148" s="53"/>
      <c r="R148" s="53">
        <f t="shared" si="63"/>
        <v>0</v>
      </c>
      <c r="S148" s="53">
        <f t="shared" si="64"/>
        <v>0</v>
      </c>
      <c r="T148" s="53">
        <f t="shared" si="65"/>
        <v>0.05</v>
      </c>
      <c r="U148" s="53">
        <f t="shared" si="66"/>
        <v>4.2653187775606449E-3</v>
      </c>
    </row>
    <row r="149" spans="1:21" x14ac:dyDescent="0.2">
      <c r="A149" s="62" t="e">
        <f t="shared" si="58"/>
        <v>#DIV/0!</v>
      </c>
      <c r="B149" s="45">
        <f t="shared" si="59"/>
        <v>135</v>
      </c>
      <c r="C149" s="49" t="e">
        <f t="shared" si="51"/>
        <v>#DIV/0!</v>
      </c>
      <c r="D149" s="47" t="e" cm="1">
        <f t="array" ref="D149">_xlfn.IFS(AND($C$7="Y",B149&lt;C$4),C149,AND($C$7="Y",B149=C$4),D148+F149-J149-K149-L149+N149,AND($C$7="Y",B149&gt;$C$4),D148-J149-K149-L149+N149, TRUE, D148-J149-K149-L149+N149)</f>
        <v>#DIV/0!</v>
      </c>
      <c r="E149" s="48">
        <f t="shared" si="60"/>
        <v>0</v>
      </c>
      <c r="F149" s="50">
        <f t="shared" si="61"/>
        <v>0</v>
      </c>
      <c r="G149" s="50">
        <f t="shared" si="67"/>
        <v>0</v>
      </c>
      <c r="H149" s="51" t="e">
        <f t="shared" si="52"/>
        <v>#DIV/0!</v>
      </c>
      <c r="I149" s="52" t="e">
        <f t="shared" si="62"/>
        <v>#DIV/0!</v>
      </c>
      <c r="J149" s="52" t="e">
        <f t="shared" si="53"/>
        <v>#DIV/0!</v>
      </c>
      <c r="K149" s="51" t="e">
        <f t="shared" si="55"/>
        <v>#DIV/0!</v>
      </c>
      <c r="L149" s="49" t="e">
        <f t="shared" si="56"/>
        <v>#DIV/0!</v>
      </c>
      <c r="M149" s="49">
        <f t="shared" si="57"/>
        <v>0</v>
      </c>
      <c r="N149" s="49">
        <f t="shared" si="49"/>
        <v>0</v>
      </c>
      <c r="O149" s="48" t="e">
        <f t="shared" si="50"/>
        <v>#DIV/0!</v>
      </c>
      <c r="P149" s="38" t="e">
        <f t="shared" si="54"/>
        <v>#DIV/0!</v>
      </c>
      <c r="Q149" s="53"/>
      <c r="R149" s="53">
        <f t="shared" si="63"/>
        <v>0</v>
      </c>
      <c r="S149" s="53">
        <f t="shared" si="64"/>
        <v>0</v>
      </c>
      <c r="T149" s="53">
        <f t="shared" si="65"/>
        <v>0.05</v>
      </c>
      <c r="U149" s="53">
        <f t="shared" si="66"/>
        <v>4.2653187775606449E-3</v>
      </c>
    </row>
    <row r="150" spans="1:21" x14ac:dyDescent="0.2">
      <c r="A150" s="62" t="e">
        <f t="shared" si="58"/>
        <v>#DIV/0!</v>
      </c>
      <c r="B150" s="45">
        <f t="shared" si="59"/>
        <v>136</v>
      </c>
      <c r="C150" s="49" t="e">
        <f t="shared" si="51"/>
        <v>#DIV/0!</v>
      </c>
      <c r="D150" s="47" t="e" cm="1">
        <f t="array" ref="D150">_xlfn.IFS(AND($C$7="Y",B150&lt;C$4),C150,AND($C$7="Y",B150=C$4),D149+F150-J150-K150-L150+N150,AND($C$7="Y",B150&gt;$C$4),D149-J150-K150-L150+N150, TRUE, D149-J150-K150-L150+N150)</f>
        <v>#DIV/0!</v>
      </c>
      <c r="E150" s="48">
        <f t="shared" si="60"/>
        <v>0</v>
      </c>
      <c r="F150" s="50">
        <f t="shared" si="61"/>
        <v>0</v>
      </c>
      <c r="G150" s="50">
        <f t="shared" si="67"/>
        <v>0</v>
      </c>
      <c r="H150" s="51" t="e">
        <f t="shared" si="52"/>
        <v>#DIV/0!</v>
      </c>
      <c r="I150" s="52" t="e">
        <f t="shared" si="62"/>
        <v>#DIV/0!</v>
      </c>
      <c r="J150" s="52" t="e">
        <f t="shared" si="53"/>
        <v>#DIV/0!</v>
      </c>
      <c r="K150" s="51" t="e">
        <f t="shared" si="55"/>
        <v>#DIV/0!</v>
      </c>
      <c r="L150" s="49" t="e">
        <f t="shared" si="56"/>
        <v>#DIV/0!</v>
      </c>
      <c r="M150" s="49">
        <f t="shared" si="57"/>
        <v>0</v>
      </c>
      <c r="N150" s="49">
        <f t="shared" si="49"/>
        <v>0</v>
      </c>
      <c r="O150" s="48" t="e">
        <f t="shared" si="50"/>
        <v>#DIV/0!</v>
      </c>
      <c r="P150" s="38" t="e">
        <f t="shared" si="54"/>
        <v>#DIV/0!</v>
      </c>
      <c r="Q150" s="53"/>
      <c r="R150" s="53">
        <f t="shared" si="63"/>
        <v>0</v>
      </c>
      <c r="S150" s="53">
        <f t="shared" si="64"/>
        <v>0</v>
      </c>
      <c r="T150" s="53">
        <f t="shared" si="65"/>
        <v>0.05</v>
      </c>
      <c r="U150" s="53">
        <f t="shared" si="66"/>
        <v>4.2653187775606449E-3</v>
      </c>
    </row>
    <row r="151" spans="1:21" x14ac:dyDescent="0.2">
      <c r="A151" s="62" t="e">
        <f t="shared" si="58"/>
        <v>#DIV/0!</v>
      </c>
      <c r="B151" s="45">
        <f t="shared" si="59"/>
        <v>137</v>
      </c>
      <c r="C151" s="49" t="e">
        <f t="shared" si="51"/>
        <v>#DIV/0!</v>
      </c>
      <c r="D151" s="47" t="e" cm="1">
        <f t="array" ref="D151">_xlfn.IFS(AND($C$7="Y",B151&lt;C$4),C151,AND($C$7="Y",B151=C$4),D150+F151-J151-K151-L151+N151,AND($C$7="Y",B151&gt;$C$4),D150-J151-K151-L151+N151, TRUE, D150-J151-K151-L151+N151)</f>
        <v>#DIV/0!</v>
      </c>
      <c r="E151" s="48">
        <f t="shared" si="60"/>
        <v>0</v>
      </c>
      <c r="F151" s="50">
        <f t="shared" si="61"/>
        <v>0</v>
      </c>
      <c r="G151" s="50">
        <f t="shared" si="67"/>
        <v>0</v>
      </c>
      <c r="H151" s="51" t="e">
        <f t="shared" si="52"/>
        <v>#DIV/0!</v>
      </c>
      <c r="I151" s="52" t="e">
        <f t="shared" si="62"/>
        <v>#DIV/0!</v>
      </c>
      <c r="J151" s="52" t="e">
        <f t="shared" si="53"/>
        <v>#DIV/0!</v>
      </c>
      <c r="K151" s="51" t="e">
        <f t="shared" si="55"/>
        <v>#DIV/0!</v>
      </c>
      <c r="L151" s="49" t="e">
        <f t="shared" si="56"/>
        <v>#DIV/0!</v>
      </c>
      <c r="M151" s="49">
        <f t="shared" si="57"/>
        <v>0</v>
      </c>
      <c r="N151" s="49">
        <f t="shared" si="49"/>
        <v>0</v>
      </c>
      <c r="O151" s="48" t="e">
        <f t="shared" si="50"/>
        <v>#DIV/0!</v>
      </c>
      <c r="P151" s="38" t="e">
        <f t="shared" si="54"/>
        <v>#DIV/0!</v>
      </c>
      <c r="Q151" s="53"/>
      <c r="R151" s="53">
        <f t="shared" si="63"/>
        <v>0</v>
      </c>
      <c r="S151" s="53">
        <f t="shared" si="64"/>
        <v>0</v>
      </c>
      <c r="T151" s="53">
        <f t="shared" si="65"/>
        <v>0.05</v>
      </c>
      <c r="U151" s="53">
        <f t="shared" si="66"/>
        <v>4.2653187775606449E-3</v>
      </c>
    </row>
    <row r="152" spans="1:21" x14ac:dyDescent="0.2">
      <c r="A152" s="62" t="e">
        <f t="shared" si="58"/>
        <v>#DIV/0!</v>
      </c>
      <c r="B152" s="45">
        <f t="shared" si="59"/>
        <v>138</v>
      </c>
      <c r="C152" s="49" t="e">
        <f t="shared" si="51"/>
        <v>#DIV/0!</v>
      </c>
      <c r="D152" s="47" t="e" cm="1">
        <f t="array" ref="D152">_xlfn.IFS(AND($C$7="Y",B152&lt;C$4),C152,AND($C$7="Y",B152=C$4),D151+F152-J152-K152-L152+N152,AND($C$7="Y",B152&gt;$C$4),D151-J152-K152-L152+N152, TRUE, D151-J152-K152-L152+N152)</f>
        <v>#DIV/0!</v>
      </c>
      <c r="E152" s="48">
        <f t="shared" si="60"/>
        <v>0</v>
      </c>
      <c r="F152" s="50">
        <f t="shared" si="61"/>
        <v>0</v>
      </c>
      <c r="G152" s="50">
        <f t="shared" si="67"/>
        <v>0</v>
      </c>
      <c r="H152" s="51" t="e">
        <f t="shared" si="52"/>
        <v>#DIV/0!</v>
      </c>
      <c r="I152" s="52" t="e">
        <f t="shared" si="62"/>
        <v>#DIV/0!</v>
      </c>
      <c r="J152" s="52" t="e">
        <f t="shared" si="53"/>
        <v>#DIV/0!</v>
      </c>
      <c r="K152" s="51" t="e">
        <f t="shared" si="55"/>
        <v>#DIV/0!</v>
      </c>
      <c r="L152" s="49" t="e">
        <f t="shared" si="56"/>
        <v>#DIV/0!</v>
      </c>
      <c r="M152" s="49">
        <f t="shared" si="57"/>
        <v>0</v>
      </c>
      <c r="N152" s="49">
        <f t="shared" si="49"/>
        <v>0</v>
      </c>
      <c r="O152" s="48" t="e">
        <f t="shared" si="50"/>
        <v>#DIV/0!</v>
      </c>
      <c r="P152" s="38" t="e">
        <f t="shared" si="54"/>
        <v>#DIV/0!</v>
      </c>
      <c r="Q152" s="53"/>
      <c r="R152" s="53">
        <f t="shared" si="63"/>
        <v>0</v>
      </c>
      <c r="S152" s="53">
        <f t="shared" si="64"/>
        <v>0</v>
      </c>
      <c r="T152" s="53">
        <f t="shared" si="65"/>
        <v>0.05</v>
      </c>
      <c r="U152" s="53">
        <f t="shared" si="66"/>
        <v>4.2653187775606449E-3</v>
      </c>
    </row>
    <row r="153" spans="1:21" x14ac:dyDescent="0.2">
      <c r="A153" s="62" t="e">
        <f t="shared" si="58"/>
        <v>#DIV/0!</v>
      </c>
      <c r="B153" s="45">
        <f t="shared" si="59"/>
        <v>139</v>
      </c>
      <c r="C153" s="49" t="e">
        <f t="shared" si="51"/>
        <v>#DIV/0!</v>
      </c>
      <c r="D153" s="47" t="e" cm="1">
        <f t="array" ref="D153">_xlfn.IFS(AND($C$7="Y",B153&lt;C$4),C153,AND($C$7="Y",B153=C$4),D152+F153-J153-K153-L153+N153,AND($C$7="Y",B153&gt;$C$4),D152-J153-K153-L153+N153, TRUE, D152-J153-K153-L153+N153)</f>
        <v>#DIV/0!</v>
      </c>
      <c r="E153" s="48">
        <f t="shared" si="60"/>
        <v>0</v>
      </c>
      <c r="F153" s="50">
        <f t="shared" si="61"/>
        <v>0</v>
      </c>
      <c r="G153" s="50">
        <f t="shared" si="67"/>
        <v>0</v>
      </c>
      <c r="H153" s="51" t="e">
        <f t="shared" si="52"/>
        <v>#DIV/0!</v>
      </c>
      <c r="I153" s="52" t="e">
        <f t="shared" si="62"/>
        <v>#DIV/0!</v>
      </c>
      <c r="J153" s="52" t="e">
        <f t="shared" si="53"/>
        <v>#DIV/0!</v>
      </c>
      <c r="K153" s="51" t="e">
        <f t="shared" si="55"/>
        <v>#DIV/0!</v>
      </c>
      <c r="L153" s="49" t="e">
        <f t="shared" si="56"/>
        <v>#DIV/0!</v>
      </c>
      <c r="M153" s="49">
        <f t="shared" si="57"/>
        <v>0</v>
      </c>
      <c r="N153" s="49">
        <f t="shared" si="49"/>
        <v>0</v>
      </c>
      <c r="O153" s="48" t="e">
        <f t="shared" si="50"/>
        <v>#DIV/0!</v>
      </c>
      <c r="P153" s="38" t="e">
        <f t="shared" si="54"/>
        <v>#DIV/0!</v>
      </c>
      <c r="Q153" s="53"/>
      <c r="R153" s="53">
        <f t="shared" si="63"/>
        <v>0</v>
      </c>
      <c r="S153" s="53">
        <f t="shared" si="64"/>
        <v>0</v>
      </c>
      <c r="T153" s="53">
        <f t="shared" si="65"/>
        <v>0.05</v>
      </c>
      <c r="U153" s="53">
        <f t="shared" si="66"/>
        <v>4.2653187775606449E-3</v>
      </c>
    </row>
    <row r="154" spans="1:21" x14ac:dyDescent="0.2">
      <c r="A154" s="62" t="e">
        <f t="shared" si="58"/>
        <v>#DIV/0!</v>
      </c>
      <c r="B154" s="45">
        <f t="shared" si="59"/>
        <v>140</v>
      </c>
      <c r="C154" s="49" t="e">
        <f t="shared" si="51"/>
        <v>#DIV/0!</v>
      </c>
      <c r="D154" s="47" t="e" cm="1">
        <f t="array" ref="D154">_xlfn.IFS(AND($C$7="Y",B154&lt;C$4),C154,AND($C$7="Y",B154=C$4),D153+F154-J154-K154-L154+N154,AND($C$7="Y",B154&gt;$C$4),D153-J154-K154-L154+N154, TRUE, D153-J154-K154-L154+N154)</f>
        <v>#DIV/0!</v>
      </c>
      <c r="E154" s="48">
        <f t="shared" si="60"/>
        <v>0</v>
      </c>
      <c r="F154" s="50">
        <f t="shared" si="61"/>
        <v>0</v>
      </c>
      <c r="G154" s="50">
        <f t="shared" si="67"/>
        <v>0</v>
      </c>
      <c r="H154" s="51" t="e">
        <f t="shared" si="52"/>
        <v>#DIV/0!</v>
      </c>
      <c r="I154" s="52" t="e">
        <f t="shared" si="62"/>
        <v>#DIV/0!</v>
      </c>
      <c r="J154" s="52" t="e">
        <f t="shared" si="53"/>
        <v>#DIV/0!</v>
      </c>
      <c r="K154" s="51" t="e">
        <f t="shared" si="55"/>
        <v>#DIV/0!</v>
      </c>
      <c r="L154" s="49" t="e">
        <f t="shared" si="56"/>
        <v>#DIV/0!</v>
      </c>
      <c r="M154" s="49">
        <f t="shared" si="57"/>
        <v>0</v>
      </c>
      <c r="N154" s="49">
        <f t="shared" si="49"/>
        <v>0</v>
      </c>
      <c r="O154" s="48" t="e">
        <f t="shared" si="50"/>
        <v>#DIV/0!</v>
      </c>
      <c r="P154" s="38" t="e">
        <f t="shared" si="54"/>
        <v>#DIV/0!</v>
      </c>
      <c r="Q154" s="53"/>
      <c r="R154" s="53">
        <f t="shared" si="63"/>
        <v>0</v>
      </c>
      <c r="S154" s="53">
        <f t="shared" si="64"/>
        <v>0</v>
      </c>
      <c r="T154" s="53">
        <f t="shared" si="65"/>
        <v>0.05</v>
      </c>
      <c r="U154" s="53">
        <f t="shared" si="66"/>
        <v>4.2653187775606449E-3</v>
      </c>
    </row>
    <row r="155" spans="1:21" x14ac:dyDescent="0.2">
      <c r="A155" s="62" t="e">
        <f t="shared" si="58"/>
        <v>#DIV/0!</v>
      </c>
      <c r="B155" s="45">
        <f t="shared" si="59"/>
        <v>141</v>
      </c>
      <c r="C155" s="49" t="e">
        <f t="shared" si="51"/>
        <v>#DIV/0!</v>
      </c>
      <c r="D155" s="47" t="e" cm="1">
        <f t="array" ref="D155">_xlfn.IFS(AND($C$7="Y",B155&lt;C$4),C155,AND($C$7="Y",B155=C$4),D154+F155-J155-K155-L155+N155,AND($C$7="Y",B155&gt;$C$4),D154-J155-K155-L155+N155, TRUE, D154-J155-K155-L155+N155)</f>
        <v>#DIV/0!</v>
      </c>
      <c r="E155" s="48">
        <f t="shared" si="60"/>
        <v>0</v>
      </c>
      <c r="F155" s="50">
        <f t="shared" si="61"/>
        <v>0</v>
      </c>
      <c r="G155" s="50">
        <f t="shared" si="67"/>
        <v>0</v>
      </c>
      <c r="H155" s="51" t="e">
        <f t="shared" si="52"/>
        <v>#DIV/0!</v>
      </c>
      <c r="I155" s="52" t="e">
        <f t="shared" si="62"/>
        <v>#DIV/0!</v>
      </c>
      <c r="J155" s="52" t="e">
        <f t="shared" si="53"/>
        <v>#DIV/0!</v>
      </c>
      <c r="K155" s="51" t="e">
        <f t="shared" si="55"/>
        <v>#DIV/0!</v>
      </c>
      <c r="L155" s="49" t="e">
        <f t="shared" si="56"/>
        <v>#DIV/0!</v>
      </c>
      <c r="M155" s="49">
        <f t="shared" si="57"/>
        <v>0</v>
      </c>
      <c r="N155" s="49">
        <f t="shared" si="49"/>
        <v>0</v>
      </c>
      <c r="O155" s="48" t="e">
        <f t="shared" si="50"/>
        <v>#DIV/0!</v>
      </c>
      <c r="P155" s="38" t="e">
        <f t="shared" si="54"/>
        <v>#DIV/0!</v>
      </c>
      <c r="Q155" s="53"/>
      <c r="R155" s="53">
        <f t="shared" si="63"/>
        <v>0</v>
      </c>
      <c r="S155" s="53">
        <f t="shared" si="64"/>
        <v>0</v>
      </c>
      <c r="T155" s="53">
        <f t="shared" si="65"/>
        <v>0.05</v>
      </c>
      <c r="U155" s="53">
        <f t="shared" si="66"/>
        <v>4.2653187775606449E-3</v>
      </c>
    </row>
    <row r="156" spans="1:21" x14ac:dyDescent="0.2">
      <c r="A156" s="62" t="e">
        <f t="shared" si="58"/>
        <v>#DIV/0!</v>
      </c>
      <c r="B156" s="45">
        <f t="shared" si="59"/>
        <v>142</v>
      </c>
      <c r="C156" s="49" t="e">
        <f t="shared" si="51"/>
        <v>#DIV/0!</v>
      </c>
      <c r="D156" s="47" t="e" cm="1">
        <f t="array" ref="D156">_xlfn.IFS(AND($C$7="Y",B156&lt;C$4),C156,AND($C$7="Y",B156=C$4),D155+F156-J156-K156-L156+N156,AND($C$7="Y",B156&gt;$C$4),D155-J156-K156-L156+N156, TRUE, D155-J156-K156-L156+N156)</f>
        <v>#DIV/0!</v>
      </c>
      <c r="E156" s="48">
        <f t="shared" si="60"/>
        <v>0</v>
      </c>
      <c r="F156" s="50">
        <f t="shared" si="61"/>
        <v>0</v>
      </c>
      <c r="G156" s="50">
        <f t="shared" si="67"/>
        <v>0</v>
      </c>
      <c r="H156" s="51" t="e">
        <f t="shared" si="52"/>
        <v>#DIV/0!</v>
      </c>
      <c r="I156" s="52" t="e">
        <f t="shared" si="62"/>
        <v>#DIV/0!</v>
      </c>
      <c r="J156" s="52" t="e">
        <f t="shared" si="53"/>
        <v>#DIV/0!</v>
      </c>
      <c r="K156" s="51" t="e">
        <f t="shared" si="55"/>
        <v>#DIV/0!</v>
      </c>
      <c r="L156" s="49" t="e">
        <f t="shared" si="56"/>
        <v>#DIV/0!</v>
      </c>
      <c r="M156" s="49">
        <f t="shared" si="57"/>
        <v>0</v>
      </c>
      <c r="N156" s="49">
        <f t="shared" si="49"/>
        <v>0</v>
      </c>
      <c r="O156" s="48" t="e">
        <f t="shared" si="50"/>
        <v>#DIV/0!</v>
      </c>
      <c r="P156" s="38" t="e">
        <f t="shared" si="54"/>
        <v>#DIV/0!</v>
      </c>
      <c r="Q156" s="53"/>
      <c r="R156" s="53">
        <f t="shared" si="63"/>
        <v>0</v>
      </c>
      <c r="S156" s="53">
        <f t="shared" si="64"/>
        <v>0</v>
      </c>
      <c r="T156" s="53">
        <f t="shared" si="65"/>
        <v>0.05</v>
      </c>
      <c r="U156" s="53">
        <f t="shared" si="66"/>
        <v>4.2653187775606449E-3</v>
      </c>
    </row>
    <row r="157" spans="1:21" x14ac:dyDescent="0.2">
      <c r="A157" s="62" t="e">
        <f t="shared" si="58"/>
        <v>#DIV/0!</v>
      </c>
      <c r="B157" s="45">
        <f t="shared" si="59"/>
        <v>143</v>
      </c>
      <c r="C157" s="49" t="e">
        <f t="shared" si="51"/>
        <v>#DIV/0!</v>
      </c>
      <c r="D157" s="47" t="e" cm="1">
        <f t="array" ref="D157">_xlfn.IFS(AND($C$7="Y",B157&lt;C$4),C157,AND($C$7="Y",B157=C$4),D156+F157-J157-K157-L157+N157,AND($C$7="Y",B157&gt;$C$4),D156-J157-K157-L157+N157, TRUE, D156-J157-K157-L157+N157)</f>
        <v>#DIV/0!</v>
      </c>
      <c r="E157" s="48">
        <f t="shared" si="60"/>
        <v>0</v>
      </c>
      <c r="F157" s="50">
        <f t="shared" si="61"/>
        <v>0</v>
      </c>
      <c r="G157" s="50">
        <f t="shared" si="67"/>
        <v>0</v>
      </c>
      <c r="H157" s="51" t="e">
        <f t="shared" si="52"/>
        <v>#DIV/0!</v>
      </c>
      <c r="I157" s="52" t="e">
        <f t="shared" si="62"/>
        <v>#DIV/0!</v>
      </c>
      <c r="J157" s="52" t="e">
        <f t="shared" si="53"/>
        <v>#DIV/0!</v>
      </c>
      <c r="K157" s="51" t="e">
        <f t="shared" si="55"/>
        <v>#DIV/0!</v>
      </c>
      <c r="L157" s="49" t="e">
        <f t="shared" si="56"/>
        <v>#DIV/0!</v>
      </c>
      <c r="M157" s="49">
        <f t="shared" si="57"/>
        <v>0</v>
      </c>
      <c r="N157" s="49">
        <f t="shared" si="49"/>
        <v>0</v>
      </c>
      <c r="O157" s="48" t="e">
        <f t="shared" si="50"/>
        <v>#DIV/0!</v>
      </c>
      <c r="P157" s="38" t="e">
        <f t="shared" si="54"/>
        <v>#DIV/0!</v>
      </c>
      <c r="Q157" s="53"/>
      <c r="R157" s="53">
        <f t="shared" si="63"/>
        <v>0</v>
      </c>
      <c r="S157" s="53">
        <f t="shared" si="64"/>
        <v>0</v>
      </c>
      <c r="T157" s="53">
        <f t="shared" si="65"/>
        <v>0.05</v>
      </c>
      <c r="U157" s="53">
        <f t="shared" si="66"/>
        <v>4.2653187775606449E-3</v>
      </c>
    </row>
    <row r="158" spans="1:21" x14ac:dyDescent="0.2">
      <c r="A158" s="62" t="e">
        <f t="shared" si="58"/>
        <v>#DIV/0!</v>
      </c>
      <c r="B158" s="45">
        <f t="shared" si="59"/>
        <v>144</v>
      </c>
      <c r="C158" s="49" t="e">
        <f t="shared" si="51"/>
        <v>#DIV/0!</v>
      </c>
      <c r="D158" s="47" t="e" cm="1">
        <f t="array" ref="D158">_xlfn.IFS(AND($C$7="Y",B158&lt;C$4),C158,AND($C$7="Y",B158=C$4),D157+F158-J158-K158-L158+N158,AND($C$7="Y",B158&gt;$C$4),D157-J158-K158-L158+N158, TRUE, D157-J158-K158-L158+N158)</f>
        <v>#DIV/0!</v>
      </c>
      <c r="E158" s="48">
        <f t="shared" si="60"/>
        <v>0</v>
      </c>
      <c r="F158" s="50">
        <f t="shared" si="61"/>
        <v>0</v>
      </c>
      <c r="G158" s="50">
        <f t="shared" si="67"/>
        <v>0</v>
      </c>
      <c r="H158" s="51" t="e">
        <f t="shared" si="52"/>
        <v>#DIV/0!</v>
      </c>
      <c r="I158" s="52" t="e">
        <f t="shared" si="62"/>
        <v>#DIV/0!</v>
      </c>
      <c r="J158" s="52" t="e">
        <f t="shared" si="53"/>
        <v>#DIV/0!</v>
      </c>
      <c r="K158" s="51" t="e">
        <f t="shared" si="55"/>
        <v>#DIV/0!</v>
      </c>
      <c r="L158" s="49" t="e">
        <f t="shared" si="56"/>
        <v>#DIV/0!</v>
      </c>
      <c r="M158" s="49">
        <f t="shared" si="57"/>
        <v>0</v>
      </c>
      <c r="N158" s="49">
        <f t="shared" si="49"/>
        <v>0</v>
      </c>
      <c r="O158" s="48" t="e">
        <f t="shared" si="50"/>
        <v>#DIV/0!</v>
      </c>
      <c r="P158" s="38" t="e">
        <f t="shared" si="54"/>
        <v>#DIV/0!</v>
      </c>
      <c r="Q158" s="53"/>
      <c r="R158" s="53">
        <f t="shared" si="63"/>
        <v>0</v>
      </c>
      <c r="S158" s="53">
        <f t="shared" si="64"/>
        <v>0</v>
      </c>
      <c r="T158" s="53">
        <f t="shared" si="65"/>
        <v>0.05</v>
      </c>
      <c r="U158" s="53">
        <f t="shared" si="66"/>
        <v>4.2653187775606449E-3</v>
      </c>
    </row>
    <row r="159" spans="1:21" x14ac:dyDescent="0.2">
      <c r="A159" s="62" t="e">
        <f t="shared" si="58"/>
        <v>#DIV/0!</v>
      </c>
      <c r="B159" s="45">
        <f t="shared" si="59"/>
        <v>145</v>
      </c>
      <c r="C159" s="49" t="e">
        <f t="shared" si="51"/>
        <v>#DIV/0!</v>
      </c>
      <c r="D159" s="47" t="e" cm="1">
        <f t="array" ref="D159">_xlfn.IFS(AND($C$7="Y",B159&lt;C$4),C159,AND($C$7="Y",B159=C$4),D158+F159-J159-K159-L159+N159,AND($C$7="Y",B159&gt;$C$4),D158-J159-K159-L159+N159, TRUE, D158-J159-K159-L159+N159)</f>
        <v>#DIV/0!</v>
      </c>
      <c r="E159" s="48">
        <f t="shared" si="60"/>
        <v>0</v>
      </c>
      <c r="F159" s="50">
        <f t="shared" si="61"/>
        <v>0</v>
      </c>
      <c r="G159" s="50">
        <f t="shared" si="67"/>
        <v>0</v>
      </c>
      <c r="H159" s="51" t="e">
        <f t="shared" si="52"/>
        <v>#DIV/0!</v>
      </c>
      <c r="I159" s="52" t="e">
        <f t="shared" si="62"/>
        <v>#DIV/0!</v>
      </c>
      <c r="J159" s="52" t="e">
        <f t="shared" si="53"/>
        <v>#DIV/0!</v>
      </c>
      <c r="K159" s="51" t="e">
        <f t="shared" si="55"/>
        <v>#DIV/0!</v>
      </c>
      <c r="L159" s="49" t="e">
        <f t="shared" si="56"/>
        <v>#DIV/0!</v>
      </c>
      <c r="M159" s="49">
        <f t="shared" si="57"/>
        <v>0</v>
      </c>
      <c r="N159" s="49">
        <f t="shared" si="49"/>
        <v>0</v>
      </c>
      <c r="O159" s="48" t="e">
        <f t="shared" si="50"/>
        <v>#DIV/0!</v>
      </c>
      <c r="P159" s="38" t="e">
        <f t="shared" si="54"/>
        <v>#DIV/0!</v>
      </c>
      <c r="Q159" s="53"/>
      <c r="R159" s="53">
        <f t="shared" si="63"/>
        <v>0</v>
      </c>
      <c r="S159" s="53">
        <f t="shared" si="64"/>
        <v>0</v>
      </c>
      <c r="T159" s="53">
        <f t="shared" si="65"/>
        <v>0.05</v>
      </c>
      <c r="U159" s="53">
        <f t="shared" si="66"/>
        <v>4.2653187775606449E-3</v>
      </c>
    </row>
    <row r="160" spans="1:21" x14ac:dyDescent="0.2">
      <c r="A160" s="62" t="e">
        <f t="shared" si="58"/>
        <v>#DIV/0!</v>
      </c>
      <c r="B160" s="45">
        <f t="shared" si="59"/>
        <v>146</v>
      </c>
      <c r="C160" s="49" t="e">
        <f t="shared" si="51"/>
        <v>#DIV/0!</v>
      </c>
      <c r="D160" s="47" t="e" cm="1">
        <f t="array" ref="D160">_xlfn.IFS(AND($C$7="Y",B160&lt;C$4),C160,AND($C$7="Y",B160=C$4),D159+F160-J160-K160-L160+N160,AND($C$7="Y",B160&gt;$C$4),D159-J160-K160-L160+N160, TRUE, D159-J160-K160-L160+N160)</f>
        <v>#DIV/0!</v>
      </c>
      <c r="E160" s="48">
        <f t="shared" si="60"/>
        <v>0</v>
      </c>
      <c r="F160" s="50">
        <f t="shared" si="61"/>
        <v>0</v>
      </c>
      <c r="G160" s="50">
        <f t="shared" si="67"/>
        <v>0</v>
      </c>
      <c r="H160" s="51" t="e">
        <f t="shared" si="52"/>
        <v>#DIV/0!</v>
      </c>
      <c r="I160" s="52" t="e">
        <f t="shared" si="62"/>
        <v>#DIV/0!</v>
      </c>
      <c r="J160" s="52" t="e">
        <f t="shared" si="53"/>
        <v>#DIV/0!</v>
      </c>
      <c r="K160" s="51" t="e">
        <f t="shared" si="55"/>
        <v>#DIV/0!</v>
      </c>
      <c r="L160" s="49" t="e">
        <f t="shared" si="56"/>
        <v>#DIV/0!</v>
      </c>
      <c r="M160" s="49">
        <f t="shared" si="57"/>
        <v>0</v>
      </c>
      <c r="N160" s="49">
        <f t="shared" si="49"/>
        <v>0</v>
      </c>
      <c r="O160" s="48" t="e">
        <f t="shared" si="50"/>
        <v>#DIV/0!</v>
      </c>
      <c r="P160" s="38" t="e">
        <f t="shared" si="54"/>
        <v>#DIV/0!</v>
      </c>
      <c r="Q160" s="53"/>
      <c r="R160" s="53">
        <f t="shared" si="63"/>
        <v>0</v>
      </c>
      <c r="S160" s="53">
        <f t="shared" si="64"/>
        <v>0</v>
      </c>
      <c r="T160" s="53">
        <f t="shared" si="65"/>
        <v>0.05</v>
      </c>
      <c r="U160" s="53">
        <f t="shared" si="66"/>
        <v>4.2653187775606449E-3</v>
      </c>
    </row>
    <row r="161" spans="1:21" x14ac:dyDescent="0.2">
      <c r="A161" s="62" t="e">
        <f t="shared" si="58"/>
        <v>#DIV/0!</v>
      </c>
      <c r="B161" s="45">
        <f t="shared" si="59"/>
        <v>147</v>
      </c>
      <c r="C161" s="49" t="e">
        <f t="shared" si="51"/>
        <v>#DIV/0!</v>
      </c>
      <c r="D161" s="47" t="e" cm="1">
        <f t="array" ref="D161">_xlfn.IFS(AND($C$7="Y",B161&lt;C$4),C161,AND($C$7="Y",B161=C$4),D160+F161-J161-K161-L161+N161,AND($C$7="Y",B161&gt;$C$4),D160-J161-K161-L161+N161, TRUE, D160-J161-K161-L161+N161)</f>
        <v>#DIV/0!</v>
      </c>
      <c r="E161" s="48">
        <f t="shared" si="60"/>
        <v>0</v>
      </c>
      <c r="F161" s="50">
        <f t="shared" si="61"/>
        <v>0</v>
      </c>
      <c r="G161" s="50">
        <f t="shared" si="67"/>
        <v>0</v>
      </c>
      <c r="H161" s="51" t="e">
        <f t="shared" si="52"/>
        <v>#DIV/0!</v>
      </c>
      <c r="I161" s="52" t="e">
        <f t="shared" si="62"/>
        <v>#DIV/0!</v>
      </c>
      <c r="J161" s="52" t="e">
        <f t="shared" si="53"/>
        <v>#DIV/0!</v>
      </c>
      <c r="K161" s="51" t="e">
        <f t="shared" si="55"/>
        <v>#DIV/0!</v>
      </c>
      <c r="L161" s="49" t="e">
        <f t="shared" si="56"/>
        <v>#DIV/0!</v>
      </c>
      <c r="M161" s="49">
        <f t="shared" si="57"/>
        <v>0</v>
      </c>
      <c r="N161" s="49">
        <f t="shared" si="49"/>
        <v>0</v>
      </c>
      <c r="O161" s="48" t="e">
        <f t="shared" si="50"/>
        <v>#DIV/0!</v>
      </c>
      <c r="P161" s="38" t="e">
        <f t="shared" si="54"/>
        <v>#DIV/0!</v>
      </c>
      <c r="Q161" s="53"/>
      <c r="R161" s="53">
        <f t="shared" si="63"/>
        <v>0</v>
      </c>
      <c r="S161" s="53">
        <f t="shared" si="64"/>
        <v>0</v>
      </c>
      <c r="T161" s="53">
        <f t="shared" si="65"/>
        <v>0.05</v>
      </c>
      <c r="U161" s="53">
        <f t="shared" si="66"/>
        <v>4.2653187775606449E-3</v>
      </c>
    </row>
    <row r="162" spans="1:21" x14ac:dyDescent="0.2">
      <c r="A162" s="62" t="e">
        <f t="shared" si="58"/>
        <v>#DIV/0!</v>
      </c>
      <c r="B162" s="45">
        <f t="shared" si="59"/>
        <v>148</v>
      </c>
      <c r="C162" s="49" t="e">
        <f t="shared" si="51"/>
        <v>#DIV/0!</v>
      </c>
      <c r="D162" s="47" t="e" cm="1">
        <f t="array" ref="D162">_xlfn.IFS(AND($C$7="Y",B162&lt;C$4),C162,AND($C$7="Y",B162=C$4),D161+F162-J162-K162-L162+N162,AND($C$7="Y",B162&gt;$C$4),D161-J162-K162-L162+N162, TRUE, D161-J162-K162-L162+N162)</f>
        <v>#DIV/0!</v>
      </c>
      <c r="E162" s="48">
        <f t="shared" si="60"/>
        <v>0</v>
      </c>
      <c r="F162" s="50">
        <f t="shared" si="61"/>
        <v>0</v>
      </c>
      <c r="G162" s="50">
        <f t="shared" si="67"/>
        <v>0</v>
      </c>
      <c r="H162" s="51" t="e">
        <f t="shared" si="52"/>
        <v>#DIV/0!</v>
      </c>
      <c r="I162" s="52" t="e">
        <f t="shared" si="62"/>
        <v>#DIV/0!</v>
      </c>
      <c r="J162" s="52" t="e">
        <f t="shared" si="53"/>
        <v>#DIV/0!</v>
      </c>
      <c r="K162" s="51" t="e">
        <f t="shared" si="55"/>
        <v>#DIV/0!</v>
      </c>
      <c r="L162" s="49" t="e">
        <f t="shared" si="56"/>
        <v>#DIV/0!</v>
      </c>
      <c r="M162" s="49">
        <f t="shared" si="57"/>
        <v>0</v>
      </c>
      <c r="N162" s="49">
        <f t="shared" si="49"/>
        <v>0</v>
      </c>
      <c r="O162" s="48" t="e">
        <f t="shared" si="50"/>
        <v>#DIV/0!</v>
      </c>
      <c r="P162" s="38" t="e">
        <f t="shared" si="54"/>
        <v>#DIV/0!</v>
      </c>
      <c r="Q162" s="53"/>
      <c r="R162" s="53">
        <f t="shared" si="63"/>
        <v>0</v>
      </c>
      <c r="S162" s="53">
        <f t="shared" si="64"/>
        <v>0</v>
      </c>
      <c r="T162" s="53">
        <f t="shared" si="65"/>
        <v>0.05</v>
      </c>
      <c r="U162" s="53">
        <f t="shared" si="66"/>
        <v>4.2653187775606449E-3</v>
      </c>
    </row>
    <row r="163" spans="1:21" x14ac:dyDescent="0.2">
      <c r="A163" s="62" t="e">
        <f t="shared" si="58"/>
        <v>#DIV/0!</v>
      </c>
      <c r="B163" s="45">
        <f t="shared" si="59"/>
        <v>149</v>
      </c>
      <c r="C163" s="49" t="e">
        <f t="shared" si="51"/>
        <v>#DIV/0!</v>
      </c>
      <c r="D163" s="47" t="e" cm="1">
        <f t="array" ref="D163">_xlfn.IFS(AND($C$7="Y",B163&lt;C$4),C163,AND($C$7="Y",B163=C$4),D162+F163-J163-K163-L163+N163,AND($C$7="Y",B163&gt;$C$4),D162-J163-K163-L163+N163, TRUE, D162-J163-K163-L163+N163)</f>
        <v>#DIV/0!</v>
      </c>
      <c r="E163" s="48">
        <f t="shared" si="60"/>
        <v>0</v>
      </c>
      <c r="F163" s="50">
        <f t="shared" si="61"/>
        <v>0</v>
      </c>
      <c r="G163" s="50">
        <f t="shared" si="67"/>
        <v>0</v>
      </c>
      <c r="H163" s="51" t="e">
        <f t="shared" si="52"/>
        <v>#DIV/0!</v>
      </c>
      <c r="I163" s="52" t="e">
        <f t="shared" si="62"/>
        <v>#DIV/0!</v>
      </c>
      <c r="J163" s="52" t="e">
        <f t="shared" si="53"/>
        <v>#DIV/0!</v>
      </c>
      <c r="K163" s="51" t="e">
        <f t="shared" si="55"/>
        <v>#DIV/0!</v>
      </c>
      <c r="L163" s="49" t="e">
        <f t="shared" si="56"/>
        <v>#DIV/0!</v>
      </c>
      <c r="M163" s="49">
        <f t="shared" si="57"/>
        <v>0</v>
      </c>
      <c r="N163" s="49">
        <f t="shared" ref="N163:N226" si="68">IFERROR((1-$N$12)*L159,0)</f>
        <v>0</v>
      </c>
      <c r="O163" s="48" t="e">
        <f t="shared" si="50"/>
        <v>#DIV/0!</v>
      </c>
      <c r="P163" s="38" t="e">
        <f t="shared" si="54"/>
        <v>#DIV/0!</v>
      </c>
      <c r="Q163" s="53"/>
      <c r="R163" s="53">
        <f t="shared" si="63"/>
        <v>0</v>
      </c>
      <c r="S163" s="53">
        <f t="shared" si="64"/>
        <v>0</v>
      </c>
      <c r="T163" s="53">
        <f t="shared" si="65"/>
        <v>0.05</v>
      </c>
      <c r="U163" s="53">
        <f t="shared" si="66"/>
        <v>4.2653187775606449E-3</v>
      </c>
    </row>
    <row r="164" spans="1:21" x14ac:dyDescent="0.2">
      <c r="A164" s="62" t="e">
        <f t="shared" si="58"/>
        <v>#DIV/0!</v>
      </c>
      <c r="B164" s="45">
        <f t="shared" si="59"/>
        <v>150</v>
      </c>
      <c r="C164" s="49" t="e">
        <f t="shared" si="51"/>
        <v>#DIV/0!</v>
      </c>
      <c r="D164" s="47" t="e" cm="1">
        <f t="array" ref="D164">_xlfn.IFS(AND($C$7="Y",B164&lt;C$4),C164,AND($C$7="Y",B164=C$4),D163+F164-J164-K164-L164+N164,AND($C$7="Y",B164&gt;$C$4),D163-J164-K164-L164+N164, TRUE, D163-J164-K164-L164+N164)</f>
        <v>#DIV/0!</v>
      </c>
      <c r="E164" s="48">
        <f t="shared" si="60"/>
        <v>0</v>
      </c>
      <c r="F164" s="50">
        <f t="shared" si="61"/>
        <v>0</v>
      </c>
      <c r="G164" s="50">
        <f t="shared" si="67"/>
        <v>0</v>
      </c>
      <c r="H164" s="51" t="e">
        <f t="shared" si="52"/>
        <v>#DIV/0!</v>
      </c>
      <c r="I164" s="52" t="e">
        <f t="shared" si="62"/>
        <v>#DIV/0!</v>
      </c>
      <c r="J164" s="52" t="e">
        <f t="shared" si="53"/>
        <v>#DIV/0!</v>
      </c>
      <c r="K164" s="51" t="e">
        <f t="shared" si="55"/>
        <v>#DIV/0!</v>
      </c>
      <c r="L164" s="49" t="e">
        <f t="shared" si="56"/>
        <v>#DIV/0!</v>
      </c>
      <c r="M164" s="49">
        <f t="shared" si="57"/>
        <v>0</v>
      </c>
      <c r="N164" s="49">
        <f t="shared" si="68"/>
        <v>0</v>
      </c>
      <c r="O164" s="48" t="e">
        <f t="shared" si="50"/>
        <v>#DIV/0!</v>
      </c>
      <c r="P164" s="38" t="e">
        <f t="shared" si="54"/>
        <v>#DIV/0!</v>
      </c>
      <c r="Q164" s="53"/>
      <c r="R164" s="53">
        <f t="shared" si="63"/>
        <v>0</v>
      </c>
      <c r="S164" s="53">
        <f t="shared" si="64"/>
        <v>0</v>
      </c>
      <c r="T164" s="53">
        <f t="shared" si="65"/>
        <v>0.05</v>
      </c>
      <c r="U164" s="53">
        <f t="shared" si="66"/>
        <v>4.2653187775606449E-3</v>
      </c>
    </row>
    <row r="165" spans="1:21" x14ac:dyDescent="0.2">
      <c r="A165" s="62" t="e">
        <f t="shared" si="58"/>
        <v>#DIV/0!</v>
      </c>
      <c r="B165" s="45">
        <f t="shared" si="59"/>
        <v>151</v>
      </c>
      <c r="C165" s="49" t="e">
        <f t="shared" si="51"/>
        <v>#DIV/0!</v>
      </c>
      <c r="D165" s="47" t="e" cm="1">
        <f t="array" ref="D165">_xlfn.IFS(AND($C$7="Y",B165&lt;C$4),C165,AND($C$7="Y",B165=C$4),D164+F165-J165-K165-L165+N165,AND($C$7="Y",B165&gt;$C$4),D164-J165-K165-L165+N165, TRUE, D164-J165-K165-L165+N165)</f>
        <v>#DIV/0!</v>
      </c>
      <c r="E165" s="48">
        <f t="shared" si="60"/>
        <v>0</v>
      </c>
      <c r="F165" s="50">
        <f t="shared" si="61"/>
        <v>0</v>
      </c>
      <c r="G165" s="50">
        <f t="shared" si="67"/>
        <v>0</v>
      </c>
      <c r="H165" s="51" t="e">
        <f t="shared" si="52"/>
        <v>#DIV/0!</v>
      </c>
      <c r="I165" s="52" t="e">
        <f t="shared" si="62"/>
        <v>#DIV/0!</v>
      </c>
      <c r="J165" s="52" t="e">
        <f t="shared" si="53"/>
        <v>#DIV/0!</v>
      </c>
      <c r="K165" s="51" t="e">
        <f t="shared" si="55"/>
        <v>#DIV/0!</v>
      </c>
      <c r="L165" s="49" t="e">
        <f t="shared" si="56"/>
        <v>#DIV/0!</v>
      </c>
      <c r="M165" s="49">
        <f t="shared" si="57"/>
        <v>0</v>
      </c>
      <c r="N165" s="49">
        <f t="shared" si="68"/>
        <v>0</v>
      </c>
      <c r="O165" s="48" t="e">
        <f t="shared" si="50"/>
        <v>#DIV/0!</v>
      </c>
      <c r="P165" s="38" t="e">
        <f t="shared" si="54"/>
        <v>#DIV/0!</v>
      </c>
      <c r="Q165" s="53"/>
      <c r="R165" s="53">
        <f t="shared" si="63"/>
        <v>0</v>
      </c>
      <c r="S165" s="53">
        <f t="shared" si="64"/>
        <v>0</v>
      </c>
      <c r="T165" s="53">
        <f t="shared" si="65"/>
        <v>0.05</v>
      </c>
      <c r="U165" s="53">
        <f t="shared" si="66"/>
        <v>4.2653187775606449E-3</v>
      </c>
    </row>
    <row r="166" spans="1:21" x14ac:dyDescent="0.2">
      <c r="A166" s="62" t="e">
        <f t="shared" si="58"/>
        <v>#DIV/0!</v>
      </c>
      <c r="B166" s="45">
        <f t="shared" si="59"/>
        <v>152</v>
      </c>
      <c r="C166" s="49" t="e">
        <f t="shared" si="51"/>
        <v>#DIV/0!</v>
      </c>
      <c r="D166" s="47" t="e" cm="1">
        <f t="array" ref="D166">_xlfn.IFS(AND($C$7="Y",B166&lt;C$4),C166,AND($C$7="Y",B166=C$4),D165+F166-J166-K166-L166+N166,AND($C$7="Y",B166&gt;$C$4),D165-J166-K166-L166+N166, TRUE, D165-J166-K166-L166+N166)</f>
        <v>#DIV/0!</v>
      </c>
      <c r="E166" s="48">
        <f t="shared" si="60"/>
        <v>0</v>
      </c>
      <c r="F166" s="50">
        <f t="shared" si="61"/>
        <v>0</v>
      </c>
      <c r="G166" s="50">
        <f t="shared" si="67"/>
        <v>0</v>
      </c>
      <c r="H166" s="51" t="e">
        <f t="shared" si="52"/>
        <v>#DIV/0!</v>
      </c>
      <c r="I166" s="52" t="e">
        <f t="shared" si="62"/>
        <v>#DIV/0!</v>
      </c>
      <c r="J166" s="52" t="e">
        <f t="shared" si="53"/>
        <v>#DIV/0!</v>
      </c>
      <c r="K166" s="51" t="e">
        <f t="shared" si="55"/>
        <v>#DIV/0!</v>
      </c>
      <c r="L166" s="49" t="e">
        <f t="shared" si="56"/>
        <v>#DIV/0!</v>
      </c>
      <c r="M166" s="49">
        <f t="shared" si="57"/>
        <v>0</v>
      </c>
      <c r="N166" s="49">
        <f t="shared" si="68"/>
        <v>0</v>
      </c>
      <c r="O166" s="48" t="e">
        <f t="shared" si="50"/>
        <v>#DIV/0!</v>
      </c>
      <c r="P166" s="38" t="e">
        <f t="shared" si="54"/>
        <v>#DIV/0!</v>
      </c>
      <c r="Q166" s="53"/>
      <c r="R166" s="53">
        <f t="shared" si="63"/>
        <v>0</v>
      </c>
      <c r="S166" s="53">
        <f t="shared" si="64"/>
        <v>0</v>
      </c>
      <c r="T166" s="53">
        <f t="shared" si="65"/>
        <v>0.05</v>
      </c>
      <c r="U166" s="53">
        <f t="shared" si="66"/>
        <v>4.2653187775606449E-3</v>
      </c>
    </row>
    <row r="167" spans="1:21" x14ac:dyDescent="0.2">
      <c r="A167" s="62" t="e">
        <f t="shared" si="58"/>
        <v>#DIV/0!</v>
      </c>
      <c r="B167" s="45">
        <f t="shared" si="59"/>
        <v>153</v>
      </c>
      <c r="C167" s="49" t="e">
        <f t="shared" si="51"/>
        <v>#DIV/0!</v>
      </c>
      <c r="D167" s="47" t="e" cm="1">
        <f t="array" ref="D167">_xlfn.IFS(AND($C$7="Y",B167&lt;C$4),C167,AND($C$7="Y",B167=C$4),D166+F167-J167-K167-L167+N167,AND($C$7="Y",B167&gt;$C$4),D166-J167-K167-L167+N167, TRUE, D166-J167-K167-L167+N167)</f>
        <v>#DIV/0!</v>
      </c>
      <c r="E167" s="48">
        <f t="shared" si="60"/>
        <v>0</v>
      </c>
      <c r="F167" s="50">
        <f t="shared" si="61"/>
        <v>0</v>
      </c>
      <c r="G167" s="50">
        <f t="shared" si="67"/>
        <v>0</v>
      </c>
      <c r="H167" s="51" t="e">
        <f t="shared" si="52"/>
        <v>#DIV/0!</v>
      </c>
      <c r="I167" s="52" t="e">
        <f t="shared" si="62"/>
        <v>#DIV/0!</v>
      </c>
      <c r="J167" s="52" t="e">
        <f t="shared" si="53"/>
        <v>#DIV/0!</v>
      </c>
      <c r="K167" s="51" t="e">
        <f t="shared" si="55"/>
        <v>#DIV/0!</v>
      </c>
      <c r="L167" s="49" t="e">
        <f t="shared" si="56"/>
        <v>#DIV/0!</v>
      </c>
      <c r="M167" s="49">
        <f t="shared" si="57"/>
        <v>0</v>
      </c>
      <c r="N167" s="49">
        <f t="shared" si="68"/>
        <v>0</v>
      </c>
      <c r="O167" s="48" t="e">
        <f t="shared" si="50"/>
        <v>#DIV/0!</v>
      </c>
      <c r="P167" s="38" t="e">
        <f t="shared" si="54"/>
        <v>#DIV/0!</v>
      </c>
      <c r="Q167" s="53"/>
      <c r="R167" s="53">
        <f t="shared" si="63"/>
        <v>0</v>
      </c>
      <c r="S167" s="53">
        <f t="shared" si="64"/>
        <v>0</v>
      </c>
      <c r="T167" s="53">
        <f t="shared" si="65"/>
        <v>0.05</v>
      </c>
      <c r="U167" s="53">
        <f t="shared" si="66"/>
        <v>4.2653187775606449E-3</v>
      </c>
    </row>
    <row r="168" spans="1:21" x14ac:dyDescent="0.2">
      <c r="A168" s="62" t="e">
        <f t="shared" si="58"/>
        <v>#DIV/0!</v>
      </c>
      <c r="B168" s="45">
        <f t="shared" si="59"/>
        <v>154</v>
      </c>
      <c r="C168" s="49" t="e">
        <f t="shared" si="51"/>
        <v>#DIV/0!</v>
      </c>
      <c r="D168" s="47" t="e" cm="1">
        <f t="array" ref="D168">_xlfn.IFS(AND($C$7="Y",B168&lt;C$4),C168,AND($C$7="Y",B168=C$4),D167+F168-J168-K168-L168+N168,AND($C$7="Y",B168&gt;$C$4),D167-J168-K168-L168+N168, TRUE, D167-J168-K168-L168+N168)</f>
        <v>#DIV/0!</v>
      </c>
      <c r="E168" s="48">
        <f t="shared" si="60"/>
        <v>0</v>
      </c>
      <c r="F168" s="50">
        <f t="shared" si="61"/>
        <v>0</v>
      </c>
      <c r="G168" s="50">
        <f t="shared" si="67"/>
        <v>0</v>
      </c>
      <c r="H168" s="51" t="e">
        <f t="shared" si="52"/>
        <v>#DIV/0!</v>
      </c>
      <c r="I168" s="52" t="e">
        <f t="shared" si="62"/>
        <v>#DIV/0!</v>
      </c>
      <c r="J168" s="52" t="e">
        <f t="shared" si="53"/>
        <v>#DIV/0!</v>
      </c>
      <c r="K168" s="51" t="e">
        <f t="shared" si="55"/>
        <v>#DIV/0!</v>
      </c>
      <c r="L168" s="49" t="e">
        <f t="shared" si="56"/>
        <v>#DIV/0!</v>
      </c>
      <c r="M168" s="49">
        <f t="shared" si="57"/>
        <v>0</v>
      </c>
      <c r="N168" s="49">
        <f t="shared" si="68"/>
        <v>0</v>
      </c>
      <c r="O168" s="48" t="e">
        <f t="shared" ref="O168:O218" si="69">K168+I168+J168-L168+N168+G168</f>
        <v>#DIV/0!</v>
      </c>
      <c r="P168" s="38" t="e">
        <f t="shared" si="54"/>
        <v>#DIV/0!</v>
      </c>
      <c r="Q168" s="53"/>
      <c r="R168" s="53">
        <f t="shared" si="63"/>
        <v>0</v>
      </c>
      <c r="S168" s="53">
        <f t="shared" si="64"/>
        <v>0</v>
      </c>
      <c r="T168" s="53">
        <f t="shared" si="65"/>
        <v>0.05</v>
      </c>
      <c r="U168" s="53">
        <f t="shared" si="66"/>
        <v>4.2653187775606449E-3</v>
      </c>
    </row>
    <row r="169" spans="1:21" x14ac:dyDescent="0.2">
      <c r="A169" s="62" t="e">
        <f t="shared" si="58"/>
        <v>#DIV/0!</v>
      </c>
      <c r="B169" s="45">
        <f t="shared" si="59"/>
        <v>155</v>
      </c>
      <c r="C169" s="49" t="e">
        <f t="shared" ref="C169:C219" si="70">IF(B169&lt;C$4,C$1,D168)</f>
        <v>#DIV/0!</v>
      </c>
      <c r="D169" s="47" t="e" cm="1">
        <f t="array" ref="D169">_xlfn.IFS(AND($C$7="Y",B169&lt;C$4),C169,AND($C$7="Y",B169=C$4),D168+F169-J169-K169-L169+N169,AND($C$7="Y",B169&gt;$C$4),D168-J169-K169-L169+N169, TRUE, D168-J169-K169-L169+N169)</f>
        <v>#DIV/0!</v>
      </c>
      <c r="E169" s="48">
        <f t="shared" si="60"/>
        <v>0</v>
      </c>
      <c r="F169" s="50">
        <f t="shared" si="61"/>
        <v>0</v>
      </c>
      <c r="G169" s="50">
        <f t="shared" si="67"/>
        <v>0</v>
      </c>
      <c r="H169" s="51" t="e">
        <f t="shared" ref="H169:H219" si="71">IF(AND($B169&lt;=$C$4,C$7="Y"),0,IF(AND(C$7="N",C$4&gt;0,B169&lt;=C$4),0,D168*C$2/12/(1-(1/(1+C$2/12))^(C$3+C$4-B169+1))))</f>
        <v>#DIV/0!</v>
      </c>
      <c r="I169" s="52" t="e">
        <f t="shared" si="62"/>
        <v>#DIV/0!</v>
      </c>
      <c r="J169" s="52" t="e">
        <f t="shared" ref="J169:J219" si="72">IF(AND($B169&lt;=$C$4,C$7="Y"),0,IF(AND(C$7="N",C$4&gt;0,B169&lt;=C$4),0,H169-I169))</f>
        <v>#DIV/0!</v>
      </c>
      <c r="K169" s="51" t="e">
        <f t="shared" si="55"/>
        <v>#DIV/0!</v>
      </c>
      <c r="L169" s="49" t="e">
        <f t="shared" si="56"/>
        <v>#DIV/0!</v>
      </c>
      <c r="M169" s="49">
        <f t="shared" si="57"/>
        <v>0</v>
      </c>
      <c r="N169" s="49">
        <f t="shared" si="68"/>
        <v>0</v>
      </c>
      <c r="O169" s="48" t="e">
        <f t="shared" si="69"/>
        <v>#DIV/0!</v>
      </c>
      <c r="P169" s="38" t="e">
        <f t="shared" ref="P169:P232" si="73">O169*(1/((1+P$12)^(B169/12)))</f>
        <v>#DIV/0!</v>
      </c>
      <c r="Q169" s="53"/>
      <c r="R169" s="53">
        <f t="shared" si="63"/>
        <v>0</v>
      </c>
      <c r="S169" s="53">
        <f t="shared" si="64"/>
        <v>0</v>
      </c>
      <c r="T169" s="53">
        <f t="shared" si="65"/>
        <v>0.05</v>
      </c>
      <c r="U169" s="53">
        <f t="shared" si="66"/>
        <v>4.2653187775606449E-3</v>
      </c>
    </row>
    <row r="170" spans="1:21" x14ac:dyDescent="0.2">
      <c r="A170" s="62" t="e">
        <f t="shared" si="58"/>
        <v>#DIV/0!</v>
      </c>
      <c r="B170" s="45">
        <f t="shared" si="59"/>
        <v>156</v>
      </c>
      <c r="C170" s="49" t="e">
        <f t="shared" si="70"/>
        <v>#DIV/0!</v>
      </c>
      <c r="D170" s="47" t="e" cm="1">
        <f t="array" ref="D170">_xlfn.IFS(AND($C$7="Y",B170&lt;C$4),C170,AND($C$7="Y",B170=C$4),D169+F170-J170-K170-L170+N170,AND($C$7="Y",B170&gt;$C$4),D169-J170-K170-L170+N170, TRUE, D169-J170-K170-L170+N170)</f>
        <v>#DIV/0!</v>
      </c>
      <c r="E170" s="48">
        <f t="shared" si="60"/>
        <v>0</v>
      </c>
      <c r="F170" s="50">
        <f t="shared" si="61"/>
        <v>0</v>
      </c>
      <c r="G170" s="50">
        <f t="shared" si="67"/>
        <v>0</v>
      </c>
      <c r="H170" s="51" t="e">
        <f t="shared" si="71"/>
        <v>#DIV/0!</v>
      </c>
      <c r="I170" s="52" t="e">
        <f t="shared" si="62"/>
        <v>#DIV/0!</v>
      </c>
      <c r="J170" s="52" t="e">
        <f t="shared" si="72"/>
        <v>#DIV/0!</v>
      </c>
      <c r="K170" s="51" t="e">
        <f t="shared" ref="K170:K233" si="74">IF(AND(C$7="Y",$B170&lt;=$C$4),0,IF(AND(C$7="N",C$4&gt;0,B170&lt;=C$4),0,S170*(C170-J170)))</f>
        <v>#DIV/0!</v>
      </c>
      <c r="L170" s="49" t="e">
        <f t="shared" si="56"/>
        <v>#DIV/0!</v>
      </c>
      <c r="M170" s="49">
        <f t="shared" si="57"/>
        <v>0</v>
      </c>
      <c r="N170" s="49">
        <f t="shared" si="68"/>
        <v>0</v>
      </c>
      <c r="O170" s="48" t="e">
        <f t="shared" si="69"/>
        <v>#DIV/0!</v>
      </c>
      <c r="P170" s="38" t="e">
        <f t="shared" si="73"/>
        <v>#DIV/0!</v>
      </c>
      <c r="Q170" s="53"/>
      <c r="R170" s="53">
        <f t="shared" si="63"/>
        <v>0</v>
      </c>
      <c r="S170" s="53">
        <f t="shared" si="64"/>
        <v>0</v>
      </c>
      <c r="T170" s="53">
        <f t="shared" si="65"/>
        <v>0.05</v>
      </c>
      <c r="U170" s="53">
        <f t="shared" si="66"/>
        <v>4.2653187775606449E-3</v>
      </c>
    </row>
    <row r="171" spans="1:21" x14ac:dyDescent="0.2">
      <c r="A171" s="62" t="e">
        <f t="shared" si="58"/>
        <v>#DIV/0!</v>
      </c>
      <c r="B171" s="45">
        <f t="shared" si="59"/>
        <v>157</v>
      </c>
      <c r="C171" s="49" t="e">
        <f t="shared" si="70"/>
        <v>#DIV/0!</v>
      </c>
      <c r="D171" s="47" t="e" cm="1">
        <f t="array" ref="D171">_xlfn.IFS(AND($C$7="Y",B171&lt;C$4),C171,AND($C$7="Y",B171=C$4),D170+F171-J171-K171-L171+N171,AND($C$7="Y",B171&gt;$C$4),D170-J171-K171-L171+N171, TRUE, D170-J171-K171-L171+N171)</f>
        <v>#DIV/0!</v>
      </c>
      <c r="E171" s="48">
        <f t="shared" si="60"/>
        <v>0</v>
      </c>
      <c r="F171" s="50">
        <f t="shared" si="61"/>
        <v>0</v>
      </c>
      <c r="G171" s="50">
        <f t="shared" si="67"/>
        <v>0</v>
      </c>
      <c r="H171" s="51" t="e">
        <f t="shared" si="71"/>
        <v>#DIV/0!</v>
      </c>
      <c r="I171" s="52" t="e">
        <f t="shared" si="62"/>
        <v>#DIV/0!</v>
      </c>
      <c r="J171" s="52" t="e">
        <f t="shared" si="72"/>
        <v>#DIV/0!</v>
      </c>
      <c r="K171" s="51" t="e">
        <f t="shared" si="74"/>
        <v>#DIV/0!</v>
      </c>
      <c r="L171" s="49" t="e">
        <f t="shared" si="56"/>
        <v>#DIV/0!</v>
      </c>
      <c r="M171" s="49">
        <f t="shared" si="57"/>
        <v>0</v>
      </c>
      <c r="N171" s="49">
        <f t="shared" si="68"/>
        <v>0</v>
      </c>
      <c r="O171" s="48" t="e">
        <f t="shared" si="69"/>
        <v>#DIV/0!</v>
      </c>
      <c r="P171" s="38" t="e">
        <f t="shared" si="73"/>
        <v>#DIV/0!</v>
      </c>
      <c r="Q171" s="53"/>
      <c r="R171" s="53">
        <f t="shared" si="63"/>
        <v>0</v>
      </c>
      <c r="S171" s="53">
        <f t="shared" si="64"/>
        <v>0</v>
      </c>
      <c r="T171" s="53">
        <f t="shared" si="65"/>
        <v>0.05</v>
      </c>
      <c r="U171" s="53">
        <f t="shared" si="66"/>
        <v>4.2653187775606449E-3</v>
      </c>
    </row>
    <row r="172" spans="1:21" x14ac:dyDescent="0.2">
      <c r="A172" s="62" t="e">
        <f t="shared" si="58"/>
        <v>#DIV/0!</v>
      </c>
      <c r="B172" s="45">
        <f t="shared" si="59"/>
        <v>158</v>
      </c>
      <c r="C172" s="49" t="e">
        <f t="shared" si="70"/>
        <v>#DIV/0!</v>
      </c>
      <c r="D172" s="47" t="e" cm="1">
        <f t="array" ref="D172">_xlfn.IFS(AND($C$7="Y",B172&lt;C$4),C172,AND($C$7="Y",B172=C$4),D171+F172-J172-K172-L172+N172,AND($C$7="Y",B172&gt;$C$4),D171-J172-K172-L172+N172, TRUE, D171-J172-K172-L172+N172)</f>
        <v>#DIV/0!</v>
      </c>
      <c r="E172" s="48">
        <f t="shared" si="60"/>
        <v>0</v>
      </c>
      <c r="F172" s="50">
        <f t="shared" si="61"/>
        <v>0</v>
      </c>
      <c r="G172" s="50">
        <f t="shared" si="67"/>
        <v>0</v>
      </c>
      <c r="H172" s="51" t="e">
        <f t="shared" si="71"/>
        <v>#DIV/0!</v>
      </c>
      <c r="I172" s="52" t="e">
        <f t="shared" si="62"/>
        <v>#DIV/0!</v>
      </c>
      <c r="J172" s="52" t="e">
        <f t="shared" si="72"/>
        <v>#DIV/0!</v>
      </c>
      <c r="K172" s="51" t="e">
        <f t="shared" si="74"/>
        <v>#DIV/0!</v>
      </c>
      <c r="L172" s="49" t="e">
        <f t="shared" si="56"/>
        <v>#DIV/0!</v>
      </c>
      <c r="M172" s="49">
        <f t="shared" si="57"/>
        <v>0</v>
      </c>
      <c r="N172" s="49">
        <f t="shared" si="68"/>
        <v>0</v>
      </c>
      <c r="O172" s="48" t="e">
        <f t="shared" si="69"/>
        <v>#DIV/0!</v>
      </c>
      <c r="P172" s="38" t="e">
        <f t="shared" si="73"/>
        <v>#DIV/0!</v>
      </c>
      <c r="Q172" s="53"/>
      <c r="R172" s="53">
        <f t="shared" si="63"/>
        <v>0</v>
      </c>
      <c r="S172" s="53">
        <f t="shared" si="64"/>
        <v>0</v>
      </c>
      <c r="T172" s="53">
        <f t="shared" si="65"/>
        <v>0.05</v>
      </c>
      <c r="U172" s="53">
        <f t="shared" si="66"/>
        <v>4.2653187775606449E-3</v>
      </c>
    </row>
    <row r="173" spans="1:21" x14ac:dyDescent="0.2">
      <c r="A173" s="62" t="e">
        <f t="shared" si="58"/>
        <v>#DIV/0!</v>
      </c>
      <c r="B173" s="45">
        <f t="shared" si="59"/>
        <v>159</v>
      </c>
      <c r="C173" s="49" t="e">
        <f t="shared" si="70"/>
        <v>#DIV/0!</v>
      </c>
      <c r="D173" s="47" t="e" cm="1">
        <f t="array" ref="D173">_xlfn.IFS(AND($C$7="Y",B173&lt;C$4),C173,AND($C$7="Y",B173=C$4),D172+F173-J173-K173-L173+N173,AND($C$7="Y",B173&gt;$C$4),D172-J173-K173-L173+N173, TRUE, D172-J173-K173-L173+N173)</f>
        <v>#DIV/0!</v>
      </c>
      <c r="E173" s="48">
        <f t="shared" si="60"/>
        <v>0</v>
      </c>
      <c r="F173" s="50">
        <f t="shared" si="61"/>
        <v>0</v>
      </c>
      <c r="G173" s="50">
        <f t="shared" si="67"/>
        <v>0</v>
      </c>
      <c r="H173" s="51" t="e">
        <f t="shared" si="71"/>
        <v>#DIV/0!</v>
      </c>
      <c r="I173" s="52" t="e">
        <f t="shared" si="62"/>
        <v>#DIV/0!</v>
      </c>
      <c r="J173" s="52" t="e">
        <f t="shared" si="72"/>
        <v>#DIV/0!</v>
      </c>
      <c r="K173" s="51" t="e">
        <f t="shared" si="74"/>
        <v>#DIV/0!</v>
      </c>
      <c r="L173" s="49" t="e">
        <f t="shared" ref="L173:L235" si="75">IF(AND(C$7="Y",$B173&lt;=$C$4),0,IF(AND(C$7="N",C$4&gt;0,B173&lt;=C$4),0,U173*D172))</f>
        <v>#DIV/0!</v>
      </c>
      <c r="M173" s="49">
        <f t="shared" ref="M173:M235" si="76">IFERROR(L169*-1,0)</f>
        <v>0</v>
      </c>
      <c r="N173" s="49">
        <f t="shared" si="68"/>
        <v>0</v>
      </c>
      <c r="O173" s="48" t="e">
        <f t="shared" si="69"/>
        <v>#DIV/0!</v>
      </c>
      <c r="P173" s="38" t="e">
        <f t="shared" si="73"/>
        <v>#DIV/0!</v>
      </c>
      <c r="Q173" s="53"/>
      <c r="R173" s="53">
        <f t="shared" si="63"/>
        <v>0</v>
      </c>
      <c r="S173" s="53">
        <f t="shared" si="64"/>
        <v>0</v>
      </c>
      <c r="T173" s="53">
        <f t="shared" si="65"/>
        <v>0.05</v>
      </c>
      <c r="U173" s="53">
        <f t="shared" si="66"/>
        <v>4.2653187775606449E-3</v>
      </c>
    </row>
    <row r="174" spans="1:21" x14ac:dyDescent="0.2">
      <c r="A174" s="62" t="e">
        <f t="shared" si="58"/>
        <v>#DIV/0!</v>
      </c>
      <c r="B174" s="45">
        <f t="shared" si="59"/>
        <v>160</v>
      </c>
      <c r="C174" s="49" t="e">
        <f t="shared" si="70"/>
        <v>#DIV/0!</v>
      </c>
      <c r="D174" s="47" t="e" cm="1">
        <f t="array" ref="D174">_xlfn.IFS(AND($C$7="Y",B174&lt;C$4),C174,AND($C$7="Y",B174=C$4),D173+F174-J174-K174-L174+N174,AND($C$7="Y",B174&gt;$C$4),D173-J174-K174-L174+N174, TRUE, D173-J174-K174-L174+N174)</f>
        <v>#DIV/0!</v>
      </c>
      <c r="E174" s="48">
        <f t="shared" si="60"/>
        <v>0</v>
      </c>
      <c r="F174" s="50">
        <f t="shared" si="61"/>
        <v>0</v>
      </c>
      <c r="G174" s="50">
        <f t="shared" si="67"/>
        <v>0</v>
      </c>
      <c r="H174" s="51" t="e">
        <f t="shared" si="71"/>
        <v>#DIV/0!</v>
      </c>
      <c r="I174" s="52" t="e">
        <f t="shared" si="62"/>
        <v>#DIV/0!</v>
      </c>
      <c r="J174" s="52" t="e">
        <f t="shared" si="72"/>
        <v>#DIV/0!</v>
      </c>
      <c r="K174" s="51" t="e">
        <f t="shared" si="74"/>
        <v>#DIV/0!</v>
      </c>
      <c r="L174" s="49" t="e">
        <f t="shared" si="75"/>
        <v>#DIV/0!</v>
      </c>
      <c r="M174" s="49">
        <f t="shared" si="76"/>
        <v>0</v>
      </c>
      <c r="N174" s="49">
        <f t="shared" si="68"/>
        <v>0</v>
      </c>
      <c r="O174" s="48" t="e">
        <f t="shared" si="69"/>
        <v>#DIV/0!</v>
      </c>
      <c r="P174" s="38" t="e">
        <f t="shared" si="73"/>
        <v>#DIV/0!</v>
      </c>
      <c r="Q174" s="53"/>
      <c r="R174" s="53">
        <f t="shared" si="63"/>
        <v>0</v>
      </c>
      <c r="S174" s="53">
        <f t="shared" si="64"/>
        <v>0</v>
      </c>
      <c r="T174" s="53">
        <f t="shared" si="65"/>
        <v>0.05</v>
      </c>
      <c r="U174" s="53">
        <f t="shared" si="66"/>
        <v>4.2653187775606449E-3</v>
      </c>
    </row>
    <row r="175" spans="1:21" x14ac:dyDescent="0.2">
      <c r="A175" s="62" t="e">
        <f t="shared" si="58"/>
        <v>#DIV/0!</v>
      </c>
      <c r="B175" s="45">
        <f t="shared" si="59"/>
        <v>161</v>
      </c>
      <c r="C175" s="49" t="e">
        <f t="shared" si="70"/>
        <v>#DIV/0!</v>
      </c>
      <c r="D175" s="47" t="e" cm="1">
        <f t="array" ref="D175">_xlfn.IFS(AND($C$7="Y",B175&lt;C$4),C175,AND($C$7="Y",B175=C$4),D174+F175-J175-K175-L175+N175,AND($C$7="Y",B175&gt;$C$4),D174-J175-K175-L175+N175, TRUE, D174-J175-K175-L175+N175)</f>
        <v>#DIV/0!</v>
      </c>
      <c r="E175" s="48">
        <f t="shared" si="60"/>
        <v>0</v>
      </c>
      <c r="F175" s="50">
        <f t="shared" si="61"/>
        <v>0</v>
      </c>
      <c r="G175" s="50">
        <f t="shared" si="67"/>
        <v>0</v>
      </c>
      <c r="H175" s="51" t="e">
        <f t="shared" si="71"/>
        <v>#DIV/0!</v>
      </c>
      <c r="I175" s="52" t="e">
        <f t="shared" si="62"/>
        <v>#DIV/0!</v>
      </c>
      <c r="J175" s="52" t="e">
        <f t="shared" si="72"/>
        <v>#DIV/0!</v>
      </c>
      <c r="K175" s="51" t="e">
        <f t="shared" si="74"/>
        <v>#DIV/0!</v>
      </c>
      <c r="L175" s="49" t="e">
        <f t="shared" si="75"/>
        <v>#DIV/0!</v>
      </c>
      <c r="M175" s="49">
        <f t="shared" si="76"/>
        <v>0</v>
      </c>
      <c r="N175" s="49">
        <f t="shared" si="68"/>
        <v>0</v>
      </c>
      <c r="O175" s="48" t="e">
        <f t="shared" si="69"/>
        <v>#DIV/0!</v>
      </c>
      <c r="P175" s="38" t="e">
        <f t="shared" si="73"/>
        <v>#DIV/0!</v>
      </c>
      <c r="Q175" s="53"/>
      <c r="R175" s="53">
        <f t="shared" si="63"/>
        <v>0</v>
      </c>
      <c r="S175" s="53">
        <f t="shared" si="64"/>
        <v>0</v>
      </c>
      <c r="T175" s="53">
        <f t="shared" si="65"/>
        <v>0.05</v>
      </c>
      <c r="U175" s="53">
        <f t="shared" si="66"/>
        <v>4.2653187775606449E-3</v>
      </c>
    </row>
    <row r="176" spans="1:21" x14ac:dyDescent="0.2">
      <c r="A176" s="62" t="e">
        <f t="shared" si="58"/>
        <v>#DIV/0!</v>
      </c>
      <c r="B176" s="45">
        <f t="shared" si="59"/>
        <v>162</v>
      </c>
      <c r="C176" s="49" t="e">
        <f t="shared" si="70"/>
        <v>#DIV/0!</v>
      </c>
      <c r="D176" s="47" t="e" cm="1">
        <f t="array" ref="D176">_xlfn.IFS(AND($C$7="Y",B176&lt;C$4),C176,AND($C$7="Y",B176=C$4),D175+F176-J176-K176-L176+N176,AND($C$7="Y",B176&gt;$C$4),D175-J176-K176-L176+N176, TRUE, D175-J176-K176-L176+N176)</f>
        <v>#DIV/0!</v>
      </c>
      <c r="E176" s="48">
        <f t="shared" si="60"/>
        <v>0</v>
      </c>
      <c r="F176" s="50">
        <f t="shared" si="61"/>
        <v>0</v>
      </c>
      <c r="G176" s="50">
        <f t="shared" si="67"/>
        <v>0</v>
      </c>
      <c r="H176" s="51" t="e">
        <f t="shared" si="71"/>
        <v>#DIV/0!</v>
      </c>
      <c r="I176" s="52" t="e">
        <f t="shared" si="62"/>
        <v>#DIV/0!</v>
      </c>
      <c r="J176" s="52" t="e">
        <f t="shared" si="72"/>
        <v>#DIV/0!</v>
      </c>
      <c r="K176" s="51" t="e">
        <f t="shared" si="74"/>
        <v>#DIV/0!</v>
      </c>
      <c r="L176" s="49" t="e">
        <f t="shared" si="75"/>
        <v>#DIV/0!</v>
      </c>
      <c r="M176" s="49">
        <f t="shared" si="76"/>
        <v>0</v>
      </c>
      <c r="N176" s="49">
        <f t="shared" si="68"/>
        <v>0</v>
      </c>
      <c r="O176" s="48" t="e">
        <f t="shared" si="69"/>
        <v>#DIV/0!</v>
      </c>
      <c r="P176" s="38" t="e">
        <f t="shared" si="73"/>
        <v>#DIV/0!</v>
      </c>
      <c r="Q176" s="53"/>
      <c r="R176" s="53">
        <f t="shared" si="63"/>
        <v>0</v>
      </c>
      <c r="S176" s="53">
        <f t="shared" si="64"/>
        <v>0</v>
      </c>
      <c r="T176" s="53">
        <f t="shared" si="65"/>
        <v>0.05</v>
      </c>
      <c r="U176" s="53">
        <f t="shared" si="66"/>
        <v>4.2653187775606449E-3</v>
      </c>
    </row>
    <row r="177" spans="1:21" x14ac:dyDescent="0.2">
      <c r="A177" s="62" t="e">
        <f t="shared" si="58"/>
        <v>#DIV/0!</v>
      </c>
      <c r="B177" s="45">
        <f t="shared" si="59"/>
        <v>163</v>
      </c>
      <c r="C177" s="49" t="e">
        <f t="shared" si="70"/>
        <v>#DIV/0!</v>
      </c>
      <c r="D177" s="47" t="e" cm="1">
        <f t="array" ref="D177">_xlfn.IFS(AND($C$7="Y",B177&lt;C$4),C177,AND($C$7="Y",B177=C$4),D176+F177-J177-K177-L177+N177,AND($C$7="Y",B177&gt;$C$4),D176-J177-K177-L177+N177, TRUE, D176-J177-K177-L177+N177)</f>
        <v>#DIV/0!</v>
      </c>
      <c r="E177" s="48">
        <f t="shared" si="60"/>
        <v>0</v>
      </c>
      <c r="F177" s="50">
        <f t="shared" si="61"/>
        <v>0</v>
      </c>
      <c r="G177" s="50">
        <f t="shared" si="67"/>
        <v>0</v>
      </c>
      <c r="H177" s="51" t="e">
        <f t="shared" si="71"/>
        <v>#DIV/0!</v>
      </c>
      <c r="I177" s="52" t="e">
        <f t="shared" si="62"/>
        <v>#DIV/0!</v>
      </c>
      <c r="J177" s="52" t="e">
        <f t="shared" si="72"/>
        <v>#DIV/0!</v>
      </c>
      <c r="K177" s="51" t="e">
        <f t="shared" si="74"/>
        <v>#DIV/0!</v>
      </c>
      <c r="L177" s="49" t="e">
        <f t="shared" si="75"/>
        <v>#DIV/0!</v>
      </c>
      <c r="M177" s="49">
        <f t="shared" si="76"/>
        <v>0</v>
      </c>
      <c r="N177" s="49">
        <f t="shared" si="68"/>
        <v>0</v>
      </c>
      <c r="O177" s="48" t="e">
        <f t="shared" si="69"/>
        <v>#DIV/0!</v>
      </c>
      <c r="P177" s="38" t="e">
        <f t="shared" si="73"/>
        <v>#DIV/0!</v>
      </c>
      <c r="Q177" s="53"/>
      <c r="R177" s="53">
        <f t="shared" si="63"/>
        <v>0</v>
      </c>
      <c r="S177" s="53">
        <f t="shared" si="64"/>
        <v>0</v>
      </c>
      <c r="T177" s="53">
        <f t="shared" si="65"/>
        <v>0.05</v>
      </c>
      <c r="U177" s="53">
        <f t="shared" si="66"/>
        <v>4.2653187775606449E-3</v>
      </c>
    </row>
    <row r="178" spans="1:21" x14ac:dyDescent="0.2">
      <c r="A178" s="62" t="e">
        <f t="shared" si="58"/>
        <v>#DIV/0!</v>
      </c>
      <c r="B178" s="45">
        <f t="shared" si="59"/>
        <v>164</v>
      </c>
      <c r="C178" s="49" t="e">
        <f t="shared" si="70"/>
        <v>#DIV/0!</v>
      </c>
      <c r="D178" s="47" t="e" cm="1">
        <f t="array" ref="D178">_xlfn.IFS(AND($C$7="Y",B178&lt;C$4),C178,AND($C$7="Y",B178=C$4),D177+F178-J178-K178-L178+N178,AND($C$7="Y",B178&gt;$C$4),D177-J178-K178-L178+N178, TRUE, D177-J178-K178-L178+N178)</f>
        <v>#DIV/0!</v>
      </c>
      <c r="E178" s="48">
        <f t="shared" si="60"/>
        <v>0</v>
      </c>
      <c r="F178" s="50">
        <f t="shared" si="61"/>
        <v>0</v>
      </c>
      <c r="G178" s="50">
        <f t="shared" si="67"/>
        <v>0</v>
      </c>
      <c r="H178" s="51" t="e">
        <f t="shared" si="71"/>
        <v>#DIV/0!</v>
      </c>
      <c r="I178" s="52" t="e">
        <f t="shared" si="62"/>
        <v>#DIV/0!</v>
      </c>
      <c r="J178" s="52" t="e">
        <f t="shared" si="72"/>
        <v>#DIV/0!</v>
      </c>
      <c r="K178" s="51" t="e">
        <f t="shared" si="74"/>
        <v>#DIV/0!</v>
      </c>
      <c r="L178" s="49" t="e">
        <f t="shared" si="75"/>
        <v>#DIV/0!</v>
      </c>
      <c r="M178" s="49">
        <f t="shared" si="76"/>
        <v>0</v>
      </c>
      <c r="N178" s="49">
        <f t="shared" si="68"/>
        <v>0</v>
      </c>
      <c r="O178" s="48" t="e">
        <f t="shared" si="69"/>
        <v>#DIV/0!</v>
      </c>
      <c r="P178" s="38" t="e">
        <f t="shared" si="73"/>
        <v>#DIV/0!</v>
      </c>
      <c r="Q178" s="53"/>
      <c r="R178" s="53">
        <f t="shared" si="63"/>
        <v>0</v>
      </c>
      <c r="S178" s="53">
        <f t="shared" si="64"/>
        <v>0</v>
      </c>
      <c r="T178" s="53">
        <f t="shared" si="65"/>
        <v>0.05</v>
      </c>
      <c r="U178" s="53">
        <f t="shared" si="66"/>
        <v>4.2653187775606449E-3</v>
      </c>
    </row>
    <row r="179" spans="1:21" x14ac:dyDescent="0.2">
      <c r="A179" s="62" t="e">
        <f t="shared" si="58"/>
        <v>#DIV/0!</v>
      </c>
      <c r="B179" s="45">
        <f t="shared" si="59"/>
        <v>165</v>
      </c>
      <c r="C179" s="49" t="e">
        <f t="shared" si="70"/>
        <v>#DIV/0!</v>
      </c>
      <c r="D179" s="47" t="e" cm="1">
        <f t="array" ref="D179">_xlfn.IFS(AND($C$7="Y",B179&lt;C$4),C179,AND($C$7="Y",B179=C$4),D178+F179-J179-K179-L179+N179,AND($C$7="Y",B179&gt;$C$4),D178-J179-K179-L179+N179, TRUE, D178-J179-K179-L179+N179)</f>
        <v>#DIV/0!</v>
      </c>
      <c r="E179" s="48">
        <f t="shared" si="60"/>
        <v>0</v>
      </c>
      <c r="F179" s="50">
        <f t="shared" si="61"/>
        <v>0</v>
      </c>
      <c r="G179" s="50">
        <f t="shared" si="67"/>
        <v>0</v>
      </c>
      <c r="H179" s="51" t="e">
        <f t="shared" si="71"/>
        <v>#DIV/0!</v>
      </c>
      <c r="I179" s="52" t="e">
        <f t="shared" si="62"/>
        <v>#DIV/0!</v>
      </c>
      <c r="J179" s="52" t="e">
        <f t="shared" si="72"/>
        <v>#DIV/0!</v>
      </c>
      <c r="K179" s="51" t="e">
        <f t="shared" si="74"/>
        <v>#DIV/0!</v>
      </c>
      <c r="L179" s="49" t="e">
        <f t="shared" si="75"/>
        <v>#DIV/0!</v>
      </c>
      <c r="M179" s="49">
        <f t="shared" si="76"/>
        <v>0</v>
      </c>
      <c r="N179" s="49">
        <f t="shared" si="68"/>
        <v>0</v>
      </c>
      <c r="O179" s="48" t="e">
        <f t="shared" si="69"/>
        <v>#DIV/0!</v>
      </c>
      <c r="P179" s="38" t="e">
        <f t="shared" si="73"/>
        <v>#DIV/0!</v>
      </c>
      <c r="Q179" s="53"/>
      <c r="R179" s="53">
        <f t="shared" si="63"/>
        <v>0</v>
      </c>
      <c r="S179" s="53">
        <f t="shared" si="64"/>
        <v>0</v>
      </c>
      <c r="T179" s="53">
        <f t="shared" si="65"/>
        <v>0.05</v>
      </c>
      <c r="U179" s="53">
        <f t="shared" si="66"/>
        <v>4.2653187775606449E-3</v>
      </c>
    </row>
    <row r="180" spans="1:21" x14ac:dyDescent="0.2">
      <c r="A180" s="62" t="e">
        <f t="shared" si="58"/>
        <v>#DIV/0!</v>
      </c>
      <c r="B180" s="45">
        <f t="shared" si="59"/>
        <v>166</v>
      </c>
      <c r="C180" s="49" t="e">
        <f t="shared" si="70"/>
        <v>#DIV/0!</v>
      </c>
      <c r="D180" s="47" t="e" cm="1">
        <f t="array" ref="D180">_xlfn.IFS(AND($C$7="Y",B180&lt;C$4),C180,AND($C$7="Y",B180=C$4),D179+F180-J180-K180-L180+N180,AND($C$7="Y",B180&gt;$C$4),D179-J180-K180-L180+N180, TRUE, D179-J180-K180-L180+N180)</f>
        <v>#DIV/0!</v>
      </c>
      <c r="E180" s="48">
        <f t="shared" si="60"/>
        <v>0</v>
      </c>
      <c r="F180" s="50">
        <f t="shared" si="61"/>
        <v>0</v>
      </c>
      <c r="G180" s="50">
        <f t="shared" si="67"/>
        <v>0</v>
      </c>
      <c r="H180" s="51" t="e">
        <f t="shared" si="71"/>
        <v>#DIV/0!</v>
      </c>
      <c r="I180" s="52" t="e">
        <f t="shared" si="62"/>
        <v>#DIV/0!</v>
      </c>
      <c r="J180" s="52" t="e">
        <f t="shared" si="72"/>
        <v>#DIV/0!</v>
      </c>
      <c r="K180" s="51" t="e">
        <f t="shared" si="74"/>
        <v>#DIV/0!</v>
      </c>
      <c r="L180" s="49" t="e">
        <f t="shared" si="75"/>
        <v>#DIV/0!</v>
      </c>
      <c r="M180" s="49">
        <f t="shared" si="76"/>
        <v>0</v>
      </c>
      <c r="N180" s="49">
        <f t="shared" si="68"/>
        <v>0</v>
      </c>
      <c r="O180" s="48" t="e">
        <f t="shared" si="69"/>
        <v>#DIV/0!</v>
      </c>
      <c r="P180" s="38" t="e">
        <f t="shared" si="73"/>
        <v>#DIV/0!</v>
      </c>
      <c r="Q180" s="53"/>
      <c r="R180" s="53">
        <f t="shared" si="63"/>
        <v>0</v>
      </c>
      <c r="S180" s="53">
        <f t="shared" si="64"/>
        <v>0</v>
      </c>
      <c r="T180" s="53">
        <f t="shared" si="65"/>
        <v>0.05</v>
      </c>
      <c r="U180" s="53">
        <f t="shared" si="66"/>
        <v>4.2653187775606449E-3</v>
      </c>
    </row>
    <row r="181" spans="1:21" x14ac:dyDescent="0.2">
      <c r="A181" s="62" t="e">
        <f t="shared" si="58"/>
        <v>#DIV/0!</v>
      </c>
      <c r="B181" s="45">
        <f t="shared" si="59"/>
        <v>167</v>
      </c>
      <c r="C181" s="49" t="e">
        <f t="shared" si="70"/>
        <v>#DIV/0!</v>
      </c>
      <c r="D181" s="47" t="e" cm="1">
        <f t="array" ref="D181">_xlfn.IFS(AND($C$7="Y",B181&lt;C$4),C181,AND($C$7="Y",B181=C$4),D180+F181-J181-K181-L181+N181,AND($C$7="Y",B181&gt;$C$4),D180-J181-K181-L181+N181, TRUE, D180-J181-K181-L181+N181)</f>
        <v>#DIV/0!</v>
      </c>
      <c r="E181" s="48">
        <f t="shared" si="60"/>
        <v>0</v>
      </c>
      <c r="F181" s="50">
        <f t="shared" si="61"/>
        <v>0</v>
      </c>
      <c r="G181" s="50">
        <f t="shared" si="67"/>
        <v>0</v>
      </c>
      <c r="H181" s="51" t="e">
        <f t="shared" si="71"/>
        <v>#DIV/0!</v>
      </c>
      <c r="I181" s="52" t="e">
        <f t="shared" si="62"/>
        <v>#DIV/0!</v>
      </c>
      <c r="J181" s="52" t="e">
        <f t="shared" si="72"/>
        <v>#DIV/0!</v>
      </c>
      <c r="K181" s="51" t="e">
        <f t="shared" si="74"/>
        <v>#DIV/0!</v>
      </c>
      <c r="L181" s="49" t="e">
        <f t="shared" si="75"/>
        <v>#DIV/0!</v>
      </c>
      <c r="M181" s="49">
        <f t="shared" si="76"/>
        <v>0</v>
      </c>
      <c r="N181" s="49">
        <f t="shared" si="68"/>
        <v>0</v>
      </c>
      <c r="O181" s="48" t="e">
        <f t="shared" si="69"/>
        <v>#DIV/0!</v>
      </c>
      <c r="P181" s="38" t="e">
        <f t="shared" si="73"/>
        <v>#DIV/0!</v>
      </c>
      <c r="Q181" s="53"/>
      <c r="R181" s="53">
        <f t="shared" si="63"/>
        <v>0</v>
      </c>
      <c r="S181" s="53">
        <f t="shared" si="64"/>
        <v>0</v>
      </c>
      <c r="T181" s="53">
        <f t="shared" si="65"/>
        <v>0.05</v>
      </c>
      <c r="U181" s="53">
        <f t="shared" si="66"/>
        <v>4.2653187775606449E-3</v>
      </c>
    </row>
    <row r="182" spans="1:21" x14ac:dyDescent="0.2">
      <c r="A182" s="62" t="e">
        <f t="shared" si="58"/>
        <v>#DIV/0!</v>
      </c>
      <c r="B182" s="45">
        <f t="shared" si="59"/>
        <v>168</v>
      </c>
      <c r="C182" s="49" t="e">
        <f t="shared" si="70"/>
        <v>#DIV/0!</v>
      </c>
      <c r="D182" s="47" t="e" cm="1">
        <f t="array" ref="D182">_xlfn.IFS(AND($C$7="Y",B182&lt;C$4),C182,AND($C$7="Y",B182=C$4),D181+F182-J182-K182-L182+N182,AND($C$7="Y",B182&gt;$C$4),D181-J182-K182-L182+N182, TRUE, D181-J182-K182-L182+N182)</f>
        <v>#DIV/0!</v>
      </c>
      <c r="E182" s="48">
        <f t="shared" si="60"/>
        <v>0</v>
      </c>
      <c r="F182" s="50">
        <f t="shared" si="61"/>
        <v>0</v>
      </c>
      <c r="G182" s="50">
        <f t="shared" si="67"/>
        <v>0</v>
      </c>
      <c r="H182" s="51" t="e">
        <f t="shared" si="71"/>
        <v>#DIV/0!</v>
      </c>
      <c r="I182" s="52" t="e">
        <f t="shared" si="62"/>
        <v>#DIV/0!</v>
      </c>
      <c r="J182" s="52" t="e">
        <f t="shared" si="72"/>
        <v>#DIV/0!</v>
      </c>
      <c r="K182" s="51" t="e">
        <f t="shared" si="74"/>
        <v>#DIV/0!</v>
      </c>
      <c r="L182" s="49" t="e">
        <f t="shared" si="75"/>
        <v>#DIV/0!</v>
      </c>
      <c r="M182" s="49">
        <f t="shared" si="76"/>
        <v>0</v>
      </c>
      <c r="N182" s="49">
        <f t="shared" si="68"/>
        <v>0</v>
      </c>
      <c r="O182" s="48" t="e">
        <f t="shared" si="69"/>
        <v>#DIV/0!</v>
      </c>
      <c r="P182" s="38" t="e">
        <f t="shared" si="73"/>
        <v>#DIV/0!</v>
      </c>
      <c r="Q182" s="53"/>
      <c r="R182" s="53">
        <f t="shared" si="63"/>
        <v>0</v>
      </c>
      <c r="S182" s="53">
        <f t="shared" si="64"/>
        <v>0</v>
      </c>
      <c r="T182" s="53">
        <f t="shared" si="65"/>
        <v>0.05</v>
      </c>
      <c r="U182" s="53">
        <f t="shared" si="66"/>
        <v>4.2653187775606449E-3</v>
      </c>
    </row>
    <row r="183" spans="1:21" x14ac:dyDescent="0.2">
      <c r="A183" s="62" t="e">
        <f t="shared" si="58"/>
        <v>#DIV/0!</v>
      </c>
      <c r="B183" s="45">
        <f t="shared" si="59"/>
        <v>169</v>
      </c>
      <c r="C183" s="49" t="e">
        <f t="shared" si="70"/>
        <v>#DIV/0!</v>
      </c>
      <c r="D183" s="47" t="e" cm="1">
        <f t="array" ref="D183">_xlfn.IFS(AND($C$7="Y",B183&lt;C$4),C183,AND($C$7="Y",B183=C$4),D182+F183-J183-K183-L183+N183,AND($C$7="Y",B183&gt;$C$4),D182-J183-K183-L183+N183, TRUE, D182-J183-K183-L183+N183)</f>
        <v>#DIV/0!</v>
      </c>
      <c r="E183" s="48">
        <f t="shared" si="60"/>
        <v>0</v>
      </c>
      <c r="F183" s="50">
        <f t="shared" si="61"/>
        <v>0</v>
      </c>
      <c r="G183" s="50">
        <f t="shared" si="67"/>
        <v>0</v>
      </c>
      <c r="H183" s="51" t="e">
        <f t="shared" si="71"/>
        <v>#DIV/0!</v>
      </c>
      <c r="I183" s="52" t="e">
        <f t="shared" si="62"/>
        <v>#DIV/0!</v>
      </c>
      <c r="J183" s="52" t="e">
        <f t="shared" si="72"/>
        <v>#DIV/0!</v>
      </c>
      <c r="K183" s="51" t="e">
        <f t="shared" si="74"/>
        <v>#DIV/0!</v>
      </c>
      <c r="L183" s="49" t="e">
        <f t="shared" si="75"/>
        <v>#DIV/0!</v>
      </c>
      <c r="M183" s="49">
        <f t="shared" si="76"/>
        <v>0</v>
      </c>
      <c r="N183" s="49">
        <f t="shared" si="68"/>
        <v>0</v>
      </c>
      <c r="O183" s="48" t="e">
        <f t="shared" si="69"/>
        <v>#DIV/0!</v>
      </c>
      <c r="P183" s="38" t="e">
        <f t="shared" si="73"/>
        <v>#DIV/0!</v>
      </c>
      <c r="Q183" s="53"/>
      <c r="R183" s="53">
        <f t="shared" si="63"/>
        <v>0</v>
      </c>
      <c r="S183" s="53">
        <f t="shared" si="64"/>
        <v>0</v>
      </c>
      <c r="T183" s="53">
        <f t="shared" si="65"/>
        <v>0.05</v>
      </c>
      <c r="U183" s="53">
        <f t="shared" si="66"/>
        <v>4.2653187775606449E-3</v>
      </c>
    </row>
    <row r="184" spans="1:21" x14ac:dyDescent="0.2">
      <c r="A184" s="62" t="e">
        <f t="shared" si="58"/>
        <v>#DIV/0!</v>
      </c>
      <c r="B184" s="45">
        <f t="shared" si="59"/>
        <v>170</v>
      </c>
      <c r="C184" s="49" t="e">
        <f t="shared" si="70"/>
        <v>#DIV/0!</v>
      </c>
      <c r="D184" s="47" t="e" cm="1">
        <f t="array" ref="D184">_xlfn.IFS(AND($C$7="Y",B184&lt;C$4),C184,AND($C$7="Y",B184=C$4),D183+F184-J184-K184-L184+N184,AND($C$7="Y",B184&gt;$C$4),D183-J184-K184-L184+N184, TRUE, D183-J184-K184-L184+N184)</f>
        <v>#DIV/0!</v>
      </c>
      <c r="E184" s="48">
        <f t="shared" si="60"/>
        <v>0</v>
      </c>
      <c r="F184" s="50">
        <f t="shared" si="61"/>
        <v>0</v>
      </c>
      <c r="G184" s="50">
        <f t="shared" si="67"/>
        <v>0</v>
      </c>
      <c r="H184" s="51" t="e">
        <f t="shared" si="71"/>
        <v>#DIV/0!</v>
      </c>
      <c r="I184" s="52" t="e">
        <f t="shared" si="62"/>
        <v>#DIV/0!</v>
      </c>
      <c r="J184" s="52" t="e">
        <f t="shared" si="72"/>
        <v>#DIV/0!</v>
      </c>
      <c r="K184" s="51" t="e">
        <f t="shared" si="74"/>
        <v>#DIV/0!</v>
      </c>
      <c r="L184" s="49" t="e">
        <f t="shared" si="75"/>
        <v>#DIV/0!</v>
      </c>
      <c r="M184" s="49">
        <f t="shared" si="76"/>
        <v>0</v>
      </c>
      <c r="N184" s="49">
        <f t="shared" si="68"/>
        <v>0</v>
      </c>
      <c r="O184" s="48" t="e">
        <f t="shared" si="69"/>
        <v>#DIV/0!</v>
      </c>
      <c r="P184" s="38" t="e">
        <f t="shared" si="73"/>
        <v>#DIV/0!</v>
      </c>
      <c r="Q184" s="53"/>
      <c r="R184" s="53">
        <f t="shared" si="63"/>
        <v>0</v>
      </c>
      <c r="S184" s="53">
        <f t="shared" si="64"/>
        <v>0</v>
      </c>
      <c r="T184" s="53">
        <f t="shared" si="65"/>
        <v>0.05</v>
      </c>
      <c r="U184" s="53">
        <f t="shared" si="66"/>
        <v>4.2653187775606449E-3</v>
      </c>
    </row>
    <row r="185" spans="1:21" x14ac:dyDescent="0.2">
      <c r="A185" s="62" t="e">
        <f t="shared" si="58"/>
        <v>#DIV/0!</v>
      </c>
      <c r="B185" s="45">
        <f t="shared" si="59"/>
        <v>171</v>
      </c>
      <c r="C185" s="49" t="e">
        <f t="shared" si="70"/>
        <v>#DIV/0!</v>
      </c>
      <c r="D185" s="47" t="e" cm="1">
        <f t="array" ref="D185">_xlfn.IFS(AND($C$7="Y",B185&lt;C$4),C185,AND($C$7="Y",B185=C$4),D184+F185-J185-K185-L185+N185,AND($C$7="Y",B185&gt;$C$4),D184-J185-K185-L185+N185, TRUE, D184-J185-K185-L185+N185)</f>
        <v>#DIV/0!</v>
      </c>
      <c r="E185" s="48">
        <f t="shared" si="60"/>
        <v>0</v>
      </c>
      <c r="F185" s="50">
        <f t="shared" si="61"/>
        <v>0</v>
      </c>
      <c r="G185" s="50">
        <f t="shared" si="67"/>
        <v>0</v>
      </c>
      <c r="H185" s="51" t="e">
        <f t="shared" si="71"/>
        <v>#DIV/0!</v>
      </c>
      <c r="I185" s="52" t="e">
        <f t="shared" si="62"/>
        <v>#DIV/0!</v>
      </c>
      <c r="J185" s="52" t="e">
        <f t="shared" si="72"/>
        <v>#DIV/0!</v>
      </c>
      <c r="K185" s="51" t="e">
        <f t="shared" si="74"/>
        <v>#DIV/0!</v>
      </c>
      <c r="L185" s="49" t="e">
        <f t="shared" si="75"/>
        <v>#DIV/0!</v>
      </c>
      <c r="M185" s="49">
        <f t="shared" si="76"/>
        <v>0</v>
      </c>
      <c r="N185" s="49">
        <f t="shared" si="68"/>
        <v>0</v>
      </c>
      <c r="O185" s="48" t="e">
        <f t="shared" si="69"/>
        <v>#DIV/0!</v>
      </c>
      <c r="P185" s="38" t="e">
        <f t="shared" si="73"/>
        <v>#DIV/0!</v>
      </c>
      <c r="Q185" s="53"/>
      <c r="R185" s="53">
        <f t="shared" si="63"/>
        <v>0</v>
      </c>
      <c r="S185" s="53">
        <f t="shared" si="64"/>
        <v>0</v>
      </c>
      <c r="T185" s="53">
        <f t="shared" si="65"/>
        <v>0.05</v>
      </c>
      <c r="U185" s="53">
        <f t="shared" si="66"/>
        <v>4.2653187775606449E-3</v>
      </c>
    </row>
    <row r="186" spans="1:21" x14ac:dyDescent="0.2">
      <c r="A186" s="62" t="e">
        <f t="shared" si="58"/>
        <v>#DIV/0!</v>
      </c>
      <c r="B186" s="45">
        <f t="shared" si="59"/>
        <v>172</v>
      </c>
      <c r="C186" s="49" t="e">
        <f t="shared" si="70"/>
        <v>#DIV/0!</v>
      </c>
      <c r="D186" s="47" t="e" cm="1">
        <f t="array" ref="D186">_xlfn.IFS(AND($C$7="Y",B186&lt;C$4),C186,AND($C$7="Y",B186=C$4),D185+F186-J186-K186-L186+N186,AND($C$7="Y",B186&gt;$C$4),D185-J186-K186-L186+N186, TRUE, D185-J186-K186-L186+N186)</f>
        <v>#DIV/0!</v>
      </c>
      <c r="E186" s="48">
        <f t="shared" si="60"/>
        <v>0</v>
      </c>
      <c r="F186" s="50">
        <f t="shared" si="61"/>
        <v>0</v>
      </c>
      <c r="G186" s="50">
        <f t="shared" si="67"/>
        <v>0</v>
      </c>
      <c r="H186" s="51" t="e">
        <f t="shared" si="71"/>
        <v>#DIV/0!</v>
      </c>
      <c r="I186" s="52" t="e">
        <f t="shared" si="62"/>
        <v>#DIV/0!</v>
      </c>
      <c r="J186" s="52" t="e">
        <f t="shared" si="72"/>
        <v>#DIV/0!</v>
      </c>
      <c r="K186" s="51" t="e">
        <f t="shared" si="74"/>
        <v>#DIV/0!</v>
      </c>
      <c r="L186" s="49" t="e">
        <f t="shared" si="75"/>
        <v>#DIV/0!</v>
      </c>
      <c r="M186" s="49">
        <f t="shared" si="76"/>
        <v>0</v>
      </c>
      <c r="N186" s="49">
        <f t="shared" si="68"/>
        <v>0</v>
      </c>
      <c r="O186" s="48" t="e">
        <f t="shared" si="69"/>
        <v>#DIV/0!</v>
      </c>
      <c r="P186" s="38" t="e">
        <f t="shared" si="73"/>
        <v>#DIV/0!</v>
      </c>
      <c r="Q186" s="53"/>
      <c r="R186" s="53">
        <f t="shared" si="63"/>
        <v>0</v>
      </c>
      <c r="S186" s="53">
        <f t="shared" si="64"/>
        <v>0</v>
      </c>
      <c r="T186" s="53">
        <f t="shared" si="65"/>
        <v>0.05</v>
      </c>
      <c r="U186" s="53">
        <f t="shared" si="66"/>
        <v>4.2653187775606449E-3</v>
      </c>
    </row>
    <row r="187" spans="1:21" x14ac:dyDescent="0.2">
      <c r="A187" s="62" t="e">
        <f t="shared" si="58"/>
        <v>#DIV/0!</v>
      </c>
      <c r="B187" s="45">
        <f t="shared" si="59"/>
        <v>173</v>
      </c>
      <c r="C187" s="49" t="e">
        <f t="shared" si="70"/>
        <v>#DIV/0!</v>
      </c>
      <c r="D187" s="47" t="e" cm="1">
        <f t="array" ref="D187">_xlfn.IFS(AND($C$7="Y",B187&lt;C$4),C187,AND($C$7="Y",B187=C$4),D186+F187-J187-K187-L187+N187,AND($C$7="Y",B187&gt;$C$4),D186-J187-K187-L187+N187, TRUE, D186-J187-K187-L187+N187)</f>
        <v>#DIV/0!</v>
      </c>
      <c r="E187" s="48">
        <f t="shared" si="60"/>
        <v>0</v>
      </c>
      <c r="F187" s="50">
        <f t="shared" si="61"/>
        <v>0</v>
      </c>
      <c r="G187" s="50">
        <f t="shared" si="67"/>
        <v>0</v>
      </c>
      <c r="H187" s="51" t="e">
        <f t="shared" si="71"/>
        <v>#DIV/0!</v>
      </c>
      <c r="I187" s="52" t="e">
        <f t="shared" si="62"/>
        <v>#DIV/0!</v>
      </c>
      <c r="J187" s="52" t="e">
        <f t="shared" si="72"/>
        <v>#DIV/0!</v>
      </c>
      <c r="K187" s="51" t="e">
        <f t="shared" si="74"/>
        <v>#DIV/0!</v>
      </c>
      <c r="L187" s="49" t="e">
        <f t="shared" si="75"/>
        <v>#DIV/0!</v>
      </c>
      <c r="M187" s="49">
        <f t="shared" si="76"/>
        <v>0</v>
      </c>
      <c r="N187" s="49">
        <f t="shared" si="68"/>
        <v>0</v>
      </c>
      <c r="O187" s="48" t="e">
        <f t="shared" si="69"/>
        <v>#DIV/0!</v>
      </c>
      <c r="P187" s="38" t="e">
        <f t="shared" si="73"/>
        <v>#DIV/0!</v>
      </c>
      <c r="Q187" s="53"/>
      <c r="R187" s="53">
        <f t="shared" si="63"/>
        <v>0</v>
      </c>
      <c r="S187" s="53">
        <f t="shared" si="64"/>
        <v>0</v>
      </c>
      <c r="T187" s="53">
        <f t="shared" si="65"/>
        <v>0.05</v>
      </c>
      <c r="U187" s="53">
        <f t="shared" si="66"/>
        <v>4.2653187775606449E-3</v>
      </c>
    </row>
    <row r="188" spans="1:21" x14ac:dyDescent="0.2">
      <c r="A188" s="62" t="e">
        <f t="shared" si="58"/>
        <v>#DIV/0!</v>
      </c>
      <c r="B188" s="45">
        <f t="shared" si="59"/>
        <v>174</v>
      </c>
      <c r="C188" s="49" t="e">
        <f t="shared" si="70"/>
        <v>#DIV/0!</v>
      </c>
      <c r="D188" s="47" t="e" cm="1">
        <f t="array" ref="D188">_xlfn.IFS(AND($C$7="Y",B188&lt;C$4),C188,AND($C$7="Y",B188=C$4),D187+F188-J188-K188-L188+N188,AND($C$7="Y",B188&gt;$C$4),D187-J188-K188-L188+N188, TRUE, D187-J188-K188-L188+N188)</f>
        <v>#DIV/0!</v>
      </c>
      <c r="E188" s="48">
        <f t="shared" si="60"/>
        <v>0</v>
      </c>
      <c r="F188" s="50">
        <f t="shared" si="61"/>
        <v>0</v>
      </c>
      <c r="G188" s="50">
        <f t="shared" si="67"/>
        <v>0</v>
      </c>
      <c r="H188" s="51" t="e">
        <f t="shared" si="71"/>
        <v>#DIV/0!</v>
      </c>
      <c r="I188" s="52" t="e">
        <f t="shared" si="62"/>
        <v>#DIV/0!</v>
      </c>
      <c r="J188" s="52" t="e">
        <f t="shared" si="72"/>
        <v>#DIV/0!</v>
      </c>
      <c r="K188" s="51" t="e">
        <f t="shared" si="74"/>
        <v>#DIV/0!</v>
      </c>
      <c r="L188" s="49" t="e">
        <f t="shared" si="75"/>
        <v>#DIV/0!</v>
      </c>
      <c r="M188" s="49">
        <f t="shared" si="76"/>
        <v>0</v>
      </c>
      <c r="N188" s="49">
        <f t="shared" si="68"/>
        <v>0</v>
      </c>
      <c r="O188" s="48" t="e">
        <f t="shared" si="69"/>
        <v>#DIV/0!</v>
      </c>
      <c r="P188" s="38" t="e">
        <f t="shared" si="73"/>
        <v>#DIV/0!</v>
      </c>
      <c r="Q188" s="53"/>
      <c r="R188" s="53">
        <f t="shared" si="63"/>
        <v>0</v>
      </c>
      <c r="S188" s="53">
        <f t="shared" si="64"/>
        <v>0</v>
      </c>
      <c r="T188" s="53">
        <f t="shared" si="65"/>
        <v>0.05</v>
      </c>
      <c r="U188" s="53">
        <f t="shared" si="66"/>
        <v>4.2653187775606449E-3</v>
      </c>
    </row>
    <row r="189" spans="1:21" x14ac:dyDescent="0.2">
      <c r="A189" s="62" t="e">
        <f t="shared" si="58"/>
        <v>#DIV/0!</v>
      </c>
      <c r="B189" s="45">
        <f t="shared" si="59"/>
        <v>175</v>
      </c>
      <c r="C189" s="49" t="e">
        <f t="shared" si="70"/>
        <v>#DIV/0!</v>
      </c>
      <c r="D189" s="47" t="e" cm="1">
        <f t="array" ref="D189">_xlfn.IFS(AND($C$7="Y",B189&lt;C$4),C189,AND($C$7="Y",B189=C$4),D188+F189-J189-K189-L189+N189,AND($C$7="Y",B189&gt;$C$4),D188-J189-K189-L189+N189, TRUE, D188-J189-K189-L189+N189)</f>
        <v>#DIV/0!</v>
      </c>
      <c r="E189" s="48">
        <f t="shared" si="60"/>
        <v>0</v>
      </c>
      <c r="F189" s="50">
        <f t="shared" si="61"/>
        <v>0</v>
      </c>
      <c r="G189" s="50">
        <f t="shared" si="67"/>
        <v>0</v>
      </c>
      <c r="H189" s="51" t="e">
        <f t="shared" si="71"/>
        <v>#DIV/0!</v>
      </c>
      <c r="I189" s="52" t="e">
        <f t="shared" si="62"/>
        <v>#DIV/0!</v>
      </c>
      <c r="J189" s="52" t="e">
        <f t="shared" si="72"/>
        <v>#DIV/0!</v>
      </c>
      <c r="K189" s="51" t="e">
        <f t="shared" si="74"/>
        <v>#DIV/0!</v>
      </c>
      <c r="L189" s="49" t="e">
        <f t="shared" si="75"/>
        <v>#DIV/0!</v>
      </c>
      <c r="M189" s="49">
        <f t="shared" si="76"/>
        <v>0</v>
      </c>
      <c r="N189" s="49">
        <f t="shared" si="68"/>
        <v>0</v>
      </c>
      <c r="O189" s="48" t="e">
        <f t="shared" si="69"/>
        <v>#DIV/0!</v>
      </c>
      <c r="P189" s="38" t="e">
        <f t="shared" si="73"/>
        <v>#DIV/0!</v>
      </c>
      <c r="Q189" s="53"/>
      <c r="R189" s="53">
        <f t="shared" si="63"/>
        <v>0</v>
      </c>
      <c r="S189" s="53">
        <f t="shared" si="64"/>
        <v>0</v>
      </c>
      <c r="T189" s="53">
        <f t="shared" si="65"/>
        <v>0.05</v>
      </c>
      <c r="U189" s="53">
        <f t="shared" si="66"/>
        <v>4.2653187775606449E-3</v>
      </c>
    </row>
    <row r="190" spans="1:21" x14ac:dyDescent="0.2">
      <c r="A190" s="62" t="e">
        <f t="shared" si="58"/>
        <v>#DIV/0!</v>
      </c>
      <c r="B190" s="45">
        <f t="shared" si="59"/>
        <v>176</v>
      </c>
      <c r="C190" s="49" t="e">
        <f t="shared" si="70"/>
        <v>#DIV/0!</v>
      </c>
      <c r="D190" s="47" t="e" cm="1">
        <f t="array" ref="D190">_xlfn.IFS(AND($C$7="Y",B190&lt;C$4),C190,AND($C$7="Y",B190=C$4),D189+F190-J190-K190-L190+N190,AND($C$7="Y",B190&gt;$C$4),D189-J190-K190-L190+N190, TRUE, D189-J190-K190-L190+N190)</f>
        <v>#DIV/0!</v>
      </c>
      <c r="E190" s="48">
        <f t="shared" si="60"/>
        <v>0</v>
      </c>
      <c r="F190" s="50">
        <f t="shared" si="61"/>
        <v>0</v>
      </c>
      <c r="G190" s="50">
        <f t="shared" si="67"/>
        <v>0</v>
      </c>
      <c r="H190" s="51" t="e">
        <f t="shared" si="71"/>
        <v>#DIV/0!</v>
      </c>
      <c r="I190" s="52" t="e">
        <f t="shared" si="62"/>
        <v>#DIV/0!</v>
      </c>
      <c r="J190" s="52" t="e">
        <f t="shared" si="72"/>
        <v>#DIV/0!</v>
      </c>
      <c r="K190" s="51" t="e">
        <f t="shared" si="74"/>
        <v>#DIV/0!</v>
      </c>
      <c r="L190" s="49" t="e">
        <f t="shared" si="75"/>
        <v>#DIV/0!</v>
      </c>
      <c r="M190" s="49">
        <f t="shared" si="76"/>
        <v>0</v>
      </c>
      <c r="N190" s="49">
        <f t="shared" si="68"/>
        <v>0</v>
      </c>
      <c r="O190" s="48" t="e">
        <f t="shared" si="69"/>
        <v>#DIV/0!</v>
      </c>
      <c r="P190" s="38" t="e">
        <f t="shared" si="73"/>
        <v>#DIV/0!</v>
      </c>
      <c r="Q190" s="53"/>
      <c r="R190" s="53">
        <f t="shared" si="63"/>
        <v>0</v>
      </c>
      <c r="S190" s="53">
        <f t="shared" si="64"/>
        <v>0</v>
      </c>
      <c r="T190" s="53">
        <f t="shared" si="65"/>
        <v>0.05</v>
      </c>
      <c r="U190" s="53">
        <f t="shared" si="66"/>
        <v>4.2653187775606449E-3</v>
      </c>
    </row>
    <row r="191" spans="1:21" x14ac:dyDescent="0.2">
      <c r="A191" s="62" t="e">
        <f t="shared" si="58"/>
        <v>#DIV/0!</v>
      </c>
      <c r="B191" s="45">
        <f t="shared" si="59"/>
        <v>177</v>
      </c>
      <c r="C191" s="49" t="e">
        <f t="shared" si="70"/>
        <v>#DIV/0!</v>
      </c>
      <c r="D191" s="47" t="e" cm="1">
        <f t="array" ref="D191">_xlfn.IFS(AND($C$7="Y",B191&lt;C$4),C191,AND($C$7="Y",B191=C$4),D190+F191-J191-K191-L191+N191,AND($C$7="Y",B191&gt;$C$4),D190-J191-K191-L191+N191, TRUE, D190-J191-K191-L191+N191)</f>
        <v>#DIV/0!</v>
      </c>
      <c r="E191" s="48">
        <f t="shared" si="60"/>
        <v>0</v>
      </c>
      <c r="F191" s="50">
        <f t="shared" si="61"/>
        <v>0</v>
      </c>
      <c r="G191" s="50">
        <f t="shared" si="67"/>
        <v>0</v>
      </c>
      <c r="H191" s="51" t="e">
        <f t="shared" si="71"/>
        <v>#DIV/0!</v>
      </c>
      <c r="I191" s="52" t="e">
        <f t="shared" si="62"/>
        <v>#DIV/0!</v>
      </c>
      <c r="J191" s="52" t="e">
        <f t="shared" si="72"/>
        <v>#DIV/0!</v>
      </c>
      <c r="K191" s="51" t="e">
        <f t="shared" si="74"/>
        <v>#DIV/0!</v>
      </c>
      <c r="L191" s="49" t="e">
        <f t="shared" si="75"/>
        <v>#DIV/0!</v>
      </c>
      <c r="M191" s="49">
        <f t="shared" si="76"/>
        <v>0</v>
      </c>
      <c r="N191" s="49">
        <f t="shared" si="68"/>
        <v>0</v>
      </c>
      <c r="O191" s="48" t="e">
        <f t="shared" si="69"/>
        <v>#DIV/0!</v>
      </c>
      <c r="P191" s="38" t="e">
        <f t="shared" si="73"/>
        <v>#DIV/0!</v>
      </c>
      <c r="Q191" s="53"/>
      <c r="R191" s="53">
        <f t="shared" si="63"/>
        <v>0</v>
      </c>
      <c r="S191" s="53">
        <f t="shared" si="64"/>
        <v>0</v>
      </c>
      <c r="T191" s="53">
        <f t="shared" si="65"/>
        <v>0.05</v>
      </c>
      <c r="U191" s="53">
        <f t="shared" si="66"/>
        <v>4.2653187775606449E-3</v>
      </c>
    </row>
    <row r="192" spans="1:21" x14ac:dyDescent="0.2">
      <c r="A192" s="62" t="e">
        <f t="shared" si="58"/>
        <v>#DIV/0!</v>
      </c>
      <c r="B192" s="45">
        <f t="shared" si="59"/>
        <v>178</v>
      </c>
      <c r="C192" s="49" t="e">
        <f t="shared" si="70"/>
        <v>#DIV/0!</v>
      </c>
      <c r="D192" s="47" t="e" cm="1">
        <f t="array" ref="D192">_xlfn.IFS(AND($C$7="Y",B192&lt;C$4),C192,AND($C$7="Y",B192=C$4),D191+F192-J192-K192-L192+N192,AND($C$7="Y",B192&gt;$C$4),D191-J192-K192-L192+N192, TRUE, D191-J192-K192-L192+N192)</f>
        <v>#DIV/0!</v>
      </c>
      <c r="E192" s="48">
        <f t="shared" si="60"/>
        <v>0</v>
      </c>
      <c r="F192" s="50">
        <f t="shared" si="61"/>
        <v>0</v>
      </c>
      <c r="G192" s="50">
        <f t="shared" si="67"/>
        <v>0</v>
      </c>
      <c r="H192" s="51" t="e">
        <f t="shared" si="71"/>
        <v>#DIV/0!</v>
      </c>
      <c r="I192" s="52" t="e">
        <f t="shared" si="62"/>
        <v>#DIV/0!</v>
      </c>
      <c r="J192" s="52" t="e">
        <f t="shared" si="72"/>
        <v>#DIV/0!</v>
      </c>
      <c r="K192" s="51" t="e">
        <f t="shared" si="74"/>
        <v>#DIV/0!</v>
      </c>
      <c r="L192" s="49" t="e">
        <f t="shared" si="75"/>
        <v>#DIV/0!</v>
      </c>
      <c r="M192" s="49">
        <f t="shared" si="76"/>
        <v>0</v>
      </c>
      <c r="N192" s="49">
        <f t="shared" si="68"/>
        <v>0</v>
      </c>
      <c r="O192" s="48" t="e">
        <f t="shared" si="69"/>
        <v>#DIV/0!</v>
      </c>
      <c r="P192" s="38" t="e">
        <f t="shared" si="73"/>
        <v>#DIV/0!</v>
      </c>
      <c r="Q192" s="53"/>
      <c r="R192" s="53">
        <f t="shared" si="63"/>
        <v>0</v>
      </c>
      <c r="S192" s="53">
        <f t="shared" si="64"/>
        <v>0</v>
      </c>
      <c r="T192" s="53">
        <f t="shared" si="65"/>
        <v>0.05</v>
      </c>
      <c r="U192" s="53">
        <f t="shared" si="66"/>
        <v>4.2653187775606449E-3</v>
      </c>
    </row>
    <row r="193" spans="1:21" x14ac:dyDescent="0.2">
      <c r="A193" s="62" t="e">
        <f t="shared" si="58"/>
        <v>#DIV/0!</v>
      </c>
      <c r="B193" s="45">
        <f t="shared" si="59"/>
        <v>179</v>
      </c>
      <c r="C193" s="49" t="e">
        <f t="shared" si="70"/>
        <v>#DIV/0!</v>
      </c>
      <c r="D193" s="47" t="e" cm="1">
        <f t="array" ref="D193">_xlfn.IFS(AND($C$7="Y",B193&lt;C$4),C193,AND($C$7="Y",B193=C$4),D192+F193-J193-K193-L193+N193,AND($C$7="Y",B193&gt;$C$4),D192-J193-K193-L193+N193, TRUE, D192-J193-K193-L193+N193)</f>
        <v>#DIV/0!</v>
      </c>
      <c r="E193" s="48">
        <f t="shared" si="60"/>
        <v>0</v>
      </c>
      <c r="F193" s="50">
        <f t="shared" si="61"/>
        <v>0</v>
      </c>
      <c r="G193" s="50">
        <f t="shared" si="67"/>
        <v>0</v>
      </c>
      <c r="H193" s="51" t="e">
        <f t="shared" si="71"/>
        <v>#DIV/0!</v>
      </c>
      <c r="I193" s="52" t="e">
        <f t="shared" si="62"/>
        <v>#DIV/0!</v>
      </c>
      <c r="J193" s="52" t="e">
        <f t="shared" si="72"/>
        <v>#DIV/0!</v>
      </c>
      <c r="K193" s="51" t="e">
        <f t="shared" si="74"/>
        <v>#DIV/0!</v>
      </c>
      <c r="L193" s="49" t="e">
        <f t="shared" si="75"/>
        <v>#DIV/0!</v>
      </c>
      <c r="M193" s="49">
        <f t="shared" si="76"/>
        <v>0</v>
      </c>
      <c r="N193" s="49">
        <f t="shared" si="68"/>
        <v>0</v>
      </c>
      <c r="O193" s="48" t="e">
        <f t="shared" si="69"/>
        <v>#DIV/0!</v>
      </c>
      <c r="P193" s="38" t="e">
        <f t="shared" si="73"/>
        <v>#DIV/0!</v>
      </c>
      <c r="Q193" s="53"/>
      <c r="R193" s="53">
        <f t="shared" si="63"/>
        <v>0</v>
      </c>
      <c r="S193" s="53">
        <f t="shared" si="64"/>
        <v>0</v>
      </c>
      <c r="T193" s="53">
        <f t="shared" si="65"/>
        <v>0.05</v>
      </c>
      <c r="U193" s="53">
        <f t="shared" si="66"/>
        <v>4.2653187775606449E-3</v>
      </c>
    </row>
    <row r="194" spans="1:21" x14ac:dyDescent="0.2">
      <c r="A194" s="62" t="e">
        <f t="shared" si="58"/>
        <v>#DIV/0!</v>
      </c>
      <c r="B194" s="45">
        <f t="shared" si="59"/>
        <v>180</v>
      </c>
      <c r="C194" s="49" t="e">
        <f t="shared" si="70"/>
        <v>#DIV/0!</v>
      </c>
      <c r="D194" s="47" t="e" cm="1">
        <f t="array" ref="D194">_xlfn.IFS(AND($C$7="Y",B194&lt;C$4),C194,AND($C$7="Y",B194=C$4),D193+F194-J194-K194-L194+N194,AND($C$7="Y",B194&gt;$C$4),D193-J194-K194-L194+N194, TRUE, D193-J194-K194-L194+N194)</f>
        <v>#DIV/0!</v>
      </c>
      <c r="E194" s="48">
        <f t="shared" si="60"/>
        <v>0</v>
      </c>
      <c r="F194" s="50">
        <f t="shared" si="61"/>
        <v>0</v>
      </c>
      <c r="G194" s="50">
        <f t="shared" si="67"/>
        <v>0</v>
      </c>
      <c r="H194" s="51" t="e">
        <f t="shared" si="71"/>
        <v>#DIV/0!</v>
      </c>
      <c r="I194" s="52" t="e">
        <f t="shared" si="62"/>
        <v>#DIV/0!</v>
      </c>
      <c r="J194" s="52" t="e">
        <f t="shared" si="72"/>
        <v>#DIV/0!</v>
      </c>
      <c r="K194" s="51" t="e">
        <f t="shared" si="74"/>
        <v>#DIV/0!</v>
      </c>
      <c r="L194" s="49" t="e">
        <f t="shared" si="75"/>
        <v>#DIV/0!</v>
      </c>
      <c r="M194" s="49">
        <f t="shared" si="76"/>
        <v>0</v>
      </c>
      <c r="N194" s="49">
        <f t="shared" si="68"/>
        <v>0</v>
      </c>
      <c r="O194" s="48" t="e">
        <f t="shared" si="69"/>
        <v>#DIV/0!</v>
      </c>
      <c r="P194" s="38" t="e">
        <f t="shared" si="73"/>
        <v>#DIV/0!</v>
      </c>
      <c r="Q194" s="53"/>
      <c r="R194" s="53">
        <f t="shared" si="63"/>
        <v>0</v>
      </c>
      <c r="S194" s="53">
        <f t="shared" si="64"/>
        <v>0</v>
      </c>
      <c r="T194" s="53">
        <f t="shared" si="65"/>
        <v>0.05</v>
      </c>
      <c r="U194" s="53">
        <f t="shared" si="66"/>
        <v>4.2653187775606449E-3</v>
      </c>
    </row>
    <row r="195" spans="1:21" x14ac:dyDescent="0.2">
      <c r="A195" s="62" t="e">
        <f t="shared" si="58"/>
        <v>#DIV/0!</v>
      </c>
      <c r="B195" s="45">
        <f t="shared" si="59"/>
        <v>181</v>
      </c>
      <c r="C195" s="49" t="e">
        <f t="shared" si="70"/>
        <v>#DIV/0!</v>
      </c>
      <c r="D195" s="47" t="e" cm="1">
        <f t="array" ref="D195">_xlfn.IFS(AND($C$7="Y",B195&lt;C$4),C195,AND($C$7="Y",B195=C$4),D194+F195-J195-K195-L195+N195,AND($C$7="Y",B195&gt;$C$4),D194-J195-K195-L195+N195, TRUE, D194-J195-K195-L195+N195)</f>
        <v>#DIV/0!</v>
      </c>
      <c r="E195" s="48">
        <f t="shared" si="60"/>
        <v>0</v>
      </c>
      <c r="F195" s="50">
        <f t="shared" si="61"/>
        <v>0</v>
      </c>
      <c r="G195" s="50">
        <f t="shared" si="67"/>
        <v>0</v>
      </c>
      <c r="H195" s="51" t="e">
        <f t="shared" si="71"/>
        <v>#DIV/0!</v>
      </c>
      <c r="I195" s="52" t="e">
        <f t="shared" si="62"/>
        <v>#DIV/0!</v>
      </c>
      <c r="J195" s="52" t="e">
        <f t="shared" si="72"/>
        <v>#DIV/0!</v>
      </c>
      <c r="K195" s="51" t="e">
        <f t="shared" si="74"/>
        <v>#DIV/0!</v>
      </c>
      <c r="L195" s="49" t="e">
        <f t="shared" si="75"/>
        <v>#DIV/0!</v>
      </c>
      <c r="M195" s="49">
        <f t="shared" si="76"/>
        <v>0</v>
      </c>
      <c r="N195" s="49">
        <f t="shared" si="68"/>
        <v>0</v>
      </c>
      <c r="O195" s="48" t="e">
        <f t="shared" si="69"/>
        <v>#DIV/0!</v>
      </c>
      <c r="P195" s="38" t="e">
        <f t="shared" si="73"/>
        <v>#DIV/0!</v>
      </c>
      <c r="Q195" s="53"/>
      <c r="R195" s="53">
        <f t="shared" si="63"/>
        <v>0</v>
      </c>
      <c r="S195" s="53">
        <f t="shared" si="64"/>
        <v>0</v>
      </c>
      <c r="T195" s="53">
        <f t="shared" si="65"/>
        <v>0.05</v>
      </c>
      <c r="U195" s="53">
        <f t="shared" si="66"/>
        <v>4.2653187775606449E-3</v>
      </c>
    </row>
    <row r="196" spans="1:21" x14ac:dyDescent="0.2">
      <c r="A196" s="62" t="e">
        <f t="shared" si="58"/>
        <v>#DIV/0!</v>
      </c>
      <c r="B196" s="45">
        <f t="shared" si="59"/>
        <v>182</v>
      </c>
      <c r="C196" s="49" t="e">
        <f t="shared" si="70"/>
        <v>#DIV/0!</v>
      </c>
      <c r="D196" s="47" t="e" cm="1">
        <f t="array" ref="D196">_xlfn.IFS(AND($C$7="Y",B196&lt;C$4),C196,AND($C$7="Y",B196=C$4),D195+F196-J196-K196-L196+N196,AND($C$7="Y",B196&gt;$C$4),D195-J196-K196-L196+N196, TRUE, D195-J196-K196-L196+N196)</f>
        <v>#DIV/0!</v>
      </c>
      <c r="E196" s="48">
        <f t="shared" si="60"/>
        <v>0</v>
      </c>
      <c r="F196" s="50">
        <f t="shared" si="61"/>
        <v>0</v>
      </c>
      <c r="G196" s="50">
        <f t="shared" si="67"/>
        <v>0</v>
      </c>
      <c r="H196" s="51" t="e">
        <f t="shared" si="71"/>
        <v>#DIV/0!</v>
      </c>
      <c r="I196" s="52" t="e">
        <f t="shared" si="62"/>
        <v>#DIV/0!</v>
      </c>
      <c r="J196" s="52" t="e">
        <f t="shared" si="72"/>
        <v>#DIV/0!</v>
      </c>
      <c r="K196" s="51" t="e">
        <f t="shared" si="74"/>
        <v>#DIV/0!</v>
      </c>
      <c r="L196" s="49" t="e">
        <f t="shared" si="75"/>
        <v>#DIV/0!</v>
      </c>
      <c r="M196" s="49">
        <f t="shared" si="76"/>
        <v>0</v>
      </c>
      <c r="N196" s="49">
        <f t="shared" si="68"/>
        <v>0</v>
      </c>
      <c r="O196" s="48" t="e">
        <f t="shared" si="69"/>
        <v>#DIV/0!</v>
      </c>
      <c r="P196" s="38" t="e">
        <f t="shared" si="73"/>
        <v>#DIV/0!</v>
      </c>
      <c r="Q196" s="53"/>
      <c r="R196" s="53">
        <f t="shared" si="63"/>
        <v>0</v>
      </c>
      <c r="S196" s="53">
        <f t="shared" si="64"/>
        <v>0</v>
      </c>
      <c r="T196" s="53">
        <f t="shared" si="65"/>
        <v>0.05</v>
      </c>
      <c r="U196" s="53">
        <f t="shared" si="66"/>
        <v>4.2653187775606449E-3</v>
      </c>
    </row>
    <row r="197" spans="1:21" x14ac:dyDescent="0.2">
      <c r="A197" s="62" t="e">
        <f t="shared" si="58"/>
        <v>#DIV/0!</v>
      </c>
      <c r="B197" s="45">
        <f t="shared" si="59"/>
        <v>183</v>
      </c>
      <c r="C197" s="49" t="e">
        <f t="shared" si="70"/>
        <v>#DIV/0!</v>
      </c>
      <c r="D197" s="47" t="e" cm="1">
        <f t="array" ref="D197">_xlfn.IFS(AND($C$7="Y",B197&lt;C$4),C197,AND($C$7="Y",B197=C$4),D196+F197-J197-K197-L197+N197,AND($C$7="Y",B197&gt;$C$4),D196-J197-K197-L197+N197, TRUE, D196-J197-K197-L197+N197)</f>
        <v>#DIV/0!</v>
      </c>
      <c r="E197" s="48">
        <f t="shared" si="60"/>
        <v>0</v>
      </c>
      <c r="F197" s="50">
        <f t="shared" si="61"/>
        <v>0</v>
      </c>
      <c r="G197" s="50">
        <f t="shared" si="67"/>
        <v>0</v>
      </c>
      <c r="H197" s="51" t="e">
        <f t="shared" si="71"/>
        <v>#DIV/0!</v>
      </c>
      <c r="I197" s="52" t="e">
        <f t="shared" si="62"/>
        <v>#DIV/0!</v>
      </c>
      <c r="J197" s="52" t="e">
        <f t="shared" si="72"/>
        <v>#DIV/0!</v>
      </c>
      <c r="K197" s="51" t="e">
        <f t="shared" si="74"/>
        <v>#DIV/0!</v>
      </c>
      <c r="L197" s="49" t="e">
        <f t="shared" si="75"/>
        <v>#DIV/0!</v>
      </c>
      <c r="M197" s="49">
        <f t="shared" si="76"/>
        <v>0</v>
      </c>
      <c r="N197" s="49">
        <f t="shared" si="68"/>
        <v>0</v>
      </c>
      <c r="O197" s="48" t="e">
        <f t="shared" si="69"/>
        <v>#DIV/0!</v>
      </c>
      <c r="P197" s="38" t="e">
        <f t="shared" si="73"/>
        <v>#DIV/0!</v>
      </c>
      <c r="Q197" s="53"/>
      <c r="R197" s="53">
        <f t="shared" si="63"/>
        <v>0</v>
      </c>
      <c r="S197" s="53">
        <f t="shared" si="64"/>
        <v>0</v>
      </c>
      <c r="T197" s="53">
        <f t="shared" si="65"/>
        <v>0.05</v>
      </c>
      <c r="U197" s="53">
        <f t="shared" si="66"/>
        <v>4.2653187775606449E-3</v>
      </c>
    </row>
    <row r="198" spans="1:21" x14ac:dyDescent="0.2">
      <c r="A198" s="62" t="e">
        <f t="shared" si="58"/>
        <v>#DIV/0!</v>
      </c>
      <c r="B198" s="45">
        <f t="shared" si="59"/>
        <v>184</v>
      </c>
      <c r="C198" s="49" t="e">
        <f t="shared" si="70"/>
        <v>#DIV/0!</v>
      </c>
      <c r="D198" s="47" t="e" cm="1">
        <f t="array" ref="D198">_xlfn.IFS(AND($C$7="Y",B198&lt;C$4),C198,AND($C$7="Y",B198=C$4),D197+F198-J198-K198-L198+N198,AND($C$7="Y",B198&gt;$C$4),D197-J198-K198-L198+N198, TRUE, D197-J198-K198-L198+N198)</f>
        <v>#DIV/0!</v>
      </c>
      <c r="E198" s="48">
        <f t="shared" si="60"/>
        <v>0</v>
      </c>
      <c r="F198" s="50">
        <f t="shared" si="61"/>
        <v>0</v>
      </c>
      <c r="G198" s="50">
        <f t="shared" si="67"/>
        <v>0</v>
      </c>
      <c r="H198" s="51" t="e">
        <f t="shared" si="71"/>
        <v>#DIV/0!</v>
      </c>
      <c r="I198" s="52" t="e">
        <f t="shared" si="62"/>
        <v>#DIV/0!</v>
      </c>
      <c r="J198" s="52" t="e">
        <f t="shared" si="72"/>
        <v>#DIV/0!</v>
      </c>
      <c r="K198" s="51" t="e">
        <f t="shared" si="74"/>
        <v>#DIV/0!</v>
      </c>
      <c r="L198" s="49" t="e">
        <f t="shared" si="75"/>
        <v>#DIV/0!</v>
      </c>
      <c r="M198" s="49">
        <f t="shared" si="76"/>
        <v>0</v>
      </c>
      <c r="N198" s="49">
        <f t="shared" si="68"/>
        <v>0</v>
      </c>
      <c r="O198" s="48" t="e">
        <f t="shared" si="69"/>
        <v>#DIV/0!</v>
      </c>
      <c r="P198" s="38" t="e">
        <f t="shared" si="73"/>
        <v>#DIV/0!</v>
      </c>
      <c r="Q198" s="53"/>
      <c r="R198" s="53">
        <f t="shared" si="63"/>
        <v>0</v>
      </c>
      <c r="S198" s="53">
        <f t="shared" si="64"/>
        <v>0</v>
      </c>
      <c r="T198" s="53">
        <f t="shared" si="65"/>
        <v>0.05</v>
      </c>
      <c r="U198" s="53">
        <f t="shared" si="66"/>
        <v>4.2653187775606449E-3</v>
      </c>
    </row>
    <row r="199" spans="1:21" x14ac:dyDescent="0.2">
      <c r="A199" s="62" t="e">
        <f t="shared" si="58"/>
        <v>#DIV/0!</v>
      </c>
      <c r="B199" s="45">
        <f t="shared" si="59"/>
        <v>185</v>
      </c>
      <c r="C199" s="49" t="e">
        <f t="shared" si="70"/>
        <v>#DIV/0!</v>
      </c>
      <c r="D199" s="47" t="e" cm="1">
        <f t="array" ref="D199">_xlfn.IFS(AND($C$7="Y",B199&lt;C$4),C199,AND($C$7="Y",B199=C$4),D198+F199-J199-K199-L199+N199,AND($C$7="Y",B199&gt;$C$4),D198-J199-K199-L199+N199, TRUE, D198-J199-K199-L199+N199)</f>
        <v>#DIV/0!</v>
      </c>
      <c r="E199" s="48">
        <f t="shared" si="60"/>
        <v>0</v>
      </c>
      <c r="F199" s="50">
        <f t="shared" si="61"/>
        <v>0</v>
      </c>
      <c r="G199" s="50">
        <f t="shared" si="67"/>
        <v>0</v>
      </c>
      <c r="H199" s="51" t="e">
        <f t="shared" si="71"/>
        <v>#DIV/0!</v>
      </c>
      <c r="I199" s="52" t="e">
        <f t="shared" si="62"/>
        <v>#DIV/0!</v>
      </c>
      <c r="J199" s="52" t="e">
        <f t="shared" si="72"/>
        <v>#DIV/0!</v>
      </c>
      <c r="K199" s="51" t="e">
        <f t="shared" si="74"/>
        <v>#DIV/0!</v>
      </c>
      <c r="L199" s="49" t="e">
        <f t="shared" si="75"/>
        <v>#DIV/0!</v>
      </c>
      <c r="M199" s="49">
        <f t="shared" si="76"/>
        <v>0</v>
      </c>
      <c r="N199" s="49">
        <f t="shared" si="68"/>
        <v>0</v>
      </c>
      <c r="O199" s="48" t="e">
        <f t="shared" si="69"/>
        <v>#DIV/0!</v>
      </c>
      <c r="P199" s="38" t="e">
        <f t="shared" si="73"/>
        <v>#DIV/0!</v>
      </c>
      <c r="Q199" s="53"/>
      <c r="R199" s="53">
        <f t="shared" si="63"/>
        <v>0</v>
      </c>
      <c r="S199" s="53">
        <f t="shared" si="64"/>
        <v>0</v>
      </c>
      <c r="T199" s="53">
        <f t="shared" si="65"/>
        <v>0.05</v>
      </c>
      <c r="U199" s="53">
        <f t="shared" si="66"/>
        <v>4.2653187775606449E-3</v>
      </c>
    </row>
    <row r="200" spans="1:21" x14ac:dyDescent="0.2">
      <c r="A200" s="62" t="e">
        <f t="shared" si="58"/>
        <v>#DIV/0!</v>
      </c>
      <c r="B200" s="45">
        <f t="shared" si="59"/>
        <v>186</v>
      </c>
      <c r="C200" s="49" t="e">
        <f t="shared" si="70"/>
        <v>#DIV/0!</v>
      </c>
      <c r="D200" s="47" t="e" cm="1">
        <f t="array" ref="D200">_xlfn.IFS(AND($C$7="Y",B200&lt;C$4),C200,AND($C$7="Y",B200=C$4),D199+F200-J200-K200-L200+N200,AND($C$7="Y",B200&gt;$C$4),D199-J200-K200-L200+N200, TRUE, D199-J200-K200-L200+N200)</f>
        <v>#DIV/0!</v>
      </c>
      <c r="E200" s="48">
        <f t="shared" si="60"/>
        <v>0</v>
      </c>
      <c r="F200" s="50">
        <f t="shared" si="61"/>
        <v>0</v>
      </c>
      <c r="G200" s="50">
        <f t="shared" si="67"/>
        <v>0</v>
      </c>
      <c r="H200" s="51" t="e">
        <f t="shared" si="71"/>
        <v>#DIV/0!</v>
      </c>
      <c r="I200" s="52" t="e">
        <f t="shared" si="62"/>
        <v>#DIV/0!</v>
      </c>
      <c r="J200" s="52" t="e">
        <f t="shared" si="72"/>
        <v>#DIV/0!</v>
      </c>
      <c r="K200" s="51" t="e">
        <f t="shared" si="74"/>
        <v>#DIV/0!</v>
      </c>
      <c r="L200" s="49" t="e">
        <f t="shared" si="75"/>
        <v>#DIV/0!</v>
      </c>
      <c r="M200" s="49">
        <f t="shared" si="76"/>
        <v>0</v>
      </c>
      <c r="N200" s="49">
        <f t="shared" si="68"/>
        <v>0</v>
      </c>
      <c r="O200" s="48" t="e">
        <f t="shared" si="69"/>
        <v>#DIV/0!</v>
      </c>
      <c r="P200" s="38" t="e">
        <f t="shared" si="73"/>
        <v>#DIV/0!</v>
      </c>
      <c r="Q200" s="53"/>
      <c r="R200" s="53">
        <f t="shared" si="63"/>
        <v>0</v>
      </c>
      <c r="S200" s="53">
        <f t="shared" si="64"/>
        <v>0</v>
      </c>
      <c r="T200" s="53">
        <f t="shared" si="65"/>
        <v>0.05</v>
      </c>
      <c r="U200" s="53">
        <f t="shared" si="66"/>
        <v>4.2653187775606449E-3</v>
      </c>
    </row>
    <row r="201" spans="1:21" x14ac:dyDescent="0.2">
      <c r="A201" s="62" t="e">
        <f t="shared" si="58"/>
        <v>#DIV/0!</v>
      </c>
      <c r="B201" s="45">
        <f t="shared" si="59"/>
        <v>187</v>
      </c>
      <c r="C201" s="49" t="e">
        <f t="shared" si="70"/>
        <v>#DIV/0!</v>
      </c>
      <c r="D201" s="47" t="e" cm="1">
        <f t="array" ref="D201">_xlfn.IFS(AND($C$7="Y",B201&lt;C$4),C201,AND($C$7="Y",B201=C$4),D200+F201-J201-K201-L201+N201,AND($C$7="Y",B201&gt;$C$4),D200-J201-K201-L201+N201, TRUE, D200-J201-K201-L201+N201)</f>
        <v>#DIV/0!</v>
      </c>
      <c r="E201" s="48">
        <f t="shared" si="60"/>
        <v>0</v>
      </c>
      <c r="F201" s="50">
        <f t="shared" si="61"/>
        <v>0</v>
      </c>
      <c r="G201" s="50">
        <f t="shared" si="67"/>
        <v>0</v>
      </c>
      <c r="H201" s="51" t="e">
        <f t="shared" si="71"/>
        <v>#DIV/0!</v>
      </c>
      <c r="I201" s="52" t="e">
        <f t="shared" si="62"/>
        <v>#DIV/0!</v>
      </c>
      <c r="J201" s="52" t="e">
        <f t="shared" si="72"/>
        <v>#DIV/0!</v>
      </c>
      <c r="K201" s="51" t="e">
        <f t="shared" si="74"/>
        <v>#DIV/0!</v>
      </c>
      <c r="L201" s="49" t="e">
        <f t="shared" si="75"/>
        <v>#DIV/0!</v>
      </c>
      <c r="M201" s="49">
        <f t="shared" si="76"/>
        <v>0</v>
      </c>
      <c r="N201" s="49">
        <f t="shared" si="68"/>
        <v>0</v>
      </c>
      <c r="O201" s="48" t="e">
        <f t="shared" si="69"/>
        <v>#DIV/0!</v>
      </c>
      <c r="P201" s="38" t="e">
        <f t="shared" si="73"/>
        <v>#DIV/0!</v>
      </c>
      <c r="Q201" s="53"/>
      <c r="R201" s="53">
        <f t="shared" si="63"/>
        <v>0</v>
      </c>
      <c r="S201" s="53">
        <f t="shared" si="64"/>
        <v>0</v>
      </c>
      <c r="T201" s="53">
        <f t="shared" si="65"/>
        <v>0.05</v>
      </c>
      <c r="U201" s="53">
        <f t="shared" si="66"/>
        <v>4.2653187775606449E-3</v>
      </c>
    </row>
    <row r="202" spans="1:21" x14ac:dyDescent="0.2">
      <c r="A202" s="62" t="e">
        <f t="shared" si="58"/>
        <v>#DIV/0!</v>
      </c>
      <c r="B202" s="45">
        <f t="shared" si="59"/>
        <v>188</v>
      </c>
      <c r="C202" s="49" t="e">
        <f t="shared" si="70"/>
        <v>#DIV/0!</v>
      </c>
      <c r="D202" s="47" t="e" cm="1">
        <f t="array" ref="D202">_xlfn.IFS(AND($C$7="Y",B202&lt;C$4),C202,AND($C$7="Y",B202=C$4),D201+F202-J202-K202-L202+N202,AND($C$7="Y",B202&gt;$C$4),D201-J202-K202-L202+N202, TRUE, D201-J202-K202-L202+N202)</f>
        <v>#DIV/0!</v>
      </c>
      <c r="E202" s="48">
        <f t="shared" si="60"/>
        <v>0</v>
      </c>
      <c r="F202" s="50">
        <f t="shared" si="61"/>
        <v>0</v>
      </c>
      <c r="G202" s="50">
        <f t="shared" si="67"/>
        <v>0</v>
      </c>
      <c r="H202" s="51" t="e">
        <f t="shared" si="71"/>
        <v>#DIV/0!</v>
      </c>
      <c r="I202" s="52" t="e">
        <f t="shared" si="62"/>
        <v>#DIV/0!</v>
      </c>
      <c r="J202" s="52" t="e">
        <f t="shared" si="72"/>
        <v>#DIV/0!</v>
      </c>
      <c r="K202" s="51" t="e">
        <f t="shared" si="74"/>
        <v>#DIV/0!</v>
      </c>
      <c r="L202" s="49" t="e">
        <f t="shared" si="75"/>
        <v>#DIV/0!</v>
      </c>
      <c r="M202" s="49">
        <f t="shared" si="76"/>
        <v>0</v>
      </c>
      <c r="N202" s="49">
        <f t="shared" si="68"/>
        <v>0</v>
      </c>
      <c r="O202" s="48" t="e">
        <f t="shared" si="69"/>
        <v>#DIV/0!</v>
      </c>
      <c r="P202" s="38" t="e">
        <f t="shared" si="73"/>
        <v>#DIV/0!</v>
      </c>
      <c r="Q202" s="53"/>
      <c r="R202" s="53">
        <f t="shared" si="63"/>
        <v>0</v>
      </c>
      <c r="S202" s="53">
        <f t="shared" si="64"/>
        <v>0</v>
      </c>
      <c r="T202" s="53">
        <f t="shared" si="65"/>
        <v>0.05</v>
      </c>
      <c r="U202" s="53">
        <f t="shared" si="66"/>
        <v>4.2653187775606449E-3</v>
      </c>
    </row>
    <row r="203" spans="1:21" x14ac:dyDescent="0.2">
      <c r="A203" s="62" t="e">
        <f t="shared" si="58"/>
        <v>#DIV/0!</v>
      </c>
      <c r="B203" s="45">
        <f t="shared" si="59"/>
        <v>189</v>
      </c>
      <c r="C203" s="49" t="e">
        <f t="shared" si="70"/>
        <v>#DIV/0!</v>
      </c>
      <c r="D203" s="47" t="e" cm="1">
        <f t="array" ref="D203">_xlfn.IFS(AND($C$7="Y",B203&lt;C$4),C203,AND($C$7="Y",B203=C$4),D202+F203-J203-K203-L203+N203,AND($C$7="Y",B203&gt;$C$4),D202-J203-K203-L203+N203, TRUE, D202-J203-K203-L203+N203)</f>
        <v>#DIV/0!</v>
      </c>
      <c r="E203" s="48">
        <f t="shared" si="60"/>
        <v>0</v>
      </c>
      <c r="F203" s="50">
        <f t="shared" si="61"/>
        <v>0</v>
      </c>
      <c r="G203" s="50">
        <f t="shared" si="67"/>
        <v>0</v>
      </c>
      <c r="H203" s="51" t="e">
        <f t="shared" si="71"/>
        <v>#DIV/0!</v>
      </c>
      <c r="I203" s="52" t="e">
        <f t="shared" si="62"/>
        <v>#DIV/0!</v>
      </c>
      <c r="J203" s="52" t="e">
        <f t="shared" si="72"/>
        <v>#DIV/0!</v>
      </c>
      <c r="K203" s="51" t="e">
        <f t="shared" si="74"/>
        <v>#DIV/0!</v>
      </c>
      <c r="L203" s="49" t="e">
        <f t="shared" si="75"/>
        <v>#DIV/0!</v>
      </c>
      <c r="M203" s="49">
        <f t="shared" si="76"/>
        <v>0</v>
      </c>
      <c r="N203" s="49">
        <f t="shared" si="68"/>
        <v>0</v>
      </c>
      <c r="O203" s="48" t="e">
        <f t="shared" si="69"/>
        <v>#DIV/0!</v>
      </c>
      <c r="P203" s="38" t="e">
        <f t="shared" si="73"/>
        <v>#DIV/0!</v>
      </c>
      <c r="Q203" s="53"/>
      <c r="R203" s="53">
        <f t="shared" si="63"/>
        <v>0</v>
      </c>
      <c r="S203" s="53">
        <f t="shared" si="64"/>
        <v>0</v>
      </c>
      <c r="T203" s="53">
        <f t="shared" si="65"/>
        <v>0.05</v>
      </c>
      <c r="U203" s="53">
        <f t="shared" si="66"/>
        <v>4.2653187775606449E-3</v>
      </c>
    </row>
    <row r="204" spans="1:21" x14ac:dyDescent="0.2">
      <c r="A204" s="62" t="e">
        <f t="shared" si="58"/>
        <v>#DIV/0!</v>
      </c>
      <c r="B204" s="45">
        <f t="shared" si="59"/>
        <v>190</v>
      </c>
      <c r="C204" s="49" t="e">
        <f t="shared" si="70"/>
        <v>#DIV/0!</v>
      </c>
      <c r="D204" s="47" t="e" cm="1">
        <f t="array" ref="D204">_xlfn.IFS(AND($C$7="Y",B204&lt;C$4),C204,AND($C$7="Y",B204=C$4),D203+F204-J204-K204-L204+N204,AND($C$7="Y",B204&gt;$C$4),D203-J204-K204-L204+N204, TRUE, D203-J204-K204-L204+N204)</f>
        <v>#DIV/0!</v>
      </c>
      <c r="E204" s="48">
        <f t="shared" si="60"/>
        <v>0</v>
      </c>
      <c r="F204" s="50">
        <f t="shared" si="61"/>
        <v>0</v>
      </c>
      <c r="G204" s="50">
        <f t="shared" si="67"/>
        <v>0</v>
      </c>
      <c r="H204" s="51" t="e">
        <f t="shared" si="71"/>
        <v>#DIV/0!</v>
      </c>
      <c r="I204" s="52" t="e">
        <f t="shared" si="62"/>
        <v>#DIV/0!</v>
      </c>
      <c r="J204" s="52" t="e">
        <f t="shared" si="72"/>
        <v>#DIV/0!</v>
      </c>
      <c r="K204" s="51" t="e">
        <f t="shared" si="74"/>
        <v>#DIV/0!</v>
      </c>
      <c r="L204" s="49" t="e">
        <f t="shared" si="75"/>
        <v>#DIV/0!</v>
      </c>
      <c r="M204" s="49">
        <f t="shared" si="76"/>
        <v>0</v>
      </c>
      <c r="N204" s="49">
        <f t="shared" si="68"/>
        <v>0</v>
      </c>
      <c r="O204" s="48" t="e">
        <f t="shared" si="69"/>
        <v>#DIV/0!</v>
      </c>
      <c r="P204" s="38" t="e">
        <f t="shared" si="73"/>
        <v>#DIV/0!</v>
      </c>
      <c r="Q204" s="53"/>
      <c r="R204" s="53">
        <f t="shared" si="63"/>
        <v>0</v>
      </c>
      <c r="S204" s="53">
        <f t="shared" si="64"/>
        <v>0</v>
      </c>
      <c r="T204" s="53">
        <f t="shared" si="65"/>
        <v>0.05</v>
      </c>
      <c r="U204" s="53">
        <f t="shared" si="66"/>
        <v>4.2653187775606449E-3</v>
      </c>
    </row>
    <row r="205" spans="1:21" x14ac:dyDescent="0.2">
      <c r="A205" s="62" t="e">
        <f t="shared" si="58"/>
        <v>#DIV/0!</v>
      </c>
      <c r="B205" s="45">
        <f t="shared" si="59"/>
        <v>191</v>
      </c>
      <c r="C205" s="49" t="e">
        <f t="shared" si="70"/>
        <v>#DIV/0!</v>
      </c>
      <c r="D205" s="47" t="e" cm="1">
        <f t="array" ref="D205">_xlfn.IFS(AND($C$7="Y",B205&lt;C$4),C205,AND($C$7="Y",B205=C$4),D204+F205-J205-K205-L205+N205,AND($C$7="Y",B205&gt;$C$4),D204-J205-K205-L205+N205, TRUE, D204-J205-K205-L205+N205)</f>
        <v>#DIV/0!</v>
      </c>
      <c r="E205" s="48">
        <f t="shared" si="60"/>
        <v>0</v>
      </c>
      <c r="F205" s="50">
        <f t="shared" si="61"/>
        <v>0</v>
      </c>
      <c r="G205" s="50">
        <f t="shared" si="67"/>
        <v>0</v>
      </c>
      <c r="H205" s="51" t="e">
        <f t="shared" si="71"/>
        <v>#DIV/0!</v>
      </c>
      <c r="I205" s="52" t="e">
        <f t="shared" si="62"/>
        <v>#DIV/0!</v>
      </c>
      <c r="J205" s="52" t="e">
        <f t="shared" si="72"/>
        <v>#DIV/0!</v>
      </c>
      <c r="K205" s="51" t="e">
        <f t="shared" si="74"/>
        <v>#DIV/0!</v>
      </c>
      <c r="L205" s="49" t="e">
        <f t="shared" si="75"/>
        <v>#DIV/0!</v>
      </c>
      <c r="M205" s="49">
        <f t="shared" si="76"/>
        <v>0</v>
      </c>
      <c r="N205" s="49">
        <f t="shared" si="68"/>
        <v>0</v>
      </c>
      <c r="O205" s="48" t="e">
        <f t="shared" si="69"/>
        <v>#DIV/0!</v>
      </c>
      <c r="P205" s="38" t="e">
        <f t="shared" si="73"/>
        <v>#DIV/0!</v>
      </c>
      <c r="Q205" s="53"/>
      <c r="R205" s="53">
        <f t="shared" si="63"/>
        <v>0</v>
      </c>
      <c r="S205" s="53">
        <f t="shared" si="64"/>
        <v>0</v>
      </c>
      <c r="T205" s="53">
        <f t="shared" si="65"/>
        <v>0.05</v>
      </c>
      <c r="U205" s="53">
        <f t="shared" si="66"/>
        <v>4.2653187775606449E-3</v>
      </c>
    </row>
    <row r="206" spans="1:21" x14ac:dyDescent="0.2">
      <c r="A206" s="62" t="e">
        <f t="shared" si="58"/>
        <v>#DIV/0!</v>
      </c>
      <c r="B206" s="45">
        <f t="shared" si="59"/>
        <v>192</v>
      </c>
      <c r="C206" s="49" t="e">
        <f t="shared" si="70"/>
        <v>#DIV/0!</v>
      </c>
      <c r="D206" s="47" t="e" cm="1">
        <f t="array" ref="D206">_xlfn.IFS(AND($C$7="Y",B206&lt;C$4),C206,AND($C$7="Y",B206=C$4),D205+F206-J206-K206-L206+N206,AND($C$7="Y",B206&gt;$C$4),D205-J206-K206-L206+N206, TRUE, D205-J206-K206-L206+N206)</f>
        <v>#DIV/0!</v>
      </c>
      <c r="E206" s="48">
        <f t="shared" si="60"/>
        <v>0</v>
      </c>
      <c r="F206" s="50">
        <f t="shared" si="61"/>
        <v>0</v>
      </c>
      <c r="G206" s="50">
        <f t="shared" si="67"/>
        <v>0</v>
      </c>
      <c r="H206" s="51" t="e">
        <f t="shared" si="71"/>
        <v>#DIV/0!</v>
      </c>
      <c r="I206" s="52" t="e">
        <f t="shared" si="62"/>
        <v>#DIV/0!</v>
      </c>
      <c r="J206" s="52" t="e">
        <f t="shared" si="72"/>
        <v>#DIV/0!</v>
      </c>
      <c r="K206" s="51" t="e">
        <f t="shared" si="74"/>
        <v>#DIV/0!</v>
      </c>
      <c r="L206" s="49" t="e">
        <f t="shared" si="75"/>
        <v>#DIV/0!</v>
      </c>
      <c r="M206" s="49">
        <f t="shared" si="76"/>
        <v>0</v>
      </c>
      <c r="N206" s="49">
        <f t="shared" si="68"/>
        <v>0</v>
      </c>
      <c r="O206" s="48" t="e">
        <f t="shared" si="69"/>
        <v>#DIV/0!</v>
      </c>
      <c r="P206" s="38" t="e">
        <f t="shared" si="73"/>
        <v>#DIV/0!</v>
      </c>
      <c r="Q206" s="53"/>
      <c r="R206" s="53">
        <f t="shared" si="63"/>
        <v>0</v>
      </c>
      <c r="S206" s="53">
        <f t="shared" si="64"/>
        <v>0</v>
      </c>
      <c r="T206" s="53">
        <f t="shared" si="65"/>
        <v>0.05</v>
      </c>
      <c r="U206" s="53">
        <f t="shared" si="66"/>
        <v>4.2653187775606449E-3</v>
      </c>
    </row>
    <row r="207" spans="1:21" x14ac:dyDescent="0.2">
      <c r="A207" s="62" t="e">
        <f t="shared" ref="A207:A235" si="77">D207/C$1</f>
        <v>#DIV/0!</v>
      </c>
      <c r="B207" s="45">
        <f t="shared" si="59"/>
        <v>193</v>
      </c>
      <c r="C207" s="49" t="e">
        <f t="shared" si="70"/>
        <v>#DIV/0!</v>
      </c>
      <c r="D207" s="47" t="e" cm="1">
        <f t="array" ref="D207">_xlfn.IFS(AND($C$7="Y",B207&lt;C$4),C207,AND($C$7="Y",B207=C$4),D206+F207-J207-K207-L207+N207,AND($C$7="Y",B207&gt;$C$4),D206-J207-K207-L207+N207, TRUE, D206-J207-K207-L207+N207)</f>
        <v>#DIV/0!</v>
      </c>
      <c r="E207" s="48">
        <f t="shared" si="60"/>
        <v>0</v>
      </c>
      <c r="F207" s="50">
        <f t="shared" si="61"/>
        <v>0</v>
      </c>
      <c r="G207" s="50">
        <f t="shared" si="67"/>
        <v>0</v>
      </c>
      <c r="H207" s="51" t="e">
        <f t="shared" si="71"/>
        <v>#DIV/0!</v>
      </c>
      <c r="I207" s="52" t="e">
        <f t="shared" si="62"/>
        <v>#DIV/0!</v>
      </c>
      <c r="J207" s="52" t="e">
        <f t="shared" si="72"/>
        <v>#DIV/0!</v>
      </c>
      <c r="K207" s="51" t="e">
        <f t="shared" si="74"/>
        <v>#DIV/0!</v>
      </c>
      <c r="L207" s="49" t="e">
        <f t="shared" si="75"/>
        <v>#DIV/0!</v>
      </c>
      <c r="M207" s="49">
        <f t="shared" si="76"/>
        <v>0</v>
      </c>
      <c r="N207" s="49">
        <f t="shared" si="68"/>
        <v>0</v>
      </c>
      <c r="O207" s="48" t="e">
        <f t="shared" si="69"/>
        <v>#DIV/0!</v>
      </c>
      <c r="P207" s="38" t="e">
        <f t="shared" si="73"/>
        <v>#DIV/0!</v>
      </c>
      <c r="Q207" s="53"/>
      <c r="R207" s="53">
        <f t="shared" si="63"/>
        <v>0</v>
      </c>
      <c r="S207" s="53">
        <f t="shared" si="64"/>
        <v>0</v>
      </c>
      <c r="T207" s="53">
        <f t="shared" si="65"/>
        <v>0.05</v>
      </c>
      <c r="U207" s="53">
        <f t="shared" si="66"/>
        <v>4.2653187775606449E-3</v>
      </c>
    </row>
    <row r="208" spans="1:21" x14ac:dyDescent="0.2">
      <c r="A208" s="62" t="e">
        <f t="shared" si="77"/>
        <v>#DIV/0!</v>
      </c>
      <c r="B208" s="45">
        <f t="shared" ref="B208:B223" si="78">B207+1</f>
        <v>194</v>
      </c>
      <c r="C208" s="49" t="e">
        <f t="shared" si="70"/>
        <v>#DIV/0!</v>
      </c>
      <c r="D208" s="47" t="e" cm="1">
        <f t="array" ref="D208">_xlfn.IFS(AND($C$7="Y",B208&lt;C$4),C208,AND($C$7="Y",B208=C$4),D207+F208-J208-K208-L208+N208,AND($C$7="Y",B208&gt;$C$4),D207-J208-K208-L208+N208, TRUE, D207-J208-K208-L208+N208)</f>
        <v>#DIV/0!</v>
      </c>
      <c r="E208" s="48">
        <f t="shared" ref="E208:E219" si="79">IF(AND($C$7="Y",B208&lt;=$C$4),D207*C$2/12-G208,0)</f>
        <v>0</v>
      </c>
      <c r="F208" s="50">
        <f t="shared" ref="F208:F219" si="80">IF(AND($C$7="Y",B208&lt;=C$4),E208+F207,0)</f>
        <v>0</v>
      </c>
      <c r="G208" s="50">
        <f t="shared" si="67"/>
        <v>0</v>
      </c>
      <c r="H208" s="51" t="e">
        <f t="shared" si="71"/>
        <v>#DIV/0!</v>
      </c>
      <c r="I208" s="52" t="e">
        <f t="shared" ref="I208:I219" si="81">IF(AND(C$7="Y",$B208&lt;=C$4),0,IF(AND(C$7="Y",$B208&gt;C$4),(1-U208)*C$2*D207/12,IF(AND($C$7="N",C$4&gt;0),(1-U208)*D207*C$2/12, (1-U208)*D207*C$2/12)))</f>
        <v>#DIV/0!</v>
      </c>
      <c r="J208" s="52" t="e">
        <f t="shared" si="72"/>
        <v>#DIV/0!</v>
      </c>
      <c r="K208" s="51" t="e">
        <f t="shared" si="74"/>
        <v>#DIV/0!</v>
      </c>
      <c r="L208" s="49" t="e">
        <f t="shared" si="75"/>
        <v>#DIV/0!</v>
      </c>
      <c r="M208" s="49">
        <f t="shared" si="76"/>
        <v>0</v>
      </c>
      <c r="N208" s="49">
        <f t="shared" si="68"/>
        <v>0</v>
      </c>
      <c r="O208" s="48" t="e">
        <f t="shared" si="69"/>
        <v>#DIV/0!</v>
      </c>
      <c r="P208" s="38" t="e">
        <f t="shared" si="73"/>
        <v>#DIV/0!</v>
      </c>
      <c r="Q208" s="53"/>
      <c r="R208" s="53">
        <f t="shared" ref="R208:R219" si="82">R$12</f>
        <v>0</v>
      </c>
      <c r="S208" s="53">
        <f t="shared" ref="S208:S219" si="83">1-(1-R208)^(1/12)</f>
        <v>0</v>
      </c>
      <c r="T208" s="53">
        <f t="shared" ref="T208:T219" si="84">T$12</f>
        <v>0.05</v>
      </c>
      <c r="U208" s="53">
        <f t="shared" si="66"/>
        <v>4.2653187775606449E-3</v>
      </c>
    </row>
    <row r="209" spans="1:21" x14ac:dyDescent="0.2">
      <c r="A209" s="62" t="e">
        <f t="shared" si="77"/>
        <v>#DIV/0!</v>
      </c>
      <c r="B209" s="45">
        <f t="shared" si="78"/>
        <v>195</v>
      </c>
      <c r="C209" s="49" t="e">
        <f t="shared" si="70"/>
        <v>#DIV/0!</v>
      </c>
      <c r="D209" s="47" t="e" cm="1">
        <f t="array" ref="D209">_xlfn.IFS(AND($C$7="Y",B209&lt;C$4),C209,AND($C$7="Y",B209=C$4),D208+F209-J209-K209-L209+N209,AND($C$7="Y",B209&gt;$C$4),D208-J209-K209-L209+N209, TRUE, D208-J209-K209-L209+N209)</f>
        <v>#DIV/0!</v>
      </c>
      <c r="E209" s="48">
        <f t="shared" si="79"/>
        <v>0</v>
      </c>
      <c r="F209" s="50">
        <f t="shared" si="80"/>
        <v>0</v>
      </c>
      <c r="G209" s="50">
        <f t="shared" si="67"/>
        <v>0</v>
      </c>
      <c r="H209" s="51" t="e">
        <f t="shared" si="71"/>
        <v>#DIV/0!</v>
      </c>
      <c r="I209" s="52" t="e">
        <f t="shared" si="81"/>
        <v>#DIV/0!</v>
      </c>
      <c r="J209" s="52" t="e">
        <f t="shared" si="72"/>
        <v>#DIV/0!</v>
      </c>
      <c r="K209" s="51" t="e">
        <f t="shared" si="74"/>
        <v>#DIV/0!</v>
      </c>
      <c r="L209" s="49" t="e">
        <f t="shared" si="75"/>
        <v>#DIV/0!</v>
      </c>
      <c r="M209" s="49">
        <f t="shared" si="76"/>
        <v>0</v>
      </c>
      <c r="N209" s="49">
        <f t="shared" si="68"/>
        <v>0</v>
      </c>
      <c r="O209" s="48" t="e">
        <f t="shared" si="69"/>
        <v>#DIV/0!</v>
      </c>
      <c r="P209" s="38" t="e">
        <f t="shared" si="73"/>
        <v>#DIV/0!</v>
      </c>
      <c r="Q209" s="53"/>
      <c r="R209" s="53">
        <f t="shared" si="82"/>
        <v>0</v>
      </c>
      <c r="S209" s="53">
        <f t="shared" si="83"/>
        <v>0</v>
      </c>
      <c r="T209" s="53">
        <f t="shared" si="84"/>
        <v>0.05</v>
      </c>
      <c r="U209" s="53">
        <f t="shared" ref="U209:U219" si="85">1-(1-T209)^(1/12)</f>
        <v>4.2653187775606449E-3</v>
      </c>
    </row>
    <row r="210" spans="1:21" x14ac:dyDescent="0.2">
      <c r="A210" s="62" t="e">
        <f t="shared" si="77"/>
        <v>#DIV/0!</v>
      </c>
      <c r="B210" s="45">
        <f t="shared" si="78"/>
        <v>196</v>
      </c>
      <c r="C210" s="49" t="e">
        <f t="shared" si="70"/>
        <v>#DIV/0!</v>
      </c>
      <c r="D210" s="47" t="e" cm="1">
        <f t="array" ref="D210">_xlfn.IFS(AND($C$7="Y",B210&lt;C$4),C210,AND($C$7="Y",B210=C$4),D209+F210-J210-K210-L210+N210,AND($C$7="Y",B210&gt;$C$4),D209-J210-K210-L210+N210, TRUE, D209-J210-K210-L210+N210)</f>
        <v>#DIV/0!</v>
      </c>
      <c r="E210" s="48">
        <f t="shared" si="79"/>
        <v>0</v>
      </c>
      <c r="F210" s="50">
        <f t="shared" si="80"/>
        <v>0</v>
      </c>
      <c r="G210" s="50">
        <f t="shared" ref="G210:G219" si="86">IF($B210&lt;=$C$4,C$6,0)</f>
        <v>0</v>
      </c>
      <c r="H210" s="51" t="e">
        <f t="shared" si="71"/>
        <v>#DIV/0!</v>
      </c>
      <c r="I210" s="52" t="e">
        <f t="shared" si="81"/>
        <v>#DIV/0!</v>
      </c>
      <c r="J210" s="52" t="e">
        <f t="shared" si="72"/>
        <v>#DIV/0!</v>
      </c>
      <c r="K210" s="51" t="e">
        <f t="shared" si="74"/>
        <v>#DIV/0!</v>
      </c>
      <c r="L210" s="49" t="e">
        <f t="shared" si="75"/>
        <v>#DIV/0!</v>
      </c>
      <c r="M210" s="49">
        <f t="shared" si="76"/>
        <v>0</v>
      </c>
      <c r="N210" s="49">
        <f t="shared" si="68"/>
        <v>0</v>
      </c>
      <c r="O210" s="48" t="e">
        <f t="shared" si="69"/>
        <v>#DIV/0!</v>
      </c>
      <c r="P210" s="38" t="e">
        <f t="shared" si="73"/>
        <v>#DIV/0!</v>
      </c>
      <c r="Q210" s="53"/>
      <c r="R210" s="53">
        <f t="shared" si="82"/>
        <v>0</v>
      </c>
      <c r="S210" s="53">
        <f t="shared" si="83"/>
        <v>0</v>
      </c>
      <c r="T210" s="53">
        <f t="shared" si="84"/>
        <v>0.05</v>
      </c>
      <c r="U210" s="53">
        <f t="shared" si="85"/>
        <v>4.2653187775606449E-3</v>
      </c>
    </row>
    <row r="211" spans="1:21" x14ac:dyDescent="0.2">
      <c r="A211" s="62" t="e">
        <f t="shared" si="77"/>
        <v>#DIV/0!</v>
      </c>
      <c r="B211" s="45">
        <f t="shared" si="78"/>
        <v>197</v>
      </c>
      <c r="C211" s="49" t="e">
        <f t="shared" si="70"/>
        <v>#DIV/0!</v>
      </c>
      <c r="D211" s="47" t="e" cm="1">
        <f t="array" ref="D211">_xlfn.IFS(AND($C$7="Y",B211&lt;C$4),C211,AND($C$7="Y",B211=C$4),D210+F211-J211-K211-L211+N211,AND($C$7="Y",B211&gt;$C$4),D210-J211-K211-L211+N211, TRUE, D210-J211-K211-L211+N211)</f>
        <v>#DIV/0!</v>
      </c>
      <c r="E211" s="48">
        <f t="shared" si="79"/>
        <v>0</v>
      </c>
      <c r="F211" s="50">
        <f t="shared" si="80"/>
        <v>0</v>
      </c>
      <c r="G211" s="50">
        <f t="shared" si="86"/>
        <v>0</v>
      </c>
      <c r="H211" s="51" t="e">
        <f t="shared" si="71"/>
        <v>#DIV/0!</v>
      </c>
      <c r="I211" s="52" t="e">
        <f t="shared" si="81"/>
        <v>#DIV/0!</v>
      </c>
      <c r="J211" s="52" t="e">
        <f t="shared" si="72"/>
        <v>#DIV/0!</v>
      </c>
      <c r="K211" s="51" t="e">
        <f t="shared" si="74"/>
        <v>#DIV/0!</v>
      </c>
      <c r="L211" s="49" t="e">
        <f t="shared" si="75"/>
        <v>#DIV/0!</v>
      </c>
      <c r="M211" s="49">
        <f t="shared" si="76"/>
        <v>0</v>
      </c>
      <c r="N211" s="49">
        <f t="shared" si="68"/>
        <v>0</v>
      </c>
      <c r="O211" s="48" t="e">
        <f t="shared" si="69"/>
        <v>#DIV/0!</v>
      </c>
      <c r="P211" s="38" t="e">
        <f t="shared" si="73"/>
        <v>#DIV/0!</v>
      </c>
      <c r="Q211" s="53"/>
      <c r="R211" s="53">
        <f t="shared" si="82"/>
        <v>0</v>
      </c>
      <c r="S211" s="53">
        <f t="shared" si="83"/>
        <v>0</v>
      </c>
      <c r="T211" s="53">
        <f t="shared" si="84"/>
        <v>0.05</v>
      </c>
      <c r="U211" s="53">
        <f t="shared" si="85"/>
        <v>4.2653187775606449E-3</v>
      </c>
    </row>
    <row r="212" spans="1:21" x14ac:dyDescent="0.2">
      <c r="A212" s="62" t="e">
        <f t="shared" si="77"/>
        <v>#DIV/0!</v>
      </c>
      <c r="B212" s="45">
        <f t="shared" si="78"/>
        <v>198</v>
      </c>
      <c r="C212" s="49" t="e">
        <f t="shared" si="70"/>
        <v>#DIV/0!</v>
      </c>
      <c r="D212" s="47" t="e" cm="1">
        <f t="array" ref="D212">_xlfn.IFS(AND($C$7="Y",B212&lt;C$4),C212,AND($C$7="Y",B212=C$4),D211+F212-J212-K212-L212+N212,AND($C$7="Y",B212&gt;$C$4),D211-J212-K212-L212+N212, TRUE, D211-J212-K212-L212+N212)</f>
        <v>#DIV/0!</v>
      </c>
      <c r="E212" s="48">
        <f t="shared" si="79"/>
        <v>0</v>
      </c>
      <c r="F212" s="50">
        <f t="shared" si="80"/>
        <v>0</v>
      </c>
      <c r="G212" s="50">
        <f t="shared" si="86"/>
        <v>0</v>
      </c>
      <c r="H212" s="51" t="e">
        <f t="shared" si="71"/>
        <v>#DIV/0!</v>
      </c>
      <c r="I212" s="52" t="e">
        <f t="shared" si="81"/>
        <v>#DIV/0!</v>
      </c>
      <c r="J212" s="52" t="e">
        <f t="shared" si="72"/>
        <v>#DIV/0!</v>
      </c>
      <c r="K212" s="51" t="e">
        <f t="shared" si="74"/>
        <v>#DIV/0!</v>
      </c>
      <c r="L212" s="49" t="e">
        <f t="shared" si="75"/>
        <v>#DIV/0!</v>
      </c>
      <c r="M212" s="49">
        <f t="shared" si="76"/>
        <v>0</v>
      </c>
      <c r="N212" s="49">
        <f t="shared" si="68"/>
        <v>0</v>
      </c>
      <c r="O212" s="48" t="e">
        <f t="shared" si="69"/>
        <v>#DIV/0!</v>
      </c>
      <c r="P212" s="38" t="e">
        <f t="shared" si="73"/>
        <v>#DIV/0!</v>
      </c>
      <c r="Q212" s="53"/>
      <c r="R212" s="53">
        <f t="shared" si="82"/>
        <v>0</v>
      </c>
      <c r="S212" s="53">
        <f t="shared" si="83"/>
        <v>0</v>
      </c>
      <c r="T212" s="53">
        <f t="shared" si="84"/>
        <v>0.05</v>
      </c>
      <c r="U212" s="53">
        <f t="shared" si="85"/>
        <v>4.2653187775606449E-3</v>
      </c>
    </row>
    <row r="213" spans="1:21" x14ac:dyDescent="0.2">
      <c r="A213" s="62" t="e">
        <f t="shared" si="77"/>
        <v>#DIV/0!</v>
      </c>
      <c r="B213" s="45">
        <f t="shared" si="78"/>
        <v>199</v>
      </c>
      <c r="C213" s="49" t="e">
        <f t="shared" si="70"/>
        <v>#DIV/0!</v>
      </c>
      <c r="D213" s="47" t="e" cm="1">
        <f t="array" ref="D213">_xlfn.IFS(AND($C$7="Y",B213&lt;C$4),C213,AND($C$7="Y",B213=C$4),D212+F213-J213-K213-L213+N213,AND($C$7="Y",B213&gt;$C$4),D212-J213-K213-L213+N213, TRUE, D212-J213-K213-L213+N213)</f>
        <v>#DIV/0!</v>
      </c>
      <c r="E213" s="48">
        <f t="shared" si="79"/>
        <v>0</v>
      </c>
      <c r="F213" s="50">
        <f t="shared" si="80"/>
        <v>0</v>
      </c>
      <c r="G213" s="50">
        <f t="shared" si="86"/>
        <v>0</v>
      </c>
      <c r="H213" s="51" t="e">
        <f t="shared" si="71"/>
        <v>#DIV/0!</v>
      </c>
      <c r="I213" s="52" t="e">
        <f t="shared" si="81"/>
        <v>#DIV/0!</v>
      </c>
      <c r="J213" s="52" t="e">
        <f t="shared" si="72"/>
        <v>#DIV/0!</v>
      </c>
      <c r="K213" s="51" t="e">
        <f t="shared" si="74"/>
        <v>#DIV/0!</v>
      </c>
      <c r="L213" s="49" t="e">
        <f t="shared" si="75"/>
        <v>#DIV/0!</v>
      </c>
      <c r="M213" s="49">
        <f t="shared" si="76"/>
        <v>0</v>
      </c>
      <c r="N213" s="49">
        <f t="shared" si="68"/>
        <v>0</v>
      </c>
      <c r="O213" s="48" t="e">
        <f t="shared" si="69"/>
        <v>#DIV/0!</v>
      </c>
      <c r="P213" s="38" t="e">
        <f t="shared" si="73"/>
        <v>#DIV/0!</v>
      </c>
      <c r="Q213" s="53"/>
      <c r="R213" s="53">
        <f t="shared" si="82"/>
        <v>0</v>
      </c>
      <c r="S213" s="53">
        <f t="shared" si="83"/>
        <v>0</v>
      </c>
      <c r="T213" s="53">
        <f t="shared" si="84"/>
        <v>0.05</v>
      </c>
      <c r="U213" s="53">
        <f t="shared" si="85"/>
        <v>4.2653187775606449E-3</v>
      </c>
    </row>
    <row r="214" spans="1:21" x14ac:dyDescent="0.2">
      <c r="A214" s="62" t="e">
        <f t="shared" si="77"/>
        <v>#DIV/0!</v>
      </c>
      <c r="B214" s="45">
        <f t="shared" si="78"/>
        <v>200</v>
      </c>
      <c r="C214" s="49" t="e">
        <f t="shared" si="70"/>
        <v>#DIV/0!</v>
      </c>
      <c r="D214" s="47" t="e" cm="1">
        <f t="array" ref="D214">_xlfn.IFS(AND($C$7="Y",B214&lt;C$4),C214,AND($C$7="Y",B214=C$4),D213+F214-J214-K214-L214+N214,AND($C$7="Y",B214&gt;$C$4),D213-J214-K214-L214+N214, TRUE, D213-J214-K214-L214+N214)</f>
        <v>#DIV/0!</v>
      </c>
      <c r="E214" s="48">
        <f t="shared" si="79"/>
        <v>0</v>
      </c>
      <c r="F214" s="50">
        <f t="shared" si="80"/>
        <v>0</v>
      </c>
      <c r="G214" s="50">
        <f t="shared" si="86"/>
        <v>0</v>
      </c>
      <c r="H214" s="51" t="e">
        <f t="shared" si="71"/>
        <v>#DIV/0!</v>
      </c>
      <c r="I214" s="52" t="e">
        <f t="shared" si="81"/>
        <v>#DIV/0!</v>
      </c>
      <c r="J214" s="52" t="e">
        <f t="shared" si="72"/>
        <v>#DIV/0!</v>
      </c>
      <c r="K214" s="51" t="e">
        <f t="shared" si="74"/>
        <v>#DIV/0!</v>
      </c>
      <c r="L214" s="49" t="e">
        <f t="shared" si="75"/>
        <v>#DIV/0!</v>
      </c>
      <c r="M214" s="49">
        <f t="shared" si="76"/>
        <v>0</v>
      </c>
      <c r="N214" s="49">
        <f t="shared" si="68"/>
        <v>0</v>
      </c>
      <c r="O214" s="48" t="e">
        <f t="shared" si="69"/>
        <v>#DIV/0!</v>
      </c>
      <c r="P214" s="38" t="e">
        <f t="shared" si="73"/>
        <v>#DIV/0!</v>
      </c>
      <c r="Q214" s="53"/>
      <c r="R214" s="53">
        <f t="shared" si="82"/>
        <v>0</v>
      </c>
      <c r="S214" s="53">
        <f t="shared" si="83"/>
        <v>0</v>
      </c>
      <c r="T214" s="53">
        <f t="shared" si="84"/>
        <v>0.05</v>
      </c>
      <c r="U214" s="53">
        <f t="shared" si="85"/>
        <v>4.2653187775606449E-3</v>
      </c>
    </row>
    <row r="215" spans="1:21" x14ac:dyDescent="0.2">
      <c r="A215" s="62" t="e">
        <f t="shared" si="77"/>
        <v>#DIV/0!</v>
      </c>
      <c r="B215" s="45">
        <f t="shared" si="78"/>
        <v>201</v>
      </c>
      <c r="C215" s="49" t="e">
        <f t="shared" si="70"/>
        <v>#DIV/0!</v>
      </c>
      <c r="D215" s="47" t="e" cm="1">
        <f t="array" ref="D215">_xlfn.IFS(AND($C$7="Y",B215&lt;C$4),C215,AND($C$7="Y",B215=C$4),D214+F215-J215-K215-L215+N215,AND($C$7="Y",B215&gt;$C$4),D214-J215-K215-L215+N215, TRUE, D214-J215-K215-L215+N215)</f>
        <v>#DIV/0!</v>
      </c>
      <c r="E215" s="48">
        <f t="shared" si="79"/>
        <v>0</v>
      </c>
      <c r="F215" s="50">
        <f t="shared" si="80"/>
        <v>0</v>
      </c>
      <c r="G215" s="50">
        <f t="shared" si="86"/>
        <v>0</v>
      </c>
      <c r="H215" s="51" t="e">
        <f t="shared" si="71"/>
        <v>#DIV/0!</v>
      </c>
      <c r="I215" s="52" t="e">
        <f t="shared" si="81"/>
        <v>#DIV/0!</v>
      </c>
      <c r="J215" s="52" t="e">
        <f t="shared" si="72"/>
        <v>#DIV/0!</v>
      </c>
      <c r="K215" s="51" t="e">
        <f t="shared" si="74"/>
        <v>#DIV/0!</v>
      </c>
      <c r="L215" s="49" t="e">
        <f t="shared" si="75"/>
        <v>#DIV/0!</v>
      </c>
      <c r="M215" s="49">
        <f t="shared" si="76"/>
        <v>0</v>
      </c>
      <c r="N215" s="49">
        <f t="shared" si="68"/>
        <v>0</v>
      </c>
      <c r="O215" s="48" t="e">
        <f t="shared" si="69"/>
        <v>#DIV/0!</v>
      </c>
      <c r="P215" s="38" t="e">
        <f t="shared" si="73"/>
        <v>#DIV/0!</v>
      </c>
      <c r="Q215" s="53"/>
      <c r="R215" s="53">
        <f t="shared" si="82"/>
        <v>0</v>
      </c>
      <c r="S215" s="53">
        <f t="shared" si="83"/>
        <v>0</v>
      </c>
      <c r="T215" s="53">
        <f t="shared" si="84"/>
        <v>0.05</v>
      </c>
      <c r="U215" s="53">
        <f t="shared" si="85"/>
        <v>4.2653187775606449E-3</v>
      </c>
    </row>
    <row r="216" spans="1:21" x14ac:dyDescent="0.2">
      <c r="A216" s="62" t="e">
        <f t="shared" si="77"/>
        <v>#DIV/0!</v>
      </c>
      <c r="B216" s="45">
        <f t="shared" si="78"/>
        <v>202</v>
      </c>
      <c r="C216" s="49" t="e">
        <f t="shared" si="70"/>
        <v>#DIV/0!</v>
      </c>
      <c r="D216" s="47" t="e" cm="1">
        <f t="array" ref="D216">_xlfn.IFS(AND($C$7="Y",B216&lt;C$4),C216,AND($C$7="Y",B216=C$4),D215+F216-J216-K216-L216+N216,AND($C$7="Y",B216&gt;$C$4),D215-J216-K216-L216+N216, TRUE, D215-J216-K216-L216+N216)</f>
        <v>#DIV/0!</v>
      </c>
      <c r="E216" s="48">
        <f t="shared" si="79"/>
        <v>0</v>
      </c>
      <c r="F216" s="50">
        <f t="shared" si="80"/>
        <v>0</v>
      </c>
      <c r="G216" s="50">
        <f t="shared" si="86"/>
        <v>0</v>
      </c>
      <c r="H216" s="51" t="e">
        <f t="shared" si="71"/>
        <v>#DIV/0!</v>
      </c>
      <c r="I216" s="52" t="e">
        <f t="shared" si="81"/>
        <v>#DIV/0!</v>
      </c>
      <c r="J216" s="52" t="e">
        <f t="shared" si="72"/>
        <v>#DIV/0!</v>
      </c>
      <c r="K216" s="51" t="e">
        <f t="shared" si="74"/>
        <v>#DIV/0!</v>
      </c>
      <c r="L216" s="49" t="e">
        <f t="shared" si="75"/>
        <v>#DIV/0!</v>
      </c>
      <c r="M216" s="49">
        <f t="shared" si="76"/>
        <v>0</v>
      </c>
      <c r="N216" s="49">
        <f t="shared" si="68"/>
        <v>0</v>
      </c>
      <c r="O216" s="48" t="e">
        <f t="shared" si="69"/>
        <v>#DIV/0!</v>
      </c>
      <c r="P216" s="38" t="e">
        <f t="shared" si="73"/>
        <v>#DIV/0!</v>
      </c>
      <c r="Q216" s="53"/>
      <c r="R216" s="53">
        <f t="shared" si="82"/>
        <v>0</v>
      </c>
      <c r="S216" s="53">
        <f t="shared" si="83"/>
        <v>0</v>
      </c>
      <c r="T216" s="53">
        <f t="shared" si="84"/>
        <v>0.05</v>
      </c>
      <c r="U216" s="53">
        <f t="shared" si="85"/>
        <v>4.2653187775606449E-3</v>
      </c>
    </row>
    <row r="217" spans="1:21" x14ac:dyDescent="0.2">
      <c r="A217" s="62" t="e">
        <f t="shared" si="77"/>
        <v>#DIV/0!</v>
      </c>
      <c r="B217" s="45">
        <f t="shared" si="78"/>
        <v>203</v>
      </c>
      <c r="C217" s="49" t="e">
        <f t="shared" si="70"/>
        <v>#DIV/0!</v>
      </c>
      <c r="D217" s="47" t="e" cm="1">
        <f t="array" ref="D217">_xlfn.IFS(AND($C$7="Y",B217&lt;C$4),C217,AND($C$7="Y",B217=C$4),D216+F217-J217-K217-L217+N217,AND($C$7="Y",B217&gt;$C$4),D216-J217-K217-L217+N217, TRUE, D216-J217-K217-L217+N217)</f>
        <v>#DIV/0!</v>
      </c>
      <c r="E217" s="48">
        <f t="shared" si="79"/>
        <v>0</v>
      </c>
      <c r="F217" s="50">
        <f t="shared" si="80"/>
        <v>0</v>
      </c>
      <c r="G217" s="50">
        <f t="shared" si="86"/>
        <v>0</v>
      </c>
      <c r="H217" s="51" t="e">
        <f t="shared" si="71"/>
        <v>#DIV/0!</v>
      </c>
      <c r="I217" s="52" t="e">
        <f t="shared" si="81"/>
        <v>#DIV/0!</v>
      </c>
      <c r="J217" s="52" t="e">
        <f t="shared" si="72"/>
        <v>#DIV/0!</v>
      </c>
      <c r="K217" s="51" t="e">
        <f t="shared" si="74"/>
        <v>#DIV/0!</v>
      </c>
      <c r="L217" s="49" t="e">
        <f t="shared" si="75"/>
        <v>#DIV/0!</v>
      </c>
      <c r="M217" s="49">
        <f t="shared" si="76"/>
        <v>0</v>
      </c>
      <c r="N217" s="49">
        <f t="shared" si="68"/>
        <v>0</v>
      </c>
      <c r="O217" s="48" t="e">
        <f t="shared" si="69"/>
        <v>#DIV/0!</v>
      </c>
      <c r="P217" s="38" t="e">
        <f t="shared" si="73"/>
        <v>#DIV/0!</v>
      </c>
      <c r="Q217" s="53"/>
      <c r="R217" s="53">
        <f t="shared" si="82"/>
        <v>0</v>
      </c>
      <c r="S217" s="53">
        <f t="shared" si="83"/>
        <v>0</v>
      </c>
      <c r="T217" s="53">
        <f t="shared" si="84"/>
        <v>0.05</v>
      </c>
      <c r="U217" s="53">
        <f t="shared" si="85"/>
        <v>4.2653187775606449E-3</v>
      </c>
    </row>
    <row r="218" spans="1:21" x14ac:dyDescent="0.2">
      <c r="A218" s="62" t="e">
        <f t="shared" si="77"/>
        <v>#DIV/0!</v>
      </c>
      <c r="B218" s="45">
        <f t="shared" si="78"/>
        <v>204</v>
      </c>
      <c r="C218" s="49" t="e">
        <f t="shared" si="70"/>
        <v>#DIV/0!</v>
      </c>
      <c r="D218" s="47" t="e" cm="1">
        <f t="array" ref="D218">_xlfn.IFS(AND($C$7="Y",B218&lt;C$4),C218,AND($C$7="Y",B218=C$4),D217+F218-J218-K218-L218+N218,AND($C$7="Y",B218&gt;$C$4),D217-J218-K218-L218+N218, TRUE, D217-J218-K218-L218+N218)</f>
        <v>#DIV/0!</v>
      </c>
      <c r="E218" s="48">
        <f t="shared" si="79"/>
        <v>0</v>
      </c>
      <c r="F218" s="50">
        <f t="shared" si="80"/>
        <v>0</v>
      </c>
      <c r="G218" s="50">
        <f t="shared" si="86"/>
        <v>0</v>
      </c>
      <c r="H218" s="51" t="e">
        <f t="shared" si="71"/>
        <v>#DIV/0!</v>
      </c>
      <c r="I218" s="52" t="e">
        <f t="shared" si="81"/>
        <v>#DIV/0!</v>
      </c>
      <c r="J218" s="52" t="e">
        <f t="shared" si="72"/>
        <v>#DIV/0!</v>
      </c>
      <c r="K218" s="51" t="e">
        <f t="shared" si="74"/>
        <v>#DIV/0!</v>
      </c>
      <c r="L218" s="49" t="e">
        <f t="shared" si="75"/>
        <v>#DIV/0!</v>
      </c>
      <c r="M218" s="49">
        <f t="shared" si="76"/>
        <v>0</v>
      </c>
      <c r="N218" s="49">
        <f t="shared" si="68"/>
        <v>0</v>
      </c>
      <c r="O218" s="48" t="e">
        <f t="shared" si="69"/>
        <v>#DIV/0!</v>
      </c>
      <c r="P218" s="38" t="e">
        <f t="shared" si="73"/>
        <v>#DIV/0!</v>
      </c>
      <c r="Q218" s="53"/>
      <c r="R218" s="53">
        <f t="shared" si="82"/>
        <v>0</v>
      </c>
      <c r="S218" s="53">
        <f t="shared" si="83"/>
        <v>0</v>
      </c>
      <c r="T218" s="53">
        <f t="shared" si="84"/>
        <v>0.05</v>
      </c>
      <c r="U218" s="53">
        <f t="shared" si="85"/>
        <v>4.2653187775606449E-3</v>
      </c>
    </row>
    <row r="219" spans="1:21" x14ac:dyDescent="0.2">
      <c r="A219" s="62" t="e">
        <f t="shared" si="77"/>
        <v>#DIV/0!</v>
      </c>
      <c r="B219" s="45">
        <f t="shared" si="78"/>
        <v>205</v>
      </c>
      <c r="C219" s="49" t="e">
        <f t="shared" si="70"/>
        <v>#DIV/0!</v>
      </c>
      <c r="D219" s="47" t="e" cm="1">
        <f t="array" ref="D219">_xlfn.IFS(AND($C$7="Y",B219&lt;C$4),C219,AND($C$7="Y",B219=C$4),D218+F219-J219-K219-L219+N219,AND($C$7="Y",B219&gt;$C$4),D218-J219-K219-L219+N219, TRUE, D218-J219-K219-L219+N219)</f>
        <v>#DIV/0!</v>
      </c>
      <c r="E219" s="48">
        <f t="shared" si="79"/>
        <v>0</v>
      </c>
      <c r="F219" s="50">
        <f t="shared" si="80"/>
        <v>0</v>
      </c>
      <c r="G219" s="50">
        <f t="shared" si="86"/>
        <v>0</v>
      </c>
      <c r="H219" s="51" t="e">
        <f t="shared" si="71"/>
        <v>#DIV/0!</v>
      </c>
      <c r="I219" s="52" t="e">
        <f t="shared" si="81"/>
        <v>#DIV/0!</v>
      </c>
      <c r="J219" s="52" t="e">
        <f t="shared" si="72"/>
        <v>#DIV/0!</v>
      </c>
      <c r="K219" s="51" t="e">
        <f t="shared" si="74"/>
        <v>#DIV/0!</v>
      </c>
      <c r="L219" s="49" t="e">
        <f t="shared" si="75"/>
        <v>#DIV/0!</v>
      </c>
      <c r="M219" s="49">
        <f t="shared" si="76"/>
        <v>0</v>
      </c>
      <c r="N219" s="49">
        <f t="shared" si="68"/>
        <v>0</v>
      </c>
      <c r="O219" s="48" t="e">
        <f>K219+I219+J219-L219+N219+G219</f>
        <v>#DIV/0!</v>
      </c>
      <c r="P219" s="38" t="e">
        <f t="shared" si="73"/>
        <v>#DIV/0!</v>
      </c>
      <c r="Q219" s="53"/>
      <c r="R219" s="53">
        <f t="shared" si="82"/>
        <v>0</v>
      </c>
      <c r="S219" s="53">
        <f t="shared" si="83"/>
        <v>0</v>
      </c>
      <c r="T219" s="53">
        <f t="shared" si="84"/>
        <v>0.05</v>
      </c>
      <c r="U219" s="53">
        <f t="shared" si="85"/>
        <v>4.2653187775606449E-3</v>
      </c>
    </row>
    <row r="220" spans="1:21" x14ac:dyDescent="0.2">
      <c r="A220" s="62">
        <f t="shared" si="77"/>
        <v>0</v>
      </c>
      <c r="B220" s="45">
        <f t="shared" si="78"/>
        <v>206</v>
      </c>
      <c r="C220" s="49"/>
      <c r="D220" s="46"/>
      <c r="E220" s="61"/>
      <c r="F220" s="50"/>
      <c r="G220" s="50"/>
      <c r="H220" s="51"/>
      <c r="I220" s="51"/>
      <c r="J220" s="51"/>
      <c r="K220" s="51">
        <f t="shared" si="74"/>
        <v>0</v>
      </c>
      <c r="L220" s="49" t="e">
        <f t="shared" si="75"/>
        <v>#DIV/0!</v>
      </c>
      <c r="M220" s="49">
        <f t="shared" si="76"/>
        <v>0</v>
      </c>
      <c r="N220" s="49">
        <f t="shared" si="68"/>
        <v>0</v>
      </c>
      <c r="O220" s="48" t="e">
        <f>K220+I220+J220-L220+N220+G220</f>
        <v>#DIV/0!</v>
      </c>
      <c r="P220" s="38" t="e">
        <f t="shared" si="73"/>
        <v>#DIV/0!</v>
      </c>
      <c r="Q220" s="53"/>
      <c r="R220" s="53"/>
      <c r="S220" s="53"/>
    </row>
    <row r="221" spans="1:21" x14ac:dyDescent="0.2">
      <c r="A221" s="62">
        <f t="shared" si="77"/>
        <v>0</v>
      </c>
      <c r="B221" s="45">
        <f t="shared" si="78"/>
        <v>207</v>
      </c>
      <c r="C221" s="49"/>
      <c r="D221" s="46"/>
      <c r="E221" s="61"/>
      <c r="F221" s="50"/>
      <c r="G221" s="56"/>
      <c r="H221" s="51"/>
      <c r="I221" s="51">
        <f t="shared" ref="I221:I235" si="87">IF($B220&lt;=25,0,C$2*D220/12)</f>
        <v>0</v>
      </c>
      <c r="J221" s="51">
        <f t="shared" ref="J221:J235" si="88">H221-I221</f>
        <v>0</v>
      </c>
      <c r="K221" s="51" t="e">
        <f>IF(AND(C$7="Y",$B221&lt;=$C$4),0,IF(AND(C$7="N",C$4&gt;0,B221&lt;=C$4),0,S221*(C221-J221)))</f>
        <v>#REF!</v>
      </c>
      <c r="L221" s="49">
        <f t="shared" si="75"/>
        <v>0</v>
      </c>
      <c r="M221" s="49">
        <f t="shared" si="76"/>
        <v>0</v>
      </c>
      <c r="N221" s="49">
        <f t="shared" si="68"/>
        <v>0</v>
      </c>
      <c r="O221" s="48" t="e">
        <f t="shared" ref="O221:O235" si="89">K221+I221+J221-L221+N221+G221</f>
        <v>#REF!</v>
      </c>
      <c r="P221" s="38" t="e">
        <f>O221*(1/((1+P$12)^(B221/12)))</f>
        <v>#REF!</v>
      </c>
      <c r="Q221" s="53"/>
      <c r="R221" s="53" t="e">
        <f>INDEX(#REF!,MATCH(#REF!,#REF!,0),MATCH(ActiveCDR,#REF!,0))%</f>
        <v>#REF!</v>
      </c>
      <c r="S221" s="53" t="e">
        <f>1-(1-R221)^(1/12)</f>
        <v>#REF!</v>
      </c>
    </row>
    <row r="222" spans="1:21" x14ac:dyDescent="0.2">
      <c r="A222" s="62">
        <f t="shared" si="77"/>
        <v>0</v>
      </c>
      <c r="B222" s="45">
        <f t="shared" si="78"/>
        <v>208</v>
      </c>
      <c r="C222" s="49"/>
      <c r="D222" s="46"/>
      <c r="E222" s="61"/>
      <c r="F222" s="50"/>
      <c r="G222" s="56"/>
      <c r="H222" s="51"/>
      <c r="I222" s="51">
        <f t="shared" si="87"/>
        <v>0</v>
      </c>
      <c r="J222" s="51">
        <f t="shared" si="88"/>
        <v>0</v>
      </c>
      <c r="K222" s="51" t="e">
        <f t="shared" si="74"/>
        <v>#REF!</v>
      </c>
      <c r="L222" s="49">
        <f t="shared" si="75"/>
        <v>0</v>
      </c>
      <c r="M222" s="49">
        <f t="shared" si="76"/>
        <v>0</v>
      </c>
      <c r="N222" s="49">
        <f t="shared" si="68"/>
        <v>0</v>
      </c>
      <c r="O222" s="48" t="e">
        <f t="shared" si="89"/>
        <v>#REF!</v>
      </c>
      <c r="P222" s="38" t="e">
        <f t="shared" si="73"/>
        <v>#REF!</v>
      </c>
      <c r="Q222" s="53"/>
      <c r="R222" s="53" t="e">
        <f>INDEX(#REF!,MATCH(#REF!,#REF!,0),MATCH(ActiveCDR,#REF!,0))%</f>
        <v>#REF!</v>
      </c>
      <c r="S222" s="53" t="e">
        <f t="shared" ref="S222:S224" si="90">1-(1-R222)^(1/12)</f>
        <v>#REF!</v>
      </c>
    </row>
    <row r="223" spans="1:21" x14ac:dyDescent="0.2">
      <c r="A223" s="62">
        <f t="shared" si="77"/>
        <v>0</v>
      </c>
      <c r="B223" s="45">
        <f t="shared" si="78"/>
        <v>209</v>
      </c>
      <c r="C223" s="49"/>
      <c r="D223" s="46"/>
      <c r="E223" s="61"/>
      <c r="F223" s="50"/>
      <c r="G223" s="56"/>
      <c r="H223" s="51"/>
      <c r="I223" s="51">
        <f t="shared" si="87"/>
        <v>0</v>
      </c>
      <c r="J223" s="51">
        <f t="shared" si="88"/>
        <v>0</v>
      </c>
      <c r="K223" s="51" t="e">
        <f t="shared" si="74"/>
        <v>#REF!</v>
      </c>
      <c r="L223" s="49">
        <f t="shared" si="75"/>
        <v>0</v>
      </c>
      <c r="M223" s="49">
        <f t="shared" si="76"/>
        <v>0</v>
      </c>
      <c r="N223" s="49">
        <f t="shared" si="68"/>
        <v>0</v>
      </c>
      <c r="O223" s="48" t="e">
        <f t="shared" si="89"/>
        <v>#REF!</v>
      </c>
      <c r="P223" s="38" t="e">
        <f t="shared" si="73"/>
        <v>#REF!</v>
      </c>
      <c r="Q223" s="53"/>
      <c r="R223" s="53" t="e">
        <f>INDEX(#REF!,MATCH(#REF!,#REF!,0),MATCH(ActiveCDR,#REF!,0))%</f>
        <v>#REF!</v>
      </c>
      <c r="S223" s="53" t="e">
        <f t="shared" si="90"/>
        <v>#REF!</v>
      </c>
    </row>
    <row r="224" spans="1:21" x14ac:dyDescent="0.2">
      <c r="A224" s="62">
        <f t="shared" si="77"/>
        <v>0</v>
      </c>
      <c r="B224" s="45"/>
      <c r="C224" s="49"/>
      <c r="D224" s="46"/>
      <c r="E224" s="61"/>
      <c r="F224" s="50"/>
      <c r="G224" s="56"/>
      <c r="H224" s="51"/>
      <c r="I224" s="51">
        <f t="shared" si="87"/>
        <v>0</v>
      </c>
      <c r="J224" s="51">
        <f t="shared" si="88"/>
        <v>0</v>
      </c>
      <c r="K224" s="51" t="e">
        <f t="shared" si="74"/>
        <v>#REF!</v>
      </c>
      <c r="L224" s="49">
        <f t="shared" si="75"/>
        <v>0</v>
      </c>
      <c r="M224" s="49">
        <f t="shared" si="76"/>
        <v>0</v>
      </c>
      <c r="N224" s="49">
        <f t="shared" si="68"/>
        <v>0</v>
      </c>
      <c r="O224" s="48" t="e">
        <f t="shared" si="89"/>
        <v>#REF!</v>
      </c>
      <c r="P224" s="38" t="e">
        <f t="shared" si="73"/>
        <v>#REF!</v>
      </c>
      <c r="Q224" s="53"/>
      <c r="R224" s="53" t="e">
        <f>INDEX(#REF!,MATCH(#REF!,#REF!,0),MATCH(ActiveCDR,#REF!,0))%</f>
        <v>#REF!</v>
      </c>
      <c r="S224" s="53" t="e">
        <f t="shared" si="90"/>
        <v>#REF!</v>
      </c>
    </row>
    <row r="225" spans="1:19" x14ac:dyDescent="0.2">
      <c r="A225" s="62">
        <f t="shared" si="77"/>
        <v>0</v>
      </c>
      <c r="B225" s="45"/>
      <c r="C225" s="49"/>
      <c r="D225" s="46"/>
      <c r="E225" s="61"/>
      <c r="F225" s="50"/>
      <c r="G225" s="56"/>
      <c r="H225" s="51"/>
      <c r="I225" s="51">
        <f t="shared" si="87"/>
        <v>0</v>
      </c>
      <c r="J225" s="51">
        <f t="shared" si="88"/>
        <v>0</v>
      </c>
      <c r="K225" s="51">
        <f t="shared" si="74"/>
        <v>0</v>
      </c>
      <c r="L225" s="49">
        <f t="shared" si="75"/>
        <v>0</v>
      </c>
      <c r="M225" s="49">
        <f t="shared" si="76"/>
        <v>0</v>
      </c>
      <c r="N225" s="49">
        <f t="shared" si="68"/>
        <v>0</v>
      </c>
      <c r="O225" s="48">
        <f t="shared" si="89"/>
        <v>0</v>
      </c>
      <c r="P225" s="38">
        <f t="shared" si="73"/>
        <v>0</v>
      </c>
      <c r="Q225" s="53"/>
      <c r="R225" s="53"/>
      <c r="S225" s="53"/>
    </row>
    <row r="226" spans="1:19" x14ac:dyDescent="0.2">
      <c r="A226" s="62">
        <f t="shared" si="77"/>
        <v>0</v>
      </c>
      <c r="B226" s="45"/>
      <c r="C226" s="49"/>
      <c r="D226" s="46"/>
      <c r="E226" s="61"/>
      <c r="F226" s="50"/>
      <c r="G226" s="56"/>
      <c r="H226" s="51"/>
      <c r="I226" s="51">
        <f t="shared" si="87"/>
        <v>0</v>
      </c>
      <c r="J226" s="51">
        <f t="shared" si="88"/>
        <v>0</v>
      </c>
      <c r="K226" s="51">
        <f t="shared" si="74"/>
        <v>0</v>
      </c>
      <c r="L226" s="49">
        <f t="shared" si="75"/>
        <v>0</v>
      </c>
      <c r="M226" s="49">
        <f t="shared" si="76"/>
        <v>0</v>
      </c>
      <c r="N226" s="49">
        <f t="shared" si="68"/>
        <v>0</v>
      </c>
      <c r="O226" s="48">
        <f t="shared" si="89"/>
        <v>0</v>
      </c>
      <c r="P226" s="38">
        <f t="shared" si="73"/>
        <v>0</v>
      </c>
      <c r="Q226" s="53"/>
      <c r="R226" s="53"/>
      <c r="S226" s="53"/>
    </row>
    <row r="227" spans="1:19" x14ac:dyDescent="0.2">
      <c r="A227" s="62">
        <f t="shared" si="77"/>
        <v>0</v>
      </c>
      <c r="B227" s="45"/>
      <c r="C227" s="49"/>
      <c r="D227" s="46"/>
      <c r="E227" s="61"/>
      <c r="F227" s="50"/>
      <c r="G227" s="56"/>
      <c r="H227" s="51"/>
      <c r="I227" s="51">
        <f t="shared" si="87"/>
        <v>0</v>
      </c>
      <c r="J227" s="51">
        <f t="shared" si="88"/>
        <v>0</v>
      </c>
      <c r="K227" s="51">
        <f t="shared" si="74"/>
        <v>0</v>
      </c>
      <c r="L227" s="49">
        <f t="shared" si="75"/>
        <v>0</v>
      </c>
      <c r="M227" s="49">
        <f t="shared" si="76"/>
        <v>0</v>
      </c>
      <c r="N227" s="49">
        <f t="shared" ref="N227:N235" si="91">IFERROR((1-$N$12)*L223,0)</f>
        <v>0</v>
      </c>
      <c r="O227" s="48">
        <f t="shared" si="89"/>
        <v>0</v>
      </c>
      <c r="P227" s="38">
        <f t="shared" si="73"/>
        <v>0</v>
      </c>
      <c r="Q227" s="53"/>
      <c r="R227" s="53"/>
      <c r="S227" s="53"/>
    </row>
    <row r="228" spans="1:19" x14ac:dyDescent="0.2">
      <c r="A228" s="62">
        <f t="shared" si="77"/>
        <v>0</v>
      </c>
      <c r="B228" s="45"/>
      <c r="C228" s="49"/>
      <c r="D228" s="46"/>
      <c r="E228" s="61"/>
      <c r="F228" s="50"/>
      <c r="G228" s="56"/>
      <c r="H228" s="51"/>
      <c r="I228" s="51">
        <f t="shared" si="87"/>
        <v>0</v>
      </c>
      <c r="J228" s="51">
        <f t="shared" si="88"/>
        <v>0</v>
      </c>
      <c r="K228" s="51">
        <f t="shared" si="74"/>
        <v>0</v>
      </c>
      <c r="L228" s="49">
        <f t="shared" si="75"/>
        <v>0</v>
      </c>
      <c r="M228" s="49">
        <f t="shared" si="76"/>
        <v>0</v>
      </c>
      <c r="N228" s="49">
        <f t="shared" si="91"/>
        <v>0</v>
      </c>
      <c r="O228" s="48">
        <f t="shared" si="89"/>
        <v>0</v>
      </c>
      <c r="P228" s="38">
        <f t="shared" si="73"/>
        <v>0</v>
      </c>
      <c r="Q228" s="53"/>
      <c r="R228" s="53"/>
      <c r="S228" s="53"/>
    </row>
    <row r="229" spans="1:19" x14ac:dyDescent="0.2">
      <c r="A229" s="62">
        <f t="shared" si="77"/>
        <v>0</v>
      </c>
      <c r="B229" s="45"/>
      <c r="C229" s="49"/>
      <c r="D229" s="46"/>
      <c r="E229" s="61"/>
      <c r="F229" s="50"/>
      <c r="G229" s="56"/>
      <c r="H229" s="51"/>
      <c r="I229" s="51">
        <f t="shared" si="87"/>
        <v>0</v>
      </c>
      <c r="J229" s="51">
        <f t="shared" si="88"/>
        <v>0</v>
      </c>
      <c r="K229" s="51">
        <f t="shared" si="74"/>
        <v>0</v>
      </c>
      <c r="L229" s="49">
        <f t="shared" si="75"/>
        <v>0</v>
      </c>
      <c r="M229" s="49">
        <f t="shared" si="76"/>
        <v>0</v>
      </c>
      <c r="N229" s="49">
        <f t="shared" si="91"/>
        <v>0</v>
      </c>
      <c r="O229" s="48">
        <f t="shared" si="89"/>
        <v>0</v>
      </c>
      <c r="P229" s="38">
        <f t="shared" si="73"/>
        <v>0</v>
      </c>
      <c r="Q229" s="53"/>
      <c r="R229" s="53"/>
      <c r="S229" s="53"/>
    </row>
    <row r="230" spans="1:19" x14ac:dyDescent="0.2">
      <c r="A230" s="62">
        <f t="shared" si="77"/>
        <v>0</v>
      </c>
      <c r="B230" s="45"/>
      <c r="C230" s="49"/>
      <c r="D230" s="46"/>
      <c r="E230" s="61"/>
      <c r="F230" s="50"/>
      <c r="G230" s="56"/>
      <c r="H230" s="51"/>
      <c r="I230" s="51">
        <f t="shared" si="87"/>
        <v>0</v>
      </c>
      <c r="J230" s="51">
        <f t="shared" si="88"/>
        <v>0</v>
      </c>
      <c r="K230" s="51">
        <f t="shared" si="74"/>
        <v>0</v>
      </c>
      <c r="L230" s="49">
        <f t="shared" si="75"/>
        <v>0</v>
      </c>
      <c r="M230" s="49">
        <f t="shared" si="76"/>
        <v>0</v>
      </c>
      <c r="N230" s="49">
        <f t="shared" si="91"/>
        <v>0</v>
      </c>
      <c r="O230" s="48">
        <f t="shared" si="89"/>
        <v>0</v>
      </c>
      <c r="P230" s="38">
        <f t="shared" si="73"/>
        <v>0</v>
      </c>
      <c r="Q230" s="53"/>
      <c r="R230" s="53"/>
      <c r="S230" s="53"/>
    </row>
    <row r="231" spans="1:19" x14ac:dyDescent="0.2">
      <c r="A231" s="62">
        <f t="shared" si="77"/>
        <v>0</v>
      </c>
      <c r="B231" s="45"/>
      <c r="C231" s="49"/>
      <c r="D231" s="46"/>
      <c r="E231" s="61"/>
      <c r="F231" s="50"/>
      <c r="G231" s="56"/>
      <c r="H231" s="51"/>
      <c r="I231" s="51">
        <f t="shared" si="87"/>
        <v>0</v>
      </c>
      <c r="J231" s="51">
        <f t="shared" si="88"/>
        <v>0</v>
      </c>
      <c r="K231" s="51">
        <f t="shared" si="74"/>
        <v>0</v>
      </c>
      <c r="L231" s="49">
        <f t="shared" si="75"/>
        <v>0</v>
      </c>
      <c r="M231" s="49">
        <f t="shared" si="76"/>
        <v>0</v>
      </c>
      <c r="N231" s="49">
        <f t="shared" si="91"/>
        <v>0</v>
      </c>
      <c r="O231" s="48">
        <f t="shared" si="89"/>
        <v>0</v>
      </c>
      <c r="P231" s="38">
        <f t="shared" si="73"/>
        <v>0</v>
      </c>
      <c r="Q231" s="53"/>
      <c r="R231" s="53"/>
      <c r="S231" s="53"/>
    </row>
    <row r="232" spans="1:19" x14ac:dyDescent="0.2">
      <c r="A232" s="62">
        <f t="shared" si="77"/>
        <v>0</v>
      </c>
      <c r="B232" s="45"/>
      <c r="C232" s="49"/>
      <c r="D232" s="46"/>
      <c r="E232" s="61"/>
      <c r="F232" s="50"/>
      <c r="G232" s="56"/>
      <c r="H232" s="51"/>
      <c r="I232" s="51">
        <f t="shared" si="87"/>
        <v>0</v>
      </c>
      <c r="J232" s="51">
        <f t="shared" si="88"/>
        <v>0</v>
      </c>
      <c r="K232" s="51">
        <f t="shared" si="74"/>
        <v>0</v>
      </c>
      <c r="L232" s="49">
        <f t="shared" si="75"/>
        <v>0</v>
      </c>
      <c r="M232" s="49">
        <f t="shared" si="76"/>
        <v>0</v>
      </c>
      <c r="N232" s="49">
        <f t="shared" si="91"/>
        <v>0</v>
      </c>
      <c r="O232" s="48">
        <f t="shared" si="89"/>
        <v>0</v>
      </c>
      <c r="P232" s="38">
        <f t="shared" si="73"/>
        <v>0</v>
      </c>
      <c r="Q232" s="53"/>
      <c r="R232" s="53"/>
      <c r="S232" s="53"/>
    </row>
    <row r="233" spans="1:19" x14ac:dyDescent="0.2">
      <c r="A233" s="62">
        <f t="shared" si="77"/>
        <v>0</v>
      </c>
      <c r="B233" s="45"/>
      <c r="C233" s="49"/>
      <c r="D233" s="46"/>
      <c r="E233" s="61"/>
      <c r="F233" s="50"/>
      <c r="G233" s="56"/>
      <c r="H233" s="51"/>
      <c r="I233" s="51">
        <f t="shared" si="87"/>
        <v>0</v>
      </c>
      <c r="J233" s="51">
        <f t="shared" si="88"/>
        <v>0</v>
      </c>
      <c r="K233" s="51">
        <f t="shared" si="74"/>
        <v>0</v>
      </c>
      <c r="L233" s="49">
        <f t="shared" si="75"/>
        <v>0</v>
      </c>
      <c r="M233" s="49">
        <f t="shared" si="76"/>
        <v>0</v>
      </c>
      <c r="N233" s="49">
        <f t="shared" si="91"/>
        <v>0</v>
      </c>
      <c r="O233" s="48">
        <f t="shared" si="89"/>
        <v>0</v>
      </c>
      <c r="P233" s="38">
        <f t="shared" ref="P233:P235" si="92">O233*(1/((1+P$12)^(B233/12)))</f>
        <v>0</v>
      </c>
      <c r="Q233" s="53"/>
      <c r="R233" s="53"/>
      <c r="S233" s="53"/>
    </row>
    <row r="234" spans="1:19" x14ac:dyDescent="0.2">
      <c r="A234" s="62">
        <f t="shared" si="77"/>
        <v>0</v>
      </c>
      <c r="B234" s="45"/>
      <c r="C234" s="49"/>
      <c r="D234" s="46"/>
      <c r="E234" s="61"/>
      <c r="F234" s="50"/>
      <c r="G234" s="56"/>
      <c r="H234" s="51"/>
      <c r="I234" s="51">
        <f t="shared" si="87"/>
        <v>0</v>
      </c>
      <c r="J234" s="51">
        <f t="shared" si="88"/>
        <v>0</v>
      </c>
      <c r="K234" s="51">
        <f t="shared" ref="K234:K235" si="93">IF(AND(C$7="Y",$B234&lt;=$C$4),0,IF(AND(C$7="N",C$4&gt;0,B234&lt;=C$4),0,S234*(C234-J234)))</f>
        <v>0</v>
      </c>
      <c r="L234" s="49">
        <f t="shared" si="75"/>
        <v>0</v>
      </c>
      <c r="M234" s="49">
        <f t="shared" si="76"/>
        <v>0</v>
      </c>
      <c r="N234" s="49">
        <f t="shared" si="91"/>
        <v>0</v>
      </c>
      <c r="O234" s="48">
        <f t="shared" si="89"/>
        <v>0</v>
      </c>
      <c r="P234" s="38">
        <f t="shared" si="92"/>
        <v>0</v>
      </c>
      <c r="Q234" s="53"/>
      <c r="R234" s="53"/>
      <c r="S234" s="53"/>
    </row>
    <row r="235" spans="1:19" x14ac:dyDescent="0.2">
      <c r="A235" s="62">
        <f t="shared" si="77"/>
        <v>0</v>
      </c>
      <c r="B235" s="45"/>
      <c r="C235" s="49"/>
      <c r="D235" s="46"/>
      <c r="E235" s="61"/>
      <c r="F235" s="50"/>
      <c r="G235" s="56"/>
      <c r="H235" s="51"/>
      <c r="I235" s="51">
        <f t="shared" si="87"/>
        <v>0</v>
      </c>
      <c r="J235" s="51">
        <f t="shared" si="88"/>
        <v>0</v>
      </c>
      <c r="K235" s="51">
        <f t="shared" si="93"/>
        <v>0</v>
      </c>
      <c r="L235" s="49">
        <f t="shared" si="75"/>
        <v>0</v>
      </c>
      <c r="M235" s="49">
        <f t="shared" si="76"/>
        <v>0</v>
      </c>
      <c r="N235" s="49">
        <f t="shared" si="91"/>
        <v>0</v>
      </c>
      <c r="O235" s="48">
        <f t="shared" si="89"/>
        <v>0</v>
      </c>
      <c r="P235" s="38">
        <f t="shared" si="92"/>
        <v>0</v>
      </c>
      <c r="Q235" s="53"/>
      <c r="R235" s="53"/>
      <c r="S235" s="53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8C451-C1C9-4690-A57A-348D3756A63E}">
  <sheetPr codeName="Sheet11"/>
  <dimension ref="A1:W235"/>
  <sheetViews>
    <sheetView showGridLines="0" zoomScaleNormal="100" workbookViewId="0">
      <selection activeCell="H19" sqref="H19"/>
    </sheetView>
  </sheetViews>
  <sheetFormatPr defaultColWidth="9.1796875" defaultRowHeight="10" x14ac:dyDescent="0.2"/>
  <cols>
    <col min="1" max="1" width="12.54296875" style="7" customWidth="1"/>
    <col min="2" max="2" width="15.453125" style="7" customWidth="1"/>
    <col min="3" max="3" width="15.7265625" style="7" customWidth="1"/>
    <col min="4" max="4" width="15.81640625" style="7" customWidth="1"/>
    <col min="5" max="5" width="13.1796875" style="7" customWidth="1"/>
    <col min="6" max="6" width="15.26953125" style="7" customWidth="1"/>
    <col min="7" max="7" width="17" style="7" customWidth="1"/>
    <col min="8" max="8" width="18" style="7" customWidth="1"/>
    <col min="9" max="15" width="17" style="7" customWidth="1"/>
    <col min="16" max="16" width="15.81640625" style="7" customWidth="1"/>
    <col min="17" max="19" width="9.1796875" style="7"/>
    <col min="20" max="20" width="11.1796875" style="7" bestFit="1" customWidth="1"/>
    <col min="21" max="21" width="12.90625" style="7" customWidth="1"/>
    <col min="22" max="22" width="11.453125" style="7" bestFit="1" customWidth="1"/>
    <col min="23" max="23" width="12.6328125" style="7" bestFit="1" customWidth="1"/>
    <col min="24" max="16384" width="9.1796875" style="7"/>
  </cols>
  <sheetData>
    <row r="1" spans="1:23" ht="11.5" x14ac:dyDescent="0.25">
      <c r="A1" s="1"/>
      <c r="B1" s="2" t="s">
        <v>0</v>
      </c>
      <c r="C1" s="3">
        <v>100000000</v>
      </c>
      <c r="D1" s="4" t="s">
        <v>1</v>
      </c>
      <c r="E1" s="5" t="s">
        <v>2</v>
      </c>
      <c r="F1" s="6"/>
      <c r="H1" s="8" t="s">
        <v>3</v>
      </c>
      <c r="I1" s="9">
        <f>T8*(-1)/C1</f>
        <v>-2.2688788903808988E-10</v>
      </c>
      <c r="N1" s="10">
        <f>M8*0.9/C1</f>
        <v>-3.7499999999999999E-3</v>
      </c>
    </row>
    <row r="2" spans="1:23" ht="11.5" x14ac:dyDescent="0.25">
      <c r="A2" s="11"/>
      <c r="B2" s="12" t="s">
        <v>4</v>
      </c>
      <c r="C2" s="13">
        <v>0.05</v>
      </c>
      <c r="D2" s="14"/>
      <c r="E2" s="15" t="s">
        <v>5</v>
      </c>
      <c r="F2" s="16"/>
      <c r="H2" s="17" t="s">
        <v>6</v>
      </c>
      <c r="I2" s="18">
        <v>0.05</v>
      </c>
      <c r="M2" s="19">
        <f>(M8+N8)/C1</f>
        <v>-4.1666666666666666E-3</v>
      </c>
    </row>
    <row r="3" spans="1:23" ht="11.5" x14ac:dyDescent="0.25">
      <c r="A3" s="11"/>
      <c r="B3" s="12" t="s">
        <v>7</v>
      </c>
      <c r="C3" s="20">
        <v>60</v>
      </c>
      <c r="E3" s="17" t="s">
        <v>8</v>
      </c>
      <c r="F3" s="21"/>
      <c r="H3" s="17" t="s">
        <v>9</v>
      </c>
      <c r="I3" s="22">
        <f>T12</f>
        <v>0</v>
      </c>
      <c r="K3" s="46">
        <v>419512.21</v>
      </c>
      <c r="L3" s="49" t="e">
        <f>K3/U16</f>
        <v>#DIV/0!</v>
      </c>
      <c r="T3" s="46">
        <v>2339837.2599999998</v>
      </c>
      <c r="U3" s="46">
        <v>3564282.02</v>
      </c>
      <c r="V3" s="46"/>
    </row>
    <row r="4" spans="1:23" ht="11.5" x14ac:dyDescent="0.25">
      <c r="B4" s="105" t="s">
        <v>10</v>
      </c>
      <c r="C4" s="20">
        <v>0</v>
      </c>
      <c r="E4" s="17" t="s">
        <v>11</v>
      </c>
      <c r="F4" s="23"/>
      <c r="H4" s="17"/>
      <c r="I4" s="24"/>
      <c r="L4" s="38" t="e">
        <f>L3-D15</f>
        <v>#DIV/0!</v>
      </c>
    </row>
    <row r="5" spans="1:23" ht="11.5" x14ac:dyDescent="0.25">
      <c r="B5" s="106" t="s">
        <v>12</v>
      </c>
      <c r="C5" s="25">
        <v>0</v>
      </c>
      <c r="E5" s="17" t="s">
        <v>13</v>
      </c>
      <c r="F5" s="26"/>
      <c r="H5" s="17"/>
      <c r="I5" s="24"/>
      <c r="J5" s="38">
        <f>H15-I15</f>
        <v>1470456.6977344383</v>
      </c>
      <c r="T5" s="46"/>
      <c r="U5" s="46"/>
    </row>
    <row r="6" spans="1:23" ht="11.5" x14ac:dyDescent="0.25">
      <c r="B6" s="106" t="s">
        <v>14</v>
      </c>
      <c r="C6" s="25">
        <v>0</v>
      </c>
      <c r="E6" s="17" t="s">
        <v>15</v>
      </c>
      <c r="F6" s="27"/>
      <c r="H6" s="17"/>
      <c r="I6" s="24"/>
      <c r="V6" s="46"/>
    </row>
    <row r="7" spans="1:23" ht="10.5" x14ac:dyDescent="0.25">
      <c r="B7" s="106" t="s">
        <v>16</v>
      </c>
      <c r="C7" s="28" t="s">
        <v>38</v>
      </c>
      <c r="E7" s="17" t="s">
        <v>17</v>
      </c>
      <c r="F7" s="26"/>
      <c r="H7" s="29"/>
      <c r="I7" s="30"/>
      <c r="J7" s="31"/>
      <c r="T7" s="86">
        <f>1-T8</f>
        <v>0.97731121109619101</v>
      </c>
    </row>
    <row r="8" spans="1:23" ht="11" thickBot="1" x14ac:dyDescent="0.3">
      <c r="B8" s="32" t="s">
        <v>18</v>
      </c>
      <c r="C8" s="33">
        <v>0.12</v>
      </c>
      <c r="E8" s="34"/>
      <c r="F8" s="35"/>
      <c r="H8" s="36"/>
      <c r="I8" s="37"/>
      <c r="J8" s="31">
        <f t="shared" ref="J8:Q8" si="0">_xlfn.AGGREGATE(9, 6, J14:J303)</f>
        <v>73305776.822524801</v>
      </c>
      <c r="K8" s="38">
        <f>D15+J12</f>
        <v>196015043.82114005</v>
      </c>
      <c r="L8" s="31">
        <f>_xlfn.AGGREGATE(9, 6, L14:L303)</f>
        <v>0</v>
      </c>
      <c r="M8" s="31">
        <f t="shared" si="0"/>
        <v>-416666.66666666669</v>
      </c>
      <c r="N8" s="31">
        <f t="shared" si="0"/>
        <v>0</v>
      </c>
      <c r="O8" s="31">
        <f t="shared" si="0"/>
        <v>110802175.3368336</v>
      </c>
      <c r="P8" s="31">
        <f>_xlfn.AGGREGATE(9, 6, P14:P303)</f>
        <v>110802175.3368336</v>
      </c>
      <c r="Q8" s="31">
        <f t="shared" si="0"/>
        <v>0</v>
      </c>
      <c r="T8" s="86">
        <v>2.2688788903808987E-2</v>
      </c>
      <c r="V8" s="46"/>
      <c r="W8" s="46"/>
    </row>
    <row r="9" spans="1:23" ht="10.5" x14ac:dyDescent="0.25">
      <c r="B9" s="90"/>
      <c r="C9" s="91"/>
      <c r="E9" s="92"/>
      <c r="F9" s="93"/>
      <c r="H9" s="94"/>
      <c r="I9" s="94"/>
      <c r="J9" s="31"/>
      <c r="K9" s="38"/>
      <c r="L9" s="31"/>
      <c r="M9" s="31"/>
      <c r="N9" s="31"/>
      <c r="O9" s="31"/>
      <c r="P9" s="31"/>
      <c r="Q9" s="31"/>
      <c r="T9" s="86"/>
      <c r="V9" s="46"/>
      <c r="W9" s="46"/>
    </row>
    <row r="10" spans="1:23" ht="29.5" customHeight="1" x14ac:dyDescent="0.25">
      <c r="B10" s="90"/>
      <c r="C10" s="91"/>
      <c r="D10" s="38">
        <f>D14-L15</f>
        <v>100000000</v>
      </c>
      <c r="E10" s="92"/>
      <c r="F10" s="110">
        <f>-1*PMT(C2/12,60,D10)</f>
        <v>1887123.3644010937</v>
      </c>
      <c r="G10" s="87">
        <f>F10-I15</f>
        <v>1470456.6977344269</v>
      </c>
      <c r="H10" s="107">
        <f>C14-G10</f>
        <v>98529543.30226557</v>
      </c>
      <c r="I10" s="107">
        <f>S15*H10</f>
        <v>1044042.7899307044</v>
      </c>
      <c r="J10" s="108" t="s">
        <v>86</v>
      </c>
      <c r="K10" s="38"/>
      <c r="L10" s="31"/>
      <c r="M10" s="31"/>
      <c r="N10" s="31"/>
      <c r="O10" s="31"/>
      <c r="P10" s="31"/>
      <c r="Q10" s="31"/>
      <c r="T10" s="86"/>
      <c r="V10" s="46"/>
      <c r="W10" s="46"/>
    </row>
    <row r="11" spans="1:23" ht="34" customHeight="1" x14ac:dyDescent="0.25">
      <c r="A11" s="87">
        <f>B12+I15</f>
        <v>-1462407.5127057794</v>
      </c>
      <c r="B11" s="92">
        <f>C12+D11</f>
        <v>-243185.5127057794</v>
      </c>
      <c r="C11" s="91"/>
      <c r="D11" s="49">
        <v>1219222</v>
      </c>
      <c r="E11" s="92">
        <f>D11-J15</f>
        <v>-251234.69773443835</v>
      </c>
      <c r="F11" s="93"/>
      <c r="G11" s="38">
        <f>D14-L15</f>
        <v>100000000</v>
      </c>
      <c r="H11" s="94"/>
      <c r="I11" s="107">
        <f>D14-M11</f>
        <v>100000000</v>
      </c>
      <c r="J11" s="108">
        <v>1044042.79</v>
      </c>
      <c r="K11" s="38">
        <f>J12+J15</f>
        <v>100000000.00653966</v>
      </c>
      <c r="L11" s="31"/>
      <c r="M11" s="31"/>
      <c r="N11" s="31"/>
      <c r="O11" s="31"/>
      <c r="P11" s="31"/>
      <c r="Q11" s="31"/>
      <c r="T11" s="86"/>
      <c r="V11" s="46" t="s">
        <v>85</v>
      </c>
      <c r="W11" s="46"/>
    </row>
    <row r="12" spans="1:23" ht="41" customHeight="1" x14ac:dyDescent="0.25">
      <c r="B12" s="87">
        <f>PMT(C2/12,60,99573468)</f>
        <v>-1879074.1793724461</v>
      </c>
      <c r="C12" s="38">
        <f>B12+C1*C2/12</f>
        <v>-1462407.5127057794</v>
      </c>
      <c r="D12" s="88" t="e">
        <f>D15-W16</f>
        <v>#DIV/0!</v>
      </c>
      <c r="E12" s="38">
        <f>D14-F12-L15</f>
        <v>103112876.6355989</v>
      </c>
      <c r="F12" s="55">
        <f>H15-C1*C2/1</f>
        <v>-3112876.6355988951</v>
      </c>
      <c r="G12" s="38">
        <f>(G11-J15)*S15</f>
        <v>1044042.7899307043</v>
      </c>
      <c r="H12" s="46"/>
      <c r="I12" s="38" t="s">
        <v>87</v>
      </c>
      <c r="J12" s="109">
        <f>J11/S15</f>
        <v>98529543.308805212</v>
      </c>
      <c r="K12" s="38">
        <f>D14-J12</f>
        <v>1470456.6911947876</v>
      </c>
      <c r="L12" s="38">
        <f>D14*C2/12</f>
        <v>416666.66666666669</v>
      </c>
      <c r="N12" s="39">
        <v>1</v>
      </c>
      <c r="O12" s="11"/>
      <c r="P12" s="40"/>
      <c r="Q12" s="11"/>
      <c r="R12" s="40">
        <v>0.12</v>
      </c>
      <c r="S12" s="11"/>
      <c r="T12" s="41">
        <v>0</v>
      </c>
      <c r="U12" s="11"/>
      <c r="V12" s="49"/>
    </row>
    <row r="13" spans="1:23" ht="22.5" customHeight="1" x14ac:dyDescent="0.25">
      <c r="B13" s="42" t="s">
        <v>19</v>
      </c>
      <c r="C13" s="43" t="s">
        <v>20</v>
      </c>
      <c r="D13" s="43" t="s">
        <v>21</v>
      </c>
      <c r="E13" s="44" t="s">
        <v>22</v>
      </c>
      <c r="F13" s="44" t="s">
        <v>23</v>
      </c>
      <c r="G13" s="44" t="s">
        <v>24</v>
      </c>
      <c r="H13" s="43" t="s">
        <v>25</v>
      </c>
      <c r="I13" s="43" t="s">
        <v>26</v>
      </c>
      <c r="J13" s="43" t="s">
        <v>27</v>
      </c>
      <c r="K13" s="43" t="s">
        <v>28</v>
      </c>
      <c r="L13" s="43" t="s">
        <v>29</v>
      </c>
      <c r="M13" s="43" t="s">
        <v>30</v>
      </c>
      <c r="N13" s="43" t="s">
        <v>31</v>
      </c>
      <c r="O13" s="43" t="s">
        <v>32</v>
      </c>
      <c r="P13" s="43" t="s">
        <v>33</v>
      </c>
      <c r="Q13" s="43"/>
      <c r="R13" s="43" t="s">
        <v>34</v>
      </c>
      <c r="S13" s="43" t="s">
        <v>35</v>
      </c>
      <c r="T13" s="43" t="s">
        <v>36</v>
      </c>
      <c r="U13" s="43" t="s">
        <v>37</v>
      </c>
      <c r="V13" s="38"/>
      <c r="W13" s="38"/>
    </row>
    <row r="14" spans="1:23" x14ac:dyDescent="0.2">
      <c r="A14" s="62">
        <f>D14/C$1</f>
        <v>1</v>
      </c>
      <c r="B14" s="45">
        <v>0</v>
      </c>
      <c r="C14" s="46">
        <f>C1</f>
        <v>100000000</v>
      </c>
      <c r="D14" s="47">
        <f>C1</f>
        <v>100000000</v>
      </c>
      <c r="E14" s="38">
        <f>C5</f>
        <v>0</v>
      </c>
      <c r="F14" s="38">
        <f>C$5</f>
        <v>0</v>
      </c>
      <c r="O14" s="48">
        <f>K14+I14+J14+M14+N14+G14</f>
        <v>0</v>
      </c>
      <c r="P14" s="38">
        <f>O14*(1/((1+P$12)^(B14/12)))</f>
        <v>0</v>
      </c>
    </row>
    <row r="15" spans="1:23" x14ac:dyDescent="0.2">
      <c r="A15" s="62">
        <f t="shared" ref="A15:A78" si="1">D15/C$1</f>
        <v>0.97485500512334855</v>
      </c>
      <c r="B15" s="45">
        <f>B14+1</f>
        <v>1</v>
      </c>
      <c r="C15" s="49">
        <f>IF(B15&lt;C$4,C$1,D14)</f>
        <v>100000000</v>
      </c>
      <c r="D15" s="47" cm="1">
        <f t="array" ref="D15">_xlfn.IFS(AND($C$7="Y",B15&lt;C$4),C15,AND($C$7="Y",B15=C$4),D14+F15-J15-K15-L15+N15,AND($C$7="Y",B15&gt;$C$4),D14-J15-K15-L15+N15, TRUE, D14-J15-K15-L15+N15)</f>
        <v>97485500.512334853</v>
      </c>
      <c r="E15" s="48">
        <f>IF(AND($C$7="Y",B15&lt;=$C$4),D14*C$2/12-G15,0)</f>
        <v>0</v>
      </c>
      <c r="F15" s="50">
        <f>IF(AND($C$7="Y",B15&lt;=C$4),E15+F14,0)</f>
        <v>0</v>
      </c>
      <c r="G15" s="50">
        <f>IF(AND(C$7="Y",$B15&lt;=$C$4),C$6,0)</f>
        <v>0</v>
      </c>
      <c r="H15" s="51">
        <f>IF(AND($B15&lt;=$C$4,C$7="Y"),0,IF(AND(C$7="N",C$4&gt;0,B15&lt;=C$4),0,(D14-L15+N15)*C$2/12/(1-(1/(1+C$2/12))^(C$3+C$4-B15+1))))</f>
        <v>1887123.3644011051</v>
      </c>
      <c r="I15" s="52">
        <f>IF(AND(C$7="Y",$B15&lt;=C$4),0,IF(AND(C$7="Y",$B15&gt;C$4),(1-U15)*C$2*D14/12,IF(AND($C$7="N",C$4&gt;0),(1-U15)*D14*C$2/12, (1-U15)*D14*C$2/12)))</f>
        <v>416666.66666666669</v>
      </c>
      <c r="J15" s="57">
        <f>IF(AND($B15&lt;=$C$4,C$7="Y"),0,IF(AND(C$7="N",C$4&gt;0,B15&lt;=C$4),0,H15-I15))</f>
        <v>1470456.6977344383</v>
      </c>
      <c r="K15" s="51">
        <f>IF(AND(C$7="Y",$B15&lt;=$C$4),0,IF(AND(C$7="N",C$4&gt;0,B15&lt;=C$4),0,S15*(C15-J15)))</f>
        <v>1044042.7899307043</v>
      </c>
      <c r="L15" s="49">
        <f>IF(AND(C$7="Y",$B15&lt;=$C$4),0,IF(AND(C$7="N",C$4&gt;0,B15&lt;=C$4),0,U15*C14))</f>
        <v>0</v>
      </c>
      <c r="M15" s="49">
        <f>IFERROR(#REF!*-1,0)</f>
        <v>0</v>
      </c>
      <c r="N15" s="49">
        <f>IFERROR((1-$N$12)*#REF!,0)</f>
        <v>0</v>
      </c>
      <c r="O15" s="48">
        <f>K15+I15+J15-L15+N15+G15</f>
        <v>2931166.1543318094</v>
      </c>
      <c r="P15" s="38">
        <f>O15*(1/((1+P$12)^(B15/12)))</f>
        <v>2931166.1543318094</v>
      </c>
      <c r="Q15" s="53"/>
      <c r="R15" s="53">
        <f>R$12</f>
        <v>0.12</v>
      </c>
      <c r="S15" s="53">
        <f>1-(1-R15)^(1/12)</f>
        <v>1.0596241035318976E-2</v>
      </c>
      <c r="T15" s="53">
        <f>T$12</f>
        <v>0</v>
      </c>
      <c r="U15" s="53">
        <f>1-(1-T15)^(1/12)</f>
        <v>0</v>
      </c>
      <c r="V15" s="38">
        <f>C$2*D14/12</f>
        <v>416666.66666666669</v>
      </c>
      <c r="W15" s="89">
        <f>S15*D14</f>
        <v>1059624.1035318975</v>
      </c>
    </row>
    <row r="16" spans="1:23" s="59" customFormat="1" x14ac:dyDescent="0.2">
      <c r="A16" s="96">
        <f t="shared" si="1"/>
        <v>0.95007063731012953</v>
      </c>
      <c r="B16" s="54">
        <f t="shared" ref="B16:B79" si="2">B15+1</f>
        <v>2</v>
      </c>
      <c r="C16" s="51">
        <f>IF(B16&lt;C$4,C$1,D15-L16+N16)</f>
        <v>97485500.512334853</v>
      </c>
      <c r="D16" s="60" cm="1">
        <f t="array" ref="D16">_xlfn.IFS(AND($C$7="Y",B16&lt;C$4),C16,AND($C$7="Y",B16=C$4),D15+F16-J16-K16-L16+N16,AND($C$7="Y",B16&gt;$C$4),D15-J16-K16-L16+N16, TRUE, D15-J16-K16-L16+N16)</f>
        <v>95007063.731012955</v>
      </c>
      <c r="E16" s="97">
        <f t="shared" ref="E16:E79" si="3">IF(AND($C$7="Y",B16&lt;=$C$4),D15*C$2/12-G16,0)</f>
        <v>0</v>
      </c>
      <c r="F16" s="56">
        <f t="shared" ref="F16:F79" si="4">IF(AND($C$7="Y",B16&lt;=C$4),E16+F15,0)</f>
        <v>0</v>
      </c>
      <c r="G16" s="56">
        <f>IF(AND(C$7="Y",$B16&lt;=$C$4),C$6,0)</f>
        <v>0</v>
      </c>
      <c r="H16" s="51">
        <f>IF(AND($B16&lt;=$C$4,C$7="Y"),0,IF(AND(C$7="N",C$4&gt;0,B16&lt;=C$4),0,(D15-L16+N16)*C$2/12/(1-(1/(1+C$2/12))^(C$3+C$4-B16+1))))</f>
        <v>1867126.9503685283</v>
      </c>
      <c r="I16" s="52">
        <f>IF(AND(C$7="Y",$B16&lt;=C$4),0,IF(AND(C$7="Y",$B16&gt;C$4),(1-U16)*C$2*D15/12,IF(AND($C$7="N",C$4&gt;0),(1-U16)*D15*C$2/12, (1-U16)*D15*C$2/12)))</f>
        <v>406189.58546806191</v>
      </c>
      <c r="J16" s="52">
        <f>IF(AND($B16&lt;=$C$4,C$7="Y"),0,IF(AND(C$7="N",C$4&gt;0,B16&lt;=C$4),0,H16-I16))</f>
        <v>1460937.3649004663</v>
      </c>
      <c r="K16" s="51">
        <f>IF(AND(C$7="Y",$B16&lt;=$C$4),0,IF(AND(C$7="N",C$4&gt;0,B16&lt;=C$4),0,S16*(C16-J16-L16)))</f>
        <v>1017499.4164214225</v>
      </c>
      <c r="L16" s="51">
        <f>IF(AND(C$7="Y",$B16&lt;=$C$4),0,IF(AND(C$7="N",C$4&gt;0,B16&lt;=C$4),0,U16*D15))</f>
        <v>0</v>
      </c>
      <c r="M16" s="55">
        <f>IFERROR(L12*-1,0)</f>
        <v>-416666.66666666669</v>
      </c>
      <c r="N16" s="55">
        <f>IFERROR((1-$N$12)*K8,0)</f>
        <v>0</v>
      </c>
      <c r="O16" s="97">
        <f>K16+I16+J16-L16+N16+G16</f>
        <v>2884626.366789951</v>
      </c>
      <c r="P16" s="58">
        <f>O16*(1/((1+P$12)^(B16/12)))</f>
        <v>2884626.366789951</v>
      </c>
      <c r="Q16" s="98"/>
      <c r="R16" s="98">
        <f t="shared" ref="R16:R79" si="5">R$12</f>
        <v>0.12</v>
      </c>
      <c r="S16" s="99">
        <f t="shared" ref="S16:S79" si="6">1-(1-R16)^(1/12)</f>
        <v>1.0596241035318976E-2</v>
      </c>
      <c r="T16" s="98">
        <f t="shared" ref="T16:T79" si="7">T$12</f>
        <v>0</v>
      </c>
      <c r="U16" s="99">
        <f>1-(1-T16)^(1/12)</f>
        <v>0</v>
      </c>
      <c r="V16" s="100">
        <v>419512.21</v>
      </c>
      <c r="W16" s="55" t="e">
        <f>V16/U16</f>
        <v>#DIV/0!</v>
      </c>
    </row>
    <row r="17" spans="1:21" x14ac:dyDescent="0.2">
      <c r="A17" s="62">
        <f t="shared" si="1"/>
        <v>0.92564246554358165</v>
      </c>
      <c r="B17" s="45">
        <f t="shared" si="2"/>
        <v>3</v>
      </c>
      <c r="C17" s="51">
        <f>IF(B17&lt;C$4,C$1,D16-L17+N17)</f>
        <v>95007063.731012955</v>
      </c>
      <c r="D17" s="47" cm="1">
        <f t="array" ref="D17">_xlfn.IFS(AND($C$7="Y",B17&lt;C$4),C17,AND($C$7="Y",B17=C$4),D16+F17-J17-K17-L17+N17,AND($C$7="Y",B17&gt;$C$4),D16-J17-K17-L17+N17, TRUE, D16-J17-K17-L17+N17)</f>
        <v>92564246.554358169</v>
      </c>
      <c r="E17" s="48">
        <f t="shared" si="3"/>
        <v>0</v>
      </c>
      <c r="F17" s="50">
        <f t="shared" si="4"/>
        <v>0</v>
      </c>
      <c r="G17" s="50">
        <f>IF(AND(C$7="Y",$B17&lt;=$C$4),C$6,0)</f>
        <v>0</v>
      </c>
      <c r="H17" s="51">
        <f>IF(AND($B17&lt;=$C$4,C$7="Y"),0,IF(AND(C$7="N",C$4&gt;0,B17&lt;=C$4),0,(D16-L17+N17)*C$2/12/(1-(1/(1+C$2/12))^(C$3+C$4-B17+1))))</f>
        <v>1847342.4231588824</v>
      </c>
      <c r="I17" s="52">
        <f>IF(AND(C$7="Y",$B17&lt;=C$4),0,IF(AND(C$7="Y",$B17&gt;C$4),(1-U17)*C$2*D16/12,IF(AND($C$7="N",C$4&gt;0),(1-U17)*D16*C$2/12, (1-U17)*D16*C$2/12)))</f>
        <v>395862.76554588735</v>
      </c>
      <c r="J17" s="52">
        <f>IF(AND($B17&lt;=$C$4,C$7="Y"),0,IF(AND(C$7="N",C$4&gt;0,B17&lt;=C$4),0,H17-I17))</f>
        <v>1451479.657612995</v>
      </c>
      <c r="K17" s="51">
        <f>IF(AND(C$7="Y",$B17&lt;=$C$4),0,IF(AND(C$7="N",C$4&gt;0,B17&lt;=C$4),0,S17*(C17-J17)))</f>
        <v>991337.51904179517</v>
      </c>
      <c r="L17" s="49">
        <f>IF(AND(C$7="Y",$B17&lt;=$C$4),0,IF(AND(C$7="N",C$4&gt;0,B17&lt;=C$4),0,U17*D16))</f>
        <v>0</v>
      </c>
      <c r="M17" s="55">
        <f t="shared" ref="M17" si="8">IFERROR(L13*-1,0)</f>
        <v>0</v>
      </c>
      <c r="N17" s="49">
        <f t="shared" ref="N17:N24" si="9">IFERROR((1-$N$12)*L13,0)</f>
        <v>0</v>
      </c>
      <c r="O17" s="48">
        <f>K17+I17+J17-L17+N17+G17</f>
        <v>2838679.9422006775</v>
      </c>
      <c r="P17" s="38">
        <f>O17*(1/((1+P$12)^(B17/12)))</f>
        <v>2838679.9422006775</v>
      </c>
      <c r="Q17" s="53"/>
      <c r="R17" s="53">
        <f t="shared" si="5"/>
        <v>0.12</v>
      </c>
      <c r="S17" s="53">
        <f t="shared" si="6"/>
        <v>1.0596241035318976E-2</v>
      </c>
      <c r="T17" s="53">
        <f t="shared" si="7"/>
        <v>0</v>
      </c>
      <c r="U17" s="53">
        <f t="shared" ref="U17:U80" si="10">1-(1-T17)^(1/12)</f>
        <v>0</v>
      </c>
    </row>
    <row r="18" spans="1:21" s="119" customFormat="1" x14ac:dyDescent="0.2">
      <c r="A18" s="111">
        <f t="shared" si="1"/>
        <v>0.90156610970626017</v>
      </c>
      <c r="B18" s="112">
        <f t="shared" si="2"/>
        <v>4</v>
      </c>
      <c r="C18" s="113">
        <f>IF(B18&lt;C$4,C$1,D17-L18+N18)</f>
        <v>92564246.554358169</v>
      </c>
      <c r="D18" s="114" cm="1">
        <f t="array" ref="D18">_xlfn.IFS(AND($C$7="Y",B18&lt;C$4),C18,AND($C$7="Y",B18=C$4),D17+F18-J18-K18-L18+N18,AND($C$7="Y",B18&gt;$C$4),D17-J18-K18-L18+N18, TRUE, D17-J18-K18-L18+N18)</f>
        <v>90156610.970626011</v>
      </c>
      <c r="E18" s="115">
        <f t="shared" si="3"/>
        <v>0</v>
      </c>
      <c r="F18" s="116">
        <f t="shared" si="4"/>
        <v>0</v>
      </c>
      <c r="G18" s="116">
        <f t="shared" ref="G18:G81" si="11">IF($B18&lt;=$C$4,C$6,0)</f>
        <v>0</v>
      </c>
      <c r="H18" s="113">
        <f>IF(AND($B18&lt;=$C$4,C$7="Y"),0,IF(AND(C$7="N",C$4&gt;0,B18&lt;=C$4),0,(C18-L18+N18)*C$2/12/(1-(1/(1+C$2/12))^(C$3+C$4-B18+1))))</f>
        <v>1827767.537568321</v>
      </c>
      <c r="I18" s="117">
        <f>IF(AND(C$7="Y",$B18&lt;=C$4),0,IF(AND(C$7="Y",$B18&gt;C$4),(1-U18)*C$2*D17/12,IF(AND($C$7="N",C$4&gt;0),(1-U18)*D17*C$2/12, (1-U18)*D17*C$2/12)))</f>
        <v>385684.36064315907</v>
      </c>
      <c r="J18" s="117">
        <f>IF(AND($B18&lt;=$C$4,C$7="Y"),0,IF(AND(C$7="N",C$4&gt;0,B18&lt;=C$4),0,H18-I18))</f>
        <v>1442083.1769251619</v>
      </c>
      <c r="K18" s="113">
        <f>IF(AND(C$7="Y",$B18&lt;=$C$4),0,IF(AND(C$7="N",C$4&gt;0,B18&lt;=C$4),0,S18*(C18-J18)))</f>
        <v>965552.40680699563</v>
      </c>
      <c r="L18" s="113">
        <f>IF(AND(C$7="Y",$B18&lt;=$C$4),0,IF(AND(C$7="N",C$4&gt;0,B18&lt;=C$4),0,U18*D17))</f>
        <v>0</v>
      </c>
      <c r="M18" s="113">
        <f>IFERROR(L14*-1,0)</f>
        <v>0</v>
      </c>
      <c r="N18" s="113">
        <f>IFERROR((1-$N$12)*L14,0)</f>
        <v>0</v>
      </c>
      <c r="O18" s="115">
        <f>K18+I18+J18-L18+N18+G18</f>
        <v>2793319.9443753166</v>
      </c>
      <c r="P18" s="109">
        <f>O18*(1/((1+P$12)^(B18/12)))</f>
        <v>2793319.9443753166</v>
      </c>
      <c r="Q18" s="118"/>
      <c r="R18" s="118">
        <f t="shared" si="5"/>
        <v>0.12</v>
      </c>
      <c r="S18" s="118">
        <f t="shared" si="6"/>
        <v>1.0596241035318976E-2</v>
      </c>
      <c r="T18" s="118">
        <f t="shared" si="7"/>
        <v>0</v>
      </c>
      <c r="U18" s="118">
        <f t="shared" si="10"/>
        <v>0</v>
      </c>
    </row>
    <row r="19" spans="1:21" x14ac:dyDescent="0.2">
      <c r="A19" s="62">
        <f t="shared" si="1"/>
        <v>0.87783724001514252</v>
      </c>
      <c r="B19" s="45">
        <f t="shared" si="2"/>
        <v>5</v>
      </c>
      <c r="C19" s="51">
        <f>IF(B19&lt;C$4,C$1,D18-L19+N19)</f>
        <v>90156610.970626011</v>
      </c>
      <c r="D19" s="47" cm="1">
        <f t="array" ref="D19">_xlfn.IFS(AND($C$7="Y",B19&lt;C$4),C19,AND($C$7="Y",B19=C$4),D18+F19-J19-K19-L19+N19,AND($C$7="Y",B19&gt;$C$4),D18-J19-K19-L19+N19, TRUE, D18-J19-K19-L19+N19)</f>
        <v>87783724.001514256</v>
      </c>
      <c r="E19" s="48">
        <f t="shared" si="3"/>
        <v>0</v>
      </c>
      <c r="F19" s="50">
        <f t="shared" si="4"/>
        <v>0</v>
      </c>
      <c r="G19" s="50">
        <f t="shared" si="11"/>
        <v>0</v>
      </c>
      <c r="H19" s="51">
        <f>IF(AND($B19&lt;=$C$4,C$7="Y"),0,IF(AND(C$7="N",C$4&gt;0,B19&lt;=C$4),0,(D18-L19+N19)*C$2/12/(1-(1/(1+C$2/12))^(C$3+C$4-B19+1))))</f>
        <v>1808400.0721837147</v>
      </c>
      <c r="I19" s="52">
        <f>IF(AND(C$7="Y",$B19&lt;=C$4),0,IF(AND(C$7="Y",$B19&gt;C$4),(1-U19)*C$2*D18/12,IF(AND($C$7="N",C$4&gt;0),(1-U19)*D18*C$2/12, (1-U19)*D18*C$2/12)))</f>
        <v>375652.54571094172</v>
      </c>
      <c r="J19" s="52">
        <f>IF(AND($B19&lt;=$C$4,C$7="Y"),0,IF(AND(C$7="N",C$4&gt;0,B19&lt;=C$4),0,H19-I19))</f>
        <v>1432747.5264727729</v>
      </c>
      <c r="K19" s="51">
        <f>IF(AND(C$7="Y",$B19&lt;=$C$4),0,IF(AND(C$7="N",C$4&gt;0,B19&lt;=C$4),0,S19*(C19-J19)))</f>
        <v>940139.44263897371</v>
      </c>
      <c r="L19" s="49">
        <f>IF(AND(C$7="Y",$B19&lt;=$C$4),0,IF(AND(C$7="N",C$4&gt;0,B19&lt;=C$4),0,U19*D18))</f>
        <v>0</v>
      </c>
      <c r="M19" s="49">
        <f>IFERROR(L15*-1,0)</f>
        <v>0</v>
      </c>
      <c r="N19" s="49">
        <f>IFERROR((1-$N$12)*L15,0)</f>
        <v>0</v>
      </c>
      <c r="O19" s="48">
        <f>K19+I19+J19-L19+N19+G19</f>
        <v>2748539.5148226884</v>
      </c>
      <c r="P19" s="38">
        <f>O19*(1/((1+P$12)^(B19/12)))</f>
        <v>2748539.5148226884</v>
      </c>
      <c r="Q19" s="53"/>
      <c r="R19" s="53">
        <f t="shared" si="5"/>
        <v>0.12</v>
      </c>
      <c r="S19" s="53">
        <f t="shared" si="6"/>
        <v>1.0596241035318976E-2</v>
      </c>
      <c r="T19" s="53">
        <f t="shared" si="7"/>
        <v>0</v>
      </c>
      <c r="U19" s="53">
        <f t="shared" si="10"/>
        <v>0</v>
      </c>
    </row>
    <row r="20" spans="1:21" x14ac:dyDescent="0.2">
      <c r="A20" s="62">
        <f t="shared" si="1"/>
        <v>0.85445157646288605</v>
      </c>
      <c r="B20" s="45">
        <f t="shared" si="2"/>
        <v>6</v>
      </c>
      <c r="C20" s="51">
        <f>IF(B20&lt;C$4,C$1,D19-L20+N20)</f>
        <v>87783724.001514256</v>
      </c>
      <c r="D20" s="47" cm="1">
        <f t="array" ref="D20">_xlfn.IFS(AND($C$7="Y",B20&lt;C$4),C20,AND($C$7="Y",B20=C$4),D19+F20-J20-K20-L20+N20,AND($C$7="Y",B20&gt;$C$4),D19-J20-K20-L20+N20, TRUE, D19-J20-K20-L20+N20)</f>
        <v>85445157.646288604</v>
      </c>
      <c r="E20" s="48">
        <f t="shared" si="3"/>
        <v>0</v>
      </c>
      <c r="F20" s="50">
        <f t="shared" si="4"/>
        <v>0</v>
      </c>
      <c r="G20" s="50">
        <f t="shared" si="11"/>
        <v>0</v>
      </c>
      <c r="H20" s="51">
        <f>IF(AND($B20&lt;=$C$4,C$7="Y"),0,IF(AND(C$7="N",C$4&gt;0,B20&lt;=C$4),0,(D19-L20+N20)*C$2/12/(1-(1/(1+C$2/12))^(C$3+C$4-B20+1))))</f>
        <v>1789237.8291305671</v>
      </c>
      <c r="I20" s="52">
        <f>IF(AND(C$7="Y",$B20&lt;=C$4),0,IF(AND(C$7="Y",$B20&gt;C$4),(1-U20)*C$2*D19/12,IF(AND($C$7="N",C$4&gt;0),(1-U20)*D19*C$2/12, (1-U20)*D19*C$2/12)))</f>
        <v>365765.51667297608</v>
      </c>
      <c r="J20" s="52">
        <f>IF(AND($B20&lt;=$C$4,C$7="Y"),0,IF(AND(C$7="N",C$4&gt;0,B20&lt;=C$4),0,H20-I20))</f>
        <v>1423472.3124575911</v>
      </c>
      <c r="K20" s="51">
        <f>IF(AND(C$7="Y",$B20&lt;=$C$4),0,IF(AND(C$7="N",C$4&gt;0,B20&lt;=C$4),0,S20*(C20-J20)))</f>
        <v>915094.0427680572</v>
      </c>
      <c r="L20" s="49">
        <f>IF(AND(C$7="Y",$B20&lt;=$C$4),0,IF(AND(C$7="N",C$4&gt;0,B20&lt;=C$4),0,U20*D19))</f>
        <v>0</v>
      </c>
      <c r="M20" s="49">
        <f t="shared" ref="M20:M23" si="12">IFERROR(L16*-1,0)</f>
        <v>0</v>
      </c>
      <c r="N20" s="49">
        <f>IFERROR((1-$N$12)*L16,0)</f>
        <v>0</v>
      </c>
      <c r="O20" s="48">
        <f>K20+I20+J20-L20+N20+G20</f>
        <v>2704331.8718986241</v>
      </c>
      <c r="P20" s="38">
        <f>O20*(1/((1+P$12)^(B20/12)))</f>
        <v>2704331.8718986241</v>
      </c>
      <c r="Q20" s="53"/>
      <c r="R20" s="53">
        <f t="shared" si="5"/>
        <v>0.12</v>
      </c>
      <c r="S20" s="53">
        <f t="shared" si="6"/>
        <v>1.0596241035318976E-2</v>
      </c>
      <c r="T20" s="53">
        <f t="shared" si="7"/>
        <v>0</v>
      </c>
      <c r="U20" s="53">
        <f t="shared" si="10"/>
        <v>0</v>
      </c>
    </row>
    <row r="21" spans="1:21" x14ac:dyDescent="0.2">
      <c r="A21" s="62">
        <f t="shared" si="1"/>
        <v>0.83140488826516823</v>
      </c>
      <c r="B21" s="45">
        <f t="shared" si="2"/>
        <v>7</v>
      </c>
      <c r="C21" s="51">
        <f>IF(B21&lt;C$4,C$1,D20-L21+N21)</f>
        <v>85445157.646288604</v>
      </c>
      <c r="D21" s="47" cm="1">
        <f t="array" ref="D21">_xlfn.IFS(AND($C$7="Y",B21&lt;C$4),C21,AND($C$7="Y",B21=C$4),D20+F21-J21-K21-L21+N21,AND($C$7="Y",B21&gt;$C$4),D20-J21-K21-L21+N21, TRUE, D20-J21-K21-L21+N21)</f>
        <v>83140488.826516822</v>
      </c>
      <c r="E21" s="48">
        <f t="shared" si="3"/>
        <v>0</v>
      </c>
      <c r="F21" s="50">
        <f t="shared" si="4"/>
        <v>0</v>
      </c>
      <c r="G21" s="50">
        <f t="shared" si="11"/>
        <v>0</v>
      </c>
      <c r="H21" s="51">
        <f>IF(AND($B21&lt;=$C$4,C$7="Y"),0,IF(AND(C$7="N",C$4&gt;0,B21&lt;=C$4),0,(D20-L21+N21)*C$2/12/(1-(1/(1+C$2/12))^(C$3+C$4-B21+1))))</f>
        <v>1770278.6338235897</v>
      </c>
      <c r="I21" s="52">
        <f>IF(AND(C$7="Y",$B21&lt;=C$4),0,IF(AND(C$7="Y",$B21&gt;C$4),(1-U21)*C$2*D20/12,IF(AND($C$7="N",C$4&gt;0),(1-U21)*D20*C$2/12, (1-U21)*D20*C$2/12)))</f>
        <v>356021.49019286921</v>
      </c>
      <c r="J21" s="52">
        <f>IF(AND($B21&lt;=$C$4,C$7="Y"),0,IF(AND(C$7="N",C$4&gt;0,B21&lt;=C$4),0,H21-I21))</f>
        <v>1414257.1436307204</v>
      </c>
      <c r="K21" s="51">
        <f>IF(AND(C$7="Y",$B21&lt;=$C$4),0,IF(AND(C$7="N",C$4&gt;0,B21&lt;=C$4),0,S21*(C21-J21)))</f>
        <v>890411.6761410695</v>
      </c>
      <c r="L21" s="49">
        <f>IF(AND(C$7="Y",$B21&lt;=$C$4),0,IF(AND(C$7="N",C$4&gt;0,B21&lt;=C$4),0,U21*D20))</f>
        <v>0</v>
      </c>
      <c r="M21" s="49">
        <f>IFERROR(L17*-1,0)</f>
        <v>0</v>
      </c>
      <c r="N21" s="49">
        <f t="shared" ref="N21:N28" si="13">IFERROR((1-$N$12)*L17,0)</f>
        <v>0</v>
      </c>
      <c r="O21" s="48">
        <f>K21+I21+J21-L21+N21+G21</f>
        <v>2660690.3099646592</v>
      </c>
      <c r="P21" s="38">
        <f>O21*(1/((1+P$12)^(B21/12)))</f>
        <v>2660690.3099646592</v>
      </c>
      <c r="Q21" s="53"/>
      <c r="R21" s="53">
        <f t="shared" si="5"/>
        <v>0.12</v>
      </c>
      <c r="S21" s="53">
        <f t="shared" si="6"/>
        <v>1.0596241035318976E-2</v>
      </c>
      <c r="T21" s="53">
        <f t="shared" si="7"/>
        <v>0</v>
      </c>
      <c r="U21" s="53">
        <f t="shared" si="10"/>
        <v>0</v>
      </c>
    </row>
    <row r="22" spans="1:21" x14ac:dyDescent="0.2">
      <c r="A22" s="62">
        <f t="shared" si="1"/>
        <v>0.8086929933140482</v>
      </c>
      <c r="B22" s="45">
        <f t="shared" si="2"/>
        <v>8</v>
      </c>
      <c r="C22" s="51">
        <f>IF(B22&lt;C$4,C$1,D21-L22+N22)</f>
        <v>83140488.826516822</v>
      </c>
      <c r="D22" s="47" cm="1">
        <f t="array" ref="D22">_xlfn.IFS(AND($C$7="Y",B22&lt;C$4),C22,AND($C$7="Y",B22=C$4),D21+F22-J22-K22-L22+N22,AND($C$7="Y",B22&gt;$C$4),D21-J22-K22-L22+N22, TRUE, D21-J22-K22-L22+N22)</f>
        <v>80869299.33140482</v>
      </c>
      <c r="E22" s="48">
        <f t="shared" si="3"/>
        <v>0</v>
      </c>
      <c r="F22" s="50">
        <f t="shared" si="4"/>
        <v>0</v>
      </c>
      <c r="G22" s="50">
        <f t="shared" si="11"/>
        <v>0</v>
      </c>
      <c r="H22" s="51">
        <f>IF(AND($B22&lt;=$C$4,C$7="Y"),0,IF(AND(C$7="N",C$4&gt;0,B22&lt;=C$4),0,(D21-L22+N22)*C$2/12/(1-(1/(1+C$2/12))^(C$3+C$4-B22+1))))</f>
        <v>1751520.3347199196</v>
      </c>
      <c r="I22" s="52">
        <f>IF(AND(C$7="Y",$B22&lt;=C$4),0,IF(AND(C$7="Y",$B22&gt;C$4),(1-U22)*C$2*D21/12,IF(AND($C$7="N",C$4&gt;0),(1-U22)*D21*C$2/12, (1-U22)*D21*C$2/12)))</f>
        <v>346418.70344382012</v>
      </c>
      <c r="J22" s="52">
        <f>IF(AND($B22&lt;=$C$4,C$7="Y"),0,IF(AND(C$7="N",C$4&gt;0,B22&lt;=C$4),0,H22-I22))</f>
        <v>1405101.6312760995</v>
      </c>
      <c r="K22" s="51">
        <f>IF(AND(C$7="Y",$B22&lt;=$C$4),0,IF(AND(C$7="N",C$4&gt;0,B22&lt;=C$4),0,S22*(C22-J22)))</f>
        <v>866087.86383589497</v>
      </c>
      <c r="L22" s="49">
        <f>IF(AND(C$7="Y",$B22&lt;=$C$4),0,IF(AND(C$7="N",C$4&gt;0,B22&lt;=C$4),0,U22*D21))</f>
        <v>0</v>
      </c>
      <c r="M22" s="49">
        <f t="shared" ref="M22:M25" si="14">IFERROR(L18*-1,0)</f>
        <v>0</v>
      </c>
      <c r="N22" s="49">
        <f t="shared" si="13"/>
        <v>0</v>
      </c>
      <c r="O22" s="48">
        <f>K22+I22+J22-L22+N22+G22</f>
        <v>2617608.1985558146</v>
      </c>
      <c r="P22" s="38">
        <f>O22*(1/((1+P$12)^(B22/12)))</f>
        <v>2617608.1985558146</v>
      </c>
      <c r="Q22" s="53"/>
      <c r="R22" s="53">
        <f t="shared" si="5"/>
        <v>0.12</v>
      </c>
      <c r="S22" s="53">
        <f t="shared" si="6"/>
        <v>1.0596241035318976E-2</v>
      </c>
      <c r="T22" s="53">
        <f t="shared" si="7"/>
        <v>0</v>
      </c>
      <c r="U22" s="53">
        <f t="shared" si="10"/>
        <v>0</v>
      </c>
    </row>
    <row r="23" spans="1:21" x14ac:dyDescent="0.2">
      <c r="A23" s="62">
        <f t="shared" si="1"/>
        <v>0.78631175763728289</v>
      </c>
      <c r="B23" s="45">
        <f t="shared" si="2"/>
        <v>9</v>
      </c>
      <c r="C23" s="51">
        <f>IF(B23&lt;C$4,C$1,D22-L23+N23)</f>
        <v>80869299.33140482</v>
      </c>
      <c r="D23" s="47" cm="1">
        <f t="array" ref="D23">_xlfn.IFS(AND($C$7="Y",B23&lt;C$4),C23,AND($C$7="Y",B23=C$4),D22+F23-J23-K23-L23+N23,AND($C$7="Y",B23&gt;$C$4),D22-J23-K23-L23+N23, TRUE, D22-J23-K23-L23+N23)</f>
        <v>78631175.763728291</v>
      </c>
      <c r="E23" s="48">
        <f t="shared" si="3"/>
        <v>0</v>
      </c>
      <c r="F23" s="50">
        <f t="shared" si="4"/>
        <v>0</v>
      </c>
      <c r="G23" s="50">
        <f t="shared" si="11"/>
        <v>0</v>
      </c>
      <c r="H23" s="51">
        <f>IF(AND($B23&lt;=$C$4,C$7="Y"),0,IF(AND(C$7="N",C$4&gt;0,B23&lt;=C$4),0,(D22-L23+N23)*C$2/12/(1-(1/(1+C$2/12))^(C$3+C$4-B23+1))))</f>
        <v>1732960.8030749632</v>
      </c>
      <c r="I23" s="52">
        <f>IF(AND(C$7="Y",$B23&lt;=C$4),0,IF(AND(C$7="Y",$B23&gt;C$4),(1-U23)*C$2*D22/12,IF(AND($C$7="N",C$4&gt;0),(1-U23)*D22*C$2/12, (1-U23)*D22*C$2/12)))</f>
        <v>336955.41388085345</v>
      </c>
      <c r="J23" s="52">
        <f>IF(AND($B23&lt;=$C$4,C$7="Y"),0,IF(AND(C$7="N",C$4&gt;0,B23&lt;=C$4),0,H23-I23))</f>
        <v>1396005.3891941097</v>
      </c>
      <c r="K23" s="51">
        <f>IF(AND(C$7="Y",$B23&lt;=$C$4),0,IF(AND(C$7="N",C$4&gt;0,B23&lt;=C$4),0,S23*(C23-J23)))</f>
        <v>842118.17848242004</v>
      </c>
      <c r="L23" s="49">
        <f>IF(AND(C$7="Y",$B23&lt;=$C$4),0,IF(AND(C$7="N",C$4&gt;0,B23&lt;=C$4),0,U23*D22))</f>
        <v>0</v>
      </c>
      <c r="M23" s="49">
        <f t="shared" si="14"/>
        <v>0</v>
      </c>
      <c r="N23" s="49">
        <f t="shared" si="13"/>
        <v>0</v>
      </c>
      <c r="O23" s="48">
        <f>K23+I23+J23-L23+N23+G23</f>
        <v>2575078.9815573832</v>
      </c>
      <c r="P23" s="38">
        <f>O23*(1/((1+P$12)^(B23/12)))</f>
        <v>2575078.9815573832</v>
      </c>
      <c r="Q23" s="53"/>
      <c r="R23" s="53">
        <f t="shared" si="5"/>
        <v>0.12</v>
      </c>
      <c r="S23" s="53">
        <f t="shared" si="6"/>
        <v>1.0596241035318976E-2</v>
      </c>
      <c r="T23" s="53">
        <f t="shared" si="7"/>
        <v>0</v>
      </c>
      <c r="U23" s="53">
        <f t="shared" si="10"/>
        <v>0</v>
      </c>
    </row>
    <row r="24" spans="1:21" x14ac:dyDescent="0.2">
      <c r="A24" s="62">
        <f t="shared" si="1"/>
        <v>0.76425709486353222</v>
      </c>
      <c r="B24" s="45">
        <f t="shared" si="2"/>
        <v>10</v>
      </c>
      <c r="C24" s="51">
        <f>IF(B24&lt;C$4,C$1,D23-L24+N24)</f>
        <v>78631175.763728291</v>
      </c>
      <c r="D24" s="47" cm="1">
        <f t="array" ref="D24">_xlfn.IFS(AND($C$7="Y",B24&lt;C$4),C24,AND($C$7="Y",B24=C$4),D23+F24-J24-K24-L24+N24,AND($C$7="Y",B24&gt;$C$4),D23-J24-K24-L24+N24, TRUE, D23-J24-K24-L24+N24)</f>
        <v>76425709.486353219</v>
      </c>
      <c r="E24" s="48">
        <f t="shared" si="3"/>
        <v>0</v>
      </c>
      <c r="F24" s="50">
        <f t="shared" si="4"/>
        <v>0</v>
      </c>
      <c r="G24" s="50">
        <f t="shared" si="11"/>
        <v>0</v>
      </c>
      <c r="H24" s="51">
        <f>IF(AND($B24&lt;=$C$4,C$7="Y"),0,IF(AND(C$7="N",C$4&gt;0,B24&lt;=C$4),0,(D23-L24+N24)*C$2/12/(1-(1/(1+C$2/12))^(C$3+C$4-B24+1))))</f>
        <v>1714597.9327008212</v>
      </c>
      <c r="I24" s="52">
        <f>IF(AND(C$7="Y",$B24&lt;=C$4),0,IF(AND(C$7="Y",$B24&gt;C$4),(1-U24)*C$2*D23/12,IF(AND($C$7="N",C$4&gt;0),(1-U24)*D23*C$2/12, (1-U24)*D23*C$2/12)))</f>
        <v>327629.89901553455</v>
      </c>
      <c r="J24" s="52">
        <f>IF(AND($B24&lt;=$C$4,C$7="Y"),0,IF(AND(C$7="N",C$4&gt;0,B24&lt;=C$4),0,H24-I24))</f>
        <v>1386968.0336852865</v>
      </c>
      <c r="K24" s="51">
        <f>IF(AND(C$7="Y",$B24&lt;=$C$4),0,IF(AND(C$7="N",C$4&gt;0,B24&lt;=C$4),0,S24*(C24-J24)))</f>
        <v>818498.24368978501</v>
      </c>
      <c r="L24" s="49">
        <f>IF(AND(C$7="Y",$B24&lt;=$C$4),0,IF(AND(C$7="N",C$4&gt;0,B24&lt;=C$4),0,U24*D23))</f>
        <v>0</v>
      </c>
      <c r="M24" s="49">
        <f>IFERROR(L20*-1,0)</f>
        <v>0</v>
      </c>
      <c r="N24" s="49">
        <f t="shared" si="13"/>
        <v>0</v>
      </c>
      <c r="O24" s="48">
        <f>K24+I24+J24-L24+N24+G24</f>
        <v>2533096.176390606</v>
      </c>
      <c r="P24" s="38">
        <f>O24*(1/((1+P$12)^(B24/12)))</f>
        <v>2533096.176390606</v>
      </c>
      <c r="Q24" s="53"/>
      <c r="R24" s="53">
        <f t="shared" si="5"/>
        <v>0.12</v>
      </c>
      <c r="S24" s="53">
        <f t="shared" si="6"/>
        <v>1.0596241035318976E-2</v>
      </c>
      <c r="T24" s="53">
        <f t="shared" si="7"/>
        <v>0</v>
      </c>
      <c r="U24" s="53">
        <f t="shared" si="10"/>
        <v>0</v>
      </c>
    </row>
    <row r="25" spans="1:21" x14ac:dyDescent="0.2">
      <c r="A25" s="62">
        <f t="shared" si="1"/>
        <v>0.7425249656933921</v>
      </c>
      <c r="B25" s="45">
        <f t="shared" si="2"/>
        <v>11</v>
      </c>
      <c r="C25" s="51">
        <f>IF(B25&lt;C$4,C$1,D24-L25+N25)</f>
        <v>76425709.486353219</v>
      </c>
      <c r="D25" s="47" cm="1">
        <f t="array" ref="D25">_xlfn.IFS(AND($C$7="Y",B25&lt;C$4),C25,AND($C$7="Y",B25=C$4),D24+F25-J25-K25-L25+N25,AND($C$7="Y",B25&gt;$C$4),D24-J25-K25-L25+N25, TRUE, D24-J25-K25-L25+N25)</f>
        <v>74252496.569339216</v>
      </c>
      <c r="E25" s="48">
        <f t="shared" si="3"/>
        <v>0</v>
      </c>
      <c r="F25" s="50">
        <f t="shared" si="4"/>
        <v>0</v>
      </c>
      <c r="G25" s="50">
        <f t="shared" si="11"/>
        <v>0</v>
      </c>
      <c r="H25" s="51">
        <f>IF(AND($B25&lt;=$C$4,C$7="Y"),0,IF(AND(C$7="N",C$4&gt;0,B25&lt;=C$4),0,(D24-L25+N25)*C$2/12/(1-(1/(1+C$2/12))^(C$3+C$4-B25+1))))</f>
        <v>1696429.6397272635</v>
      </c>
      <c r="I25" s="52">
        <f>IF(AND(C$7="Y",$B25&lt;=C$4),0,IF(AND(C$7="Y",$B25&gt;C$4),(1-U25)*C$2*D24/12,IF(AND($C$7="N",C$4&gt;0),(1-U25)*D24*C$2/12, (1-U25)*D24*C$2/12)))</f>
        <v>318440.45619313844</v>
      </c>
      <c r="J25" s="52">
        <f>IF(AND($B25&lt;=$C$4,C$7="Y"),0,IF(AND(C$7="N",C$4&gt;0,B25&lt;=C$4),0,H25-I25))</f>
        <v>1377989.1835341251</v>
      </c>
      <c r="K25" s="51">
        <f>IF(AND(C$7="Y",$B25&lt;=$C$4),0,IF(AND(C$7="N",C$4&gt;0,B25&lt;=C$4),0,S25*(C25-J25)))</f>
        <v>795223.7334798727</v>
      </c>
      <c r="L25" s="49">
        <f>IF(AND(C$7="Y",$B25&lt;=$C$4),0,IF(AND(C$7="N",C$4&gt;0,B25&lt;=C$4),0,U25*D24))</f>
        <v>0</v>
      </c>
      <c r="M25" s="49">
        <f t="shared" ref="M25:M28" si="15">IFERROR(L21*-1,0)</f>
        <v>0</v>
      </c>
      <c r="N25" s="49">
        <f>IFERROR((1-$N$12)*L21,0)</f>
        <v>0</v>
      </c>
      <c r="O25" s="48">
        <f>K25+I25+J25-L25+N25+G25</f>
        <v>2491653.3732071361</v>
      </c>
      <c r="P25" s="38">
        <f>O25*(1/((1+P$12)^(B25/12)))</f>
        <v>2491653.3732071361</v>
      </c>
      <c r="Q25" s="53"/>
      <c r="R25" s="53">
        <f t="shared" si="5"/>
        <v>0.12</v>
      </c>
      <c r="S25" s="53">
        <f t="shared" si="6"/>
        <v>1.0596241035318976E-2</v>
      </c>
      <c r="T25" s="53">
        <f t="shared" si="7"/>
        <v>0</v>
      </c>
      <c r="U25" s="53">
        <f t="shared" si="10"/>
        <v>0</v>
      </c>
    </row>
    <row r="26" spans="1:21" x14ac:dyDescent="0.2">
      <c r="A26" s="62">
        <f t="shared" si="1"/>
        <v>0.72111137737619235</v>
      </c>
      <c r="B26" s="45">
        <f t="shared" si="2"/>
        <v>12</v>
      </c>
      <c r="C26" s="51">
        <f>IF(B26&lt;C$4,C$1,D25-L26+N26)</f>
        <v>74252496.569339216</v>
      </c>
      <c r="D26" s="47" cm="1">
        <f t="array" ref="D26">_xlfn.IFS(AND($C$7="Y",B26&lt;C$4),C26,AND($C$7="Y",B26=C$4),D25+F26-J26-K26-L26+N26,AND($C$7="Y",B26&gt;$C$4),D25-J26-K26-L26+N26, TRUE, D25-J26-K26-L26+N26)</f>
        <v>72111137.737619236</v>
      </c>
      <c r="E26" s="48">
        <f t="shared" si="3"/>
        <v>0</v>
      </c>
      <c r="F26" s="50">
        <f t="shared" si="4"/>
        <v>0</v>
      </c>
      <c r="G26" s="50">
        <f t="shared" si="11"/>
        <v>0</v>
      </c>
      <c r="H26" s="51">
        <f>IF(AND($B26&lt;=$C$4,C$7="Y"),0,IF(AND(C$7="N",C$4&gt;0,B26&lt;=C$4),0,(D25-L26+N26)*C$2/12/(1-(1/(1+C$2/12))^(C$3+C$4-B26+1))))</f>
        <v>1678453.8623652542</v>
      </c>
      <c r="I26" s="52">
        <f>IF(AND(C$7="Y",$B26&lt;=C$4),0,IF(AND(C$7="Y",$B26&gt;C$4),(1-U26)*C$2*D25/12,IF(AND($C$7="N",C$4&gt;0),(1-U26)*D25*C$2/12, (1-U26)*D25*C$2/12)))</f>
        <v>309385.40237224678</v>
      </c>
      <c r="J26" s="52">
        <f>IF(AND($B26&lt;=$C$4,C$7="Y"),0,IF(AND(C$7="N",C$4&gt;0,B26&lt;=C$4),0,H26-I26))</f>
        <v>1369068.4599930074</v>
      </c>
      <c r="K26" s="51">
        <f>IF(AND(C$7="Y",$B26&lt;=$C$4),0,IF(AND(C$7="N",C$4&gt;0,B26&lt;=C$4),0,S26*(C26-J26)))</f>
        <v>772290.37172697484</v>
      </c>
      <c r="L26" s="49">
        <f>IF(AND(C$7="Y",$B26&lt;=$C$4),0,IF(AND(C$7="N",C$4&gt;0,B26&lt;=C$4),0,U26*D25))</f>
        <v>0</v>
      </c>
      <c r="M26" s="49">
        <f t="shared" si="15"/>
        <v>0</v>
      </c>
      <c r="N26" s="49">
        <f t="shared" ref="N26:N33" si="16">IFERROR((1-$N$12)*L22,0)</f>
        <v>0</v>
      </c>
      <c r="O26" s="48">
        <f>K26+I26+J26-L26+N26+G26</f>
        <v>2450744.234092229</v>
      </c>
      <c r="P26" s="38">
        <f>O26*(1/((1+P$12)^(B26/12)))</f>
        <v>2450744.234092229</v>
      </c>
      <c r="Q26" s="53"/>
      <c r="R26" s="53">
        <f t="shared" si="5"/>
        <v>0.12</v>
      </c>
      <c r="S26" s="53">
        <f t="shared" si="6"/>
        <v>1.0596241035318976E-2</v>
      </c>
      <c r="T26" s="53">
        <f t="shared" si="7"/>
        <v>0</v>
      </c>
      <c r="U26" s="53">
        <f t="shared" si="10"/>
        <v>0</v>
      </c>
    </row>
    <row r="27" spans="1:21" x14ac:dyDescent="0.2">
      <c r="A27" s="62">
        <f t="shared" si="1"/>
        <v>0.70001238319249448</v>
      </c>
      <c r="B27" s="45">
        <f t="shared" si="2"/>
        <v>13</v>
      </c>
      <c r="C27" s="51">
        <f>IF(B27&lt;C$4,C$1,D26-L27+N27)</f>
        <v>72111137.737619236</v>
      </c>
      <c r="D27" s="47" cm="1">
        <f t="array" ref="D27">_xlfn.IFS(AND($C$7="Y",B27&lt;C$4),C27,AND($C$7="Y",B27=C$4),D26+F27-J27-K27-L27+N27,AND($C$7="Y",B27&gt;$C$4),D26-J27-K27-L27+N27, TRUE, D26-J27-K27-L27+N27)</f>
        <v>70001238.319249451</v>
      </c>
      <c r="E27" s="48">
        <f t="shared" si="3"/>
        <v>0</v>
      </c>
      <c r="F27" s="50">
        <f t="shared" si="4"/>
        <v>0</v>
      </c>
      <c r="G27" s="50">
        <f t="shared" si="11"/>
        <v>0</v>
      </c>
      <c r="H27" s="51">
        <f>IF(AND($B27&lt;=$C$4,C$7="Y"),0,IF(AND(C$7="N",C$4&gt;0,B27&lt;=C$4),0,(D26-L27+N27)*C$2/12/(1-(1/(1+C$2/12))^(C$3+C$4-B27+1))))</f>
        <v>1660668.5606729693</v>
      </c>
      <c r="I27" s="52">
        <f>IF(AND(C$7="Y",$B27&lt;=C$4),0,IF(AND(C$7="Y",$B27&gt;C$4),(1-U27)*C$2*D26/12,IF(AND($C$7="N",C$4&gt;0),(1-U27)*D26*C$2/12, (1-U27)*D26*C$2/12)))</f>
        <v>300463.07390674687</v>
      </c>
      <c r="J27" s="52">
        <f>IF(AND($B27&lt;=$C$4,C$7="Y"),0,IF(AND(C$7="N",C$4&gt;0,B27&lt;=C$4),0,H27-I27))</f>
        <v>1360205.4867662224</v>
      </c>
      <c r="K27" s="51">
        <f>IF(AND(C$7="Y",$B27&lt;=$C$4),0,IF(AND(C$7="N",C$4&gt;0,B27&lt;=C$4),0,S27*(C27-J27)))</f>
        <v>749693.9316035615</v>
      </c>
      <c r="L27" s="49">
        <f>IF(AND(C$7="Y",$B27&lt;=$C$4),0,IF(AND(C$7="N",C$4&gt;0,B27&lt;=C$4),0,U27*D26))</f>
        <v>0</v>
      </c>
      <c r="M27" s="49">
        <f t="shared" si="15"/>
        <v>0</v>
      </c>
      <c r="N27" s="49">
        <f t="shared" si="16"/>
        <v>0</v>
      </c>
      <c r="O27" s="48">
        <f>K27+I27+J27-L27+N27+G27</f>
        <v>2410362.4922765307</v>
      </c>
      <c r="P27" s="38">
        <f>O27*(1/((1+P$12)^(B27/12)))</f>
        <v>2410362.4922765307</v>
      </c>
      <c r="Q27" s="53"/>
      <c r="R27" s="53">
        <f t="shared" si="5"/>
        <v>0.12</v>
      </c>
      <c r="S27" s="53">
        <f t="shared" si="6"/>
        <v>1.0596241035318976E-2</v>
      </c>
      <c r="T27" s="53">
        <f t="shared" si="7"/>
        <v>0</v>
      </c>
      <c r="U27" s="53">
        <f t="shared" si="10"/>
        <v>0</v>
      </c>
    </row>
    <row r="28" spans="1:21" x14ac:dyDescent="0.2">
      <c r="A28" s="62">
        <f t="shared" si="1"/>
        <v>0.67922408194223249</v>
      </c>
      <c r="B28" s="45">
        <f t="shared" si="2"/>
        <v>14</v>
      </c>
      <c r="C28" s="51">
        <f>IF(B28&lt;C$4,C$1,D27-L28+N28)</f>
        <v>70001238.319249451</v>
      </c>
      <c r="D28" s="47" cm="1">
        <f t="array" ref="D28">_xlfn.IFS(AND($C$7="Y",B28&lt;C$4),C28,AND($C$7="Y",B28=C$4),D27+F28-J28-K28-L28+N28,AND($C$7="Y",B28&gt;$C$4),D27-J28-K28-L28+N28, TRUE, D27-J28-K28-L28+N28)</f>
        <v>67922408.194223255</v>
      </c>
      <c r="E28" s="48">
        <f t="shared" si="3"/>
        <v>0</v>
      </c>
      <c r="F28" s="50">
        <f t="shared" si="4"/>
        <v>0</v>
      </c>
      <c r="G28" s="50">
        <f t="shared" si="11"/>
        <v>0</v>
      </c>
      <c r="H28" s="51">
        <f>IF(AND($B28&lt;=$C$4,C$7="Y"),0,IF(AND(C$7="N",C$4&gt;0,B28&lt;=C$4),0,(D27-L28+N28)*C$2/12/(1-(1/(1+C$2/12))^(C$3+C$4-B28+1))))</f>
        <v>1643071.7163243019</v>
      </c>
      <c r="I28" s="52">
        <f>IF(AND(C$7="Y",$B28&lt;=C$4),0,IF(AND(C$7="Y",$B28&gt;C$4),(1-U28)*C$2*D27/12,IF(AND($C$7="N",C$4&gt;0),(1-U28)*D27*C$2/12, (1-U28)*D27*C$2/12)))</f>
        <v>291671.82633020607</v>
      </c>
      <c r="J28" s="52">
        <f>IF(AND($B28&lt;=$C$4,C$7="Y"),0,IF(AND(C$7="N",C$4&gt;0,B28&lt;=C$4),0,H28-I28))</f>
        <v>1351399.8899940958</v>
      </c>
      <c r="K28" s="51">
        <f>IF(AND(C$7="Y",$B28&lt;=$C$4),0,IF(AND(C$7="N",C$4&gt;0,B28&lt;=C$4),0,S28*(C28-J28)))</f>
        <v>727430.23503209313</v>
      </c>
      <c r="L28" s="49">
        <f>IF(AND(C$7="Y",$B28&lt;=$C$4),0,IF(AND(C$7="N",C$4&gt;0,B28&lt;=C$4),0,U28*D27))</f>
        <v>0</v>
      </c>
      <c r="M28" s="49">
        <f t="shared" si="15"/>
        <v>0</v>
      </c>
      <c r="N28" s="49">
        <f t="shared" si="16"/>
        <v>0</v>
      </c>
      <c r="O28" s="48">
        <f>K28+I28+J28-L28+N28+G28</f>
        <v>2370501.9513563951</v>
      </c>
      <c r="P28" s="38">
        <f>O28*(1/((1+P$12)^(B28/12)))</f>
        <v>2370501.9513563951</v>
      </c>
      <c r="Q28" s="53"/>
      <c r="R28" s="53">
        <f t="shared" si="5"/>
        <v>0.12</v>
      </c>
      <c r="S28" s="53">
        <f t="shared" si="6"/>
        <v>1.0596241035318976E-2</v>
      </c>
      <c r="T28" s="53">
        <f t="shared" si="7"/>
        <v>0</v>
      </c>
      <c r="U28" s="53">
        <f t="shared" si="10"/>
        <v>0</v>
      </c>
    </row>
    <row r="29" spans="1:21" x14ac:dyDescent="0.2">
      <c r="A29" s="62">
        <f t="shared" si="1"/>
        <v>0.65874261743843232</v>
      </c>
      <c r="B29" s="45">
        <f t="shared" si="2"/>
        <v>15</v>
      </c>
      <c r="C29" s="51">
        <f>IF(B29&lt;C$4,C$1,D28-L29+N29)</f>
        <v>67922408.194223255</v>
      </c>
      <c r="D29" s="47" cm="1">
        <f t="array" ref="D29">_xlfn.IFS(AND($C$7="Y",B29&lt;C$4),C29,AND($C$7="Y",B29=C$4),D28+F29-J29-K29-L29+N29,AND($C$7="Y",B29&gt;$C$4),D28-J29-K29-L29+N29, TRUE, D28-J29-K29-L29+N29)</f>
        <v>65874261.743843228</v>
      </c>
      <c r="E29" s="48">
        <f t="shared" si="3"/>
        <v>0</v>
      </c>
      <c r="F29" s="50">
        <f t="shared" si="4"/>
        <v>0</v>
      </c>
      <c r="G29" s="50">
        <f t="shared" si="11"/>
        <v>0</v>
      </c>
      <c r="H29" s="51">
        <f>IF(AND($B29&lt;=$C$4,C$7="Y"),0,IF(AND(C$7="N",C$4&gt;0,B29&lt;=C$4),0,(D28-L29+N29)*C$2/12/(1-(1/(1+C$2/12))^(C$3+C$4-B29+1))))</f>
        <v>1625661.332379814</v>
      </c>
      <c r="I29" s="52">
        <f>IF(AND(C$7="Y",$B29&lt;=C$4),0,IF(AND(C$7="Y",$B29&gt;C$4),(1-U29)*C$2*D28/12,IF(AND($C$7="N",C$4&gt;0),(1-U29)*D28*C$2/12, (1-U29)*D28*C$2/12)))</f>
        <v>283010.03414259694</v>
      </c>
      <c r="J29" s="52">
        <f>IF(AND($B29&lt;=$C$4,C$7="Y"),0,IF(AND(C$7="N",C$4&gt;0,B29&lt;=C$4),0,H29-I29))</f>
        <v>1342651.2982372171</v>
      </c>
      <c r="K29" s="51">
        <f>IF(AND(C$7="Y",$B29&lt;=$C$4),0,IF(AND(C$7="N",C$4&gt;0,B29&lt;=C$4),0,S29*(C29-J29)))</f>
        <v>705495.15214280877</v>
      </c>
      <c r="L29" s="51">
        <f>IF(AND(C$7="Y",$B29&lt;=$C$4),0,IF(AND(C$7="N",C$4&gt;0,B29&lt;=C$4),0,U29*D28))</f>
        <v>0</v>
      </c>
      <c r="M29" s="51">
        <f>IFERROR(L25*-1,0)</f>
        <v>0</v>
      </c>
      <c r="N29" s="51">
        <f t="shared" si="16"/>
        <v>0</v>
      </c>
      <c r="O29" s="48">
        <f>K29+I29+J29-L29+N29+G29</f>
        <v>2331156.484522623</v>
      </c>
      <c r="P29" s="38">
        <f>O29*(1/((1+P$12)^(B29/12)))</f>
        <v>2331156.484522623</v>
      </c>
      <c r="Q29" s="53"/>
      <c r="R29" s="53">
        <f t="shared" si="5"/>
        <v>0.12</v>
      </c>
      <c r="S29" s="53">
        <f t="shared" si="6"/>
        <v>1.0596241035318976E-2</v>
      </c>
      <c r="T29" s="53">
        <f t="shared" si="7"/>
        <v>0</v>
      </c>
      <c r="U29" s="53">
        <f t="shared" si="10"/>
        <v>0</v>
      </c>
    </row>
    <row r="30" spans="1:21" x14ac:dyDescent="0.2">
      <c r="A30" s="62">
        <f t="shared" si="1"/>
        <v>0.63856417800645027</v>
      </c>
      <c r="B30" s="45">
        <f t="shared" si="2"/>
        <v>16</v>
      </c>
      <c r="C30" s="51">
        <f>IF(B30&lt;C$4,C$1,D29-L30+N30)</f>
        <v>65874261.743843228</v>
      </c>
      <c r="D30" s="47" cm="1">
        <f t="array" ref="D30">_xlfn.IFS(AND($C$7="Y",B30&lt;C$4),C30,AND($C$7="Y",B30=C$4),D29+F30-J30-K30-L30+N30,AND($C$7="Y",B30&gt;$C$4),D29-J30-K30-L30+N30, TRUE, D29-J30-K30-L30+N30)</f>
        <v>63856417.800645031</v>
      </c>
      <c r="E30" s="48">
        <f t="shared" si="3"/>
        <v>0</v>
      </c>
      <c r="F30" s="50">
        <f t="shared" si="4"/>
        <v>0</v>
      </c>
      <c r="G30" s="50">
        <f t="shared" si="11"/>
        <v>0</v>
      </c>
      <c r="H30" s="51">
        <f>IF(AND($B30&lt;=$C$4,C$7="Y"),0,IF(AND(C$7="N",C$4&gt;0,B30&lt;=C$4),0,(D29-L30+N30)*C$2/12/(1-(1/(1+C$2/12))^(C$3+C$4-B30+1))))</f>
        <v>1608435.4330601196</v>
      </c>
      <c r="I30" s="52">
        <f>IF(AND(C$7="Y",$B30&lt;=C$4),0,IF(AND(C$7="Y",$B30&gt;C$4),(1-U30)*C$2*D29/12,IF(AND($C$7="N",C$4&gt;0),(1-U30)*D29*C$2/12, (1-U30)*D29*C$2/12)))</f>
        <v>274476.09059934679</v>
      </c>
      <c r="J30" s="52">
        <f>IF(AND($B30&lt;=$C$4,C$7="Y"),0,IF(AND(C$7="N",C$4&gt;0,B30&lt;=C$4),0,H30-I30))</f>
        <v>1333959.342460773</v>
      </c>
      <c r="K30" s="51">
        <f>IF(AND(C$7="Y",$B30&lt;=$C$4),0,IF(AND(C$7="N",C$4&gt;0,B30&lt;=C$4),0,S30*(C30-J30)))</f>
        <v>683884.60073742457</v>
      </c>
      <c r="L30" s="49">
        <f>IF(AND(C$7="Y",$B30&lt;=$C$4),0,IF(AND(C$7="N",C$4&gt;0,B30&lt;=C$4),0,U30*D29))</f>
        <v>0</v>
      </c>
      <c r="M30" s="49">
        <f t="shared" ref="M30:M43" si="17">IFERROR(L26*-1,0)</f>
        <v>0</v>
      </c>
      <c r="N30" s="49">
        <f t="shared" si="16"/>
        <v>0</v>
      </c>
      <c r="O30" s="48">
        <f>K30+I30+J30-L30+N30+G30</f>
        <v>2292320.0337975444</v>
      </c>
      <c r="P30" s="38">
        <f>O30*(1/((1+P$12)^(B30/12)))</f>
        <v>2292320.0337975444</v>
      </c>
      <c r="Q30" s="53"/>
      <c r="R30" s="53">
        <f t="shared" si="5"/>
        <v>0.12</v>
      </c>
      <c r="S30" s="53">
        <f t="shared" si="6"/>
        <v>1.0596241035318976E-2</v>
      </c>
      <c r="T30" s="53">
        <f t="shared" si="7"/>
        <v>0</v>
      </c>
      <c r="U30" s="53">
        <f t="shared" si="10"/>
        <v>0</v>
      </c>
    </row>
    <row r="31" spans="1:21" x14ac:dyDescent="0.2">
      <c r="A31" s="62">
        <f t="shared" si="1"/>
        <v>0.61868499598867377</v>
      </c>
      <c r="B31" s="45">
        <f t="shared" si="2"/>
        <v>17</v>
      </c>
      <c r="C31" s="51">
        <f>IF(B31&lt;C$4,C$1,D30-L31+N31)</f>
        <v>63856417.800645031</v>
      </c>
      <c r="D31" s="47" cm="1">
        <f t="array" ref="D31">_xlfn.IFS(AND($C$7="Y",B31&lt;C$4),C31,AND($C$7="Y",B31=C$4),D30+F31-J31-K31-L31+N31,AND($C$7="Y",B31&gt;$C$4),D30-J31-K31-L31+N31, TRUE, D30-J31-K31-L31+N31)</f>
        <v>61868499.598867372</v>
      </c>
      <c r="E31" s="48">
        <f t="shared" si="3"/>
        <v>0</v>
      </c>
      <c r="F31" s="50">
        <f t="shared" si="4"/>
        <v>0</v>
      </c>
      <c r="G31" s="50">
        <f t="shared" si="11"/>
        <v>0</v>
      </c>
      <c r="H31" s="51">
        <f>IF(AND($B31&lt;=$C$4,C$7="Y"),0,IF(AND(C$7="N",C$4&gt;0,B31&lt;=C$4),0,(D30-L31+N31)*C$2/12/(1-(1/(1+C$2/12))^(C$3+C$4-B31+1))))</f>
        <v>1591392.0635216669</v>
      </c>
      <c r="I31" s="52">
        <f>IF(AND(C$7="Y",$B31&lt;=C$4),0,IF(AND(C$7="Y",$B31&gt;C$4),(1-U31)*C$2*D30/12,IF(AND($C$7="N",C$4&gt;0),(1-U31)*D30*C$2/12, (1-U31)*D30*C$2/12)))</f>
        <v>266068.40750268765</v>
      </c>
      <c r="J31" s="52">
        <f>IF(AND($B31&lt;=$C$4,C$7="Y"),0,IF(AND(C$7="N",C$4&gt;0,B31&lt;=C$4),0,H31-I31))</f>
        <v>1325323.6560189794</v>
      </c>
      <c r="K31" s="51">
        <f>IF(AND(C$7="Y",$B31&lt;=$C$4),0,IF(AND(C$7="N",C$4&gt;0,B31&lt;=C$4),0,S31*(C31-J31)))</f>
        <v>662594.54575868067</v>
      </c>
      <c r="L31" s="49">
        <f>IF(AND(C$7="Y",$B31&lt;=$C$4),0,IF(AND(C$7="N",C$4&gt;0,B31&lt;=C$4),0,U31*D30))</f>
        <v>0</v>
      </c>
      <c r="M31" s="49">
        <f t="shared" si="17"/>
        <v>0</v>
      </c>
      <c r="N31" s="49">
        <f t="shared" si="16"/>
        <v>0</v>
      </c>
      <c r="O31" s="48">
        <f>K31+I31+J31-L31+N31+G31</f>
        <v>2253986.6092803478</v>
      </c>
      <c r="P31" s="38">
        <f>O31*(1/((1+P$12)^(B31/12)))</f>
        <v>2253986.6092803478</v>
      </c>
      <c r="Q31" s="53"/>
      <c r="R31" s="53">
        <f t="shared" si="5"/>
        <v>0.12</v>
      </c>
      <c r="S31" s="53">
        <f t="shared" si="6"/>
        <v>1.0596241035318976E-2</v>
      </c>
      <c r="T31" s="53">
        <f t="shared" si="7"/>
        <v>0</v>
      </c>
      <c r="U31" s="53">
        <f t="shared" si="10"/>
        <v>0</v>
      </c>
    </row>
    <row r="32" spans="1:21" x14ac:dyDescent="0.2">
      <c r="A32" s="62">
        <f t="shared" si="1"/>
        <v>0.59910134725462083</v>
      </c>
      <c r="B32" s="45">
        <f t="shared" si="2"/>
        <v>18</v>
      </c>
      <c r="C32" s="51">
        <f>IF(B32&lt;C$4,C$1,D31-L32+N32)</f>
        <v>61868499.598867372</v>
      </c>
      <c r="D32" s="47" cm="1">
        <f t="array" ref="D32">_xlfn.IFS(AND($C$7="Y",B32&lt;C$4),C32,AND($C$7="Y",B32=C$4),D31+F32-J32-K32-L32+N32,AND($C$7="Y",B32&gt;$C$4),D31-J32-K32-L32+N32, TRUE, D31-J32-K32-L32+N32)</f>
        <v>59910134.725462086</v>
      </c>
      <c r="E32" s="48">
        <f t="shared" si="3"/>
        <v>0</v>
      </c>
      <c r="F32" s="50">
        <f t="shared" si="4"/>
        <v>0</v>
      </c>
      <c r="G32" s="50">
        <f t="shared" si="11"/>
        <v>0</v>
      </c>
      <c r="H32" s="51">
        <f>IF(AND($B32&lt;=$C$4,C$7="Y"),0,IF(AND(C$7="N",C$4&gt;0,B32&lt;=C$4),0,(D31-L32+N32)*C$2/12/(1-(1/(1+C$2/12))^(C$3+C$4-B32+1))))</f>
        <v>1574529.2896348971</v>
      </c>
      <c r="I32" s="52">
        <f>IF(AND(C$7="Y",$B32&lt;=C$4),0,IF(AND(C$7="Y",$B32&gt;C$4),(1-U32)*C$2*D31/12,IF(AND($C$7="N",C$4&gt;0),(1-U32)*D31*C$2/12, (1-U32)*D31*C$2/12)))</f>
        <v>257785.41499528071</v>
      </c>
      <c r="J32" s="52">
        <f>IF(AND($B32&lt;=$C$4,C$7="Y"),0,IF(AND(C$7="N",C$4&gt;0,B32&lt;=C$4),0,H32-I32))</f>
        <v>1316743.8746396163</v>
      </c>
      <c r="K32" s="51">
        <f>IF(AND(C$7="Y",$B32&lt;=$C$4),0,IF(AND(C$7="N",C$4&gt;0,B32&lt;=C$4),0,S32*(C32-J32)))</f>
        <v>641620.99876567291</v>
      </c>
      <c r="L32" s="49">
        <f>IF(AND(C$7="Y",$B32&lt;=$C$4),0,IF(AND(C$7="N",C$4&gt;0,B32&lt;=C$4),0,U32*D31))</f>
        <v>0</v>
      </c>
      <c r="M32" s="49">
        <f t="shared" si="17"/>
        <v>0</v>
      </c>
      <c r="N32" s="49">
        <f t="shared" si="16"/>
        <v>0</v>
      </c>
      <c r="O32" s="48">
        <f>K32+I32+J32-L32+N32+G32</f>
        <v>2216150.2884005699</v>
      </c>
      <c r="P32" s="38">
        <f>O32*(1/((1+P$12)^(B32/12)))</f>
        <v>2216150.2884005699</v>
      </c>
      <c r="Q32" s="53"/>
      <c r="R32" s="53">
        <f t="shared" si="5"/>
        <v>0.12</v>
      </c>
      <c r="S32" s="53">
        <f t="shared" si="6"/>
        <v>1.0596241035318976E-2</v>
      </c>
      <c r="T32" s="53">
        <f t="shared" si="7"/>
        <v>0</v>
      </c>
      <c r="U32" s="53">
        <f t="shared" si="10"/>
        <v>0</v>
      </c>
    </row>
    <row r="33" spans="1:23" x14ac:dyDescent="0.2">
      <c r="A33" s="62">
        <f t="shared" si="1"/>
        <v>0.57980955071638518</v>
      </c>
      <c r="B33" s="45">
        <f t="shared" si="2"/>
        <v>19</v>
      </c>
      <c r="C33" s="51">
        <f>IF(B33&lt;C$4,C$1,D32-L33+N33)</f>
        <v>59910134.725462086</v>
      </c>
      <c r="D33" s="47" cm="1">
        <f t="array" ref="D33">_xlfn.IFS(AND($C$7="Y",B33&lt;C$4),C33,AND($C$7="Y",B33=C$4),D32+F33-J33-K33-L33+N33,AND($C$7="Y",B33&gt;$C$4),D32-J33-K33-L33+N33, TRUE, D32-J33-K33-L33+N33)</f>
        <v>57980955.071638517</v>
      </c>
      <c r="E33" s="48">
        <f t="shared" si="3"/>
        <v>0</v>
      </c>
      <c r="F33" s="50">
        <f t="shared" si="4"/>
        <v>0</v>
      </c>
      <c r="G33" s="50">
        <f t="shared" si="11"/>
        <v>0</v>
      </c>
      <c r="H33" s="51">
        <f>IF(AND($B33&lt;=$C$4,C$7="Y"),0,IF(AND(C$7="N",C$4&gt;0,B33&lt;=C$4),0,(D32-L33+N33)*C$2/12/(1-(1/(1+C$2/12))^(C$3+C$4-B33+1))))</f>
        <v>1557845.1977647564</v>
      </c>
      <c r="I33" s="52">
        <f>IF(AND(C$7="Y",$B33&lt;=C$4),0,IF(AND(C$7="Y",$B33&gt;C$4),(1-U33)*C$2*D32/12,IF(AND($C$7="N",C$4&gt;0),(1-U33)*D32*C$2/12, (1-U33)*D32*C$2/12)))</f>
        <v>249625.56135609202</v>
      </c>
      <c r="J33" s="52">
        <f>IF(AND($B33&lt;=$C$4,C$7="Y"),0,IF(AND(C$7="N",C$4&gt;0,B33&lt;=C$4),0,H33-I33))</f>
        <v>1308219.6364086643</v>
      </c>
      <c r="K33" s="51">
        <f>IF(AND(C$7="Y",$B33&lt;=$C$4),0,IF(AND(C$7="N",C$4&gt;0,B33&lt;=C$4),0,S33*(C33-J33)))</f>
        <v>620960.01741490618</v>
      </c>
      <c r="L33" s="49">
        <f>IF(AND(C$7="Y",$B33&lt;=$C$4),0,IF(AND(C$7="N",C$4&gt;0,B33&lt;=C$4),0,U33*D32))</f>
        <v>0</v>
      </c>
      <c r="M33" s="49">
        <f t="shared" si="17"/>
        <v>0</v>
      </c>
      <c r="N33" s="49">
        <f t="shared" si="16"/>
        <v>0</v>
      </c>
      <c r="O33" s="48">
        <f>K33+I33+J33-L33+N33+G33</f>
        <v>2178805.2151796622</v>
      </c>
      <c r="P33" s="38">
        <f>O33*(1/((1+P$12)^(B33/12)))</f>
        <v>2178805.2151796622</v>
      </c>
      <c r="Q33" s="53"/>
      <c r="R33" s="53">
        <f t="shared" si="5"/>
        <v>0.12</v>
      </c>
      <c r="S33" s="53">
        <f t="shared" si="6"/>
        <v>1.0596241035318976E-2</v>
      </c>
      <c r="T33" s="53">
        <f t="shared" si="7"/>
        <v>0</v>
      </c>
      <c r="U33" s="53">
        <f t="shared" si="10"/>
        <v>0</v>
      </c>
    </row>
    <row r="34" spans="1:23" x14ac:dyDescent="0.2">
      <c r="A34" s="62">
        <f t="shared" si="1"/>
        <v>0.56080596784936476</v>
      </c>
      <c r="B34" s="45">
        <f t="shared" si="2"/>
        <v>20</v>
      </c>
      <c r="C34" s="51">
        <f>IF(B34&lt;C$4,C$1,D33-L34+N34)</f>
        <v>57980955.071638517</v>
      </c>
      <c r="D34" s="47" cm="1">
        <f t="array" ref="D34">_xlfn.IFS(AND($C$7="Y",B34&lt;C$4),C34,AND($C$7="Y",B34=C$4),D33+F34-J34-K34-L34+N34,AND($C$7="Y",B34&gt;$C$4),D33-J34-K34-L34+N34, TRUE, D33-J34-K34-L34+N34)</f>
        <v>56080596.784936473</v>
      </c>
      <c r="E34" s="48">
        <f t="shared" si="3"/>
        <v>0</v>
      </c>
      <c r="F34" s="50">
        <f t="shared" si="4"/>
        <v>0</v>
      </c>
      <c r="G34" s="50">
        <f t="shared" si="11"/>
        <v>0</v>
      </c>
      <c r="H34" s="51">
        <f>IF(AND($B34&lt;=$C$4,C$7="Y"),0,IF(AND(C$7="N",C$4&gt;0,B34&lt;=C$4),0,(D33-L34+N34)*C$2/12/(1-(1/(1+C$2/12))^(C$3+C$4-B34+1))))</f>
        <v>1541337.8945535268</v>
      </c>
      <c r="I34" s="52">
        <f>IF(AND(C$7="Y",$B34&lt;=C$4),0,IF(AND(C$7="Y",$B34&gt;C$4),(1-U34)*C$2*D33/12,IF(AND($C$7="N",C$4&gt;0),(1-U34)*D33*C$2/12, (1-U34)*D33*C$2/12)))</f>
        <v>241587.31279849386</v>
      </c>
      <c r="J34" s="52">
        <f>IF(AND($B34&lt;=$C$4,C$7="Y"),0,IF(AND(C$7="N",C$4&gt;0,B34&lt;=C$4),0,H34-I34))</f>
        <v>1299750.581755033</v>
      </c>
      <c r="K34" s="51">
        <f>IF(AND(C$7="Y",$B34&lt;=$C$4),0,IF(AND(C$7="N",C$4&gt;0,B34&lt;=C$4),0,S34*(C34-J34)))</f>
        <v>600607.70494700957</v>
      </c>
      <c r="L34" s="49">
        <f>IF(AND(C$7="Y",$B34&lt;=$C$4),0,IF(AND(C$7="N",C$4&gt;0,B34&lt;=C$4),0,U34*D33))</f>
        <v>0</v>
      </c>
      <c r="M34" s="49">
        <f t="shared" si="17"/>
        <v>0</v>
      </c>
      <c r="N34" s="49">
        <f>IFERROR((1-$N$12)*L30,0)</f>
        <v>0</v>
      </c>
      <c r="O34" s="48">
        <f>K34+I34+J34-L34+N34+G34</f>
        <v>2141945.5995005365</v>
      </c>
      <c r="P34" s="38">
        <f>O34*(1/((1+P$12)^(B34/12)))</f>
        <v>2141945.5995005365</v>
      </c>
      <c r="Q34" s="53"/>
      <c r="R34" s="53">
        <f t="shared" si="5"/>
        <v>0.12</v>
      </c>
      <c r="S34" s="53">
        <f t="shared" si="6"/>
        <v>1.0596241035318976E-2</v>
      </c>
      <c r="T34" s="53">
        <f t="shared" si="7"/>
        <v>0</v>
      </c>
      <c r="U34" s="53">
        <f t="shared" si="10"/>
        <v>0</v>
      </c>
    </row>
    <row r="35" spans="1:23" x14ac:dyDescent="0.2">
      <c r="A35" s="62">
        <f t="shared" si="1"/>
        <v>0.54208700221822026</v>
      </c>
      <c r="B35" s="45">
        <f t="shared" si="2"/>
        <v>21</v>
      </c>
      <c r="C35" s="51">
        <f>IF(B35&lt;C$4,C$1,D34-L35+N35)</f>
        <v>56080596.784936473</v>
      </c>
      <c r="D35" s="47" cm="1">
        <f t="array" ref="D35">_xlfn.IFS(AND($C$7="Y",B35&lt;C$4),C35,AND($C$7="Y",B35=C$4),D34+F35-J35-K35-L35+N35,AND($C$7="Y",B35&gt;$C$4),D34-J35-K35-L35+N35, TRUE, D34-J35-K35-L35+N35)</f>
        <v>54208700.221822023</v>
      </c>
      <c r="E35" s="48">
        <f t="shared" si="3"/>
        <v>0</v>
      </c>
      <c r="F35" s="50">
        <f t="shared" si="4"/>
        <v>0</v>
      </c>
      <c r="G35" s="50">
        <f t="shared" si="11"/>
        <v>0</v>
      </c>
      <c r="H35" s="51">
        <f>IF(AND($B35&lt;=$C$4,C$7="Y"),0,IF(AND(C$7="N",C$4&gt;0,B35&lt;=C$4),0,(D34-L35+N35)*C$2/12/(1-(1/(1+C$2/12))^(C$3+C$4-B35+1))))</f>
        <v>1525005.5067059661</v>
      </c>
      <c r="I35" s="52">
        <f>IF(AND(C$7="Y",$B35&lt;=C$4),0,IF(AND(C$7="Y",$B35&gt;C$4),(1-U35)*C$2*D34/12,IF(AND($C$7="N",C$4&gt;0),(1-U35)*D34*C$2/12, (1-U35)*D34*C$2/12)))</f>
        <v>233669.15327056867</v>
      </c>
      <c r="J35" s="52">
        <f>IF(AND($B35&lt;=$C$4,C$7="Y"),0,IF(AND(C$7="N",C$4&gt;0,B35&lt;=C$4),0,H35-I35))</f>
        <v>1291336.3534353974</v>
      </c>
      <c r="K35" s="51">
        <f>IF(AND(C$7="Y",$B35&lt;=$C$4),0,IF(AND(C$7="N",C$4&gt;0,B35&lt;=C$4),0,S35*(C35-J35)))</f>
        <v>580560.20967905002</v>
      </c>
      <c r="L35" s="49">
        <f>IF(AND(C$7="Y",$B35&lt;=$C$4),0,IF(AND(C$7="N",C$4&gt;0,B35&lt;=C$4),0,U35*D34))</f>
        <v>0</v>
      </c>
      <c r="M35" s="49">
        <f t="shared" si="17"/>
        <v>0</v>
      </c>
      <c r="N35" s="49">
        <f t="shared" ref="N35:N98" si="18">IFERROR((1-$N$12)*L31,0)</f>
        <v>0</v>
      </c>
      <c r="O35" s="48">
        <f>K35+I35+J35-L35+N35+G35</f>
        <v>2105565.7163850162</v>
      </c>
      <c r="P35" s="38">
        <f>O35*(1/((1+P$12)^(B35/12)))</f>
        <v>2105565.7163850162</v>
      </c>
      <c r="Q35" s="53"/>
      <c r="R35" s="53">
        <f t="shared" si="5"/>
        <v>0.12</v>
      </c>
      <c r="S35" s="53">
        <f t="shared" si="6"/>
        <v>1.0596241035318976E-2</v>
      </c>
      <c r="T35" s="53">
        <f t="shared" si="7"/>
        <v>0</v>
      </c>
      <c r="U35" s="53">
        <f t="shared" si="10"/>
        <v>0</v>
      </c>
    </row>
    <row r="36" spans="1:23" x14ac:dyDescent="0.2">
      <c r="A36" s="62">
        <f t="shared" si="1"/>
        <v>0.52364909900800516</v>
      </c>
      <c r="B36" s="45">
        <f t="shared" si="2"/>
        <v>22</v>
      </c>
      <c r="C36" s="51">
        <f>IF(B36&lt;C$4,C$1,D35-L36+N36)</f>
        <v>54208700.221822023</v>
      </c>
      <c r="D36" s="47" cm="1">
        <f t="array" ref="D36">_xlfn.IFS(AND($C$7="Y",B36&lt;C$4),C36,AND($C$7="Y",B36=C$4),D35+F36-J36-K36-L36+N36,AND($C$7="Y",B36&gt;$C$4),D35-J36-K36-L36+N36, TRUE, D35-J36-K36-L36+N36)</f>
        <v>52364909.900800511</v>
      </c>
      <c r="E36" s="48">
        <f t="shared" si="3"/>
        <v>0</v>
      </c>
      <c r="F36" s="50">
        <f t="shared" si="4"/>
        <v>0</v>
      </c>
      <c r="G36" s="50">
        <f t="shared" si="11"/>
        <v>0</v>
      </c>
      <c r="H36" s="51">
        <f>IF(AND($B36&lt;=$C$4,C$7="Y"),0,IF(AND(C$7="N",C$4&gt;0,B36&lt;=C$4),0,(D35-L36+N36)*C$2/12/(1-(1/(1+C$2/12))^(C$3+C$4-B36+1))))</f>
        <v>1508846.1807767206</v>
      </c>
      <c r="I36" s="52">
        <f>IF(AND(C$7="Y",$B36&lt;=C$4),0,IF(AND(C$7="Y",$B36&gt;C$4),(1-U36)*C$2*D35/12,IF(AND($C$7="N",C$4&gt;0),(1-U36)*D35*C$2/12, (1-U36)*D35*C$2/12)))</f>
        <v>225869.58425759178</v>
      </c>
      <c r="J36" s="52">
        <f>IF(AND($B36&lt;=$C$4,C$7="Y"),0,IF(AND(C$7="N",C$4&gt;0,B36&lt;=C$4),0,H36-I36))</f>
        <v>1282976.5965191289</v>
      </c>
      <c r="K36" s="51">
        <f>IF(AND(C$7="Y",$B36&lt;=$C$4),0,IF(AND(C$7="N",C$4&gt;0,B36&lt;=C$4),0,S36*(C36-J36)))</f>
        <v>560813.72450238559</v>
      </c>
      <c r="L36" s="49">
        <f>IF(AND(C$7="Y",$B36&lt;=$C$4),0,IF(AND(C$7="N",C$4&gt;0,B36&lt;=C$4),0,U36*D35))</f>
        <v>0</v>
      </c>
      <c r="M36" s="49">
        <f t="shared" si="17"/>
        <v>0</v>
      </c>
      <c r="N36" s="49">
        <f t="shared" si="18"/>
        <v>0</v>
      </c>
      <c r="O36" s="48">
        <f>K36+I36+J36-L36+N36+G36</f>
        <v>2069659.9052791062</v>
      </c>
      <c r="P36" s="38">
        <f>O36*(1/((1+P$12)^(B36/12)))</f>
        <v>2069659.9052791062</v>
      </c>
      <c r="Q36" s="53"/>
      <c r="R36" s="53">
        <f t="shared" si="5"/>
        <v>0.12</v>
      </c>
      <c r="S36" s="53">
        <f t="shared" si="6"/>
        <v>1.0596241035318976E-2</v>
      </c>
      <c r="T36" s="53">
        <f t="shared" si="7"/>
        <v>0</v>
      </c>
      <c r="U36" s="53">
        <f t="shared" si="10"/>
        <v>0</v>
      </c>
      <c r="W36" s="49"/>
    </row>
    <row r="37" spans="1:23" x14ac:dyDescent="0.2">
      <c r="A37" s="62">
        <f t="shared" si="1"/>
        <v>0.50548874456041182</v>
      </c>
      <c r="B37" s="45">
        <f t="shared" si="2"/>
        <v>23</v>
      </c>
      <c r="C37" s="51">
        <f>IF(B37&lt;C$4,C$1,D36-L37+N37)</f>
        <v>52364909.900800511</v>
      </c>
      <c r="D37" s="47" cm="1">
        <f t="array" ref="D37">_xlfn.IFS(AND($C$7="Y",B37&lt;C$4),C37,AND($C$7="Y",B37=C$4),D36+F37-J37-K37-L37+N37,AND($C$7="Y",B37&gt;$C$4),D36-J37-K37-L37+N37, TRUE, D36-J37-K37-L37+N37)</f>
        <v>50548874.456041187</v>
      </c>
      <c r="E37" s="48">
        <f t="shared" si="3"/>
        <v>0</v>
      </c>
      <c r="F37" s="50">
        <f t="shared" si="4"/>
        <v>0</v>
      </c>
      <c r="G37" s="50">
        <f t="shared" si="11"/>
        <v>0</v>
      </c>
      <c r="H37" s="51">
        <f>IF(AND($B37&lt;=$C$4,C$7="Y"),0,IF(AND(C$7="N",C$4&gt;0,B37&lt;=C$4),0,(D36-L37+N37)*C$2/12/(1-(1/(1+C$2/12))^(C$3+C$4-B37+1))))</f>
        <v>1492858.0829599893</v>
      </c>
      <c r="I37" s="52">
        <f>IF(AND(C$7="Y",$B37&lt;=C$4),0,IF(AND(C$7="Y",$B37&gt;C$4),(1-U37)*C$2*D36/12,IF(AND($C$7="N",C$4&gt;0),(1-U37)*D36*C$2/12, (1-U37)*D36*C$2/12)))</f>
        <v>218187.1245866688</v>
      </c>
      <c r="J37" s="52">
        <f>IF(AND($B37&lt;=$C$4,C$7="Y"),0,IF(AND(C$7="N",C$4&gt;0,B37&lt;=C$4),0,H37-I37))</f>
        <v>1274670.9583733205</v>
      </c>
      <c r="K37" s="51">
        <f>IF(AND(C$7="Y",$B37&lt;=$C$4),0,IF(AND(C$7="N",C$4&gt;0,B37&lt;=C$4),0,S37*(C37-J37)))</f>
        <v>541364.48638599855</v>
      </c>
      <c r="L37" s="49">
        <f>IF(AND(C$7="Y",$B37&lt;=$C$4),0,IF(AND(C$7="N",C$4&gt;0,B37&lt;=C$4),0,U37*D36))</f>
        <v>0</v>
      </c>
      <c r="M37" s="49">
        <f t="shared" si="17"/>
        <v>0</v>
      </c>
      <c r="N37" s="49">
        <f t="shared" si="18"/>
        <v>0</v>
      </c>
      <c r="O37" s="48">
        <f>K37+I37+J37-L37+N37+G37</f>
        <v>2034222.5693459879</v>
      </c>
      <c r="P37" s="38">
        <f>O37*(1/((1+P$12)^(B37/12)))</f>
        <v>2034222.5693459879</v>
      </c>
      <c r="Q37" s="53"/>
      <c r="R37" s="53">
        <f t="shared" si="5"/>
        <v>0.12</v>
      </c>
      <c r="S37" s="53">
        <f t="shared" si="6"/>
        <v>1.0596241035318976E-2</v>
      </c>
      <c r="T37" s="53">
        <f t="shared" si="7"/>
        <v>0</v>
      </c>
      <c r="U37" s="53">
        <f t="shared" si="10"/>
        <v>0</v>
      </c>
    </row>
    <row r="38" spans="1:23" x14ac:dyDescent="0.2">
      <c r="A38" s="62">
        <f t="shared" si="1"/>
        <v>0.48760246591508022</v>
      </c>
      <c r="B38" s="45">
        <f t="shared" si="2"/>
        <v>24</v>
      </c>
      <c r="C38" s="51">
        <f>IF(B38&lt;C$4,C$1,D37-L38+N38)</f>
        <v>50548874.456041187</v>
      </c>
      <c r="D38" s="47" cm="1">
        <f t="array" ref="D38">_xlfn.IFS(AND($C$7="Y",B38&lt;C$4),C38,AND($C$7="Y",B38=C$4),D37+F38-J38-K38-L38+N38,AND($C$7="Y",B38&gt;$C$4),D37-J38-K38-L38+N38, TRUE, D37-J38-K38-L38+N38)</f>
        <v>48760246.591508023</v>
      </c>
      <c r="E38" s="48">
        <f t="shared" si="3"/>
        <v>0</v>
      </c>
      <c r="F38" s="50">
        <f t="shared" si="4"/>
        <v>0</v>
      </c>
      <c r="G38" s="50">
        <f t="shared" si="11"/>
        <v>0</v>
      </c>
      <c r="H38" s="51">
        <f>IF(AND($B38&lt;=$C$4,C$7="Y"),0,IF(AND(C$7="N",C$4&gt;0,B38&lt;=C$4),0,(D37-L38+N38)*C$2/12/(1-(1/(1+C$2/12))^(C$3+C$4-B38+1))))</f>
        <v>1477039.3988814217</v>
      </c>
      <c r="I38" s="52">
        <f>IF(AND(C$7="Y",$B38&lt;=C$4),0,IF(AND(C$7="Y",$B38&gt;C$4),(1-U38)*C$2*D37/12,IF(AND($C$7="N",C$4&gt;0),(1-U38)*D37*C$2/12, (1-U38)*D37*C$2/12)))</f>
        <v>210620.31023350498</v>
      </c>
      <c r="J38" s="52">
        <f>IF(AND($B38&lt;=$C$4,C$7="Y"),0,IF(AND(C$7="N",C$4&gt;0,B38&lt;=C$4),0,H38-I38))</f>
        <v>1266419.0886479167</v>
      </c>
      <c r="K38" s="51">
        <f>IF(AND(C$7="Y",$B38&lt;=$C$4),0,IF(AND(C$7="N",C$4&gt;0,B38&lt;=C$4),0,S38*(C38-J38)))</f>
        <v>522208.7758852485</v>
      </c>
      <c r="L38" s="49">
        <f>IF(AND(C$7="Y",$B38&lt;=$C$4),0,IF(AND(C$7="N",C$4&gt;0,B38&lt;=C$4),0,U38*D37))</f>
        <v>0</v>
      </c>
      <c r="M38" s="49">
        <f t="shared" si="17"/>
        <v>0</v>
      </c>
      <c r="N38" s="49">
        <f t="shared" si="18"/>
        <v>0</v>
      </c>
      <c r="O38" s="48">
        <f>K38+I38+J38-L38+N38+G38</f>
        <v>1999248.1747666702</v>
      </c>
      <c r="P38" s="38">
        <f>O38*(1/((1+P$12)^(B38/12)))</f>
        <v>1999248.1747666702</v>
      </c>
      <c r="Q38" s="53"/>
      <c r="R38" s="53">
        <f t="shared" si="5"/>
        <v>0.12</v>
      </c>
      <c r="S38" s="53">
        <f t="shared" si="6"/>
        <v>1.0596241035318976E-2</v>
      </c>
      <c r="T38" s="53">
        <f t="shared" si="7"/>
        <v>0</v>
      </c>
      <c r="U38" s="53">
        <f t="shared" si="10"/>
        <v>0</v>
      </c>
    </row>
    <row r="39" spans="1:23" s="59" customFormat="1" x14ac:dyDescent="0.2">
      <c r="A39" s="62">
        <f t="shared" si="1"/>
        <v>0.4699868303559111</v>
      </c>
      <c r="B39" s="54">
        <f t="shared" si="2"/>
        <v>25</v>
      </c>
      <c r="C39" s="51">
        <f>IF(B39&lt;C$4,C$1,D38-L39+N39)</f>
        <v>48760246.591508023</v>
      </c>
      <c r="D39" s="47" cm="1">
        <f t="array" ref="D39">_xlfn.IFS(AND($C$7="Y",B39&lt;C$4),C39,AND($C$7="Y",B39=C$4),D38+F39-J39-K39-L39+N39,AND($C$7="Y",B39&gt;$C$4),D38-J39-K39-L39+N39, TRUE, D38-J39-K39-L39+N39)</f>
        <v>46998683.035591111</v>
      </c>
      <c r="E39" s="48">
        <f t="shared" si="3"/>
        <v>0</v>
      </c>
      <c r="F39" s="50">
        <f t="shared" si="4"/>
        <v>0</v>
      </c>
      <c r="G39" s="56">
        <f t="shared" si="11"/>
        <v>0</v>
      </c>
      <c r="H39" s="51">
        <f>IF(AND($B39&lt;=$C$4,C$7="Y"),0,IF(AND(C$7="N",C$4&gt;0,B39&lt;=C$4),0,(D38-L39+N39)*C$2/12/(1-(1/(1+C$2/12))^(C$3+C$4-B39+1))))</f>
        <v>1461388.3333922105</v>
      </c>
      <c r="I39" s="52">
        <f>IF(AND(C$7="Y",$B39&lt;=C$4),0,IF(AND(C$7="Y",$B39&gt;C$4),(1-U39)*C$2*D38/12,IF(AND($C$7="N",C$4&gt;0),(1-U39)*D38*C$2/12, (1-U39)*D38*C$2/12)))</f>
        <v>203167.69413128344</v>
      </c>
      <c r="J39" s="57">
        <f>IF(AND($B39&lt;=$C$4,C$7="Y"),0,IF(AND(C$7="N",C$4&gt;0,B39&lt;=C$4),0,H39-I39))</f>
        <v>1258220.6392609272</v>
      </c>
      <c r="K39" s="55">
        <f>IF(AND(C$7="Y",$B39&lt;=$C$4),0,IF(AND(C$7="N",C$4&gt;0,B39&lt;=C$4),0,S39*(C39-J39)))</f>
        <v>503342.91665598768</v>
      </c>
      <c r="L39" s="55">
        <f>IF(AND(C$7="Y",$B39&lt;=$C$4),0,IF(AND(C$7="N",C$4&gt;0,B39&lt;=C$4),0,U39*D38))</f>
        <v>0</v>
      </c>
      <c r="M39" s="55">
        <f t="shared" si="17"/>
        <v>0</v>
      </c>
      <c r="N39" s="55">
        <f t="shared" si="18"/>
        <v>0</v>
      </c>
      <c r="O39" s="48">
        <f>K39+I39+J39-L39+N39+G39</f>
        <v>1964731.2500481983</v>
      </c>
      <c r="P39" s="58">
        <f>O39*(1/((1+P$12)^(B39/12)))</f>
        <v>1964731.2500481983</v>
      </c>
      <c r="Q39" s="53"/>
      <c r="R39" s="53">
        <f t="shared" si="5"/>
        <v>0.12</v>
      </c>
      <c r="S39" s="53">
        <f t="shared" si="6"/>
        <v>1.0596241035318976E-2</v>
      </c>
      <c r="T39" s="53">
        <f t="shared" si="7"/>
        <v>0</v>
      </c>
      <c r="U39" s="53">
        <f t="shared" si="10"/>
        <v>0</v>
      </c>
    </row>
    <row r="40" spans="1:23" x14ac:dyDescent="0.2">
      <c r="A40" s="62">
        <f t="shared" si="1"/>
        <v>0.45263844496233374</v>
      </c>
      <c r="B40" s="45">
        <f t="shared" si="2"/>
        <v>26</v>
      </c>
      <c r="C40" s="51">
        <f>IF(B40&lt;C$4,C$1,D39-L40+N40)</f>
        <v>46998683.035591111</v>
      </c>
      <c r="D40" s="60" cm="1">
        <f t="array" ref="D40">_xlfn.IFS(AND($C$7="Y",B40&lt;C$4),C40,AND($C$7="Y",B40=C$4),D39+F40-J40-K40-L40+N40,AND($C$7="Y",B40&gt;$C$4),D39-J40-K40-L40+N40, TRUE, D39-J40-K40-L40+N40)</f>
        <v>45263844.496233374</v>
      </c>
      <c r="E40" s="48">
        <f t="shared" si="3"/>
        <v>0</v>
      </c>
      <c r="F40" s="50">
        <f t="shared" si="4"/>
        <v>0</v>
      </c>
      <c r="G40" s="50">
        <f t="shared" si="11"/>
        <v>0</v>
      </c>
      <c r="H40" s="51">
        <f>IF(AND($B40&lt;=$C$4,C$7="Y"),0,IF(AND(C$7="N",C$4&gt;0,B40&lt;=C$4),0,(D39-L40+N40)*C$2/12/(1-(1/(1+C$2/12))^(C$3+C$4-B40+1))))</f>
        <v>1445903.1103653836</v>
      </c>
      <c r="I40" s="52">
        <f>IF(AND(C$7="Y",$B40&lt;=C$4),0,IF(AND(C$7="Y",$B40&gt;C$4),(1-U40)*C$2*D39/12,IF(AND($C$7="N",C$4&gt;0),(1-U40)*D39*C$2/12, (1-U40)*D39*C$2/12)))</f>
        <v>195827.84598162965</v>
      </c>
      <c r="J40" s="52">
        <f>IF(AND($B40&lt;=$C$4,C$7="Y"),0,IF(AND(C$7="N",C$4&gt;0,B40&lt;=C$4),0,H40-I40))</f>
        <v>1250075.264383754</v>
      </c>
      <c r="K40" s="51">
        <f>IF(AND(C$7="Y",$B40&lt;=$C$4),0,IF(AND(C$7="N",C$4&gt;0,B40&lt;=C$4),0,S40*(C40-J40)))</f>
        <v>484763.27497397998</v>
      </c>
      <c r="L40" s="49">
        <f>IF(AND(C$7="Y",$B40&lt;=$C$4),0,IF(AND(C$7="N",C$4&gt;0,B40&lt;=C$4),0,U40*D39))</f>
        <v>0</v>
      </c>
      <c r="M40" s="49">
        <f t="shared" si="17"/>
        <v>0</v>
      </c>
      <c r="N40" s="49">
        <f t="shared" si="18"/>
        <v>0</v>
      </c>
      <c r="O40" s="48">
        <f>K40+I40+J40-L40+N40+G40</f>
        <v>1930666.3853393635</v>
      </c>
      <c r="P40" s="38">
        <f>O40*(1/((1+P$12)^(B40/12)))</f>
        <v>1930666.3853393635</v>
      </c>
      <c r="Q40" s="53"/>
      <c r="R40" s="53">
        <f t="shared" si="5"/>
        <v>0.12</v>
      </c>
      <c r="S40" s="53">
        <f t="shared" si="6"/>
        <v>1.0596241035318976E-2</v>
      </c>
      <c r="T40" s="53">
        <f t="shared" si="7"/>
        <v>0</v>
      </c>
      <c r="U40" s="53">
        <f t="shared" si="10"/>
        <v>0</v>
      </c>
    </row>
    <row r="41" spans="1:23" x14ac:dyDescent="0.2">
      <c r="A41" s="62">
        <f t="shared" si="1"/>
        <v>0.4355539561654721</v>
      </c>
      <c r="B41" s="45">
        <f t="shared" si="2"/>
        <v>27</v>
      </c>
      <c r="C41" s="51">
        <f>IF(B41&lt;C$4,C$1,D40-L41+N41)</f>
        <v>45263844.496233374</v>
      </c>
      <c r="D41" s="47" cm="1">
        <f t="array" ref="D41">_xlfn.IFS(AND($C$7="Y",B41&lt;C$4),C41,AND($C$7="Y",B41=C$4),D40+F41-J41-K41-L41+N41,AND($C$7="Y",B41&gt;$C$4),D40-J41-K41-L41+N41, TRUE, D40-J41-K41-L41+N41)</f>
        <v>43555395.616547212</v>
      </c>
      <c r="E41" s="48">
        <f t="shared" si="3"/>
        <v>0</v>
      </c>
      <c r="F41" s="50">
        <f t="shared" si="4"/>
        <v>0</v>
      </c>
      <c r="G41" s="50">
        <f t="shared" si="11"/>
        <v>0</v>
      </c>
      <c r="H41" s="51">
        <f>IF(AND($B41&lt;=$C$4,C$7="Y"),0,IF(AND(C$7="N",C$4&gt;0,B41&lt;=C$4),0,(D40-L41+N41)*C$2/12/(1-(1/(1+C$2/12))^(C$3+C$4-B41+1))))</f>
        <v>1430581.9724942336</v>
      </c>
      <c r="I41" s="52">
        <f>IF(AND(C$7="Y",$B41&lt;=C$4),0,IF(AND(C$7="Y",$B41&gt;C$4),(1-U41)*C$2*D40/12,IF(AND($C$7="N",C$4&gt;0),(1-U41)*D40*C$2/12, (1-U41)*D40*C$2/12)))</f>
        <v>188599.35206763909</v>
      </c>
      <c r="J41" s="52">
        <f>IF(AND($B41&lt;=$C$4,C$7="Y"),0,IF(AND(C$7="N",C$4&gt;0,B41&lt;=C$4),0,H41-I41))</f>
        <v>1241982.6204265945</v>
      </c>
      <c r="K41" s="51">
        <f>IF(AND(C$7="Y",$B41&lt;=$C$4),0,IF(AND(C$7="N",C$4&gt;0,B41&lt;=C$4),0,S41*(C41-J41)))</f>
        <v>466466.25925956777</v>
      </c>
      <c r="L41" s="49">
        <f>IF(AND(C$7="Y",$B41&lt;=$C$4),0,IF(AND(C$7="N",C$4&gt;0,B41&lt;=C$4),0,U41*D40))</f>
        <v>0</v>
      </c>
      <c r="M41" s="49">
        <f t="shared" si="17"/>
        <v>0</v>
      </c>
      <c r="N41" s="49">
        <f t="shared" si="18"/>
        <v>0</v>
      </c>
      <c r="O41" s="48">
        <f>K41+I41+J41-L41+N41+G41</f>
        <v>1897048.2317538015</v>
      </c>
      <c r="P41" s="38">
        <f>O41*(1/((1+P$12)^(B41/12)))</f>
        <v>1897048.2317538015</v>
      </c>
      <c r="Q41" s="53"/>
      <c r="R41" s="53">
        <f t="shared" si="5"/>
        <v>0.12</v>
      </c>
      <c r="S41" s="53">
        <f t="shared" si="6"/>
        <v>1.0596241035318976E-2</v>
      </c>
      <c r="T41" s="53">
        <f t="shared" si="7"/>
        <v>0</v>
      </c>
      <c r="U41" s="53">
        <f t="shared" si="10"/>
        <v>0</v>
      </c>
    </row>
    <row r="42" spans="1:23" x14ac:dyDescent="0.2">
      <c r="A42" s="62">
        <f t="shared" si="1"/>
        <v>0.4187300493091573</v>
      </c>
      <c r="B42" s="45">
        <f t="shared" si="2"/>
        <v>28</v>
      </c>
      <c r="C42" s="51">
        <f>IF(B42&lt;C$4,C$1,D41-L42+N42)</f>
        <v>43555395.616547212</v>
      </c>
      <c r="D42" s="47" cm="1">
        <f t="array" ref="D42">_xlfn.IFS(AND($C$7="Y",B42&lt;C$4),C42,AND($C$7="Y",B42=C$4),D41+F42-J42-K42-L42+N42,AND($C$7="Y",B42&gt;$C$4),D41-J42-K42-L42+N42, TRUE, D41-J42-K42-L42+N42)</f>
        <v>41873004.930915728</v>
      </c>
      <c r="E42" s="48">
        <f t="shared" si="3"/>
        <v>0</v>
      </c>
      <c r="F42" s="50">
        <f t="shared" si="4"/>
        <v>0</v>
      </c>
      <c r="G42" s="50">
        <f t="shared" si="11"/>
        <v>0</v>
      </c>
      <c r="H42" s="51">
        <f>IF(AND($B42&lt;=$C$4,C$7="Y"),0,IF(AND(C$7="N",C$4&gt;0,B42&lt;=C$4),0,(D41-L42+N42)*C$2/12/(1-(1/(1+C$2/12))^(C$3+C$4-B42+1))))</f>
        <v>1415423.1810929035</v>
      </c>
      <c r="I42" s="52">
        <f>IF(AND(C$7="Y",$B42&lt;=C$4),0,IF(AND(C$7="Y",$B42&gt;C$4),(1-U42)*C$2*D41/12,IF(AND($C$7="N",C$4&gt;0),(1-U42)*D41*C$2/12, (1-U42)*D41*C$2/12)))</f>
        <v>181480.81506894671</v>
      </c>
      <c r="J42" s="52">
        <f>IF(AND($B42&lt;=$C$4,C$7="Y"),0,IF(AND(C$7="N",C$4&gt;0,B42&lt;=C$4),0,H42-I42))</f>
        <v>1233942.3660239568</v>
      </c>
      <c r="K42" s="51">
        <f>IF(AND(C$7="Y",$B42&lt;=$C$4),0,IF(AND(C$7="N",C$4&gt;0,B42&lt;=C$4),0,S42*(C42-J42)))</f>
        <v>448448.31960752816</v>
      </c>
      <c r="L42" s="49">
        <f>IF(AND(C$7="Y",$B42&lt;=$C$4),0,IF(AND(C$7="N",C$4&gt;0,B42&lt;=C$4),0,U42*D41))</f>
        <v>0</v>
      </c>
      <c r="M42" s="49">
        <f t="shared" si="17"/>
        <v>0</v>
      </c>
      <c r="N42" s="49">
        <f t="shared" si="18"/>
        <v>0</v>
      </c>
      <c r="O42" s="48">
        <f>K42+I42+J42-L42+N42+G42</f>
        <v>1863871.5007004316</v>
      </c>
      <c r="P42" s="38">
        <f>O42*(1/((1+P$12)^(B42/12)))</f>
        <v>1863871.5007004316</v>
      </c>
      <c r="Q42" s="53"/>
      <c r="R42" s="53">
        <f t="shared" si="5"/>
        <v>0.12</v>
      </c>
      <c r="S42" s="53">
        <f t="shared" si="6"/>
        <v>1.0596241035318976E-2</v>
      </c>
      <c r="T42" s="53">
        <f t="shared" si="7"/>
        <v>0</v>
      </c>
      <c r="U42" s="53">
        <f t="shared" si="10"/>
        <v>0</v>
      </c>
    </row>
    <row r="43" spans="1:23" x14ac:dyDescent="0.2">
      <c r="A43" s="62">
        <f t="shared" si="1"/>
        <v>0.40216344821573413</v>
      </c>
      <c r="B43" s="45">
        <f t="shared" si="2"/>
        <v>29</v>
      </c>
      <c r="C43" s="51">
        <f>IF(B43&lt;C$4,C$1,D42-L43+N43)</f>
        <v>41873004.930915728</v>
      </c>
      <c r="D43" s="47" cm="1">
        <f t="array" ref="D43">_xlfn.IFS(AND($C$7="Y",B43&lt;C$4),C43,AND($C$7="Y",B43=C$4),D42+F43-J43-K43-L43+N43,AND($C$7="Y",B43&gt;$C$4),D42-J43-K43-L43+N43, TRUE, D42-J43-K43-L43+N43)</f>
        <v>40216344.821573414</v>
      </c>
      <c r="E43" s="48">
        <f t="shared" si="3"/>
        <v>0</v>
      </c>
      <c r="F43" s="50">
        <f t="shared" si="4"/>
        <v>0</v>
      </c>
      <c r="G43" s="50">
        <f t="shared" si="11"/>
        <v>0</v>
      </c>
      <c r="H43" s="51">
        <f>IF(AND($B43&lt;=$C$4,C$7="Y"),0,IF(AND(C$7="N",C$4&gt;0,B43&lt;=C$4),0,(D42-L43+N43)*C$2/12/(1-(1/(1+C$2/12))^(C$3+C$4-B43+1))))</f>
        <v>1400425.0158990645</v>
      </c>
      <c r="I43" s="52">
        <f>IF(AND(C$7="Y",$B43&lt;=C$4),0,IF(AND(C$7="Y",$B43&gt;C$4),(1-U43)*C$2*D42/12,IF(AND($C$7="N",C$4&gt;0),(1-U43)*D42*C$2/12, (1-U43)*D42*C$2/12)))</f>
        <v>174470.85387881554</v>
      </c>
      <c r="J43" s="52">
        <f>IF(AND($B43&lt;=$C$4,C$7="Y"),0,IF(AND(C$7="N",C$4&gt;0,B43&lt;=C$4),0,H43-I43))</f>
        <v>1225954.1620202488</v>
      </c>
      <c r="K43" s="51">
        <f>IF(AND(C$7="Y",$B43&lt;=$C$4),0,IF(AND(C$7="N",C$4&gt;0,B43&lt;=C$4),0,S43*(C43-J43)))</f>
        <v>430705.94732206402</v>
      </c>
      <c r="L43" s="49">
        <f>IF(AND(C$7="Y",$B43&lt;=$C$4),0,IF(AND(C$7="N",C$4&gt;0,B43&lt;=C$4),0,U43*D42))</f>
        <v>0</v>
      </c>
      <c r="M43" s="49">
        <f t="shared" si="17"/>
        <v>0</v>
      </c>
      <c r="N43" s="49">
        <f t="shared" si="18"/>
        <v>0</v>
      </c>
      <c r="O43" s="48">
        <f>K43+I43+J43-L43+N43+G43</f>
        <v>1831130.9632211283</v>
      </c>
      <c r="P43" s="38">
        <f>O43*(1/((1+P$12)^(B43/12)))</f>
        <v>1831130.9632211283</v>
      </c>
      <c r="Q43" s="53"/>
      <c r="R43" s="53">
        <f t="shared" si="5"/>
        <v>0.12</v>
      </c>
      <c r="S43" s="53">
        <f t="shared" si="6"/>
        <v>1.0596241035318976E-2</v>
      </c>
      <c r="T43" s="53">
        <f t="shared" si="7"/>
        <v>0</v>
      </c>
      <c r="U43" s="53">
        <f t="shared" si="10"/>
        <v>0</v>
      </c>
    </row>
    <row r="44" spans="1:23" x14ac:dyDescent="0.2">
      <c r="A44" s="62">
        <f t="shared" si="1"/>
        <v>0.38585091475661054</v>
      </c>
      <c r="B44" s="54">
        <f t="shared" si="2"/>
        <v>30</v>
      </c>
      <c r="C44" s="51">
        <f>IF(B44&lt;C$4,C$1,D43-L44+N44)</f>
        <v>40216344.821573414</v>
      </c>
      <c r="D44" s="60" cm="1">
        <f t="array" ref="D44">_xlfn.IFS(AND($C$7="Y",B44&lt;C$4),C44,AND($C$7="Y",B44=C$4),D43+F44-J44-K44-L44+N44,AND($C$7="Y",B44&gt;$C$4),D43-J44-K44-L44+N44, TRUE, D43-J44-K44-L44+N44)</f>
        <v>38585091.475661054</v>
      </c>
      <c r="E44" s="48">
        <f t="shared" si="3"/>
        <v>0</v>
      </c>
      <c r="F44" s="50">
        <f t="shared" si="4"/>
        <v>0</v>
      </c>
      <c r="G44" s="50">
        <f t="shared" si="11"/>
        <v>0</v>
      </c>
      <c r="H44" s="51">
        <f>IF(AND($B44&lt;=$C$4,C$7="Y"),0,IF(AND(C$7="N",C$4&gt;0,B44&lt;=C$4),0,(D43-L44+N44)*C$2/12/(1-(1/(1+C$2/12))^(C$3+C$4-B44+1))))</f>
        <v>1385585.7748787082</v>
      </c>
      <c r="I44" s="52">
        <f>IF(AND(C$7="Y",$B44&lt;=C$4),0,IF(AND(C$7="Y",$B44&gt;C$4),(1-U44)*C$2*D43/12,IF(AND($C$7="N",C$4&gt;0),(1-U44)*D43*C$2/12, (1-U44)*D43*C$2/12)))</f>
        <v>167568.10342322258</v>
      </c>
      <c r="J44" s="52">
        <f>IF(AND($B44&lt;=$C$4,C$7="Y"),0,IF(AND(C$7="N",C$4&gt;0,B44&lt;=C$4),0,H44-I44))</f>
        <v>1218017.6714554855</v>
      </c>
      <c r="K44" s="51">
        <f>IF(AND(C$7="Y",$B44&lt;=$C$4),0,IF(AND(C$7="N",C$4&gt;0,B44&lt;=C$4),0,S44*(C44-J44)))</f>
        <v>413235.67445687373</v>
      </c>
      <c r="L44" s="49">
        <f>IF(AND(C$7="Y",$B44&lt;=$C$4),0,IF(AND(C$7="N",C$4&gt;0,B44&lt;=C$4),0,U44*D43))</f>
        <v>0</v>
      </c>
      <c r="M44" s="49">
        <f>IFERROR(L40*-1,0)</f>
        <v>0</v>
      </c>
      <c r="N44" s="49">
        <f t="shared" si="18"/>
        <v>0</v>
      </c>
      <c r="O44" s="48">
        <f>K44+I44+J44-L44+N44+G44</f>
        <v>1798821.4493355819</v>
      </c>
      <c r="P44" s="38">
        <f>O44*(1/((1+P$12)^(B44/12)))</f>
        <v>1798821.4493355819</v>
      </c>
      <c r="Q44" s="53"/>
      <c r="R44" s="53">
        <f t="shared" si="5"/>
        <v>0.12</v>
      </c>
      <c r="S44" s="53">
        <f t="shared" si="6"/>
        <v>1.0596241035318976E-2</v>
      </c>
      <c r="T44" s="53">
        <f t="shared" si="7"/>
        <v>0</v>
      </c>
      <c r="U44" s="53">
        <f t="shared" si="10"/>
        <v>0</v>
      </c>
    </row>
    <row r="45" spans="1:23" x14ac:dyDescent="0.2">
      <c r="A45" s="62">
        <f t="shared" si="1"/>
        <v>0.3697892484274975</v>
      </c>
      <c r="B45" s="54">
        <f t="shared" si="2"/>
        <v>31</v>
      </c>
      <c r="C45" s="51">
        <f>IF(B45&lt;C$4,C$1,D44-L45+N45)</f>
        <v>38585091.475661054</v>
      </c>
      <c r="D45" s="60" cm="1">
        <f t="array" ref="D45">_xlfn.IFS(AND($C$7="Y",B45&lt;C$4),C45,AND($C$7="Y",B45=C$4),D44+F45-J45-K45-L45+N45,AND($C$7="Y",B45&gt;$C$4),D44-J45-K45-L45+N45, TRUE, D44-J45-K45-L45+N45)</f>
        <v>36978924.842749752</v>
      </c>
      <c r="E45" s="48">
        <f t="shared" si="3"/>
        <v>0</v>
      </c>
      <c r="F45" s="50">
        <f t="shared" si="4"/>
        <v>0</v>
      </c>
      <c r="G45" s="50">
        <f t="shared" si="11"/>
        <v>0</v>
      </c>
      <c r="H45" s="51">
        <f>IF(AND($B45&lt;=$C$4,C$7="Y"),0,IF(AND(C$7="N",C$4&gt;0,B45&lt;=C$4),0,(D44-L45+N45)*C$2/12/(1-(1/(1+C$2/12))^(C$3+C$4-B45+1))))</f>
        <v>1370903.7740329837</v>
      </c>
      <c r="I45" s="52">
        <f>IF(AND(C$7="Y",$B45&lt;=C$4),0,IF(AND(C$7="Y",$B45&gt;C$4),(1-U45)*C$2*D44/12,IF(AND($C$7="N",C$4&gt;0),(1-U45)*D44*C$2/12, (1-U45)*D44*C$2/12)))</f>
        <v>160771.21448192108</v>
      </c>
      <c r="J45" s="52">
        <f>IF(AND($B45&lt;=$C$4,C$7="Y"),0,IF(AND(C$7="N",C$4&gt;0,B45&lt;=C$4),0,H45-I45))</f>
        <v>1210132.5595510625</v>
      </c>
      <c r="K45" s="51">
        <f>IF(AND(C$7="Y",$B45&lt;=$C$4),0,IF(AND(C$7="N",C$4&gt;0,B45&lt;=C$4),0,S45*(C45-J45)))</f>
        <v>396034.07336024556</v>
      </c>
      <c r="L45" s="49">
        <f>IF(AND(C$7="Y",$B45&lt;=$C$4),0,IF(AND(C$7="N",C$4&gt;0,B45&lt;=C$4),0,U45*D44))</f>
        <v>0</v>
      </c>
      <c r="M45" s="49">
        <f t="shared" ref="M45:M108" si="19">IFERROR(L41*-1,0)</f>
        <v>0</v>
      </c>
      <c r="N45" s="49">
        <f t="shared" si="18"/>
        <v>0</v>
      </c>
      <c r="O45" s="48">
        <f>K45+I45+J45-L45+N45+G45</f>
        <v>1766937.8473932291</v>
      </c>
      <c r="P45" s="38">
        <f>O45*(1/((1+P$12)^(B45/12)))</f>
        <v>1766937.8473932291</v>
      </c>
      <c r="Q45" s="53"/>
      <c r="R45" s="53">
        <f t="shared" si="5"/>
        <v>0.12</v>
      </c>
      <c r="S45" s="53">
        <f t="shared" si="6"/>
        <v>1.0596241035318976E-2</v>
      </c>
      <c r="T45" s="53">
        <f t="shared" si="7"/>
        <v>0</v>
      </c>
      <c r="U45" s="53">
        <f t="shared" si="10"/>
        <v>0</v>
      </c>
    </row>
    <row r="46" spans="1:23" x14ac:dyDescent="0.2">
      <c r="A46" s="62">
        <f t="shared" si="1"/>
        <v>0.35397528592828981</v>
      </c>
      <c r="B46" s="45">
        <f t="shared" si="2"/>
        <v>32</v>
      </c>
      <c r="C46" s="51">
        <f>IF(B46&lt;C$4,C$1,D45-L46+N46)</f>
        <v>36978924.842749752</v>
      </c>
      <c r="D46" s="47" cm="1">
        <f t="array" ref="D46">_xlfn.IFS(AND($C$7="Y",B46&lt;C$4),C46,AND($C$7="Y",B46=C$4),D45+F46-J46-K46-L46+N46,AND($C$7="Y",B46&gt;$C$4),D45-J46-K46-L46+N46, TRUE, D45-J46-K46-L46+N46)</f>
        <v>35397528.592828982</v>
      </c>
      <c r="E46" s="48">
        <f t="shared" si="3"/>
        <v>0</v>
      </c>
      <c r="F46" s="50">
        <f t="shared" si="4"/>
        <v>0</v>
      </c>
      <c r="G46" s="50">
        <f t="shared" si="11"/>
        <v>0</v>
      </c>
      <c r="H46" s="51">
        <f>IF(AND($B46&lt;=$C$4,C$7="Y"),0,IF(AND(C$7="N",C$4&gt;0,B46&lt;=C$4),0,(D45-L46+N46)*C$2/12/(1-(1/(1+C$2/12))^(C$3+C$4-B46+1))))</f>
        <v>1356377.3472071018</v>
      </c>
      <c r="I46" s="52">
        <f>IF(AND(C$7="Y",$B46&lt;=C$4),0,IF(AND(C$7="Y",$B46&gt;C$4),(1-U46)*C$2*D45/12,IF(AND($C$7="N",C$4&gt;0),(1-U46)*D45*C$2/12, (1-U46)*D45*C$2/12)))</f>
        <v>154078.8535114573</v>
      </c>
      <c r="J46" s="52">
        <f>IF(AND($B46&lt;=$C$4,C$7="Y"),0,IF(AND(C$7="N",C$4&gt;0,B46&lt;=C$4),0,H46-I46))</f>
        <v>1202298.4936956444</v>
      </c>
      <c r="K46" s="51">
        <f>IF(AND(C$7="Y",$B46&lt;=$C$4),0,IF(AND(C$7="N",C$4&gt;0,B46&lt;=C$4),0,S46*(C46-J46)))</f>
        <v>379097.75622512127</v>
      </c>
      <c r="L46" s="49">
        <f>IF(AND(C$7="Y",$B46&lt;=$C$4),0,IF(AND(C$7="N",C$4&gt;0,B46&lt;=C$4),0,U46*D45))</f>
        <v>0</v>
      </c>
      <c r="M46" s="49">
        <f t="shared" si="19"/>
        <v>0</v>
      </c>
      <c r="N46" s="49">
        <f t="shared" si="18"/>
        <v>0</v>
      </c>
      <c r="O46" s="48">
        <f>K46+I46+J46-L46+N46+G46</f>
        <v>1735475.103432223</v>
      </c>
      <c r="P46" s="38">
        <f>O46*(1/((1+P$12)^(B46/12)))</f>
        <v>1735475.103432223</v>
      </c>
      <c r="Q46" s="53"/>
      <c r="R46" s="53">
        <f t="shared" si="5"/>
        <v>0.12</v>
      </c>
      <c r="S46" s="53">
        <f t="shared" si="6"/>
        <v>1.0596241035318976E-2</v>
      </c>
      <c r="T46" s="53">
        <f t="shared" si="7"/>
        <v>0</v>
      </c>
      <c r="U46" s="53">
        <f t="shared" si="10"/>
        <v>0</v>
      </c>
    </row>
    <row r="47" spans="1:23" x14ac:dyDescent="0.2">
      <c r="A47" s="62">
        <f t="shared" si="1"/>
        <v>0.33840590074753774</v>
      </c>
      <c r="B47" s="45">
        <f t="shared" si="2"/>
        <v>33</v>
      </c>
      <c r="C47" s="51">
        <f>IF(B47&lt;C$4,C$1,D46-L47+N47)</f>
        <v>35397528.592828982</v>
      </c>
      <c r="D47" s="47" cm="1">
        <f t="array" ref="D47">_xlfn.IFS(AND($C$7="Y",B47&lt;C$4),C47,AND($C$7="Y",B47=C$4),D46+F47-J47-K47-L47+N47,AND($C$7="Y",B47&gt;$C$4),D46-J47-K47-L47+N47, TRUE, D46-J47-K47-L47+N47)</f>
        <v>33840590.074753776</v>
      </c>
      <c r="E47" s="48">
        <f t="shared" si="3"/>
        <v>0</v>
      </c>
      <c r="F47" s="50">
        <f t="shared" si="4"/>
        <v>0</v>
      </c>
      <c r="G47" s="50">
        <f t="shared" si="11"/>
        <v>0</v>
      </c>
      <c r="H47" s="51">
        <f>IF(AND($B47&lt;=$C$4,C$7="Y"),0,IF(AND(C$7="N",C$4&gt;0,B47&lt;=C$4),0,(D46-L47+N47)*C$2/12/(1-(1/(1+C$2/12))^(C$3+C$4-B47+1))))</f>
        <v>1342004.845901249</v>
      </c>
      <c r="I47" s="52">
        <f>IF(AND(C$7="Y",$B47&lt;=C$4),0,IF(AND(C$7="Y",$B47&gt;C$4),(1-U47)*C$2*D46/12,IF(AND($C$7="N",C$4&gt;0),(1-U47)*D46*C$2/12, (1-U47)*D46*C$2/12)))</f>
        <v>147489.70247012077</v>
      </c>
      <c r="J47" s="52">
        <f>IF(AND($B47&lt;=$C$4,C$7="Y"),0,IF(AND(C$7="N",C$4&gt;0,B47&lt;=C$4),0,H47-I47))</f>
        <v>1194515.1434311282</v>
      </c>
      <c r="K47" s="51">
        <f>IF(AND(C$7="Y",$B47&lt;=$C$4),0,IF(AND(C$7="N",C$4&gt;0,B47&lt;=C$4),0,S47*(C47-J47)))</f>
        <v>362423.37464407639</v>
      </c>
      <c r="L47" s="49">
        <f>IF(AND(C$7="Y",$B47&lt;=$C$4),0,IF(AND(C$7="N",C$4&gt;0,B47&lt;=C$4),0,U47*D46))</f>
        <v>0</v>
      </c>
      <c r="M47" s="49">
        <f t="shared" si="19"/>
        <v>0</v>
      </c>
      <c r="N47" s="49">
        <f t="shared" si="18"/>
        <v>0</v>
      </c>
      <c r="O47" s="48">
        <f>K47+I47+J47-L47+N47+G47</f>
        <v>1704428.2205453254</v>
      </c>
      <c r="P47" s="38">
        <f>O47*(1/((1+P$12)^(B47/12)))</f>
        <v>1704428.2205453254</v>
      </c>
      <c r="Q47" s="53"/>
      <c r="R47" s="53">
        <f t="shared" si="5"/>
        <v>0.12</v>
      </c>
      <c r="S47" s="53">
        <f t="shared" si="6"/>
        <v>1.0596241035318976E-2</v>
      </c>
      <c r="T47" s="53">
        <f t="shared" si="7"/>
        <v>0</v>
      </c>
      <c r="U47" s="53">
        <f t="shared" si="10"/>
        <v>0</v>
      </c>
    </row>
    <row r="48" spans="1:23" x14ac:dyDescent="0.2">
      <c r="A48" s="62">
        <f t="shared" si="1"/>
        <v>0.32307800275145909</v>
      </c>
      <c r="B48" s="45">
        <f t="shared" si="2"/>
        <v>34</v>
      </c>
      <c r="C48" s="51">
        <f>IF(B48&lt;C$4,C$1,D47-L48+N48)</f>
        <v>33840590.074753776</v>
      </c>
      <c r="D48" s="47" cm="1">
        <f t="array" ref="D48">_xlfn.IFS(AND($C$7="Y",B48&lt;C$4),C48,AND($C$7="Y",B48=C$4),D47+F48-J48-K48-L48+N48,AND($C$7="Y",B48&gt;$C$4),D47-J48-K48-L48+N48, TRUE, D47-J48-K48-L48+N48)</f>
        <v>32307800.275145907</v>
      </c>
      <c r="E48" s="48">
        <f t="shared" si="3"/>
        <v>0</v>
      </c>
      <c r="F48" s="50">
        <f t="shared" si="4"/>
        <v>0</v>
      </c>
      <c r="G48" s="50">
        <f t="shared" si="11"/>
        <v>0</v>
      </c>
      <c r="H48" s="51">
        <f>IF(AND($B48&lt;=$C$4,C$7="Y"),0,IF(AND(C$7="N",C$4&gt;0,B48&lt;=C$4),0,(D47-L48+N48)*C$2/12/(1-(1/(1+C$2/12))^(C$3+C$4-B48+1))))</f>
        <v>1327784.6390835126</v>
      </c>
      <c r="I48" s="52">
        <f>IF(AND(C$7="Y",$B48&lt;=C$4),0,IF(AND(C$7="Y",$B48&gt;C$4),(1-U48)*C$2*D47/12,IF(AND($C$7="N",C$4&gt;0),(1-U48)*D47*C$2/12, (1-U48)*D47*C$2/12)))</f>
        <v>141002.45864480743</v>
      </c>
      <c r="J48" s="52">
        <f>IF(AND($B48&lt;=$C$4,C$7="Y"),0,IF(AND(C$7="N",C$4&gt;0,B48&lt;=C$4),0,H48-I48))</f>
        <v>1186782.1804387053</v>
      </c>
      <c r="K48" s="51">
        <f>IF(AND(C$7="Y",$B48&lt;=$C$4),0,IF(AND(C$7="N",C$4&gt;0,B48&lt;=C$4),0,S48*(C48-J48)))</f>
        <v>346007.6191691641</v>
      </c>
      <c r="L48" s="49">
        <f>IF(AND(C$7="Y",$B48&lt;=$C$4),0,IF(AND(C$7="N",C$4&gt;0,B48&lt;=C$4),0,U48*D47))</f>
        <v>0</v>
      </c>
      <c r="M48" s="49">
        <f t="shared" si="19"/>
        <v>0</v>
      </c>
      <c r="N48" s="49">
        <f t="shared" si="18"/>
        <v>0</v>
      </c>
      <c r="O48" s="48">
        <f>K48+I48+J48-L48+N48+G48</f>
        <v>1673792.2582526768</v>
      </c>
      <c r="P48" s="38">
        <f>O48*(1/((1+P$12)^(B48/12)))</f>
        <v>1673792.2582526768</v>
      </c>
      <c r="Q48" s="53"/>
      <c r="R48" s="53">
        <f t="shared" si="5"/>
        <v>0.12</v>
      </c>
      <c r="S48" s="53">
        <f t="shared" si="6"/>
        <v>1.0596241035318976E-2</v>
      </c>
      <c r="T48" s="53">
        <f t="shared" si="7"/>
        <v>0</v>
      </c>
      <c r="U48" s="53">
        <f t="shared" si="10"/>
        <v>0</v>
      </c>
    </row>
    <row r="49" spans="1:21" x14ac:dyDescent="0.2">
      <c r="A49" s="62">
        <f t="shared" si="1"/>
        <v>0.30798853777744323</v>
      </c>
      <c r="B49" s="45">
        <f t="shared" si="2"/>
        <v>35</v>
      </c>
      <c r="C49" s="51">
        <f>IF(B49&lt;C$4,C$1,D48-L49+N49)</f>
        <v>32307800.275145907</v>
      </c>
      <c r="D49" s="47" cm="1">
        <f t="array" ref="D49">_xlfn.IFS(AND($C$7="Y",B49&lt;C$4),C49,AND($C$7="Y",B49=C$4),D48+F49-J49-K49-L49+N49,AND($C$7="Y",B49&gt;$C$4),D48-J49-K49-L49+N49, TRUE, D48-J49-K49-L49+N49)</f>
        <v>30798853.777744323</v>
      </c>
      <c r="E49" s="48">
        <f t="shared" si="3"/>
        <v>0</v>
      </c>
      <c r="F49" s="50">
        <f t="shared" si="4"/>
        <v>0</v>
      </c>
      <c r="G49" s="50">
        <f t="shared" si="11"/>
        <v>0</v>
      </c>
      <c r="H49" s="51">
        <f>IF(AND($B49&lt;=$C$4,C$7="Y"),0,IF(AND(C$7="N",C$4&gt;0,B49&lt;=C$4),0,(D48-L49+N49)*C$2/12/(1-(1/(1+C$2/12))^(C$3+C$4-B49+1))))</f>
        <v>1313715.1130047892</v>
      </c>
      <c r="I49" s="52">
        <f>IF(AND(C$7="Y",$B49&lt;=C$4),0,IF(AND(C$7="Y",$B49&gt;C$4),(1-U49)*C$2*D48/12,IF(AND($C$7="N",C$4&gt;0),(1-U49)*D48*C$2/12, (1-U49)*D48*C$2/12)))</f>
        <v>134615.83447977461</v>
      </c>
      <c r="J49" s="52">
        <f>IF(AND($B49&lt;=$C$4,C$7="Y"),0,IF(AND(C$7="N",C$4&gt;0,B49&lt;=C$4),0,H49-I49))</f>
        <v>1179099.2785250146</v>
      </c>
      <c r="K49" s="51">
        <f>IF(AND(C$7="Y",$B49&lt;=$C$4),0,IF(AND(C$7="N",C$4&gt;0,B49&lt;=C$4),0,S49*(C49-J49)))</f>
        <v>329847.21887656901</v>
      </c>
      <c r="L49" s="49">
        <f>IF(AND(C$7="Y",$B49&lt;=$C$4),0,IF(AND(C$7="N",C$4&gt;0,B49&lt;=C$4),0,U49*D48))</f>
        <v>0</v>
      </c>
      <c r="M49" s="49">
        <f t="shared" si="19"/>
        <v>0</v>
      </c>
      <c r="N49" s="49">
        <f t="shared" si="18"/>
        <v>0</v>
      </c>
      <c r="O49" s="48">
        <f>K49+I49+J49-L49+N49+G49</f>
        <v>1643562.3318813583</v>
      </c>
      <c r="P49" s="38">
        <f>O49*(1/((1+P$12)^(B49/12)))</f>
        <v>1643562.3318813583</v>
      </c>
      <c r="Q49" s="53"/>
      <c r="R49" s="53">
        <f t="shared" si="5"/>
        <v>0.12</v>
      </c>
      <c r="S49" s="53">
        <f t="shared" si="6"/>
        <v>1.0596241035318976E-2</v>
      </c>
      <c r="T49" s="53">
        <f t="shared" si="7"/>
        <v>0</v>
      </c>
      <c r="U49" s="53">
        <f t="shared" si="10"/>
        <v>0</v>
      </c>
    </row>
    <row r="50" spans="1:21" x14ac:dyDescent="0.2">
      <c r="A50" s="62">
        <f t="shared" si="1"/>
        <v>0.29313448723199925</v>
      </c>
      <c r="B50" s="45">
        <f t="shared" si="2"/>
        <v>36</v>
      </c>
      <c r="C50" s="51">
        <f>IF(B50&lt;C$4,C$1,D49-L50+N50)</f>
        <v>30798853.777744323</v>
      </c>
      <c r="D50" s="47" cm="1">
        <f t="array" ref="D50">_xlfn.IFS(AND($C$7="Y",B50&lt;C$4),C50,AND($C$7="Y",B50=C$4),D49+F50-J50-K50-L50+N50,AND($C$7="Y",B50&gt;$C$4),D49-J50-K50-L50+N50, TRUE, D49-J50-K50-L50+N50)</f>
        <v>29313448.723199923</v>
      </c>
      <c r="E50" s="48">
        <f t="shared" si="3"/>
        <v>0</v>
      </c>
      <c r="F50" s="50">
        <f t="shared" si="4"/>
        <v>0</v>
      </c>
      <c r="G50" s="50">
        <f t="shared" si="11"/>
        <v>0</v>
      </c>
      <c r="H50" s="51">
        <f>IF(AND($B50&lt;=$C$4,C$7="Y"),0,IF(AND(C$7="N",C$4&gt;0,B50&lt;=C$4),0,(D49-L50+N50)*C$2/12/(1-(1/(1+C$2/12))^(C$3+C$4-B50+1))))</f>
        <v>1299794.6710156479</v>
      </c>
      <c r="I50" s="52">
        <f>IF(AND(C$7="Y",$B50&lt;=C$4),0,IF(AND(C$7="Y",$B50&gt;C$4),(1-U50)*C$2*D49/12,IF(AND($C$7="N",C$4&gt;0),(1-U50)*D49*C$2/12, (1-U50)*D49*C$2/12)))</f>
        <v>128328.55740726802</v>
      </c>
      <c r="J50" s="52">
        <f>IF(AND($B50&lt;=$C$4,C$7="Y"),0,IF(AND(C$7="N",C$4&gt;0,B50&lt;=C$4),0,H50-I50))</f>
        <v>1171466.1136083798</v>
      </c>
      <c r="K50" s="51">
        <f>IF(AND(C$7="Y",$B50&lt;=$C$4),0,IF(AND(C$7="N",C$4&gt;0,B50&lt;=C$4),0,S50*(C50-J50)))</f>
        <v>313938.94093602052</v>
      </c>
      <c r="L50" s="49">
        <f>IF(AND(C$7="Y",$B50&lt;=$C$4),0,IF(AND(C$7="N",C$4&gt;0,B50&lt;=C$4),0,U50*D49))</f>
        <v>0</v>
      </c>
      <c r="M50" s="49">
        <f t="shared" si="19"/>
        <v>0</v>
      </c>
      <c r="N50" s="49">
        <f t="shared" si="18"/>
        <v>0</v>
      </c>
      <c r="O50" s="48">
        <f>K50+I50+J50-L50+N50+G50</f>
        <v>1613733.6119516683</v>
      </c>
      <c r="P50" s="38">
        <f>O50*(1/((1+P$12)^(B50/12)))</f>
        <v>1613733.6119516683</v>
      </c>
      <c r="Q50" s="53"/>
      <c r="R50" s="53">
        <f t="shared" si="5"/>
        <v>0.12</v>
      </c>
      <c r="S50" s="53">
        <f t="shared" si="6"/>
        <v>1.0596241035318976E-2</v>
      </c>
      <c r="T50" s="53">
        <f t="shared" si="7"/>
        <v>0</v>
      </c>
      <c r="U50" s="53">
        <f t="shared" si="10"/>
        <v>0</v>
      </c>
    </row>
    <row r="51" spans="1:21" x14ac:dyDescent="0.2">
      <c r="A51" s="62">
        <f t="shared" si="1"/>
        <v>0.27851286769309869</v>
      </c>
      <c r="B51" s="45">
        <f t="shared" si="2"/>
        <v>37</v>
      </c>
      <c r="C51" s="51">
        <f>IF(B51&lt;C$4,C$1,D50-L51+N51)</f>
        <v>29313448.723199923</v>
      </c>
      <c r="D51" s="47" cm="1">
        <f t="array" ref="D51">_xlfn.IFS(AND($C$7="Y",B51&lt;C$4),C51,AND($C$7="Y",B51=C$4),D50+F51-J51-K51-L51+N51,AND($C$7="Y",B51&gt;$C$4),D50-J51-K51-L51+N51, TRUE, D50-J51-K51-L51+N51)</f>
        <v>27851286.769309867</v>
      </c>
      <c r="E51" s="48">
        <f t="shared" si="3"/>
        <v>0</v>
      </c>
      <c r="F51" s="50">
        <f t="shared" si="4"/>
        <v>0</v>
      </c>
      <c r="G51" s="50">
        <f t="shared" si="11"/>
        <v>0</v>
      </c>
      <c r="H51" s="51">
        <f>IF(AND($B51&lt;=$C$4,C$7="Y"),0,IF(AND(C$7="N",C$4&gt;0,B51&lt;=C$4),0,(D50-L51+N51)*C$2/12/(1-(1/(1+C$2/12))^(C$3+C$4-B51+1))))</f>
        <v>1286021.7333851433</v>
      </c>
      <c r="I51" s="52">
        <f>IF(AND(C$7="Y",$B51&lt;=C$4),0,IF(AND(C$7="Y",$B51&gt;C$4),(1-U51)*C$2*D50/12,IF(AND($C$7="N",C$4&gt;0),(1-U51)*D50*C$2/12, (1-U51)*D50*C$2/12)))</f>
        <v>122139.3696799997</v>
      </c>
      <c r="J51" s="52">
        <f>IF(AND($B51&lt;=$C$4,C$7="Y"),0,IF(AND(C$7="N",C$4&gt;0,B51&lt;=C$4),0,H51-I51))</f>
        <v>1163882.3637051436</v>
      </c>
      <c r="K51" s="51">
        <f>IF(AND(C$7="Y",$B51&lt;=$C$4),0,IF(AND(C$7="N",C$4&gt;0,B51&lt;=C$4),0,S51*(C51-J51)))</f>
        <v>298279.59018491319</v>
      </c>
      <c r="L51" s="49">
        <f>IF(AND(C$7="Y",$B51&lt;=$C$4),0,IF(AND(C$7="N",C$4&gt;0,B51&lt;=C$4),0,U51*D50))</f>
        <v>0</v>
      </c>
      <c r="M51" s="49">
        <f t="shared" si="19"/>
        <v>0</v>
      </c>
      <c r="N51" s="49">
        <f t="shared" si="18"/>
        <v>0</v>
      </c>
      <c r="O51" s="48">
        <f>K51+I51+J51-L51+N51+G51</f>
        <v>1584301.3235700564</v>
      </c>
      <c r="P51" s="38">
        <f>O51*(1/((1+P$12)^(B51/12)))</f>
        <v>1584301.3235700564</v>
      </c>
      <c r="Q51" s="53"/>
      <c r="R51" s="53">
        <f t="shared" si="5"/>
        <v>0.12</v>
      </c>
      <c r="S51" s="53">
        <f t="shared" si="6"/>
        <v>1.0596241035318976E-2</v>
      </c>
      <c r="T51" s="53">
        <f t="shared" si="7"/>
        <v>0</v>
      </c>
      <c r="U51" s="53">
        <f t="shared" si="10"/>
        <v>0</v>
      </c>
    </row>
    <row r="52" spans="1:21" x14ac:dyDescent="0.2">
      <c r="A52" s="62">
        <f t="shared" si="1"/>
        <v>0.26412073051686707</v>
      </c>
      <c r="B52" s="45">
        <f t="shared" si="2"/>
        <v>38</v>
      </c>
      <c r="C52" s="51">
        <f>IF(B52&lt;C$4,C$1,D51-L52+N52)</f>
        <v>27851286.769309867</v>
      </c>
      <c r="D52" s="47" cm="1">
        <f t="array" ref="D52">_xlfn.IFS(AND($C$7="Y",B52&lt;C$4),C52,AND($C$7="Y",B52=C$4),D51+F52-J52-K52-L52+N52,AND($C$7="Y",B52&gt;$C$4),D51-J52-K52-L52+N52, TRUE, D51-J52-K52-L52+N52)</f>
        <v>26412073.051686708</v>
      </c>
      <c r="E52" s="48">
        <f t="shared" si="3"/>
        <v>0</v>
      </c>
      <c r="F52" s="50">
        <f t="shared" si="4"/>
        <v>0</v>
      </c>
      <c r="G52" s="50">
        <f t="shared" si="11"/>
        <v>0</v>
      </c>
      <c r="H52" s="51">
        <f>IF(AND($B52&lt;=$C$4,C$7="Y"),0,IF(AND(C$7="N",C$4&gt;0,B52&lt;=C$4),0,(D51-L52+N52)*C$2/12/(1-(1/(1+C$2/12))^(C$3+C$4-B52+1))))</f>
        <v>1272394.7371215345</v>
      </c>
      <c r="I52" s="52">
        <f>IF(AND(C$7="Y",$B52&lt;=C$4),0,IF(AND(C$7="Y",$B52&gt;C$4),(1-U52)*C$2*D51/12,IF(AND($C$7="N",C$4&gt;0),(1-U52)*D51*C$2/12, (1-U52)*D51*C$2/12)))</f>
        <v>116047.02820545778</v>
      </c>
      <c r="J52" s="52">
        <f>IF(AND($B52&lt;=$C$4,C$7="Y"),0,IF(AND(C$7="N",C$4&gt;0,B52&lt;=C$4),0,H52-I52))</f>
        <v>1156347.7089160767</v>
      </c>
      <c r="K52" s="51">
        <f>IF(AND(C$7="Y",$B52&lt;=$C$4),0,IF(AND(C$7="N",C$4&gt;0,B52&lt;=C$4),0,S52*(C52-J52)))</f>
        <v>282866.00870708411</v>
      </c>
      <c r="L52" s="49">
        <f>IF(AND(C$7="Y",$B52&lt;=$C$4),0,IF(AND(C$7="N",C$4&gt;0,B52&lt;=C$4),0,U52*D51))</f>
        <v>0</v>
      </c>
      <c r="M52" s="49">
        <f t="shared" si="19"/>
        <v>0</v>
      </c>
      <c r="N52" s="49">
        <f t="shared" si="18"/>
        <v>0</v>
      </c>
      <c r="O52" s="48">
        <f>K52+I52+J52-L52+N52+G52</f>
        <v>1555260.7458286185</v>
      </c>
      <c r="P52" s="38">
        <f>O52*(1/((1+P$12)^(B52/12)))</f>
        <v>1555260.7458286185</v>
      </c>
      <c r="Q52" s="53"/>
      <c r="R52" s="53">
        <f t="shared" si="5"/>
        <v>0.12</v>
      </c>
      <c r="S52" s="53">
        <f t="shared" si="6"/>
        <v>1.0596241035318976E-2</v>
      </c>
      <c r="T52" s="53">
        <f t="shared" si="7"/>
        <v>0</v>
      </c>
      <c r="U52" s="53">
        <f t="shared" si="10"/>
        <v>0</v>
      </c>
    </row>
    <row r="53" spans="1:21" x14ac:dyDescent="0.2">
      <c r="A53" s="62">
        <f t="shared" si="1"/>
        <v>0.24995516144857616</v>
      </c>
      <c r="B53" s="45">
        <f t="shared" si="2"/>
        <v>39</v>
      </c>
      <c r="C53" s="51">
        <f>IF(B53&lt;C$4,C$1,D52-L53+N53)</f>
        <v>26412073.051686708</v>
      </c>
      <c r="D53" s="47" cm="1">
        <f t="array" ref="D53">_xlfn.IFS(AND($C$7="Y",B53&lt;C$4),C53,AND($C$7="Y",B53=C$4),D52+F53-J53-K53-L53+N53,AND($C$7="Y",B53&gt;$C$4),D52-J53-K53-L53+N53, TRUE, D52-J53-K53-L53+N53)</f>
        <v>24995516.144857615</v>
      </c>
      <c r="E53" s="48">
        <f t="shared" si="3"/>
        <v>0</v>
      </c>
      <c r="F53" s="50">
        <f t="shared" si="4"/>
        <v>0</v>
      </c>
      <c r="G53" s="50">
        <f t="shared" si="11"/>
        <v>0</v>
      </c>
      <c r="H53" s="51">
        <f>IF(AND($B53&lt;=$C$4,C$7="Y"),0,IF(AND(C$7="N",C$4&gt;0,B53&lt;=C$4),0,(D52-L53+N53)*C$2/12/(1-(1/(1+C$2/12))^(C$3+C$4-B53+1))))</f>
        <v>1258912.1357949239</v>
      </c>
      <c r="I53" s="52">
        <f>IF(AND(C$7="Y",$B53&lt;=C$4),0,IF(AND(C$7="Y",$B53&gt;C$4),(1-U53)*C$2*D52/12,IF(AND($C$7="N",C$4&gt;0),(1-U53)*D52*C$2/12, (1-U53)*D52*C$2/12)))</f>
        <v>110050.30438202796</v>
      </c>
      <c r="J53" s="52">
        <f>IF(AND($B53&lt;=$C$4,C$7="Y"),0,IF(AND(C$7="N",C$4&gt;0,B53&lt;=C$4),0,H53-I53))</f>
        <v>1148861.8314128958</v>
      </c>
      <c r="K53" s="51">
        <f>IF(AND(C$7="Y",$B53&lt;=$C$4),0,IF(AND(C$7="N",C$4&gt;0,B53&lt;=C$4),0,S53*(C53-J53)))</f>
        <v>267695.07541619614</v>
      </c>
      <c r="L53" s="49">
        <f>IF(AND(C$7="Y",$B53&lt;=$C$4),0,IF(AND(C$7="N",C$4&gt;0,B53&lt;=C$4),0,U53*D52))</f>
        <v>0</v>
      </c>
      <c r="M53" s="49">
        <f t="shared" si="19"/>
        <v>0</v>
      </c>
      <c r="N53" s="49">
        <f t="shared" si="18"/>
        <v>0</v>
      </c>
      <c r="O53" s="48">
        <f>K53+I53+J53-L53+N53+G53</f>
        <v>1526607.2112111198</v>
      </c>
      <c r="P53" s="38">
        <f>O53*(1/((1+P$12)^(B53/12)))</f>
        <v>1526607.2112111198</v>
      </c>
      <c r="Q53" s="53"/>
      <c r="R53" s="53">
        <f t="shared" si="5"/>
        <v>0.12</v>
      </c>
      <c r="S53" s="53">
        <f t="shared" si="6"/>
        <v>1.0596241035318976E-2</v>
      </c>
      <c r="T53" s="53">
        <f t="shared" si="7"/>
        <v>0</v>
      </c>
      <c r="U53" s="53">
        <f t="shared" si="10"/>
        <v>0</v>
      </c>
    </row>
    <row r="54" spans="1:21" x14ac:dyDescent="0.2">
      <c r="A54" s="62">
        <f t="shared" si="1"/>
        <v>0.23601328023789089</v>
      </c>
      <c r="B54" s="45">
        <f t="shared" si="2"/>
        <v>40</v>
      </c>
      <c r="C54" s="51">
        <f>IF(B54&lt;C$4,C$1,D53-L54+N54)</f>
        <v>24995516.144857615</v>
      </c>
      <c r="D54" s="47" cm="1">
        <f t="array" ref="D54">_xlfn.IFS(AND($C$7="Y",B54&lt;C$4),C54,AND($C$7="Y",B54=C$4),D53+F54-J54-K54-L54+N54,AND($C$7="Y",B54&gt;$C$4),D53-J54-K54-L54+N54, TRUE, D53-J54-K54-L54+N54)</f>
        <v>23601328.023789089</v>
      </c>
      <c r="E54" s="48">
        <f t="shared" si="3"/>
        <v>0</v>
      </c>
      <c r="F54" s="50">
        <f t="shared" si="4"/>
        <v>0</v>
      </c>
      <c r="G54" s="50">
        <f t="shared" si="11"/>
        <v>0</v>
      </c>
      <c r="H54" s="51">
        <f>IF(AND($B54&lt;=$C$4,C$7="Y"),0,IF(AND(C$7="N",C$4&gt;0,B54&lt;=C$4),0,(D53-L54+N54)*C$2/12/(1-(1/(1+C$2/12))^(C$3+C$4-B54+1))))</f>
        <v>1245572.3993617522</v>
      </c>
      <c r="I54" s="52">
        <f>IF(AND(C$7="Y",$B54&lt;=C$4),0,IF(AND(C$7="Y",$B54&gt;C$4),(1-U54)*C$2*D53/12,IF(AND($C$7="N",C$4&gt;0),(1-U54)*D53*C$2/12, (1-U54)*D53*C$2/12)))</f>
        <v>104147.98393690673</v>
      </c>
      <c r="J54" s="52">
        <f>IF(AND($B54&lt;=$C$4,C$7="Y"),0,IF(AND(C$7="N",C$4&gt;0,B54&lt;=C$4),0,H54-I54))</f>
        <v>1141424.4154248454</v>
      </c>
      <c r="K54" s="51">
        <f>IF(AND(C$7="Y",$B54&lt;=$C$4),0,IF(AND(C$7="N",C$4&gt;0,B54&lt;=C$4),0,S54*(C54-J54)))</f>
        <v>252763.70564367852</v>
      </c>
      <c r="L54" s="49">
        <f>IF(AND(C$7="Y",$B54&lt;=$C$4),0,IF(AND(C$7="N",C$4&gt;0,B54&lt;=C$4),0,U54*D53))</f>
        <v>0</v>
      </c>
      <c r="M54" s="49">
        <f t="shared" si="19"/>
        <v>0</v>
      </c>
      <c r="N54" s="49">
        <f t="shared" si="18"/>
        <v>0</v>
      </c>
      <c r="O54" s="48">
        <f>K54+I54+J54-L54+N54+G54</f>
        <v>1498336.1050054305</v>
      </c>
      <c r="P54" s="38">
        <f>O54*(1/((1+P$12)^(B54/12)))</f>
        <v>1498336.1050054305</v>
      </c>
      <c r="Q54" s="53"/>
      <c r="R54" s="53">
        <f t="shared" si="5"/>
        <v>0.12</v>
      </c>
      <c r="S54" s="53">
        <f t="shared" si="6"/>
        <v>1.0596241035318976E-2</v>
      </c>
      <c r="T54" s="53">
        <f t="shared" si="7"/>
        <v>0</v>
      </c>
      <c r="U54" s="53">
        <f t="shared" si="10"/>
        <v>0</v>
      </c>
    </row>
    <row r="55" spans="1:21" x14ac:dyDescent="0.2">
      <c r="A55" s="62">
        <f t="shared" si="1"/>
        <v>0.22229224025832531</v>
      </c>
      <c r="B55" s="45">
        <f t="shared" si="2"/>
        <v>41</v>
      </c>
      <c r="C55" s="51">
        <f>IF(B55&lt;C$4,C$1,D54-L55+N55)</f>
        <v>23601328.023789089</v>
      </c>
      <c r="D55" s="47" cm="1">
        <f t="array" ref="D55">_xlfn.IFS(AND($C$7="Y",B55&lt;C$4),C55,AND($C$7="Y",B55=C$4),D54+F55-J55-K55-L55+N55,AND($C$7="Y",B55&gt;$C$4),D54-J55-K55-L55+N55, TRUE, D54-J55-K55-L55+N55)</f>
        <v>22229224.02583253</v>
      </c>
      <c r="E55" s="48">
        <f t="shared" si="3"/>
        <v>0</v>
      </c>
      <c r="F55" s="50">
        <f t="shared" si="4"/>
        <v>0</v>
      </c>
      <c r="G55" s="50">
        <f t="shared" si="11"/>
        <v>0</v>
      </c>
      <c r="H55" s="51">
        <f>IF(AND($B55&lt;=$C$4,C$7="Y"),0,IF(AND(C$7="N",C$4&gt;0,B55&lt;=C$4),0,(D54-L55+N55)*C$2/12/(1-(1/(1+C$2/12))^(C$3+C$4-B55+1))))</f>
        <v>1232374.0139911729</v>
      </c>
      <c r="I55" s="52">
        <f>IF(AND(C$7="Y",$B55&lt;=C$4),0,IF(AND(C$7="Y",$B55&gt;C$4),(1-U55)*C$2*D54/12,IF(AND($C$7="N",C$4&gt;0),(1-U55)*D54*C$2/12, (1-U55)*D54*C$2/12)))</f>
        <v>98338.866765787883</v>
      </c>
      <c r="J55" s="52">
        <f>IF(AND($B55&lt;=$C$4,C$7="Y"),0,IF(AND(C$7="N",C$4&gt;0,B55&lt;=C$4),0,H55-I55))</f>
        <v>1134035.1472253851</v>
      </c>
      <c r="K55" s="51">
        <f>IF(AND(C$7="Y",$B55&lt;=$C$4),0,IF(AND(C$7="N",C$4&gt;0,B55&lt;=C$4),0,S55*(C55-J55)))</f>
        <v>238068.85073117405</v>
      </c>
      <c r="L55" s="49">
        <f>IF(AND(C$7="Y",$B55&lt;=$C$4),0,IF(AND(C$7="N",C$4&gt;0,B55&lt;=C$4),0,U55*D54))</f>
        <v>0</v>
      </c>
      <c r="M55" s="49">
        <f t="shared" si="19"/>
        <v>0</v>
      </c>
      <c r="N55" s="49">
        <f t="shared" si="18"/>
        <v>0</v>
      </c>
      <c r="O55" s="48">
        <f>K55+I55+J55-L55+N55+G55</f>
        <v>1470442.8647223469</v>
      </c>
      <c r="P55" s="38">
        <f>O55*(1/((1+P$12)^(B55/12)))</f>
        <v>1470442.8647223469</v>
      </c>
      <c r="Q55" s="53"/>
      <c r="R55" s="53">
        <f t="shared" si="5"/>
        <v>0.12</v>
      </c>
      <c r="S55" s="53">
        <f t="shared" si="6"/>
        <v>1.0596241035318976E-2</v>
      </c>
      <c r="T55" s="53">
        <f t="shared" si="7"/>
        <v>0</v>
      </c>
      <c r="U55" s="53">
        <f t="shared" si="10"/>
        <v>0</v>
      </c>
    </row>
    <row r="56" spans="1:21" x14ac:dyDescent="0.2">
      <c r="A56" s="62">
        <f t="shared" si="1"/>
        <v>0.20878922813086129</v>
      </c>
      <c r="B56" s="45">
        <f t="shared" si="2"/>
        <v>42</v>
      </c>
      <c r="C56" s="51">
        <f>IF(B56&lt;C$4,C$1,D55-L56+N56)</f>
        <v>22229224.02583253</v>
      </c>
      <c r="D56" s="47" cm="1">
        <f t="array" ref="D56">_xlfn.IFS(AND($C$7="Y",B56&lt;C$4),C56,AND($C$7="Y",B56=C$4),D55+F56-J56-K56-L56+N56,AND($C$7="Y",B56&gt;$C$4),D55-J56-K56-L56+N56, TRUE, D55-J56-K56-L56+N56)</f>
        <v>20878922.81308613</v>
      </c>
      <c r="E56" s="48">
        <f t="shared" si="3"/>
        <v>0</v>
      </c>
      <c r="F56" s="50">
        <f t="shared" si="4"/>
        <v>0</v>
      </c>
      <c r="G56" s="50">
        <f t="shared" si="11"/>
        <v>0</v>
      </c>
      <c r="H56" s="51">
        <f>IF(AND($B56&lt;=$C$4,C$7="Y"),0,IF(AND(C$7="N",C$4&gt;0,B56&lt;=C$4),0,(D55-L56+N56)*C$2/12/(1-(1/(1+C$2/12))^(C$3+C$4-B56+1))))</f>
        <v>1219315.4818932596</v>
      </c>
      <c r="I56" s="52">
        <f>IF(AND(C$7="Y",$B56&lt;=C$4),0,IF(AND(C$7="Y",$B56&gt;C$4),(1-U56)*C$2*D55/12,IF(AND($C$7="N",C$4&gt;0),(1-U56)*D55*C$2/12, (1-U56)*D55*C$2/12)))</f>
        <v>92621.766774302218</v>
      </c>
      <c r="J56" s="52">
        <f>IF(AND($B56&lt;=$C$4,C$7="Y"),0,IF(AND(C$7="N",C$4&gt;0,B56&lt;=C$4),0,H56-I56))</f>
        <v>1126693.7151189575</v>
      </c>
      <c r="K56" s="51">
        <f>IF(AND(C$7="Y",$B56&lt;=$C$4),0,IF(AND(C$7="N",C$4&gt;0,B56&lt;=C$4),0,S56*(C56-J56)))</f>
        <v>223607.49762744567</v>
      </c>
      <c r="L56" s="49">
        <f>IF(AND(C$7="Y",$B56&lt;=$C$4),0,IF(AND(C$7="N",C$4&gt;0,B56&lt;=C$4),0,U56*D55))</f>
        <v>0</v>
      </c>
      <c r="M56" s="49">
        <f t="shared" si="19"/>
        <v>0</v>
      </c>
      <c r="N56" s="49">
        <f t="shared" si="18"/>
        <v>0</v>
      </c>
      <c r="O56" s="48">
        <f>K56+I56+J56-L56+N56+G56</f>
        <v>1442922.9795207053</v>
      </c>
      <c r="P56" s="38">
        <f>O56*(1/((1+P$12)^(B56/12)))</f>
        <v>1442922.9795207053</v>
      </c>
      <c r="Q56" s="53"/>
      <c r="R56" s="53">
        <f t="shared" si="5"/>
        <v>0.12</v>
      </c>
      <c r="S56" s="53">
        <f t="shared" si="6"/>
        <v>1.0596241035318976E-2</v>
      </c>
      <c r="T56" s="53">
        <f t="shared" si="7"/>
        <v>0</v>
      </c>
      <c r="U56" s="53">
        <f t="shared" si="10"/>
        <v>0</v>
      </c>
    </row>
    <row r="57" spans="1:21" x14ac:dyDescent="0.2">
      <c r="A57" s="62">
        <f t="shared" si="1"/>
        <v>0.19550146335168603</v>
      </c>
      <c r="B57" s="45">
        <f t="shared" si="2"/>
        <v>43</v>
      </c>
      <c r="C57" s="51">
        <f>IF(B57&lt;C$4,C$1,D56-L57+N57)</f>
        <v>20878922.81308613</v>
      </c>
      <c r="D57" s="47" cm="1">
        <f t="array" ref="D57">_xlfn.IFS(AND($C$7="Y",B57&lt;C$4),C57,AND($C$7="Y",B57=C$4),D56+F57-J57-K57-L57+N57,AND($C$7="Y",B57&gt;$C$4),D56-J57-K57-L57+N57, TRUE, D56-J57-K57-L57+N57)</f>
        <v>19550146.335168604</v>
      </c>
      <c r="E57" s="48">
        <f t="shared" si="3"/>
        <v>0</v>
      </c>
      <c r="F57" s="50">
        <f t="shared" si="4"/>
        <v>0</v>
      </c>
      <c r="G57" s="50">
        <f t="shared" si="11"/>
        <v>0</v>
      </c>
      <c r="H57" s="51">
        <f>IF(AND($B57&lt;=$C$4,C$7="Y"),0,IF(AND(C$7="N",C$4&gt;0,B57&lt;=C$4),0,(D56-L57+N57)*C$2/12/(1-(1/(1+C$2/12))^(C$3+C$4-B57+1))))</f>
        <v>1206395.3211490221</v>
      </c>
      <c r="I57" s="52">
        <f>IF(AND(C$7="Y",$B57&lt;=C$4),0,IF(AND(C$7="Y",$B57&gt;C$4),(1-U57)*C$2*D56/12,IF(AND($C$7="N",C$4&gt;0),(1-U57)*D56*C$2/12, (1-U57)*D56*C$2/12)))</f>
        <v>86995.511721192204</v>
      </c>
      <c r="J57" s="52">
        <f>IF(AND($B57&lt;=$C$4,C$7="Y"),0,IF(AND(C$7="N",C$4&gt;0,B57&lt;=C$4),0,H57-I57))</f>
        <v>1119399.8094278299</v>
      </c>
      <c r="K57" s="51">
        <f>IF(AND(C$7="Y",$B57&lt;=$C$4),0,IF(AND(C$7="N",C$4&gt;0,B57&lt;=C$4),0,S57*(C57-J57)))</f>
        <v>209376.66848969334</v>
      </c>
      <c r="L57" s="49">
        <f>IF(AND(C$7="Y",$B57&lt;=$C$4),0,IF(AND(C$7="N",C$4&gt;0,B57&lt;=C$4),0,U57*D56))</f>
        <v>0</v>
      </c>
      <c r="M57" s="49">
        <f t="shared" si="19"/>
        <v>0</v>
      </c>
      <c r="N57" s="49">
        <f t="shared" si="18"/>
        <v>0</v>
      </c>
      <c r="O57" s="48">
        <f>K57+I57+J57-L57+N57+G57</f>
        <v>1415771.9896387155</v>
      </c>
      <c r="P57" s="38">
        <f>O57*(1/((1+P$12)^(B57/12)))</f>
        <v>1415771.9896387155</v>
      </c>
      <c r="Q57" s="53"/>
      <c r="R57" s="53">
        <f t="shared" si="5"/>
        <v>0.12</v>
      </c>
      <c r="S57" s="53">
        <f t="shared" si="6"/>
        <v>1.0596241035318976E-2</v>
      </c>
      <c r="T57" s="53">
        <f t="shared" si="7"/>
        <v>0</v>
      </c>
      <c r="U57" s="53">
        <f t="shared" si="10"/>
        <v>0</v>
      </c>
    </row>
    <row r="58" spans="1:21" x14ac:dyDescent="0.2">
      <c r="A58" s="62">
        <f t="shared" si="1"/>
        <v>0.1824261979240033</v>
      </c>
      <c r="B58" s="45">
        <f t="shared" si="2"/>
        <v>44</v>
      </c>
      <c r="C58" s="51">
        <f>IF(B58&lt;C$4,C$1,D57-L58+N58)</f>
        <v>19550146.335168604</v>
      </c>
      <c r="D58" s="47" cm="1">
        <f t="array" ref="D58">_xlfn.IFS(AND($C$7="Y",B58&lt;C$4),C58,AND($C$7="Y",B58=C$4),D57+F58-J58-K58-L58+N58,AND($C$7="Y",B58&gt;$C$4),D57-J58-K58-L58+N58, TRUE, D57-J58-K58-L58+N58)</f>
        <v>18242619.79240033</v>
      </c>
      <c r="E58" s="48">
        <f t="shared" si="3"/>
        <v>0</v>
      </c>
      <c r="F58" s="50">
        <f t="shared" si="4"/>
        <v>0</v>
      </c>
      <c r="G58" s="50">
        <f t="shared" si="11"/>
        <v>0</v>
      </c>
      <c r="H58" s="51">
        <f>IF(AND($B58&lt;=$C$4,C$7="Y"),0,IF(AND(C$7="N",C$4&gt;0,B58&lt;=C$4),0,(D57-L58+N58)*C$2/12/(1-(1/(1+C$2/12))^(C$3+C$4-B58+1))))</f>
        <v>1193612.0655422444</v>
      </c>
      <c r="I58" s="52">
        <f>IF(AND(C$7="Y",$B58&lt;=C$4),0,IF(AND(C$7="Y",$B58&gt;C$4),(1-U58)*C$2*D57/12,IF(AND($C$7="N",C$4&gt;0),(1-U58)*D57*C$2/12, (1-U58)*D57*C$2/12)))</f>
        <v>81458.943063202518</v>
      </c>
      <c r="J58" s="52">
        <f>IF(AND($B58&lt;=$C$4,C$7="Y"),0,IF(AND(C$7="N",C$4&gt;0,B58&lt;=C$4),0,H58-I58))</f>
        <v>1112153.1224790418</v>
      </c>
      <c r="K58" s="51">
        <f>IF(AND(C$7="Y",$B58&lt;=$C$4),0,IF(AND(C$7="N",C$4&gt;0,B58&lt;=C$4),0,S58*(C58-J58)))</f>
        <v>195373.42028923391</v>
      </c>
      <c r="L58" s="49">
        <f>IF(AND(C$7="Y",$B58&lt;=$C$4),0,IF(AND(C$7="N",C$4&gt;0,B58&lt;=C$4),0,U58*D57))</f>
        <v>0</v>
      </c>
      <c r="M58" s="49">
        <f t="shared" si="19"/>
        <v>0</v>
      </c>
      <c r="N58" s="49">
        <f t="shared" si="18"/>
        <v>0</v>
      </c>
      <c r="O58" s="48">
        <f>K58+I58+J58-L58+N58+G58</f>
        <v>1388985.4858314781</v>
      </c>
      <c r="P58" s="38">
        <f>O58*(1/((1+P$12)^(B58/12)))</f>
        <v>1388985.4858314781</v>
      </c>
      <c r="Q58" s="53"/>
      <c r="R58" s="53">
        <f t="shared" si="5"/>
        <v>0.12</v>
      </c>
      <c r="S58" s="53">
        <f t="shared" si="6"/>
        <v>1.0596241035318976E-2</v>
      </c>
      <c r="T58" s="53">
        <f t="shared" si="7"/>
        <v>0</v>
      </c>
      <c r="U58" s="53">
        <f t="shared" si="10"/>
        <v>0</v>
      </c>
    </row>
    <row r="59" spans="1:21" x14ac:dyDescent="0.2">
      <c r="A59" s="62">
        <f t="shared" si="1"/>
        <v>0.16956071599387407</v>
      </c>
      <c r="B59" s="45">
        <f t="shared" si="2"/>
        <v>45</v>
      </c>
      <c r="C59" s="51">
        <f>IF(B59&lt;C$4,C$1,D58-L59+N59)</f>
        <v>18242619.79240033</v>
      </c>
      <c r="D59" s="47" cm="1">
        <f t="array" ref="D59">_xlfn.IFS(AND($C$7="Y",B59&lt;C$4),C59,AND($C$7="Y",B59=C$4),D58+F59-J59-K59-L59+N59,AND($C$7="Y",B59&gt;$C$4),D58-J59-K59-L59+N59, TRUE, D58-J59-K59-L59+N59)</f>
        <v>16956071.599387407</v>
      </c>
      <c r="E59" s="48">
        <f t="shared" si="3"/>
        <v>0</v>
      </c>
      <c r="F59" s="50">
        <f t="shared" si="4"/>
        <v>0</v>
      </c>
      <c r="G59" s="50">
        <f t="shared" si="11"/>
        <v>0</v>
      </c>
      <c r="H59" s="51">
        <f>IF(AND($B59&lt;=$C$4,C$7="Y"),0,IF(AND(C$7="N",C$4&gt;0,B59&lt;=C$4),0,(D58-L59+N59)*C$2/12/(1-(1/(1+C$2/12))^(C$3+C$4-B59+1))))</f>
        <v>1180964.2643930942</v>
      </c>
      <c r="I59" s="52">
        <f>IF(AND(C$7="Y",$B59&lt;=C$4),0,IF(AND(C$7="Y",$B59&gt;C$4),(1-U59)*C$2*D58/12,IF(AND($C$7="N",C$4&gt;0),(1-U59)*D58*C$2/12, (1-U59)*D58*C$2/12)))</f>
        <v>76010.915801668045</v>
      </c>
      <c r="J59" s="52">
        <f>IF(AND($B59&lt;=$C$4,C$7="Y"),0,IF(AND(C$7="N",C$4&gt;0,B59&lt;=C$4),0,H59-I59))</f>
        <v>1104953.3485914262</v>
      </c>
      <c r="K59" s="51">
        <f>IF(AND(C$7="Y",$B59&lt;=$C$4),0,IF(AND(C$7="N",C$4&gt;0,B59&lt;=C$4),0,S59*(C59-J59)))</f>
        <v>181594.84442149696</v>
      </c>
      <c r="L59" s="49">
        <f>IF(AND(C$7="Y",$B59&lt;=$C$4),0,IF(AND(C$7="N",C$4&gt;0,B59&lt;=C$4),0,U59*D58))</f>
        <v>0</v>
      </c>
      <c r="M59" s="49">
        <f t="shared" si="19"/>
        <v>0</v>
      </c>
      <c r="N59" s="49">
        <f t="shared" si="18"/>
        <v>0</v>
      </c>
      <c r="O59" s="48">
        <f>K59+I59+J59-L59+N59+G59</f>
        <v>1362559.1088145911</v>
      </c>
      <c r="P59" s="38">
        <f>O59*(1/((1+P$12)^(B59/12)))</f>
        <v>1362559.1088145911</v>
      </c>
      <c r="Q59" s="53"/>
      <c r="R59" s="53">
        <f t="shared" si="5"/>
        <v>0.12</v>
      </c>
      <c r="S59" s="53">
        <f t="shared" si="6"/>
        <v>1.0596241035318976E-2</v>
      </c>
      <c r="T59" s="53">
        <f t="shared" si="7"/>
        <v>0</v>
      </c>
      <c r="U59" s="53">
        <f t="shared" si="10"/>
        <v>0</v>
      </c>
    </row>
    <row r="60" spans="1:21" x14ac:dyDescent="0.2">
      <c r="A60" s="62">
        <f t="shared" si="1"/>
        <v>0.15690233349004415</v>
      </c>
      <c r="B60" s="45">
        <f t="shared" si="2"/>
        <v>46</v>
      </c>
      <c r="C60" s="51">
        <f>IF(B60&lt;C$4,C$1,D59-L60+N60)</f>
        <v>16956071.599387407</v>
      </c>
      <c r="D60" s="47" cm="1">
        <f t="array" ref="D60">_xlfn.IFS(AND($C$7="Y",B60&lt;C$4),C60,AND($C$7="Y",B60=C$4),D59+F60-J60-K60-L60+N60,AND($C$7="Y",B60&gt;$C$4),D59-J60-K60-L60+N60, TRUE, D59-J60-K60-L60+N60)</f>
        <v>15690233.349004414</v>
      </c>
      <c r="E60" s="48">
        <f t="shared" si="3"/>
        <v>0</v>
      </c>
      <c r="F60" s="50">
        <f t="shared" si="4"/>
        <v>0</v>
      </c>
      <c r="G60" s="50">
        <f t="shared" si="11"/>
        <v>0</v>
      </c>
      <c r="H60" s="51">
        <f>IF(AND($B60&lt;=$C$4,C$7="Y"),0,IF(AND(C$7="N",C$4&gt;0,B60&lt;=C$4),0,(D59-L60+N60)*C$2/12/(1-(1/(1+C$2/12))^(C$3+C$4-B60+1))))</f>
        <v>1168450.482393486</v>
      </c>
      <c r="I60" s="52">
        <f>IF(AND(C$7="Y",$B60&lt;=C$4),0,IF(AND(C$7="Y",$B60&gt;C$4),(1-U60)*C$2*D59/12,IF(AND($C$7="N",C$4&gt;0),(1-U60)*D59*C$2/12, (1-U60)*D59*C$2/12)))</f>
        <v>70650.298330780861</v>
      </c>
      <c r="J60" s="52">
        <f>IF(AND($B60&lt;=$C$4,C$7="Y"),0,IF(AND(C$7="N",C$4&gt;0,B60&lt;=C$4),0,H60-I60))</f>
        <v>1097800.1840627051</v>
      </c>
      <c r="K60" s="51">
        <f>IF(AND(C$7="Y",$B60&lt;=$C$4),0,IF(AND(C$7="N",C$4&gt;0,B60&lt;=C$4),0,S60*(C60-J60)))</f>
        <v>168038.06632028957</v>
      </c>
      <c r="L60" s="49">
        <f>IF(AND(C$7="Y",$B60&lt;=$C$4),0,IF(AND(C$7="N",C$4&gt;0,B60&lt;=C$4),0,U60*D59))</f>
        <v>0</v>
      </c>
      <c r="M60" s="49">
        <f t="shared" si="19"/>
        <v>0</v>
      </c>
      <c r="N60" s="49">
        <f t="shared" si="18"/>
        <v>0</v>
      </c>
      <c r="O60" s="48">
        <f>K60+I60+J60-L60+N60+G60</f>
        <v>1336488.5487137756</v>
      </c>
      <c r="P60" s="38">
        <f>O60*(1/((1+P$12)^(B60/12)))</f>
        <v>1336488.5487137756</v>
      </c>
      <c r="Q60" s="53"/>
      <c r="R60" s="53">
        <f t="shared" si="5"/>
        <v>0.12</v>
      </c>
      <c r="S60" s="53">
        <f t="shared" si="6"/>
        <v>1.0596241035318976E-2</v>
      </c>
      <c r="T60" s="53">
        <f t="shared" si="7"/>
        <v>0</v>
      </c>
      <c r="U60" s="53">
        <f t="shared" si="10"/>
        <v>0</v>
      </c>
    </row>
    <row r="61" spans="1:21" x14ac:dyDescent="0.2">
      <c r="A61" s="62">
        <f t="shared" si="1"/>
        <v>0.1444483977677144</v>
      </c>
      <c r="B61" s="45">
        <f t="shared" si="2"/>
        <v>47</v>
      </c>
      <c r="C61" s="51">
        <f>IF(B61&lt;C$4,C$1,D60-L61+N61)</f>
        <v>15690233.349004414</v>
      </c>
      <c r="D61" s="47" cm="1">
        <f t="array" ref="D61">_xlfn.IFS(AND($C$7="Y",B61&lt;C$4),C61,AND($C$7="Y",B61=C$4),D60+F61-J61-K61-L61+N61,AND($C$7="Y",B61&gt;$C$4),D60-J61-K61-L61+N61, TRUE, D60-J61-K61-L61+N61)</f>
        <v>14444839.776771439</v>
      </c>
      <c r="E61" s="48">
        <f t="shared" si="3"/>
        <v>0</v>
      </c>
      <c r="F61" s="50">
        <f t="shared" si="4"/>
        <v>0</v>
      </c>
      <c r="G61" s="50">
        <f t="shared" si="11"/>
        <v>0</v>
      </c>
      <c r="H61" s="51">
        <f>IF(AND($B61&lt;=$C$4,C$7="Y"),0,IF(AND(C$7="N",C$4&gt;0,B61&lt;=C$4),0,(D60-L61+N61)*C$2/12/(1-(1/(1+C$2/12))^(C$3+C$4-B61+1))))</f>
        <v>1156069.2994442096</v>
      </c>
      <c r="I61" s="52">
        <f>IF(AND(C$7="Y",$B61&lt;=C$4),0,IF(AND(C$7="Y",$B61&gt;C$4),(1-U61)*C$2*D60/12,IF(AND($C$7="N",C$4&gt;0),(1-U61)*D60*C$2/12, (1-U61)*D60*C$2/12)))</f>
        <v>65375.972287518402</v>
      </c>
      <c r="J61" s="52">
        <f>IF(AND($B61&lt;=$C$4,C$7="Y"),0,IF(AND(C$7="N",C$4&gt;0,B61&lt;=C$4),0,H61-I61))</f>
        <v>1090693.3271566911</v>
      </c>
      <c r="K61" s="51">
        <f>IF(AND(C$7="Y",$B61&lt;=$C$4),0,IF(AND(C$7="N",C$4&gt;0,B61&lt;=C$4),0,S61*(C61-J61)))</f>
        <v>154700.24507628454</v>
      </c>
      <c r="L61" s="49">
        <f>IF(AND(C$7="Y",$B61&lt;=$C$4),0,IF(AND(C$7="N",C$4&gt;0,B61&lt;=C$4),0,U61*D60))</f>
        <v>0</v>
      </c>
      <c r="M61" s="49">
        <f t="shared" si="19"/>
        <v>0</v>
      </c>
      <c r="N61" s="49">
        <f t="shared" si="18"/>
        <v>0</v>
      </c>
      <c r="O61" s="48">
        <f>K61+I61+J61-L61+N61+G61</f>
        <v>1310769.5445204941</v>
      </c>
      <c r="P61" s="38">
        <f>O61*(1/((1+P$12)^(B61/12)))</f>
        <v>1310769.5445204941</v>
      </c>
      <c r="Q61" s="53"/>
      <c r="R61" s="53">
        <f t="shared" si="5"/>
        <v>0.12</v>
      </c>
      <c r="S61" s="53">
        <f t="shared" si="6"/>
        <v>1.0596241035318976E-2</v>
      </c>
      <c r="T61" s="53">
        <f t="shared" si="7"/>
        <v>0</v>
      </c>
      <c r="U61" s="53">
        <f t="shared" si="10"/>
        <v>0</v>
      </c>
    </row>
    <row r="62" spans="1:21" x14ac:dyDescent="0.2">
      <c r="A62" s="62">
        <f t="shared" si="1"/>
        <v>0.13219628725621202</v>
      </c>
      <c r="B62" s="45">
        <f t="shared" si="2"/>
        <v>48</v>
      </c>
      <c r="C62" s="51">
        <f>IF(B62&lt;C$4,C$1,D61-L62+N62)</f>
        <v>14444839.776771439</v>
      </c>
      <c r="D62" s="47" cm="1">
        <f t="array" ref="D62">_xlfn.IFS(AND($C$7="Y",B62&lt;C$4),C62,AND($C$7="Y",B62=C$4),D61+F62-J62-K62-L62+N62,AND($C$7="Y",B62&gt;$C$4),D61-J62-K62-L62+N62, TRUE, D61-J62-K62-L62+N62)</f>
        <v>13219628.725621201</v>
      </c>
      <c r="E62" s="48">
        <f t="shared" si="3"/>
        <v>0</v>
      </c>
      <c r="F62" s="50">
        <f t="shared" si="4"/>
        <v>0</v>
      </c>
      <c r="G62" s="50">
        <f t="shared" si="11"/>
        <v>0</v>
      </c>
      <c r="H62" s="51">
        <f>IF(AND($B62&lt;=$C$4,C$7="Y"),0,IF(AND(C$7="N",C$4&gt;0,B62&lt;=C$4),0,(D61-L62+N62)*C$2/12/(1-(1/(1+C$2/12))^(C$3+C$4-B62+1))))</f>
        <v>1143819.3104937673</v>
      </c>
      <c r="I62" s="52">
        <f>IF(AND(C$7="Y",$B62&lt;=C$4),0,IF(AND(C$7="Y",$B62&gt;C$4),(1-U62)*C$2*D61/12,IF(AND($C$7="N",C$4&gt;0),(1-U62)*D61*C$2/12, (1-U62)*D61*C$2/12)))</f>
        <v>60186.832403214335</v>
      </c>
      <c r="J62" s="52">
        <f>IF(AND($B62&lt;=$C$4,C$7="Y"),0,IF(AND(C$7="N",C$4&gt;0,B62&lt;=C$4),0,H62-I62))</f>
        <v>1083632.4780905528</v>
      </c>
      <c r="K62" s="51">
        <f>IF(AND(C$7="Y",$B62&lt;=$C$4),0,IF(AND(C$7="N",C$4&gt;0,B62&lt;=C$4),0,S62*(C62-J62)))</f>
        <v>141578.57305968582</v>
      </c>
      <c r="L62" s="49">
        <f>IF(AND(C$7="Y",$B62&lt;=$C$4),0,IF(AND(C$7="N",C$4&gt;0,B62&lt;=C$4),0,U62*D61))</f>
        <v>0</v>
      </c>
      <c r="M62" s="49">
        <f t="shared" si="19"/>
        <v>0</v>
      </c>
      <c r="N62" s="49">
        <f t="shared" si="18"/>
        <v>0</v>
      </c>
      <c r="O62" s="48">
        <f>K62+I62+J62-L62+N62+G62</f>
        <v>1285397.883553453</v>
      </c>
      <c r="P62" s="38">
        <f>O62*(1/((1+P$12)^(B62/12)))</f>
        <v>1285397.883553453</v>
      </c>
      <c r="Q62" s="53"/>
      <c r="R62" s="53">
        <f t="shared" si="5"/>
        <v>0.12</v>
      </c>
      <c r="S62" s="53">
        <f t="shared" si="6"/>
        <v>1.0596241035318976E-2</v>
      </c>
      <c r="T62" s="53">
        <f t="shared" si="7"/>
        <v>0</v>
      </c>
      <c r="U62" s="53">
        <f t="shared" si="10"/>
        <v>0</v>
      </c>
    </row>
    <row r="63" spans="1:21" x14ac:dyDescent="0.2">
      <c r="A63" s="62">
        <f t="shared" si="1"/>
        <v>0.12014341111052008</v>
      </c>
      <c r="B63" s="45">
        <f t="shared" si="2"/>
        <v>49</v>
      </c>
      <c r="C63" s="51">
        <f>IF(B63&lt;C$4,C$1,D62-L63+N63)</f>
        <v>13219628.725621201</v>
      </c>
      <c r="D63" s="47" cm="1">
        <f t="array" ref="D63">_xlfn.IFS(AND($C$7="Y",B63&lt;C$4),C63,AND($C$7="Y",B63=C$4),D62+F63-J63-K63-L63+N63,AND($C$7="Y",B63&gt;$C$4),D62-J63-K63-L63+N63, TRUE, D62-J63-K63-L63+N63)</f>
        <v>12014341.111052008</v>
      </c>
      <c r="E63" s="48">
        <f t="shared" si="3"/>
        <v>0</v>
      </c>
      <c r="F63" s="50">
        <f t="shared" si="4"/>
        <v>0</v>
      </c>
      <c r="G63" s="50">
        <f t="shared" si="11"/>
        <v>0</v>
      </c>
      <c r="H63" s="51">
        <f>IF(AND($B63&lt;=$C$4,C$7="Y"),0,IF(AND(C$7="N",C$4&gt;0,B63&lt;=C$4),0,(D62-L63+N63)*C$2/12/(1-(1/(1+C$2/12))^(C$3+C$4-B63+1))))</f>
        <v>1131699.1253789223</v>
      </c>
      <c r="I63" s="52">
        <f>IF(AND(C$7="Y",$B63&lt;=C$4),0,IF(AND(C$7="Y",$B63&gt;C$4),(1-U63)*C$2*D62/12,IF(AND($C$7="N",C$4&gt;0),(1-U63)*D62*C$2/12, (1-U63)*D62*C$2/12)))</f>
        <v>55081.786356755008</v>
      </c>
      <c r="J63" s="52">
        <f>IF(AND($B63&lt;=$C$4,C$7="Y"),0,IF(AND(C$7="N",C$4&gt;0,B63&lt;=C$4),0,H63-I63))</f>
        <v>1076617.3390221673</v>
      </c>
      <c r="K63" s="51">
        <f>IF(AND(C$7="Y",$B63&lt;=$C$4),0,IF(AND(C$7="N",C$4&gt;0,B63&lt;=C$4),0,S63*(C63-J63)))</f>
        <v>128670.27554702626</v>
      </c>
      <c r="L63" s="49">
        <f>IF(AND(C$7="Y",$B63&lt;=$C$4),0,IF(AND(C$7="N",C$4&gt;0,B63&lt;=C$4),0,U63*D62))</f>
        <v>0</v>
      </c>
      <c r="M63" s="49">
        <f t="shared" si="19"/>
        <v>0</v>
      </c>
      <c r="N63" s="49">
        <f t="shared" si="18"/>
        <v>0</v>
      </c>
      <c r="O63" s="48">
        <f>K63+I63+J63-L63+N63+G63</f>
        <v>1260369.4009259485</v>
      </c>
      <c r="P63" s="38">
        <f>O63*(1/((1+P$12)^(B63/12)))</f>
        <v>1260369.4009259485</v>
      </c>
      <c r="Q63" s="53"/>
      <c r="R63" s="53">
        <f t="shared" si="5"/>
        <v>0.12</v>
      </c>
      <c r="S63" s="53">
        <f t="shared" si="6"/>
        <v>1.0596241035318976E-2</v>
      </c>
      <c r="T63" s="53">
        <f t="shared" si="7"/>
        <v>0</v>
      </c>
      <c r="U63" s="53">
        <f t="shared" si="10"/>
        <v>0</v>
      </c>
    </row>
    <row r="64" spans="1:21" x14ac:dyDescent="0.2">
      <c r="A64" s="62">
        <f t="shared" si="1"/>
        <v>0.10828720886662394</v>
      </c>
      <c r="B64" s="45">
        <f t="shared" si="2"/>
        <v>50</v>
      </c>
      <c r="C64" s="51">
        <f>IF(B64&lt;C$4,C$1,D63-L64+N64)</f>
        <v>12014341.111052008</v>
      </c>
      <c r="D64" s="47" cm="1">
        <f t="array" ref="D64">_xlfn.IFS(AND($C$7="Y",B64&lt;C$4),C64,AND($C$7="Y",B64=C$4),D63+F64-J64-K64-L64+N64,AND($C$7="Y",B64&gt;$C$4),D63-J64-K64-L64+N64, TRUE, D63-J64-K64-L64+N64)</f>
        <v>10828720.886662394</v>
      </c>
      <c r="E64" s="48">
        <f t="shared" si="3"/>
        <v>0</v>
      </c>
      <c r="F64" s="50">
        <f t="shared" si="4"/>
        <v>0</v>
      </c>
      <c r="G64" s="50">
        <f t="shared" si="11"/>
        <v>0</v>
      </c>
      <c r="H64" s="51">
        <f>IF(AND($B64&lt;=$C$4,C$7="Y"),0,IF(AND(C$7="N",C$4&gt;0,B64&lt;=C$4),0,(D63-L64+N64)*C$2/12/(1-(1/(1+C$2/12))^(C$3+C$4-B64+1))))</f>
        <v>1119707.3686669455</v>
      </c>
      <c r="I64" s="52">
        <f>IF(AND(C$7="Y",$B64&lt;=C$4),0,IF(AND(C$7="Y",$B64&gt;C$4),(1-U64)*C$2*D63/12,IF(AND($C$7="N",C$4&gt;0),(1-U64)*D63*C$2/12, (1-U64)*D63*C$2/12)))</f>
        <v>50059.754629383366</v>
      </c>
      <c r="J64" s="52">
        <f>IF(AND($B64&lt;=$C$4,C$7="Y"),0,IF(AND(C$7="N",C$4&gt;0,B64&lt;=C$4),0,H64-I64))</f>
        <v>1069647.6140375622</v>
      </c>
      <c r="K64" s="51">
        <f>IF(AND(C$7="Y",$B64&lt;=$C$4),0,IF(AND(C$7="N",C$4&gt;0,B64&lt;=C$4),0,S64*(C64-J64)))</f>
        <v>115972.61035205322</v>
      </c>
      <c r="L64" s="49">
        <f>IF(AND(C$7="Y",$B64&lt;=$C$4),0,IF(AND(C$7="N",C$4&gt;0,B64&lt;=C$4),0,U64*D63))</f>
        <v>0</v>
      </c>
      <c r="M64" s="49">
        <f t="shared" si="19"/>
        <v>0</v>
      </c>
      <c r="N64" s="49">
        <f t="shared" si="18"/>
        <v>0</v>
      </c>
      <c r="O64" s="48">
        <f>K64+I64+J64-L64+N64+G64</f>
        <v>1235679.9790189988</v>
      </c>
      <c r="P64" s="38">
        <f>O64*(1/((1+P$12)^(B64/12)))</f>
        <v>1235679.9790189988</v>
      </c>
      <c r="Q64" s="53"/>
      <c r="R64" s="53">
        <f t="shared" si="5"/>
        <v>0.12</v>
      </c>
      <c r="S64" s="53">
        <f t="shared" si="6"/>
        <v>1.0596241035318976E-2</v>
      </c>
      <c r="T64" s="53">
        <f t="shared" si="7"/>
        <v>0</v>
      </c>
      <c r="U64" s="53">
        <f t="shared" si="10"/>
        <v>0</v>
      </c>
    </row>
    <row r="65" spans="1:21" x14ac:dyDescent="0.2">
      <c r="A65" s="62">
        <f t="shared" si="1"/>
        <v>9.6625150100633023E-2</v>
      </c>
      <c r="B65" s="45">
        <f t="shared" si="2"/>
        <v>51</v>
      </c>
      <c r="C65" s="51">
        <f>IF(B65&lt;C$4,C$1,D64-L65+N65)</f>
        <v>10828720.886662394</v>
      </c>
      <c r="D65" s="47" cm="1">
        <f t="array" ref="D65">_xlfn.IFS(AND($C$7="Y",B65&lt;C$4),C65,AND($C$7="Y",B65=C$4),D64+F65-J65-K65-L65+N65,AND($C$7="Y",B65&gt;$C$4),D64-J65-K65-L65+N65, TRUE, D64-J65-K65-L65+N65)</f>
        <v>9662515.0100633018</v>
      </c>
      <c r="E65" s="48">
        <f t="shared" si="3"/>
        <v>0</v>
      </c>
      <c r="F65" s="50">
        <f t="shared" si="4"/>
        <v>0</v>
      </c>
      <c r="G65" s="50">
        <f t="shared" si="11"/>
        <v>0</v>
      </c>
      <c r="H65" s="51">
        <f>IF(AND($B65&lt;=$C$4,C$7="Y"),0,IF(AND(C$7="N",C$4&gt;0,B65&lt;=C$4),0,(D64-L65+N65)*C$2/12/(1-(1/(1+C$2/12))^(C$3+C$4-B65+1))))</f>
        <v>1107842.6794995284</v>
      </c>
      <c r="I65" s="52">
        <f>IF(AND(C$7="Y",$B65&lt;=C$4),0,IF(AND(C$7="Y",$B65&gt;C$4),(1-U65)*C$2*D64/12,IF(AND($C$7="N",C$4&gt;0),(1-U65)*D64*C$2/12, (1-U65)*D64*C$2/12)))</f>
        <v>45119.670361093311</v>
      </c>
      <c r="J65" s="52">
        <f>IF(AND($B65&lt;=$C$4,C$7="Y"),0,IF(AND(C$7="N",C$4&gt;0,B65&lt;=C$4),0,H65-I65))</f>
        <v>1062723.0091384351</v>
      </c>
      <c r="K65" s="51">
        <f>IF(AND(C$7="Y",$B65&lt;=$C$4),0,IF(AND(C$7="N",C$4&gt;0,B65&lt;=C$4),0,S65*(C65-J65)))</f>
        <v>103482.86746065739</v>
      </c>
      <c r="L65" s="49">
        <f>IF(AND(C$7="Y",$B65&lt;=$C$4),0,IF(AND(C$7="N",C$4&gt;0,B65&lt;=C$4),0,U65*D64))</f>
        <v>0</v>
      </c>
      <c r="M65" s="49">
        <f t="shared" si="19"/>
        <v>0</v>
      </c>
      <c r="N65" s="49">
        <f t="shared" si="18"/>
        <v>0</v>
      </c>
      <c r="O65" s="48">
        <f>K65+I65+J65-L65+N65+G65</f>
        <v>1211325.5469601857</v>
      </c>
      <c r="P65" s="38">
        <f>O65*(1/((1+P$12)^(B65/12)))</f>
        <v>1211325.5469601857</v>
      </c>
      <c r="Q65" s="53"/>
      <c r="R65" s="53">
        <f t="shared" si="5"/>
        <v>0.12</v>
      </c>
      <c r="S65" s="53">
        <f t="shared" si="6"/>
        <v>1.0596241035318976E-2</v>
      </c>
      <c r="T65" s="53">
        <f t="shared" si="7"/>
        <v>0</v>
      </c>
      <c r="U65" s="53">
        <f t="shared" si="10"/>
        <v>0</v>
      </c>
    </row>
    <row r="66" spans="1:21" x14ac:dyDescent="0.2">
      <c r="A66" s="62">
        <f t="shared" si="1"/>
        <v>8.5154734091637624E-2</v>
      </c>
      <c r="B66" s="45">
        <f t="shared" si="2"/>
        <v>52</v>
      </c>
      <c r="C66" s="51">
        <f>IF(B66&lt;C$4,C$1,D65-L66+N66)</f>
        <v>9662515.0100633018</v>
      </c>
      <c r="D66" s="47" cm="1">
        <f t="array" ref="D66">_xlfn.IFS(AND($C$7="Y",B66&lt;C$4),C66,AND($C$7="Y",B66=C$4),D65+F66-J66-K66-L66+N66,AND($C$7="Y",B66&gt;$C$4),D65-J66-K66-L66+N66, TRUE, D65-J66-K66-L66+N66)</f>
        <v>8515473.4091637619</v>
      </c>
      <c r="E66" s="48">
        <f t="shared" si="3"/>
        <v>0</v>
      </c>
      <c r="F66" s="50">
        <f t="shared" si="4"/>
        <v>0</v>
      </c>
      <c r="G66" s="50">
        <f t="shared" si="11"/>
        <v>0</v>
      </c>
      <c r="H66" s="51">
        <f>IF(AND($B66&lt;=$C$4,C$7="Y"),0,IF(AND(C$7="N",C$4&gt;0,B66&lt;=C$4),0,(D65-L66+N66)*C$2/12/(1-(1/(1+C$2/12))^(C$3+C$4-B66+1))))</f>
        <v>1096103.7114383343</v>
      </c>
      <c r="I66" s="52">
        <f>IF(AND(C$7="Y",$B66&lt;=C$4),0,IF(AND(C$7="Y",$B66&gt;C$4),(1-U66)*C$2*D65/12,IF(AND($C$7="N",C$4&gt;0),(1-U66)*D65*C$2/12, (1-U66)*D65*C$2/12)))</f>
        <v>40260.479208597091</v>
      </c>
      <c r="J66" s="52">
        <f>IF(AND($B66&lt;=$C$4,C$7="Y"),0,IF(AND(C$7="N",C$4&gt;0,B66&lt;=C$4),0,H66-I66))</f>
        <v>1055843.2322297373</v>
      </c>
      <c r="K66" s="51">
        <f>IF(AND(C$7="Y",$B66&lt;=$C$4),0,IF(AND(C$7="N",C$4&gt;0,B66&lt;=C$4),0,S66*(C66-J66)))</f>
        <v>91198.368669801741</v>
      </c>
      <c r="L66" s="49">
        <f>IF(AND(C$7="Y",$B66&lt;=$C$4),0,IF(AND(C$7="N",C$4&gt;0,B66&lt;=C$4),0,U66*D65))</f>
        <v>0</v>
      </c>
      <c r="M66" s="49">
        <f t="shared" si="19"/>
        <v>0</v>
      </c>
      <c r="N66" s="49">
        <f t="shared" si="18"/>
        <v>0</v>
      </c>
      <c r="O66" s="48">
        <f>K66+I66+J66-L66+N66+G66</f>
        <v>1187302.0801081362</v>
      </c>
      <c r="P66" s="38">
        <f>O66*(1/((1+P$12)^(B66/12)))</f>
        <v>1187302.0801081362</v>
      </c>
      <c r="Q66" s="53"/>
      <c r="R66" s="53">
        <f t="shared" si="5"/>
        <v>0.12</v>
      </c>
      <c r="S66" s="53">
        <f t="shared" si="6"/>
        <v>1.0596241035318976E-2</v>
      </c>
      <c r="T66" s="53">
        <f t="shared" si="7"/>
        <v>0</v>
      </c>
      <c r="U66" s="53">
        <f t="shared" si="10"/>
        <v>0</v>
      </c>
    </row>
    <row r="67" spans="1:21" x14ac:dyDescent="0.2">
      <c r="A67" s="62">
        <f t="shared" si="1"/>
        <v>7.3873489488259766E-2</v>
      </c>
      <c r="B67" s="45">
        <f t="shared" si="2"/>
        <v>53</v>
      </c>
      <c r="C67" s="51">
        <f>IF(B67&lt;C$4,C$1,D66-L67+N67)</f>
        <v>8515473.4091637619</v>
      </c>
      <c r="D67" s="47" cm="1">
        <f t="array" ref="D67">_xlfn.IFS(AND($C$7="Y",B67&lt;C$4),C67,AND($C$7="Y",B67=C$4),D66+F67-J67-K67-L67+N67,AND($C$7="Y",B67&gt;$C$4),D66-J67-K67-L67+N67, TRUE, D66-J67-K67-L67+N67)</f>
        <v>7387348.9488259768</v>
      </c>
      <c r="E67" s="48">
        <f t="shared" si="3"/>
        <v>0</v>
      </c>
      <c r="F67" s="50">
        <f t="shared" si="4"/>
        <v>0</v>
      </c>
      <c r="G67" s="50">
        <f t="shared" si="11"/>
        <v>0</v>
      </c>
      <c r="H67" s="51">
        <f>IF(AND($B67&lt;=$C$4,C$7="Y"),0,IF(AND(C$7="N",C$4&gt;0,B67&lt;=C$4),0,(D66-L67+N67)*C$2/12/(1-(1/(1+C$2/12))^(C$3+C$4-B67+1))))</f>
        <v>1084489.132312227</v>
      </c>
      <c r="I67" s="52">
        <f>IF(AND(C$7="Y",$B67&lt;=C$4),0,IF(AND(C$7="Y",$B67&gt;C$4),(1-U67)*C$2*D66/12,IF(AND($C$7="N",C$4&gt;0),(1-U67)*D66*C$2/12, (1-U67)*D66*C$2/12)))</f>
        <v>35481.139204849009</v>
      </c>
      <c r="J67" s="52">
        <f>IF(AND($B67&lt;=$C$4,C$7="Y"),0,IF(AND(C$7="N",C$4&gt;0,B67&lt;=C$4),0,H67-I67))</f>
        <v>1049007.993107378</v>
      </c>
      <c r="K67" s="51">
        <f>IF(AND(C$7="Y",$B67&lt;=$C$4),0,IF(AND(C$7="N",C$4&gt;0,B67&lt;=C$4),0,S67*(C67-J67)))</f>
        <v>79116.467230406619</v>
      </c>
      <c r="L67" s="49">
        <f>IF(AND(C$7="Y",$B67&lt;=$C$4),0,IF(AND(C$7="N",C$4&gt;0,B67&lt;=C$4),0,U67*D66))</f>
        <v>0</v>
      </c>
      <c r="M67" s="49">
        <f t="shared" si="19"/>
        <v>0</v>
      </c>
      <c r="N67" s="49">
        <f t="shared" si="18"/>
        <v>0</v>
      </c>
      <c r="O67" s="48">
        <f>K67+I67+J67-L67+N67+G67</f>
        <v>1163605.5995426336</v>
      </c>
      <c r="P67" s="38">
        <f>O67*(1/((1+P$12)^(B67/12)))</f>
        <v>1163605.5995426336</v>
      </c>
      <c r="Q67" s="53"/>
      <c r="R67" s="53">
        <f t="shared" si="5"/>
        <v>0.12</v>
      </c>
      <c r="S67" s="53">
        <f t="shared" si="6"/>
        <v>1.0596241035318976E-2</v>
      </c>
      <c r="T67" s="53">
        <f t="shared" si="7"/>
        <v>0</v>
      </c>
      <c r="U67" s="53">
        <f t="shared" si="10"/>
        <v>0</v>
      </c>
    </row>
    <row r="68" spans="1:21" x14ac:dyDescent="0.2">
      <c r="A68" s="62">
        <f t="shared" si="1"/>
        <v>6.277897397885876E-2</v>
      </c>
      <c r="B68" s="45">
        <f t="shared" si="2"/>
        <v>54</v>
      </c>
      <c r="C68" s="51">
        <f>IF(B68&lt;C$4,C$1,D67-L68+N68)</f>
        <v>7387348.9488259768</v>
      </c>
      <c r="D68" s="47" cm="1">
        <f t="array" ref="D68">_xlfn.IFS(AND($C$7="Y",B68&lt;C$4),C68,AND($C$7="Y",B68=C$4),D67+F68-J68-K68-L68+N68,AND($C$7="Y",B68&gt;$C$4),D67-J68-K68-L68+N68, TRUE, D67-J68-K68-L68+N68)</f>
        <v>6277897.3978858758</v>
      </c>
      <c r="E68" s="48">
        <f t="shared" si="3"/>
        <v>0</v>
      </c>
      <c r="F68" s="50">
        <f t="shared" si="4"/>
        <v>0</v>
      </c>
      <c r="G68" s="50">
        <f t="shared" si="11"/>
        <v>0</v>
      </c>
      <c r="H68" s="51">
        <f>IF(AND($B68&lt;=$C$4,C$7="Y"),0,IF(AND(C$7="N",C$4&gt;0,B68&lt;=C$4),0,(D67-L68+N68)*C$2/12/(1-(1/(1+C$2/12))^(C$3+C$4-B68+1))))</f>
        <v>1072997.6240660606</v>
      </c>
      <c r="I68" s="52">
        <f>IF(AND(C$7="Y",$B68&lt;=C$4),0,IF(AND(C$7="Y",$B68&gt;C$4),(1-U68)*C$2*D67/12,IF(AND($C$7="N",C$4&gt;0),(1-U68)*D67*C$2/12, (1-U68)*D67*C$2/12)))</f>
        <v>30780.620620108239</v>
      </c>
      <c r="J68" s="52">
        <f>IF(AND($B68&lt;=$C$4,C$7="Y"),0,IF(AND(C$7="N",C$4&gt;0,B68&lt;=C$4),0,H68-I68))</f>
        <v>1042217.0034459524</v>
      </c>
      <c r="K68" s="51">
        <f>IF(AND(C$7="Y",$B68&lt;=$C$4),0,IF(AND(C$7="N",C$4&gt;0,B68&lt;=C$4),0,S68*(C68-J68)))</f>
        <v>67234.547494149141</v>
      </c>
      <c r="L68" s="49">
        <f>IF(AND(C$7="Y",$B68&lt;=$C$4),0,IF(AND(C$7="N",C$4&gt;0,B68&lt;=C$4),0,U68*D67))</f>
        <v>0</v>
      </c>
      <c r="M68" s="49">
        <f t="shared" si="19"/>
        <v>0</v>
      </c>
      <c r="N68" s="49">
        <f t="shared" si="18"/>
        <v>0</v>
      </c>
      <c r="O68" s="48">
        <f>K68+I68+J68-L68+N68+G68</f>
        <v>1140232.1715602097</v>
      </c>
      <c r="P68" s="38">
        <f>O68*(1/((1+P$12)^(B68/12)))</f>
        <v>1140232.1715602097</v>
      </c>
      <c r="Q68" s="53"/>
      <c r="R68" s="53">
        <f t="shared" si="5"/>
        <v>0.12</v>
      </c>
      <c r="S68" s="53">
        <f t="shared" si="6"/>
        <v>1.0596241035318976E-2</v>
      </c>
      <c r="T68" s="53">
        <f t="shared" si="7"/>
        <v>0</v>
      </c>
      <c r="U68" s="53">
        <f t="shared" si="10"/>
        <v>0</v>
      </c>
    </row>
    <row r="69" spans="1:21" x14ac:dyDescent="0.2">
      <c r="A69" s="62">
        <f t="shared" si="1"/>
        <v>5.186877396535134E-2</v>
      </c>
      <c r="B69" s="45">
        <f t="shared" si="2"/>
        <v>55</v>
      </c>
      <c r="C69" s="51">
        <f>IF(B69&lt;C$4,C$1,D68-L69+N69)</f>
        <v>6277897.3978858758</v>
      </c>
      <c r="D69" s="47" cm="1">
        <f t="array" ref="D69">_xlfn.IFS(AND($C$7="Y",B69&lt;C$4),C69,AND($C$7="Y",B69=C$4),D68+F69-J69-K69-L69+N69,AND($C$7="Y",B69&gt;$C$4),D68-J69-K69-L69+N69, TRUE, D68-J69-K69-L69+N69)</f>
        <v>5186877.3965351339</v>
      </c>
      <c r="E69" s="48">
        <f t="shared" si="3"/>
        <v>0</v>
      </c>
      <c r="F69" s="50">
        <f t="shared" si="4"/>
        <v>0</v>
      </c>
      <c r="G69" s="50">
        <f t="shared" si="11"/>
        <v>0</v>
      </c>
      <c r="H69" s="51">
        <f>IF(AND($B69&lt;=$C$4,C$7="Y"),0,IF(AND(C$7="N",C$4&gt;0,B69&lt;=C$4),0,(D68-L69+N69)*C$2/12/(1-(1/(1+C$2/12))^(C$3+C$4-B69+1))))</f>
        <v>1061627.882611132</v>
      </c>
      <c r="I69" s="52">
        <f>IF(AND(C$7="Y",$B69&lt;=C$4),0,IF(AND(C$7="Y",$B69&gt;C$4),(1-U69)*C$2*D68/12,IF(AND($C$7="N",C$4&gt;0),(1-U69)*D68*C$2/12, (1-U69)*D68*C$2/12)))</f>
        <v>26157.905824524481</v>
      </c>
      <c r="J69" s="52">
        <f>IF(AND($B69&lt;=$C$4,C$7="Y"),0,IF(AND(C$7="N",C$4&gt;0,B69&lt;=C$4),0,H69-I69))</f>
        <v>1035469.9767866075</v>
      </c>
      <c r="K69" s="51">
        <f>IF(AND(C$7="Y",$B69&lt;=$C$4),0,IF(AND(C$7="N",C$4&gt;0,B69&lt;=C$4),0,S69*(C69-J69)))</f>
        <v>55550.024564133499</v>
      </c>
      <c r="L69" s="49">
        <f>IF(AND(C$7="Y",$B69&lt;=$C$4),0,IF(AND(C$7="N",C$4&gt;0,B69&lt;=C$4),0,U69*D68))</f>
        <v>0</v>
      </c>
      <c r="M69" s="49">
        <f t="shared" si="19"/>
        <v>0</v>
      </c>
      <c r="N69" s="49">
        <f t="shared" si="18"/>
        <v>0</v>
      </c>
      <c r="O69" s="48">
        <f>K69+I69+J69-L69+N69+G69</f>
        <v>1117177.9071752655</v>
      </c>
      <c r="P69" s="38">
        <f>O69*(1/((1+P$12)^(B69/12)))</f>
        <v>1117177.9071752655</v>
      </c>
      <c r="Q69" s="53"/>
      <c r="R69" s="53">
        <f t="shared" si="5"/>
        <v>0.12</v>
      </c>
      <c r="S69" s="53">
        <f t="shared" si="6"/>
        <v>1.0596241035318976E-2</v>
      </c>
      <c r="T69" s="53">
        <f t="shared" si="7"/>
        <v>0</v>
      </c>
      <c r="U69" s="53">
        <f t="shared" si="10"/>
        <v>0</v>
      </c>
    </row>
    <row r="70" spans="1:21" x14ac:dyDescent="0.2">
      <c r="A70" s="62">
        <f t="shared" si="1"/>
        <v>4.1140504240608049E-2</v>
      </c>
      <c r="B70" s="45">
        <f t="shared" si="2"/>
        <v>56</v>
      </c>
      <c r="C70" s="51">
        <f>IF(B70&lt;C$4,C$1,D69-L70+N70)</f>
        <v>5186877.3965351339</v>
      </c>
      <c r="D70" s="47" cm="1">
        <f t="array" ref="D70">_xlfn.IFS(AND($C$7="Y",B70&lt;C$4),C70,AND($C$7="Y",B70=C$4),D69+F70-J70-K70-L70+N70,AND($C$7="Y",B70&gt;$C$4),D69-J70-K70-L70+N70, TRUE, D69-J70-K70-L70+N70)</f>
        <v>4114050.4240608048</v>
      </c>
      <c r="E70" s="48">
        <f t="shared" si="3"/>
        <v>0</v>
      </c>
      <c r="F70" s="50">
        <f t="shared" si="4"/>
        <v>0</v>
      </c>
      <c r="G70" s="50">
        <f t="shared" si="11"/>
        <v>0</v>
      </c>
      <c r="H70" s="51">
        <f>IF(AND($B70&lt;=$C$4,C$7="Y"),0,IF(AND(C$7="N",C$4&gt;0,B70&lt;=C$4),0,(D69-L70+N70)*C$2/12/(1-(1/(1+C$2/12))^(C$3+C$4-B70+1))))</f>
        <v>1050378.6176771675</v>
      </c>
      <c r="I70" s="52">
        <f>IF(AND(C$7="Y",$B70&lt;=C$4),0,IF(AND(C$7="Y",$B70&gt;C$4),(1-U70)*C$2*D69/12,IF(AND($C$7="N",C$4&gt;0),(1-U70)*D69*C$2/12, (1-U70)*D69*C$2/12)))</f>
        <v>21611.989152229726</v>
      </c>
      <c r="J70" s="52">
        <f>IF(AND($B70&lt;=$C$4,C$7="Y"),0,IF(AND(C$7="N",C$4&gt;0,B70&lt;=C$4),0,H70-I70))</f>
        <v>1028766.6285249378</v>
      </c>
      <c r="K70" s="51">
        <f>IF(AND(C$7="Y",$B70&lt;=$C$4),0,IF(AND(C$7="N",C$4&gt;0,B70&lt;=C$4),0,S70*(C70-J70)))</f>
        <v>44060.343949391347</v>
      </c>
      <c r="L70" s="49">
        <f>IF(AND(C$7="Y",$B70&lt;=$C$4),0,IF(AND(C$7="N",C$4&gt;0,B70&lt;=C$4),0,U70*D69))</f>
        <v>0</v>
      </c>
      <c r="M70" s="49">
        <f t="shared" si="19"/>
        <v>0</v>
      </c>
      <c r="N70" s="49">
        <f t="shared" si="18"/>
        <v>0</v>
      </c>
      <c r="O70" s="48">
        <f>K70+I70+J70-L70+N70+G70</f>
        <v>1094438.9616265588</v>
      </c>
      <c r="P70" s="38">
        <f>O70*(1/((1+P$12)^(B70/12)))</f>
        <v>1094438.9616265588</v>
      </c>
      <c r="Q70" s="53"/>
      <c r="R70" s="53">
        <f t="shared" si="5"/>
        <v>0.12</v>
      </c>
      <c r="S70" s="53">
        <f t="shared" si="6"/>
        <v>1.0596241035318976E-2</v>
      </c>
      <c r="T70" s="53">
        <f t="shared" si="7"/>
        <v>0</v>
      </c>
      <c r="U70" s="53">
        <f t="shared" si="10"/>
        <v>0</v>
      </c>
    </row>
    <row r="71" spans="1:21" x14ac:dyDescent="0.2">
      <c r="A71" s="62">
        <f t="shared" si="1"/>
        <v>3.0591807669386416E-2</v>
      </c>
      <c r="B71" s="45">
        <f t="shared" si="2"/>
        <v>57</v>
      </c>
      <c r="C71" s="51">
        <f>IF(B71&lt;C$4,C$1,D70-L71+N71)</f>
        <v>4114050.4240608048</v>
      </c>
      <c r="D71" s="47" cm="1">
        <f t="array" ref="D71">_xlfn.IFS(AND($C$7="Y",B71&lt;C$4),C71,AND($C$7="Y",B71=C$4),D70+F71-J71-K71-L71+N71,AND($C$7="Y",B71&gt;$C$4),D70-J71-K71-L71+N71, TRUE, D70-J71-K71-L71+N71)</f>
        <v>3059180.7669386417</v>
      </c>
      <c r="E71" s="48">
        <f t="shared" si="3"/>
        <v>0</v>
      </c>
      <c r="F71" s="50">
        <f t="shared" si="4"/>
        <v>0</v>
      </c>
      <c r="G71" s="50">
        <f t="shared" si="11"/>
        <v>0</v>
      </c>
      <c r="H71" s="51">
        <f>IF(AND($B71&lt;=$C$4,C$7="Y"),0,IF(AND(C$7="N",C$4&gt;0,B71&lt;=C$4),0,(D70-L71+N71)*C$2/12/(1-(1/(1+C$2/12))^(C$3+C$4-B71+1))))</f>
        <v>1039248.5526659129</v>
      </c>
      <c r="I71" s="52">
        <f>IF(AND(C$7="Y",$B71&lt;=C$4),0,IF(AND(C$7="Y",$B71&gt;C$4),(1-U71)*C$2*D70/12,IF(AND($C$7="N",C$4&gt;0),(1-U71)*D70*C$2/12, (1-U71)*D70*C$2/12)))</f>
        <v>17141.876766920021</v>
      </c>
      <c r="J71" s="52">
        <f>IF(AND($B71&lt;=$C$4,C$7="Y"),0,IF(AND(C$7="N",C$4&gt;0,B71&lt;=C$4),0,H71-I71))</f>
        <v>1022106.6758989929</v>
      </c>
      <c r="K71" s="51">
        <f>IF(AND(C$7="Y",$B71&lt;=$C$4),0,IF(AND(C$7="N",C$4&gt;0,B71&lt;=C$4),0,S71*(C71-J71)))</f>
        <v>32762.981223170154</v>
      </c>
      <c r="L71" s="49">
        <f>IF(AND(C$7="Y",$B71&lt;=$C$4),0,IF(AND(C$7="N",C$4&gt;0,B71&lt;=C$4),0,U71*D70))</f>
        <v>0</v>
      </c>
      <c r="M71" s="49">
        <f t="shared" si="19"/>
        <v>0</v>
      </c>
      <c r="N71" s="49">
        <f t="shared" si="18"/>
        <v>0</v>
      </c>
      <c r="O71" s="48">
        <f>K71+I71+J71-L71+N71+G71</f>
        <v>1072011.5338890832</v>
      </c>
      <c r="P71" s="38">
        <f>O71*(1/((1+P$12)^(B71/12)))</f>
        <v>1072011.5338890832</v>
      </c>
      <c r="Q71" s="53"/>
      <c r="R71" s="53">
        <f t="shared" si="5"/>
        <v>0.12</v>
      </c>
      <c r="S71" s="53">
        <f t="shared" si="6"/>
        <v>1.0596241035318976E-2</v>
      </c>
      <c r="T71" s="53">
        <f t="shared" si="7"/>
        <v>0</v>
      </c>
      <c r="U71" s="53">
        <f t="shared" si="10"/>
        <v>0</v>
      </c>
    </row>
    <row r="72" spans="1:21" x14ac:dyDescent="0.2">
      <c r="A72" s="62">
        <f t="shared" si="1"/>
        <v>2.0220354872763281E-2</v>
      </c>
      <c r="B72" s="45">
        <f t="shared" si="2"/>
        <v>58</v>
      </c>
      <c r="C72" s="51">
        <f>IF(B72&lt;C$4,C$1,D71-L72+N72)</f>
        <v>3059180.7669386417</v>
      </c>
      <c r="D72" s="47" cm="1">
        <f t="array" ref="D72">_xlfn.IFS(AND($C$7="Y",B72&lt;C$4),C72,AND($C$7="Y",B72=C$4),D71+F72-J72-K72-L72+N72,AND($C$7="Y",B72&gt;$C$4),D71-J72-K72-L72+N72, TRUE, D71-J72-K72-L72+N72)</f>
        <v>2022035.487276328</v>
      </c>
      <c r="E72" s="48">
        <f t="shared" si="3"/>
        <v>0</v>
      </c>
      <c r="F72" s="50">
        <f t="shared" si="4"/>
        <v>0</v>
      </c>
      <c r="G72" s="50">
        <f t="shared" si="11"/>
        <v>0</v>
      </c>
      <c r="H72" s="51">
        <f>IF(AND($B72&lt;=$C$4,C$7="Y"),0,IF(AND(C$7="N",C$4&gt;0,B72&lt;=C$4),0,(D71-L72+N72)*C$2/12/(1-(1/(1+C$2/12))^(C$3+C$4-B72+1))))</f>
        <v>1028236.4245062559</v>
      </c>
      <c r="I72" s="52">
        <f>IF(AND(C$7="Y",$B72&lt;=C$4),0,IF(AND(C$7="Y",$B72&gt;C$4),(1-U72)*C$2*D71/12,IF(AND($C$7="N",C$4&gt;0),(1-U72)*D71*C$2/12, (1-U72)*D71*C$2/12)))</f>
        <v>12746.586528911008</v>
      </c>
      <c r="J72" s="52">
        <f>IF(AND($B72&lt;=$C$4,C$7="Y"),0,IF(AND(C$7="N",C$4&gt;0,B72&lt;=C$4),0,H72-I72))</f>
        <v>1015489.8379773449</v>
      </c>
      <c r="K72" s="51">
        <f>IF(AND(C$7="Y",$B72&lt;=$C$4),0,IF(AND(C$7="N",C$4&gt;0,B72&lt;=C$4),0,S72*(C72-J72)))</f>
        <v>21655.441684968853</v>
      </c>
      <c r="L72" s="49">
        <f>IF(AND(C$7="Y",$B72&lt;=$C$4),0,IF(AND(C$7="N",C$4&gt;0,B72&lt;=C$4),0,U72*D71))</f>
        <v>0</v>
      </c>
      <c r="M72" s="49">
        <f t="shared" si="19"/>
        <v>0</v>
      </c>
      <c r="N72" s="49">
        <f t="shared" si="18"/>
        <v>0</v>
      </c>
      <c r="O72" s="48">
        <f>K72+I72+J72-L72+N72+G72</f>
        <v>1049891.8661912247</v>
      </c>
      <c r="P72" s="38">
        <f>O72*(1/((1+P$12)^(B72/12)))</f>
        <v>1049891.8661912247</v>
      </c>
      <c r="Q72" s="53"/>
      <c r="R72" s="53">
        <f t="shared" si="5"/>
        <v>0.12</v>
      </c>
      <c r="S72" s="53">
        <f t="shared" si="6"/>
        <v>1.0596241035318976E-2</v>
      </c>
      <c r="T72" s="53">
        <f t="shared" si="7"/>
        <v>0</v>
      </c>
      <c r="U72" s="53">
        <f t="shared" si="10"/>
        <v>0</v>
      </c>
    </row>
    <row r="73" spans="1:21" x14ac:dyDescent="0.2">
      <c r="A73" s="62">
        <f t="shared" si="1"/>
        <v>1.0023843916028114E-2</v>
      </c>
      <c r="B73" s="45">
        <f t="shared" si="2"/>
        <v>59</v>
      </c>
      <c r="C73" s="51">
        <f>IF(B73&lt;C$4,C$1,D72-L73+N73)</f>
        <v>2022035.487276328</v>
      </c>
      <c r="D73" s="47" cm="1">
        <f t="array" ref="D73">_xlfn.IFS(AND($C$7="Y",B73&lt;C$4),C73,AND($C$7="Y",B73=C$4),D72+F73-J73-K73-L73+N73,AND($C$7="Y",B73&gt;$C$4),D72-J73-K73-L73+N73, TRUE, D72-J73-K73-L73+N73)</f>
        <v>1002384.3916028114</v>
      </c>
      <c r="E73" s="48">
        <f t="shared" si="3"/>
        <v>0</v>
      </c>
      <c r="F73" s="50">
        <f t="shared" si="4"/>
        <v>0</v>
      </c>
      <c r="G73" s="50">
        <f t="shared" si="11"/>
        <v>0</v>
      </c>
      <c r="H73" s="51">
        <f>IF(AND($B73&lt;=$C$4,C$7="Y"),0,IF(AND(C$7="N",C$4&gt;0,B73&lt;=C$4),0,(D72-L73+N73)*C$2/12/(1-(1/(1+C$2/12))^(C$3+C$4-B73+1))))</f>
        <v>1017340.9835108877</v>
      </c>
      <c r="I73" s="52">
        <f>IF(AND(C$7="Y",$B73&lt;=C$4),0,IF(AND(C$7="Y",$B73&gt;C$4),(1-U73)*C$2*D72/12,IF(AND($C$7="N",C$4&gt;0),(1-U73)*D72*C$2/12, (1-U73)*D72*C$2/12)))</f>
        <v>8425.1478636513675</v>
      </c>
      <c r="J73" s="52">
        <f>IF(AND($B73&lt;=$C$4,C$7="Y"),0,IF(AND(C$7="N",C$4&gt;0,B73&lt;=C$4),0,H73-I73))</f>
        <v>1008915.8356472363</v>
      </c>
      <c r="K73" s="51">
        <f>IF(AND(C$7="Y",$B73&lt;=$C$4),0,IF(AND(C$7="N",C$4&gt;0,B73&lt;=C$4),0,S73*(C73-J73)))</f>
        <v>10735.260026280248</v>
      </c>
      <c r="L73" s="49">
        <f>IF(AND(C$7="Y",$B73&lt;=$C$4),0,IF(AND(C$7="N",C$4&gt;0,B73&lt;=C$4),0,U73*D72))</f>
        <v>0</v>
      </c>
      <c r="M73" s="49">
        <f t="shared" si="19"/>
        <v>0</v>
      </c>
      <c r="N73" s="49">
        <f t="shared" si="18"/>
        <v>0</v>
      </c>
      <c r="O73" s="48">
        <f>K73+I73+J73-L73+N73+G73</f>
        <v>1028076.2435371679</v>
      </c>
      <c r="P73" s="38">
        <f>O73*(1/((1+P$12)^(B73/12)))</f>
        <v>1028076.2435371679</v>
      </c>
      <c r="Q73" s="53"/>
      <c r="R73" s="53">
        <f t="shared" si="5"/>
        <v>0.12</v>
      </c>
      <c r="S73" s="53">
        <f t="shared" si="6"/>
        <v>1.0596241035318976E-2</v>
      </c>
      <c r="T73" s="53">
        <f t="shared" si="7"/>
        <v>0</v>
      </c>
      <c r="U73" s="53">
        <f t="shared" si="10"/>
        <v>0</v>
      </c>
    </row>
    <row r="74" spans="1:21" x14ac:dyDescent="0.2">
      <c r="A74" s="62">
        <f t="shared" si="1"/>
        <v>-3.6858162245328762E-17</v>
      </c>
      <c r="B74" s="45">
        <f t="shared" si="2"/>
        <v>60</v>
      </c>
      <c r="C74" s="51">
        <f>IF(B74&lt;C$4,C$1,D73-L74+N74)</f>
        <v>1002384.3916028114</v>
      </c>
      <c r="D74" s="47" cm="1">
        <f t="array" ref="D74">_xlfn.IFS(AND($C$7="Y",B74&lt;C$4),C74,AND($C$7="Y",B74=C$4),D73+F74-J74-K74-L74+N74,AND($C$7="Y",B74&gt;$C$4),D73-J74-K74-L74+N74, TRUE, D73-J74-K74-L74+N74)</f>
        <v>-3.6858162245328763E-9</v>
      </c>
      <c r="E74" s="48">
        <f t="shared" si="3"/>
        <v>0</v>
      </c>
      <c r="F74" s="50">
        <f t="shared" si="4"/>
        <v>0</v>
      </c>
      <c r="G74" s="50">
        <f t="shared" si="11"/>
        <v>0</v>
      </c>
      <c r="H74" s="51">
        <f>IF(AND($B74&lt;=$C$4,C$7="Y"),0,IF(AND(C$7="N",C$4&gt;0,B74&lt;=C$4),0,(D73-L74+N74)*C$2/12/(1-(1/(1+C$2/12))^(C$3+C$4-B74+1))))</f>
        <v>1006560.9932344935</v>
      </c>
      <c r="I74" s="52">
        <f>IF(AND(C$7="Y",$B74&lt;=C$4),0,IF(AND(C$7="Y",$B74&gt;C$4),(1-U74)*C$2*D73/12,IF(AND($C$7="N",C$4&gt;0),(1-U74)*D73*C$2/12, (1-U74)*D73*C$2/12)))</f>
        <v>4176.6016316783816</v>
      </c>
      <c r="J74" s="52">
        <f>IF(AND($B74&lt;=$C$4,C$7="Y"),0,IF(AND(C$7="N",C$4&gt;0,B74&lt;=C$4),0,H74-I74))</f>
        <v>1002384.3916028151</v>
      </c>
      <c r="K74" s="51">
        <f>IF(AND(C$7="Y",$B74&lt;=$C$4),0,IF(AND(C$7="N",C$4&gt;0,B74&lt;=C$4),0,S74*(C74-J74)))</f>
        <v>-3.947407392903781E-11</v>
      </c>
      <c r="L74" s="49">
        <f>IF(AND(C$7="Y",$B74&lt;=$C$4),0,IF(AND(C$7="N",C$4&gt;0,B74&lt;=C$4),0,U74*D73))</f>
        <v>0</v>
      </c>
      <c r="M74" s="49">
        <f t="shared" si="19"/>
        <v>0</v>
      </c>
      <c r="N74" s="49">
        <f t="shared" si="18"/>
        <v>0</v>
      </c>
      <c r="O74" s="48">
        <f>K74+I74+J74-L74+N74+G74</f>
        <v>1006560.9932344934</v>
      </c>
      <c r="P74" s="38">
        <f>O74*(1/((1+P$12)^(B74/12)))</f>
        <v>1006560.9932344934</v>
      </c>
      <c r="Q74" s="53"/>
      <c r="R74" s="53">
        <f t="shared" si="5"/>
        <v>0.12</v>
      </c>
      <c r="S74" s="53">
        <f t="shared" si="6"/>
        <v>1.0596241035318976E-2</v>
      </c>
      <c r="T74" s="53">
        <f t="shared" si="7"/>
        <v>0</v>
      </c>
      <c r="U74" s="53">
        <f t="shared" si="10"/>
        <v>0</v>
      </c>
    </row>
    <row r="75" spans="1:21" x14ac:dyDescent="0.2">
      <c r="A75" s="62" t="e">
        <f t="shared" si="1"/>
        <v>#DIV/0!</v>
      </c>
      <c r="B75" s="45">
        <f t="shared" si="2"/>
        <v>61</v>
      </c>
      <c r="C75" s="51">
        <f>IF(B75&lt;C$4,C$1,D74-L75+N75)</f>
        <v>-3.6858162245328763E-9</v>
      </c>
      <c r="D75" s="47" t="e" cm="1">
        <f t="array" ref="D75">_xlfn.IFS(AND($C$7="Y",B75&lt;C$4),C75,AND($C$7="Y",B75=C$4),D74+F75-J75-K75-L75+N75,AND($C$7="Y",B75&gt;$C$4),D74-J75-K75-L75+N75, TRUE, D74-J75-K75-L75+N75)</f>
        <v>#DIV/0!</v>
      </c>
      <c r="E75" s="48">
        <f t="shared" si="3"/>
        <v>0</v>
      </c>
      <c r="F75" s="50">
        <f t="shared" si="4"/>
        <v>0</v>
      </c>
      <c r="G75" s="50">
        <f t="shared" si="11"/>
        <v>0</v>
      </c>
      <c r="H75" s="51" t="e">
        <f>IF(AND($B75&lt;=$C$4,C$7="Y"),0,IF(AND(C$7="N",C$4&gt;0,B75&lt;=C$4),0,(D74-L75+N75)*C$2/12/(1-(1/(1+C$2/12))^(C$3+C$4-B75+1))))</f>
        <v>#DIV/0!</v>
      </c>
      <c r="I75" s="52">
        <f>IF(AND(C$7="Y",$B75&lt;=C$4),0,IF(AND(C$7="Y",$B75&gt;C$4),(1-U75)*C$2*D74/12,IF(AND($C$7="N",C$4&gt;0),(1-U75)*D74*C$2/12, (1-U75)*D74*C$2/12)))</f>
        <v>-1.5357567602220318E-11</v>
      </c>
      <c r="J75" s="52" t="e">
        <f>IF(AND($B75&lt;=$C$4,C$7="Y"),0,IF(AND(C$7="N",C$4&gt;0,B75&lt;=C$4),0,H75-I75))</f>
        <v>#DIV/0!</v>
      </c>
      <c r="K75" s="51" t="e">
        <f>IF(AND(C$7="Y",$B75&lt;=$C$4),0,IF(AND(C$7="N",C$4&gt;0,B75&lt;=C$4),0,S75*(C75-J75)))</f>
        <v>#DIV/0!</v>
      </c>
      <c r="L75" s="49">
        <f>IF(AND(C$7="Y",$B75&lt;=$C$4),0,IF(AND(C$7="N",C$4&gt;0,B75&lt;=C$4),0,U75*D74))</f>
        <v>0</v>
      </c>
      <c r="M75" s="49">
        <f t="shared" si="19"/>
        <v>0</v>
      </c>
      <c r="N75" s="49">
        <f t="shared" si="18"/>
        <v>0</v>
      </c>
      <c r="O75" s="48" t="e">
        <f>K75+I75+J75-L75+N75+G75</f>
        <v>#DIV/0!</v>
      </c>
      <c r="P75" s="38" t="e">
        <f>O75*(1/((1+P$12)^(B75/12)))</f>
        <v>#DIV/0!</v>
      </c>
      <c r="Q75" s="53"/>
      <c r="R75" s="53">
        <f t="shared" si="5"/>
        <v>0.12</v>
      </c>
      <c r="S75" s="53">
        <f t="shared" si="6"/>
        <v>1.0596241035318976E-2</v>
      </c>
      <c r="T75" s="53">
        <f t="shared" si="7"/>
        <v>0</v>
      </c>
      <c r="U75" s="53">
        <f t="shared" si="10"/>
        <v>0</v>
      </c>
    </row>
    <row r="76" spans="1:21" x14ac:dyDescent="0.2">
      <c r="A76" s="62" t="e">
        <f t="shared" si="1"/>
        <v>#DIV/0!</v>
      </c>
      <c r="B76" s="45">
        <f t="shared" si="2"/>
        <v>62</v>
      </c>
      <c r="C76" s="51" t="e">
        <f>IF(B76&lt;C$4,C$1,D75-L76+N76)</f>
        <v>#DIV/0!</v>
      </c>
      <c r="D76" s="47" t="e" cm="1">
        <f t="array" ref="D76">_xlfn.IFS(AND($C$7="Y",B76&lt;C$4),C76,AND($C$7="Y",B76=C$4),D75+F76-J76-K76-L76+N76,AND($C$7="Y",B76&gt;$C$4),D75-J76-K76-L76+N76, TRUE, D75-J76-K76-L76+N76)</f>
        <v>#DIV/0!</v>
      </c>
      <c r="E76" s="48">
        <f t="shared" si="3"/>
        <v>0</v>
      </c>
      <c r="F76" s="50">
        <f t="shared" si="4"/>
        <v>0</v>
      </c>
      <c r="G76" s="50">
        <f t="shared" si="11"/>
        <v>0</v>
      </c>
      <c r="H76" s="51" t="e">
        <f>IF(AND($B76&lt;=$C$4,C$7="Y"),0,IF(AND(C$7="N",C$4&gt;0,B76&lt;=C$4),0,(D75-L76+N76)*C$2/12/(1-(1/(1+C$2/12))^(C$3+C$4-B76+1))))</f>
        <v>#DIV/0!</v>
      </c>
      <c r="I76" s="52" t="e">
        <f>IF(AND(C$7="Y",$B76&lt;=C$4),0,IF(AND(C$7="Y",$B76&gt;C$4),(1-U76)*C$2*D75/12,IF(AND($C$7="N",C$4&gt;0),(1-U76)*D75*C$2/12, (1-U76)*D75*C$2/12)))</f>
        <v>#DIV/0!</v>
      </c>
      <c r="J76" s="52" t="e">
        <f>IF(AND($B76&lt;=$C$4,C$7="Y"),0,IF(AND(C$7="N",C$4&gt;0,B76&lt;=C$4),0,H76-I76))</f>
        <v>#DIV/0!</v>
      </c>
      <c r="K76" s="51" t="e">
        <f>IF(AND(C$7="Y",$B76&lt;=$C$4),0,IF(AND(C$7="N",C$4&gt;0,B76&lt;=C$4),0,S76*(C76-J76)))</f>
        <v>#DIV/0!</v>
      </c>
      <c r="L76" s="49" t="e">
        <f>IF(AND(C$7="Y",$B76&lt;=$C$4),0,IF(AND(C$7="N",C$4&gt;0,B76&lt;=C$4),0,U76*D75))</f>
        <v>#DIV/0!</v>
      </c>
      <c r="M76" s="49">
        <f t="shared" si="19"/>
        <v>0</v>
      </c>
      <c r="N76" s="49">
        <f t="shared" si="18"/>
        <v>0</v>
      </c>
      <c r="O76" s="48" t="e">
        <f>K76+I76+J76-L76+N76+G76</f>
        <v>#DIV/0!</v>
      </c>
      <c r="P76" s="38" t="e">
        <f>O76*(1/((1+P$12)^(B76/12)))</f>
        <v>#DIV/0!</v>
      </c>
      <c r="Q76" s="53"/>
      <c r="R76" s="53">
        <f t="shared" si="5"/>
        <v>0.12</v>
      </c>
      <c r="S76" s="53">
        <f t="shared" si="6"/>
        <v>1.0596241035318976E-2</v>
      </c>
      <c r="T76" s="53">
        <f t="shared" si="7"/>
        <v>0</v>
      </c>
      <c r="U76" s="53">
        <f t="shared" si="10"/>
        <v>0</v>
      </c>
    </row>
    <row r="77" spans="1:21" x14ac:dyDescent="0.2">
      <c r="A77" s="62" t="e">
        <f t="shared" si="1"/>
        <v>#DIV/0!</v>
      </c>
      <c r="B77" s="45">
        <f t="shared" si="2"/>
        <v>63</v>
      </c>
      <c r="C77" s="51" t="e">
        <f>IF(B77&lt;C$4,C$1,D76-L77+N77)</f>
        <v>#DIV/0!</v>
      </c>
      <c r="D77" s="47" t="e" cm="1">
        <f t="array" ref="D77">_xlfn.IFS(AND($C$7="Y",B77&lt;C$4),C77,AND($C$7="Y",B77=C$4),D76+F77-J77-K77-L77+N77,AND($C$7="Y",B77&gt;$C$4),D76-J77-K77-L77+N77, TRUE, D76-J77-K77-L77+N77)</f>
        <v>#DIV/0!</v>
      </c>
      <c r="E77" s="48">
        <f t="shared" si="3"/>
        <v>0</v>
      </c>
      <c r="F77" s="50">
        <f t="shared" si="4"/>
        <v>0</v>
      </c>
      <c r="G77" s="50">
        <f t="shared" si="11"/>
        <v>0</v>
      </c>
      <c r="H77" s="51" t="e">
        <f>IF(AND($B77&lt;=$C$4,C$7="Y"),0,IF(AND(C$7="N",C$4&gt;0,B77&lt;=C$4),0,(D76-L77+N77)*C$2/12/(1-(1/(1+C$2/12))^(C$3+C$4-B77+1))))</f>
        <v>#DIV/0!</v>
      </c>
      <c r="I77" s="52" t="e">
        <f>IF(AND(C$7="Y",$B77&lt;=C$4),0,IF(AND(C$7="Y",$B77&gt;C$4),(1-U77)*C$2*D76/12,IF(AND($C$7="N",C$4&gt;0),(1-U77)*D76*C$2/12, (1-U77)*D76*C$2/12)))</f>
        <v>#DIV/0!</v>
      </c>
      <c r="J77" s="52" t="e">
        <f>IF(AND($B77&lt;=$C$4,C$7="Y"),0,IF(AND(C$7="N",C$4&gt;0,B77&lt;=C$4),0,H77-I77))</f>
        <v>#DIV/0!</v>
      </c>
      <c r="K77" s="51" t="e">
        <f>IF(AND(C$7="Y",$B77&lt;=$C$4),0,IF(AND(C$7="N",C$4&gt;0,B77&lt;=C$4),0,S77*(C77-J77)))</f>
        <v>#DIV/0!</v>
      </c>
      <c r="L77" s="49" t="e">
        <f>IF(AND(C$7="Y",$B77&lt;=$C$4),0,IF(AND(C$7="N",C$4&gt;0,B77&lt;=C$4),0,U77*D76))</f>
        <v>#DIV/0!</v>
      </c>
      <c r="M77" s="49">
        <f t="shared" si="19"/>
        <v>0</v>
      </c>
      <c r="N77" s="49">
        <f t="shared" si="18"/>
        <v>0</v>
      </c>
      <c r="O77" s="48" t="e">
        <f>K77+I77+J77-L77+N77+G77</f>
        <v>#DIV/0!</v>
      </c>
      <c r="P77" s="38" t="e">
        <f>O77*(1/((1+P$12)^(B77/12)))</f>
        <v>#DIV/0!</v>
      </c>
      <c r="Q77" s="53"/>
      <c r="R77" s="53">
        <f t="shared" si="5"/>
        <v>0.12</v>
      </c>
      <c r="S77" s="53">
        <f t="shared" si="6"/>
        <v>1.0596241035318976E-2</v>
      </c>
      <c r="T77" s="53">
        <f t="shared" si="7"/>
        <v>0</v>
      </c>
      <c r="U77" s="53">
        <f t="shared" si="10"/>
        <v>0</v>
      </c>
    </row>
    <row r="78" spans="1:21" x14ac:dyDescent="0.2">
      <c r="A78" s="62" t="e">
        <f t="shared" si="1"/>
        <v>#DIV/0!</v>
      </c>
      <c r="B78" s="45">
        <f t="shared" si="2"/>
        <v>64</v>
      </c>
      <c r="C78" s="51" t="e">
        <f>IF(B78&lt;C$4,C$1,D77-L78+N78)</f>
        <v>#DIV/0!</v>
      </c>
      <c r="D78" s="47" t="e" cm="1">
        <f t="array" ref="D78">_xlfn.IFS(AND($C$7="Y",B78&lt;C$4),C78,AND($C$7="Y",B78=C$4),D77+F78-J78-K78-L78+N78,AND($C$7="Y",B78&gt;$C$4),D77-J78-K78-L78+N78, TRUE, D77-J78-K78-L78+N78)</f>
        <v>#DIV/0!</v>
      </c>
      <c r="E78" s="48">
        <f t="shared" si="3"/>
        <v>0</v>
      </c>
      <c r="F78" s="50">
        <f t="shared" si="4"/>
        <v>0</v>
      </c>
      <c r="G78" s="50">
        <f t="shared" si="11"/>
        <v>0</v>
      </c>
      <c r="H78" s="51" t="e">
        <f>IF(AND($B78&lt;=$C$4,C$7="Y"),0,IF(AND(C$7="N",C$4&gt;0,B78&lt;=C$4),0,(D77-L78+N78)*C$2/12/(1-(1/(1+C$2/12))^(C$3+C$4-B78+1))))</f>
        <v>#DIV/0!</v>
      </c>
      <c r="I78" s="52" t="e">
        <f>IF(AND(C$7="Y",$B78&lt;=C$4),0,IF(AND(C$7="Y",$B78&gt;C$4),(1-U78)*C$2*D77/12,IF(AND($C$7="N",C$4&gt;0),(1-U78)*D77*C$2/12, (1-U78)*D77*C$2/12)))</f>
        <v>#DIV/0!</v>
      </c>
      <c r="J78" s="52" t="e">
        <f>IF(AND($B78&lt;=$C$4,C$7="Y"),0,IF(AND(C$7="N",C$4&gt;0,B78&lt;=C$4),0,H78-I78))</f>
        <v>#DIV/0!</v>
      </c>
      <c r="K78" s="51" t="e">
        <f>IF(AND(C$7="Y",$B78&lt;=$C$4),0,IF(AND(C$7="N",C$4&gt;0,B78&lt;=C$4),0,S78*(C78-J78)))</f>
        <v>#DIV/0!</v>
      </c>
      <c r="L78" s="49" t="e">
        <f>IF(AND(C$7="Y",$B78&lt;=$C$4),0,IF(AND(C$7="N",C$4&gt;0,B78&lt;=C$4),0,U78*D77))</f>
        <v>#DIV/0!</v>
      </c>
      <c r="M78" s="49">
        <f t="shared" si="19"/>
        <v>0</v>
      </c>
      <c r="N78" s="49">
        <f t="shared" si="18"/>
        <v>0</v>
      </c>
      <c r="O78" s="48" t="e">
        <f>K78+I78+J78-L78+N78+G78</f>
        <v>#DIV/0!</v>
      </c>
      <c r="P78" s="38" t="e">
        <f>O78*(1/((1+P$12)^(B78/12)))</f>
        <v>#DIV/0!</v>
      </c>
      <c r="Q78" s="53"/>
      <c r="R78" s="53">
        <f t="shared" si="5"/>
        <v>0.12</v>
      </c>
      <c r="S78" s="53">
        <f t="shared" si="6"/>
        <v>1.0596241035318976E-2</v>
      </c>
      <c r="T78" s="53">
        <f t="shared" si="7"/>
        <v>0</v>
      </c>
      <c r="U78" s="53">
        <f t="shared" si="10"/>
        <v>0</v>
      </c>
    </row>
    <row r="79" spans="1:21" x14ac:dyDescent="0.2">
      <c r="A79" s="62" t="e">
        <f t="shared" ref="A79:A142" si="20">D79/C$1</f>
        <v>#DIV/0!</v>
      </c>
      <c r="B79" s="45">
        <f t="shared" si="2"/>
        <v>65</v>
      </c>
      <c r="C79" s="51" t="e">
        <f>IF(B79&lt;C$4,C$1,D78-L79+N79)</f>
        <v>#DIV/0!</v>
      </c>
      <c r="D79" s="47" t="e" cm="1">
        <f t="array" ref="D79">_xlfn.IFS(AND($C$7="Y",B79&lt;C$4),C79,AND($C$7="Y",B79=C$4),D78+F79-J79-K79-L79+N79,AND($C$7="Y",B79&gt;$C$4),D78-J79-K79-L79+N79, TRUE, D78-J79-K79-L79+N79)</f>
        <v>#DIV/0!</v>
      </c>
      <c r="E79" s="48">
        <f t="shared" si="3"/>
        <v>0</v>
      </c>
      <c r="F79" s="50">
        <f t="shared" si="4"/>
        <v>0</v>
      </c>
      <c r="G79" s="50">
        <f t="shared" si="11"/>
        <v>0</v>
      </c>
      <c r="H79" s="51" t="e">
        <f>IF(AND($B79&lt;=$C$4,C$7="Y"),0,IF(AND(C$7="N",C$4&gt;0,B79&lt;=C$4),0,(D78-L79+N79)*C$2/12/(1-(1/(1+C$2/12))^(C$3+C$4-B79+1))))</f>
        <v>#DIV/0!</v>
      </c>
      <c r="I79" s="52" t="e">
        <f>IF(AND(C$7="Y",$B79&lt;=C$4),0,IF(AND(C$7="Y",$B79&gt;C$4),(1-U79)*C$2*D78/12,IF(AND($C$7="N",C$4&gt;0),(1-U79)*D78*C$2/12, (1-U79)*D78*C$2/12)))</f>
        <v>#DIV/0!</v>
      </c>
      <c r="J79" s="52" t="e">
        <f>IF(AND($B79&lt;=$C$4,C$7="Y"),0,IF(AND(C$7="N",C$4&gt;0,B79&lt;=C$4),0,H79-I79))</f>
        <v>#DIV/0!</v>
      </c>
      <c r="K79" s="51" t="e">
        <f>IF(AND(C$7="Y",$B79&lt;=$C$4),0,IF(AND(C$7="N",C$4&gt;0,B79&lt;=C$4),0,S79*(C79-J79)))</f>
        <v>#DIV/0!</v>
      </c>
      <c r="L79" s="49" t="e">
        <f>IF(AND(C$7="Y",$B79&lt;=$C$4),0,IF(AND(C$7="N",C$4&gt;0,B79&lt;=C$4),0,U79*D78))</f>
        <v>#DIV/0!</v>
      </c>
      <c r="M79" s="49">
        <f t="shared" si="19"/>
        <v>0</v>
      </c>
      <c r="N79" s="49">
        <f t="shared" si="18"/>
        <v>0</v>
      </c>
      <c r="O79" s="48" t="e">
        <f>K79+I79+J79-L79+N79+G79</f>
        <v>#DIV/0!</v>
      </c>
      <c r="P79" s="38" t="e">
        <f>O79*(1/((1+P$12)^(B79/12)))</f>
        <v>#DIV/0!</v>
      </c>
      <c r="Q79" s="53"/>
      <c r="R79" s="53">
        <f t="shared" si="5"/>
        <v>0.12</v>
      </c>
      <c r="S79" s="53">
        <f t="shared" si="6"/>
        <v>1.0596241035318976E-2</v>
      </c>
      <c r="T79" s="53">
        <f t="shared" si="7"/>
        <v>0</v>
      </c>
      <c r="U79" s="53">
        <f t="shared" si="10"/>
        <v>0</v>
      </c>
    </row>
    <row r="80" spans="1:21" x14ac:dyDescent="0.2">
      <c r="A80" s="62" t="e">
        <f t="shared" si="20"/>
        <v>#DIV/0!</v>
      </c>
      <c r="B80" s="45">
        <f t="shared" ref="B80:B143" si="21">B79+1</f>
        <v>66</v>
      </c>
      <c r="C80" s="51" t="e">
        <f>IF(B80&lt;C$4,C$1,D79-L80+N80)</f>
        <v>#DIV/0!</v>
      </c>
      <c r="D80" s="47" t="e" cm="1">
        <f t="array" ref="D80">_xlfn.IFS(AND($C$7="Y",B80&lt;C$4),C80,AND($C$7="Y",B80=C$4),D79+F80-J80-K80-L80+N80,AND($C$7="Y",B80&gt;$C$4),D79-J80-K80-L80+N80, TRUE, D79-J80-K80-L80+N80)</f>
        <v>#DIV/0!</v>
      </c>
      <c r="E80" s="48">
        <f t="shared" ref="E80:E143" si="22">IF(AND($C$7="Y",B80&lt;=$C$4),D79*C$2/12-G80,0)</f>
        <v>0</v>
      </c>
      <c r="F80" s="50">
        <f t="shared" ref="F80:F143" si="23">IF(AND($C$7="Y",B80&lt;=C$4),E80+F79,0)</f>
        <v>0</v>
      </c>
      <c r="G80" s="50">
        <f t="shared" si="11"/>
        <v>0</v>
      </c>
      <c r="H80" s="51" t="e">
        <f>IF(AND($B80&lt;=$C$4,C$7="Y"),0,IF(AND(C$7="N",C$4&gt;0,B80&lt;=C$4),0,(D79-L80+N80)*C$2/12/(1-(1/(1+C$2/12))^(C$3+C$4-B80+1))))</f>
        <v>#DIV/0!</v>
      </c>
      <c r="I80" s="52" t="e">
        <f>IF(AND(C$7="Y",$B80&lt;=C$4),0,IF(AND(C$7="Y",$B80&gt;C$4),(1-U80)*C$2*D79/12,IF(AND($C$7="N",C$4&gt;0),(1-U80)*D79*C$2/12, (1-U80)*D79*C$2/12)))</f>
        <v>#DIV/0!</v>
      </c>
      <c r="J80" s="52" t="e">
        <f>IF(AND($B80&lt;=$C$4,C$7="Y"),0,IF(AND(C$7="N",C$4&gt;0,B80&lt;=C$4),0,H80-I80))</f>
        <v>#DIV/0!</v>
      </c>
      <c r="K80" s="51" t="e">
        <f>IF(AND(C$7="Y",$B80&lt;=$C$4),0,IF(AND(C$7="N",C$4&gt;0,B80&lt;=C$4),0,S80*(C80-J80)))</f>
        <v>#DIV/0!</v>
      </c>
      <c r="L80" s="49" t="e">
        <f>IF(AND(C$7="Y",$B80&lt;=$C$4),0,IF(AND(C$7="N",C$4&gt;0,B80&lt;=C$4),0,U80*D79))</f>
        <v>#DIV/0!</v>
      </c>
      <c r="M80" s="49">
        <f t="shared" si="19"/>
        <v>0</v>
      </c>
      <c r="N80" s="49">
        <f t="shared" si="18"/>
        <v>0</v>
      </c>
      <c r="O80" s="48" t="e">
        <f>K80+I80+J80-L80+N80+G80</f>
        <v>#DIV/0!</v>
      </c>
      <c r="P80" s="38" t="e">
        <f>O80*(1/((1+P$12)^(B80/12)))</f>
        <v>#DIV/0!</v>
      </c>
      <c r="Q80" s="53"/>
      <c r="R80" s="53">
        <f t="shared" ref="R80:R143" si="24">R$12</f>
        <v>0.12</v>
      </c>
      <c r="S80" s="53">
        <f t="shared" ref="S80:S143" si="25">1-(1-R80)^(1/12)</f>
        <v>1.0596241035318976E-2</v>
      </c>
      <c r="T80" s="53">
        <f t="shared" ref="T80:T143" si="26">T$12</f>
        <v>0</v>
      </c>
      <c r="U80" s="53">
        <f t="shared" si="10"/>
        <v>0</v>
      </c>
    </row>
    <row r="81" spans="1:21" x14ac:dyDescent="0.2">
      <c r="A81" s="62" t="e">
        <f t="shared" si="20"/>
        <v>#DIV/0!</v>
      </c>
      <c r="B81" s="45">
        <f t="shared" si="21"/>
        <v>67</v>
      </c>
      <c r="C81" s="51" t="e">
        <f>IF(B81&lt;C$4,C$1,D80-L81+N81)</f>
        <v>#DIV/0!</v>
      </c>
      <c r="D81" s="47" t="e" cm="1">
        <f t="array" ref="D81">_xlfn.IFS(AND($C$7="Y",B81&lt;C$4),C81,AND($C$7="Y",B81=C$4),D80+F81-J81-K81-L81+N81,AND($C$7="Y",B81&gt;$C$4),D80-J81-K81-L81+N81, TRUE, D80-J81-K81-L81+N81)</f>
        <v>#DIV/0!</v>
      </c>
      <c r="E81" s="48">
        <f t="shared" si="22"/>
        <v>0</v>
      </c>
      <c r="F81" s="50">
        <f t="shared" si="23"/>
        <v>0</v>
      </c>
      <c r="G81" s="50">
        <f t="shared" si="11"/>
        <v>0</v>
      </c>
      <c r="H81" s="51" t="e">
        <f>IF(AND($B81&lt;=$C$4,C$7="Y"),0,IF(AND(C$7="N",C$4&gt;0,B81&lt;=C$4),0,(D80-L81+N81)*C$2/12/(1-(1/(1+C$2/12))^(C$3+C$4-B81+1))))</f>
        <v>#DIV/0!</v>
      </c>
      <c r="I81" s="52" t="e">
        <f>IF(AND(C$7="Y",$B81&lt;=C$4),0,IF(AND(C$7="Y",$B81&gt;C$4),(1-U81)*C$2*D80/12,IF(AND($C$7="N",C$4&gt;0),(1-U81)*D80*C$2/12, (1-U81)*D80*C$2/12)))</f>
        <v>#DIV/0!</v>
      </c>
      <c r="J81" s="52" t="e">
        <f>IF(AND($B81&lt;=$C$4,C$7="Y"),0,IF(AND(C$7="N",C$4&gt;0,B81&lt;=C$4),0,H81-I81))</f>
        <v>#DIV/0!</v>
      </c>
      <c r="K81" s="51" t="e">
        <f>IF(AND(C$7="Y",$B81&lt;=$C$4),0,IF(AND(C$7="N",C$4&gt;0,B81&lt;=C$4),0,S81*(C81-J81)))</f>
        <v>#DIV/0!</v>
      </c>
      <c r="L81" s="49" t="e">
        <f>IF(AND(C$7="Y",$B81&lt;=$C$4),0,IF(AND(C$7="N",C$4&gt;0,B81&lt;=C$4),0,U81*D80))</f>
        <v>#DIV/0!</v>
      </c>
      <c r="M81" s="49">
        <f t="shared" si="19"/>
        <v>0</v>
      </c>
      <c r="N81" s="49">
        <f t="shared" si="18"/>
        <v>0</v>
      </c>
      <c r="O81" s="48" t="e">
        <f>K81+I81+J81-L81+N81+G81</f>
        <v>#DIV/0!</v>
      </c>
      <c r="P81" s="38" t="e">
        <f>O81*(1/((1+P$12)^(B81/12)))</f>
        <v>#DIV/0!</v>
      </c>
      <c r="Q81" s="53"/>
      <c r="R81" s="53">
        <f t="shared" si="24"/>
        <v>0.12</v>
      </c>
      <c r="S81" s="53">
        <f t="shared" si="25"/>
        <v>1.0596241035318976E-2</v>
      </c>
      <c r="T81" s="53">
        <f t="shared" si="26"/>
        <v>0</v>
      </c>
      <c r="U81" s="53">
        <f t="shared" ref="U81:U144" si="27">1-(1-T81)^(1/12)</f>
        <v>0</v>
      </c>
    </row>
    <row r="82" spans="1:21" x14ac:dyDescent="0.2">
      <c r="A82" s="62" t="e">
        <f t="shared" si="20"/>
        <v>#DIV/0!</v>
      </c>
      <c r="B82" s="45">
        <f t="shared" si="21"/>
        <v>68</v>
      </c>
      <c r="C82" s="51" t="e">
        <f>IF(B82&lt;C$4,C$1,D81-L82+N82)</f>
        <v>#DIV/0!</v>
      </c>
      <c r="D82" s="47" t="e" cm="1">
        <f t="array" ref="D82">_xlfn.IFS(AND($C$7="Y",B82&lt;C$4),C82,AND($C$7="Y",B82=C$4),D81+F82-J82-K82-L82+N82,AND($C$7="Y",B82&gt;$C$4),D81-J82-K82-L82+N82, TRUE, D81-J82-K82-L82+N82)</f>
        <v>#DIV/0!</v>
      </c>
      <c r="E82" s="48">
        <f t="shared" si="22"/>
        <v>0</v>
      </c>
      <c r="F82" s="50">
        <f t="shared" si="23"/>
        <v>0</v>
      </c>
      <c r="G82" s="50">
        <f t="shared" ref="G82:G145" si="28">IF($B82&lt;=$C$4,C$6,0)</f>
        <v>0</v>
      </c>
      <c r="H82" s="51" t="e">
        <f>IF(AND($B82&lt;=$C$4,C$7="Y"),0,IF(AND(C$7="N",C$4&gt;0,B82&lt;=C$4),0,(D81-L82+N82)*C$2/12/(1-(1/(1+C$2/12))^(C$3+C$4-B82+1))))</f>
        <v>#DIV/0!</v>
      </c>
      <c r="I82" s="52" t="e">
        <f>IF(AND(C$7="Y",$B82&lt;=C$4),0,IF(AND(C$7="Y",$B82&gt;C$4),(1-U82)*C$2*D81/12,IF(AND($C$7="N",C$4&gt;0),(1-U82)*D81*C$2/12, (1-U82)*D81*C$2/12)))</f>
        <v>#DIV/0!</v>
      </c>
      <c r="J82" s="52" t="e">
        <f>IF(AND($B82&lt;=$C$4,C$7="Y"),0,IF(AND(C$7="N",C$4&gt;0,B82&lt;=C$4),0,H82-I82))</f>
        <v>#DIV/0!</v>
      </c>
      <c r="K82" s="51" t="e">
        <f>IF(AND(C$7="Y",$B82&lt;=$C$4),0,IF(AND(C$7="N",C$4&gt;0,B82&lt;=C$4),0,S82*(C82-J82)))</f>
        <v>#DIV/0!</v>
      </c>
      <c r="L82" s="49" t="e">
        <f>IF(AND(C$7="Y",$B82&lt;=$C$4),0,IF(AND(C$7="N",C$4&gt;0,B82&lt;=C$4),0,U82*D81))</f>
        <v>#DIV/0!</v>
      </c>
      <c r="M82" s="49">
        <f t="shared" si="19"/>
        <v>0</v>
      </c>
      <c r="N82" s="49">
        <f t="shared" si="18"/>
        <v>0</v>
      </c>
      <c r="O82" s="48" t="e">
        <f>K82+I82+J82-L82+N82+G82</f>
        <v>#DIV/0!</v>
      </c>
      <c r="P82" s="38" t="e">
        <f>O82*(1/((1+P$12)^(B82/12)))</f>
        <v>#DIV/0!</v>
      </c>
      <c r="Q82" s="53"/>
      <c r="R82" s="53">
        <f t="shared" si="24"/>
        <v>0.12</v>
      </c>
      <c r="S82" s="53">
        <f t="shared" si="25"/>
        <v>1.0596241035318976E-2</v>
      </c>
      <c r="T82" s="53">
        <f t="shared" si="26"/>
        <v>0</v>
      </c>
      <c r="U82" s="53">
        <f t="shared" si="27"/>
        <v>0</v>
      </c>
    </row>
    <row r="83" spans="1:21" x14ac:dyDescent="0.2">
      <c r="A83" s="62" t="e">
        <f t="shared" si="20"/>
        <v>#DIV/0!</v>
      </c>
      <c r="B83" s="45">
        <f t="shared" si="21"/>
        <v>69</v>
      </c>
      <c r="C83" s="51" t="e">
        <f>IF(B83&lt;C$4,C$1,D82-L83+N83)</f>
        <v>#DIV/0!</v>
      </c>
      <c r="D83" s="47" t="e" cm="1">
        <f t="array" ref="D83">_xlfn.IFS(AND($C$7="Y",B83&lt;C$4),C83,AND($C$7="Y",B83=C$4),D82+F83-J83-K83-L83+N83,AND($C$7="Y",B83&gt;$C$4),D82-J83-K83-L83+N83, TRUE, D82-J83-K83-L83+N83)</f>
        <v>#DIV/0!</v>
      </c>
      <c r="E83" s="48">
        <f t="shared" si="22"/>
        <v>0</v>
      </c>
      <c r="F83" s="50">
        <f t="shared" si="23"/>
        <v>0</v>
      </c>
      <c r="G83" s="50">
        <f t="shared" si="28"/>
        <v>0</v>
      </c>
      <c r="H83" s="51" t="e">
        <f>IF(AND($B83&lt;=$C$4,C$7="Y"),0,IF(AND(C$7="N",C$4&gt;0,B83&lt;=C$4),0,(D82-L83+N83)*C$2/12/(1-(1/(1+C$2/12))^(C$3+C$4-B83+1))))</f>
        <v>#DIV/0!</v>
      </c>
      <c r="I83" s="52" t="e">
        <f>IF(AND(C$7="Y",$B83&lt;=C$4),0,IF(AND(C$7="Y",$B83&gt;C$4),(1-U83)*C$2*D82/12,IF(AND($C$7="N",C$4&gt;0),(1-U83)*D82*C$2/12, (1-U83)*D82*C$2/12)))</f>
        <v>#DIV/0!</v>
      </c>
      <c r="J83" s="52" t="e">
        <f>IF(AND($B83&lt;=$C$4,C$7="Y"),0,IF(AND(C$7="N",C$4&gt;0,B83&lt;=C$4),0,H83-I83))</f>
        <v>#DIV/0!</v>
      </c>
      <c r="K83" s="51" t="e">
        <f>IF(AND(C$7="Y",$B83&lt;=$C$4),0,IF(AND(C$7="N",C$4&gt;0,B83&lt;=C$4),0,S83*(C83-J83)))</f>
        <v>#DIV/0!</v>
      </c>
      <c r="L83" s="49" t="e">
        <f>IF(AND(C$7="Y",$B83&lt;=$C$4),0,IF(AND(C$7="N",C$4&gt;0,B83&lt;=C$4),0,U83*D82))</f>
        <v>#DIV/0!</v>
      </c>
      <c r="M83" s="49">
        <f t="shared" si="19"/>
        <v>0</v>
      </c>
      <c r="N83" s="49">
        <f t="shared" si="18"/>
        <v>0</v>
      </c>
      <c r="O83" s="48" t="e">
        <f>K83+I83+J83-L83+N83+G83</f>
        <v>#DIV/0!</v>
      </c>
      <c r="P83" s="38" t="e">
        <f>O83*(1/((1+P$12)^(B83/12)))</f>
        <v>#DIV/0!</v>
      </c>
      <c r="Q83" s="53"/>
      <c r="R83" s="53">
        <f t="shared" si="24"/>
        <v>0.12</v>
      </c>
      <c r="S83" s="53">
        <f t="shared" si="25"/>
        <v>1.0596241035318976E-2</v>
      </c>
      <c r="T83" s="53">
        <f t="shared" si="26"/>
        <v>0</v>
      </c>
      <c r="U83" s="53">
        <f t="shared" si="27"/>
        <v>0</v>
      </c>
    </row>
    <row r="84" spans="1:21" x14ac:dyDescent="0.2">
      <c r="A84" s="62" t="e">
        <f t="shared" si="20"/>
        <v>#DIV/0!</v>
      </c>
      <c r="B84" s="45">
        <f t="shared" si="21"/>
        <v>70</v>
      </c>
      <c r="C84" s="51" t="e">
        <f>IF(B84&lt;C$4,C$1,D83-L84+N84)</f>
        <v>#DIV/0!</v>
      </c>
      <c r="D84" s="47" t="e" cm="1">
        <f t="array" ref="D84">_xlfn.IFS(AND($C$7="Y",B84&lt;C$4),C84,AND($C$7="Y",B84=C$4),D83+F84-J84-K84-L84+N84,AND($C$7="Y",B84&gt;$C$4),D83-J84-K84-L84+N84, TRUE, D83-J84-K84-L84+N84)</f>
        <v>#DIV/0!</v>
      </c>
      <c r="E84" s="48">
        <f t="shared" si="22"/>
        <v>0</v>
      </c>
      <c r="F84" s="50">
        <f t="shared" si="23"/>
        <v>0</v>
      </c>
      <c r="G84" s="50">
        <f t="shared" si="28"/>
        <v>0</v>
      </c>
      <c r="H84" s="51" t="e">
        <f>IF(AND($B84&lt;=$C$4,C$7="Y"),0,IF(AND(C$7="N",C$4&gt;0,B84&lt;=C$4),0,(D83-L84+N84)*C$2/12/(1-(1/(1+C$2/12))^(C$3+C$4-B84+1))))</f>
        <v>#DIV/0!</v>
      </c>
      <c r="I84" s="52" t="e">
        <f>IF(AND(C$7="Y",$B84&lt;=C$4),0,IF(AND(C$7="Y",$B84&gt;C$4),(1-U84)*C$2*D83/12,IF(AND($C$7="N",C$4&gt;0),(1-U84)*D83*C$2/12, (1-U84)*D83*C$2/12)))</f>
        <v>#DIV/0!</v>
      </c>
      <c r="J84" s="52" t="e">
        <f>IF(AND($B84&lt;=$C$4,C$7="Y"),0,IF(AND(C$7="N",C$4&gt;0,B84&lt;=C$4),0,H84-I84))</f>
        <v>#DIV/0!</v>
      </c>
      <c r="K84" s="51" t="e">
        <f>IF(AND(C$7="Y",$B84&lt;=$C$4),0,IF(AND(C$7="N",C$4&gt;0,B84&lt;=C$4),0,S84*(C84-J84)))</f>
        <v>#DIV/0!</v>
      </c>
      <c r="L84" s="49" t="e">
        <f>IF(AND(C$7="Y",$B84&lt;=$C$4),0,IF(AND(C$7="N",C$4&gt;0,B84&lt;=C$4),0,U84*D83))</f>
        <v>#DIV/0!</v>
      </c>
      <c r="M84" s="49">
        <f t="shared" si="19"/>
        <v>0</v>
      </c>
      <c r="N84" s="49">
        <f t="shared" si="18"/>
        <v>0</v>
      </c>
      <c r="O84" s="48" t="e">
        <f>K84+I84+J84-L84+N84+G84</f>
        <v>#DIV/0!</v>
      </c>
      <c r="P84" s="38" t="e">
        <f>O84*(1/((1+P$12)^(B84/12)))</f>
        <v>#DIV/0!</v>
      </c>
      <c r="Q84" s="53"/>
      <c r="R84" s="53">
        <f t="shared" si="24"/>
        <v>0.12</v>
      </c>
      <c r="S84" s="53">
        <f t="shared" si="25"/>
        <v>1.0596241035318976E-2</v>
      </c>
      <c r="T84" s="53">
        <f t="shared" si="26"/>
        <v>0</v>
      </c>
      <c r="U84" s="53">
        <f t="shared" si="27"/>
        <v>0</v>
      </c>
    </row>
    <row r="85" spans="1:21" x14ac:dyDescent="0.2">
      <c r="A85" s="62" t="e">
        <f t="shared" si="20"/>
        <v>#DIV/0!</v>
      </c>
      <c r="B85" s="45">
        <f t="shared" si="21"/>
        <v>71</v>
      </c>
      <c r="C85" s="51" t="e">
        <f>IF(B85&lt;C$4,C$1,D84-L85+N85)</f>
        <v>#DIV/0!</v>
      </c>
      <c r="D85" s="47" t="e" cm="1">
        <f t="array" ref="D85">_xlfn.IFS(AND($C$7="Y",B85&lt;C$4),C85,AND($C$7="Y",B85=C$4),D84+F85-J85-K85-L85+N85,AND($C$7="Y",B85&gt;$C$4),D84-J85-K85-L85+N85, TRUE, D84-J85-K85-L85+N85)</f>
        <v>#DIV/0!</v>
      </c>
      <c r="E85" s="48">
        <f t="shared" si="22"/>
        <v>0</v>
      </c>
      <c r="F85" s="50">
        <f t="shared" si="23"/>
        <v>0</v>
      </c>
      <c r="G85" s="50">
        <f t="shared" si="28"/>
        <v>0</v>
      </c>
      <c r="H85" s="51" t="e">
        <f>IF(AND($B85&lt;=$C$4,C$7="Y"),0,IF(AND(C$7="N",C$4&gt;0,B85&lt;=C$4),0,(D84-L85+N85)*C$2/12/(1-(1/(1+C$2/12))^(C$3+C$4-B85+1))))</f>
        <v>#DIV/0!</v>
      </c>
      <c r="I85" s="52" t="e">
        <f>IF(AND(C$7="Y",$B85&lt;=C$4),0,IF(AND(C$7="Y",$B85&gt;C$4),(1-U85)*C$2*D84/12,IF(AND($C$7="N",C$4&gt;0),(1-U85)*D84*C$2/12, (1-U85)*D84*C$2/12)))</f>
        <v>#DIV/0!</v>
      </c>
      <c r="J85" s="52" t="e">
        <f>IF(AND($B85&lt;=$C$4,C$7="Y"),0,IF(AND(C$7="N",C$4&gt;0,B85&lt;=C$4),0,H85-I85))</f>
        <v>#DIV/0!</v>
      </c>
      <c r="K85" s="51" t="e">
        <f>IF(AND(C$7="Y",$B85&lt;=$C$4),0,IF(AND(C$7="N",C$4&gt;0,B85&lt;=C$4),0,S85*(C85-J85)))</f>
        <v>#DIV/0!</v>
      </c>
      <c r="L85" s="49" t="e">
        <f>IF(AND(C$7="Y",$B85&lt;=$C$4),0,IF(AND(C$7="N",C$4&gt;0,B85&lt;=C$4),0,U85*D84))</f>
        <v>#DIV/0!</v>
      </c>
      <c r="M85" s="49">
        <f t="shared" si="19"/>
        <v>0</v>
      </c>
      <c r="N85" s="49">
        <f t="shared" si="18"/>
        <v>0</v>
      </c>
      <c r="O85" s="48" t="e">
        <f>K85+I85+J85-L85+N85+G85</f>
        <v>#DIV/0!</v>
      </c>
      <c r="P85" s="38" t="e">
        <f>O85*(1/((1+P$12)^(B85/12)))</f>
        <v>#DIV/0!</v>
      </c>
      <c r="Q85" s="53"/>
      <c r="R85" s="53">
        <f t="shared" si="24"/>
        <v>0.12</v>
      </c>
      <c r="S85" s="53">
        <f t="shared" si="25"/>
        <v>1.0596241035318976E-2</v>
      </c>
      <c r="T85" s="53">
        <f t="shared" si="26"/>
        <v>0</v>
      </c>
      <c r="U85" s="53">
        <f t="shared" si="27"/>
        <v>0</v>
      </c>
    </row>
    <row r="86" spans="1:21" x14ac:dyDescent="0.2">
      <c r="A86" s="62" t="e">
        <f t="shared" si="20"/>
        <v>#DIV/0!</v>
      </c>
      <c r="B86" s="45">
        <f t="shared" si="21"/>
        <v>72</v>
      </c>
      <c r="C86" s="51" t="e">
        <f>IF(B86&lt;C$4,C$1,D85-L86+N86)</f>
        <v>#DIV/0!</v>
      </c>
      <c r="D86" s="47" t="e" cm="1">
        <f t="array" ref="D86">_xlfn.IFS(AND($C$7="Y",B86&lt;C$4),C86,AND($C$7="Y",B86=C$4),D85+F86-J86-K86-L86+N86,AND($C$7="Y",B86&gt;$C$4),D85-J86-K86-L86+N86, TRUE, D85-J86-K86-L86+N86)</f>
        <v>#DIV/0!</v>
      </c>
      <c r="E86" s="48">
        <f t="shared" si="22"/>
        <v>0</v>
      </c>
      <c r="F86" s="50">
        <f t="shared" si="23"/>
        <v>0</v>
      </c>
      <c r="G86" s="50">
        <f t="shared" si="28"/>
        <v>0</v>
      </c>
      <c r="H86" s="51" t="e">
        <f>IF(AND($B86&lt;=$C$4,C$7="Y"),0,IF(AND(C$7="N",C$4&gt;0,B86&lt;=C$4),0,(D85-L86+N86)*C$2/12/(1-(1/(1+C$2/12))^(C$3+C$4-B86+1))))</f>
        <v>#DIV/0!</v>
      </c>
      <c r="I86" s="52" t="e">
        <f>IF(AND(C$7="Y",$B86&lt;=C$4),0,IF(AND(C$7="Y",$B86&gt;C$4),(1-U86)*C$2*D85/12,IF(AND($C$7="N",C$4&gt;0),(1-U86)*D85*C$2/12, (1-U86)*D85*C$2/12)))</f>
        <v>#DIV/0!</v>
      </c>
      <c r="J86" s="52" t="e">
        <f>IF(AND($B86&lt;=$C$4,C$7="Y"),0,IF(AND(C$7="N",C$4&gt;0,B86&lt;=C$4),0,H86-I86))</f>
        <v>#DIV/0!</v>
      </c>
      <c r="K86" s="51" t="e">
        <f>IF(AND(C$7="Y",$B86&lt;=$C$4),0,IF(AND(C$7="N",C$4&gt;0,B86&lt;=C$4),0,S86*(C86-J86)))</f>
        <v>#DIV/0!</v>
      </c>
      <c r="L86" s="49" t="e">
        <f>IF(AND(C$7="Y",$B86&lt;=$C$4),0,IF(AND(C$7="N",C$4&gt;0,B86&lt;=C$4),0,U86*D85))</f>
        <v>#DIV/0!</v>
      </c>
      <c r="M86" s="49">
        <f t="shared" si="19"/>
        <v>0</v>
      </c>
      <c r="N86" s="49">
        <f t="shared" si="18"/>
        <v>0</v>
      </c>
      <c r="O86" s="48" t="e">
        <f>K86+I86+J86-L86+N86+G86</f>
        <v>#DIV/0!</v>
      </c>
      <c r="P86" s="38" t="e">
        <f>O86*(1/((1+P$12)^(B86/12)))</f>
        <v>#DIV/0!</v>
      </c>
      <c r="Q86" s="53"/>
      <c r="R86" s="53">
        <f t="shared" si="24"/>
        <v>0.12</v>
      </c>
      <c r="S86" s="53">
        <f t="shared" si="25"/>
        <v>1.0596241035318976E-2</v>
      </c>
      <c r="T86" s="53">
        <f t="shared" si="26"/>
        <v>0</v>
      </c>
      <c r="U86" s="53">
        <f t="shared" si="27"/>
        <v>0</v>
      </c>
    </row>
    <row r="87" spans="1:21" x14ac:dyDescent="0.2">
      <c r="A87" s="62" t="e">
        <f t="shared" si="20"/>
        <v>#DIV/0!</v>
      </c>
      <c r="B87" s="45">
        <f t="shared" si="21"/>
        <v>73</v>
      </c>
      <c r="C87" s="51" t="e">
        <f>IF(B87&lt;C$4,C$1,D86-L87+N87)</f>
        <v>#DIV/0!</v>
      </c>
      <c r="D87" s="47" t="e" cm="1">
        <f t="array" ref="D87">_xlfn.IFS(AND($C$7="Y",B87&lt;C$4),C87,AND($C$7="Y",B87=C$4),D86+F87-J87-K87-L87+N87,AND($C$7="Y",B87&gt;$C$4),D86-J87-K87-L87+N87, TRUE, D86-J87-K87-L87+N87)</f>
        <v>#DIV/0!</v>
      </c>
      <c r="E87" s="48">
        <f t="shared" si="22"/>
        <v>0</v>
      </c>
      <c r="F87" s="50">
        <f t="shared" si="23"/>
        <v>0</v>
      </c>
      <c r="G87" s="50">
        <f t="shared" si="28"/>
        <v>0</v>
      </c>
      <c r="H87" s="51" t="e">
        <f>IF(AND($B87&lt;=$C$4,C$7="Y"),0,IF(AND(C$7="N",C$4&gt;0,B87&lt;=C$4),0,(D86-L87+N87)*C$2/12/(1-(1/(1+C$2/12))^(C$3+C$4-B87+1))))</f>
        <v>#DIV/0!</v>
      </c>
      <c r="I87" s="52" t="e">
        <f>IF(AND(C$7="Y",$B87&lt;=C$4),0,IF(AND(C$7="Y",$B87&gt;C$4),(1-U87)*C$2*D86/12,IF(AND($C$7="N",C$4&gt;0),(1-U87)*D86*C$2/12, (1-U87)*D86*C$2/12)))</f>
        <v>#DIV/0!</v>
      </c>
      <c r="J87" s="52" t="e">
        <f>IF(AND($B87&lt;=$C$4,C$7="Y"),0,IF(AND(C$7="N",C$4&gt;0,B87&lt;=C$4),0,H87-I87))</f>
        <v>#DIV/0!</v>
      </c>
      <c r="K87" s="51" t="e">
        <f>IF(AND(C$7="Y",$B87&lt;=$C$4),0,IF(AND(C$7="N",C$4&gt;0,B87&lt;=C$4),0,S87*(C87-J87)))</f>
        <v>#DIV/0!</v>
      </c>
      <c r="L87" s="49" t="e">
        <f>IF(AND(C$7="Y",$B87&lt;=$C$4),0,IF(AND(C$7="N",C$4&gt;0,B87&lt;=C$4),0,U87*D86))</f>
        <v>#DIV/0!</v>
      </c>
      <c r="M87" s="49">
        <f t="shared" si="19"/>
        <v>0</v>
      </c>
      <c r="N87" s="49">
        <f t="shared" si="18"/>
        <v>0</v>
      </c>
      <c r="O87" s="48" t="e">
        <f>K87+I87+J87-L87+N87+G87</f>
        <v>#DIV/0!</v>
      </c>
      <c r="P87" s="38" t="e">
        <f>O87*(1/((1+P$12)^(B87/12)))</f>
        <v>#DIV/0!</v>
      </c>
      <c r="Q87" s="53"/>
      <c r="R87" s="53">
        <f t="shared" si="24"/>
        <v>0.12</v>
      </c>
      <c r="S87" s="53">
        <f t="shared" si="25"/>
        <v>1.0596241035318976E-2</v>
      </c>
      <c r="T87" s="53">
        <f t="shared" si="26"/>
        <v>0</v>
      </c>
      <c r="U87" s="53">
        <f t="shared" si="27"/>
        <v>0</v>
      </c>
    </row>
    <row r="88" spans="1:21" x14ac:dyDescent="0.2">
      <c r="A88" s="62" t="e">
        <f t="shared" si="20"/>
        <v>#DIV/0!</v>
      </c>
      <c r="B88" s="45">
        <f t="shared" si="21"/>
        <v>74</v>
      </c>
      <c r="C88" s="51" t="e">
        <f>IF(B88&lt;C$4,C$1,D87-L88+N88)</f>
        <v>#DIV/0!</v>
      </c>
      <c r="D88" s="47" t="e" cm="1">
        <f t="array" ref="D88">_xlfn.IFS(AND($C$7="Y",B88&lt;C$4),C88,AND($C$7="Y",B88=C$4),D87+F88-J88-K88-L88+N88,AND($C$7="Y",B88&gt;$C$4),D87-J88-K88-L88+N88, TRUE, D87-J88-K88-L88+N88)</f>
        <v>#DIV/0!</v>
      </c>
      <c r="E88" s="48">
        <f t="shared" si="22"/>
        <v>0</v>
      </c>
      <c r="F88" s="50">
        <f t="shared" si="23"/>
        <v>0</v>
      </c>
      <c r="G88" s="50">
        <f t="shared" si="28"/>
        <v>0</v>
      </c>
      <c r="H88" s="51" t="e">
        <f>IF(AND($B88&lt;=$C$4,C$7="Y"),0,IF(AND(C$7="N",C$4&gt;0,B88&lt;=C$4),0,(D87-L88+N88)*C$2/12/(1-(1/(1+C$2/12))^(C$3+C$4-B88+1))))</f>
        <v>#DIV/0!</v>
      </c>
      <c r="I88" s="52" t="e">
        <f>IF(AND(C$7="Y",$B88&lt;=C$4),0,IF(AND(C$7="Y",$B88&gt;C$4),(1-U88)*C$2*D87/12,IF(AND($C$7="N",C$4&gt;0),(1-U88)*D87*C$2/12, (1-U88)*D87*C$2/12)))</f>
        <v>#DIV/0!</v>
      </c>
      <c r="J88" s="52" t="e">
        <f>IF(AND($B88&lt;=$C$4,C$7="Y"),0,IF(AND(C$7="N",C$4&gt;0,B88&lt;=C$4),0,H88-I88))</f>
        <v>#DIV/0!</v>
      </c>
      <c r="K88" s="51" t="e">
        <f>IF(AND(C$7="Y",$B88&lt;=$C$4),0,IF(AND(C$7="N",C$4&gt;0,B88&lt;=C$4),0,S88*(C88-J88)))</f>
        <v>#DIV/0!</v>
      </c>
      <c r="L88" s="49" t="e">
        <f>IF(AND(C$7="Y",$B88&lt;=$C$4),0,IF(AND(C$7="N",C$4&gt;0,B88&lt;=C$4),0,U88*D87))</f>
        <v>#DIV/0!</v>
      </c>
      <c r="M88" s="49">
        <f t="shared" si="19"/>
        <v>0</v>
      </c>
      <c r="N88" s="49">
        <f t="shared" si="18"/>
        <v>0</v>
      </c>
      <c r="O88" s="48" t="e">
        <f>K88+I88+J88-L88+N88+G88</f>
        <v>#DIV/0!</v>
      </c>
      <c r="P88" s="38" t="e">
        <f>O88*(1/((1+P$12)^(B88/12)))</f>
        <v>#DIV/0!</v>
      </c>
      <c r="Q88" s="53"/>
      <c r="R88" s="53">
        <f t="shared" si="24"/>
        <v>0.12</v>
      </c>
      <c r="S88" s="53">
        <f t="shared" si="25"/>
        <v>1.0596241035318976E-2</v>
      </c>
      <c r="T88" s="53">
        <f t="shared" si="26"/>
        <v>0</v>
      </c>
      <c r="U88" s="53">
        <f t="shared" si="27"/>
        <v>0</v>
      </c>
    </row>
    <row r="89" spans="1:21" x14ac:dyDescent="0.2">
      <c r="A89" s="62" t="e">
        <f t="shared" si="20"/>
        <v>#DIV/0!</v>
      </c>
      <c r="B89" s="45">
        <f t="shared" si="21"/>
        <v>75</v>
      </c>
      <c r="C89" s="51" t="e">
        <f>IF(B89&lt;C$4,C$1,D88-L89+N89)</f>
        <v>#DIV/0!</v>
      </c>
      <c r="D89" s="47" t="e" cm="1">
        <f t="array" ref="D89">_xlfn.IFS(AND($C$7="Y",B89&lt;C$4),C89,AND($C$7="Y",B89=C$4),D88+F89-J89-K89-L89+N89,AND($C$7="Y",B89&gt;$C$4),D88-J89-K89-L89+N89, TRUE, D88-J89-K89-L89+N89)</f>
        <v>#DIV/0!</v>
      </c>
      <c r="E89" s="48">
        <f t="shared" si="22"/>
        <v>0</v>
      </c>
      <c r="F89" s="50">
        <f t="shared" si="23"/>
        <v>0</v>
      </c>
      <c r="G89" s="50">
        <f t="shared" si="28"/>
        <v>0</v>
      </c>
      <c r="H89" s="51" t="e">
        <f>IF(AND($B89&lt;=$C$4,C$7="Y"),0,IF(AND(C$7="N",C$4&gt;0,B89&lt;=C$4),0,(D88-L89+N89)*C$2/12/(1-(1/(1+C$2/12))^(C$3+C$4-B89+1))))</f>
        <v>#DIV/0!</v>
      </c>
      <c r="I89" s="52" t="e">
        <f>IF(AND(C$7="Y",$B89&lt;=C$4),0,IF(AND(C$7="Y",$B89&gt;C$4),(1-U89)*C$2*D88/12,IF(AND($C$7="N",C$4&gt;0),(1-U89)*D88*C$2/12, (1-U89)*D88*C$2/12)))</f>
        <v>#DIV/0!</v>
      </c>
      <c r="J89" s="52" t="e">
        <f>IF(AND($B89&lt;=$C$4,C$7="Y"),0,IF(AND(C$7="N",C$4&gt;0,B89&lt;=C$4),0,H89-I89))</f>
        <v>#DIV/0!</v>
      </c>
      <c r="K89" s="51" t="e">
        <f>IF(AND(C$7="Y",$B89&lt;=$C$4),0,IF(AND(C$7="N",C$4&gt;0,B89&lt;=C$4),0,S89*(C89-J89)))</f>
        <v>#DIV/0!</v>
      </c>
      <c r="L89" s="49" t="e">
        <f>IF(AND(C$7="Y",$B89&lt;=$C$4),0,IF(AND(C$7="N",C$4&gt;0,B89&lt;=C$4),0,U89*D88))</f>
        <v>#DIV/0!</v>
      </c>
      <c r="M89" s="49">
        <f t="shared" si="19"/>
        <v>0</v>
      </c>
      <c r="N89" s="49">
        <f t="shared" si="18"/>
        <v>0</v>
      </c>
      <c r="O89" s="48" t="e">
        <f>K89+I89+J89-L89+N89+G89</f>
        <v>#DIV/0!</v>
      </c>
      <c r="P89" s="38" t="e">
        <f>O89*(1/((1+P$12)^(B89/12)))</f>
        <v>#DIV/0!</v>
      </c>
      <c r="Q89" s="53"/>
      <c r="R89" s="53">
        <f t="shared" si="24"/>
        <v>0.12</v>
      </c>
      <c r="S89" s="53">
        <f t="shared" si="25"/>
        <v>1.0596241035318976E-2</v>
      </c>
      <c r="T89" s="53">
        <f t="shared" si="26"/>
        <v>0</v>
      </c>
      <c r="U89" s="53">
        <f t="shared" si="27"/>
        <v>0</v>
      </c>
    </row>
    <row r="90" spans="1:21" x14ac:dyDescent="0.2">
      <c r="A90" s="62" t="e">
        <f t="shared" si="20"/>
        <v>#DIV/0!</v>
      </c>
      <c r="B90" s="45">
        <f t="shared" si="21"/>
        <v>76</v>
      </c>
      <c r="C90" s="51" t="e">
        <f>IF(B90&lt;C$4,C$1,D89-L90+N90)</f>
        <v>#DIV/0!</v>
      </c>
      <c r="D90" s="47" t="e" cm="1">
        <f t="array" ref="D90">_xlfn.IFS(AND($C$7="Y",B90&lt;C$4),C90,AND($C$7="Y",B90=C$4),D89+F90-J90-K90-L90+N90,AND($C$7="Y",B90&gt;$C$4),D89-J90-K90-L90+N90, TRUE, D89-J90-K90-L90+N90)</f>
        <v>#DIV/0!</v>
      </c>
      <c r="E90" s="48">
        <f t="shared" si="22"/>
        <v>0</v>
      </c>
      <c r="F90" s="50">
        <f t="shared" si="23"/>
        <v>0</v>
      </c>
      <c r="G90" s="50">
        <f t="shared" si="28"/>
        <v>0</v>
      </c>
      <c r="H90" s="51" t="e">
        <f>IF(AND($B90&lt;=$C$4,C$7="Y"),0,IF(AND(C$7="N",C$4&gt;0,B90&lt;=C$4),0,(D89-L90+N90)*C$2/12/(1-(1/(1+C$2/12))^(C$3+C$4-B90+1))))</f>
        <v>#DIV/0!</v>
      </c>
      <c r="I90" s="52" t="e">
        <f>IF(AND(C$7="Y",$B90&lt;=C$4),0,IF(AND(C$7="Y",$B90&gt;C$4),(1-U90)*C$2*D89/12,IF(AND($C$7="N",C$4&gt;0),(1-U90)*D89*C$2/12, (1-U90)*D89*C$2/12)))</f>
        <v>#DIV/0!</v>
      </c>
      <c r="J90" s="52" t="e">
        <f>IF(AND($B90&lt;=$C$4,C$7="Y"),0,IF(AND(C$7="N",C$4&gt;0,B90&lt;=C$4),0,H90-I90))</f>
        <v>#DIV/0!</v>
      </c>
      <c r="K90" s="51" t="e">
        <f>IF(AND(C$7="Y",$B90&lt;=$C$4),0,IF(AND(C$7="N",C$4&gt;0,B90&lt;=C$4),0,S90*(C90-J90)))</f>
        <v>#DIV/0!</v>
      </c>
      <c r="L90" s="49" t="e">
        <f>IF(AND(C$7="Y",$B90&lt;=$C$4),0,IF(AND(C$7="N",C$4&gt;0,B90&lt;=C$4),0,U90*D89))</f>
        <v>#DIV/0!</v>
      </c>
      <c r="M90" s="49">
        <f t="shared" si="19"/>
        <v>0</v>
      </c>
      <c r="N90" s="49">
        <f t="shared" si="18"/>
        <v>0</v>
      </c>
      <c r="O90" s="48" t="e">
        <f>K90+I90+J90-L90+N90+G90</f>
        <v>#DIV/0!</v>
      </c>
      <c r="P90" s="38" t="e">
        <f>O90*(1/((1+P$12)^(B90/12)))</f>
        <v>#DIV/0!</v>
      </c>
      <c r="Q90" s="53"/>
      <c r="R90" s="53">
        <f t="shared" si="24"/>
        <v>0.12</v>
      </c>
      <c r="S90" s="53">
        <f t="shared" si="25"/>
        <v>1.0596241035318976E-2</v>
      </c>
      <c r="T90" s="53">
        <f t="shared" si="26"/>
        <v>0</v>
      </c>
      <c r="U90" s="53">
        <f t="shared" si="27"/>
        <v>0</v>
      </c>
    </row>
    <row r="91" spans="1:21" x14ac:dyDescent="0.2">
      <c r="A91" s="62" t="e">
        <f t="shared" si="20"/>
        <v>#DIV/0!</v>
      </c>
      <c r="B91" s="45">
        <f t="shared" si="21"/>
        <v>77</v>
      </c>
      <c r="C91" s="51" t="e">
        <f>IF(B91&lt;C$4,C$1,D90-L91+N91)</f>
        <v>#DIV/0!</v>
      </c>
      <c r="D91" s="47" t="e" cm="1">
        <f t="array" ref="D91">_xlfn.IFS(AND($C$7="Y",B91&lt;C$4),C91,AND($C$7="Y",B91=C$4),D90+F91-J91-K91-L91+N91,AND($C$7="Y",B91&gt;$C$4),D90-J91-K91-L91+N91, TRUE, D90-J91-K91-L91+N91)</f>
        <v>#DIV/0!</v>
      </c>
      <c r="E91" s="48">
        <f t="shared" si="22"/>
        <v>0</v>
      </c>
      <c r="F91" s="50">
        <f t="shared" si="23"/>
        <v>0</v>
      </c>
      <c r="G91" s="50">
        <f t="shared" si="28"/>
        <v>0</v>
      </c>
      <c r="H91" s="51" t="e">
        <f>IF(AND($B91&lt;=$C$4,C$7="Y"),0,IF(AND(C$7="N",C$4&gt;0,B91&lt;=C$4),0,(D90-L91+N91)*C$2/12/(1-(1/(1+C$2/12))^(C$3+C$4-B91+1))))</f>
        <v>#DIV/0!</v>
      </c>
      <c r="I91" s="52" t="e">
        <f>IF(AND(C$7="Y",$B91&lt;=C$4),0,IF(AND(C$7="Y",$B91&gt;C$4),(1-U91)*C$2*D90/12,IF(AND($C$7="N",C$4&gt;0),(1-U91)*D90*C$2/12, (1-U91)*D90*C$2/12)))</f>
        <v>#DIV/0!</v>
      </c>
      <c r="J91" s="52" t="e">
        <f>IF(AND($B91&lt;=$C$4,C$7="Y"),0,IF(AND(C$7="N",C$4&gt;0,B91&lt;=C$4),0,H91-I91))</f>
        <v>#DIV/0!</v>
      </c>
      <c r="K91" s="51" t="e">
        <f>IF(AND(C$7="Y",$B91&lt;=$C$4),0,IF(AND(C$7="N",C$4&gt;0,B91&lt;=C$4),0,S91*(C91-J91)))</f>
        <v>#DIV/0!</v>
      </c>
      <c r="L91" s="49" t="e">
        <f>IF(AND(C$7="Y",$B91&lt;=$C$4),0,IF(AND(C$7="N",C$4&gt;0,B91&lt;=C$4),0,U91*D90))</f>
        <v>#DIV/0!</v>
      </c>
      <c r="M91" s="49">
        <f t="shared" si="19"/>
        <v>0</v>
      </c>
      <c r="N91" s="49">
        <f t="shared" si="18"/>
        <v>0</v>
      </c>
      <c r="O91" s="48" t="e">
        <f>K91+I91+J91-L91+N91+G91</f>
        <v>#DIV/0!</v>
      </c>
      <c r="P91" s="38" t="e">
        <f>O91*(1/((1+P$12)^(B91/12)))</f>
        <v>#DIV/0!</v>
      </c>
      <c r="Q91" s="53"/>
      <c r="R91" s="53">
        <f t="shared" si="24"/>
        <v>0.12</v>
      </c>
      <c r="S91" s="53">
        <f t="shared" si="25"/>
        <v>1.0596241035318976E-2</v>
      </c>
      <c r="T91" s="53">
        <f t="shared" si="26"/>
        <v>0</v>
      </c>
      <c r="U91" s="53">
        <f t="shared" si="27"/>
        <v>0</v>
      </c>
    </row>
    <row r="92" spans="1:21" x14ac:dyDescent="0.2">
      <c r="A92" s="62" t="e">
        <f t="shared" si="20"/>
        <v>#DIV/0!</v>
      </c>
      <c r="B92" s="45">
        <f t="shared" si="21"/>
        <v>78</v>
      </c>
      <c r="C92" s="51" t="e">
        <f>IF(B92&lt;C$4,C$1,D91-L92+N92)</f>
        <v>#DIV/0!</v>
      </c>
      <c r="D92" s="47" t="e" cm="1">
        <f t="array" ref="D92">_xlfn.IFS(AND($C$7="Y",B92&lt;C$4),C92,AND($C$7="Y",B92=C$4),D91+F92-J92-K92-L92+N92,AND($C$7="Y",B92&gt;$C$4),D91-J92-K92-L92+N92, TRUE, D91-J92-K92-L92+N92)</f>
        <v>#DIV/0!</v>
      </c>
      <c r="E92" s="48">
        <f t="shared" si="22"/>
        <v>0</v>
      </c>
      <c r="F92" s="50">
        <f t="shared" si="23"/>
        <v>0</v>
      </c>
      <c r="G92" s="50">
        <f t="shared" si="28"/>
        <v>0</v>
      </c>
      <c r="H92" s="51" t="e">
        <f>IF(AND($B92&lt;=$C$4,C$7="Y"),0,IF(AND(C$7="N",C$4&gt;0,B92&lt;=C$4),0,(D91-L92+N92)*C$2/12/(1-(1/(1+C$2/12))^(C$3+C$4-B92+1))))</f>
        <v>#DIV/0!</v>
      </c>
      <c r="I92" s="52" t="e">
        <f>IF(AND(C$7="Y",$B92&lt;=C$4),0,IF(AND(C$7="Y",$B92&gt;C$4),(1-U92)*C$2*D91/12,IF(AND($C$7="N",C$4&gt;0),(1-U92)*D91*C$2/12, (1-U92)*D91*C$2/12)))</f>
        <v>#DIV/0!</v>
      </c>
      <c r="J92" s="52" t="e">
        <f>IF(AND($B92&lt;=$C$4,C$7="Y"),0,IF(AND(C$7="N",C$4&gt;0,B92&lt;=C$4),0,H92-I92))</f>
        <v>#DIV/0!</v>
      </c>
      <c r="K92" s="51" t="e">
        <f>IF(AND(C$7="Y",$B92&lt;=$C$4),0,IF(AND(C$7="N",C$4&gt;0,B92&lt;=C$4),0,S92*(C92-J92)))</f>
        <v>#DIV/0!</v>
      </c>
      <c r="L92" s="49" t="e">
        <f>IF(AND(C$7="Y",$B92&lt;=$C$4),0,IF(AND(C$7="N",C$4&gt;0,B92&lt;=C$4),0,U92*D91))</f>
        <v>#DIV/0!</v>
      </c>
      <c r="M92" s="49">
        <f t="shared" si="19"/>
        <v>0</v>
      </c>
      <c r="N92" s="49">
        <f t="shared" si="18"/>
        <v>0</v>
      </c>
      <c r="O92" s="48" t="e">
        <f>K92+I92+J92-L92+N92+G92</f>
        <v>#DIV/0!</v>
      </c>
      <c r="P92" s="38" t="e">
        <f>O92*(1/((1+P$12)^(B92/12)))</f>
        <v>#DIV/0!</v>
      </c>
      <c r="Q92" s="53"/>
      <c r="R92" s="53">
        <f t="shared" si="24"/>
        <v>0.12</v>
      </c>
      <c r="S92" s="53">
        <f t="shared" si="25"/>
        <v>1.0596241035318976E-2</v>
      </c>
      <c r="T92" s="53">
        <f t="shared" si="26"/>
        <v>0</v>
      </c>
      <c r="U92" s="53">
        <f t="shared" si="27"/>
        <v>0</v>
      </c>
    </row>
    <row r="93" spans="1:21" x14ac:dyDescent="0.2">
      <c r="A93" s="62" t="e">
        <f t="shared" si="20"/>
        <v>#DIV/0!</v>
      </c>
      <c r="B93" s="45">
        <f t="shared" si="21"/>
        <v>79</v>
      </c>
      <c r="C93" s="51" t="e">
        <f>IF(B93&lt;C$4,C$1,D92-L93+N93)</f>
        <v>#DIV/0!</v>
      </c>
      <c r="D93" s="47" t="e" cm="1">
        <f t="array" ref="D93">_xlfn.IFS(AND($C$7="Y",B93&lt;C$4),C93,AND($C$7="Y",B93=C$4),D92+F93-J93-K93-L93+N93,AND($C$7="Y",B93&gt;$C$4),D92-J93-K93-L93+N93, TRUE, D92-J93-K93-L93+N93)</f>
        <v>#DIV/0!</v>
      </c>
      <c r="E93" s="48">
        <f t="shared" si="22"/>
        <v>0</v>
      </c>
      <c r="F93" s="50">
        <f t="shared" si="23"/>
        <v>0</v>
      </c>
      <c r="G93" s="50">
        <f t="shared" si="28"/>
        <v>0</v>
      </c>
      <c r="H93" s="51" t="e">
        <f>IF(AND($B93&lt;=$C$4,C$7="Y"),0,IF(AND(C$7="N",C$4&gt;0,B93&lt;=C$4),0,(D92-L93+N93)*C$2/12/(1-(1/(1+C$2/12))^(C$3+C$4-B93+1))))</f>
        <v>#DIV/0!</v>
      </c>
      <c r="I93" s="52" t="e">
        <f>IF(AND(C$7="Y",$B93&lt;=C$4),0,IF(AND(C$7="Y",$B93&gt;C$4),(1-U93)*C$2*D92/12,IF(AND($C$7="N",C$4&gt;0),(1-U93)*D92*C$2/12, (1-U93)*D92*C$2/12)))</f>
        <v>#DIV/0!</v>
      </c>
      <c r="J93" s="52" t="e">
        <f>IF(AND($B93&lt;=$C$4,C$7="Y"),0,IF(AND(C$7="N",C$4&gt;0,B93&lt;=C$4),0,H93-I93))</f>
        <v>#DIV/0!</v>
      </c>
      <c r="K93" s="51" t="e">
        <f>IF(AND(C$7="Y",$B93&lt;=$C$4),0,IF(AND(C$7="N",C$4&gt;0,B93&lt;=C$4),0,S93*(C93-J93)))</f>
        <v>#DIV/0!</v>
      </c>
      <c r="L93" s="49" t="e">
        <f>IF(AND(C$7="Y",$B93&lt;=$C$4),0,IF(AND(C$7="N",C$4&gt;0,B93&lt;=C$4),0,U93*D92))</f>
        <v>#DIV/0!</v>
      </c>
      <c r="M93" s="49">
        <f t="shared" si="19"/>
        <v>0</v>
      </c>
      <c r="N93" s="49">
        <f t="shared" si="18"/>
        <v>0</v>
      </c>
      <c r="O93" s="48" t="e">
        <f>K93+I93+J93-L93+N93+G93</f>
        <v>#DIV/0!</v>
      </c>
      <c r="P93" s="38" t="e">
        <f>O93*(1/((1+P$12)^(B93/12)))</f>
        <v>#DIV/0!</v>
      </c>
      <c r="Q93" s="53"/>
      <c r="R93" s="53">
        <f t="shared" si="24"/>
        <v>0.12</v>
      </c>
      <c r="S93" s="53">
        <f t="shared" si="25"/>
        <v>1.0596241035318976E-2</v>
      </c>
      <c r="T93" s="53">
        <f t="shared" si="26"/>
        <v>0</v>
      </c>
      <c r="U93" s="53">
        <f t="shared" si="27"/>
        <v>0</v>
      </c>
    </row>
    <row r="94" spans="1:21" x14ac:dyDescent="0.2">
      <c r="A94" s="62" t="e">
        <f t="shared" si="20"/>
        <v>#DIV/0!</v>
      </c>
      <c r="B94" s="45">
        <f t="shared" si="21"/>
        <v>80</v>
      </c>
      <c r="C94" s="51" t="e">
        <f>IF(B94&lt;C$4,C$1,D93-L94+N94)</f>
        <v>#DIV/0!</v>
      </c>
      <c r="D94" s="47" t="e" cm="1">
        <f t="array" ref="D94">_xlfn.IFS(AND($C$7="Y",B94&lt;C$4),C94,AND($C$7="Y",B94=C$4),D93+F94-J94-K94-L94+N94,AND($C$7="Y",B94&gt;$C$4),D93-J94-K94-L94+N94, TRUE, D93-J94-K94-L94+N94)</f>
        <v>#DIV/0!</v>
      </c>
      <c r="E94" s="48">
        <f t="shared" si="22"/>
        <v>0</v>
      </c>
      <c r="F94" s="50">
        <f t="shared" si="23"/>
        <v>0</v>
      </c>
      <c r="G94" s="50">
        <f t="shared" si="28"/>
        <v>0</v>
      </c>
      <c r="H94" s="51" t="e">
        <f>IF(AND($B94&lt;=$C$4,C$7="Y"),0,IF(AND(C$7="N",C$4&gt;0,B94&lt;=C$4),0,(D93-L94+N94)*C$2/12/(1-(1/(1+C$2/12))^(C$3+C$4-B94+1))))</f>
        <v>#DIV/0!</v>
      </c>
      <c r="I94" s="52" t="e">
        <f>IF(AND(C$7="Y",$B94&lt;=C$4),0,IF(AND(C$7="Y",$B94&gt;C$4),(1-U94)*C$2*D93/12,IF(AND($C$7="N",C$4&gt;0),(1-U94)*D93*C$2/12, (1-U94)*D93*C$2/12)))</f>
        <v>#DIV/0!</v>
      </c>
      <c r="J94" s="52" t="e">
        <f>IF(AND($B94&lt;=$C$4,C$7="Y"),0,IF(AND(C$7="N",C$4&gt;0,B94&lt;=C$4),0,H94-I94))</f>
        <v>#DIV/0!</v>
      </c>
      <c r="K94" s="51" t="e">
        <f>IF(AND(C$7="Y",$B94&lt;=$C$4),0,IF(AND(C$7="N",C$4&gt;0,B94&lt;=C$4),0,S94*(C94-J94)))</f>
        <v>#DIV/0!</v>
      </c>
      <c r="L94" s="49" t="e">
        <f>IF(AND(C$7="Y",$B94&lt;=$C$4),0,IF(AND(C$7="N",C$4&gt;0,B94&lt;=C$4),0,U94*D93))</f>
        <v>#DIV/0!</v>
      </c>
      <c r="M94" s="49">
        <f t="shared" si="19"/>
        <v>0</v>
      </c>
      <c r="N94" s="49">
        <f t="shared" si="18"/>
        <v>0</v>
      </c>
      <c r="O94" s="48" t="e">
        <f>K94+I94+J94-L94+N94+G94</f>
        <v>#DIV/0!</v>
      </c>
      <c r="P94" s="38" t="e">
        <f>O94*(1/((1+P$12)^(B94/12)))</f>
        <v>#DIV/0!</v>
      </c>
      <c r="Q94" s="53"/>
      <c r="R94" s="53">
        <f t="shared" si="24"/>
        <v>0.12</v>
      </c>
      <c r="S94" s="53">
        <f t="shared" si="25"/>
        <v>1.0596241035318976E-2</v>
      </c>
      <c r="T94" s="53">
        <f t="shared" si="26"/>
        <v>0</v>
      </c>
      <c r="U94" s="53">
        <f t="shared" si="27"/>
        <v>0</v>
      </c>
    </row>
    <row r="95" spans="1:21" x14ac:dyDescent="0.2">
      <c r="A95" s="62" t="e">
        <f t="shared" si="20"/>
        <v>#DIV/0!</v>
      </c>
      <c r="B95" s="45">
        <f t="shared" si="21"/>
        <v>81</v>
      </c>
      <c r="C95" s="51" t="e">
        <f>IF(B95&lt;C$4,C$1,D94-L95+N95)</f>
        <v>#DIV/0!</v>
      </c>
      <c r="D95" s="47" t="e" cm="1">
        <f t="array" ref="D95">_xlfn.IFS(AND($C$7="Y",B95&lt;C$4),C95,AND($C$7="Y",B95=C$4),D94+F95-J95-K95-L95+N95,AND($C$7="Y",B95&gt;$C$4),D94-J95-K95-L95+N95, TRUE, D94-J95-K95-L95+N95)</f>
        <v>#DIV/0!</v>
      </c>
      <c r="E95" s="48">
        <f t="shared" si="22"/>
        <v>0</v>
      </c>
      <c r="F95" s="50">
        <f t="shared" si="23"/>
        <v>0</v>
      </c>
      <c r="G95" s="50">
        <f t="shared" si="28"/>
        <v>0</v>
      </c>
      <c r="H95" s="51" t="e">
        <f>IF(AND($B95&lt;=$C$4,C$7="Y"),0,IF(AND(C$7="N",C$4&gt;0,B95&lt;=C$4),0,(D94-L95+N95)*C$2/12/(1-(1/(1+C$2/12))^(C$3+C$4-B95+1))))</f>
        <v>#DIV/0!</v>
      </c>
      <c r="I95" s="52" t="e">
        <f>IF(AND(C$7="Y",$B95&lt;=C$4),0,IF(AND(C$7="Y",$B95&gt;C$4),(1-U95)*C$2*D94/12,IF(AND($C$7="N",C$4&gt;0),(1-U95)*D94*C$2/12, (1-U95)*D94*C$2/12)))</f>
        <v>#DIV/0!</v>
      </c>
      <c r="J95" s="52" t="e">
        <f>IF(AND($B95&lt;=$C$4,C$7="Y"),0,IF(AND(C$7="N",C$4&gt;0,B95&lt;=C$4),0,H95-I95))</f>
        <v>#DIV/0!</v>
      </c>
      <c r="K95" s="51" t="e">
        <f>IF(AND(C$7="Y",$B95&lt;=$C$4),0,IF(AND(C$7="N",C$4&gt;0,B95&lt;=C$4),0,S95*(C95-J95)))</f>
        <v>#DIV/0!</v>
      </c>
      <c r="L95" s="49" t="e">
        <f>IF(AND(C$7="Y",$B95&lt;=$C$4),0,IF(AND(C$7="N",C$4&gt;0,B95&lt;=C$4),0,U95*D94))</f>
        <v>#DIV/0!</v>
      </c>
      <c r="M95" s="49">
        <f t="shared" si="19"/>
        <v>0</v>
      </c>
      <c r="N95" s="49">
        <f t="shared" si="18"/>
        <v>0</v>
      </c>
      <c r="O95" s="48" t="e">
        <f>K95+I95+J95-L95+N95+G95</f>
        <v>#DIV/0!</v>
      </c>
      <c r="P95" s="38" t="e">
        <f>O95*(1/((1+P$12)^(B95/12)))</f>
        <v>#DIV/0!</v>
      </c>
      <c r="Q95" s="53"/>
      <c r="R95" s="53">
        <f t="shared" si="24"/>
        <v>0.12</v>
      </c>
      <c r="S95" s="53">
        <f t="shared" si="25"/>
        <v>1.0596241035318976E-2</v>
      </c>
      <c r="T95" s="53">
        <f t="shared" si="26"/>
        <v>0</v>
      </c>
      <c r="U95" s="53">
        <f t="shared" si="27"/>
        <v>0</v>
      </c>
    </row>
    <row r="96" spans="1:21" x14ac:dyDescent="0.2">
      <c r="A96" s="62" t="e">
        <f t="shared" si="20"/>
        <v>#DIV/0!</v>
      </c>
      <c r="B96" s="45">
        <f t="shared" si="21"/>
        <v>82</v>
      </c>
      <c r="C96" s="51" t="e">
        <f>IF(B96&lt;C$4,C$1,D95-L96+N96)</f>
        <v>#DIV/0!</v>
      </c>
      <c r="D96" s="47" t="e" cm="1">
        <f t="array" ref="D96">_xlfn.IFS(AND($C$7="Y",B96&lt;C$4),C96,AND($C$7="Y",B96=C$4),D95+F96-J96-K96-L96+N96,AND($C$7="Y",B96&gt;$C$4),D95-J96-K96-L96+N96, TRUE, D95-J96-K96-L96+N96)</f>
        <v>#DIV/0!</v>
      </c>
      <c r="E96" s="48">
        <f t="shared" si="22"/>
        <v>0</v>
      </c>
      <c r="F96" s="50">
        <f t="shared" si="23"/>
        <v>0</v>
      </c>
      <c r="G96" s="50">
        <f t="shared" si="28"/>
        <v>0</v>
      </c>
      <c r="H96" s="51" t="e">
        <f>IF(AND($B96&lt;=$C$4,C$7="Y"),0,IF(AND(C$7="N",C$4&gt;0,B96&lt;=C$4),0,(D95-L96+N96)*C$2/12/(1-(1/(1+C$2/12))^(C$3+C$4-B96+1))))</f>
        <v>#DIV/0!</v>
      </c>
      <c r="I96" s="52" t="e">
        <f>IF(AND(C$7="Y",$B96&lt;=C$4),0,IF(AND(C$7="Y",$B96&gt;C$4),(1-U96)*C$2*D95/12,IF(AND($C$7="N",C$4&gt;0),(1-U96)*D95*C$2/12, (1-U96)*D95*C$2/12)))</f>
        <v>#DIV/0!</v>
      </c>
      <c r="J96" s="52" t="e">
        <f>IF(AND($B96&lt;=$C$4,C$7="Y"),0,IF(AND(C$7="N",C$4&gt;0,B96&lt;=C$4),0,H96-I96))</f>
        <v>#DIV/0!</v>
      </c>
      <c r="K96" s="51" t="e">
        <f>IF(AND(C$7="Y",$B96&lt;=$C$4),0,IF(AND(C$7="N",C$4&gt;0,B96&lt;=C$4),0,S96*(C96-J96)))</f>
        <v>#DIV/0!</v>
      </c>
      <c r="L96" s="49" t="e">
        <f>IF(AND(C$7="Y",$B96&lt;=$C$4),0,IF(AND(C$7="N",C$4&gt;0,B96&lt;=C$4),0,U96*D95))</f>
        <v>#DIV/0!</v>
      </c>
      <c r="M96" s="49">
        <f t="shared" si="19"/>
        <v>0</v>
      </c>
      <c r="N96" s="49">
        <f t="shared" si="18"/>
        <v>0</v>
      </c>
      <c r="O96" s="48" t="e">
        <f>K96+I96+J96-L96+N96+G96</f>
        <v>#DIV/0!</v>
      </c>
      <c r="P96" s="38" t="e">
        <f>O96*(1/((1+P$12)^(B96/12)))</f>
        <v>#DIV/0!</v>
      </c>
      <c r="Q96" s="53"/>
      <c r="R96" s="53">
        <f t="shared" si="24"/>
        <v>0.12</v>
      </c>
      <c r="S96" s="53">
        <f t="shared" si="25"/>
        <v>1.0596241035318976E-2</v>
      </c>
      <c r="T96" s="53">
        <f t="shared" si="26"/>
        <v>0</v>
      </c>
      <c r="U96" s="53">
        <f t="shared" si="27"/>
        <v>0</v>
      </c>
    </row>
    <row r="97" spans="1:21" x14ac:dyDescent="0.2">
      <c r="A97" s="62" t="e">
        <f t="shared" si="20"/>
        <v>#DIV/0!</v>
      </c>
      <c r="B97" s="45">
        <f t="shared" si="21"/>
        <v>83</v>
      </c>
      <c r="C97" s="51" t="e">
        <f>IF(B97&lt;C$4,C$1,D96-L97+N97)</f>
        <v>#DIV/0!</v>
      </c>
      <c r="D97" s="47" t="e" cm="1">
        <f t="array" ref="D97">_xlfn.IFS(AND($C$7="Y",B97&lt;C$4),C97,AND($C$7="Y",B97=C$4),D96+F97-J97-K97-L97+N97,AND($C$7="Y",B97&gt;$C$4),D96-J97-K97-L97+N97, TRUE, D96-J97-K97-L97+N97)</f>
        <v>#DIV/0!</v>
      </c>
      <c r="E97" s="48">
        <f t="shared" si="22"/>
        <v>0</v>
      </c>
      <c r="F97" s="50">
        <f t="shared" si="23"/>
        <v>0</v>
      </c>
      <c r="G97" s="50">
        <f t="shared" si="28"/>
        <v>0</v>
      </c>
      <c r="H97" s="51" t="e">
        <f>IF(AND($B97&lt;=$C$4,C$7="Y"),0,IF(AND(C$7="N",C$4&gt;0,B97&lt;=C$4),0,(D96-L97+N97)*C$2/12/(1-(1/(1+C$2/12))^(C$3+C$4-B97+1))))</f>
        <v>#DIV/0!</v>
      </c>
      <c r="I97" s="52" t="e">
        <f>IF(AND(C$7="Y",$B97&lt;=C$4),0,IF(AND(C$7="Y",$B97&gt;C$4),(1-U97)*C$2*D96/12,IF(AND($C$7="N",C$4&gt;0),(1-U97)*D96*C$2/12, (1-U97)*D96*C$2/12)))</f>
        <v>#DIV/0!</v>
      </c>
      <c r="J97" s="52" t="e">
        <f>IF(AND($B97&lt;=$C$4,C$7="Y"),0,IF(AND(C$7="N",C$4&gt;0,B97&lt;=C$4),0,H97-I97))</f>
        <v>#DIV/0!</v>
      </c>
      <c r="K97" s="51" t="e">
        <f>IF(AND(C$7="Y",$B97&lt;=$C$4),0,IF(AND(C$7="N",C$4&gt;0,B97&lt;=C$4),0,S97*(C97-J97)))</f>
        <v>#DIV/0!</v>
      </c>
      <c r="L97" s="49" t="e">
        <f>IF(AND(C$7="Y",$B97&lt;=$C$4),0,IF(AND(C$7="N",C$4&gt;0,B97&lt;=C$4),0,U97*D96))</f>
        <v>#DIV/0!</v>
      </c>
      <c r="M97" s="49">
        <f t="shared" si="19"/>
        <v>0</v>
      </c>
      <c r="N97" s="49">
        <f t="shared" si="18"/>
        <v>0</v>
      </c>
      <c r="O97" s="48" t="e">
        <f>K97+I97+J97-L97+N97+G97</f>
        <v>#DIV/0!</v>
      </c>
      <c r="P97" s="38" t="e">
        <f>O97*(1/((1+P$12)^(B97/12)))</f>
        <v>#DIV/0!</v>
      </c>
      <c r="Q97" s="53"/>
      <c r="R97" s="53">
        <f t="shared" si="24"/>
        <v>0.12</v>
      </c>
      <c r="S97" s="53">
        <f t="shared" si="25"/>
        <v>1.0596241035318976E-2</v>
      </c>
      <c r="T97" s="53">
        <f t="shared" si="26"/>
        <v>0</v>
      </c>
      <c r="U97" s="53">
        <f t="shared" si="27"/>
        <v>0</v>
      </c>
    </row>
    <row r="98" spans="1:21" x14ac:dyDescent="0.2">
      <c r="A98" s="62" t="e">
        <f t="shared" si="20"/>
        <v>#DIV/0!</v>
      </c>
      <c r="B98" s="45">
        <f t="shared" si="21"/>
        <v>84</v>
      </c>
      <c r="C98" s="51" t="e">
        <f>IF(B98&lt;C$4,C$1,D97-L98+N98)</f>
        <v>#DIV/0!</v>
      </c>
      <c r="D98" s="47" t="e" cm="1">
        <f t="array" ref="D98">_xlfn.IFS(AND($C$7="Y",B98&lt;C$4),C98,AND($C$7="Y",B98=C$4),D97+F98-J98-K98-L98+N98,AND($C$7="Y",B98&gt;$C$4),D97-J98-K98-L98+N98, TRUE, D97-J98-K98-L98+N98)</f>
        <v>#DIV/0!</v>
      </c>
      <c r="E98" s="48">
        <f t="shared" si="22"/>
        <v>0</v>
      </c>
      <c r="F98" s="50">
        <f t="shared" si="23"/>
        <v>0</v>
      </c>
      <c r="G98" s="50">
        <f t="shared" si="28"/>
        <v>0</v>
      </c>
      <c r="H98" s="51" t="e">
        <f>IF(AND($B98&lt;=$C$4,C$7="Y"),0,IF(AND(C$7="N",C$4&gt;0,B98&lt;=C$4),0,(D97-L98+N98)*C$2/12/(1-(1/(1+C$2/12))^(C$3+C$4-B98+1))))</f>
        <v>#DIV/0!</v>
      </c>
      <c r="I98" s="52" t="e">
        <f>IF(AND(C$7="Y",$B98&lt;=C$4),0,IF(AND(C$7="Y",$B98&gt;C$4),(1-U98)*C$2*D97/12,IF(AND($C$7="N",C$4&gt;0),(1-U98)*D97*C$2/12, (1-U98)*D97*C$2/12)))</f>
        <v>#DIV/0!</v>
      </c>
      <c r="J98" s="52" t="e">
        <f>IF(AND($B98&lt;=$C$4,C$7="Y"),0,IF(AND(C$7="N",C$4&gt;0,B98&lt;=C$4),0,H98-I98))</f>
        <v>#DIV/0!</v>
      </c>
      <c r="K98" s="51" t="e">
        <f>IF(AND(C$7="Y",$B98&lt;=$C$4),0,IF(AND(C$7="N",C$4&gt;0,B98&lt;=C$4),0,S98*(C98-J98)))</f>
        <v>#DIV/0!</v>
      </c>
      <c r="L98" s="49" t="e">
        <f>IF(AND(C$7="Y",$B98&lt;=$C$4),0,IF(AND(C$7="N",C$4&gt;0,B98&lt;=C$4),0,U98*D97))</f>
        <v>#DIV/0!</v>
      </c>
      <c r="M98" s="49">
        <f t="shared" si="19"/>
        <v>0</v>
      </c>
      <c r="N98" s="49">
        <f t="shared" si="18"/>
        <v>0</v>
      </c>
      <c r="O98" s="48" t="e">
        <f>K98+I98+J98-L98+N98+G98</f>
        <v>#DIV/0!</v>
      </c>
      <c r="P98" s="38" t="e">
        <f>O98*(1/((1+P$12)^(B98/12)))</f>
        <v>#DIV/0!</v>
      </c>
      <c r="Q98" s="53"/>
      <c r="R98" s="53">
        <f t="shared" si="24"/>
        <v>0.12</v>
      </c>
      <c r="S98" s="53">
        <f t="shared" si="25"/>
        <v>1.0596241035318976E-2</v>
      </c>
      <c r="T98" s="53">
        <f t="shared" si="26"/>
        <v>0</v>
      </c>
      <c r="U98" s="53">
        <f t="shared" si="27"/>
        <v>0</v>
      </c>
    </row>
    <row r="99" spans="1:21" x14ac:dyDescent="0.2">
      <c r="A99" s="62" t="e">
        <f t="shared" si="20"/>
        <v>#DIV/0!</v>
      </c>
      <c r="B99" s="45">
        <f t="shared" si="21"/>
        <v>85</v>
      </c>
      <c r="C99" s="51" t="e">
        <f>IF(B99&lt;C$4,C$1,D98-L99+N99)</f>
        <v>#DIV/0!</v>
      </c>
      <c r="D99" s="47" t="e" cm="1">
        <f t="array" ref="D99">_xlfn.IFS(AND($C$7="Y",B99&lt;C$4),C99,AND($C$7="Y",B99=C$4),D98+F99-J99-K99-L99+N99,AND($C$7="Y",B99&gt;$C$4),D98-J99-K99-L99+N99, TRUE, D98-J99-K99-L99+N99)</f>
        <v>#DIV/0!</v>
      </c>
      <c r="E99" s="48">
        <f t="shared" si="22"/>
        <v>0</v>
      </c>
      <c r="F99" s="50">
        <f t="shared" si="23"/>
        <v>0</v>
      </c>
      <c r="G99" s="50">
        <f t="shared" si="28"/>
        <v>0</v>
      </c>
      <c r="H99" s="51" t="e">
        <f>IF(AND($B99&lt;=$C$4,C$7="Y"),0,IF(AND(C$7="N",C$4&gt;0,B99&lt;=C$4),0,(D98-L99+N99)*C$2/12/(1-(1/(1+C$2/12))^(C$3+C$4-B99+1))))</f>
        <v>#DIV/0!</v>
      </c>
      <c r="I99" s="52" t="e">
        <f>IF(AND(C$7="Y",$B99&lt;=C$4),0,IF(AND(C$7="Y",$B99&gt;C$4),(1-U99)*C$2*D98/12,IF(AND($C$7="N",C$4&gt;0),(1-U99)*D98*C$2/12, (1-U99)*D98*C$2/12)))</f>
        <v>#DIV/0!</v>
      </c>
      <c r="J99" s="52" t="e">
        <f>IF(AND($B99&lt;=$C$4,C$7="Y"),0,IF(AND(C$7="N",C$4&gt;0,B99&lt;=C$4),0,H99-I99))</f>
        <v>#DIV/0!</v>
      </c>
      <c r="K99" s="51" t="e">
        <f>IF(AND(C$7="Y",$B99&lt;=$C$4),0,IF(AND(C$7="N",C$4&gt;0,B99&lt;=C$4),0,S99*(C99-J99)))</f>
        <v>#DIV/0!</v>
      </c>
      <c r="L99" s="49" t="e">
        <f>IF(AND(C$7="Y",$B99&lt;=$C$4),0,IF(AND(C$7="N",C$4&gt;0,B99&lt;=C$4),0,U99*D98))</f>
        <v>#DIV/0!</v>
      </c>
      <c r="M99" s="49">
        <f t="shared" si="19"/>
        <v>0</v>
      </c>
      <c r="N99" s="49">
        <f t="shared" ref="N99:N162" si="29">IFERROR((1-$N$12)*L95,0)</f>
        <v>0</v>
      </c>
      <c r="O99" s="48" t="e">
        <f>K99+I99+J99-L99+N99+G99</f>
        <v>#DIV/0!</v>
      </c>
      <c r="P99" s="38" t="e">
        <f>O99*(1/((1+P$12)^(B99/12)))</f>
        <v>#DIV/0!</v>
      </c>
      <c r="Q99" s="53"/>
      <c r="R99" s="53">
        <f t="shared" si="24"/>
        <v>0.12</v>
      </c>
      <c r="S99" s="53">
        <f t="shared" si="25"/>
        <v>1.0596241035318976E-2</v>
      </c>
      <c r="T99" s="53">
        <f t="shared" si="26"/>
        <v>0</v>
      </c>
      <c r="U99" s="53">
        <f t="shared" si="27"/>
        <v>0</v>
      </c>
    </row>
    <row r="100" spans="1:21" x14ac:dyDescent="0.2">
      <c r="A100" s="62" t="e">
        <f t="shared" si="20"/>
        <v>#DIV/0!</v>
      </c>
      <c r="B100" s="45">
        <f t="shared" si="21"/>
        <v>86</v>
      </c>
      <c r="C100" s="51" t="e">
        <f>IF(B100&lt;C$4,C$1,D99-L100+N100)</f>
        <v>#DIV/0!</v>
      </c>
      <c r="D100" s="47" t="e" cm="1">
        <f t="array" ref="D100">_xlfn.IFS(AND($C$7="Y",B100&lt;C$4),C100,AND($C$7="Y",B100=C$4),D99+F100-J100-K100-L100+N100,AND($C$7="Y",B100&gt;$C$4),D99-J100-K100-L100+N100, TRUE, D99-J100-K100-L100+N100)</f>
        <v>#DIV/0!</v>
      </c>
      <c r="E100" s="48">
        <f t="shared" si="22"/>
        <v>0</v>
      </c>
      <c r="F100" s="50">
        <f t="shared" si="23"/>
        <v>0</v>
      </c>
      <c r="G100" s="50">
        <f t="shared" si="28"/>
        <v>0</v>
      </c>
      <c r="H100" s="51" t="e">
        <f>IF(AND($B100&lt;=$C$4,C$7="Y"),0,IF(AND(C$7="N",C$4&gt;0,B100&lt;=C$4),0,(D99-L100+N100)*C$2/12/(1-(1/(1+C$2/12))^(C$3+C$4-B100+1))))</f>
        <v>#DIV/0!</v>
      </c>
      <c r="I100" s="52" t="e">
        <f>IF(AND(C$7="Y",$B100&lt;=C$4),0,IF(AND(C$7="Y",$B100&gt;C$4),(1-U100)*C$2*D99/12,IF(AND($C$7="N",C$4&gt;0),(1-U100)*D99*C$2/12, (1-U100)*D99*C$2/12)))</f>
        <v>#DIV/0!</v>
      </c>
      <c r="J100" s="52" t="e">
        <f>IF(AND($B100&lt;=$C$4,C$7="Y"),0,IF(AND(C$7="N",C$4&gt;0,B100&lt;=C$4),0,H100-I100))</f>
        <v>#DIV/0!</v>
      </c>
      <c r="K100" s="51" t="e">
        <f>IF(AND(C$7="Y",$B100&lt;=$C$4),0,IF(AND(C$7="N",C$4&gt;0,B100&lt;=C$4),0,S100*(C100-J100)))</f>
        <v>#DIV/0!</v>
      </c>
      <c r="L100" s="49" t="e">
        <f>IF(AND(C$7="Y",$B100&lt;=$C$4),0,IF(AND(C$7="N",C$4&gt;0,B100&lt;=C$4),0,U100*D99))</f>
        <v>#DIV/0!</v>
      </c>
      <c r="M100" s="49">
        <f t="shared" si="19"/>
        <v>0</v>
      </c>
      <c r="N100" s="49">
        <f t="shared" si="29"/>
        <v>0</v>
      </c>
      <c r="O100" s="48" t="e">
        <f>K100+I100+J100-L100+N100+G100</f>
        <v>#DIV/0!</v>
      </c>
      <c r="P100" s="38" t="e">
        <f>O100*(1/((1+P$12)^(B100/12)))</f>
        <v>#DIV/0!</v>
      </c>
      <c r="Q100" s="53"/>
      <c r="R100" s="53">
        <f t="shared" si="24"/>
        <v>0.12</v>
      </c>
      <c r="S100" s="53">
        <f t="shared" si="25"/>
        <v>1.0596241035318976E-2</v>
      </c>
      <c r="T100" s="53">
        <f t="shared" si="26"/>
        <v>0</v>
      </c>
      <c r="U100" s="53">
        <f t="shared" si="27"/>
        <v>0</v>
      </c>
    </row>
    <row r="101" spans="1:21" x14ac:dyDescent="0.2">
      <c r="A101" s="62" t="e">
        <f t="shared" si="20"/>
        <v>#DIV/0!</v>
      </c>
      <c r="B101" s="45">
        <f t="shared" si="21"/>
        <v>87</v>
      </c>
      <c r="C101" s="51" t="e">
        <f>IF(B101&lt;C$4,C$1,D100-L101+N101)</f>
        <v>#DIV/0!</v>
      </c>
      <c r="D101" s="47" t="e" cm="1">
        <f t="array" ref="D101">_xlfn.IFS(AND($C$7="Y",B101&lt;C$4),C101,AND($C$7="Y",B101=C$4),D100+F101-J101-K101-L101+N101,AND($C$7="Y",B101&gt;$C$4),D100-J101-K101-L101+N101, TRUE, D100-J101-K101-L101+N101)</f>
        <v>#DIV/0!</v>
      </c>
      <c r="E101" s="48">
        <f t="shared" si="22"/>
        <v>0</v>
      </c>
      <c r="F101" s="50">
        <f t="shared" si="23"/>
        <v>0</v>
      </c>
      <c r="G101" s="50">
        <f t="shared" si="28"/>
        <v>0</v>
      </c>
      <c r="H101" s="51" t="e">
        <f>IF(AND($B101&lt;=$C$4,C$7="Y"),0,IF(AND(C$7="N",C$4&gt;0,B101&lt;=C$4),0,(D100-L101+N101)*C$2/12/(1-(1/(1+C$2/12))^(C$3+C$4-B101+1))))</f>
        <v>#DIV/0!</v>
      </c>
      <c r="I101" s="52" t="e">
        <f>IF(AND(C$7="Y",$B101&lt;=C$4),0,IF(AND(C$7="Y",$B101&gt;C$4),(1-U101)*C$2*D100/12,IF(AND($C$7="N",C$4&gt;0),(1-U101)*D100*C$2/12, (1-U101)*D100*C$2/12)))</f>
        <v>#DIV/0!</v>
      </c>
      <c r="J101" s="52" t="e">
        <f>IF(AND($B101&lt;=$C$4,C$7="Y"),0,IF(AND(C$7="N",C$4&gt;0,B101&lt;=C$4),0,H101-I101))</f>
        <v>#DIV/0!</v>
      </c>
      <c r="K101" s="51" t="e">
        <f>IF(AND(C$7="Y",$B101&lt;=$C$4),0,IF(AND(C$7="N",C$4&gt;0,B101&lt;=C$4),0,S101*(C101-J101)))</f>
        <v>#DIV/0!</v>
      </c>
      <c r="L101" s="49" t="e">
        <f>IF(AND(C$7="Y",$B101&lt;=$C$4),0,IF(AND(C$7="N",C$4&gt;0,B101&lt;=C$4),0,U101*D100))</f>
        <v>#DIV/0!</v>
      </c>
      <c r="M101" s="49">
        <f t="shared" si="19"/>
        <v>0</v>
      </c>
      <c r="N101" s="49">
        <f t="shared" si="29"/>
        <v>0</v>
      </c>
      <c r="O101" s="48" t="e">
        <f>K101+I101+J101-L101+N101+G101</f>
        <v>#DIV/0!</v>
      </c>
      <c r="P101" s="38" t="e">
        <f>O101*(1/((1+P$12)^(B101/12)))</f>
        <v>#DIV/0!</v>
      </c>
      <c r="Q101" s="53"/>
      <c r="R101" s="53">
        <f t="shared" si="24"/>
        <v>0.12</v>
      </c>
      <c r="S101" s="53">
        <f t="shared" si="25"/>
        <v>1.0596241035318976E-2</v>
      </c>
      <c r="T101" s="53">
        <f t="shared" si="26"/>
        <v>0</v>
      </c>
      <c r="U101" s="53">
        <f t="shared" si="27"/>
        <v>0</v>
      </c>
    </row>
    <row r="102" spans="1:21" x14ac:dyDescent="0.2">
      <c r="A102" s="62" t="e">
        <f t="shared" si="20"/>
        <v>#DIV/0!</v>
      </c>
      <c r="B102" s="45">
        <f t="shared" si="21"/>
        <v>88</v>
      </c>
      <c r="C102" s="51" t="e">
        <f>IF(B102&lt;C$4,C$1,D101-L102+N102)</f>
        <v>#DIV/0!</v>
      </c>
      <c r="D102" s="47" t="e" cm="1">
        <f t="array" ref="D102">_xlfn.IFS(AND($C$7="Y",B102&lt;C$4),C102,AND($C$7="Y",B102=C$4),D101+F102-J102-K102-L102+N102,AND($C$7="Y",B102&gt;$C$4),D101-J102-K102-L102+N102, TRUE, D101-J102-K102-L102+N102)</f>
        <v>#DIV/0!</v>
      </c>
      <c r="E102" s="48">
        <f t="shared" si="22"/>
        <v>0</v>
      </c>
      <c r="F102" s="50">
        <f t="shared" si="23"/>
        <v>0</v>
      </c>
      <c r="G102" s="50">
        <f t="shared" si="28"/>
        <v>0</v>
      </c>
      <c r="H102" s="51" t="e">
        <f>IF(AND($B102&lt;=$C$4,C$7="Y"),0,IF(AND(C$7="N",C$4&gt;0,B102&lt;=C$4),0,(D101-L102+N102)*C$2/12/(1-(1/(1+C$2/12))^(C$3+C$4-B102+1))))</f>
        <v>#DIV/0!</v>
      </c>
      <c r="I102" s="52" t="e">
        <f>IF(AND(C$7="Y",$B102&lt;=C$4),0,IF(AND(C$7="Y",$B102&gt;C$4),(1-U102)*C$2*D101/12,IF(AND($C$7="N",C$4&gt;0),(1-U102)*D101*C$2/12, (1-U102)*D101*C$2/12)))</f>
        <v>#DIV/0!</v>
      </c>
      <c r="J102" s="52" t="e">
        <f>IF(AND($B102&lt;=$C$4,C$7="Y"),0,IF(AND(C$7="N",C$4&gt;0,B102&lt;=C$4),0,H102-I102))</f>
        <v>#DIV/0!</v>
      </c>
      <c r="K102" s="51" t="e">
        <f>IF(AND(C$7="Y",$B102&lt;=$C$4),0,IF(AND(C$7="N",C$4&gt;0,B102&lt;=C$4),0,S102*(C102-J102)))</f>
        <v>#DIV/0!</v>
      </c>
      <c r="L102" s="49" t="e">
        <f>IF(AND(C$7="Y",$B102&lt;=$C$4),0,IF(AND(C$7="N",C$4&gt;0,B102&lt;=C$4),0,U102*D101))</f>
        <v>#DIV/0!</v>
      </c>
      <c r="M102" s="49">
        <f t="shared" si="19"/>
        <v>0</v>
      </c>
      <c r="N102" s="49">
        <f t="shared" si="29"/>
        <v>0</v>
      </c>
      <c r="O102" s="48" t="e">
        <f>K102+I102+J102-L102+N102+G102</f>
        <v>#DIV/0!</v>
      </c>
      <c r="P102" s="38" t="e">
        <f>O102*(1/((1+P$12)^(B102/12)))</f>
        <v>#DIV/0!</v>
      </c>
      <c r="Q102" s="53"/>
      <c r="R102" s="53">
        <f t="shared" si="24"/>
        <v>0.12</v>
      </c>
      <c r="S102" s="53">
        <f t="shared" si="25"/>
        <v>1.0596241035318976E-2</v>
      </c>
      <c r="T102" s="53">
        <f t="shared" si="26"/>
        <v>0</v>
      </c>
      <c r="U102" s="53">
        <f t="shared" si="27"/>
        <v>0</v>
      </c>
    </row>
    <row r="103" spans="1:21" x14ac:dyDescent="0.2">
      <c r="A103" s="62" t="e">
        <f t="shared" si="20"/>
        <v>#DIV/0!</v>
      </c>
      <c r="B103" s="45">
        <f t="shared" si="21"/>
        <v>89</v>
      </c>
      <c r="C103" s="51" t="e">
        <f>IF(B103&lt;C$4,C$1,D102-L103+N103)</f>
        <v>#DIV/0!</v>
      </c>
      <c r="D103" s="47" t="e" cm="1">
        <f t="array" ref="D103">_xlfn.IFS(AND($C$7="Y",B103&lt;C$4),C103,AND($C$7="Y",B103=C$4),D102+F103-J103-K103-L103+N103,AND($C$7="Y",B103&gt;$C$4),D102-J103-K103-L103+N103, TRUE, D102-J103-K103-L103+N103)</f>
        <v>#DIV/0!</v>
      </c>
      <c r="E103" s="48">
        <f t="shared" si="22"/>
        <v>0</v>
      </c>
      <c r="F103" s="50">
        <f t="shared" si="23"/>
        <v>0</v>
      </c>
      <c r="G103" s="50">
        <f t="shared" si="28"/>
        <v>0</v>
      </c>
      <c r="H103" s="51" t="e">
        <f>IF(AND($B103&lt;=$C$4,C$7="Y"),0,IF(AND(C$7="N",C$4&gt;0,B103&lt;=C$4),0,(D102-L103+N103)*C$2/12/(1-(1/(1+C$2/12))^(C$3+C$4-B103+1))))</f>
        <v>#DIV/0!</v>
      </c>
      <c r="I103" s="52" t="e">
        <f>IF(AND(C$7="Y",$B103&lt;=C$4),0,IF(AND(C$7="Y",$B103&gt;C$4),(1-U103)*C$2*D102/12,IF(AND($C$7="N",C$4&gt;0),(1-U103)*D102*C$2/12, (1-U103)*D102*C$2/12)))</f>
        <v>#DIV/0!</v>
      </c>
      <c r="J103" s="52" t="e">
        <f>IF(AND($B103&lt;=$C$4,C$7="Y"),0,IF(AND(C$7="N",C$4&gt;0,B103&lt;=C$4),0,H103-I103))</f>
        <v>#DIV/0!</v>
      </c>
      <c r="K103" s="51" t="e">
        <f>IF(AND(C$7="Y",$B103&lt;=$C$4),0,IF(AND(C$7="N",C$4&gt;0,B103&lt;=C$4),0,S103*(C103-J103)))</f>
        <v>#DIV/0!</v>
      </c>
      <c r="L103" s="49" t="e">
        <f>IF(AND(C$7="Y",$B103&lt;=$C$4),0,IF(AND(C$7="N",C$4&gt;0,B103&lt;=C$4),0,U103*D102))</f>
        <v>#DIV/0!</v>
      </c>
      <c r="M103" s="49">
        <f t="shared" si="19"/>
        <v>0</v>
      </c>
      <c r="N103" s="49">
        <f t="shared" si="29"/>
        <v>0</v>
      </c>
      <c r="O103" s="48" t="e">
        <f>K103+I103+J103-L103+N103+G103</f>
        <v>#DIV/0!</v>
      </c>
      <c r="P103" s="38" t="e">
        <f>O103*(1/((1+P$12)^(B103/12)))</f>
        <v>#DIV/0!</v>
      </c>
      <c r="Q103" s="53"/>
      <c r="R103" s="53">
        <f t="shared" si="24"/>
        <v>0.12</v>
      </c>
      <c r="S103" s="53">
        <f t="shared" si="25"/>
        <v>1.0596241035318976E-2</v>
      </c>
      <c r="T103" s="53">
        <f t="shared" si="26"/>
        <v>0</v>
      </c>
      <c r="U103" s="53">
        <f t="shared" si="27"/>
        <v>0</v>
      </c>
    </row>
    <row r="104" spans="1:21" x14ac:dyDescent="0.2">
      <c r="A104" s="62" t="e">
        <f t="shared" si="20"/>
        <v>#DIV/0!</v>
      </c>
      <c r="B104" s="45">
        <f t="shared" si="21"/>
        <v>90</v>
      </c>
      <c r="C104" s="51" t="e">
        <f>IF(B104&lt;C$4,C$1,D103-L104+N104)</f>
        <v>#DIV/0!</v>
      </c>
      <c r="D104" s="47" t="e" cm="1">
        <f t="array" ref="D104">_xlfn.IFS(AND($C$7="Y",B104&lt;C$4),C104,AND($C$7="Y",B104=C$4),D103+F104-J104-K104-L104+N104,AND($C$7="Y",B104&gt;$C$4),D103-J104-K104-L104+N104, TRUE, D103-J104-K104-L104+N104)</f>
        <v>#DIV/0!</v>
      </c>
      <c r="E104" s="48">
        <f t="shared" si="22"/>
        <v>0</v>
      </c>
      <c r="F104" s="50">
        <f t="shared" si="23"/>
        <v>0</v>
      </c>
      <c r="G104" s="50">
        <f t="shared" si="28"/>
        <v>0</v>
      </c>
      <c r="H104" s="51" t="e">
        <f>IF(AND($B104&lt;=$C$4,C$7="Y"),0,IF(AND(C$7="N",C$4&gt;0,B104&lt;=C$4),0,(D103-L104+N104)*C$2/12/(1-(1/(1+C$2/12))^(C$3+C$4-B104+1))))</f>
        <v>#DIV/0!</v>
      </c>
      <c r="I104" s="52" t="e">
        <f>IF(AND(C$7="Y",$B104&lt;=C$4),0,IF(AND(C$7="Y",$B104&gt;C$4),(1-U104)*C$2*D103/12,IF(AND($C$7="N",C$4&gt;0),(1-U104)*D103*C$2/12, (1-U104)*D103*C$2/12)))</f>
        <v>#DIV/0!</v>
      </c>
      <c r="J104" s="52" t="e">
        <f>IF(AND($B104&lt;=$C$4,C$7="Y"),0,IF(AND(C$7="N",C$4&gt;0,B104&lt;=C$4),0,H104-I104))</f>
        <v>#DIV/0!</v>
      </c>
      <c r="K104" s="51" t="e">
        <f>IF(AND(C$7="Y",$B104&lt;=$C$4),0,IF(AND(C$7="N",C$4&gt;0,B104&lt;=C$4),0,S104*(C104-J104)))</f>
        <v>#DIV/0!</v>
      </c>
      <c r="L104" s="49" t="e">
        <f>IF(AND(C$7="Y",$B104&lt;=$C$4),0,IF(AND(C$7="N",C$4&gt;0,B104&lt;=C$4),0,U104*D103))</f>
        <v>#DIV/0!</v>
      </c>
      <c r="M104" s="49">
        <f t="shared" si="19"/>
        <v>0</v>
      </c>
      <c r="N104" s="49">
        <f t="shared" si="29"/>
        <v>0</v>
      </c>
      <c r="O104" s="48" t="e">
        <f>K104+I104+J104-L104+N104+G104</f>
        <v>#DIV/0!</v>
      </c>
      <c r="P104" s="38" t="e">
        <f>O104*(1/((1+P$12)^(B104/12)))</f>
        <v>#DIV/0!</v>
      </c>
      <c r="Q104" s="53"/>
      <c r="R104" s="53">
        <f t="shared" si="24"/>
        <v>0.12</v>
      </c>
      <c r="S104" s="53">
        <f t="shared" si="25"/>
        <v>1.0596241035318976E-2</v>
      </c>
      <c r="T104" s="53">
        <f t="shared" si="26"/>
        <v>0</v>
      </c>
      <c r="U104" s="53">
        <f t="shared" si="27"/>
        <v>0</v>
      </c>
    </row>
    <row r="105" spans="1:21" x14ac:dyDescent="0.2">
      <c r="A105" s="62" t="e">
        <f t="shared" si="20"/>
        <v>#DIV/0!</v>
      </c>
      <c r="B105" s="45">
        <f t="shared" si="21"/>
        <v>91</v>
      </c>
      <c r="C105" s="51" t="e">
        <f>IF(B105&lt;C$4,C$1,D104-L105+N105)</f>
        <v>#DIV/0!</v>
      </c>
      <c r="D105" s="47" t="e" cm="1">
        <f t="array" ref="D105">_xlfn.IFS(AND($C$7="Y",B105&lt;C$4),C105,AND($C$7="Y",B105=C$4),D104+F105-J105-K105-L105+N105,AND($C$7="Y",B105&gt;$C$4),D104-J105-K105-L105+N105, TRUE, D104-J105-K105-L105+N105)</f>
        <v>#DIV/0!</v>
      </c>
      <c r="E105" s="48">
        <f t="shared" si="22"/>
        <v>0</v>
      </c>
      <c r="F105" s="50">
        <f t="shared" si="23"/>
        <v>0</v>
      </c>
      <c r="G105" s="50">
        <f t="shared" si="28"/>
        <v>0</v>
      </c>
      <c r="H105" s="51" t="e">
        <f>IF(AND($B105&lt;=$C$4,C$7="Y"),0,IF(AND(C$7="N",C$4&gt;0,B105&lt;=C$4),0,(D104-L105+N105)*C$2/12/(1-(1/(1+C$2/12))^(C$3+C$4-B105+1))))</f>
        <v>#DIV/0!</v>
      </c>
      <c r="I105" s="52" t="e">
        <f>IF(AND(C$7="Y",$B105&lt;=C$4),0,IF(AND(C$7="Y",$B105&gt;C$4),(1-U105)*C$2*D104/12,IF(AND($C$7="N",C$4&gt;0),(1-U105)*D104*C$2/12, (1-U105)*D104*C$2/12)))</f>
        <v>#DIV/0!</v>
      </c>
      <c r="J105" s="52" t="e">
        <f>IF(AND($B105&lt;=$C$4,C$7="Y"),0,IF(AND(C$7="N",C$4&gt;0,B105&lt;=C$4),0,H105-I105))</f>
        <v>#DIV/0!</v>
      </c>
      <c r="K105" s="51" t="e">
        <f>IF(AND(C$7="Y",$B105&lt;=$C$4),0,IF(AND(C$7="N",C$4&gt;0,B105&lt;=C$4),0,S105*(C105-J105)))</f>
        <v>#DIV/0!</v>
      </c>
      <c r="L105" s="49" t="e">
        <f>IF(AND(C$7="Y",$B105&lt;=$C$4),0,IF(AND(C$7="N",C$4&gt;0,B105&lt;=C$4),0,U105*D104))</f>
        <v>#DIV/0!</v>
      </c>
      <c r="M105" s="49">
        <f t="shared" si="19"/>
        <v>0</v>
      </c>
      <c r="N105" s="49">
        <f t="shared" si="29"/>
        <v>0</v>
      </c>
      <c r="O105" s="48" t="e">
        <f>K105+I105+J105-L105+N105+G105</f>
        <v>#DIV/0!</v>
      </c>
      <c r="P105" s="38" t="e">
        <f>O105*(1/((1+P$12)^(B105/12)))</f>
        <v>#DIV/0!</v>
      </c>
      <c r="Q105" s="53"/>
      <c r="R105" s="53">
        <f t="shared" si="24"/>
        <v>0.12</v>
      </c>
      <c r="S105" s="53">
        <f t="shared" si="25"/>
        <v>1.0596241035318976E-2</v>
      </c>
      <c r="T105" s="53">
        <f t="shared" si="26"/>
        <v>0</v>
      </c>
      <c r="U105" s="53">
        <f t="shared" si="27"/>
        <v>0</v>
      </c>
    </row>
    <row r="106" spans="1:21" x14ac:dyDescent="0.2">
      <c r="A106" s="62" t="e">
        <f t="shared" si="20"/>
        <v>#DIV/0!</v>
      </c>
      <c r="B106" s="45">
        <f t="shared" si="21"/>
        <v>92</v>
      </c>
      <c r="C106" s="51" t="e">
        <f>IF(B106&lt;C$4,C$1,D105-L106+N106)</f>
        <v>#DIV/0!</v>
      </c>
      <c r="D106" s="47" t="e" cm="1">
        <f t="array" ref="D106">_xlfn.IFS(AND($C$7="Y",B106&lt;C$4),C106,AND($C$7="Y",B106=C$4),D105+F106-J106-K106-L106+N106,AND($C$7="Y",B106&gt;$C$4),D105-J106-K106-L106+N106, TRUE, D105-J106-K106-L106+N106)</f>
        <v>#DIV/0!</v>
      </c>
      <c r="E106" s="48">
        <f t="shared" si="22"/>
        <v>0</v>
      </c>
      <c r="F106" s="50">
        <f t="shared" si="23"/>
        <v>0</v>
      </c>
      <c r="G106" s="50">
        <f t="shared" si="28"/>
        <v>0</v>
      </c>
      <c r="H106" s="51" t="e">
        <f>IF(AND($B106&lt;=$C$4,C$7="Y"),0,IF(AND(C$7="N",C$4&gt;0,B106&lt;=C$4),0,(D105-L106+N106)*C$2/12/(1-(1/(1+C$2/12))^(C$3+C$4-B106+1))))</f>
        <v>#DIV/0!</v>
      </c>
      <c r="I106" s="52" t="e">
        <f>IF(AND(C$7="Y",$B106&lt;=C$4),0,IF(AND(C$7="Y",$B106&gt;C$4),(1-U106)*C$2*D105/12,IF(AND($C$7="N",C$4&gt;0),(1-U106)*D105*C$2/12, (1-U106)*D105*C$2/12)))</f>
        <v>#DIV/0!</v>
      </c>
      <c r="J106" s="52" t="e">
        <f>IF(AND($B106&lt;=$C$4,C$7="Y"),0,IF(AND(C$7="N",C$4&gt;0,B106&lt;=C$4),0,H106-I106))</f>
        <v>#DIV/0!</v>
      </c>
      <c r="K106" s="51" t="e">
        <f>IF(AND(C$7="Y",$B106&lt;=$C$4),0,IF(AND(C$7="N",C$4&gt;0,B106&lt;=C$4),0,S106*(C106-J106)))</f>
        <v>#DIV/0!</v>
      </c>
      <c r="L106" s="49" t="e">
        <f>IF(AND(C$7="Y",$B106&lt;=$C$4),0,IF(AND(C$7="N",C$4&gt;0,B106&lt;=C$4),0,U106*D105))</f>
        <v>#DIV/0!</v>
      </c>
      <c r="M106" s="49">
        <f t="shared" si="19"/>
        <v>0</v>
      </c>
      <c r="N106" s="49">
        <f t="shared" si="29"/>
        <v>0</v>
      </c>
      <c r="O106" s="48" t="e">
        <f>K106+I106+J106-L106+N106+G106</f>
        <v>#DIV/0!</v>
      </c>
      <c r="P106" s="38" t="e">
        <f>O106*(1/((1+P$12)^(B106/12)))</f>
        <v>#DIV/0!</v>
      </c>
      <c r="Q106" s="53"/>
      <c r="R106" s="53">
        <f t="shared" si="24"/>
        <v>0.12</v>
      </c>
      <c r="S106" s="53">
        <f t="shared" si="25"/>
        <v>1.0596241035318976E-2</v>
      </c>
      <c r="T106" s="53">
        <f t="shared" si="26"/>
        <v>0</v>
      </c>
      <c r="U106" s="53">
        <f t="shared" si="27"/>
        <v>0</v>
      </c>
    </row>
    <row r="107" spans="1:21" x14ac:dyDescent="0.2">
      <c r="A107" s="62" t="e">
        <f t="shared" si="20"/>
        <v>#DIV/0!</v>
      </c>
      <c r="B107" s="45">
        <f t="shared" si="21"/>
        <v>93</v>
      </c>
      <c r="C107" s="51" t="e">
        <f>IF(B107&lt;C$4,C$1,D106-L107+N107)</f>
        <v>#DIV/0!</v>
      </c>
      <c r="D107" s="47" t="e" cm="1">
        <f t="array" ref="D107">_xlfn.IFS(AND($C$7="Y",B107&lt;C$4),C107,AND($C$7="Y",B107=C$4),D106+F107-J107-K107-L107+N107,AND($C$7="Y",B107&gt;$C$4),D106-J107-K107-L107+N107, TRUE, D106-J107-K107-L107+N107)</f>
        <v>#DIV/0!</v>
      </c>
      <c r="E107" s="48">
        <f t="shared" si="22"/>
        <v>0</v>
      </c>
      <c r="F107" s="50">
        <f t="shared" si="23"/>
        <v>0</v>
      </c>
      <c r="G107" s="50">
        <f t="shared" si="28"/>
        <v>0</v>
      </c>
      <c r="H107" s="51" t="e">
        <f>IF(AND($B107&lt;=$C$4,C$7="Y"),0,IF(AND(C$7="N",C$4&gt;0,B107&lt;=C$4),0,(D106-L107+N107)*C$2/12/(1-(1/(1+C$2/12))^(C$3+C$4-B107+1))))</f>
        <v>#DIV/0!</v>
      </c>
      <c r="I107" s="52" t="e">
        <f>IF(AND(C$7="Y",$B107&lt;=C$4),0,IF(AND(C$7="Y",$B107&gt;C$4),(1-U107)*C$2*D106/12,IF(AND($C$7="N",C$4&gt;0),(1-U107)*D106*C$2/12, (1-U107)*D106*C$2/12)))</f>
        <v>#DIV/0!</v>
      </c>
      <c r="J107" s="52" t="e">
        <f>IF(AND($B107&lt;=$C$4,C$7="Y"),0,IF(AND(C$7="N",C$4&gt;0,B107&lt;=C$4),0,H107-I107))</f>
        <v>#DIV/0!</v>
      </c>
      <c r="K107" s="51" t="e">
        <f>IF(AND(C$7="Y",$B107&lt;=$C$4),0,IF(AND(C$7="N",C$4&gt;0,B107&lt;=C$4),0,S107*(C107-J107)))</f>
        <v>#DIV/0!</v>
      </c>
      <c r="L107" s="49" t="e">
        <f>IF(AND(C$7="Y",$B107&lt;=$C$4),0,IF(AND(C$7="N",C$4&gt;0,B107&lt;=C$4),0,U107*D106))</f>
        <v>#DIV/0!</v>
      </c>
      <c r="M107" s="49">
        <f t="shared" si="19"/>
        <v>0</v>
      </c>
      <c r="N107" s="49">
        <f t="shared" si="29"/>
        <v>0</v>
      </c>
      <c r="O107" s="48" t="e">
        <f>K107+I107+J107-L107+N107+G107</f>
        <v>#DIV/0!</v>
      </c>
      <c r="P107" s="38" t="e">
        <f>O107*(1/((1+P$12)^(B107/12)))</f>
        <v>#DIV/0!</v>
      </c>
      <c r="Q107" s="53"/>
      <c r="R107" s="53">
        <f t="shared" si="24"/>
        <v>0.12</v>
      </c>
      <c r="S107" s="53">
        <f t="shared" si="25"/>
        <v>1.0596241035318976E-2</v>
      </c>
      <c r="T107" s="53">
        <f t="shared" si="26"/>
        <v>0</v>
      </c>
      <c r="U107" s="53">
        <f t="shared" si="27"/>
        <v>0</v>
      </c>
    </row>
    <row r="108" spans="1:21" x14ac:dyDescent="0.2">
      <c r="A108" s="62" t="e">
        <f t="shared" si="20"/>
        <v>#DIV/0!</v>
      </c>
      <c r="B108" s="45">
        <f t="shared" si="21"/>
        <v>94</v>
      </c>
      <c r="C108" s="51" t="e">
        <f>IF(B108&lt;C$4,C$1,D107-L108+N108)</f>
        <v>#DIV/0!</v>
      </c>
      <c r="D108" s="47" t="e" cm="1">
        <f t="array" ref="D108">_xlfn.IFS(AND($C$7="Y",B108&lt;C$4),C108,AND($C$7="Y",B108=C$4),D107+F108-J108-K108-L108+N108,AND($C$7="Y",B108&gt;$C$4),D107-J108-K108-L108+N108, TRUE, D107-J108-K108-L108+N108)</f>
        <v>#DIV/0!</v>
      </c>
      <c r="E108" s="48">
        <f t="shared" si="22"/>
        <v>0</v>
      </c>
      <c r="F108" s="50">
        <f t="shared" si="23"/>
        <v>0</v>
      </c>
      <c r="G108" s="50">
        <f t="shared" si="28"/>
        <v>0</v>
      </c>
      <c r="H108" s="51" t="e">
        <f>IF(AND($B108&lt;=$C$4,C$7="Y"),0,IF(AND(C$7="N",C$4&gt;0,B108&lt;=C$4),0,(D107-L108+N108)*C$2/12/(1-(1/(1+C$2/12))^(C$3+C$4-B108+1))))</f>
        <v>#DIV/0!</v>
      </c>
      <c r="I108" s="52" t="e">
        <f>IF(AND(C$7="Y",$B108&lt;=C$4),0,IF(AND(C$7="Y",$B108&gt;C$4),(1-U108)*C$2*D107/12,IF(AND($C$7="N",C$4&gt;0),(1-U108)*D107*C$2/12, (1-U108)*D107*C$2/12)))</f>
        <v>#DIV/0!</v>
      </c>
      <c r="J108" s="52" t="e">
        <f>IF(AND($B108&lt;=$C$4,C$7="Y"),0,IF(AND(C$7="N",C$4&gt;0,B108&lt;=C$4),0,H108-I108))</f>
        <v>#DIV/0!</v>
      </c>
      <c r="K108" s="51" t="e">
        <f>IF(AND(C$7="Y",$B108&lt;=$C$4),0,IF(AND(C$7="N",C$4&gt;0,B108&lt;=C$4),0,S108*(C108-J108)))</f>
        <v>#DIV/0!</v>
      </c>
      <c r="L108" s="49" t="e">
        <f>IF(AND(C$7="Y",$B108&lt;=$C$4),0,IF(AND(C$7="N",C$4&gt;0,B108&lt;=C$4),0,U108*D107))</f>
        <v>#DIV/0!</v>
      </c>
      <c r="M108" s="49">
        <f t="shared" si="19"/>
        <v>0</v>
      </c>
      <c r="N108" s="49">
        <f t="shared" si="29"/>
        <v>0</v>
      </c>
      <c r="O108" s="48" t="e">
        <f>K108+I108+J108-L108+N108+G108</f>
        <v>#DIV/0!</v>
      </c>
      <c r="P108" s="38" t="e">
        <f>O108*(1/((1+P$12)^(B108/12)))</f>
        <v>#DIV/0!</v>
      </c>
      <c r="Q108" s="53"/>
      <c r="R108" s="53">
        <f t="shared" si="24"/>
        <v>0.12</v>
      </c>
      <c r="S108" s="53">
        <f t="shared" si="25"/>
        <v>1.0596241035318976E-2</v>
      </c>
      <c r="T108" s="53">
        <f t="shared" si="26"/>
        <v>0</v>
      </c>
      <c r="U108" s="53">
        <f t="shared" si="27"/>
        <v>0</v>
      </c>
    </row>
    <row r="109" spans="1:21" x14ac:dyDescent="0.2">
      <c r="A109" s="62" t="e">
        <f t="shared" si="20"/>
        <v>#DIV/0!</v>
      </c>
      <c r="B109" s="45">
        <f t="shared" si="21"/>
        <v>95</v>
      </c>
      <c r="C109" s="51" t="e">
        <f>IF(B109&lt;C$4,C$1,D108-L109+N109)</f>
        <v>#DIV/0!</v>
      </c>
      <c r="D109" s="47" t="e" cm="1">
        <f t="array" ref="D109">_xlfn.IFS(AND($C$7="Y",B109&lt;C$4),C109,AND($C$7="Y",B109=C$4),D108+F109-J109-K109-L109+N109,AND($C$7="Y",B109&gt;$C$4),D108-J109-K109-L109+N109, TRUE, D108-J109-K109-L109+N109)</f>
        <v>#DIV/0!</v>
      </c>
      <c r="E109" s="48">
        <f t="shared" si="22"/>
        <v>0</v>
      </c>
      <c r="F109" s="50">
        <f t="shared" si="23"/>
        <v>0</v>
      </c>
      <c r="G109" s="50">
        <f t="shared" si="28"/>
        <v>0</v>
      </c>
      <c r="H109" s="51" t="e">
        <f>IF(AND($B109&lt;=$C$4,C$7="Y"),0,IF(AND(C$7="N",C$4&gt;0,B109&lt;=C$4),0,(D108-L109+N109)*C$2/12/(1-(1/(1+C$2/12))^(C$3+C$4-B109+1))))</f>
        <v>#DIV/0!</v>
      </c>
      <c r="I109" s="52" t="e">
        <f>IF(AND(C$7="Y",$B109&lt;=C$4),0,IF(AND(C$7="Y",$B109&gt;C$4),(1-U109)*C$2*D108/12,IF(AND($C$7="N",C$4&gt;0),(1-U109)*D108*C$2/12, (1-U109)*D108*C$2/12)))</f>
        <v>#DIV/0!</v>
      </c>
      <c r="J109" s="52" t="e">
        <f>IF(AND($B109&lt;=$C$4,C$7="Y"),0,IF(AND(C$7="N",C$4&gt;0,B109&lt;=C$4),0,H109-I109))</f>
        <v>#DIV/0!</v>
      </c>
      <c r="K109" s="51" t="e">
        <f>IF(AND(C$7="Y",$B109&lt;=$C$4),0,IF(AND(C$7="N",C$4&gt;0,B109&lt;=C$4),0,S109*(C109-J109)))</f>
        <v>#DIV/0!</v>
      </c>
      <c r="L109" s="49" t="e">
        <f>IF(AND(C$7="Y",$B109&lt;=$C$4),0,IF(AND(C$7="N",C$4&gt;0,B109&lt;=C$4),0,U109*D108))</f>
        <v>#DIV/0!</v>
      </c>
      <c r="M109" s="49">
        <f t="shared" ref="M109:M172" si="30">IFERROR(L105*-1,0)</f>
        <v>0</v>
      </c>
      <c r="N109" s="49">
        <f t="shared" si="29"/>
        <v>0</v>
      </c>
      <c r="O109" s="48" t="e">
        <f>K109+I109+J109-L109+N109+G109</f>
        <v>#DIV/0!</v>
      </c>
      <c r="P109" s="38" t="e">
        <f>O109*(1/((1+P$12)^(B109/12)))</f>
        <v>#DIV/0!</v>
      </c>
      <c r="Q109" s="53"/>
      <c r="R109" s="53">
        <f t="shared" si="24"/>
        <v>0.12</v>
      </c>
      <c r="S109" s="53">
        <f t="shared" si="25"/>
        <v>1.0596241035318976E-2</v>
      </c>
      <c r="T109" s="53">
        <f t="shared" si="26"/>
        <v>0</v>
      </c>
      <c r="U109" s="53">
        <f t="shared" si="27"/>
        <v>0</v>
      </c>
    </row>
    <row r="110" spans="1:21" x14ac:dyDescent="0.2">
      <c r="A110" s="62" t="e">
        <f t="shared" si="20"/>
        <v>#DIV/0!</v>
      </c>
      <c r="B110" s="45">
        <f t="shared" si="21"/>
        <v>96</v>
      </c>
      <c r="C110" s="51" t="e">
        <f>IF(B110&lt;C$4,C$1,D109-L110+N110)</f>
        <v>#DIV/0!</v>
      </c>
      <c r="D110" s="47" t="e" cm="1">
        <f t="array" ref="D110">_xlfn.IFS(AND($C$7="Y",B110&lt;C$4),C110,AND($C$7="Y",B110=C$4),D109+F110-J110-K110-L110+N110,AND($C$7="Y",B110&gt;$C$4),D109-J110-K110-L110+N110, TRUE, D109-J110-K110-L110+N110)</f>
        <v>#DIV/0!</v>
      </c>
      <c r="E110" s="48">
        <f t="shared" si="22"/>
        <v>0</v>
      </c>
      <c r="F110" s="50">
        <f t="shared" si="23"/>
        <v>0</v>
      </c>
      <c r="G110" s="50">
        <f t="shared" si="28"/>
        <v>0</v>
      </c>
      <c r="H110" s="51" t="e">
        <f>IF(AND($B110&lt;=$C$4,C$7="Y"),0,IF(AND(C$7="N",C$4&gt;0,B110&lt;=C$4),0,(D109-L110+N110)*C$2/12/(1-(1/(1+C$2/12))^(C$3+C$4-B110+1))))</f>
        <v>#DIV/0!</v>
      </c>
      <c r="I110" s="52" t="e">
        <f>IF(AND(C$7="Y",$B110&lt;=C$4),0,IF(AND(C$7="Y",$B110&gt;C$4),(1-U110)*C$2*D109/12,IF(AND($C$7="N",C$4&gt;0),(1-U110)*D109*C$2/12, (1-U110)*D109*C$2/12)))</f>
        <v>#DIV/0!</v>
      </c>
      <c r="J110" s="52" t="e">
        <f>IF(AND($B110&lt;=$C$4,C$7="Y"),0,IF(AND(C$7="N",C$4&gt;0,B110&lt;=C$4),0,H110-I110))</f>
        <v>#DIV/0!</v>
      </c>
      <c r="K110" s="51" t="e">
        <f>IF(AND(C$7="Y",$B110&lt;=$C$4),0,IF(AND(C$7="N",C$4&gt;0,B110&lt;=C$4),0,S110*(C110-J110)))</f>
        <v>#DIV/0!</v>
      </c>
      <c r="L110" s="49" t="e">
        <f>IF(AND(C$7="Y",$B110&lt;=$C$4),0,IF(AND(C$7="N",C$4&gt;0,B110&lt;=C$4),0,U110*D109))</f>
        <v>#DIV/0!</v>
      </c>
      <c r="M110" s="49">
        <f t="shared" si="30"/>
        <v>0</v>
      </c>
      <c r="N110" s="49">
        <f t="shared" si="29"/>
        <v>0</v>
      </c>
      <c r="O110" s="48" t="e">
        <f>K110+I110+J110-L110+N110+G110</f>
        <v>#DIV/0!</v>
      </c>
      <c r="P110" s="38" t="e">
        <f>O110*(1/((1+P$12)^(B110/12)))</f>
        <v>#DIV/0!</v>
      </c>
      <c r="Q110" s="53"/>
      <c r="R110" s="53">
        <f t="shared" si="24"/>
        <v>0.12</v>
      </c>
      <c r="S110" s="53">
        <f t="shared" si="25"/>
        <v>1.0596241035318976E-2</v>
      </c>
      <c r="T110" s="53">
        <f t="shared" si="26"/>
        <v>0</v>
      </c>
      <c r="U110" s="53">
        <f t="shared" si="27"/>
        <v>0</v>
      </c>
    </row>
    <row r="111" spans="1:21" x14ac:dyDescent="0.2">
      <c r="A111" s="62" t="e">
        <f t="shared" si="20"/>
        <v>#DIV/0!</v>
      </c>
      <c r="B111" s="45">
        <f t="shared" si="21"/>
        <v>97</v>
      </c>
      <c r="C111" s="51" t="e">
        <f>IF(B111&lt;C$4,C$1,D110-L111+N111)</f>
        <v>#DIV/0!</v>
      </c>
      <c r="D111" s="47" t="e" cm="1">
        <f t="array" ref="D111">_xlfn.IFS(AND($C$7="Y",B111&lt;C$4),C111,AND($C$7="Y",B111=C$4),D110+F111-J111-K111-L111+N111,AND($C$7="Y",B111&gt;$C$4),D110-J111-K111-L111+N111, TRUE, D110-J111-K111-L111+N111)</f>
        <v>#DIV/0!</v>
      </c>
      <c r="E111" s="48">
        <f t="shared" si="22"/>
        <v>0</v>
      </c>
      <c r="F111" s="50">
        <f t="shared" si="23"/>
        <v>0</v>
      </c>
      <c r="G111" s="50">
        <f t="shared" si="28"/>
        <v>0</v>
      </c>
      <c r="H111" s="51" t="e">
        <f>IF(AND($B111&lt;=$C$4,C$7="Y"),0,IF(AND(C$7="N",C$4&gt;0,B111&lt;=C$4),0,(D110-L111+N111)*C$2/12/(1-(1/(1+C$2/12))^(C$3+C$4-B111+1))))</f>
        <v>#DIV/0!</v>
      </c>
      <c r="I111" s="52" t="e">
        <f>IF(AND(C$7="Y",$B111&lt;=C$4),0,IF(AND(C$7="Y",$B111&gt;C$4),(1-U111)*C$2*D110/12,IF(AND($C$7="N",C$4&gt;0),(1-U111)*D110*C$2/12, (1-U111)*D110*C$2/12)))</f>
        <v>#DIV/0!</v>
      </c>
      <c r="J111" s="52" t="e">
        <f>IF(AND($B111&lt;=$C$4,C$7="Y"),0,IF(AND(C$7="N",C$4&gt;0,B111&lt;=C$4),0,H111-I111))</f>
        <v>#DIV/0!</v>
      </c>
      <c r="K111" s="51" t="e">
        <f>IF(AND(C$7="Y",$B111&lt;=$C$4),0,IF(AND(C$7="N",C$4&gt;0,B111&lt;=C$4),0,S111*(C111-J111)))</f>
        <v>#DIV/0!</v>
      </c>
      <c r="L111" s="49" t="e">
        <f>IF(AND(C$7="Y",$B111&lt;=$C$4),0,IF(AND(C$7="N",C$4&gt;0,B111&lt;=C$4),0,U111*D110))</f>
        <v>#DIV/0!</v>
      </c>
      <c r="M111" s="49">
        <f t="shared" si="30"/>
        <v>0</v>
      </c>
      <c r="N111" s="49">
        <f t="shared" si="29"/>
        <v>0</v>
      </c>
      <c r="O111" s="48" t="e">
        <f>K111+I111+J111-L111+N111+G111</f>
        <v>#DIV/0!</v>
      </c>
      <c r="P111" s="38" t="e">
        <f>O111*(1/((1+P$12)^(B111/12)))</f>
        <v>#DIV/0!</v>
      </c>
      <c r="Q111" s="53"/>
      <c r="R111" s="53">
        <f t="shared" si="24"/>
        <v>0.12</v>
      </c>
      <c r="S111" s="53">
        <f t="shared" si="25"/>
        <v>1.0596241035318976E-2</v>
      </c>
      <c r="T111" s="53">
        <f t="shared" si="26"/>
        <v>0</v>
      </c>
      <c r="U111" s="53">
        <f t="shared" si="27"/>
        <v>0</v>
      </c>
    </row>
    <row r="112" spans="1:21" x14ac:dyDescent="0.2">
      <c r="A112" s="62" t="e">
        <f t="shared" si="20"/>
        <v>#DIV/0!</v>
      </c>
      <c r="B112" s="45">
        <f t="shared" si="21"/>
        <v>98</v>
      </c>
      <c r="C112" s="51" t="e">
        <f>IF(B112&lt;C$4,C$1,D111-L112+N112)</f>
        <v>#DIV/0!</v>
      </c>
      <c r="D112" s="47" t="e" cm="1">
        <f t="array" ref="D112">_xlfn.IFS(AND($C$7="Y",B112&lt;C$4),C112,AND($C$7="Y",B112=C$4),D111+F112-J112-K112-L112+N112,AND($C$7="Y",B112&gt;$C$4),D111-J112-K112-L112+N112, TRUE, D111-J112-K112-L112+N112)</f>
        <v>#DIV/0!</v>
      </c>
      <c r="E112" s="48">
        <f t="shared" si="22"/>
        <v>0</v>
      </c>
      <c r="F112" s="50">
        <f t="shared" si="23"/>
        <v>0</v>
      </c>
      <c r="G112" s="50">
        <f t="shared" si="28"/>
        <v>0</v>
      </c>
      <c r="H112" s="51" t="e">
        <f>IF(AND($B112&lt;=$C$4,C$7="Y"),0,IF(AND(C$7="N",C$4&gt;0,B112&lt;=C$4),0,(D111-L112+N112)*C$2/12/(1-(1/(1+C$2/12))^(C$3+C$4-B112+1))))</f>
        <v>#DIV/0!</v>
      </c>
      <c r="I112" s="52" t="e">
        <f>IF(AND(C$7="Y",$B112&lt;=C$4),0,IF(AND(C$7="Y",$B112&gt;C$4),(1-U112)*C$2*D111/12,IF(AND($C$7="N",C$4&gt;0),(1-U112)*D111*C$2/12, (1-U112)*D111*C$2/12)))</f>
        <v>#DIV/0!</v>
      </c>
      <c r="J112" s="52" t="e">
        <f>IF(AND($B112&lt;=$C$4,C$7="Y"),0,IF(AND(C$7="N",C$4&gt;0,B112&lt;=C$4),0,H112-I112))</f>
        <v>#DIV/0!</v>
      </c>
      <c r="K112" s="51" t="e">
        <f>IF(AND(C$7="Y",$B112&lt;=$C$4),0,IF(AND(C$7="N",C$4&gt;0,B112&lt;=C$4),0,S112*(C112-J112)))</f>
        <v>#DIV/0!</v>
      </c>
      <c r="L112" s="49" t="e">
        <f>IF(AND(C$7="Y",$B112&lt;=$C$4),0,IF(AND(C$7="N",C$4&gt;0,B112&lt;=C$4),0,U112*D111))</f>
        <v>#DIV/0!</v>
      </c>
      <c r="M112" s="49">
        <f t="shared" si="30"/>
        <v>0</v>
      </c>
      <c r="N112" s="49">
        <f t="shared" si="29"/>
        <v>0</v>
      </c>
      <c r="O112" s="48" t="e">
        <f>K112+I112+J112-L112+N112+G112</f>
        <v>#DIV/0!</v>
      </c>
      <c r="P112" s="38" t="e">
        <f>O112*(1/((1+P$12)^(B112/12)))</f>
        <v>#DIV/0!</v>
      </c>
      <c r="Q112" s="53"/>
      <c r="R112" s="53">
        <f t="shared" si="24"/>
        <v>0.12</v>
      </c>
      <c r="S112" s="53">
        <f t="shared" si="25"/>
        <v>1.0596241035318976E-2</v>
      </c>
      <c r="T112" s="53">
        <f t="shared" si="26"/>
        <v>0</v>
      </c>
      <c r="U112" s="53">
        <f t="shared" si="27"/>
        <v>0</v>
      </c>
    </row>
    <row r="113" spans="1:21" x14ac:dyDescent="0.2">
      <c r="A113" s="62" t="e">
        <f t="shared" si="20"/>
        <v>#DIV/0!</v>
      </c>
      <c r="B113" s="45">
        <f t="shared" si="21"/>
        <v>99</v>
      </c>
      <c r="C113" s="51" t="e">
        <f>IF(B113&lt;C$4,C$1,D112-L113+N113)</f>
        <v>#DIV/0!</v>
      </c>
      <c r="D113" s="47" t="e" cm="1">
        <f t="array" ref="D113">_xlfn.IFS(AND($C$7="Y",B113&lt;C$4),C113,AND($C$7="Y",B113=C$4),D112+F113-J113-K113-L113+N113,AND($C$7="Y",B113&gt;$C$4),D112-J113-K113-L113+N113, TRUE, D112-J113-K113-L113+N113)</f>
        <v>#DIV/0!</v>
      </c>
      <c r="E113" s="48">
        <f t="shared" si="22"/>
        <v>0</v>
      </c>
      <c r="F113" s="50">
        <f t="shared" si="23"/>
        <v>0</v>
      </c>
      <c r="G113" s="50">
        <f t="shared" si="28"/>
        <v>0</v>
      </c>
      <c r="H113" s="51" t="e">
        <f>IF(AND($B113&lt;=$C$4,C$7="Y"),0,IF(AND(C$7="N",C$4&gt;0,B113&lt;=C$4),0,(D112-L113+N113)*C$2/12/(1-(1/(1+C$2/12))^(C$3+C$4-B113+1))))</f>
        <v>#DIV/0!</v>
      </c>
      <c r="I113" s="52" t="e">
        <f>IF(AND(C$7="Y",$B113&lt;=C$4),0,IF(AND(C$7="Y",$B113&gt;C$4),(1-U113)*C$2*D112/12,IF(AND($C$7="N",C$4&gt;0),(1-U113)*D112*C$2/12, (1-U113)*D112*C$2/12)))</f>
        <v>#DIV/0!</v>
      </c>
      <c r="J113" s="52" t="e">
        <f>IF(AND($B113&lt;=$C$4,C$7="Y"),0,IF(AND(C$7="N",C$4&gt;0,B113&lt;=C$4),0,H113-I113))</f>
        <v>#DIV/0!</v>
      </c>
      <c r="K113" s="51" t="e">
        <f>IF(AND(C$7="Y",$B113&lt;=$C$4),0,IF(AND(C$7="N",C$4&gt;0,B113&lt;=C$4),0,S113*(C113-J113)))</f>
        <v>#DIV/0!</v>
      </c>
      <c r="L113" s="49" t="e">
        <f>IF(AND(C$7="Y",$B113&lt;=$C$4),0,IF(AND(C$7="N",C$4&gt;0,B113&lt;=C$4),0,U113*D112))</f>
        <v>#DIV/0!</v>
      </c>
      <c r="M113" s="49">
        <f t="shared" si="30"/>
        <v>0</v>
      </c>
      <c r="N113" s="49">
        <f t="shared" si="29"/>
        <v>0</v>
      </c>
      <c r="O113" s="48" t="e">
        <f>K113+I113+J113-L113+N113+G113</f>
        <v>#DIV/0!</v>
      </c>
      <c r="P113" s="38" t="e">
        <f>O113*(1/((1+P$12)^(B113/12)))</f>
        <v>#DIV/0!</v>
      </c>
      <c r="Q113" s="53"/>
      <c r="R113" s="53">
        <f t="shared" si="24"/>
        <v>0.12</v>
      </c>
      <c r="S113" s="53">
        <f t="shared" si="25"/>
        <v>1.0596241035318976E-2</v>
      </c>
      <c r="T113" s="53">
        <f t="shared" si="26"/>
        <v>0</v>
      </c>
      <c r="U113" s="53">
        <f t="shared" si="27"/>
        <v>0</v>
      </c>
    </row>
    <row r="114" spans="1:21" x14ac:dyDescent="0.2">
      <c r="A114" s="62" t="e">
        <f t="shared" si="20"/>
        <v>#DIV/0!</v>
      </c>
      <c r="B114" s="45">
        <f t="shared" si="21"/>
        <v>100</v>
      </c>
      <c r="C114" s="51" t="e">
        <f>IF(B114&lt;C$4,C$1,D113-L114+N114)</f>
        <v>#DIV/0!</v>
      </c>
      <c r="D114" s="47" t="e" cm="1">
        <f t="array" ref="D114">_xlfn.IFS(AND($C$7="Y",B114&lt;C$4),C114,AND($C$7="Y",B114=C$4),D113+F114-J114-K114-L114+N114,AND($C$7="Y",B114&gt;$C$4),D113-J114-K114-L114+N114, TRUE, D113-J114-K114-L114+N114)</f>
        <v>#DIV/0!</v>
      </c>
      <c r="E114" s="48">
        <f t="shared" si="22"/>
        <v>0</v>
      </c>
      <c r="F114" s="50">
        <f t="shared" si="23"/>
        <v>0</v>
      </c>
      <c r="G114" s="50">
        <f t="shared" si="28"/>
        <v>0</v>
      </c>
      <c r="H114" s="51" t="e">
        <f>IF(AND($B114&lt;=$C$4,C$7="Y"),0,IF(AND(C$7="N",C$4&gt;0,B114&lt;=C$4),0,(D113-L114+N114)*C$2/12/(1-(1/(1+C$2/12))^(C$3+C$4-B114+1))))</f>
        <v>#DIV/0!</v>
      </c>
      <c r="I114" s="52" t="e">
        <f>IF(AND(C$7="Y",$B114&lt;=C$4),0,IF(AND(C$7="Y",$B114&gt;C$4),(1-U114)*C$2*D113/12,IF(AND($C$7="N",C$4&gt;0),(1-U114)*D113*C$2/12, (1-U114)*D113*C$2/12)))</f>
        <v>#DIV/0!</v>
      </c>
      <c r="J114" s="52" t="e">
        <f>IF(AND($B114&lt;=$C$4,C$7="Y"),0,IF(AND(C$7="N",C$4&gt;0,B114&lt;=C$4),0,H114-I114))</f>
        <v>#DIV/0!</v>
      </c>
      <c r="K114" s="51" t="e">
        <f>IF(AND(C$7="Y",$B114&lt;=$C$4),0,IF(AND(C$7="N",C$4&gt;0,B114&lt;=C$4),0,S114*(C114-J114)))</f>
        <v>#DIV/0!</v>
      </c>
      <c r="L114" s="49" t="e">
        <f>IF(AND(C$7="Y",$B114&lt;=$C$4),0,IF(AND(C$7="N",C$4&gt;0,B114&lt;=C$4),0,U114*D113))</f>
        <v>#DIV/0!</v>
      </c>
      <c r="M114" s="49">
        <f t="shared" si="30"/>
        <v>0</v>
      </c>
      <c r="N114" s="49">
        <f t="shared" si="29"/>
        <v>0</v>
      </c>
      <c r="O114" s="48" t="e">
        <f>K114+I114+J114-L114+N114+G114</f>
        <v>#DIV/0!</v>
      </c>
      <c r="P114" s="38" t="e">
        <f>O114*(1/((1+P$12)^(B114/12)))</f>
        <v>#DIV/0!</v>
      </c>
      <c r="Q114" s="53"/>
      <c r="R114" s="53">
        <f t="shared" si="24"/>
        <v>0.12</v>
      </c>
      <c r="S114" s="53">
        <f t="shared" si="25"/>
        <v>1.0596241035318976E-2</v>
      </c>
      <c r="T114" s="53">
        <f t="shared" si="26"/>
        <v>0</v>
      </c>
      <c r="U114" s="53">
        <f t="shared" si="27"/>
        <v>0</v>
      </c>
    </row>
    <row r="115" spans="1:21" x14ac:dyDescent="0.2">
      <c r="A115" s="62" t="e">
        <f t="shared" si="20"/>
        <v>#DIV/0!</v>
      </c>
      <c r="B115" s="45">
        <f t="shared" si="21"/>
        <v>101</v>
      </c>
      <c r="C115" s="51" t="e">
        <f>IF(B115&lt;C$4,C$1,D114-L115+N115)</f>
        <v>#DIV/0!</v>
      </c>
      <c r="D115" s="47" t="e" cm="1">
        <f t="array" ref="D115">_xlfn.IFS(AND($C$7="Y",B115&lt;C$4),C115,AND($C$7="Y",B115=C$4),D114+F115-J115-K115-L115+N115,AND($C$7="Y",B115&gt;$C$4),D114-J115-K115-L115+N115, TRUE, D114-J115-K115-L115+N115)</f>
        <v>#DIV/0!</v>
      </c>
      <c r="E115" s="48">
        <f t="shared" si="22"/>
        <v>0</v>
      </c>
      <c r="F115" s="50">
        <f t="shared" si="23"/>
        <v>0</v>
      </c>
      <c r="G115" s="50">
        <f t="shared" si="28"/>
        <v>0</v>
      </c>
      <c r="H115" s="51" t="e">
        <f>IF(AND($B115&lt;=$C$4,C$7="Y"),0,IF(AND(C$7="N",C$4&gt;0,B115&lt;=C$4),0,(D114-L115+N115)*C$2/12/(1-(1/(1+C$2/12))^(C$3+C$4-B115+1))))</f>
        <v>#DIV/0!</v>
      </c>
      <c r="I115" s="52" t="e">
        <f>IF(AND(C$7="Y",$B115&lt;=C$4),0,IF(AND(C$7="Y",$B115&gt;C$4),(1-U115)*C$2*D114/12,IF(AND($C$7="N",C$4&gt;0),(1-U115)*D114*C$2/12, (1-U115)*D114*C$2/12)))</f>
        <v>#DIV/0!</v>
      </c>
      <c r="J115" s="52" t="e">
        <f>IF(AND($B115&lt;=$C$4,C$7="Y"),0,IF(AND(C$7="N",C$4&gt;0,B115&lt;=C$4),0,H115-I115))</f>
        <v>#DIV/0!</v>
      </c>
      <c r="K115" s="51" t="e">
        <f>IF(AND(C$7="Y",$B115&lt;=$C$4),0,IF(AND(C$7="N",C$4&gt;0,B115&lt;=C$4),0,S115*(C115-J115)))</f>
        <v>#DIV/0!</v>
      </c>
      <c r="L115" s="49" t="e">
        <f>IF(AND(C$7="Y",$B115&lt;=$C$4),0,IF(AND(C$7="N",C$4&gt;0,B115&lt;=C$4),0,U115*D114))</f>
        <v>#DIV/0!</v>
      </c>
      <c r="M115" s="49">
        <f t="shared" si="30"/>
        <v>0</v>
      </c>
      <c r="N115" s="49">
        <f t="shared" si="29"/>
        <v>0</v>
      </c>
      <c r="O115" s="48" t="e">
        <f>K115+I115+J115-L115+N115+G115</f>
        <v>#DIV/0!</v>
      </c>
      <c r="P115" s="38" t="e">
        <f>O115*(1/((1+P$12)^(B115/12)))</f>
        <v>#DIV/0!</v>
      </c>
      <c r="Q115" s="53"/>
      <c r="R115" s="53">
        <f t="shared" si="24"/>
        <v>0.12</v>
      </c>
      <c r="S115" s="53">
        <f t="shared" si="25"/>
        <v>1.0596241035318976E-2</v>
      </c>
      <c r="T115" s="53">
        <f t="shared" si="26"/>
        <v>0</v>
      </c>
      <c r="U115" s="53">
        <f t="shared" si="27"/>
        <v>0</v>
      </c>
    </row>
    <row r="116" spans="1:21" x14ac:dyDescent="0.2">
      <c r="A116" s="62" t="e">
        <f t="shared" si="20"/>
        <v>#DIV/0!</v>
      </c>
      <c r="B116" s="45">
        <f t="shared" si="21"/>
        <v>102</v>
      </c>
      <c r="C116" s="51" t="e">
        <f>IF(B116&lt;C$4,C$1,D115-L116+N116)</f>
        <v>#DIV/0!</v>
      </c>
      <c r="D116" s="47" t="e" cm="1">
        <f t="array" ref="D116">_xlfn.IFS(AND($C$7="Y",B116&lt;C$4),C116,AND($C$7="Y",B116=C$4),D115+F116-J116-K116-L116+N116,AND($C$7="Y",B116&gt;$C$4),D115-J116-K116-L116+N116, TRUE, D115-J116-K116-L116+N116)</f>
        <v>#DIV/0!</v>
      </c>
      <c r="E116" s="48">
        <f t="shared" si="22"/>
        <v>0</v>
      </c>
      <c r="F116" s="50">
        <f t="shared" si="23"/>
        <v>0</v>
      </c>
      <c r="G116" s="50">
        <f t="shared" si="28"/>
        <v>0</v>
      </c>
      <c r="H116" s="51" t="e">
        <f>IF(AND($B116&lt;=$C$4,C$7="Y"),0,IF(AND(C$7="N",C$4&gt;0,B116&lt;=C$4),0,(D115-L116+N116)*C$2/12/(1-(1/(1+C$2/12))^(C$3+C$4-B116+1))))</f>
        <v>#DIV/0!</v>
      </c>
      <c r="I116" s="52" t="e">
        <f>IF(AND(C$7="Y",$B116&lt;=C$4),0,IF(AND(C$7="Y",$B116&gt;C$4),(1-U116)*C$2*D115/12,IF(AND($C$7="N",C$4&gt;0),(1-U116)*D115*C$2/12, (1-U116)*D115*C$2/12)))</f>
        <v>#DIV/0!</v>
      </c>
      <c r="J116" s="52" t="e">
        <f>IF(AND($B116&lt;=$C$4,C$7="Y"),0,IF(AND(C$7="N",C$4&gt;0,B116&lt;=C$4),0,H116-I116))</f>
        <v>#DIV/0!</v>
      </c>
      <c r="K116" s="51" t="e">
        <f>IF(AND(C$7="Y",$B116&lt;=$C$4),0,IF(AND(C$7="N",C$4&gt;0,B116&lt;=C$4),0,S116*(C116-J116)))</f>
        <v>#DIV/0!</v>
      </c>
      <c r="L116" s="49" t="e">
        <f>IF(AND(C$7="Y",$B116&lt;=$C$4),0,IF(AND(C$7="N",C$4&gt;0,B116&lt;=C$4),0,U116*D115))</f>
        <v>#DIV/0!</v>
      </c>
      <c r="M116" s="49">
        <f t="shared" si="30"/>
        <v>0</v>
      </c>
      <c r="N116" s="49">
        <f t="shared" si="29"/>
        <v>0</v>
      </c>
      <c r="O116" s="48" t="e">
        <f>K116+I116+J116-L116+N116+G116</f>
        <v>#DIV/0!</v>
      </c>
      <c r="P116" s="38" t="e">
        <f>O116*(1/((1+P$12)^(B116/12)))</f>
        <v>#DIV/0!</v>
      </c>
      <c r="Q116" s="53"/>
      <c r="R116" s="53">
        <f t="shared" si="24"/>
        <v>0.12</v>
      </c>
      <c r="S116" s="53">
        <f t="shared" si="25"/>
        <v>1.0596241035318976E-2</v>
      </c>
      <c r="T116" s="53">
        <f t="shared" si="26"/>
        <v>0</v>
      </c>
      <c r="U116" s="53">
        <f t="shared" si="27"/>
        <v>0</v>
      </c>
    </row>
    <row r="117" spans="1:21" x14ac:dyDescent="0.2">
      <c r="A117" s="62" t="e">
        <f t="shared" si="20"/>
        <v>#DIV/0!</v>
      </c>
      <c r="B117" s="45">
        <f t="shared" si="21"/>
        <v>103</v>
      </c>
      <c r="C117" s="51" t="e">
        <f>IF(B117&lt;C$4,C$1,D116-L117+N117)</f>
        <v>#DIV/0!</v>
      </c>
      <c r="D117" s="47" t="e" cm="1">
        <f t="array" ref="D117">_xlfn.IFS(AND($C$7="Y",B117&lt;C$4),C117,AND($C$7="Y",B117=C$4),D116+F117-J117-K117-L117+N117,AND($C$7="Y",B117&gt;$C$4),D116-J117-K117-L117+N117, TRUE, D116-J117-K117-L117+N117)</f>
        <v>#DIV/0!</v>
      </c>
      <c r="E117" s="48">
        <f t="shared" si="22"/>
        <v>0</v>
      </c>
      <c r="F117" s="50">
        <f t="shared" si="23"/>
        <v>0</v>
      </c>
      <c r="G117" s="50">
        <f t="shared" si="28"/>
        <v>0</v>
      </c>
      <c r="H117" s="51" t="e">
        <f>IF(AND($B117&lt;=$C$4,C$7="Y"),0,IF(AND(C$7="N",C$4&gt;0,B117&lt;=C$4),0,(D116-L117+N117)*C$2/12/(1-(1/(1+C$2/12))^(C$3+C$4-B117+1))))</f>
        <v>#DIV/0!</v>
      </c>
      <c r="I117" s="52" t="e">
        <f>IF(AND(C$7="Y",$B117&lt;=C$4),0,IF(AND(C$7="Y",$B117&gt;C$4),(1-U117)*C$2*D116/12,IF(AND($C$7="N",C$4&gt;0),(1-U117)*D116*C$2/12, (1-U117)*D116*C$2/12)))</f>
        <v>#DIV/0!</v>
      </c>
      <c r="J117" s="52" t="e">
        <f>IF(AND($B117&lt;=$C$4,C$7="Y"),0,IF(AND(C$7="N",C$4&gt;0,B117&lt;=C$4),0,H117-I117))</f>
        <v>#DIV/0!</v>
      </c>
      <c r="K117" s="51" t="e">
        <f>IF(AND(C$7="Y",$B117&lt;=$C$4),0,IF(AND(C$7="N",C$4&gt;0,B117&lt;=C$4),0,S117*(C117-J117)))</f>
        <v>#DIV/0!</v>
      </c>
      <c r="L117" s="49" t="e">
        <f>IF(AND(C$7="Y",$B117&lt;=$C$4),0,IF(AND(C$7="N",C$4&gt;0,B117&lt;=C$4),0,U117*D116))</f>
        <v>#DIV/0!</v>
      </c>
      <c r="M117" s="49">
        <f t="shared" si="30"/>
        <v>0</v>
      </c>
      <c r="N117" s="49">
        <f t="shared" si="29"/>
        <v>0</v>
      </c>
      <c r="O117" s="48" t="e">
        <f>K117+I117+J117-L117+N117+G117</f>
        <v>#DIV/0!</v>
      </c>
      <c r="P117" s="38" t="e">
        <f>O117*(1/((1+P$12)^(B117/12)))</f>
        <v>#DIV/0!</v>
      </c>
      <c r="Q117" s="53"/>
      <c r="R117" s="53">
        <f t="shared" si="24"/>
        <v>0.12</v>
      </c>
      <c r="S117" s="53">
        <f t="shared" si="25"/>
        <v>1.0596241035318976E-2</v>
      </c>
      <c r="T117" s="53">
        <f t="shared" si="26"/>
        <v>0</v>
      </c>
      <c r="U117" s="53">
        <f t="shared" si="27"/>
        <v>0</v>
      </c>
    </row>
    <row r="118" spans="1:21" x14ac:dyDescent="0.2">
      <c r="A118" s="62" t="e">
        <f t="shared" si="20"/>
        <v>#DIV/0!</v>
      </c>
      <c r="B118" s="45">
        <f t="shared" si="21"/>
        <v>104</v>
      </c>
      <c r="C118" s="51" t="e">
        <f>IF(B118&lt;C$4,C$1,D117-L118+N118)</f>
        <v>#DIV/0!</v>
      </c>
      <c r="D118" s="47" t="e" cm="1">
        <f t="array" ref="D118">_xlfn.IFS(AND($C$7="Y",B118&lt;C$4),C118,AND($C$7="Y",B118=C$4),D117+F118-J118-K118-L118+N118,AND($C$7="Y",B118&gt;$C$4),D117-J118-K118-L118+N118, TRUE, D117-J118-K118-L118+N118)</f>
        <v>#DIV/0!</v>
      </c>
      <c r="E118" s="48">
        <f t="shared" si="22"/>
        <v>0</v>
      </c>
      <c r="F118" s="50">
        <f t="shared" si="23"/>
        <v>0</v>
      </c>
      <c r="G118" s="50">
        <f t="shared" si="28"/>
        <v>0</v>
      </c>
      <c r="H118" s="51" t="e">
        <f>IF(AND($B118&lt;=$C$4,C$7="Y"),0,IF(AND(C$7="N",C$4&gt;0,B118&lt;=C$4),0,(D117-L118+N118)*C$2/12/(1-(1/(1+C$2/12))^(C$3+C$4-B118+1))))</f>
        <v>#DIV/0!</v>
      </c>
      <c r="I118" s="52" t="e">
        <f>IF(AND(C$7="Y",$B118&lt;=C$4),0,IF(AND(C$7="Y",$B118&gt;C$4),(1-U118)*C$2*D117/12,IF(AND($C$7="N",C$4&gt;0),(1-U118)*D117*C$2/12, (1-U118)*D117*C$2/12)))</f>
        <v>#DIV/0!</v>
      </c>
      <c r="J118" s="52" t="e">
        <f>IF(AND($B118&lt;=$C$4,C$7="Y"),0,IF(AND(C$7="N",C$4&gt;0,B118&lt;=C$4),0,H118-I118))</f>
        <v>#DIV/0!</v>
      </c>
      <c r="K118" s="51" t="e">
        <f>IF(AND(C$7="Y",$B118&lt;=$C$4),0,IF(AND(C$7="N",C$4&gt;0,B118&lt;=C$4),0,S118*(C118-J118)))</f>
        <v>#DIV/0!</v>
      </c>
      <c r="L118" s="49" t="e">
        <f>IF(AND(C$7="Y",$B118&lt;=$C$4),0,IF(AND(C$7="N",C$4&gt;0,B118&lt;=C$4),0,U118*D117))</f>
        <v>#DIV/0!</v>
      </c>
      <c r="M118" s="49">
        <f t="shared" si="30"/>
        <v>0</v>
      </c>
      <c r="N118" s="49">
        <f t="shared" si="29"/>
        <v>0</v>
      </c>
      <c r="O118" s="48" t="e">
        <f>K118+I118+J118-L118+N118+G118</f>
        <v>#DIV/0!</v>
      </c>
      <c r="P118" s="38" t="e">
        <f>O118*(1/((1+P$12)^(B118/12)))</f>
        <v>#DIV/0!</v>
      </c>
      <c r="Q118" s="53"/>
      <c r="R118" s="53">
        <f t="shared" si="24"/>
        <v>0.12</v>
      </c>
      <c r="S118" s="53">
        <f t="shared" si="25"/>
        <v>1.0596241035318976E-2</v>
      </c>
      <c r="T118" s="53">
        <f t="shared" si="26"/>
        <v>0</v>
      </c>
      <c r="U118" s="53">
        <f t="shared" si="27"/>
        <v>0</v>
      </c>
    </row>
    <row r="119" spans="1:21" x14ac:dyDescent="0.2">
      <c r="A119" s="62" t="e">
        <f t="shared" si="20"/>
        <v>#DIV/0!</v>
      </c>
      <c r="B119" s="45">
        <f t="shared" si="21"/>
        <v>105</v>
      </c>
      <c r="C119" s="51" t="e">
        <f>IF(B119&lt;C$4,C$1,D118-L119+N119)</f>
        <v>#DIV/0!</v>
      </c>
      <c r="D119" s="47" t="e" cm="1">
        <f t="array" ref="D119">_xlfn.IFS(AND($C$7="Y",B119&lt;C$4),C119,AND($C$7="Y",B119=C$4),D118+F119-J119-K119-L119+N119,AND($C$7="Y",B119&gt;$C$4),D118-J119-K119-L119+N119, TRUE, D118-J119-K119-L119+N119)</f>
        <v>#DIV/0!</v>
      </c>
      <c r="E119" s="48">
        <f t="shared" si="22"/>
        <v>0</v>
      </c>
      <c r="F119" s="50">
        <f t="shared" si="23"/>
        <v>0</v>
      </c>
      <c r="G119" s="50">
        <f t="shared" si="28"/>
        <v>0</v>
      </c>
      <c r="H119" s="51" t="e">
        <f>IF(AND($B119&lt;=$C$4,C$7="Y"),0,IF(AND(C$7="N",C$4&gt;0,B119&lt;=C$4),0,(D118-L119+N119)*C$2/12/(1-(1/(1+C$2/12))^(C$3+C$4-B119+1))))</f>
        <v>#DIV/0!</v>
      </c>
      <c r="I119" s="52" t="e">
        <f>IF(AND(C$7="Y",$B119&lt;=C$4),0,IF(AND(C$7="Y",$B119&gt;C$4),(1-U119)*C$2*D118/12,IF(AND($C$7="N",C$4&gt;0),(1-U119)*D118*C$2/12, (1-U119)*D118*C$2/12)))</f>
        <v>#DIV/0!</v>
      </c>
      <c r="J119" s="52" t="e">
        <f>IF(AND($B119&lt;=$C$4,C$7="Y"),0,IF(AND(C$7="N",C$4&gt;0,B119&lt;=C$4),0,H119-I119))</f>
        <v>#DIV/0!</v>
      </c>
      <c r="K119" s="51" t="e">
        <f>IF(AND(C$7="Y",$B119&lt;=$C$4),0,IF(AND(C$7="N",C$4&gt;0,B119&lt;=C$4),0,S119*(C119-J119)))</f>
        <v>#DIV/0!</v>
      </c>
      <c r="L119" s="49" t="e">
        <f>IF(AND(C$7="Y",$B119&lt;=$C$4),0,IF(AND(C$7="N",C$4&gt;0,B119&lt;=C$4),0,U119*D118))</f>
        <v>#DIV/0!</v>
      </c>
      <c r="M119" s="49">
        <f t="shared" si="30"/>
        <v>0</v>
      </c>
      <c r="N119" s="49">
        <f t="shared" si="29"/>
        <v>0</v>
      </c>
      <c r="O119" s="48" t="e">
        <f>K119+I119+J119-L119+N119+G119</f>
        <v>#DIV/0!</v>
      </c>
      <c r="P119" s="38" t="e">
        <f>O119*(1/((1+P$12)^(B119/12)))</f>
        <v>#DIV/0!</v>
      </c>
      <c r="Q119" s="53"/>
      <c r="R119" s="53">
        <f t="shared" si="24"/>
        <v>0.12</v>
      </c>
      <c r="S119" s="53">
        <f t="shared" si="25"/>
        <v>1.0596241035318976E-2</v>
      </c>
      <c r="T119" s="53">
        <f t="shared" si="26"/>
        <v>0</v>
      </c>
      <c r="U119" s="53">
        <f t="shared" si="27"/>
        <v>0</v>
      </c>
    </row>
    <row r="120" spans="1:21" x14ac:dyDescent="0.2">
      <c r="A120" s="62" t="e">
        <f t="shared" si="20"/>
        <v>#DIV/0!</v>
      </c>
      <c r="B120" s="45">
        <f t="shared" si="21"/>
        <v>106</v>
      </c>
      <c r="C120" s="51" t="e">
        <f>IF(B120&lt;C$4,C$1,D119-L120+N120)</f>
        <v>#DIV/0!</v>
      </c>
      <c r="D120" s="47" t="e" cm="1">
        <f t="array" ref="D120">_xlfn.IFS(AND($C$7="Y",B120&lt;C$4),C120,AND($C$7="Y",B120=C$4),D119+F120-J120-K120-L120+N120,AND($C$7="Y",B120&gt;$C$4),D119-J120-K120-L120+N120, TRUE, D119-J120-K120-L120+N120)</f>
        <v>#DIV/0!</v>
      </c>
      <c r="E120" s="48">
        <f t="shared" si="22"/>
        <v>0</v>
      </c>
      <c r="F120" s="50">
        <f t="shared" si="23"/>
        <v>0</v>
      </c>
      <c r="G120" s="50">
        <f t="shared" si="28"/>
        <v>0</v>
      </c>
      <c r="H120" s="51" t="e">
        <f>IF(AND($B120&lt;=$C$4,C$7="Y"),0,IF(AND(C$7="N",C$4&gt;0,B120&lt;=C$4),0,(D119-L120+N120)*C$2/12/(1-(1/(1+C$2/12))^(C$3+C$4-B120+1))))</f>
        <v>#DIV/0!</v>
      </c>
      <c r="I120" s="52" t="e">
        <f>IF(AND(C$7="Y",$B120&lt;=C$4),0,IF(AND(C$7="Y",$B120&gt;C$4),(1-U120)*C$2*D119/12,IF(AND($C$7="N",C$4&gt;0),(1-U120)*D119*C$2/12, (1-U120)*D119*C$2/12)))</f>
        <v>#DIV/0!</v>
      </c>
      <c r="J120" s="52" t="e">
        <f>IF(AND($B120&lt;=$C$4,C$7="Y"),0,IF(AND(C$7="N",C$4&gt;0,B120&lt;=C$4),0,H120-I120))</f>
        <v>#DIV/0!</v>
      </c>
      <c r="K120" s="51" t="e">
        <f>IF(AND(C$7="Y",$B120&lt;=$C$4),0,IF(AND(C$7="N",C$4&gt;0,B120&lt;=C$4),0,S120*(C120-J120)))</f>
        <v>#DIV/0!</v>
      </c>
      <c r="L120" s="49" t="e">
        <f>IF(AND(C$7="Y",$B120&lt;=$C$4),0,IF(AND(C$7="N",C$4&gt;0,B120&lt;=C$4),0,U120*D119))</f>
        <v>#DIV/0!</v>
      </c>
      <c r="M120" s="49">
        <f t="shared" si="30"/>
        <v>0</v>
      </c>
      <c r="N120" s="49">
        <f t="shared" si="29"/>
        <v>0</v>
      </c>
      <c r="O120" s="48" t="e">
        <f>K120+I120+J120-L120+N120+G120</f>
        <v>#DIV/0!</v>
      </c>
      <c r="P120" s="38" t="e">
        <f>O120*(1/((1+P$12)^(B120/12)))</f>
        <v>#DIV/0!</v>
      </c>
      <c r="Q120" s="53"/>
      <c r="R120" s="53">
        <f t="shared" si="24"/>
        <v>0.12</v>
      </c>
      <c r="S120" s="53">
        <f t="shared" si="25"/>
        <v>1.0596241035318976E-2</v>
      </c>
      <c r="T120" s="53">
        <f t="shared" si="26"/>
        <v>0</v>
      </c>
      <c r="U120" s="53">
        <f t="shared" si="27"/>
        <v>0</v>
      </c>
    </row>
    <row r="121" spans="1:21" x14ac:dyDescent="0.2">
      <c r="A121" s="62" t="e">
        <f t="shared" si="20"/>
        <v>#DIV/0!</v>
      </c>
      <c r="B121" s="45">
        <f t="shared" si="21"/>
        <v>107</v>
      </c>
      <c r="C121" s="51" t="e">
        <f>IF(B121&lt;C$4,C$1,D120-L121+N121)</f>
        <v>#DIV/0!</v>
      </c>
      <c r="D121" s="47" t="e" cm="1">
        <f t="array" ref="D121">_xlfn.IFS(AND($C$7="Y",B121&lt;C$4),C121,AND($C$7="Y",B121=C$4),D120+F121-J121-K121-L121+N121,AND($C$7="Y",B121&gt;$C$4),D120-J121-K121-L121+N121, TRUE, D120-J121-K121-L121+N121)</f>
        <v>#DIV/0!</v>
      </c>
      <c r="E121" s="48">
        <f t="shared" si="22"/>
        <v>0</v>
      </c>
      <c r="F121" s="50">
        <f t="shared" si="23"/>
        <v>0</v>
      </c>
      <c r="G121" s="50">
        <f t="shared" si="28"/>
        <v>0</v>
      </c>
      <c r="H121" s="51" t="e">
        <f>IF(AND($B121&lt;=$C$4,C$7="Y"),0,IF(AND(C$7="N",C$4&gt;0,B121&lt;=C$4),0,(D120-L121+N121)*C$2/12/(1-(1/(1+C$2/12))^(C$3+C$4-B121+1))))</f>
        <v>#DIV/0!</v>
      </c>
      <c r="I121" s="52" t="e">
        <f>IF(AND(C$7="Y",$B121&lt;=C$4),0,IF(AND(C$7="Y",$B121&gt;C$4),(1-U121)*C$2*D120/12,IF(AND($C$7="N",C$4&gt;0),(1-U121)*D120*C$2/12, (1-U121)*D120*C$2/12)))</f>
        <v>#DIV/0!</v>
      </c>
      <c r="J121" s="52" t="e">
        <f>IF(AND($B121&lt;=$C$4,C$7="Y"),0,IF(AND(C$7="N",C$4&gt;0,B121&lt;=C$4),0,H121-I121))</f>
        <v>#DIV/0!</v>
      </c>
      <c r="K121" s="51" t="e">
        <f>IF(AND(C$7="Y",$B121&lt;=$C$4),0,IF(AND(C$7="N",C$4&gt;0,B121&lt;=C$4),0,S121*(C121-J121)))</f>
        <v>#DIV/0!</v>
      </c>
      <c r="L121" s="49" t="e">
        <f>IF(AND(C$7="Y",$B121&lt;=$C$4),0,IF(AND(C$7="N",C$4&gt;0,B121&lt;=C$4),0,U121*D120))</f>
        <v>#DIV/0!</v>
      </c>
      <c r="M121" s="49">
        <f t="shared" si="30"/>
        <v>0</v>
      </c>
      <c r="N121" s="49">
        <f t="shared" si="29"/>
        <v>0</v>
      </c>
      <c r="O121" s="48" t="e">
        <f>K121+I121+J121-L121+N121+G121</f>
        <v>#DIV/0!</v>
      </c>
      <c r="P121" s="38" t="e">
        <f>O121*(1/((1+P$12)^(B121/12)))</f>
        <v>#DIV/0!</v>
      </c>
      <c r="Q121" s="53"/>
      <c r="R121" s="53">
        <f t="shared" si="24"/>
        <v>0.12</v>
      </c>
      <c r="S121" s="53">
        <f t="shared" si="25"/>
        <v>1.0596241035318976E-2</v>
      </c>
      <c r="T121" s="53">
        <f t="shared" si="26"/>
        <v>0</v>
      </c>
      <c r="U121" s="53">
        <f t="shared" si="27"/>
        <v>0</v>
      </c>
    </row>
    <row r="122" spans="1:21" x14ac:dyDescent="0.2">
      <c r="A122" s="62" t="e">
        <f t="shared" si="20"/>
        <v>#DIV/0!</v>
      </c>
      <c r="B122" s="45">
        <f t="shared" si="21"/>
        <v>108</v>
      </c>
      <c r="C122" s="51" t="e">
        <f>IF(B122&lt;C$4,C$1,D121-L122+N122)</f>
        <v>#DIV/0!</v>
      </c>
      <c r="D122" s="47" t="e" cm="1">
        <f t="array" ref="D122">_xlfn.IFS(AND($C$7="Y",B122&lt;C$4),C122,AND($C$7="Y",B122=C$4),D121+F122-J122-K122-L122+N122,AND($C$7="Y",B122&gt;$C$4),D121-J122-K122-L122+N122, TRUE, D121-J122-K122-L122+N122)</f>
        <v>#DIV/0!</v>
      </c>
      <c r="E122" s="48">
        <f t="shared" si="22"/>
        <v>0</v>
      </c>
      <c r="F122" s="50">
        <f t="shared" si="23"/>
        <v>0</v>
      </c>
      <c r="G122" s="50">
        <f t="shared" si="28"/>
        <v>0</v>
      </c>
      <c r="H122" s="51" t="e">
        <f>IF(AND($B122&lt;=$C$4,C$7="Y"),0,IF(AND(C$7="N",C$4&gt;0,B122&lt;=C$4),0,(D121-L122+N122)*C$2/12/(1-(1/(1+C$2/12))^(C$3+C$4-B122+1))))</f>
        <v>#DIV/0!</v>
      </c>
      <c r="I122" s="52" t="e">
        <f>IF(AND(C$7="Y",$B122&lt;=C$4),0,IF(AND(C$7="Y",$B122&gt;C$4),(1-U122)*C$2*D121/12,IF(AND($C$7="N",C$4&gt;0),(1-U122)*D121*C$2/12, (1-U122)*D121*C$2/12)))</f>
        <v>#DIV/0!</v>
      </c>
      <c r="J122" s="52" t="e">
        <f>IF(AND($B122&lt;=$C$4,C$7="Y"),0,IF(AND(C$7="N",C$4&gt;0,B122&lt;=C$4),0,H122-I122))</f>
        <v>#DIV/0!</v>
      </c>
      <c r="K122" s="51" t="e">
        <f>IF(AND(C$7="Y",$B122&lt;=$C$4),0,IF(AND(C$7="N",C$4&gt;0,B122&lt;=C$4),0,S122*(C122-J122)))</f>
        <v>#DIV/0!</v>
      </c>
      <c r="L122" s="49" t="e">
        <f>IF(AND(C$7="Y",$B122&lt;=$C$4),0,IF(AND(C$7="N",C$4&gt;0,B122&lt;=C$4),0,U122*D121))</f>
        <v>#DIV/0!</v>
      </c>
      <c r="M122" s="49">
        <f t="shared" si="30"/>
        <v>0</v>
      </c>
      <c r="N122" s="49">
        <f t="shared" si="29"/>
        <v>0</v>
      </c>
      <c r="O122" s="48" t="e">
        <f>K122+I122+J122-L122+N122+G122</f>
        <v>#DIV/0!</v>
      </c>
      <c r="P122" s="38" t="e">
        <f>O122*(1/((1+P$12)^(B122/12)))</f>
        <v>#DIV/0!</v>
      </c>
      <c r="Q122" s="53"/>
      <c r="R122" s="53">
        <f t="shared" si="24"/>
        <v>0.12</v>
      </c>
      <c r="S122" s="53">
        <f t="shared" si="25"/>
        <v>1.0596241035318976E-2</v>
      </c>
      <c r="T122" s="53">
        <f t="shared" si="26"/>
        <v>0</v>
      </c>
      <c r="U122" s="53">
        <f t="shared" si="27"/>
        <v>0</v>
      </c>
    </row>
    <row r="123" spans="1:21" x14ac:dyDescent="0.2">
      <c r="A123" s="62" t="e">
        <f t="shared" si="20"/>
        <v>#DIV/0!</v>
      </c>
      <c r="B123" s="45">
        <f t="shared" si="21"/>
        <v>109</v>
      </c>
      <c r="C123" s="51" t="e">
        <f>IF(B123&lt;C$4,C$1,D122-L123+N123)</f>
        <v>#DIV/0!</v>
      </c>
      <c r="D123" s="47" t="e" cm="1">
        <f t="array" ref="D123">_xlfn.IFS(AND($C$7="Y",B123&lt;C$4),C123,AND($C$7="Y",B123=C$4),D122+F123-J123-K123-L123+N123,AND($C$7="Y",B123&gt;$C$4),D122-J123-K123-L123+N123, TRUE, D122-J123-K123-L123+N123)</f>
        <v>#DIV/0!</v>
      </c>
      <c r="E123" s="48">
        <f t="shared" si="22"/>
        <v>0</v>
      </c>
      <c r="F123" s="50">
        <f t="shared" si="23"/>
        <v>0</v>
      </c>
      <c r="G123" s="50">
        <f t="shared" si="28"/>
        <v>0</v>
      </c>
      <c r="H123" s="51" t="e">
        <f>IF(AND($B123&lt;=$C$4,C$7="Y"),0,IF(AND(C$7="N",C$4&gt;0,B123&lt;=C$4),0,(D122-L123+N123)*C$2/12/(1-(1/(1+C$2/12))^(C$3+C$4-B123+1))))</f>
        <v>#DIV/0!</v>
      </c>
      <c r="I123" s="52" t="e">
        <f>IF(AND(C$7="Y",$B123&lt;=C$4),0,IF(AND(C$7="Y",$B123&gt;C$4),(1-U123)*C$2*D122/12,IF(AND($C$7="N",C$4&gt;0),(1-U123)*D122*C$2/12, (1-U123)*D122*C$2/12)))</f>
        <v>#DIV/0!</v>
      </c>
      <c r="J123" s="52" t="e">
        <f>IF(AND($B123&lt;=$C$4,C$7="Y"),0,IF(AND(C$7="N",C$4&gt;0,B123&lt;=C$4),0,H123-I123))</f>
        <v>#DIV/0!</v>
      </c>
      <c r="K123" s="51" t="e">
        <f>IF(AND(C$7="Y",$B123&lt;=$C$4),0,IF(AND(C$7="N",C$4&gt;0,B123&lt;=C$4),0,S123*(C123-J123)))</f>
        <v>#DIV/0!</v>
      </c>
      <c r="L123" s="49" t="e">
        <f>IF(AND(C$7="Y",$B123&lt;=$C$4),0,IF(AND(C$7="N",C$4&gt;0,B123&lt;=C$4),0,U123*D122))</f>
        <v>#DIV/0!</v>
      </c>
      <c r="M123" s="49">
        <f t="shared" si="30"/>
        <v>0</v>
      </c>
      <c r="N123" s="49">
        <f t="shared" si="29"/>
        <v>0</v>
      </c>
      <c r="O123" s="48" t="e">
        <f>K123+I123+J123-L123+N123+G123</f>
        <v>#DIV/0!</v>
      </c>
      <c r="P123" s="38" t="e">
        <f>O123*(1/((1+P$12)^(B123/12)))</f>
        <v>#DIV/0!</v>
      </c>
      <c r="Q123" s="53"/>
      <c r="R123" s="53">
        <f t="shared" si="24"/>
        <v>0.12</v>
      </c>
      <c r="S123" s="53">
        <f t="shared" si="25"/>
        <v>1.0596241035318976E-2</v>
      </c>
      <c r="T123" s="53">
        <f t="shared" si="26"/>
        <v>0</v>
      </c>
      <c r="U123" s="53">
        <f t="shared" si="27"/>
        <v>0</v>
      </c>
    </row>
    <row r="124" spans="1:21" x14ac:dyDescent="0.2">
      <c r="A124" s="62" t="e">
        <f t="shared" si="20"/>
        <v>#DIV/0!</v>
      </c>
      <c r="B124" s="45">
        <f t="shared" si="21"/>
        <v>110</v>
      </c>
      <c r="C124" s="51" t="e">
        <f>IF(B124&lt;C$4,C$1,D123-L124+N124)</f>
        <v>#DIV/0!</v>
      </c>
      <c r="D124" s="47" t="e" cm="1">
        <f t="array" ref="D124">_xlfn.IFS(AND($C$7="Y",B124&lt;C$4),C124,AND($C$7="Y",B124=C$4),D123+F124-J124-K124-L124+N124,AND($C$7="Y",B124&gt;$C$4),D123-J124-K124-L124+N124, TRUE, D123-J124-K124-L124+N124)</f>
        <v>#DIV/0!</v>
      </c>
      <c r="E124" s="48">
        <f t="shared" si="22"/>
        <v>0</v>
      </c>
      <c r="F124" s="50">
        <f t="shared" si="23"/>
        <v>0</v>
      </c>
      <c r="G124" s="50">
        <f t="shared" si="28"/>
        <v>0</v>
      </c>
      <c r="H124" s="51" t="e">
        <f>IF(AND($B124&lt;=$C$4,C$7="Y"),0,IF(AND(C$7="N",C$4&gt;0,B124&lt;=C$4),0,(D123-L124+N124)*C$2/12/(1-(1/(1+C$2/12))^(C$3+C$4-B124+1))))</f>
        <v>#DIV/0!</v>
      </c>
      <c r="I124" s="52" t="e">
        <f>IF(AND(C$7="Y",$B124&lt;=C$4),0,IF(AND(C$7="Y",$B124&gt;C$4),(1-U124)*C$2*D123/12,IF(AND($C$7="N",C$4&gt;0),(1-U124)*D123*C$2/12, (1-U124)*D123*C$2/12)))</f>
        <v>#DIV/0!</v>
      </c>
      <c r="J124" s="52" t="e">
        <f>IF(AND($B124&lt;=$C$4,C$7="Y"),0,IF(AND(C$7="N",C$4&gt;0,B124&lt;=C$4),0,H124-I124))</f>
        <v>#DIV/0!</v>
      </c>
      <c r="K124" s="51" t="e">
        <f>IF(AND(C$7="Y",$B124&lt;=$C$4),0,IF(AND(C$7="N",C$4&gt;0,B124&lt;=C$4),0,S124*(C124-J124)))</f>
        <v>#DIV/0!</v>
      </c>
      <c r="L124" s="49" t="e">
        <f>IF(AND(C$7="Y",$B124&lt;=$C$4),0,IF(AND(C$7="N",C$4&gt;0,B124&lt;=C$4),0,U124*D123))</f>
        <v>#DIV/0!</v>
      </c>
      <c r="M124" s="49">
        <f t="shared" si="30"/>
        <v>0</v>
      </c>
      <c r="N124" s="49">
        <f t="shared" si="29"/>
        <v>0</v>
      </c>
      <c r="O124" s="48" t="e">
        <f>K124+I124+J124-L124+N124+G124</f>
        <v>#DIV/0!</v>
      </c>
      <c r="P124" s="38" t="e">
        <f>O124*(1/((1+P$12)^(B124/12)))</f>
        <v>#DIV/0!</v>
      </c>
      <c r="Q124" s="53"/>
      <c r="R124" s="53">
        <f t="shared" si="24"/>
        <v>0.12</v>
      </c>
      <c r="S124" s="53">
        <f t="shared" si="25"/>
        <v>1.0596241035318976E-2</v>
      </c>
      <c r="T124" s="53">
        <f t="shared" si="26"/>
        <v>0</v>
      </c>
      <c r="U124" s="53">
        <f t="shared" si="27"/>
        <v>0</v>
      </c>
    </row>
    <row r="125" spans="1:21" x14ac:dyDescent="0.2">
      <c r="A125" s="62" t="e">
        <f t="shared" si="20"/>
        <v>#DIV/0!</v>
      </c>
      <c r="B125" s="45">
        <f t="shared" si="21"/>
        <v>111</v>
      </c>
      <c r="C125" s="51" t="e">
        <f>IF(B125&lt;C$4,C$1,D124-L125+N125)</f>
        <v>#DIV/0!</v>
      </c>
      <c r="D125" s="47" t="e" cm="1">
        <f t="array" ref="D125">_xlfn.IFS(AND($C$7="Y",B125&lt;C$4),C125,AND($C$7="Y",B125=C$4),D124+F125-J125-K125-L125+N125,AND($C$7="Y",B125&gt;$C$4),D124-J125-K125-L125+N125, TRUE, D124-J125-K125-L125+N125)</f>
        <v>#DIV/0!</v>
      </c>
      <c r="E125" s="48">
        <f t="shared" si="22"/>
        <v>0</v>
      </c>
      <c r="F125" s="50">
        <f t="shared" si="23"/>
        <v>0</v>
      </c>
      <c r="G125" s="50">
        <f t="shared" si="28"/>
        <v>0</v>
      </c>
      <c r="H125" s="51" t="e">
        <f>IF(AND($B125&lt;=$C$4,C$7="Y"),0,IF(AND(C$7="N",C$4&gt;0,B125&lt;=C$4),0,(D124-L125+N125)*C$2/12/(1-(1/(1+C$2/12))^(C$3+C$4-B125+1))))</f>
        <v>#DIV/0!</v>
      </c>
      <c r="I125" s="52" t="e">
        <f>IF(AND(C$7="Y",$B125&lt;=C$4),0,IF(AND(C$7="Y",$B125&gt;C$4),(1-U125)*C$2*D124/12,IF(AND($C$7="N",C$4&gt;0),(1-U125)*D124*C$2/12, (1-U125)*D124*C$2/12)))</f>
        <v>#DIV/0!</v>
      </c>
      <c r="J125" s="52" t="e">
        <f>IF(AND($B125&lt;=$C$4,C$7="Y"),0,IF(AND(C$7="N",C$4&gt;0,B125&lt;=C$4),0,H125-I125))</f>
        <v>#DIV/0!</v>
      </c>
      <c r="K125" s="51" t="e">
        <f>IF(AND(C$7="Y",$B125&lt;=$C$4),0,IF(AND(C$7="N",C$4&gt;0,B125&lt;=C$4),0,S125*(C125-J125)))</f>
        <v>#DIV/0!</v>
      </c>
      <c r="L125" s="49" t="e">
        <f>IF(AND(C$7="Y",$B125&lt;=$C$4),0,IF(AND(C$7="N",C$4&gt;0,B125&lt;=C$4),0,U125*D124))</f>
        <v>#DIV/0!</v>
      </c>
      <c r="M125" s="49">
        <f t="shared" si="30"/>
        <v>0</v>
      </c>
      <c r="N125" s="49">
        <f t="shared" si="29"/>
        <v>0</v>
      </c>
      <c r="O125" s="48" t="e">
        <f>K125+I125+J125-L125+N125+G125</f>
        <v>#DIV/0!</v>
      </c>
      <c r="P125" s="38" t="e">
        <f>O125*(1/((1+P$12)^(B125/12)))</f>
        <v>#DIV/0!</v>
      </c>
      <c r="Q125" s="53"/>
      <c r="R125" s="53">
        <f t="shared" si="24"/>
        <v>0.12</v>
      </c>
      <c r="S125" s="53">
        <f t="shared" si="25"/>
        <v>1.0596241035318976E-2</v>
      </c>
      <c r="T125" s="53">
        <f t="shared" si="26"/>
        <v>0</v>
      </c>
      <c r="U125" s="53">
        <f t="shared" si="27"/>
        <v>0</v>
      </c>
    </row>
    <row r="126" spans="1:21" x14ac:dyDescent="0.2">
      <c r="A126" s="62" t="e">
        <f t="shared" si="20"/>
        <v>#DIV/0!</v>
      </c>
      <c r="B126" s="45">
        <f t="shared" si="21"/>
        <v>112</v>
      </c>
      <c r="C126" s="51" t="e">
        <f>IF(B126&lt;C$4,C$1,D125-L126+N126)</f>
        <v>#DIV/0!</v>
      </c>
      <c r="D126" s="47" t="e" cm="1">
        <f t="array" ref="D126">_xlfn.IFS(AND($C$7="Y",B126&lt;C$4),C126,AND($C$7="Y",B126=C$4),D125+F126-J126-K126-L126+N126,AND($C$7="Y",B126&gt;$C$4),D125-J126-K126-L126+N126, TRUE, D125-J126-K126-L126+N126)</f>
        <v>#DIV/0!</v>
      </c>
      <c r="E126" s="48">
        <f t="shared" si="22"/>
        <v>0</v>
      </c>
      <c r="F126" s="50">
        <f t="shared" si="23"/>
        <v>0</v>
      </c>
      <c r="G126" s="50">
        <f t="shared" si="28"/>
        <v>0</v>
      </c>
      <c r="H126" s="51" t="e">
        <f>IF(AND($B126&lt;=$C$4,C$7="Y"),0,IF(AND(C$7="N",C$4&gt;0,B126&lt;=C$4),0,(D125-L126+N126)*C$2/12/(1-(1/(1+C$2/12))^(C$3+C$4-B126+1))))</f>
        <v>#DIV/0!</v>
      </c>
      <c r="I126" s="52" t="e">
        <f>IF(AND(C$7="Y",$B126&lt;=C$4),0,IF(AND(C$7="Y",$B126&gt;C$4),(1-U126)*C$2*D125/12,IF(AND($C$7="N",C$4&gt;0),(1-U126)*D125*C$2/12, (1-U126)*D125*C$2/12)))</f>
        <v>#DIV/0!</v>
      </c>
      <c r="J126" s="52" t="e">
        <f>IF(AND($B126&lt;=$C$4,C$7="Y"),0,IF(AND(C$7="N",C$4&gt;0,B126&lt;=C$4),0,H126-I126))</f>
        <v>#DIV/0!</v>
      </c>
      <c r="K126" s="51" t="e">
        <f>IF(AND(C$7="Y",$B126&lt;=$C$4),0,IF(AND(C$7="N",C$4&gt;0,B126&lt;=C$4),0,S126*(C126-J126)))</f>
        <v>#DIV/0!</v>
      </c>
      <c r="L126" s="49" t="e">
        <f>IF(AND(C$7="Y",$B126&lt;=$C$4),0,IF(AND(C$7="N",C$4&gt;0,B126&lt;=C$4),0,U126*D125))</f>
        <v>#DIV/0!</v>
      </c>
      <c r="M126" s="49">
        <f t="shared" si="30"/>
        <v>0</v>
      </c>
      <c r="N126" s="49">
        <f t="shared" si="29"/>
        <v>0</v>
      </c>
      <c r="O126" s="48" t="e">
        <f>K126+I126+J126-L126+N126+G126</f>
        <v>#DIV/0!</v>
      </c>
      <c r="P126" s="38" t="e">
        <f>O126*(1/((1+P$12)^(B126/12)))</f>
        <v>#DIV/0!</v>
      </c>
      <c r="Q126" s="53"/>
      <c r="R126" s="53">
        <f t="shared" si="24"/>
        <v>0.12</v>
      </c>
      <c r="S126" s="53">
        <f t="shared" si="25"/>
        <v>1.0596241035318976E-2</v>
      </c>
      <c r="T126" s="53">
        <f t="shared" si="26"/>
        <v>0</v>
      </c>
      <c r="U126" s="53">
        <f t="shared" si="27"/>
        <v>0</v>
      </c>
    </row>
    <row r="127" spans="1:21" x14ac:dyDescent="0.2">
      <c r="A127" s="62" t="e">
        <f t="shared" si="20"/>
        <v>#DIV/0!</v>
      </c>
      <c r="B127" s="45">
        <f t="shared" si="21"/>
        <v>113</v>
      </c>
      <c r="C127" s="51" t="e">
        <f>IF(B127&lt;C$4,C$1,D126-L127+N127)</f>
        <v>#DIV/0!</v>
      </c>
      <c r="D127" s="47" t="e" cm="1">
        <f t="array" ref="D127">_xlfn.IFS(AND($C$7="Y",B127&lt;C$4),C127,AND($C$7="Y",B127=C$4),D126+F127-J127-K127-L127+N127,AND($C$7="Y",B127&gt;$C$4),D126-J127-K127-L127+N127, TRUE, D126-J127-K127-L127+N127)</f>
        <v>#DIV/0!</v>
      </c>
      <c r="E127" s="48">
        <f t="shared" si="22"/>
        <v>0</v>
      </c>
      <c r="F127" s="50">
        <f t="shared" si="23"/>
        <v>0</v>
      </c>
      <c r="G127" s="50">
        <f t="shared" si="28"/>
        <v>0</v>
      </c>
      <c r="H127" s="51" t="e">
        <f>IF(AND($B127&lt;=$C$4,C$7="Y"),0,IF(AND(C$7="N",C$4&gt;0,B127&lt;=C$4),0,(D126-L127+N127)*C$2/12/(1-(1/(1+C$2/12))^(C$3+C$4-B127+1))))</f>
        <v>#DIV/0!</v>
      </c>
      <c r="I127" s="52" t="e">
        <f>IF(AND(C$7="Y",$B127&lt;=C$4),0,IF(AND(C$7="Y",$B127&gt;C$4),(1-U127)*C$2*D126/12,IF(AND($C$7="N",C$4&gt;0),(1-U127)*D126*C$2/12, (1-U127)*D126*C$2/12)))</f>
        <v>#DIV/0!</v>
      </c>
      <c r="J127" s="52" t="e">
        <f>IF(AND($B127&lt;=$C$4,C$7="Y"),0,IF(AND(C$7="N",C$4&gt;0,B127&lt;=C$4),0,H127-I127))</f>
        <v>#DIV/0!</v>
      </c>
      <c r="K127" s="51" t="e">
        <f>IF(AND(C$7="Y",$B127&lt;=$C$4),0,IF(AND(C$7="N",C$4&gt;0,B127&lt;=C$4),0,S127*(C127-J127)))</f>
        <v>#DIV/0!</v>
      </c>
      <c r="L127" s="49" t="e">
        <f>IF(AND(C$7="Y",$B127&lt;=$C$4),0,IF(AND(C$7="N",C$4&gt;0,B127&lt;=C$4),0,U127*D126))</f>
        <v>#DIV/0!</v>
      </c>
      <c r="M127" s="49">
        <f t="shared" si="30"/>
        <v>0</v>
      </c>
      <c r="N127" s="49">
        <f t="shared" si="29"/>
        <v>0</v>
      </c>
      <c r="O127" s="48" t="e">
        <f>K127+I127+J127-L127+N127+G127</f>
        <v>#DIV/0!</v>
      </c>
      <c r="P127" s="38" t="e">
        <f>O127*(1/((1+P$12)^(B127/12)))</f>
        <v>#DIV/0!</v>
      </c>
      <c r="Q127" s="53"/>
      <c r="R127" s="53">
        <f t="shared" si="24"/>
        <v>0.12</v>
      </c>
      <c r="S127" s="53">
        <f t="shared" si="25"/>
        <v>1.0596241035318976E-2</v>
      </c>
      <c r="T127" s="53">
        <f t="shared" si="26"/>
        <v>0</v>
      </c>
      <c r="U127" s="53">
        <f t="shared" si="27"/>
        <v>0</v>
      </c>
    </row>
    <row r="128" spans="1:21" x14ac:dyDescent="0.2">
      <c r="A128" s="62" t="e">
        <f t="shared" si="20"/>
        <v>#DIV/0!</v>
      </c>
      <c r="B128" s="45">
        <f t="shared" si="21"/>
        <v>114</v>
      </c>
      <c r="C128" s="51" t="e">
        <f>IF(B128&lt;C$4,C$1,D127-L128+N128)</f>
        <v>#DIV/0!</v>
      </c>
      <c r="D128" s="47" t="e" cm="1">
        <f t="array" ref="D128">_xlfn.IFS(AND($C$7="Y",B128&lt;C$4),C128,AND($C$7="Y",B128=C$4),D127+F128-J128-K128-L128+N128,AND($C$7="Y",B128&gt;$C$4),D127-J128-K128-L128+N128, TRUE, D127-J128-K128-L128+N128)</f>
        <v>#DIV/0!</v>
      </c>
      <c r="E128" s="48">
        <f t="shared" si="22"/>
        <v>0</v>
      </c>
      <c r="F128" s="50">
        <f t="shared" si="23"/>
        <v>0</v>
      </c>
      <c r="G128" s="50">
        <f t="shared" si="28"/>
        <v>0</v>
      </c>
      <c r="H128" s="51" t="e">
        <f>IF(AND($B128&lt;=$C$4,C$7="Y"),0,IF(AND(C$7="N",C$4&gt;0,B128&lt;=C$4),0,(D127-L128+N128)*C$2/12/(1-(1/(1+C$2/12))^(C$3+C$4-B128+1))))</f>
        <v>#DIV/0!</v>
      </c>
      <c r="I128" s="52" t="e">
        <f>IF(AND(C$7="Y",$B128&lt;=C$4),0,IF(AND(C$7="Y",$B128&gt;C$4),(1-U128)*C$2*D127/12,IF(AND($C$7="N",C$4&gt;0),(1-U128)*D127*C$2/12, (1-U128)*D127*C$2/12)))</f>
        <v>#DIV/0!</v>
      </c>
      <c r="J128" s="52" t="e">
        <f>IF(AND($B128&lt;=$C$4,C$7="Y"),0,IF(AND(C$7="N",C$4&gt;0,B128&lt;=C$4),0,H128-I128))</f>
        <v>#DIV/0!</v>
      </c>
      <c r="K128" s="51" t="e">
        <f>IF(AND(C$7="Y",$B128&lt;=$C$4),0,IF(AND(C$7="N",C$4&gt;0,B128&lt;=C$4),0,S128*(C128-J128)))</f>
        <v>#DIV/0!</v>
      </c>
      <c r="L128" s="49" t="e">
        <f>IF(AND(C$7="Y",$B128&lt;=$C$4),0,IF(AND(C$7="N",C$4&gt;0,B128&lt;=C$4),0,U128*D127))</f>
        <v>#DIV/0!</v>
      </c>
      <c r="M128" s="49">
        <f t="shared" si="30"/>
        <v>0</v>
      </c>
      <c r="N128" s="49">
        <f t="shared" si="29"/>
        <v>0</v>
      </c>
      <c r="O128" s="48" t="e">
        <f>K128+I128+J128-L128+N128+G128</f>
        <v>#DIV/0!</v>
      </c>
      <c r="P128" s="38" t="e">
        <f>O128*(1/((1+P$12)^(B128/12)))</f>
        <v>#DIV/0!</v>
      </c>
      <c r="Q128" s="53"/>
      <c r="R128" s="53">
        <f t="shared" si="24"/>
        <v>0.12</v>
      </c>
      <c r="S128" s="53">
        <f t="shared" si="25"/>
        <v>1.0596241035318976E-2</v>
      </c>
      <c r="T128" s="53">
        <f t="shared" si="26"/>
        <v>0</v>
      </c>
      <c r="U128" s="53">
        <f t="shared" si="27"/>
        <v>0</v>
      </c>
    </row>
    <row r="129" spans="1:21" x14ac:dyDescent="0.2">
      <c r="A129" s="62" t="e">
        <f t="shared" si="20"/>
        <v>#DIV/0!</v>
      </c>
      <c r="B129" s="45">
        <f t="shared" si="21"/>
        <v>115</v>
      </c>
      <c r="C129" s="51" t="e">
        <f>IF(B129&lt;C$4,C$1,D128-L129+N129)</f>
        <v>#DIV/0!</v>
      </c>
      <c r="D129" s="47" t="e" cm="1">
        <f t="array" ref="D129">_xlfn.IFS(AND($C$7="Y",B129&lt;C$4),C129,AND($C$7="Y",B129=C$4),D128+F129-J129-K129-L129+N129,AND($C$7="Y",B129&gt;$C$4),D128-J129-K129-L129+N129, TRUE, D128-J129-K129-L129+N129)</f>
        <v>#DIV/0!</v>
      </c>
      <c r="E129" s="48">
        <f t="shared" si="22"/>
        <v>0</v>
      </c>
      <c r="F129" s="50">
        <f t="shared" si="23"/>
        <v>0</v>
      </c>
      <c r="G129" s="50">
        <f t="shared" si="28"/>
        <v>0</v>
      </c>
      <c r="H129" s="51" t="e">
        <f>IF(AND($B129&lt;=$C$4,C$7="Y"),0,IF(AND(C$7="N",C$4&gt;0,B129&lt;=C$4),0,(D128-L129+N129)*C$2/12/(1-(1/(1+C$2/12))^(C$3+C$4-B129+1))))</f>
        <v>#DIV/0!</v>
      </c>
      <c r="I129" s="52" t="e">
        <f>IF(AND(C$7="Y",$B129&lt;=C$4),0,IF(AND(C$7="Y",$B129&gt;C$4),(1-U129)*C$2*D128/12,IF(AND($C$7="N",C$4&gt;0),(1-U129)*D128*C$2/12, (1-U129)*D128*C$2/12)))</f>
        <v>#DIV/0!</v>
      </c>
      <c r="J129" s="52" t="e">
        <f>IF(AND($B129&lt;=$C$4,C$7="Y"),0,IF(AND(C$7="N",C$4&gt;0,B129&lt;=C$4),0,H129-I129))</f>
        <v>#DIV/0!</v>
      </c>
      <c r="K129" s="51" t="e">
        <f>IF(AND(C$7="Y",$B129&lt;=$C$4),0,IF(AND(C$7="N",C$4&gt;0,B129&lt;=C$4),0,S129*(C129-J129)))</f>
        <v>#DIV/0!</v>
      </c>
      <c r="L129" s="49" t="e">
        <f>IF(AND(C$7="Y",$B129&lt;=$C$4),0,IF(AND(C$7="N",C$4&gt;0,B129&lt;=C$4),0,U129*D128))</f>
        <v>#DIV/0!</v>
      </c>
      <c r="M129" s="49">
        <f t="shared" si="30"/>
        <v>0</v>
      </c>
      <c r="N129" s="49">
        <f t="shared" si="29"/>
        <v>0</v>
      </c>
      <c r="O129" s="48" t="e">
        <f>K129+I129+J129-L129+N129+G129</f>
        <v>#DIV/0!</v>
      </c>
      <c r="P129" s="38" t="e">
        <f>O129*(1/((1+P$12)^(B129/12)))</f>
        <v>#DIV/0!</v>
      </c>
      <c r="Q129" s="53"/>
      <c r="R129" s="53">
        <f t="shared" si="24"/>
        <v>0.12</v>
      </c>
      <c r="S129" s="53">
        <f t="shared" si="25"/>
        <v>1.0596241035318976E-2</v>
      </c>
      <c r="T129" s="53">
        <f t="shared" si="26"/>
        <v>0</v>
      </c>
      <c r="U129" s="53">
        <f t="shared" si="27"/>
        <v>0</v>
      </c>
    </row>
    <row r="130" spans="1:21" x14ac:dyDescent="0.2">
      <c r="A130" s="62" t="e">
        <f t="shared" si="20"/>
        <v>#DIV/0!</v>
      </c>
      <c r="B130" s="45">
        <f t="shared" si="21"/>
        <v>116</v>
      </c>
      <c r="C130" s="51" t="e">
        <f>IF(B130&lt;C$4,C$1,D129-L130+N130)</f>
        <v>#DIV/0!</v>
      </c>
      <c r="D130" s="47" t="e" cm="1">
        <f t="array" ref="D130">_xlfn.IFS(AND($C$7="Y",B130&lt;C$4),C130,AND($C$7="Y",B130=C$4),D129+F130-J130-K130-L130+N130,AND($C$7="Y",B130&gt;$C$4),D129-J130-K130-L130+N130, TRUE, D129-J130-K130-L130+N130)</f>
        <v>#DIV/0!</v>
      </c>
      <c r="E130" s="48">
        <f t="shared" si="22"/>
        <v>0</v>
      </c>
      <c r="F130" s="50">
        <f t="shared" si="23"/>
        <v>0</v>
      </c>
      <c r="G130" s="50">
        <f t="shared" si="28"/>
        <v>0</v>
      </c>
      <c r="H130" s="51" t="e">
        <f>IF(AND($B130&lt;=$C$4,C$7="Y"),0,IF(AND(C$7="N",C$4&gt;0,B130&lt;=C$4),0,(D129-L130+N130)*C$2/12/(1-(1/(1+C$2/12))^(C$3+C$4-B130+1))))</f>
        <v>#DIV/0!</v>
      </c>
      <c r="I130" s="52" t="e">
        <f>IF(AND(C$7="Y",$B130&lt;=C$4),0,IF(AND(C$7="Y",$B130&gt;C$4),(1-U130)*C$2*D129/12,IF(AND($C$7="N",C$4&gt;0),(1-U130)*D129*C$2/12, (1-U130)*D129*C$2/12)))</f>
        <v>#DIV/0!</v>
      </c>
      <c r="J130" s="52" t="e">
        <f>IF(AND($B130&lt;=$C$4,C$7="Y"),0,IF(AND(C$7="N",C$4&gt;0,B130&lt;=C$4),0,H130-I130))</f>
        <v>#DIV/0!</v>
      </c>
      <c r="K130" s="51" t="e">
        <f>IF(AND(C$7="Y",$B130&lt;=$C$4),0,IF(AND(C$7="N",C$4&gt;0,B130&lt;=C$4),0,S130*(C130-J130)))</f>
        <v>#DIV/0!</v>
      </c>
      <c r="L130" s="49" t="e">
        <f>IF(AND(C$7="Y",$B130&lt;=$C$4),0,IF(AND(C$7="N",C$4&gt;0,B130&lt;=C$4),0,U130*D129))</f>
        <v>#DIV/0!</v>
      </c>
      <c r="M130" s="49">
        <f t="shared" si="30"/>
        <v>0</v>
      </c>
      <c r="N130" s="49">
        <f t="shared" si="29"/>
        <v>0</v>
      </c>
      <c r="O130" s="48" t="e">
        <f>K130+I130+J130-L130+N130+G130</f>
        <v>#DIV/0!</v>
      </c>
      <c r="P130" s="38" t="e">
        <f>O130*(1/((1+P$12)^(B130/12)))</f>
        <v>#DIV/0!</v>
      </c>
      <c r="Q130" s="53"/>
      <c r="R130" s="53">
        <f t="shared" si="24"/>
        <v>0.12</v>
      </c>
      <c r="S130" s="53">
        <f t="shared" si="25"/>
        <v>1.0596241035318976E-2</v>
      </c>
      <c r="T130" s="53">
        <f t="shared" si="26"/>
        <v>0</v>
      </c>
      <c r="U130" s="53">
        <f t="shared" si="27"/>
        <v>0</v>
      </c>
    </row>
    <row r="131" spans="1:21" x14ac:dyDescent="0.2">
      <c r="A131" s="62" t="e">
        <f t="shared" si="20"/>
        <v>#DIV/0!</v>
      </c>
      <c r="B131" s="45">
        <f t="shared" si="21"/>
        <v>117</v>
      </c>
      <c r="C131" s="51" t="e">
        <f>IF(B131&lt;C$4,C$1,D130-L131+N131)</f>
        <v>#DIV/0!</v>
      </c>
      <c r="D131" s="47" t="e" cm="1">
        <f t="array" ref="D131">_xlfn.IFS(AND($C$7="Y",B131&lt;C$4),C131,AND($C$7="Y",B131=C$4),D130+F131-J131-K131-L131+N131,AND($C$7="Y",B131&gt;$C$4),D130-J131-K131-L131+N131, TRUE, D130-J131-K131-L131+N131)</f>
        <v>#DIV/0!</v>
      </c>
      <c r="E131" s="48">
        <f t="shared" si="22"/>
        <v>0</v>
      </c>
      <c r="F131" s="50">
        <f t="shared" si="23"/>
        <v>0</v>
      </c>
      <c r="G131" s="50">
        <f t="shared" si="28"/>
        <v>0</v>
      </c>
      <c r="H131" s="51" t="e">
        <f>IF(AND($B131&lt;=$C$4,C$7="Y"),0,IF(AND(C$7="N",C$4&gt;0,B131&lt;=C$4),0,(D130-L131+N131)*C$2/12/(1-(1/(1+C$2/12))^(C$3+C$4-B131+1))))</f>
        <v>#DIV/0!</v>
      </c>
      <c r="I131" s="52" t="e">
        <f>IF(AND(C$7="Y",$B131&lt;=C$4),0,IF(AND(C$7="Y",$B131&gt;C$4),(1-U131)*C$2*D130/12,IF(AND($C$7="N",C$4&gt;0),(1-U131)*D130*C$2/12, (1-U131)*D130*C$2/12)))</f>
        <v>#DIV/0!</v>
      </c>
      <c r="J131" s="52" t="e">
        <f>IF(AND($B131&lt;=$C$4,C$7="Y"),0,IF(AND(C$7="N",C$4&gt;0,B131&lt;=C$4),0,H131-I131))</f>
        <v>#DIV/0!</v>
      </c>
      <c r="K131" s="51" t="e">
        <f>IF(AND(C$7="Y",$B131&lt;=$C$4),0,IF(AND(C$7="N",C$4&gt;0,B131&lt;=C$4),0,S131*(C131-J131)))</f>
        <v>#DIV/0!</v>
      </c>
      <c r="L131" s="49" t="e">
        <f>IF(AND(C$7="Y",$B131&lt;=$C$4),0,IF(AND(C$7="N",C$4&gt;0,B131&lt;=C$4),0,U131*D130))</f>
        <v>#DIV/0!</v>
      </c>
      <c r="M131" s="49">
        <f t="shared" si="30"/>
        <v>0</v>
      </c>
      <c r="N131" s="49">
        <f t="shared" si="29"/>
        <v>0</v>
      </c>
      <c r="O131" s="48" t="e">
        <f>K131+I131+J131-L131+N131+G131</f>
        <v>#DIV/0!</v>
      </c>
      <c r="P131" s="38" t="e">
        <f>O131*(1/((1+P$12)^(B131/12)))</f>
        <v>#DIV/0!</v>
      </c>
      <c r="Q131" s="53"/>
      <c r="R131" s="53">
        <f t="shared" si="24"/>
        <v>0.12</v>
      </c>
      <c r="S131" s="53">
        <f t="shared" si="25"/>
        <v>1.0596241035318976E-2</v>
      </c>
      <c r="T131" s="53">
        <f t="shared" si="26"/>
        <v>0</v>
      </c>
      <c r="U131" s="53">
        <f t="shared" si="27"/>
        <v>0</v>
      </c>
    </row>
    <row r="132" spans="1:21" x14ac:dyDescent="0.2">
      <c r="A132" s="62" t="e">
        <f t="shared" si="20"/>
        <v>#DIV/0!</v>
      </c>
      <c r="B132" s="45">
        <f t="shared" si="21"/>
        <v>118</v>
      </c>
      <c r="C132" s="51" t="e">
        <f>IF(B132&lt;C$4,C$1,D131-L132+N132)</f>
        <v>#DIV/0!</v>
      </c>
      <c r="D132" s="47" t="e" cm="1">
        <f t="array" ref="D132">_xlfn.IFS(AND($C$7="Y",B132&lt;C$4),C132,AND($C$7="Y",B132=C$4),D131+F132-J132-K132-L132+N132,AND($C$7="Y",B132&gt;$C$4),D131-J132-K132-L132+N132, TRUE, D131-J132-K132-L132+N132)</f>
        <v>#DIV/0!</v>
      </c>
      <c r="E132" s="48">
        <f t="shared" si="22"/>
        <v>0</v>
      </c>
      <c r="F132" s="50">
        <f t="shared" si="23"/>
        <v>0</v>
      </c>
      <c r="G132" s="50">
        <f t="shared" si="28"/>
        <v>0</v>
      </c>
      <c r="H132" s="51" t="e">
        <f>IF(AND($B132&lt;=$C$4,C$7="Y"),0,IF(AND(C$7="N",C$4&gt;0,B132&lt;=C$4),0,(D131-L132+N132)*C$2/12/(1-(1/(1+C$2/12))^(C$3+C$4-B132+1))))</f>
        <v>#DIV/0!</v>
      </c>
      <c r="I132" s="52" t="e">
        <f>IF(AND(C$7="Y",$B132&lt;=C$4),0,IF(AND(C$7="Y",$B132&gt;C$4),(1-U132)*C$2*D131/12,IF(AND($C$7="N",C$4&gt;0),(1-U132)*D131*C$2/12, (1-U132)*D131*C$2/12)))</f>
        <v>#DIV/0!</v>
      </c>
      <c r="J132" s="52" t="e">
        <f>IF(AND($B132&lt;=$C$4,C$7="Y"),0,IF(AND(C$7="N",C$4&gt;0,B132&lt;=C$4),0,H132-I132))</f>
        <v>#DIV/0!</v>
      </c>
      <c r="K132" s="51" t="e">
        <f>IF(AND(C$7="Y",$B132&lt;=$C$4),0,IF(AND(C$7="N",C$4&gt;0,B132&lt;=C$4),0,S132*(C132-J132)))</f>
        <v>#DIV/0!</v>
      </c>
      <c r="L132" s="49" t="e">
        <f>IF(AND(C$7="Y",$B132&lt;=$C$4),0,IF(AND(C$7="N",C$4&gt;0,B132&lt;=C$4),0,U132*D131))</f>
        <v>#DIV/0!</v>
      </c>
      <c r="M132" s="49">
        <f t="shared" si="30"/>
        <v>0</v>
      </c>
      <c r="N132" s="49">
        <f t="shared" si="29"/>
        <v>0</v>
      </c>
      <c r="O132" s="48" t="e">
        <f>K132+I132+J132-L132+N132+G132</f>
        <v>#DIV/0!</v>
      </c>
      <c r="P132" s="38" t="e">
        <f>O132*(1/((1+P$12)^(B132/12)))</f>
        <v>#DIV/0!</v>
      </c>
      <c r="Q132" s="53"/>
      <c r="R132" s="53">
        <f t="shared" si="24"/>
        <v>0.12</v>
      </c>
      <c r="S132" s="53">
        <f t="shared" si="25"/>
        <v>1.0596241035318976E-2</v>
      </c>
      <c r="T132" s="53">
        <f t="shared" si="26"/>
        <v>0</v>
      </c>
      <c r="U132" s="53">
        <f t="shared" si="27"/>
        <v>0</v>
      </c>
    </row>
    <row r="133" spans="1:21" x14ac:dyDescent="0.2">
      <c r="A133" s="62" t="e">
        <f t="shared" si="20"/>
        <v>#DIV/0!</v>
      </c>
      <c r="B133" s="45">
        <f t="shared" si="21"/>
        <v>119</v>
      </c>
      <c r="C133" s="51" t="e">
        <f>IF(B133&lt;C$4,C$1,D132-L133+N133)</f>
        <v>#DIV/0!</v>
      </c>
      <c r="D133" s="47" t="e" cm="1">
        <f t="array" ref="D133">_xlfn.IFS(AND($C$7="Y",B133&lt;C$4),C133,AND($C$7="Y",B133=C$4),D132+F133-J133-K133-L133+N133,AND($C$7="Y",B133&gt;$C$4),D132-J133-K133-L133+N133, TRUE, D132-J133-K133-L133+N133)</f>
        <v>#DIV/0!</v>
      </c>
      <c r="E133" s="48">
        <f t="shared" si="22"/>
        <v>0</v>
      </c>
      <c r="F133" s="50">
        <f t="shared" si="23"/>
        <v>0</v>
      </c>
      <c r="G133" s="50">
        <f t="shared" si="28"/>
        <v>0</v>
      </c>
      <c r="H133" s="51" t="e">
        <f>IF(AND($B133&lt;=$C$4,C$7="Y"),0,IF(AND(C$7="N",C$4&gt;0,B133&lt;=C$4),0,(D132-L133+N133)*C$2/12/(1-(1/(1+C$2/12))^(C$3+C$4-B133+1))))</f>
        <v>#DIV/0!</v>
      </c>
      <c r="I133" s="52" t="e">
        <f>IF(AND(C$7="Y",$B133&lt;=C$4),0,IF(AND(C$7="Y",$B133&gt;C$4),(1-U133)*C$2*D132/12,IF(AND($C$7="N",C$4&gt;0),(1-U133)*D132*C$2/12, (1-U133)*D132*C$2/12)))</f>
        <v>#DIV/0!</v>
      </c>
      <c r="J133" s="52" t="e">
        <f>IF(AND($B133&lt;=$C$4,C$7="Y"),0,IF(AND(C$7="N",C$4&gt;0,B133&lt;=C$4),0,H133-I133))</f>
        <v>#DIV/0!</v>
      </c>
      <c r="K133" s="51" t="e">
        <f>IF(AND(C$7="Y",$B133&lt;=$C$4),0,IF(AND(C$7="N",C$4&gt;0,B133&lt;=C$4),0,S133*(C133-J133)))</f>
        <v>#DIV/0!</v>
      </c>
      <c r="L133" s="49" t="e">
        <f>IF(AND(C$7="Y",$B133&lt;=$C$4),0,IF(AND(C$7="N",C$4&gt;0,B133&lt;=C$4),0,U133*D132))</f>
        <v>#DIV/0!</v>
      </c>
      <c r="M133" s="49">
        <f t="shared" si="30"/>
        <v>0</v>
      </c>
      <c r="N133" s="49">
        <f t="shared" si="29"/>
        <v>0</v>
      </c>
      <c r="O133" s="48" t="e">
        <f>K133+I133+J133-L133+N133+G133</f>
        <v>#DIV/0!</v>
      </c>
      <c r="P133" s="38" t="e">
        <f>O133*(1/((1+P$12)^(B133/12)))</f>
        <v>#DIV/0!</v>
      </c>
      <c r="Q133" s="53"/>
      <c r="R133" s="53">
        <f t="shared" si="24"/>
        <v>0.12</v>
      </c>
      <c r="S133" s="53">
        <f t="shared" si="25"/>
        <v>1.0596241035318976E-2</v>
      </c>
      <c r="T133" s="53">
        <f t="shared" si="26"/>
        <v>0</v>
      </c>
      <c r="U133" s="53">
        <f t="shared" si="27"/>
        <v>0</v>
      </c>
    </row>
    <row r="134" spans="1:21" x14ac:dyDescent="0.2">
      <c r="A134" s="62" t="e">
        <f t="shared" si="20"/>
        <v>#DIV/0!</v>
      </c>
      <c r="B134" s="45">
        <f t="shared" si="21"/>
        <v>120</v>
      </c>
      <c r="C134" s="51" t="e">
        <f>IF(B134&lt;C$4,C$1,D133-L134+N134)</f>
        <v>#DIV/0!</v>
      </c>
      <c r="D134" s="47" t="e" cm="1">
        <f t="array" ref="D134">_xlfn.IFS(AND($C$7="Y",B134&lt;C$4),C134,AND($C$7="Y",B134=C$4),D133+F134-J134-K134-L134+N134,AND($C$7="Y",B134&gt;$C$4),D133-J134-K134-L134+N134, TRUE, D133-J134-K134-L134+N134)</f>
        <v>#DIV/0!</v>
      </c>
      <c r="E134" s="48">
        <f t="shared" si="22"/>
        <v>0</v>
      </c>
      <c r="F134" s="50">
        <f t="shared" si="23"/>
        <v>0</v>
      </c>
      <c r="G134" s="50">
        <f t="shared" si="28"/>
        <v>0</v>
      </c>
      <c r="H134" s="51" t="e">
        <f>IF(AND($B134&lt;=$C$4,C$7="Y"),0,IF(AND(C$7="N",C$4&gt;0,B134&lt;=C$4),0,(D133-L134+N134)*C$2/12/(1-(1/(1+C$2/12))^(C$3+C$4-B134+1))))</f>
        <v>#DIV/0!</v>
      </c>
      <c r="I134" s="52" t="e">
        <f>IF(AND(C$7="Y",$B134&lt;=C$4),0,IF(AND(C$7="Y",$B134&gt;C$4),(1-U134)*C$2*D133/12,IF(AND($C$7="N",C$4&gt;0),(1-U134)*D133*C$2/12, (1-U134)*D133*C$2/12)))</f>
        <v>#DIV/0!</v>
      </c>
      <c r="J134" s="52" t="e">
        <f>IF(AND($B134&lt;=$C$4,C$7="Y"),0,IF(AND(C$7="N",C$4&gt;0,B134&lt;=C$4),0,H134-I134))</f>
        <v>#DIV/0!</v>
      </c>
      <c r="K134" s="51" t="e">
        <f>IF(AND(C$7="Y",$B134&lt;=$C$4),0,IF(AND(C$7="N",C$4&gt;0,B134&lt;=C$4),0,S134*(C134-J134)))</f>
        <v>#DIV/0!</v>
      </c>
      <c r="L134" s="49" t="e">
        <f>IF(AND(C$7="Y",$B134&lt;=$C$4),0,IF(AND(C$7="N",C$4&gt;0,B134&lt;=C$4),0,U134*D133))</f>
        <v>#DIV/0!</v>
      </c>
      <c r="M134" s="49">
        <f t="shared" si="30"/>
        <v>0</v>
      </c>
      <c r="N134" s="49">
        <f t="shared" si="29"/>
        <v>0</v>
      </c>
      <c r="O134" s="48" t="e">
        <f>K134+I134+J134-L134+N134+G134</f>
        <v>#DIV/0!</v>
      </c>
      <c r="P134" s="38" t="e">
        <f>O134*(1/((1+P$12)^(B134/12)))</f>
        <v>#DIV/0!</v>
      </c>
      <c r="Q134" s="53"/>
      <c r="R134" s="53">
        <f t="shared" si="24"/>
        <v>0.12</v>
      </c>
      <c r="S134" s="53">
        <f t="shared" si="25"/>
        <v>1.0596241035318976E-2</v>
      </c>
      <c r="T134" s="53">
        <f t="shared" si="26"/>
        <v>0</v>
      </c>
      <c r="U134" s="53">
        <f t="shared" si="27"/>
        <v>0</v>
      </c>
    </row>
    <row r="135" spans="1:21" x14ac:dyDescent="0.2">
      <c r="A135" s="62" t="e">
        <f t="shared" si="20"/>
        <v>#DIV/0!</v>
      </c>
      <c r="B135" s="45">
        <f t="shared" si="21"/>
        <v>121</v>
      </c>
      <c r="C135" s="51" t="e">
        <f>IF(B135&lt;C$4,C$1,D134-L135+N135)</f>
        <v>#DIV/0!</v>
      </c>
      <c r="D135" s="47" t="e" cm="1">
        <f t="array" ref="D135">_xlfn.IFS(AND($C$7="Y",B135&lt;C$4),C135,AND($C$7="Y",B135=C$4),D134+F135-J135-K135-L135+N135,AND($C$7="Y",B135&gt;$C$4),D134-J135-K135-L135+N135, TRUE, D134-J135-K135-L135+N135)</f>
        <v>#DIV/0!</v>
      </c>
      <c r="E135" s="48">
        <f t="shared" si="22"/>
        <v>0</v>
      </c>
      <c r="F135" s="50">
        <f t="shared" si="23"/>
        <v>0</v>
      </c>
      <c r="G135" s="50">
        <f t="shared" si="28"/>
        <v>0</v>
      </c>
      <c r="H135" s="51" t="e">
        <f>IF(AND($B135&lt;=$C$4,C$7="Y"),0,IF(AND(C$7="N",C$4&gt;0,B135&lt;=C$4),0,(D134-L135+N135)*C$2/12/(1-(1/(1+C$2/12))^(C$3+C$4-B135+1))))</f>
        <v>#DIV/0!</v>
      </c>
      <c r="I135" s="52" t="e">
        <f>IF(AND(C$7="Y",$B135&lt;=C$4),0,IF(AND(C$7="Y",$B135&gt;C$4),(1-U135)*C$2*D134/12,IF(AND($C$7="N",C$4&gt;0),(1-U135)*D134*C$2/12, (1-U135)*D134*C$2/12)))</f>
        <v>#DIV/0!</v>
      </c>
      <c r="J135" s="52" t="e">
        <f>IF(AND($B135&lt;=$C$4,C$7="Y"),0,IF(AND(C$7="N",C$4&gt;0,B135&lt;=C$4),0,H135-I135))</f>
        <v>#DIV/0!</v>
      </c>
      <c r="K135" s="51" t="e">
        <f>IF(AND(C$7="Y",$B135&lt;=$C$4),0,IF(AND(C$7="N",C$4&gt;0,B135&lt;=C$4),0,S135*(C135-J135)))</f>
        <v>#DIV/0!</v>
      </c>
      <c r="L135" s="49" t="e">
        <f>IF(AND(C$7="Y",$B135&lt;=$C$4),0,IF(AND(C$7="N",C$4&gt;0,B135&lt;=C$4),0,U135*D134))</f>
        <v>#DIV/0!</v>
      </c>
      <c r="M135" s="49">
        <f t="shared" si="30"/>
        <v>0</v>
      </c>
      <c r="N135" s="49">
        <f t="shared" si="29"/>
        <v>0</v>
      </c>
      <c r="O135" s="48" t="e">
        <f>K135+I135+J135-L135+N135+G135</f>
        <v>#DIV/0!</v>
      </c>
      <c r="P135" s="38" t="e">
        <f>O135*(1/((1+P$12)^(B135/12)))</f>
        <v>#DIV/0!</v>
      </c>
      <c r="Q135" s="53"/>
      <c r="R135" s="53">
        <f t="shared" si="24"/>
        <v>0.12</v>
      </c>
      <c r="S135" s="53">
        <f t="shared" si="25"/>
        <v>1.0596241035318976E-2</v>
      </c>
      <c r="T135" s="53">
        <f t="shared" si="26"/>
        <v>0</v>
      </c>
      <c r="U135" s="53">
        <f t="shared" si="27"/>
        <v>0</v>
      </c>
    </row>
    <row r="136" spans="1:21" x14ac:dyDescent="0.2">
      <c r="A136" s="62" t="e">
        <f t="shared" si="20"/>
        <v>#DIV/0!</v>
      </c>
      <c r="B136" s="45">
        <f t="shared" si="21"/>
        <v>122</v>
      </c>
      <c r="C136" s="51" t="e">
        <f>IF(B136&lt;C$4,C$1,D135-L136+N136)</f>
        <v>#DIV/0!</v>
      </c>
      <c r="D136" s="47" t="e" cm="1">
        <f t="array" ref="D136">_xlfn.IFS(AND($C$7="Y",B136&lt;C$4),C136,AND($C$7="Y",B136=C$4),D135+F136-J136-K136-L136+N136,AND($C$7="Y",B136&gt;$C$4),D135-J136-K136-L136+N136, TRUE, D135-J136-K136-L136+N136)</f>
        <v>#DIV/0!</v>
      </c>
      <c r="E136" s="48">
        <f t="shared" si="22"/>
        <v>0</v>
      </c>
      <c r="F136" s="50">
        <f t="shared" si="23"/>
        <v>0</v>
      </c>
      <c r="G136" s="50">
        <f t="shared" si="28"/>
        <v>0</v>
      </c>
      <c r="H136" s="51" t="e">
        <f>IF(AND($B136&lt;=$C$4,C$7="Y"),0,IF(AND(C$7="N",C$4&gt;0,B136&lt;=C$4),0,(D135-L136+N136)*C$2/12/(1-(1/(1+C$2/12))^(C$3+C$4-B136+1))))</f>
        <v>#DIV/0!</v>
      </c>
      <c r="I136" s="52" t="e">
        <f>IF(AND(C$7="Y",$B136&lt;=C$4),0,IF(AND(C$7="Y",$B136&gt;C$4),(1-U136)*C$2*D135/12,IF(AND($C$7="N",C$4&gt;0),(1-U136)*D135*C$2/12, (1-U136)*D135*C$2/12)))</f>
        <v>#DIV/0!</v>
      </c>
      <c r="J136" s="52" t="e">
        <f>IF(AND($B136&lt;=$C$4,C$7="Y"),0,IF(AND(C$7="N",C$4&gt;0,B136&lt;=C$4),0,H136-I136))</f>
        <v>#DIV/0!</v>
      </c>
      <c r="K136" s="51" t="e">
        <f>IF(AND(C$7="Y",$B136&lt;=$C$4),0,IF(AND(C$7="N",C$4&gt;0,B136&lt;=C$4),0,S136*(C136-J136)))</f>
        <v>#DIV/0!</v>
      </c>
      <c r="L136" s="49" t="e">
        <f>IF(AND(C$7="Y",$B136&lt;=$C$4),0,IF(AND(C$7="N",C$4&gt;0,B136&lt;=C$4),0,U136*D135))</f>
        <v>#DIV/0!</v>
      </c>
      <c r="M136" s="49">
        <f t="shared" si="30"/>
        <v>0</v>
      </c>
      <c r="N136" s="49">
        <f t="shared" si="29"/>
        <v>0</v>
      </c>
      <c r="O136" s="48" t="e">
        <f>K136+I136+J136-L136+N136+G136</f>
        <v>#DIV/0!</v>
      </c>
      <c r="P136" s="38" t="e">
        <f>O136*(1/((1+P$12)^(B136/12)))</f>
        <v>#DIV/0!</v>
      </c>
      <c r="Q136" s="53"/>
      <c r="R136" s="53">
        <f t="shared" si="24"/>
        <v>0.12</v>
      </c>
      <c r="S136" s="53">
        <f t="shared" si="25"/>
        <v>1.0596241035318976E-2</v>
      </c>
      <c r="T136" s="53">
        <f t="shared" si="26"/>
        <v>0</v>
      </c>
      <c r="U136" s="53">
        <f t="shared" si="27"/>
        <v>0</v>
      </c>
    </row>
    <row r="137" spans="1:21" x14ac:dyDescent="0.2">
      <c r="A137" s="62" t="e">
        <f t="shared" si="20"/>
        <v>#DIV/0!</v>
      </c>
      <c r="B137" s="45">
        <f t="shared" si="21"/>
        <v>123</v>
      </c>
      <c r="C137" s="51" t="e">
        <f>IF(B137&lt;C$4,C$1,D136-L137+N137)</f>
        <v>#DIV/0!</v>
      </c>
      <c r="D137" s="47" t="e" cm="1">
        <f t="array" ref="D137">_xlfn.IFS(AND($C$7="Y",B137&lt;C$4),C137,AND($C$7="Y",B137=C$4),D136+F137-J137-K137-L137+N137,AND($C$7="Y",B137&gt;$C$4),D136-J137-K137-L137+N137, TRUE, D136-J137-K137-L137+N137)</f>
        <v>#DIV/0!</v>
      </c>
      <c r="E137" s="48">
        <f t="shared" si="22"/>
        <v>0</v>
      </c>
      <c r="F137" s="50">
        <f t="shared" si="23"/>
        <v>0</v>
      </c>
      <c r="G137" s="50">
        <f t="shared" si="28"/>
        <v>0</v>
      </c>
      <c r="H137" s="51" t="e">
        <f>IF(AND($B137&lt;=$C$4,C$7="Y"),0,IF(AND(C$7="N",C$4&gt;0,B137&lt;=C$4),0,(D136-L137+N137)*C$2/12/(1-(1/(1+C$2/12))^(C$3+C$4-B137+1))))</f>
        <v>#DIV/0!</v>
      </c>
      <c r="I137" s="52" t="e">
        <f>IF(AND(C$7="Y",$B137&lt;=C$4),0,IF(AND(C$7="Y",$B137&gt;C$4),(1-U137)*C$2*D136/12,IF(AND($C$7="N",C$4&gt;0),(1-U137)*D136*C$2/12, (1-U137)*D136*C$2/12)))</f>
        <v>#DIV/0!</v>
      </c>
      <c r="J137" s="52" t="e">
        <f>IF(AND($B137&lt;=$C$4,C$7="Y"),0,IF(AND(C$7="N",C$4&gt;0,B137&lt;=C$4),0,H137-I137))</f>
        <v>#DIV/0!</v>
      </c>
      <c r="K137" s="51" t="e">
        <f>IF(AND(C$7="Y",$B137&lt;=$C$4),0,IF(AND(C$7="N",C$4&gt;0,B137&lt;=C$4),0,S137*(C137-J137)))</f>
        <v>#DIV/0!</v>
      </c>
      <c r="L137" s="49" t="e">
        <f>IF(AND(C$7="Y",$B137&lt;=$C$4),0,IF(AND(C$7="N",C$4&gt;0,B137&lt;=C$4),0,U137*D136))</f>
        <v>#DIV/0!</v>
      </c>
      <c r="M137" s="49">
        <f t="shared" si="30"/>
        <v>0</v>
      </c>
      <c r="N137" s="49">
        <f t="shared" si="29"/>
        <v>0</v>
      </c>
      <c r="O137" s="48" t="e">
        <f>K137+I137+J137-L137+N137+G137</f>
        <v>#DIV/0!</v>
      </c>
      <c r="P137" s="38" t="e">
        <f>O137*(1/((1+P$12)^(B137/12)))</f>
        <v>#DIV/0!</v>
      </c>
      <c r="Q137" s="53"/>
      <c r="R137" s="53">
        <f t="shared" si="24"/>
        <v>0.12</v>
      </c>
      <c r="S137" s="53">
        <f t="shared" si="25"/>
        <v>1.0596241035318976E-2</v>
      </c>
      <c r="T137" s="53">
        <f t="shared" si="26"/>
        <v>0</v>
      </c>
      <c r="U137" s="53">
        <f t="shared" si="27"/>
        <v>0</v>
      </c>
    </row>
    <row r="138" spans="1:21" x14ac:dyDescent="0.2">
      <c r="A138" s="62" t="e">
        <f t="shared" si="20"/>
        <v>#DIV/0!</v>
      </c>
      <c r="B138" s="45">
        <f t="shared" si="21"/>
        <v>124</v>
      </c>
      <c r="C138" s="51" t="e">
        <f>IF(B138&lt;C$4,C$1,D137-L138+N138)</f>
        <v>#DIV/0!</v>
      </c>
      <c r="D138" s="47" t="e" cm="1">
        <f t="array" ref="D138">_xlfn.IFS(AND($C$7="Y",B138&lt;C$4),C138,AND($C$7="Y",B138=C$4),D137+F138-J138-K138-L138+N138,AND($C$7="Y",B138&gt;$C$4),D137-J138-K138-L138+N138, TRUE, D137-J138-K138-L138+N138)</f>
        <v>#DIV/0!</v>
      </c>
      <c r="E138" s="48">
        <f t="shared" si="22"/>
        <v>0</v>
      </c>
      <c r="F138" s="50">
        <f t="shared" si="23"/>
        <v>0</v>
      </c>
      <c r="G138" s="50">
        <f t="shared" si="28"/>
        <v>0</v>
      </c>
      <c r="H138" s="51" t="e">
        <f>IF(AND($B138&lt;=$C$4,C$7="Y"),0,IF(AND(C$7="N",C$4&gt;0,B138&lt;=C$4),0,(D137-L138+N138)*C$2/12/(1-(1/(1+C$2/12))^(C$3+C$4-B138+1))))</f>
        <v>#DIV/0!</v>
      </c>
      <c r="I138" s="52" t="e">
        <f>IF(AND(C$7="Y",$B138&lt;=C$4),0,IF(AND(C$7="Y",$B138&gt;C$4),(1-U138)*C$2*D137/12,IF(AND($C$7="N",C$4&gt;0),(1-U138)*D137*C$2/12, (1-U138)*D137*C$2/12)))</f>
        <v>#DIV/0!</v>
      </c>
      <c r="J138" s="52" t="e">
        <f>IF(AND($B138&lt;=$C$4,C$7="Y"),0,IF(AND(C$7="N",C$4&gt;0,B138&lt;=C$4),0,H138-I138))</f>
        <v>#DIV/0!</v>
      </c>
      <c r="K138" s="51" t="e">
        <f>IF(AND(C$7="Y",$B138&lt;=$C$4),0,IF(AND(C$7="N",C$4&gt;0,B138&lt;=C$4),0,S138*(C138-J138)))</f>
        <v>#DIV/0!</v>
      </c>
      <c r="L138" s="49" t="e">
        <f>IF(AND(C$7="Y",$B138&lt;=$C$4),0,IF(AND(C$7="N",C$4&gt;0,B138&lt;=C$4),0,U138*D137))</f>
        <v>#DIV/0!</v>
      </c>
      <c r="M138" s="49">
        <f t="shared" si="30"/>
        <v>0</v>
      </c>
      <c r="N138" s="49">
        <f t="shared" si="29"/>
        <v>0</v>
      </c>
      <c r="O138" s="48" t="e">
        <f>K138+I138+J138-L138+N138+G138</f>
        <v>#DIV/0!</v>
      </c>
      <c r="P138" s="38" t="e">
        <f>O138*(1/((1+P$12)^(B138/12)))</f>
        <v>#DIV/0!</v>
      </c>
      <c r="Q138" s="53"/>
      <c r="R138" s="53">
        <f t="shared" si="24"/>
        <v>0.12</v>
      </c>
      <c r="S138" s="53">
        <f t="shared" si="25"/>
        <v>1.0596241035318976E-2</v>
      </c>
      <c r="T138" s="53">
        <f t="shared" si="26"/>
        <v>0</v>
      </c>
      <c r="U138" s="53">
        <f t="shared" si="27"/>
        <v>0</v>
      </c>
    </row>
    <row r="139" spans="1:21" x14ac:dyDescent="0.2">
      <c r="A139" s="62" t="e">
        <f t="shared" si="20"/>
        <v>#DIV/0!</v>
      </c>
      <c r="B139" s="45">
        <f t="shared" si="21"/>
        <v>125</v>
      </c>
      <c r="C139" s="51" t="e">
        <f>IF(B139&lt;C$4,C$1,D138-L139+N139)</f>
        <v>#DIV/0!</v>
      </c>
      <c r="D139" s="47" t="e" cm="1">
        <f t="array" ref="D139">_xlfn.IFS(AND($C$7="Y",B139&lt;C$4),C139,AND($C$7="Y",B139=C$4),D138+F139-J139-K139-L139+N139,AND($C$7="Y",B139&gt;$C$4),D138-J139-K139-L139+N139, TRUE, D138-J139-K139-L139+N139)</f>
        <v>#DIV/0!</v>
      </c>
      <c r="E139" s="48">
        <f t="shared" si="22"/>
        <v>0</v>
      </c>
      <c r="F139" s="50">
        <f t="shared" si="23"/>
        <v>0</v>
      </c>
      <c r="G139" s="50">
        <f t="shared" si="28"/>
        <v>0</v>
      </c>
      <c r="H139" s="51" t="e">
        <f>IF(AND($B139&lt;=$C$4,C$7="Y"),0,IF(AND(C$7="N",C$4&gt;0,B139&lt;=C$4),0,(D138-L139+N139)*C$2/12/(1-(1/(1+C$2/12))^(C$3+C$4-B139+1))))</f>
        <v>#DIV/0!</v>
      </c>
      <c r="I139" s="52" t="e">
        <f>IF(AND(C$7="Y",$B139&lt;=C$4),0,IF(AND(C$7="Y",$B139&gt;C$4),(1-U139)*C$2*D138/12,IF(AND($C$7="N",C$4&gt;0),(1-U139)*D138*C$2/12, (1-U139)*D138*C$2/12)))</f>
        <v>#DIV/0!</v>
      </c>
      <c r="J139" s="52" t="e">
        <f>IF(AND($B139&lt;=$C$4,C$7="Y"),0,IF(AND(C$7="N",C$4&gt;0,B139&lt;=C$4),0,H139-I139))</f>
        <v>#DIV/0!</v>
      </c>
      <c r="K139" s="51" t="e">
        <f>IF(AND(C$7="Y",$B139&lt;=$C$4),0,IF(AND(C$7="N",C$4&gt;0,B139&lt;=C$4),0,S139*(C139-J139)))</f>
        <v>#DIV/0!</v>
      </c>
      <c r="L139" s="49" t="e">
        <f>IF(AND(C$7="Y",$B139&lt;=$C$4),0,IF(AND(C$7="N",C$4&gt;0,B139&lt;=C$4),0,U139*D138))</f>
        <v>#DIV/0!</v>
      </c>
      <c r="M139" s="49">
        <f t="shared" si="30"/>
        <v>0</v>
      </c>
      <c r="N139" s="49">
        <f t="shared" si="29"/>
        <v>0</v>
      </c>
      <c r="O139" s="48" t="e">
        <f>K139+I139+J139-L139+N139+G139</f>
        <v>#DIV/0!</v>
      </c>
      <c r="P139" s="38" t="e">
        <f>O139*(1/((1+P$12)^(B139/12)))</f>
        <v>#DIV/0!</v>
      </c>
      <c r="Q139" s="53"/>
      <c r="R139" s="53">
        <f t="shared" si="24"/>
        <v>0.12</v>
      </c>
      <c r="S139" s="53">
        <f t="shared" si="25"/>
        <v>1.0596241035318976E-2</v>
      </c>
      <c r="T139" s="53">
        <f t="shared" si="26"/>
        <v>0</v>
      </c>
      <c r="U139" s="53">
        <f t="shared" si="27"/>
        <v>0</v>
      </c>
    </row>
    <row r="140" spans="1:21" x14ac:dyDescent="0.2">
      <c r="A140" s="62" t="e">
        <f t="shared" si="20"/>
        <v>#DIV/0!</v>
      </c>
      <c r="B140" s="45">
        <f t="shared" si="21"/>
        <v>126</v>
      </c>
      <c r="C140" s="51" t="e">
        <f>IF(B140&lt;C$4,C$1,D139-L140+N140)</f>
        <v>#DIV/0!</v>
      </c>
      <c r="D140" s="47" t="e" cm="1">
        <f t="array" ref="D140">_xlfn.IFS(AND($C$7="Y",B140&lt;C$4),C140,AND($C$7="Y",B140=C$4),D139+F140-J140-K140-L140+N140,AND($C$7="Y",B140&gt;$C$4),D139-J140-K140-L140+N140, TRUE, D139-J140-K140-L140+N140)</f>
        <v>#DIV/0!</v>
      </c>
      <c r="E140" s="48">
        <f t="shared" si="22"/>
        <v>0</v>
      </c>
      <c r="F140" s="50">
        <f t="shared" si="23"/>
        <v>0</v>
      </c>
      <c r="G140" s="50">
        <f t="shared" si="28"/>
        <v>0</v>
      </c>
      <c r="H140" s="51" t="e">
        <f>IF(AND($B140&lt;=$C$4,C$7="Y"),0,IF(AND(C$7="N",C$4&gt;0,B140&lt;=C$4),0,(D139-L140+N140)*C$2/12/(1-(1/(1+C$2/12))^(C$3+C$4-B140+1))))</f>
        <v>#DIV/0!</v>
      </c>
      <c r="I140" s="52" t="e">
        <f>IF(AND(C$7="Y",$B140&lt;=C$4),0,IF(AND(C$7="Y",$B140&gt;C$4),(1-U140)*C$2*D139/12,IF(AND($C$7="N",C$4&gt;0),(1-U140)*D139*C$2/12, (1-U140)*D139*C$2/12)))</f>
        <v>#DIV/0!</v>
      </c>
      <c r="J140" s="52" t="e">
        <f>IF(AND($B140&lt;=$C$4,C$7="Y"),0,IF(AND(C$7="N",C$4&gt;0,B140&lt;=C$4),0,H140-I140))</f>
        <v>#DIV/0!</v>
      </c>
      <c r="K140" s="51" t="e">
        <f>IF(AND(C$7="Y",$B140&lt;=$C$4),0,IF(AND(C$7="N",C$4&gt;0,B140&lt;=C$4),0,S140*(C140-J140)))</f>
        <v>#DIV/0!</v>
      </c>
      <c r="L140" s="49" t="e">
        <f>IF(AND(C$7="Y",$B140&lt;=$C$4),0,IF(AND(C$7="N",C$4&gt;0,B140&lt;=C$4),0,U140*D139))</f>
        <v>#DIV/0!</v>
      </c>
      <c r="M140" s="49">
        <f t="shared" si="30"/>
        <v>0</v>
      </c>
      <c r="N140" s="49">
        <f t="shared" si="29"/>
        <v>0</v>
      </c>
      <c r="O140" s="48" t="e">
        <f>K140+I140+J140-L140+N140+G140</f>
        <v>#DIV/0!</v>
      </c>
      <c r="P140" s="38" t="e">
        <f>O140*(1/((1+P$12)^(B140/12)))</f>
        <v>#DIV/0!</v>
      </c>
      <c r="Q140" s="53"/>
      <c r="R140" s="53">
        <f t="shared" si="24"/>
        <v>0.12</v>
      </c>
      <c r="S140" s="53">
        <f t="shared" si="25"/>
        <v>1.0596241035318976E-2</v>
      </c>
      <c r="T140" s="53">
        <f t="shared" si="26"/>
        <v>0</v>
      </c>
      <c r="U140" s="53">
        <f t="shared" si="27"/>
        <v>0</v>
      </c>
    </row>
    <row r="141" spans="1:21" x14ac:dyDescent="0.2">
      <c r="A141" s="62" t="e">
        <f t="shared" si="20"/>
        <v>#DIV/0!</v>
      </c>
      <c r="B141" s="45">
        <f t="shared" si="21"/>
        <v>127</v>
      </c>
      <c r="C141" s="51" t="e">
        <f>IF(B141&lt;C$4,C$1,D140-L141+N141)</f>
        <v>#DIV/0!</v>
      </c>
      <c r="D141" s="47" t="e" cm="1">
        <f t="array" ref="D141">_xlfn.IFS(AND($C$7="Y",B141&lt;C$4),C141,AND($C$7="Y",B141=C$4),D140+F141-J141-K141-L141+N141,AND($C$7="Y",B141&gt;$C$4),D140-J141-K141-L141+N141, TRUE, D140-J141-K141-L141+N141)</f>
        <v>#DIV/0!</v>
      </c>
      <c r="E141" s="48">
        <f t="shared" si="22"/>
        <v>0</v>
      </c>
      <c r="F141" s="50">
        <f t="shared" si="23"/>
        <v>0</v>
      </c>
      <c r="G141" s="50">
        <f t="shared" si="28"/>
        <v>0</v>
      </c>
      <c r="H141" s="51" t="e">
        <f>IF(AND($B141&lt;=$C$4,C$7="Y"),0,IF(AND(C$7="N",C$4&gt;0,B141&lt;=C$4),0,(D140-L141+N141)*C$2/12/(1-(1/(1+C$2/12))^(C$3+C$4-B141+1))))</f>
        <v>#DIV/0!</v>
      </c>
      <c r="I141" s="52" t="e">
        <f>IF(AND(C$7="Y",$B141&lt;=C$4),0,IF(AND(C$7="Y",$B141&gt;C$4),(1-U141)*C$2*D140/12,IF(AND($C$7="N",C$4&gt;0),(1-U141)*D140*C$2/12, (1-U141)*D140*C$2/12)))</f>
        <v>#DIV/0!</v>
      </c>
      <c r="J141" s="52" t="e">
        <f>IF(AND($B141&lt;=$C$4,C$7="Y"),0,IF(AND(C$7="N",C$4&gt;0,B141&lt;=C$4),0,H141-I141))</f>
        <v>#DIV/0!</v>
      </c>
      <c r="K141" s="51" t="e">
        <f>IF(AND(C$7="Y",$B141&lt;=$C$4),0,IF(AND(C$7="N",C$4&gt;0,B141&lt;=C$4),0,S141*(C141-J141)))</f>
        <v>#DIV/0!</v>
      </c>
      <c r="L141" s="49" t="e">
        <f>IF(AND(C$7="Y",$B141&lt;=$C$4),0,IF(AND(C$7="N",C$4&gt;0,B141&lt;=C$4),0,U141*D140))</f>
        <v>#DIV/0!</v>
      </c>
      <c r="M141" s="49">
        <f t="shared" si="30"/>
        <v>0</v>
      </c>
      <c r="N141" s="49">
        <f t="shared" si="29"/>
        <v>0</v>
      </c>
      <c r="O141" s="48" t="e">
        <f>K141+I141+J141-L141+N141+G141</f>
        <v>#DIV/0!</v>
      </c>
      <c r="P141" s="38" t="e">
        <f>O141*(1/((1+P$12)^(B141/12)))</f>
        <v>#DIV/0!</v>
      </c>
      <c r="Q141" s="53"/>
      <c r="R141" s="53">
        <f t="shared" si="24"/>
        <v>0.12</v>
      </c>
      <c r="S141" s="53">
        <f t="shared" si="25"/>
        <v>1.0596241035318976E-2</v>
      </c>
      <c r="T141" s="53">
        <f t="shared" si="26"/>
        <v>0</v>
      </c>
      <c r="U141" s="53">
        <f t="shared" si="27"/>
        <v>0</v>
      </c>
    </row>
    <row r="142" spans="1:21" x14ac:dyDescent="0.2">
      <c r="A142" s="62" t="e">
        <f t="shared" si="20"/>
        <v>#DIV/0!</v>
      </c>
      <c r="B142" s="45">
        <f t="shared" si="21"/>
        <v>128</v>
      </c>
      <c r="C142" s="51" t="e">
        <f>IF(B142&lt;C$4,C$1,D141-L142+N142)</f>
        <v>#DIV/0!</v>
      </c>
      <c r="D142" s="47" t="e" cm="1">
        <f t="array" ref="D142">_xlfn.IFS(AND($C$7="Y",B142&lt;C$4),C142,AND($C$7="Y",B142=C$4),D141+F142-J142-K142-L142+N142,AND($C$7="Y",B142&gt;$C$4),D141-J142-K142-L142+N142, TRUE, D141-J142-K142-L142+N142)</f>
        <v>#DIV/0!</v>
      </c>
      <c r="E142" s="48">
        <f t="shared" si="22"/>
        <v>0</v>
      </c>
      <c r="F142" s="50">
        <f t="shared" si="23"/>
        <v>0</v>
      </c>
      <c r="G142" s="50">
        <f t="shared" si="28"/>
        <v>0</v>
      </c>
      <c r="H142" s="51" t="e">
        <f>IF(AND($B142&lt;=$C$4,C$7="Y"),0,IF(AND(C$7="N",C$4&gt;0,B142&lt;=C$4),0,(D141-L142+N142)*C$2/12/(1-(1/(1+C$2/12))^(C$3+C$4-B142+1))))</f>
        <v>#DIV/0!</v>
      </c>
      <c r="I142" s="52" t="e">
        <f>IF(AND(C$7="Y",$B142&lt;=C$4),0,IF(AND(C$7="Y",$B142&gt;C$4),(1-U142)*C$2*D141/12,IF(AND($C$7="N",C$4&gt;0),(1-U142)*D141*C$2/12, (1-U142)*D141*C$2/12)))</f>
        <v>#DIV/0!</v>
      </c>
      <c r="J142" s="52" t="e">
        <f>IF(AND($B142&lt;=$C$4,C$7="Y"),0,IF(AND(C$7="N",C$4&gt;0,B142&lt;=C$4),0,H142-I142))</f>
        <v>#DIV/0!</v>
      </c>
      <c r="K142" s="51" t="e">
        <f>IF(AND(C$7="Y",$B142&lt;=$C$4),0,IF(AND(C$7="N",C$4&gt;0,B142&lt;=C$4),0,S142*(C142-J142)))</f>
        <v>#DIV/0!</v>
      </c>
      <c r="L142" s="49" t="e">
        <f>IF(AND(C$7="Y",$B142&lt;=$C$4),0,IF(AND(C$7="N",C$4&gt;0,B142&lt;=C$4),0,U142*D141))</f>
        <v>#DIV/0!</v>
      </c>
      <c r="M142" s="49">
        <f t="shared" si="30"/>
        <v>0</v>
      </c>
      <c r="N142" s="49">
        <f t="shared" si="29"/>
        <v>0</v>
      </c>
      <c r="O142" s="48" t="e">
        <f>K142+I142+J142-L142+N142+G142</f>
        <v>#DIV/0!</v>
      </c>
      <c r="P142" s="38" t="e">
        <f>O142*(1/((1+P$12)^(B142/12)))</f>
        <v>#DIV/0!</v>
      </c>
      <c r="Q142" s="53"/>
      <c r="R142" s="53">
        <f t="shared" si="24"/>
        <v>0.12</v>
      </c>
      <c r="S142" s="53">
        <f t="shared" si="25"/>
        <v>1.0596241035318976E-2</v>
      </c>
      <c r="T142" s="53">
        <f t="shared" si="26"/>
        <v>0</v>
      </c>
      <c r="U142" s="53">
        <f t="shared" si="27"/>
        <v>0</v>
      </c>
    </row>
    <row r="143" spans="1:21" x14ac:dyDescent="0.2">
      <c r="A143" s="62" t="e">
        <f t="shared" ref="A143:A206" si="31">D143/C$1</f>
        <v>#DIV/0!</v>
      </c>
      <c r="B143" s="45">
        <f t="shared" si="21"/>
        <v>129</v>
      </c>
      <c r="C143" s="51" t="e">
        <f>IF(B143&lt;C$4,C$1,D142-L143+N143)</f>
        <v>#DIV/0!</v>
      </c>
      <c r="D143" s="47" t="e" cm="1">
        <f t="array" ref="D143">_xlfn.IFS(AND($C$7="Y",B143&lt;C$4),C143,AND($C$7="Y",B143=C$4),D142+F143-J143-K143-L143+N143,AND($C$7="Y",B143&gt;$C$4),D142-J143-K143-L143+N143, TRUE, D142-J143-K143-L143+N143)</f>
        <v>#DIV/0!</v>
      </c>
      <c r="E143" s="48">
        <f t="shared" si="22"/>
        <v>0</v>
      </c>
      <c r="F143" s="50">
        <f t="shared" si="23"/>
        <v>0</v>
      </c>
      <c r="G143" s="50">
        <f t="shared" si="28"/>
        <v>0</v>
      </c>
      <c r="H143" s="51" t="e">
        <f>IF(AND($B143&lt;=$C$4,C$7="Y"),0,IF(AND(C$7="N",C$4&gt;0,B143&lt;=C$4),0,(D142-L143+N143)*C$2/12/(1-(1/(1+C$2/12))^(C$3+C$4-B143+1))))</f>
        <v>#DIV/0!</v>
      </c>
      <c r="I143" s="52" t="e">
        <f>IF(AND(C$7="Y",$B143&lt;=C$4),0,IF(AND(C$7="Y",$B143&gt;C$4),(1-U143)*C$2*D142/12,IF(AND($C$7="N",C$4&gt;0),(1-U143)*D142*C$2/12, (1-U143)*D142*C$2/12)))</f>
        <v>#DIV/0!</v>
      </c>
      <c r="J143" s="52" t="e">
        <f>IF(AND($B143&lt;=$C$4,C$7="Y"),0,IF(AND(C$7="N",C$4&gt;0,B143&lt;=C$4),0,H143-I143))</f>
        <v>#DIV/0!</v>
      </c>
      <c r="K143" s="51" t="e">
        <f>IF(AND(C$7="Y",$B143&lt;=$C$4),0,IF(AND(C$7="N",C$4&gt;0,B143&lt;=C$4),0,S143*(C143-J143)))</f>
        <v>#DIV/0!</v>
      </c>
      <c r="L143" s="49" t="e">
        <f>IF(AND(C$7="Y",$B143&lt;=$C$4),0,IF(AND(C$7="N",C$4&gt;0,B143&lt;=C$4),0,U143*D142))</f>
        <v>#DIV/0!</v>
      </c>
      <c r="M143" s="49">
        <f t="shared" si="30"/>
        <v>0</v>
      </c>
      <c r="N143" s="49">
        <f t="shared" si="29"/>
        <v>0</v>
      </c>
      <c r="O143" s="48" t="e">
        <f>K143+I143+J143-L143+N143+G143</f>
        <v>#DIV/0!</v>
      </c>
      <c r="P143" s="38" t="e">
        <f>O143*(1/((1+P$12)^(B143/12)))</f>
        <v>#DIV/0!</v>
      </c>
      <c r="Q143" s="53"/>
      <c r="R143" s="53">
        <f t="shared" si="24"/>
        <v>0.12</v>
      </c>
      <c r="S143" s="53">
        <f t="shared" si="25"/>
        <v>1.0596241035318976E-2</v>
      </c>
      <c r="T143" s="53">
        <f t="shared" si="26"/>
        <v>0</v>
      </c>
      <c r="U143" s="53">
        <f t="shared" si="27"/>
        <v>0</v>
      </c>
    </row>
    <row r="144" spans="1:21" x14ac:dyDescent="0.2">
      <c r="A144" s="62" t="e">
        <f t="shared" si="31"/>
        <v>#DIV/0!</v>
      </c>
      <c r="B144" s="45">
        <f t="shared" ref="B144:B207" si="32">B143+1</f>
        <v>130</v>
      </c>
      <c r="C144" s="51" t="e">
        <f>IF(B144&lt;C$4,C$1,D143-L144+N144)</f>
        <v>#DIV/0!</v>
      </c>
      <c r="D144" s="47" t="e" cm="1">
        <f t="array" ref="D144">_xlfn.IFS(AND($C$7="Y",B144&lt;C$4),C144,AND($C$7="Y",B144=C$4),D143+F144-J144-K144-L144+N144,AND($C$7="Y",B144&gt;$C$4),D143-J144-K144-L144+N144, TRUE, D143-J144-K144-L144+N144)</f>
        <v>#DIV/0!</v>
      </c>
      <c r="E144" s="48">
        <f t="shared" ref="E144:E207" si="33">IF(AND($C$7="Y",B144&lt;=$C$4),D143*C$2/12-G144,0)</f>
        <v>0</v>
      </c>
      <c r="F144" s="50">
        <f t="shared" ref="F144:F207" si="34">IF(AND($C$7="Y",B144&lt;=C$4),E144+F143,0)</f>
        <v>0</v>
      </c>
      <c r="G144" s="50">
        <f t="shared" si="28"/>
        <v>0</v>
      </c>
      <c r="H144" s="51" t="e">
        <f>IF(AND($B144&lt;=$C$4,C$7="Y"),0,IF(AND(C$7="N",C$4&gt;0,B144&lt;=C$4),0,(D143-L144+N144)*C$2/12/(1-(1/(1+C$2/12))^(C$3+C$4-B144+1))))</f>
        <v>#DIV/0!</v>
      </c>
      <c r="I144" s="52" t="e">
        <f>IF(AND(C$7="Y",$B144&lt;=C$4),0,IF(AND(C$7="Y",$B144&gt;C$4),(1-U144)*C$2*D143/12,IF(AND($C$7="N",C$4&gt;0),(1-U144)*D143*C$2/12, (1-U144)*D143*C$2/12)))</f>
        <v>#DIV/0!</v>
      </c>
      <c r="J144" s="52" t="e">
        <f>IF(AND($B144&lt;=$C$4,C$7="Y"),0,IF(AND(C$7="N",C$4&gt;0,B144&lt;=C$4),0,H144-I144))</f>
        <v>#DIV/0!</v>
      </c>
      <c r="K144" s="51" t="e">
        <f>IF(AND(C$7="Y",$B144&lt;=$C$4),0,IF(AND(C$7="N",C$4&gt;0,B144&lt;=C$4),0,S144*(C144-J144)))</f>
        <v>#DIV/0!</v>
      </c>
      <c r="L144" s="49" t="e">
        <f>IF(AND(C$7="Y",$B144&lt;=$C$4),0,IF(AND(C$7="N",C$4&gt;0,B144&lt;=C$4),0,U144*D143))</f>
        <v>#DIV/0!</v>
      </c>
      <c r="M144" s="49">
        <f t="shared" si="30"/>
        <v>0</v>
      </c>
      <c r="N144" s="49">
        <f t="shared" si="29"/>
        <v>0</v>
      </c>
      <c r="O144" s="48" t="e">
        <f>K144+I144+J144-L144+N144+G144</f>
        <v>#DIV/0!</v>
      </c>
      <c r="P144" s="38" t="e">
        <f>O144*(1/((1+P$12)^(B144/12)))</f>
        <v>#DIV/0!</v>
      </c>
      <c r="Q144" s="53"/>
      <c r="R144" s="53">
        <f t="shared" ref="R144:R207" si="35">R$12</f>
        <v>0.12</v>
      </c>
      <c r="S144" s="53">
        <f t="shared" ref="S144:S207" si="36">1-(1-R144)^(1/12)</f>
        <v>1.0596241035318976E-2</v>
      </c>
      <c r="T144" s="53">
        <f t="shared" ref="T144:T207" si="37">T$12</f>
        <v>0</v>
      </c>
      <c r="U144" s="53">
        <f t="shared" si="27"/>
        <v>0</v>
      </c>
    </row>
    <row r="145" spans="1:21" x14ac:dyDescent="0.2">
      <c r="A145" s="62" t="e">
        <f t="shared" si="31"/>
        <v>#DIV/0!</v>
      </c>
      <c r="B145" s="45">
        <f t="shared" si="32"/>
        <v>131</v>
      </c>
      <c r="C145" s="51" t="e">
        <f>IF(B145&lt;C$4,C$1,D144-L145+N145)</f>
        <v>#DIV/0!</v>
      </c>
      <c r="D145" s="47" t="e" cm="1">
        <f t="array" ref="D145">_xlfn.IFS(AND($C$7="Y",B145&lt;C$4),C145,AND($C$7="Y",B145=C$4),D144+F145-J145-K145-L145+N145,AND($C$7="Y",B145&gt;$C$4),D144-J145-K145-L145+N145, TRUE, D144-J145-K145-L145+N145)</f>
        <v>#DIV/0!</v>
      </c>
      <c r="E145" s="48">
        <f t="shared" si="33"/>
        <v>0</v>
      </c>
      <c r="F145" s="50">
        <f t="shared" si="34"/>
        <v>0</v>
      </c>
      <c r="G145" s="50">
        <f t="shared" si="28"/>
        <v>0</v>
      </c>
      <c r="H145" s="51" t="e">
        <f>IF(AND($B145&lt;=$C$4,C$7="Y"),0,IF(AND(C$7="N",C$4&gt;0,B145&lt;=C$4),0,(D144-L145+N145)*C$2/12/(1-(1/(1+C$2/12))^(C$3+C$4-B145+1))))</f>
        <v>#DIV/0!</v>
      </c>
      <c r="I145" s="52" t="e">
        <f>IF(AND(C$7="Y",$B145&lt;=C$4),0,IF(AND(C$7="Y",$B145&gt;C$4),(1-U145)*C$2*D144/12,IF(AND($C$7="N",C$4&gt;0),(1-U145)*D144*C$2/12, (1-U145)*D144*C$2/12)))</f>
        <v>#DIV/0!</v>
      </c>
      <c r="J145" s="52" t="e">
        <f>IF(AND($B145&lt;=$C$4,C$7="Y"),0,IF(AND(C$7="N",C$4&gt;0,B145&lt;=C$4),0,H145-I145))</f>
        <v>#DIV/0!</v>
      </c>
      <c r="K145" s="51" t="e">
        <f>IF(AND(C$7="Y",$B145&lt;=$C$4),0,IF(AND(C$7="N",C$4&gt;0,B145&lt;=C$4),0,S145*(C145-J145)))</f>
        <v>#DIV/0!</v>
      </c>
      <c r="L145" s="49" t="e">
        <f>IF(AND(C$7="Y",$B145&lt;=$C$4),0,IF(AND(C$7="N",C$4&gt;0,B145&lt;=C$4),0,U145*D144))</f>
        <v>#DIV/0!</v>
      </c>
      <c r="M145" s="49">
        <f t="shared" si="30"/>
        <v>0</v>
      </c>
      <c r="N145" s="49">
        <f t="shared" si="29"/>
        <v>0</v>
      </c>
      <c r="O145" s="48" t="e">
        <f>K145+I145+J145-L145+N145+G145</f>
        <v>#DIV/0!</v>
      </c>
      <c r="P145" s="38" t="e">
        <f>O145*(1/((1+P$12)^(B145/12)))</f>
        <v>#DIV/0!</v>
      </c>
      <c r="Q145" s="53"/>
      <c r="R145" s="53">
        <f t="shared" si="35"/>
        <v>0.12</v>
      </c>
      <c r="S145" s="53">
        <f t="shared" si="36"/>
        <v>1.0596241035318976E-2</v>
      </c>
      <c r="T145" s="53">
        <f t="shared" si="37"/>
        <v>0</v>
      </c>
      <c r="U145" s="53">
        <f t="shared" ref="U145:U208" si="38">1-(1-T145)^(1/12)</f>
        <v>0</v>
      </c>
    </row>
    <row r="146" spans="1:21" x14ac:dyDescent="0.2">
      <c r="A146" s="62" t="e">
        <f t="shared" si="31"/>
        <v>#DIV/0!</v>
      </c>
      <c r="B146" s="45">
        <f t="shared" si="32"/>
        <v>132</v>
      </c>
      <c r="C146" s="51" t="e">
        <f>IF(B146&lt;C$4,C$1,D145-L146+N146)</f>
        <v>#DIV/0!</v>
      </c>
      <c r="D146" s="47" t="e" cm="1">
        <f t="array" ref="D146">_xlfn.IFS(AND($C$7="Y",B146&lt;C$4),C146,AND($C$7="Y",B146=C$4),D145+F146-J146-K146-L146+N146,AND($C$7="Y",B146&gt;$C$4),D145-J146-K146-L146+N146, TRUE, D145-J146-K146-L146+N146)</f>
        <v>#DIV/0!</v>
      </c>
      <c r="E146" s="48">
        <f t="shared" si="33"/>
        <v>0</v>
      </c>
      <c r="F146" s="50">
        <f t="shared" si="34"/>
        <v>0</v>
      </c>
      <c r="G146" s="50">
        <f t="shared" ref="G146:G209" si="39">IF($B146&lt;=$C$4,C$6,0)</f>
        <v>0</v>
      </c>
      <c r="H146" s="51" t="e">
        <f>IF(AND($B146&lt;=$C$4,C$7="Y"),0,IF(AND(C$7="N",C$4&gt;0,B146&lt;=C$4),0,(D145-L146+N146)*C$2/12/(1-(1/(1+C$2/12))^(C$3+C$4-B146+1))))</f>
        <v>#DIV/0!</v>
      </c>
      <c r="I146" s="52" t="e">
        <f>IF(AND(C$7="Y",$B146&lt;=C$4),0,IF(AND(C$7="Y",$B146&gt;C$4),(1-U146)*C$2*D145/12,IF(AND($C$7="N",C$4&gt;0),(1-U146)*D145*C$2/12, (1-U146)*D145*C$2/12)))</f>
        <v>#DIV/0!</v>
      </c>
      <c r="J146" s="52" t="e">
        <f>IF(AND($B146&lt;=$C$4,C$7="Y"),0,IF(AND(C$7="N",C$4&gt;0,B146&lt;=C$4),0,H146-I146))</f>
        <v>#DIV/0!</v>
      </c>
      <c r="K146" s="51" t="e">
        <f>IF(AND(C$7="Y",$B146&lt;=$C$4),0,IF(AND(C$7="N",C$4&gt;0,B146&lt;=C$4),0,S146*(C146-J146)))</f>
        <v>#DIV/0!</v>
      </c>
      <c r="L146" s="49" t="e">
        <f>IF(AND(C$7="Y",$B146&lt;=$C$4),0,IF(AND(C$7="N",C$4&gt;0,B146&lt;=C$4),0,U146*D145))</f>
        <v>#DIV/0!</v>
      </c>
      <c r="M146" s="49">
        <f t="shared" si="30"/>
        <v>0</v>
      </c>
      <c r="N146" s="49">
        <f t="shared" si="29"/>
        <v>0</v>
      </c>
      <c r="O146" s="48" t="e">
        <f>K146+I146+J146-L146+N146+G146</f>
        <v>#DIV/0!</v>
      </c>
      <c r="P146" s="38" t="e">
        <f>O146*(1/((1+P$12)^(B146/12)))</f>
        <v>#DIV/0!</v>
      </c>
      <c r="Q146" s="53"/>
      <c r="R146" s="53">
        <f t="shared" si="35"/>
        <v>0.12</v>
      </c>
      <c r="S146" s="53">
        <f t="shared" si="36"/>
        <v>1.0596241035318976E-2</v>
      </c>
      <c r="T146" s="53">
        <f t="shared" si="37"/>
        <v>0</v>
      </c>
      <c r="U146" s="53">
        <f t="shared" si="38"/>
        <v>0</v>
      </c>
    </row>
    <row r="147" spans="1:21" x14ac:dyDescent="0.2">
      <c r="A147" s="62" t="e">
        <f t="shared" si="31"/>
        <v>#DIV/0!</v>
      </c>
      <c r="B147" s="45">
        <f t="shared" si="32"/>
        <v>133</v>
      </c>
      <c r="C147" s="51" t="e">
        <f>IF(B147&lt;C$4,C$1,D146-L147+N147)</f>
        <v>#DIV/0!</v>
      </c>
      <c r="D147" s="47" t="e" cm="1">
        <f t="array" ref="D147">_xlfn.IFS(AND($C$7="Y",B147&lt;C$4),C147,AND($C$7="Y",B147=C$4),D146+F147-J147-K147-L147+N147,AND($C$7="Y",B147&gt;$C$4),D146-J147-K147-L147+N147, TRUE, D146-J147-K147-L147+N147)</f>
        <v>#DIV/0!</v>
      </c>
      <c r="E147" s="48">
        <f t="shared" si="33"/>
        <v>0</v>
      </c>
      <c r="F147" s="50">
        <f t="shared" si="34"/>
        <v>0</v>
      </c>
      <c r="G147" s="50">
        <f t="shared" si="39"/>
        <v>0</v>
      </c>
      <c r="H147" s="51" t="e">
        <f>IF(AND($B147&lt;=$C$4,C$7="Y"),0,IF(AND(C$7="N",C$4&gt;0,B147&lt;=C$4),0,(D146-L147+N147)*C$2/12/(1-(1/(1+C$2/12))^(C$3+C$4-B147+1))))</f>
        <v>#DIV/0!</v>
      </c>
      <c r="I147" s="52" t="e">
        <f>IF(AND(C$7="Y",$B147&lt;=C$4),0,IF(AND(C$7="Y",$B147&gt;C$4),(1-U147)*C$2*D146/12,IF(AND($C$7="N",C$4&gt;0),(1-U147)*D146*C$2/12, (1-U147)*D146*C$2/12)))</f>
        <v>#DIV/0!</v>
      </c>
      <c r="J147" s="52" t="e">
        <f>IF(AND($B147&lt;=$C$4,C$7="Y"),0,IF(AND(C$7="N",C$4&gt;0,B147&lt;=C$4),0,H147-I147))</f>
        <v>#DIV/0!</v>
      </c>
      <c r="K147" s="51" t="e">
        <f>IF(AND(C$7="Y",$B147&lt;=$C$4),0,IF(AND(C$7="N",C$4&gt;0,B147&lt;=C$4),0,S147*(C147-J147)))</f>
        <v>#DIV/0!</v>
      </c>
      <c r="L147" s="49" t="e">
        <f>IF(AND(C$7="Y",$B147&lt;=$C$4),0,IF(AND(C$7="N",C$4&gt;0,B147&lt;=C$4),0,U147*D146))</f>
        <v>#DIV/0!</v>
      </c>
      <c r="M147" s="49">
        <f t="shared" si="30"/>
        <v>0</v>
      </c>
      <c r="N147" s="49">
        <f t="shared" si="29"/>
        <v>0</v>
      </c>
      <c r="O147" s="48" t="e">
        <f>K147+I147+J147-L147+N147+G147</f>
        <v>#DIV/0!</v>
      </c>
      <c r="P147" s="38" t="e">
        <f>O147*(1/((1+P$12)^(B147/12)))</f>
        <v>#DIV/0!</v>
      </c>
      <c r="Q147" s="53"/>
      <c r="R147" s="53">
        <f t="shared" si="35"/>
        <v>0.12</v>
      </c>
      <c r="S147" s="53">
        <f t="shared" si="36"/>
        <v>1.0596241035318976E-2</v>
      </c>
      <c r="T147" s="53">
        <f t="shared" si="37"/>
        <v>0</v>
      </c>
      <c r="U147" s="53">
        <f t="shared" si="38"/>
        <v>0</v>
      </c>
    </row>
    <row r="148" spans="1:21" x14ac:dyDescent="0.2">
      <c r="A148" s="62" t="e">
        <f t="shared" si="31"/>
        <v>#DIV/0!</v>
      </c>
      <c r="B148" s="45">
        <f t="shared" si="32"/>
        <v>134</v>
      </c>
      <c r="C148" s="51" t="e">
        <f>IF(B148&lt;C$4,C$1,D147-L148+N148)</f>
        <v>#DIV/0!</v>
      </c>
      <c r="D148" s="47" t="e" cm="1">
        <f t="array" ref="D148">_xlfn.IFS(AND($C$7="Y",B148&lt;C$4),C148,AND($C$7="Y",B148=C$4),D147+F148-J148-K148-L148+N148,AND($C$7="Y",B148&gt;$C$4),D147-J148-K148-L148+N148, TRUE, D147-J148-K148-L148+N148)</f>
        <v>#DIV/0!</v>
      </c>
      <c r="E148" s="48">
        <f t="shared" si="33"/>
        <v>0</v>
      </c>
      <c r="F148" s="50">
        <f t="shared" si="34"/>
        <v>0</v>
      </c>
      <c r="G148" s="50">
        <f t="shared" si="39"/>
        <v>0</v>
      </c>
      <c r="H148" s="51" t="e">
        <f>IF(AND($B148&lt;=$C$4,C$7="Y"),0,IF(AND(C$7="N",C$4&gt;0,B148&lt;=C$4),0,(D147-L148+N148)*C$2/12/(1-(1/(1+C$2/12))^(C$3+C$4-B148+1))))</f>
        <v>#DIV/0!</v>
      </c>
      <c r="I148" s="52" t="e">
        <f>IF(AND(C$7="Y",$B148&lt;=C$4),0,IF(AND(C$7="Y",$B148&gt;C$4),(1-U148)*C$2*D147/12,IF(AND($C$7="N",C$4&gt;0),(1-U148)*D147*C$2/12, (1-U148)*D147*C$2/12)))</f>
        <v>#DIV/0!</v>
      </c>
      <c r="J148" s="52" t="e">
        <f>IF(AND($B148&lt;=$C$4,C$7="Y"),0,IF(AND(C$7="N",C$4&gt;0,B148&lt;=C$4),0,H148-I148))</f>
        <v>#DIV/0!</v>
      </c>
      <c r="K148" s="51" t="e">
        <f>IF(AND(C$7="Y",$B148&lt;=$C$4),0,IF(AND(C$7="N",C$4&gt;0,B148&lt;=C$4),0,S148*(C148-J148)))</f>
        <v>#DIV/0!</v>
      </c>
      <c r="L148" s="49" t="e">
        <f>IF(AND(C$7="Y",$B148&lt;=$C$4),0,IF(AND(C$7="N",C$4&gt;0,B148&lt;=C$4),0,U148*D147))</f>
        <v>#DIV/0!</v>
      </c>
      <c r="M148" s="49">
        <f t="shared" si="30"/>
        <v>0</v>
      </c>
      <c r="N148" s="49">
        <f t="shared" si="29"/>
        <v>0</v>
      </c>
      <c r="O148" s="48" t="e">
        <f>K148+I148+J148-L148+N148+G148</f>
        <v>#DIV/0!</v>
      </c>
      <c r="P148" s="38" t="e">
        <f>O148*(1/((1+P$12)^(B148/12)))</f>
        <v>#DIV/0!</v>
      </c>
      <c r="Q148" s="53"/>
      <c r="R148" s="53">
        <f t="shared" si="35"/>
        <v>0.12</v>
      </c>
      <c r="S148" s="53">
        <f t="shared" si="36"/>
        <v>1.0596241035318976E-2</v>
      </c>
      <c r="T148" s="53">
        <f t="shared" si="37"/>
        <v>0</v>
      </c>
      <c r="U148" s="53">
        <f t="shared" si="38"/>
        <v>0</v>
      </c>
    </row>
    <row r="149" spans="1:21" x14ac:dyDescent="0.2">
      <c r="A149" s="62" t="e">
        <f t="shared" si="31"/>
        <v>#DIV/0!</v>
      </c>
      <c r="B149" s="45">
        <f t="shared" si="32"/>
        <v>135</v>
      </c>
      <c r="C149" s="51" t="e">
        <f>IF(B149&lt;C$4,C$1,D148-L149+N149)</f>
        <v>#DIV/0!</v>
      </c>
      <c r="D149" s="47" t="e" cm="1">
        <f t="array" ref="D149">_xlfn.IFS(AND($C$7="Y",B149&lt;C$4),C149,AND($C$7="Y",B149=C$4),D148+F149-J149-K149-L149+N149,AND($C$7="Y",B149&gt;$C$4),D148-J149-K149-L149+N149, TRUE, D148-J149-K149-L149+N149)</f>
        <v>#DIV/0!</v>
      </c>
      <c r="E149" s="48">
        <f t="shared" si="33"/>
        <v>0</v>
      </c>
      <c r="F149" s="50">
        <f t="shared" si="34"/>
        <v>0</v>
      </c>
      <c r="G149" s="50">
        <f t="shared" si="39"/>
        <v>0</v>
      </c>
      <c r="H149" s="51" t="e">
        <f>IF(AND($B149&lt;=$C$4,C$7="Y"),0,IF(AND(C$7="N",C$4&gt;0,B149&lt;=C$4),0,(D148-L149+N149)*C$2/12/(1-(1/(1+C$2/12))^(C$3+C$4-B149+1))))</f>
        <v>#DIV/0!</v>
      </c>
      <c r="I149" s="52" t="e">
        <f>IF(AND(C$7="Y",$B149&lt;=C$4),0,IF(AND(C$7="Y",$B149&gt;C$4),(1-U149)*C$2*D148/12,IF(AND($C$7="N",C$4&gt;0),(1-U149)*D148*C$2/12, (1-U149)*D148*C$2/12)))</f>
        <v>#DIV/0!</v>
      </c>
      <c r="J149" s="52" t="e">
        <f>IF(AND($B149&lt;=$C$4,C$7="Y"),0,IF(AND(C$7="N",C$4&gt;0,B149&lt;=C$4),0,H149-I149))</f>
        <v>#DIV/0!</v>
      </c>
      <c r="K149" s="51" t="e">
        <f>IF(AND(C$7="Y",$B149&lt;=$C$4),0,IF(AND(C$7="N",C$4&gt;0,B149&lt;=C$4),0,S149*(C149-J149)))</f>
        <v>#DIV/0!</v>
      </c>
      <c r="L149" s="49" t="e">
        <f>IF(AND(C$7="Y",$B149&lt;=$C$4),0,IF(AND(C$7="N",C$4&gt;0,B149&lt;=C$4),0,U149*D148))</f>
        <v>#DIV/0!</v>
      </c>
      <c r="M149" s="49">
        <f t="shared" si="30"/>
        <v>0</v>
      </c>
      <c r="N149" s="49">
        <f t="shared" si="29"/>
        <v>0</v>
      </c>
      <c r="O149" s="48" t="e">
        <f>K149+I149+J149-L149+N149+G149</f>
        <v>#DIV/0!</v>
      </c>
      <c r="P149" s="38" t="e">
        <f>O149*(1/((1+P$12)^(B149/12)))</f>
        <v>#DIV/0!</v>
      </c>
      <c r="Q149" s="53"/>
      <c r="R149" s="53">
        <f t="shared" si="35"/>
        <v>0.12</v>
      </c>
      <c r="S149" s="53">
        <f t="shared" si="36"/>
        <v>1.0596241035318976E-2</v>
      </c>
      <c r="T149" s="53">
        <f t="shared" si="37"/>
        <v>0</v>
      </c>
      <c r="U149" s="53">
        <f t="shared" si="38"/>
        <v>0</v>
      </c>
    </row>
    <row r="150" spans="1:21" x14ac:dyDescent="0.2">
      <c r="A150" s="62" t="e">
        <f t="shared" si="31"/>
        <v>#DIV/0!</v>
      </c>
      <c r="B150" s="45">
        <f t="shared" si="32"/>
        <v>136</v>
      </c>
      <c r="C150" s="51" t="e">
        <f>IF(B150&lt;C$4,C$1,D149-L150+N150)</f>
        <v>#DIV/0!</v>
      </c>
      <c r="D150" s="47" t="e" cm="1">
        <f t="array" ref="D150">_xlfn.IFS(AND($C$7="Y",B150&lt;C$4),C150,AND($C$7="Y",B150=C$4),D149+F150-J150-K150-L150+N150,AND($C$7="Y",B150&gt;$C$4),D149-J150-K150-L150+N150, TRUE, D149-J150-K150-L150+N150)</f>
        <v>#DIV/0!</v>
      </c>
      <c r="E150" s="48">
        <f t="shared" si="33"/>
        <v>0</v>
      </c>
      <c r="F150" s="50">
        <f t="shared" si="34"/>
        <v>0</v>
      </c>
      <c r="G150" s="50">
        <f t="shared" si="39"/>
        <v>0</v>
      </c>
      <c r="H150" s="51" t="e">
        <f>IF(AND($B150&lt;=$C$4,C$7="Y"),0,IF(AND(C$7="N",C$4&gt;0,B150&lt;=C$4),0,(D149-L150+N150)*C$2/12/(1-(1/(1+C$2/12))^(C$3+C$4-B150+1))))</f>
        <v>#DIV/0!</v>
      </c>
      <c r="I150" s="52" t="e">
        <f>IF(AND(C$7="Y",$B150&lt;=C$4),0,IF(AND(C$7="Y",$B150&gt;C$4),(1-U150)*C$2*D149/12,IF(AND($C$7="N",C$4&gt;0),(1-U150)*D149*C$2/12, (1-U150)*D149*C$2/12)))</f>
        <v>#DIV/0!</v>
      </c>
      <c r="J150" s="52" t="e">
        <f>IF(AND($B150&lt;=$C$4,C$7="Y"),0,IF(AND(C$7="N",C$4&gt;0,B150&lt;=C$4),0,H150-I150))</f>
        <v>#DIV/0!</v>
      </c>
      <c r="K150" s="51" t="e">
        <f>IF(AND(C$7="Y",$B150&lt;=$C$4),0,IF(AND(C$7="N",C$4&gt;0,B150&lt;=C$4),0,S150*(C150-J150)))</f>
        <v>#DIV/0!</v>
      </c>
      <c r="L150" s="49" t="e">
        <f>IF(AND(C$7="Y",$B150&lt;=$C$4),0,IF(AND(C$7="N",C$4&gt;0,B150&lt;=C$4),0,U150*D149))</f>
        <v>#DIV/0!</v>
      </c>
      <c r="M150" s="49">
        <f t="shared" si="30"/>
        <v>0</v>
      </c>
      <c r="N150" s="49">
        <f t="shared" si="29"/>
        <v>0</v>
      </c>
      <c r="O150" s="48" t="e">
        <f>K150+I150+J150-L150+N150+G150</f>
        <v>#DIV/0!</v>
      </c>
      <c r="P150" s="38" t="e">
        <f>O150*(1/((1+P$12)^(B150/12)))</f>
        <v>#DIV/0!</v>
      </c>
      <c r="Q150" s="53"/>
      <c r="R150" s="53">
        <f t="shared" si="35"/>
        <v>0.12</v>
      </c>
      <c r="S150" s="53">
        <f t="shared" si="36"/>
        <v>1.0596241035318976E-2</v>
      </c>
      <c r="T150" s="53">
        <f t="shared" si="37"/>
        <v>0</v>
      </c>
      <c r="U150" s="53">
        <f t="shared" si="38"/>
        <v>0</v>
      </c>
    </row>
    <row r="151" spans="1:21" x14ac:dyDescent="0.2">
      <c r="A151" s="62" t="e">
        <f t="shared" si="31"/>
        <v>#DIV/0!</v>
      </c>
      <c r="B151" s="45">
        <f t="shared" si="32"/>
        <v>137</v>
      </c>
      <c r="C151" s="51" t="e">
        <f>IF(B151&lt;C$4,C$1,D150-L151+N151)</f>
        <v>#DIV/0!</v>
      </c>
      <c r="D151" s="47" t="e" cm="1">
        <f t="array" ref="D151">_xlfn.IFS(AND($C$7="Y",B151&lt;C$4),C151,AND($C$7="Y",B151=C$4),D150+F151-J151-K151-L151+N151,AND($C$7="Y",B151&gt;$C$4),D150-J151-K151-L151+N151, TRUE, D150-J151-K151-L151+N151)</f>
        <v>#DIV/0!</v>
      </c>
      <c r="E151" s="48">
        <f t="shared" si="33"/>
        <v>0</v>
      </c>
      <c r="F151" s="50">
        <f t="shared" si="34"/>
        <v>0</v>
      </c>
      <c r="G151" s="50">
        <f t="shared" si="39"/>
        <v>0</v>
      </c>
      <c r="H151" s="51" t="e">
        <f>IF(AND($B151&lt;=$C$4,C$7="Y"),0,IF(AND(C$7="N",C$4&gt;0,B151&lt;=C$4),0,(D150-L151+N151)*C$2/12/(1-(1/(1+C$2/12))^(C$3+C$4-B151+1))))</f>
        <v>#DIV/0!</v>
      </c>
      <c r="I151" s="52" t="e">
        <f>IF(AND(C$7="Y",$B151&lt;=C$4),0,IF(AND(C$7="Y",$B151&gt;C$4),(1-U151)*C$2*D150/12,IF(AND($C$7="N",C$4&gt;0),(1-U151)*D150*C$2/12, (1-U151)*D150*C$2/12)))</f>
        <v>#DIV/0!</v>
      </c>
      <c r="J151" s="52" t="e">
        <f>IF(AND($B151&lt;=$C$4,C$7="Y"),0,IF(AND(C$7="N",C$4&gt;0,B151&lt;=C$4),0,H151-I151))</f>
        <v>#DIV/0!</v>
      </c>
      <c r="K151" s="51" t="e">
        <f>IF(AND(C$7="Y",$B151&lt;=$C$4),0,IF(AND(C$7="N",C$4&gt;0,B151&lt;=C$4),0,S151*(C151-J151)))</f>
        <v>#DIV/0!</v>
      </c>
      <c r="L151" s="49" t="e">
        <f>IF(AND(C$7="Y",$B151&lt;=$C$4),0,IF(AND(C$7="N",C$4&gt;0,B151&lt;=C$4),0,U151*D150))</f>
        <v>#DIV/0!</v>
      </c>
      <c r="M151" s="49">
        <f t="shared" si="30"/>
        <v>0</v>
      </c>
      <c r="N151" s="49">
        <f t="shared" si="29"/>
        <v>0</v>
      </c>
      <c r="O151" s="48" t="e">
        <f>K151+I151+J151-L151+N151+G151</f>
        <v>#DIV/0!</v>
      </c>
      <c r="P151" s="38" t="e">
        <f>O151*(1/((1+P$12)^(B151/12)))</f>
        <v>#DIV/0!</v>
      </c>
      <c r="Q151" s="53"/>
      <c r="R151" s="53">
        <f t="shared" si="35"/>
        <v>0.12</v>
      </c>
      <c r="S151" s="53">
        <f t="shared" si="36"/>
        <v>1.0596241035318976E-2</v>
      </c>
      <c r="T151" s="53">
        <f t="shared" si="37"/>
        <v>0</v>
      </c>
      <c r="U151" s="53">
        <f t="shared" si="38"/>
        <v>0</v>
      </c>
    </row>
    <row r="152" spans="1:21" x14ac:dyDescent="0.2">
      <c r="A152" s="62" t="e">
        <f t="shared" si="31"/>
        <v>#DIV/0!</v>
      </c>
      <c r="B152" s="45">
        <f t="shared" si="32"/>
        <v>138</v>
      </c>
      <c r="C152" s="51" t="e">
        <f>IF(B152&lt;C$4,C$1,D151-L152+N152)</f>
        <v>#DIV/0!</v>
      </c>
      <c r="D152" s="47" t="e" cm="1">
        <f t="array" ref="D152">_xlfn.IFS(AND($C$7="Y",B152&lt;C$4),C152,AND($C$7="Y",B152=C$4),D151+F152-J152-K152-L152+N152,AND($C$7="Y",B152&gt;$C$4),D151-J152-K152-L152+N152, TRUE, D151-J152-K152-L152+N152)</f>
        <v>#DIV/0!</v>
      </c>
      <c r="E152" s="48">
        <f t="shared" si="33"/>
        <v>0</v>
      </c>
      <c r="F152" s="50">
        <f t="shared" si="34"/>
        <v>0</v>
      </c>
      <c r="G152" s="50">
        <f t="shared" si="39"/>
        <v>0</v>
      </c>
      <c r="H152" s="51" t="e">
        <f>IF(AND($B152&lt;=$C$4,C$7="Y"),0,IF(AND(C$7="N",C$4&gt;0,B152&lt;=C$4),0,(D151-L152+N152)*C$2/12/(1-(1/(1+C$2/12))^(C$3+C$4-B152+1))))</f>
        <v>#DIV/0!</v>
      </c>
      <c r="I152" s="52" t="e">
        <f>IF(AND(C$7="Y",$B152&lt;=C$4),0,IF(AND(C$7="Y",$B152&gt;C$4),(1-U152)*C$2*D151/12,IF(AND($C$7="N",C$4&gt;0),(1-U152)*D151*C$2/12, (1-U152)*D151*C$2/12)))</f>
        <v>#DIV/0!</v>
      </c>
      <c r="J152" s="52" t="e">
        <f>IF(AND($B152&lt;=$C$4,C$7="Y"),0,IF(AND(C$7="N",C$4&gt;0,B152&lt;=C$4),0,H152-I152))</f>
        <v>#DIV/0!</v>
      </c>
      <c r="K152" s="51" t="e">
        <f>IF(AND(C$7="Y",$B152&lt;=$C$4),0,IF(AND(C$7="N",C$4&gt;0,B152&lt;=C$4),0,S152*(C152-J152)))</f>
        <v>#DIV/0!</v>
      </c>
      <c r="L152" s="49" t="e">
        <f>IF(AND(C$7="Y",$B152&lt;=$C$4),0,IF(AND(C$7="N",C$4&gt;0,B152&lt;=C$4),0,U152*D151))</f>
        <v>#DIV/0!</v>
      </c>
      <c r="M152" s="49">
        <f t="shared" si="30"/>
        <v>0</v>
      </c>
      <c r="N152" s="49">
        <f t="shared" si="29"/>
        <v>0</v>
      </c>
      <c r="O152" s="48" t="e">
        <f>K152+I152+J152-L152+N152+G152</f>
        <v>#DIV/0!</v>
      </c>
      <c r="P152" s="38" t="e">
        <f>O152*(1/((1+P$12)^(B152/12)))</f>
        <v>#DIV/0!</v>
      </c>
      <c r="Q152" s="53"/>
      <c r="R152" s="53">
        <f t="shared" si="35"/>
        <v>0.12</v>
      </c>
      <c r="S152" s="53">
        <f t="shared" si="36"/>
        <v>1.0596241035318976E-2</v>
      </c>
      <c r="T152" s="53">
        <f t="shared" si="37"/>
        <v>0</v>
      </c>
      <c r="U152" s="53">
        <f t="shared" si="38"/>
        <v>0</v>
      </c>
    </row>
    <row r="153" spans="1:21" x14ac:dyDescent="0.2">
      <c r="A153" s="62" t="e">
        <f t="shared" si="31"/>
        <v>#DIV/0!</v>
      </c>
      <c r="B153" s="45">
        <f t="shared" si="32"/>
        <v>139</v>
      </c>
      <c r="C153" s="51" t="e">
        <f>IF(B153&lt;C$4,C$1,D152-L153+N153)</f>
        <v>#DIV/0!</v>
      </c>
      <c r="D153" s="47" t="e" cm="1">
        <f t="array" ref="D153">_xlfn.IFS(AND($C$7="Y",B153&lt;C$4),C153,AND($C$7="Y",B153=C$4),D152+F153-J153-K153-L153+N153,AND($C$7="Y",B153&gt;$C$4),D152-J153-K153-L153+N153, TRUE, D152-J153-K153-L153+N153)</f>
        <v>#DIV/0!</v>
      </c>
      <c r="E153" s="48">
        <f t="shared" si="33"/>
        <v>0</v>
      </c>
      <c r="F153" s="50">
        <f t="shared" si="34"/>
        <v>0</v>
      </c>
      <c r="G153" s="50">
        <f t="shared" si="39"/>
        <v>0</v>
      </c>
      <c r="H153" s="51" t="e">
        <f>IF(AND($B153&lt;=$C$4,C$7="Y"),0,IF(AND(C$7="N",C$4&gt;0,B153&lt;=C$4),0,(D152-L153+N153)*C$2/12/(1-(1/(1+C$2/12))^(C$3+C$4-B153+1))))</f>
        <v>#DIV/0!</v>
      </c>
      <c r="I153" s="52" t="e">
        <f>IF(AND(C$7="Y",$B153&lt;=C$4),0,IF(AND(C$7="Y",$B153&gt;C$4),(1-U153)*C$2*D152/12,IF(AND($C$7="N",C$4&gt;0),(1-U153)*D152*C$2/12, (1-U153)*D152*C$2/12)))</f>
        <v>#DIV/0!</v>
      </c>
      <c r="J153" s="52" t="e">
        <f>IF(AND($B153&lt;=$C$4,C$7="Y"),0,IF(AND(C$7="N",C$4&gt;0,B153&lt;=C$4),0,H153-I153))</f>
        <v>#DIV/0!</v>
      </c>
      <c r="K153" s="51" t="e">
        <f>IF(AND(C$7="Y",$B153&lt;=$C$4),0,IF(AND(C$7="N",C$4&gt;0,B153&lt;=C$4),0,S153*(C153-J153)))</f>
        <v>#DIV/0!</v>
      </c>
      <c r="L153" s="49" t="e">
        <f>IF(AND(C$7="Y",$B153&lt;=$C$4),0,IF(AND(C$7="N",C$4&gt;0,B153&lt;=C$4),0,U153*D152))</f>
        <v>#DIV/0!</v>
      </c>
      <c r="M153" s="49">
        <f t="shared" si="30"/>
        <v>0</v>
      </c>
      <c r="N153" s="49">
        <f t="shared" si="29"/>
        <v>0</v>
      </c>
      <c r="O153" s="48" t="e">
        <f>K153+I153+J153-L153+N153+G153</f>
        <v>#DIV/0!</v>
      </c>
      <c r="P153" s="38" t="e">
        <f>O153*(1/((1+P$12)^(B153/12)))</f>
        <v>#DIV/0!</v>
      </c>
      <c r="Q153" s="53"/>
      <c r="R153" s="53">
        <f t="shared" si="35"/>
        <v>0.12</v>
      </c>
      <c r="S153" s="53">
        <f t="shared" si="36"/>
        <v>1.0596241035318976E-2</v>
      </c>
      <c r="T153" s="53">
        <f t="shared" si="37"/>
        <v>0</v>
      </c>
      <c r="U153" s="53">
        <f t="shared" si="38"/>
        <v>0</v>
      </c>
    </row>
    <row r="154" spans="1:21" x14ac:dyDescent="0.2">
      <c r="A154" s="62" t="e">
        <f t="shared" si="31"/>
        <v>#DIV/0!</v>
      </c>
      <c r="B154" s="45">
        <f t="shared" si="32"/>
        <v>140</v>
      </c>
      <c r="C154" s="51" t="e">
        <f>IF(B154&lt;C$4,C$1,D153-L154+N154)</f>
        <v>#DIV/0!</v>
      </c>
      <c r="D154" s="47" t="e" cm="1">
        <f t="array" ref="D154">_xlfn.IFS(AND($C$7="Y",B154&lt;C$4),C154,AND($C$7="Y",B154=C$4),D153+F154-J154-K154-L154+N154,AND($C$7="Y",B154&gt;$C$4),D153-J154-K154-L154+N154, TRUE, D153-J154-K154-L154+N154)</f>
        <v>#DIV/0!</v>
      </c>
      <c r="E154" s="48">
        <f t="shared" si="33"/>
        <v>0</v>
      </c>
      <c r="F154" s="50">
        <f t="shared" si="34"/>
        <v>0</v>
      </c>
      <c r="G154" s="50">
        <f t="shared" si="39"/>
        <v>0</v>
      </c>
      <c r="H154" s="51" t="e">
        <f>IF(AND($B154&lt;=$C$4,C$7="Y"),0,IF(AND(C$7="N",C$4&gt;0,B154&lt;=C$4),0,(D153-L154+N154)*C$2/12/(1-(1/(1+C$2/12))^(C$3+C$4-B154+1))))</f>
        <v>#DIV/0!</v>
      </c>
      <c r="I154" s="52" t="e">
        <f>IF(AND(C$7="Y",$B154&lt;=C$4),0,IF(AND(C$7="Y",$B154&gt;C$4),(1-U154)*C$2*D153/12,IF(AND($C$7="N",C$4&gt;0),(1-U154)*D153*C$2/12, (1-U154)*D153*C$2/12)))</f>
        <v>#DIV/0!</v>
      </c>
      <c r="J154" s="52" t="e">
        <f>IF(AND($B154&lt;=$C$4,C$7="Y"),0,IF(AND(C$7="N",C$4&gt;0,B154&lt;=C$4),0,H154-I154))</f>
        <v>#DIV/0!</v>
      </c>
      <c r="K154" s="51" t="e">
        <f>IF(AND(C$7="Y",$B154&lt;=$C$4),0,IF(AND(C$7="N",C$4&gt;0,B154&lt;=C$4),0,S154*(C154-J154)))</f>
        <v>#DIV/0!</v>
      </c>
      <c r="L154" s="49" t="e">
        <f>IF(AND(C$7="Y",$B154&lt;=$C$4),0,IF(AND(C$7="N",C$4&gt;0,B154&lt;=C$4),0,U154*D153))</f>
        <v>#DIV/0!</v>
      </c>
      <c r="M154" s="49">
        <f t="shared" si="30"/>
        <v>0</v>
      </c>
      <c r="N154" s="49">
        <f t="shared" si="29"/>
        <v>0</v>
      </c>
      <c r="O154" s="48" t="e">
        <f>K154+I154+J154-L154+N154+G154</f>
        <v>#DIV/0!</v>
      </c>
      <c r="P154" s="38" t="e">
        <f>O154*(1/((1+P$12)^(B154/12)))</f>
        <v>#DIV/0!</v>
      </c>
      <c r="Q154" s="53"/>
      <c r="R154" s="53">
        <f t="shared" si="35"/>
        <v>0.12</v>
      </c>
      <c r="S154" s="53">
        <f t="shared" si="36"/>
        <v>1.0596241035318976E-2</v>
      </c>
      <c r="T154" s="53">
        <f t="shared" si="37"/>
        <v>0</v>
      </c>
      <c r="U154" s="53">
        <f t="shared" si="38"/>
        <v>0</v>
      </c>
    </row>
    <row r="155" spans="1:21" x14ac:dyDescent="0.2">
      <c r="A155" s="62" t="e">
        <f t="shared" si="31"/>
        <v>#DIV/0!</v>
      </c>
      <c r="B155" s="45">
        <f t="shared" si="32"/>
        <v>141</v>
      </c>
      <c r="C155" s="51" t="e">
        <f>IF(B155&lt;C$4,C$1,D154-L155+N155)</f>
        <v>#DIV/0!</v>
      </c>
      <c r="D155" s="47" t="e" cm="1">
        <f t="array" ref="D155">_xlfn.IFS(AND($C$7="Y",B155&lt;C$4),C155,AND($C$7="Y",B155=C$4),D154+F155-J155-K155-L155+N155,AND($C$7="Y",B155&gt;$C$4),D154-J155-K155-L155+N155, TRUE, D154-J155-K155-L155+N155)</f>
        <v>#DIV/0!</v>
      </c>
      <c r="E155" s="48">
        <f t="shared" si="33"/>
        <v>0</v>
      </c>
      <c r="F155" s="50">
        <f t="shared" si="34"/>
        <v>0</v>
      </c>
      <c r="G155" s="50">
        <f t="shared" si="39"/>
        <v>0</v>
      </c>
      <c r="H155" s="51" t="e">
        <f>IF(AND($B155&lt;=$C$4,C$7="Y"),0,IF(AND(C$7="N",C$4&gt;0,B155&lt;=C$4),0,(D154-L155+N155)*C$2/12/(1-(1/(1+C$2/12))^(C$3+C$4-B155+1))))</f>
        <v>#DIV/0!</v>
      </c>
      <c r="I155" s="52" t="e">
        <f>IF(AND(C$7="Y",$B155&lt;=C$4),0,IF(AND(C$7="Y",$B155&gt;C$4),(1-U155)*C$2*D154/12,IF(AND($C$7="N",C$4&gt;0),(1-U155)*D154*C$2/12, (1-U155)*D154*C$2/12)))</f>
        <v>#DIV/0!</v>
      </c>
      <c r="J155" s="52" t="e">
        <f>IF(AND($B155&lt;=$C$4,C$7="Y"),0,IF(AND(C$7="N",C$4&gt;0,B155&lt;=C$4),0,H155-I155))</f>
        <v>#DIV/0!</v>
      </c>
      <c r="K155" s="51" t="e">
        <f>IF(AND(C$7="Y",$B155&lt;=$C$4),0,IF(AND(C$7="N",C$4&gt;0,B155&lt;=C$4),0,S155*(C155-J155)))</f>
        <v>#DIV/0!</v>
      </c>
      <c r="L155" s="49" t="e">
        <f>IF(AND(C$7="Y",$B155&lt;=$C$4),0,IF(AND(C$7="N",C$4&gt;0,B155&lt;=C$4),0,U155*D154))</f>
        <v>#DIV/0!</v>
      </c>
      <c r="M155" s="49">
        <f t="shared" si="30"/>
        <v>0</v>
      </c>
      <c r="N155" s="49">
        <f t="shared" si="29"/>
        <v>0</v>
      </c>
      <c r="O155" s="48" t="e">
        <f>K155+I155+J155-L155+N155+G155</f>
        <v>#DIV/0!</v>
      </c>
      <c r="P155" s="38" t="e">
        <f>O155*(1/((1+P$12)^(B155/12)))</f>
        <v>#DIV/0!</v>
      </c>
      <c r="Q155" s="53"/>
      <c r="R155" s="53">
        <f t="shared" si="35"/>
        <v>0.12</v>
      </c>
      <c r="S155" s="53">
        <f t="shared" si="36"/>
        <v>1.0596241035318976E-2</v>
      </c>
      <c r="T155" s="53">
        <f t="shared" si="37"/>
        <v>0</v>
      </c>
      <c r="U155" s="53">
        <f t="shared" si="38"/>
        <v>0</v>
      </c>
    </row>
    <row r="156" spans="1:21" x14ac:dyDescent="0.2">
      <c r="A156" s="62" t="e">
        <f t="shared" si="31"/>
        <v>#DIV/0!</v>
      </c>
      <c r="B156" s="45">
        <f t="shared" si="32"/>
        <v>142</v>
      </c>
      <c r="C156" s="51" t="e">
        <f>IF(B156&lt;C$4,C$1,D155-L156+N156)</f>
        <v>#DIV/0!</v>
      </c>
      <c r="D156" s="47" t="e" cm="1">
        <f t="array" ref="D156">_xlfn.IFS(AND($C$7="Y",B156&lt;C$4),C156,AND($C$7="Y",B156=C$4),D155+F156-J156-K156-L156+N156,AND($C$7="Y",B156&gt;$C$4),D155-J156-K156-L156+N156, TRUE, D155-J156-K156-L156+N156)</f>
        <v>#DIV/0!</v>
      </c>
      <c r="E156" s="48">
        <f t="shared" si="33"/>
        <v>0</v>
      </c>
      <c r="F156" s="50">
        <f t="shared" si="34"/>
        <v>0</v>
      </c>
      <c r="G156" s="50">
        <f t="shared" si="39"/>
        <v>0</v>
      </c>
      <c r="H156" s="51" t="e">
        <f>IF(AND($B156&lt;=$C$4,C$7="Y"),0,IF(AND(C$7="N",C$4&gt;0,B156&lt;=C$4),0,(D155-L156+N156)*C$2/12/(1-(1/(1+C$2/12))^(C$3+C$4-B156+1))))</f>
        <v>#DIV/0!</v>
      </c>
      <c r="I156" s="52" t="e">
        <f>IF(AND(C$7="Y",$B156&lt;=C$4),0,IF(AND(C$7="Y",$B156&gt;C$4),(1-U156)*C$2*D155/12,IF(AND($C$7="N",C$4&gt;0),(1-U156)*D155*C$2/12, (1-U156)*D155*C$2/12)))</f>
        <v>#DIV/0!</v>
      </c>
      <c r="J156" s="52" t="e">
        <f>IF(AND($B156&lt;=$C$4,C$7="Y"),0,IF(AND(C$7="N",C$4&gt;0,B156&lt;=C$4),0,H156-I156))</f>
        <v>#DIV/0!</v>
      </c>
      <c r="K156" s="51" t="e">
        <f>IF(AND(C$7="Y",$B156&lt;=$C$4),0,IF(AND(C$7="N",C$4&gt;0,B156&lt;=C$4),0,S156*(C156-J156)))</f>
        <v>#DIV/0!</v>
      </c>
      <c r="L156" s="49" t="e">
        <f>IF(AND(C$7="Y",$B156&lt;=$C$4),0,IF(AND(C$7="N",C$4&gt;0,B156&lt;=C$4),0,U156*D155))</f>
        <v>#DIV/0!</v>
      </c>
      <c r="M156" s="49">
        <f t="shared" si="30"/>
        <v>0</v>
      </c>
      <c r="N156" s="49">
        <f t="shared" si="29"/>
        <v>0</v>
      </c>
      <c r="O156" s="48" t="e">
        <f>K156+I156+J156-L156+N156+G156</f>
        <v>#DIV/0!</v>
      </c>
      <c r="P156" s="38" t="e">
        <f>O156*(1/((1+P$12)^(B156/12)))</f>
        <v>#DIV/0!</v>
      </c>
      <c r="Q156" s="53"/>
      <c r="R156" s="53">
        <f t="shared" si="35"/>
        <v>0.12</v>
      </c>
      <c r="S156" s="53">
        <f t="shared" si="36"/>
        <v>1.0596241035318976E-2</v>
      </c>
      <c r="T156" s="53">
        <f t="shared" si="37"/>
        <v>0</v>
      </c>
      <c r="U156" s="53">
        <f t="shared" si="38"/>
        <v>0</v>
      </c>
    </row>
    <row r="157" spans="1:21" x14ac:dyDescent="0.2">
      <c r="A157" s="62" t="e">
        <f t="shared" si="31"/>
        <v>#DIV/0!</v>
      </c>
      <c r="B157" s="45">
        <f t="shared" si="32"/>
        <v>143</v>
      </c>
      <c r="C157" s="51" t="e">
        <f>IF(B157&lt;C$4,C$1,D156-L157+N157)</f>
        <v>#DIV/0!</v>
      </c>
      <c r="D157" s="47" t="e" cm="1">
        <f t="array" ref="D157">_xlfn.IFS(AND($C$7="Y",B157&lt;C$4),C157,AND($C$7="Y",B157=C$4),D156+F157-J157-K157-L157+N157,AND($C$7="Y",B157&gt;$C$4),D156-J157-K157-L157+N157, TRUE, D156-J157-K157-L157+N157)</f>
        <v>#DIV/0!</v>
      </c>
      <c r="E157" s="48">
        <f t="shared" si="33"/>
        <v>0</v>
      </c>
      <c r="F157" s="50">
        <f t="shared" si="34"/>
        <v>0</v>
      </c>
      <c r="G157" s="50">
        <f t="shared" si="39"/>
        <v>0</v>
      </c>
      <c r="H157" s="51" t="e">
        <f>IF(AND($B157&lt;=$C$4,C$7="Y"),0,IF(AND(C$7="N",C$4&gt;0,B157&lt;=C$4),0,(D156-L157+N157)*C$2/12/(1-(1/(1+C$2/12))^(C$3+C$4-B157+1))))</f>
        <v>#DIV/0!</v>
      </c>
      <c r="I157" s="52" t="e">
        <f>IF(AND(C$7="Y",$B157&lt;=C$4),0,IF(AND(C$7="Y",$B157&gt;C$4),(1-U157)*C$2*D156/12,IF(AND($C$7="N",C$4&gt;0),(1-U157)*D156*C$2/12, (1-U157)*D156*C$2/12)))</f>
        <v>#DIV/0!</v>
      </c>
      <c r="J157" s="52" t="e">
        <f>IF(AND($B157&lt;=$C$4,C$7="Y"),0,IF(AND(C$7="N",C$4&gt;0,B157&lt;=C$4),0,H157-I157))</f>
        <v>#DIV/0!</v>
      </c>
      <c r="K157" s="51" t="e">
        <f>IF(AND(C$7="Y",$B157&lt;=$C$4),0,IF(AND(C$7="N",C$4&gt;0,B157&lt;=C$4),0,S157*(C157-J157)))</f>
        <v>#DIV/0!</v>
      </c>
      <c r="L157" s="49" t="e">
        <f>IF(AND(C$7="Y",$B157&lt;=$C$4),0,IF(AND(C$7="N",C$4&gt;0,B157&lt;=C$4),0,U157*D156))</f>
        <v>#DIV/0!</v>
      </c>
      <c r="M157" s="49">
        <f t="shared" si="30"/>
        <v>0</v>
      </c>
      <c r="N157" s="49">
        <f t="shared" si="29"/>
        <v>0</v>
      </c>
      <c r="O157" s="48" t="e">
        <f>K157+I157+J157-L157+N157+G157</f>
        <v>#DIV/0!</v>
      </c>
      <c r="P157" s="38" t="e">
        <f>O157*(1/((1+P$12)^(B157/12)))</f>
        <v>#DIV/0!</v>
      </c>
      <c r="Q157" s="53"/>
      <c r="R157" s="53">
        <f t="shared" si="35"/>
        <v>0.12</v>
      </c>
      <c r="S157" s="53">
        <f t="shared" si="36"/>
        <v>1.0596241035318976E-2</v>
      </c>
      <c r="T157" s="53">
        <f t="shared" si="37"/>
        <v>0</v>
      </c>
      <c r="U157" s="53">
        <f t="shared" si="38"/>
        <v>0</v>
      </c>
    </row>
    <row r="158" spans="1:21" x14ac:dyDescent="0.2">
      <c r="A158" s="62" t="e">
        <f t="shared" si="31"/>
        <v>#DIV/0!</v>
      </c>
      <c r="B158" s="45">
        <f t="shared" si="32"/>
        <v>144</v>
      </c>
      <c r="C158" s="51" t="e">
        <f>IF(B158&lt;C$4,C$1,D157-L158+N158)</f>
        <v>#DIV/0!</v>
      </c>
      <c r="D158" s="47" t="e" cm="1">
        <f t="array" ref="D158">_xlfn.IFS(AND($C$7="Y",B158&lt;C$4),C158,AND($C$7="Y",B158=C$4),D157+F158-J158-K158-L158+N158,AND($C$7="Y",B158&gt;$C$4),D157-J158-K158-L158+N158, TRUE, D157-J158-K158-L158+N158)</f>
        <v>#DIV/0!</v>
      </c>
      <c r="E158" s="48">
        <f t="shared" si="33"/>
        <v>0</v>
      </c>
      <c r="F158" s="50">
        <f t="shared" si="34"/>
        <v>0</v>
      </c>
      <c r="G158" s="50">
        <f t="shared" si="39"/>
        <v>0</v>
      </c>
      <c r="H158" s="51" t="e">
        <f>IF(AND($B158&lt;=$C$4,C$7="Y"),0,IF(AND(C$7="N",C$4&gt;0,B158&lt;=C$4),0,(D157-L158+N158)*C$2/12/(1-(1/(1+C$2/12))^(C$3+C$4-B158+1))))</f>
        <v>#DIV/0!</v>
      </c>
      <c r="I158" s="52" t="e">
        <f>IF(AND(C$7="Y",$B158&lt;=C$4),0,IF(AND(C$7="Y",$B158&gt;C$4),(1-U158)*C$2*D157/12,IF(AND($C$7="N",C$4&gt;0),(1-U158)*D157*C$2/12, (1-U158)*D157*C$2/12)))</f>
        <v>#DIV/0!</v>
      </c>
      <c r="J158" s="52" t="e">
        <f>IF(AND($B158&lt;=$C$4,C$7="Y"),0,IF(AND(C$7="N",C$4&gt;0,B158&lt;=C$4),0,H158-I158))</f>
        <v>#DIV/0!</v>
      </c>
      <c r="K158" s="51" t="e">
        <f>IF(AND(C$7="Y",$B158&lt;=$C$4),0,IF(AND(C$7="N",C$4&gt;0,B158&lt;=C$4),0,S158*(C158-J158)))</f>
        <v>#DIV/0!</v>
      </c>
      <c r="L158" s="49" t="e">
        <f>IF(AND(C$7="Y",$B158&lt;=$C$4),0,IF(AND(C$7="N",C$4&gt;0,B158&lt;=C$4),0,U158*D157))</f>
        <v>#DIV/0!</v>
      </c>
      <c r="M158" s="49">
        <f t="shared" si="30"/>
        <v>0</v>
      </c>
      <c r="N158" s="49">
        <f t="shared" si="29"/>
        <v>0</v>
      </c>
      <c r="O158" s="48" t="e">
        <f>K158+I158+J158-L158+N158+G158</f>
        <v>#DIV/0!</v>
      </c>
      <c r="P158" s="38" t="e">
        <f>O158*(1/((1+P$12)^(B158/12)))</f>
        <v>#DIV/0!</v>
      </c>
      <c r="Q158" s="53"/>
      <c r="R158" s="53">
        <f t="shared" si="35"/>
        <v>0.12</v>
      </c>
      <c r="S158" s="53">
        <f t="shared" si="36"/>
        <v>1.0596241035318976E-2</v>
      </c>
      <c r="T158" s="53">
        <f t="shared" si="37"/>
        <v>0</v>
      </c>
      <c r="U158" s="53">
        <f t="shared" si="38"/>
        <v>0</v>
      </c>
    </row>
    <row r="159" spans="1:21" x14ac:dyDescent="0.2">
      <c r="A159" s="62" t="e">
        <f t="shared" si="31"/>
        <v>#DIV/0!</v>
      </c>
      <c r="B159" s="45">
        <f t="shared" si="32"/>
        <v>145</v>
      </c>
      <c r="C159" s="51" t="e">
        <f>IF(B159&lt;C$4,C$1,D158-L159+N159)</f>
        <v>#DIV/0!</v>
      </c>
      <c r="D159" s="47" t="e" cm="1">
        <f t="array" ref="D159">_xlfn.IFS(AND($C$7="Y",B159&lt;C$4),C159,AND($C$7="Y",B159=C$4),D158+F159-J159-K159-L159+N159,AND($C$7="Y",B159&gt;$C$4),D158-J159-K159-L159+N159, TRUE, D158-J159-K159-L159+N159)</f>
        <v>#DIV/0!</v>
      </c>
      <c r="E159" s="48">
        <f t="shared" si="33"/>
        <v>0</v>
      </c>
      <c r="F159" s="50">
        <f t="shared" si="34"/>
        <v>0</v>
      </c>
      <c r="G159" s="50">
        <f t="shared" si="39"/>
        <v>0</v>
      </c>
      <c r="H159" s="51" t="e">
        <f>IF(AND($B159&lt;=$C$4,C$7="Y"),0,IF(AND(C$7="N",C$4&gt;0,B159&lt;=C$4),0,(D158-L159+N159)*C$2/12/(1-(1/(1+C$2/12))^(C$3+C$4-B159+1))))</f>
        <v>#DIV/0!</v>
      </c>
      <c r="I159" s="52" t="e">
        <f>IF(AND(C$7="Y",$B159&lt;=C$4),0,IF(AND(C$7="Y",$B159&gt;C$4),(1-U159)*C$2*D158/12,IF(AND($C$7="N",C$4&gt;0),(1-U159)*D158*C$2/12, (1-U159)*D158*C$2/12)))</f>
        <v>#DIV/0!</v>
      </c>
      <c r="J159" s="52" t="e">
        <f>IF(AND($B159&lt;=$C$4,C$7="Y"),0,IF(AND(C$7="N",C$4&gt;0,B159&lt;=C$4),0,H159-I159))</f>
        <v>#DIV/0!</v>
      </c>
      <c r="K159" s="51" t="e">
        <f>IF(AND(C$7="Y",$B159&lt;=$C$4),0,IF(AND(C$7="N",C$4&gt;0,B159&lt;=C$4),0,S159*(C159-J159)))</f>
        <v>#DIV/0!</v>
      </c>
      <c r="L159" s="49" t="e">
        <f>IF(AND(C$7="Y",$B159&lt;=$C$4),0,IF(AND(C$7="N",C$4&gt;0,B159&lt;=C$4),0,U159*D158))</f>
        <v>#DIV/0!</v>
      </c>
      <c r="M159" s="49">
        <f t="shared" si="30"/>
        <v>0</v>
      </c>
      <c r="N159" s="49">
        <f t="shared" si="29"/>
        <v>0</v>
      </c>
      <c r="O159" s="48" t="e">
        <f>K159+I159+J159-L159+N159+G159</f>
        <v>#DIV/0!</v>
      </c>
      <c r="P159" s="38" t="e">
        <f>O159*(1/((1+P$12)^(B159/12)))</f>
        <v>#DIV/0!</v>
      </c>
      <c r="Q159" s="53"/>
      <c r="R159" s="53">
        <f t="shared" si="35"/>
        <v>0.12</v>
      </c>
      <c r="S159" s="53">
        <f t="shared" si="36"/>
        <v>1.0596241035318976E-2</v>
      </c>
      <c r="T159" s="53">
        <f t="shared" si="37"/>
        <v>0</v>
      </c>
      <c r="U159" s="53">
        <f t="shared" si="38"/>
        <v>0</v>
      </c>
    </row>
    <row r="160" spans="1:21" x14ac:dyDescent="0.2">
      <c r="A160" s="62" t="e">
        <f t="shared" si="31"/>
        <v>#DIV/0!</v>
      </c>
      <c r="B160" s="45">
        <f t="shared" si="32"/>
        <v>146</v>
      </c>
      <c r="C160" s="51" t="e">
        <f>IF(B160&lt;C$4,C$1,D159-L160+N160)</f>
        <v>#DIV/0!</v>
      </c>
      <c r="D160" s="47" t="e" cm="1">
        <f t="array" ref="D160">_xlfn.IFS(AND($C$7="Y",B160&lt;C$4),C160,AND($C$7="Y",B160=C$4),D159+F160-J160-K160-L160+N160,AND($C$7="Y",B160&gt;$C$4),D159-J160-K160-L160+N160, TRUE, D159-J160-K160-L160+N160)</f>
        <v>#DIV/0!</v>
      </c>
      <c r="E160" s="48">
        <f t="shared" si="33"/>
        <v>0</v>
      </c>
      <c r="F160" s="50">
        <f t="shared" si="34"/>
        <v>0</v>
      </c>
      <c r="G160" s="50">
        <f t="shared" si="39"/>
        <v>0</v>
      </c>
      <c r="H160" s="51" t="e">
        <f>IF(AND($B160&lt;=$C$4,C$7="Y"),0,IF(AND(C$7="N",C$4&gt;0,B160&lt;=C$4),0,(D159-L160+N160)*C$2/12/(1-(1/(1+C$2/12))^(C$3+C$4-B160+1))))</f>
        <v>#DIV/0!</v>
      </c>
      <c r="I160" s="52" t="e">
        <f>IF(AND(C$7="Y",$B160&lt;=C$4),0,IF(AND(C$7="Y",$B160&gt;C$4),(1-U160)*C$2*D159/12,IF(AND($C$7="N",C$4&gt;0),(1-U160)*D159*C$2/12, (1-U160)*D159*C$2/12)))</f>
        <v>#DIV/0!</v>
      </c>
      <c r="J160" s="52" t="e">
        <f>IF(AND($B160&lt;=$C$4,C$7="Y"),0,IF(AND(C$7="N",C$4&gt;0,B160&lt;=C$4),0,H160-I160))</f>
        <v>#DIV/0!</v>
      </c>
      <c r="K160" s="51" t="e">
        <f>IF(AND(C$7="Y",$B160&lt;=$C$4),0,IF(AND(C$7="N",C$4&gt;0,B160&lt;=C$4),0,S160*(C160-J160)))</f>
        <v>#DIV/0!</v>
      </c>
      <c r="L160" s="49" t="e">
        <f>IF(AND(C$7="Y",$B160&lt;=$C$4),0,IF(AND(C$7="N",C$4&gt;0,B160&lt;=C$4),0,U160*D159))</f>
        <v>#DIV/0!</v>
      </c>
      <c r="M160" s="49">
        <f t="shared" si="30"/>
        <v>0</v>
      </c>
      <c r="N160" s="49">
        <f t="shared" si="29"/>
        <v>0</v>
      </c>
      <c r="O160" s="48" t="e">
        <f>K160+I160+J160-L160+N160+G160</f>
        <v>#DIV/0!</v>
      </c>
      <c r="P160" s="38" t="e">
        <f>O160*(1/((1+P$12)^(B160/12)))</f>
        <v>#DIV/0!</v>
      </c>
      <c r="Q160" s="53"/>
      <c r="R160" s="53">
        <f t="shared" si="35"/>
        <v>0.12</v>
      </c>
      <c r="S160" s="53">
        <f t="shared" si="36"/>
        <v>1.0596241035318976E-2</v>
      </c>
      <c r="T160" s="53">
        <f t="shared" si="37"/>
        <v>0</v>
      </c>
      <c r="U160" s="53">
        <f t="shared" si="38"/>
        <v>0</v>
      </c>
    </row>
    <row r="161" spans="1:21" x14ac:dyDescent="0.2">
      <c r="A161" s="62" t="e">
        <f t="shared" si="31"/>
        <v>#DIV/0!</v>
      </c>
      <c r="B161" s="45">
        <f t="shared" si="32"/>
        <v>147</v>
      </c>
      <c r="C161" s="51" t="e">
        <f>IF(B161&lt;C$4,C$1,D160-L161+N161)</f>
        <v>#DIV/0!</v>
      </c>
      <c r="D161" s="47" t="e" cm="1">
        <f t="array" ref="D161">_xlfn.IFS(AND($C$7="Y",B161&lt;C$4),C161,AND($C$7="Y",B161=C$4),D160+F161-J161-K161-L161+N161,AND($C$7="Y",B161&gt;$C$4),D160-J161-K161-L161+N161, TRUE, D160-J161-K161-L161+N161)</f>
        <v>#DIV/0!</v>
      </c>
      <c r="E161" s="48">
        <f t="shared" si="33"/>
        <v>0</v>
      </c>
      <c r="F161" s="50">
        <f t="shared" si="34"/>
        <v>0</v>
      </c>
      <c r="G161" s="50">
        <f t="shared" si="39"/>
        <v>0</v>
      </c>
      <c r="H161" s="51" t="e">
        <f>IF(AND($B161&lt;=$C$4,C$7="Y"),0,IF(AND(C$7="N",C$4&gt;0,B161&lt;=C$4),0,(D160-L161+N161)*C$2/12/(1-(1/(1+C$2/12))^(C$3+C$4-B161+1))))</f>
        <v>#DIV/0!</v>
      </c>
      <c r="I161" s="52" t="e">
        <f>IF(AND(C$7="Y",$B161&lt;=C$4),0,IF(AND(C$7="Y",$B161&gt;C$4),(1-U161)*C$2*D160/12,IF(AND($C$7="N",C$4&gt;0),(1-U161)*D160*C$2/12, (1-U161)*D160*C$2/12)))</f>
        <v>#DIV/0!</v>
      </c>
      <c r="J161" s="52" t="e">
        <f>IF(AND($B161&lt;=$C$4,C$7="Y"),0,IF(AND(C$7="N",C$4&gt;0,B161&lt;=C$4),0,H161-I161))</f>
        <v>#DIV/0!</v>
      </c>
      <c r="K161" s="51" t="e">
        <f>IF(AND(C$7="Y",$B161&lt;=$C$4),0,IF(AND(C$7="N",C$4&gt;0,B161&lt;=C$4),0,S161*(C161-J161)))</f>
        <v>#DIV/0!</v>
      </c>
      <c r="L161" s="49" t="e">
        <f>IF(AND(C$7="Y",$B161&lt;=$C$4),0,IF(AND(C$7="N",C$4&gt;0,B161&lt;=C$4),0,U161*D160))</f>
        <v>#DIV/0!</v>
      </c>
      <c r="M161" s="49">
        <f t="shared" si="30"/>
        <v>0</v>
      </c>
      <c r="N161" s="49">
        <f t="shared" si="29"/>
        <v>0</v>
      </c>
      <c r="O161" s="48" t="e">
        <f>K161+I161+J161-L161+N161+G161</f>
        <v>#DIV/0!</v>
      </c>
      <c r="P161" s="38" t="e">
        <f>O161*(1/((1+P$12)^(B161/12)))</f>
        <v>#DIV/0!</v>
      </c>
      <c r="Q161" s="53"/>
      <c r="R161" s="53">
        <f t="shared" si="35"/>
        <v>0.12</v>
      </c>
      <c r="S161" s="53">
        <f t="shared" si="36"/>
        <v>1.0596241035318976E-2</v>
      </c>
      <c r="T161" s="53">
        <f t="shared" si="37"/>
        <v>0</v>
      </c>
      <c r="U161" s="53">
        <f t="shared" si="38"/>
        <v>0</v>
      </c>
    </row>
    <row r="162" spans="1:21" x14ac:dyDescent="0.2">
      <c r="A162" s="62" t="e">
        <f t="shared" si="31"/>
        <v>#DIV/0!</v>
      </c>
      <c r="B162" s="45">
        <f t="shared" si="32"/>
        <v>148</v>
      </c>
      <c r="C162" s="51" t="e">
        <f>IF(B162&lt;C$4,C$1,D161-L162+N162)</f>
        <v>#DIV/0!</v>
      </c>
      <c r="D162" s="47" t="e" cm="1">
        <f t="array" ref="D162">_xlfn.IFS(AND($C$7="Y",B162&lt;C$4),C162,AND($C$7="Y",B162=C$4),D161+F162-J162-K162-L162+N162,AND($C$7="Y",B162&gt;$C$4),D161-J162-K162-L162+N162, TRUE, D161-J162-K162-L162+N162)</f>
        <v>#DIV/0!</v>
      </c>
      <c r="E162" s="48">
        <f t="shared" si="33"/>
        <v>0</v>
      </c>
      <c r="F162" s="50">
        <f t="shared" si="34"/>
        <v>0</v>
      </c>
      <c r="G162" s="50">
        <f t="shared" si="39"/>
        <v>0</v>
      </c>
      <c r="H162" s="51" t="e">
        <f>IF(AND($B162&lt;=$C$4,C$7="Y"),0,IF(AND(C$7="N",C$4&gt;0,B162&lt;=C$4),0,(D161-L162+N162)*C$2/12/(1-(1/(1+C$2/12))^(C$3+C$4-B162+1))))</f>
        <v>#DIV/0!</v>
      </c>
      <c r="I162" s="52" t="e">
        <f>IF(AND(C$7="Y",$B162&lt;=C$4),0,IF(AND(C$7="Y",$B162&gt;C$4),(1-U162)*C$2*D161/12,IF(AND($C$7="N",C$4&gt;0),(1-U162)*D161*C$2/12, (1-U162)*D161*C$2/12)))</f>
        <v>#DIV/0!</v>
      </c>
      <c r="J162" s="52" t="e">
        <f>IF(AND($B162&lt;=$C$4,C$7="Y"),0,IF(AND(C$7="N",C$4&gt;0,B162&lt;=C$4),0,H162-I162))</f>
        <v>#DIV/0!</v>
      </c>
      <c r="K162" s="51" t="e">
        <f>IF(AND(C$7="Y",$B162&lt;=$C$4),0,IF(AND(C$7="N",C$4&gt;0,B162&lt;=C$4),0,S162*(C162-J162)))</f>
        <v>#DIV/0!</v>
      </c>
      <c r="L162" s="49" t="e">
        <f>IF(AND(C$7="Y",$B162&lt;=$C$4),0,IF(AND(C$7="N",C$4&gt;0,B162&lt;=C$4),0,U162*D161))</f>
        <v>#DIV/0!</v>
      </c>
      <c r="M162" s="49">
        <f t="shared" si="30"/>
        <v>0</v>
      </c>
      <c r="N162" s="49">
        <f t="shared" si="29"/>
        <v>0</v>
      </c>
      <c r="O162" s="48" t="e">
        <f>K162+I162+J162-L162+N162+G162</f>
        <v>#DIV/0!</v>
      </c>
      <c r="P162" s="38" t="e">
        <f>O162*(1/((1+P$12)^(B162/12)))</f>
        <v>#DIV/0!</v>
      </c>
      <c r="Q162" s="53"/>
      <c r="R162" s="53">
        <f t="shared" si="35"/>
        <v>0.12</v>
      </c>
      <c r="S162" s="53">
        <f t="shared" si="36"/>
        <v>1.0596241035318976E-2</v>
      </c>
      <c r="T162" s="53">
        <f t="shared" si="37"/>
        <v>0</v>
      </c>
      <c r="U162" s="53">
        <f t="shared" si="38"/>
        <v>0</v>
      </c>
    </row>
    <row r="163" spans="1:21" x14ac:dyDescent="0.2">
      <c r="A163" s="62" t="e">
        <f t="shared" si="31"/>
        <v>#DIV/0!</v>
      </c>
      <c r="B163" s="45">
        <f t="shared" si="32"/>
        <v>149</v>
      </c>
      <c r="C163" s="51" t="e">
        <f>IF(B163&lt;C$4,C$1,D162-L163+N163)</f>
        <v>#DIV/0!</v>
      </c>
      <c r="D163" s="47" t="e" cm="1">
        <f t="array" ref="D163">_xlfn.IFS(AND($C$7="Y",B163&lt;C$4),C163,AND($C$7="Y",B163=C$4),D162+F163-J163-K163-L163+N163,AND($C$7="Y",B163&gt;$C$4),D162-J163-K163-L163+N163, TRUE, D162-J163-K163-L163+N163)</f>
        <v>#DIV/0!</v>
      </c>
      <c r="E163" s="48">
        <f t="shared" si="33"/>
        <v>0</v>
      </c>
      <c r="F163" s="50">
        <f t="shared" si="34"/>
        <v>0</v>
      </c>
      <c r="G163" s="50">
        <f t="shared" si="39"/>
        <v>0</v>
      </c>
      <c r="H163" s="51" t="e">
        <f>IF(AND($B163&lt;=$C$4,C$7="Y"),0,IF(AND(C$7="N",C$4&gt;0,B163&lt;=C$4),0,(D162-L163+N163)*C$2/12/(1-(1/(1+C$2/12))^(C$3+C$4-B163+1))))</f>
        <v>#DIV/0!</v>
      </c>
      <c r="I163" s="52" t="e">
        <f>IF(AND(C$7="Y",$B163&lt;=C$4),0,IF(AND(C$7="Y",$B163&gt;C$4),(1-U163)*C$2*D162/12,IF(AND($C$7="N",C$4&gt;0),(1-U163)*D162*C$2/12, (1-U163)*D162*C$2/12)))</f>
        <v>#DIV/0!</v>
      </c>
      <c r="J163" s="52" t="e">
        <f>IF(AND($B163&lt;=$C$4,C$7="Y"),0,IF(AND(C$7="N",C$4&gt;0,B163&lt;=C$4),0,H163-I163))</f>
        <v>#DIV/0!</v>
      </c>
      <c r="K163" s="51" t="e">
        <f>IF(AND(C$7="Y",$B163&lt;=$C$4),0,IF(AND(C$7="N",C$4&gt;0,B163&lt;=C$4),0,S163*(C163-J163)))</f>
        <v>#DIV/0!</v>
      </c>
      <c r="L163" s="49" t="e">
        <f>IF(AND(C$7="Y",$B163&lt;=$C$4),0,IF(AND(C$7="N",C$4&gt;0,B163&lt;=C$4),0,U163*D162))</f>
        <v>#DIV/0!</v>
      </c>
      <c r="M163" s="49">
        <f t="shared" si="30"/>
        <v>0</v>
      </c>
      <c r="N163" s="49">
        <f t="shared" ref="N163:N226" si="40">IFERROR((1-$N$12)*L159,0)</f>
        <v>0</v>
      </c>
      <c r="O163" s="48" t="e">
        <f>K163+I163+J163-L163+N163+G163</f>
        <v>#DIV/0!</v>
      </c>
      <c r="P163" s="38" t="e">
        <f>O163*(1/((1+P$12)^(B163/12)))</f>
        <v>#DIV/0!</v>
      </c>
      <c r="Q163" s="53"/>
      <c r="R163" s="53">
        <f t="shared" si="35"/>
        <v>0.12</v>
      </c>
      <c r="S163" s="53">
        <f t="shared" si="36"/>
        <v>1.0596241035318976E-2</v>
      </c>
      <c r="T163" s="53">
        <f t="shared" si="37"/>
        <v>0</v>
      </c>
      <c r="U163" s="53">
        <f t="shared" si="38"/>
        <v>0</v>
      </c>
    </row>
    <row r="164" spans="1:21" x14ac:dyDescent="0.2">
      <c r="A164" s="62" t="e">
        <f t="shared" si="31"/>
        <v>#DIV/0!</v>
      </c>
      <c r="B164" s="45">
        <f t="shared" si="32"/>
        <v>150</v>
      </c>
      <c r="C164" s="51" t="e">
        <f>IF(B164&lt;C$4,C$1,D163-L164+N164)</f>
        <v>#DIV/0!</v>
      </c>
      <c r="D164" s="47" t="e" cm="1">
        <f t="array" ref="D164">_xlfn.IFS(AND($C$7="Y",B164&lt;C$4),C164,AND($C$7="Y",B164=C$4),D163+F164-J164-K164-L164+N164,AND($C$7="Y",B164&gt;$C$4),D163-J164-K164-L164+N164, TRUE, D163-J164-K164-L164+N164)</f>
        <v>#DIV/0!</v>
      </c>
      <c r="E164" s="48">
        <f t="shared" si="33"/>
        <v>0</v>
      </c>
      <c r="F164" s="50">
        <f t="shared" si="34"/>
        <v>0</v>
      </c>
      <c r="G164" s="50">
        <f t="shared" si="39"/>
        <v>0</v>
      </c>
      <c r="H164" s="51" t="e">
        <f>IF(AND($B164&lt;=$C$4,C$7="Y"),0,IF(AND(C$7="N",C$4&gt;0,B164&lt;=C$4),0,(D163-L164+N164)*C$2/12/(1-(1/(1+C$2/12))^(C$3+C$4-B164+1))))</f>
        <v>#DIV/0!</v>
      </c>
      <c r="I164" s="52" t="e">
        <f>IF(AND(C$7="Y",$B164&lt;=C$4),0,IF(AND(C$7="Y",$B164&gt;C$4),(1-U164)*C$2*D163/12,IF(AND($C$7="N",C$4&gt;0),(1-U164)*D163*C$2/12, (1-U164)*D163*C$2/12)))</f>
        <v>#DIV/0!</v>
      </c>
      <c r="J164" s="52" t="e">
        <f>IF(AND($B164&lt;=$C$4,C$7="Y"),0,IF(AND(C$7="N",C$4&gt;0,B164&lt;=C$4),0,H164-I164))</f>
        <v>#DIV/0!</v>
      </c>
      <c r="K164" s="51" t="e">
        <f>IF(AND(C$7="Y",$B164&lt;=$C$4),0,IF(AND(C$7="N",C$4&gt;0,B164&lt;=C$4),0,S164*(C164-J164)))</f>
        <v>#DIV/0!</v>
      </c>
      <c r="L164" s="49" t="e">
        <f>IF(AND(C$7="Y",$B164&lt;=$C$4),0,IF(AND(C$7="N",C$4&gt;0,B164&lt;=C$4),0,U164*D163))</f>
        <v>#DIV/0!</v>
      </c>
      <c r="M164" s="49">
        <f t="shared" si="30"/>
        <v>0</v>
      </c>
      <c r="N164" s="49">
        <f t="shared" si="40"/>
        <v>0</v>
      </c>
      <c r="O164" s="48" t="e">
        <f>K164+I164+J164-L164+N164+G164</f>
        <v>#DIV/0!</v>
      </c>
      <c r="P164" s="38" t="e">
        <f>O164*(1/((1+P$12)^(B164/12)))</f>
        <v>#DIV/0!</v>
      </c>
      <c r="Q164" s="53"/>
      <c r="R164" s="53">
        <f t="shared" si="35"/>
        <v>0.12</v>
      </c>
      <c r="S164" s="53">
        <f t="shared" si="36"/>
        <v>1.0596241035318976E-2</v>
      </c>
      <c r="T164" s="53">
        <f t="shared" si="37"/>
        <v>0</v>
      </c>
      <c r="U164" s="53">
        <f t="shared" si="38"/>
        <v>0</v>
      </c>
    </row>
    <row r="165" spans="1:21" x14ac:dyDescent="0.2">
      <c r="A165" s="62" t="e">
        <f t="shared" si="31"/>
        <v>#DIV/0!</v>
      </c>
      <c r="B165" s="45">
        <f t="shared" si="32"/>
        <v>151</v>
      </c>
      <c r="C165" s="51" t="e">
        <f>IF(B165&lt;C$4,C$1,D164-L165+N165)</f>
        <v>#DIV/0!</v>
      </c>
      <c r="D165" s="47" t="e" cm="1">
        <f t="array" ref="D165">_xlfn.IFS(AND($C$7="Y",B165&lt;C$4),C165,AND($C$7="Y",B165=C$4),D164+F165-J165-K165-L165+N165,AND($C$7="Y",B165&gt;$C$4),D164-J165-K165-L165+N165, TRUE, D164-J165-K165-L165+N165)</f>
        <v>#DIV/0!</v>
      </c>
      <c r="E165" s="48">
        <f t="shared" si="33"/>
        <v>0</v>
      </c>
      <c r="F165" s="50">
        <f t="shared" si="34"/>
        <v>0</v>
      </c>
      <c r="G165" s="50">
        <f t="shared" si="39"/>
        <v>0</v>
      </c>
      <c r="H165" s="51" t="e">
        <f>IF(AND($B165&lt;=$C$4,C$7="Y"),0,IF(AND(C$7="N",C$4&gt;0,B165&lt;=C$4),0,(D164-L165+N165)*C$2/12/(1-(1/(1+C$2/12))^(C$3+C$4-B165+1))))</f>
        <v>#DIV/0!</v>
      </c>
      <c r="I165" s="52" t="e">
        <f>IF(AND(C$7="Y",$B165&lt;=C$4),0,IF(AND(C$7="Y",$B165&gt;C$4),(1-U165)*C$2*D164/12,IF(AND($C$7="N",C$4&gt;0),(1-U165)*D164*C$2/12, (1-U165)*D164*C$2/12)))</f>
        <v>#DIV/0!</v>
      </c>
      <c r="J165" s="52" t="e">
        <f>IF(AND($B165&lt;=$C$4,C$7="Y"),0,IF(AND(C$7="N",C$4&gt;0,B165&lt;=C$4),0,H165-I165))</f>
        <v>#DIV/0!</v>
      </c>
      <c r="K165" s="51" t="e">
        <f>IF(AND(C$7="Y",$B165&lt;=$C$4),0,IF(AND(C$7="N",C$4&gt;0,B165&lt;=C$4),0,S165*(C165-J165)))</f>
        <v>#DIV/0!</v>
      </c>
      <c r="L165" s="49" t="e">
        <f>IF(AND(C$7="Y",$B165&lt;=$C$4),0,IF(AND(C$7="N",C$4&gt;0,B165&lt;=C$4),0,U165*D164))</f>
        <v>#DIV/0!</v>
      </c>
      <c r="M165" s="49">
        <f t="shared" si="30"/>
        <v>0</v>
      </c>
      <c r="N165" s="49">
        <f t="shared" si="40"/>
        <v>0</v>
      </c>
      <c r="O165" s="48" t="e">
        <f>K165+I165+J165-L165+N165+G165</f>
        <v>#DIV/0!</v>
      </c>
      <c r="P165" s="38" t="e">
        <f>O165*(1/((1+P$12)^(B165/12)))</f>
        <v>#DIV/0!</v>
      </c>
      <c r="Q165" s="53"/>
      <c r="R165" s="53">
        <f t="shared" si="35"/>
        <v>0.12</v>
      </c>
      <c r="S165" s="53">
        <f t="shared" si="36"/>
        <v>1.0596241035318976E-2</v>
      </c>
      <c r="T165" s="53">
        <f t="shared" si="37"/>
        <v>0</v>
      </c>
      <c r="U165" s="53">
        <f t="shared" si="38"/>
        <v>0</v>
      </c>
    </row>
    <row r="166" spans="1:21" x14ac:dyDescent="0.2">
      <c r="A166" s="62" t="e">
        <f t="shared" si="31"/>
        <v>#DIV/0!</v>
      </c>
      <c r="B166" s="45">
        <f t="shared" si="32"/>
        <v>152</v>
      </c>
      <c r="C166" s="51" t="e">
        <f>IF(B166&lt;C$4,C$1,D165-L166+N166)</f>
        <v>#DIV/0!</v>
      </c>
      <c r="D166" s="47" t="e" cm="1">
        <f t="array" ref="D166">_xlfn.IFS(AND($C$7="Y",B166&lt;C$4),C166,AND($C$7="Y",B166=C$4),D165+F166-J166-K166-L166+N166,AND($C$7="Y",B166&gt;$C$4),D165-J166-K166-L166+N166, TRUE, D165-J166-K166-L166+N166)</f>
        <v>#DIV/0!</v>
      </c>
      <c r="E166" s="48">
        <f t="shared" si="33"/>
        <v>0</v>
      </c>
      <c r="F166" s="50">
        <f t="shared" si="34"/>
        <v>0</v>
      </c>
      <c r="G166" s="50">
        <f t="shared" si="39"/>
        <v>0</v>
      </c>
      <c r="H166" s="51" t="e">
        <f>IF(AND($B166&lt;=$C$4,C$7="Y"),0,IF(AND(C$7="N",C$4&gt;0,B166&lt;=C$4),0,(D165-L166+N166)*C$2/12/(1-(1/(1+C$2/12))^(C$3+C$4-B166+1))))</f>
        <v>#DIV/0!</v>
      </c>
      <c r="I166" s="52" t="e">
        <f>IF(AND(C$7="Y",$B166&lt;=C$4),0,IF(AND(C$7="Y",$B166&gt;C$4),(1-U166)*C$2*D165/12,IF(AND($C$7="N",C$4&gt;0),(1-U166)*D165*C$2/12, (1-U166)*D165*C$2/12)))</f>
        <v>#DIV/0!</v>
      </c>
      <c r="J166" s="52" t="e">
        <f>IF(AND($B166&lt;=$C$4,C$7="Y"),0,IF(AND(C$7="N",C$4&gt;0,B166&lt;=C$4),0,H166-I166))</f>
        <v>#DIV/0!</v>
      </c>
      <c r="K166" s="51" t="e">
        <f>IF(AND(C$7="Y",$B166&lt;=$C$4),0,IF(AND(C$7="N",C$4&gt;0,B166&lt;=C$4),0,S166*(C166-J166)))</f>
        <v>#DIV/0!</v>
      </c>
      <c r="L166" s="49" t="e">
        <f>IF(AND(C$7="Y",$B166&lt;=$C$4),0,IF(AND(C$7="N",C$4&gt;0,B166&lt;=C$4),0,U166*D165))</f>
        <v>#DIV/0!</v>
      </c>
      <c r="M166" s="49">
        <f t="shared" si="30"/>
        <v>0</v>
      </c>
      <c r="N166" s="49">
        <f t="shared" si="40"/>
        <v>0</v>
      </c>
      <c r="O166" s="48" t="e">
        <f>K166+I166+J166-L166+N166+G166</f>
        <v>#DIV/0!</v>
      </c>
      <c r="P166" s="38" t="e">
        <f>O166*(1/((1+P$12)^(B166/12)))</f>
        <v>#DIV/0!</v>
      </c>
      <c r="Q166" s="53"/>
      <c r="R166" s="53">
        <f t="shared" si="35"/>
        <v>0.12</v>
      </c>
      <c r="S166" s="53">
        <f t="shared" si="36"/>
        <v>1.0596241035318976E-2</v>
      </c>
      <c r="T166" s="53">
        <f t="shared" si="37"/>
        <v>0</v>
      </c>
      <c r="U166" s="53">
        <f t="shared" si="38"/>
        <v>0</v>
      </c>
    </row>
    <row r="167" spans="1:21" x14ac:dyDescent="0.2">
      <c r="A167" s="62" t="e">
        <f t="shared" si="31"/>
        <v>#DIV/0!</v>
      </c>
      <c r="B167" s="45">
        <f t="shared" si="32"/>
        <v>153</v>
      </c>
      <c r="C167" s="51" t="e">
        <f>IF(B167&lt;C$4,C$1,D166-L167+N167)</f>
        <v>#DIV/0!</v>
      </c>
      <c r="D167" s="47" t="e" cm="1">
        <f t="array" ref="D167">_xlfn.IFS(AND($C$7="Y",B167&lt;C$4),C167,AND($C$7="Y",B167=C$4),D166+F167-J167-K167-L167+N167,AND($C$7="Y",B167&gt;$C$4),D166-J167-K167-L167+N167, TRUE, D166-J167-K167-L167+N167)</f>
        <v>#DIV/0!</v>
      </c>
      <c r="E167" s="48">
        <f t="shared" si="33"/>
        <v>0</v>
      </c>
      <c r="F167" s="50">
        <f t="shared" si="34"/>
        <v>0</v>
      </c>
      <c r="G167" s="50">
        <f t="shared" si="39"/>
        <v>0</v>
      </c>
      <c r="H167" s="51" t="e">
        <f>IF(AND($B167&lt;=$C$4,C$7="Y"),0,IF(AND(C$7="N",C$4&gt;0,B167&lt;=C$4),0,(D166-L167+N167)*C$2/12/(1-(1/(1+C$2/12))^(C$3+C$4-B167+1))))</f>
        <v>#DIV/0!</v>
      </c>
      <c r="I167" s="52" t="e">
        <f>IF(AND(C$7="Y",$B167&lt;=C$4),0,IF(AND(C$7="Y",$B167&gt;C$4),(1-U167)*C$2*D166/12,IF(AND($C$7="N",C$4&gt;0),(1-U167)*D166*C$2/12, (1-U167)*D166*C$2/12)))</f>
        <v>#DIV/0!</v>
      </c>
      <c r="J167" s="52" t="e">
        <f>IF(AND($B167&lt;=$C$4,C$7="Y"),0,IF(AND(C$7="N",C$4&gt;0,B167&lt;=C$4),0,H167-I167))</f>
        <v>#DIV/0!</v>
      </c>
      <c r="K167" s="51" t="e">
        <f>IF(AND(C$7="Y",$B167&lt;=$C$4),0,IF(AND(C$7="N",C$4&gt;0,B167&lt;=C$4),0,S167*(C167-J167)))</f>
        <v>#DIV/0!</v>
      </c>
      <c r="L167" s="49" t="e">
        <f>IF(AND(C$7="Y",$B167&lt;=$C$4),0,IF(AND(C$7="N",C$4&gt;0,B167&lt;=C$4),0,U167*D166))</f>
        <v>#DIV/0!</v>
      </c>
      <c r="M167" s="49">
        <f t="shared" si="30"/>
        <v>0</v>
      </c>
      <c r="N167" s="49">
        <f t="shared" si="40"/>
        <v>0</v>
      </c>
      <c r="O167" s="48" t="e">
        <f>K167+I167+J167-L167+N167+G167</f>
        <v>#DIV/0!</v>
      </c>
      <c r="P167" s="38" t="e">
        <f>O167*(1/((1+P$12)^(B167/12)))</f>
        <v>#DIV/0!</v>
      </c>
      <c r="Q167" s="53"/>
      <c r="R167" s="53">
        <f t="shared" si="35"/>
        <v>0.12</v>
      </c>
      <c r="S167" s="53">
        <f t="shared" si="36"/>
        <v>1.0596241035318976E-2</v>
      </c>
      <c r="T167" s="53">
        <f t="shared" si="37"/>
        <v>0</v>
      </c>
      <c r="U167" s="53">
        <f t="shared" si="38"/>
        <v>0</v>
      </c>
    </row>
    <row r="168" spans="1:21" x14ac:dyDescent="0.2">
      <c r="A168" s="62" t="e">
        <f t="shared" si="31"/>
        <v>#DIV/0!</v>
      </c>
      <c r="B168" s="45">
        <f t="shared" si="32"/>
        <v>154</v>
      </c>
      <c r="C168" s="51" t="e">
        <f>IF(B168&lt;C$4,C$1,D167-L168+N168)</f>
        <v>#DIV/0!</v>
      </c>
      <c r="D168" s="47" t="e" cm="1">
        <f t="array" ref="D168">_xlfn.IFS(AND($C$7="Y",B168&lt;C$4),C168,AND($C$7="Y",B168=C$4),D167+F168-J168-K168-L168+N168,AND($C$7="Y",B168&gt;$C$4),D167-J168-K168-L168+N168, TRUE, D167-J168-K168-L168+N168)</f>
        <v>#DIV/0!</v>
      </c>
      <c r="E168" s="48">
        <f t="shared" si="33"/>
        <v>0</v>
      </c>
      <c r="F168" s="50">
        <f t="shared" si="34"/>
        <v>0</v>
      </c>
      <c r="G168" s="50">
        <f t="shared" si="39"/>
        <v>0</v>
      </c>
      <c r="H168" s="51" t="e">
        <f>IF(AND($B168&lt;=$C$4,C$7="Y"),0,IF(AND(C$7="N",C$4&gt;0,B168&lt;=C$4),0,(D167-L168+N168)*C$2/12/(1-(1/(1+C$2/12))^(C$3+C$4-B168+1))))</f>
        <v>#DIV/0!</v>
      </c>
      <c r="I168" s="52" t="e">
        <f>IF(AND(C$7="Y",$B168&lt;=C$4),0,IF(AND(C$7="Y",$B168&gt;C$4),(1-U168)*C$2*D167/12,IF(AND($C$7="N",C$4&gt;0),(1-U168)*D167*C$2/12, (1-U168)*D167*C$2/12)))</f>
        <v>#DIV/0!</v>
      </c>
      <c r="J168" s="52" t="e">
        <f>IF(AND($B168&lt;=$C$4,C$7="Y"),0,IF(AND(C$7="N",C$4&gt;0,B168&lt;=C$4),0,H168-I168))</f>
        <v>#DIV/0!</v>
      </c>
      <c r="K168" s="51" t="e">
        <f>IF(AND(C$7="Y",$B168&lt;=$C$4),0,IF(AND(C$7="N",C$4&gt;0,B168&lt;=C$4),0,S168*(C168-J168)))</f>
        <v>#DIV/0!</v>
      </c>
      <c r="L168" s="49" t="e">
        <f>IF(AND(C$7="Y",$B168&lt;=$C$4),0,IF(AND(C$7="N",C$4&gt;0,B168&lt;=C$4),0,U168*D167))</f>
        <v>#DIV/0!</v>
      </c>
      <c r="M168" s="49">
        <f t="shared" si="30"/>
        <v>0</v>
      </c>
      <c r="N168" s="49">
        <f t="shared" si="40"/>
        <v>0</v>
      </c>
      <c r="O168" s="48" t="e">
        <f>K168+I168+J168-L168+N168+G168</f>
        <v>#DIV/0!</v>
      </c>
      <c r="P168" s="38" t="e">
        <f>O168*(1/((1+P$12)^(B168/12)))</f>
        <v>#DIV/0!</v>
      </c>
      <c r="Q168" s="53"/>
      <c r="R168" s="53">
        <f t="shared" si="35"/>
        <v>0.12</v>
      </c>
      <c r="S168" s="53">
        <f t="shared" si="36"/>
        <v>1.0596241035318976E-2</v>
      </c>
      <c r="T168" s="53">
        <f t="shared" si="37"/>
        <v>0</v>
      </c>
      <c r="U168" s="53">
        <f t="shared" si="38"/>
        <v>0</v>
      </c>
    </row>
    <row r="169" spans="1:21" x14ac:dyDescent="0.2">
      <c r="A169" s="62" t="e">
        <f t="shared" si="31"/>
        <v>#DIV/0!</v>
      </c>
      <c r="B169" s="45">
        <f t="shared" si="32"/>
        <v>155</v>
      </c>
      <c r="C169" s="51" t="e">
        <f>IF(B169&lt;C$4,C$1,D168-L169+N169)</f>
        <v>#DIV/0!</v>
      </c>
      <c r="D169" s="47" t="e" cm="1">
        <f t="array" ref="D169">_xlfn.IFS(AND($C$7="Y",B169&lt;C$4),C169,AND($C$7="Y",B169=C$4),D168+F169-J169-K169-L169+N169,AND($C$7="Y",B169&gt;$C$4),D168-J169-K169-L169+N169, TRUE, D168-J169-K169-L169+N169)</f>
        <v>#DIV/0!</v>
      </c>
      <c r="E169" s="48">
        <f t="shared" si="33"/>
        <v>0</v>
      </c>
      <c r="F169" s="50">
        <f t="shared" si="34"/>
        <v>0</v>
      </c>
      <c r="G169" s="50">
        <f t="shared" si="39"/>
        <v>0</v>
      </c>
      <c r="H169" s="51" t="e">
        <f>IF(AND($B169&lt;=$C$4,C$7="Y"),0,IF(AND(C$7="N",C$4&gt;0,B169&lt;=C$4),0,(D168-L169+N169)*C$2/12/(1-(1/(1+C$2/12))^(C$3+C$4-B169+1))))</f>
        <v>#DIV/0!</v>
      </c>
      <c r="I169" s="52" t="e">
        <f>IF(AND(C$7="Y",$B169&lt;=C$4),0,IF(AND(C$7="Y",$B169&gt;C$4),(1-U169)*C$2*D168/12,IF(AND($C$7="N",C$4&gt;0),(1-U169)*D168*C$2/12, (1-U169)*D168*C$2/12)))</f>
        <v>#DIV/0!</v>
      </c>
      <c r="J169" s="52" t="e">
        <f>IF(AND($B169&lt;=$C$4,C$7="Y"),0,IF(AND(C$7="N",C$4&gt;0,B169&lt;=C$4),0,H169-I169))</f>
        <v>#DIV/0!</v>
      </c>
      <c r="K169" s="51" t="e">
        <f>IF(AND(C$7="Y",$B169&lt;=$C$4),0,IF(AND(C$7="N",C$4&gt;0,B169&lt;=C$4),0,S169*(C169-J169)))</f>
        <v>#DIV/0!</v>
      </c>
      <c r="L169" s="49" t="e">
        <f>IF(AND(C$7="Y",$B169&lt;=$C$4),0,IF(AND(C$7="N",C$4&gt;0,B169&lt;=C$4),0,U169*D168))</f>
        <v>#DIV/0!</v>
      </c>
      <c r="M169" s="49">
        <f t="shared" si="30"/>
        <v>0</v>
      </c>
      <c r="N169" s="49">
        <f t="shared" si="40"/>
        <v>0</v>
      </c>
      <c r="O169" s="48" t="e">
        <f>K169+I169+J169-L169+N169+G169</f>
        <v>#DIV/0!</v>
      </c>
      <c r="P169" s="38" t="e">
        <f>O169*(1/((1+P$12)^(B169/12)))</f>
        <v>#DIV/0!</v>
      </c>
      <c r="Q169" s="53"/>
      <c r="R169" s="53">
        <f t="shared" si="35"/>
        <v>0.12</v>
      </c>
      <c r="S169" s="53">
        <f t="shared" si="36"/>
        <v>1.0596241035318976E-2</v>
      </c>
      <c r="T169" s="53">
        <f t="shared" si="37"/>
        <v>0</v>
      </c>
      <c r="U169" s="53">
        <f t="shared" si="38"/>
        <v>0</v>
      </c>
    </row>
    <row r="170" spans="1:21" x14ac:dyDescent="0.2">
      <c r="A170" s="62" t="e">
        <f t="shared" si="31"/>
        <v>#DIV/0!</v>
      </c>
      <c r="B170" s="45">
        <f t="shared" si="32"/>
        <v>156</v>
      </c>
      <c r="C170" s="51" t="e">
        <f>IF(B170&lt;C$4,C$1,D169-L170+N170)</f>
        <v>#DIV/0!</v>
      </c>
      <c r="D170" s="47" t="e" cm="1">
        <f t="array" ref="D170">_xlfn.IFS(AND($C$7="Y",B170&lt;C$4),C170,AND($C$7="Y",B170=C$4),D169+F170-J170-K170-L170+N170,AND($C$7="Y",B170&gt;$C$4),D169-J170-K170-L170+N170, TRUE, D169-J170-K170-L170+N170)</f>
        <v>#DIV/0!</v>
      </c>
      <c r="E170" s="48">
        <f t="shared" si="33"/>
        <v>0</v>
      </c>
      <c r="F170" s="50">
        <f t="shared" si="34"/>
        <v>0</v>
      </c>
      <c r="G170" s="50">
        <f t="shared" si="39"/>
        <v>0</v>
      </c>
      <c r="H170" s="51" t="e">
        <f>IF(AND($B170&lt;=$C$4,C$7="Y"),0,IF(AND(C$7="N",C$4&gt;0,B170&lt;=C$4),0,(D169-L170+N170)*C$2/12/(1-(1/(1+C$2/12))^(C$3+C$4-B170+1))))</f>
        <v>#DIV/0!</v>
      </c>
      <c r="I170" s="52" t="e">
        <f>IF(AND(C$7="Y",$B170&lt;=C$4),0,IF(AND(C$7="Y",$B170&gt;C$4),(1-U170)*C$2*D169/12,IF(AND($C$7="N",C$4&gt;0),(1-U170)*D169*C$2/12, (1-U170)*D169*C$2/12)))</f>
        <v>#DIV/0!</v>
      </c>
      <c r="J170" s="52" t="e">
        <f>IF(AND($B170&lt;=$C$4,C$7="Y"),0,IF(AND(C$7="N",C$4&gt;0,B170&lt;=C$4),0,H170-I170))</f>
        <v>#DIV/0!</v>
      </c>
      <c r="K170" s="51" t="e">
        <f>IF(AND(C$7="Y",$B170&lt;=$C$4),0,IF(AND(C$7="N",C$4&gt;0,B170&lt;=C$4),0,S170*(C170-J170)))</f>
        <v>#DIV/0!</v>
      </c>
      <c r="L170" s="49" t="e">
        <f>IF(AND(C$7="Y",$B170&lt;=$C$4),0,IF(AND(C$7="N",C$4&gt;0,B170&lt;=C$4),0,U170*D169))</f>
        <v>#DIV/0!</v>
      </c>
      <c r="M170" s="49">
        <f t="shared" si="30"/>
        <v>0</v>
      </c>
      <c r="N170" s="49">
        <f t="shared" si="40"/>
        <v>0</v>
      </c>
      <c r="O170" s="48" t="e">
        <f>K170+I170+J170-L170+N170+G170</f>
        <v>#DIV/0!</v>
      </c>
      <c r="P170" s="38" t="e">
        <f>O170*(1/((1+P$12)^(B170/12)))</f>
        <v>#DIV/0!</v>
      </c>
      <c r="Q170" s="53"/>
      <c r="R170" s="53">
        <f t="shared" si="35"/>
        <v>0.12</v>
      </c>
      <c r="S170" s="53">
        <f t="shared" si="36"/>
        <v>1.0596241035318976E-2</v>
      </c>
      <c r="T170" s="53">
        <f t="shared" si="37"/>
        <v>0</v>
      </c>
      <c r="U170" s="53">
        <f t="shared" si="38"/>
        <v>0</v>
      </c>
    </row>
    <row r="171" spans="1:21" x14ac:dyDescent="0.2">
      <c r="A171" s="62" t="e">
        <f t="shared" si="31"/>
        <v>#DIV/0!</v>
      </c>
      <c r="B171" s="45">
        <f t="shared" si="32"/>
        <v>157</v>
      </c>
      <c r="C171" s="51" t="e">
        <f>IF(B171&lt;C$4,C$1,D170-L171+N171)</f>
        <v>#DIV/0!</v>
      </c>
      <c r="D171" s="47" t="e" cm="1">
        <f t="array" ref="D171">_xlfn.IFS(AND($C$7="Y",B171&lt;C$4),C171,AND($C$7="Y",B171=C$4),D170+F171-J171-K171-L171+N171,AND($C$7="Y",B171&gt;$C$4),D170-J171-K171-L171+N171, TRUE, D170-J171-K171-L171+N171)</f>
        <v>#DIV/0!</v>
      </c>
      <c r="E171" s="48">
        <f t="shared" si="33"/>
        <v>0</v>
      </c>
      <c r="F171" s="50">
        <f t="shared" si="34"/>
        <v>0</v>
      </c>
      <c r="G171" s="50">
        <f t="shared" si="39"/>
        <v>0</v>
      </c>
      <c r="H171" s="51" t="e">
        <f>IF(AND($B171&lt;=$C$4,C$7="Y"),0,IF(AND(C$7="N",C$4&gt;0,B171&lt;=C$4),0,(D170-L171+N171)*C$2/12/(1-(1/(1+C$2/12))^(C$3+C$4-B171+1))))</f>
        <v>#DIV/0!</v>
      </c>
      <c r="I171" s="52" t="e">
        <f>IF(AND(C$7="Y",$B171&lt;=C$4),0,IF(AND(C$7="Y",$B171&gt;C$4),(1-U171)*C$2*D170/12,IF(AND($C$7="N",C$4&gt;0),(1-U171)*D170*C$2/12, (1-U171)*D170*C$2/12)))</f>
        <v>#DIV/0!</v>
      </c>
      <c r="J171" s="52" t="e">
        <f>IF(AND($B171&lt;=$C$4,C$7="Y"),0,IF(AND(C$7="N",C$4&gt;0,B171&lt;=C$4),0,H171-I171))</f>
        <v>#DIV/0!</v>
      </c>
      <c r="K171" s="51" t="e">
        <f>IF(AND(C$7="Y",$B171&lt;=$C$4),0,IF(AND(C$7="N",C$4&gt;0,B171&lt;=C$4),0,S171*(C171-J171)))</f>
        <v>#DIV/0!</v>
      </c>
      <c r="L171" s="49" t="e">
        <f>IF(AND(C$7="Y",$B171&lt;=$C$4),0,IF(AND(C$7="N",C$4&gt;0,B171&lt;=C$4),0,U171*D170))</f>
        <v>#DIV/0!</v>
      </c>
      <c r="M171" s="49">
        <f t="shared" si="30"/>
        <v>0</v>
      </c>
      <c r="N171" s="49">
        <f t="shared" si="40"/>
        <v>0</v>
      </c>
      <c r="O171" s="48" t="e">
        <f>K171+I171+J171-L171+N171+G171</f>
        <v>#DIV/0!</v>
      </c>
      <c r="P171" s="38" t="e">
        <f>O171*(1/((1+P$12)^(B171/12)))</f>
        <v>#DIV/0!</v>
      </c>
      <c r="Q171" s="53"/>
      <c r="R171" s="53">
        <f t="shared" si="35"/>
        <v>0.12</v>
      </c>
      <c r="S171" s="53">
        <f t="shared" si="36"/>
        <v>1.0596241035318976E-2</v>
      </c>
      <c r="T171" s="53">
        <f t="shared" si="37"/>
        <v>0</v>
      </c>
      <c r="U171" s="53">
        <f t="shared" si="38"/>
        <v>0</v>
      </c>
    </row>
    <row r="172" spans="1:21" x14ac:dyDescent="0.2">
      <c r="A172" s="62" t="e">
        <f t="shared" si="31"/>
        <v>#DIV/0!</v>
      </c>
      <c r="B172" s="45">
        <f t="shared" si="32"/>
        <v>158</v>
      </c>
      <c r="C172" s="51" t="e">
        <f>IF(B172&lt;C$4,C$1,D171-L172+N172)</f>
        <v>#DIV/0!</v>
      </c>
      <c r="D172" s="47" t="e" cm="1">
        <f t="array" ref="D172">_xlfn.IFS(AND($C$7="Y",B172&lt;C$4),C172,AND($C$7="Y",B172=C$4),D171+F172-J172-K172-L172+N172,AND($C$7="Y",B172&gt;$C$4),D171-J172-K172-L172+N172, TRUE, D171-J172-K172-L172+N172)</f>
        <v>#DIV/0!</v>
      </c>
      <c r="E172" s="48">
        <f t="shared" si="33"/>
        <v>0</v>
      </c>
      <c r="F172" s="50">
        <f t="shared" si="34"/>
        <v>0</v>
      </c>
      <c r="G172" s="50">
        <f t="shared" si="39"/>
        <v>0</v>
      </c>
      <c r="H172" s="51" t="e">
        <f>IF(AND($B172&lt;=$C$4,C$7="Y"),0,IF(AND(C$7="N",C$4&gt;0,B172&lt;=C$4),0,(D171-L172+N172)*C$2/12/(1-(1/(1+C$2/12))^(C$3+C$4-B172+1))))</f>
        <v>#DIV/0!</v>
      </c>
      <c r="I172" s="52" t="e">
        <f>IF(AND(C$7="Y",$B172&lt;=C$4),0,IF(AND(C$7="Y",$B172&gt;C$4),(1-U172)*C$2*D171/12,IF(AND($C$7="N",C$4&gt;0),(1-U172)*D171*C$2/12, (1-U172)*D171*C$2/12)))</f>
        <v>#DIV/0!</v>
      </c>
      <c r="J172" s="52" t="e">
        <f>IF(AND($B172&lt;=$C$4,C$7="Y"),0,IF(AND(C$7="N",C$4&gt;0,B172&lt;=C$4),0,H172-I172))</f>
        <v>#DIV/0!</v>
      </c>
      <c r="K172" s="51" t="e">
        <f>IF(AND(C$7="Y",$B172&lt;=$C$4),0,IF(AND(C$7="N",C$4&gt;0,B172&lt;=C$4),0,S172*(C172-J172)))</f>
        <v>#DIV/0!</v>
      </c>
      <c r="L172" s="49" t="e">
        <f>IF(AND(C$7="Y",$B172&lt;=$C$4),0,IF(AND(C$7="N",C$4&gt;0,B172&lt;=C$4),0,U172*D171))</f>
        <v>#DIV/0!</v>
      </c>
      <c r="M172" s="49">
        <f t="shared" si="30"/>
        <v>0</v>
      </c>
      <c r="N172" s="49">
        <f t="shared" si="40"/>
        <v>0</v>
      </c>
      <c r="O172" s="48" t="e">
        <f>K172+I172+J172-L172+N172+G172</f>
        <v>#DIV/0!</v>
      </c>
      <c r="P172" s="38" t="e">
        <f>O172*(1/((1+P$12)^(B172/12)))</f>
        <v>#DIV/0!</v>
      </c>
      <c r="Q172" s="53"/>
      <c r="R172" s="53">
        <f t="shared" si="35"/>
        <v>0.12</v>
      </c>
      <c r="S172" s="53">
        <f t="shared" si="36"/>
        <v>1.0596241035318976E-2</v>
      </c>
      <c r="T172" s="53">
        <f t="shared" si="37"/>
        <v>0</v>
      </c>
      <c r="U172" s="53">
        <f t="shared" si="38"/>
        <v>0</v>
      </c>
    </row>
    <row r="173" spans="1:21" x14ac:dyDescent="0.2">
      <c r="A173" s="62" t="e">
        <f t="shared" si="31"/>
        <v>#DIV/0!</v>
      </c>
      <c r="B173" s="45">
        <f t="shared" si="32"/>
        <v>159</v>
      </c>
      <c r="C173" s="51" t="e">
        <f>IF(B173&lt;C$4,C$1,D172-L173+N173)</f>
        <v>#DIV/0!</v>
      </c>
      <c r="D173" s="47" t="e" cm="1">
        <f t="array" ref="D173">_xlfn.IFS(AND($C$7="Y",B173&lt;C$4),C173,AND($C$7="Y",B173=C$4),D172+F173-J173-K173-L173+N173,AND($C$7="Y",B173&gt;$C$4),D172-J173-K173-L173+N173, TRUE, D172-J173-K173-L173+N173)</f>
        <v>#DIV/0!</v>
      </c>
      <c r="E173" s="48">
        <f t="shared" si="33"/>
        <v>0</v>
      </c>
      <c r="F173" s="50">
        <f t="shared" si="34"/>
        <v>0</v>
      </c>
      <c r="G173" s="50">
        <f t="shared" si="39"/>
        <v>0</v>
      </c>
      <c r="H173" s="51" t="e">
        <f>IF(AND($B173&lt;=$C$4,C$7="Y"),0,IF(AND(C$7="N",C$4&gt;0,B173&lt;=C$4),0,(D172-L173+N173)*C$2/12/(1-(1/(1+C$2/12))^(C$3+C$4-B173+1))))</f>
        <v>#DIV/0!</v>
      </c>
      <c r="I173" s="52" t="e">
        <f>IF(AND(C$7="Y",$B173&lt;=C$4),0,IF(AND(C$7="Y",$B173&gt;C$4),(1-U173)*C$2*D172/12,IF(AND($C$7="N",C$4&gt;0),(1-U173)*D172*C$2/12, (1-U173)*D172*C$2/12)))</f>
        <v>#DIV/0!</v>
      </c>
      <c r="J173" s="52" t="e">
        <f>IF(AND($B173&lt;=$C$4,C$7="Y"),0,IF(AND(C$7="N",C$4&gt;0,B173&lt;=C$4),0,H173-I173))</f>
        <v>#DIV/0!</v>
      </c>
      <c r="K173" s="51" t="e">
        <f>IF(AND(C$7="Y",$B173&lt;=$C$4),0,IF(AND(C$7="N",C$4&gt;0,B173&lt;=C$4),0,S173*(C173-J173)))</f>
        <v>#DIV/0!</v>
      </c>
      <c r="L173" s="49" t="e">
        <f>IF(AND(C$7="Y",$B173&lt;=$C$4),0,IF(AND(C$7="N",C$4&gt;0,B173&lt;=C$4),0,U173*D172))</f>
        <v>#DIV/0!</v>
      </c>
      <c r="M173" s="49">
        <f t="shared" ref="M173:M235" si="41">IFERROR(L169*-1,0)</f>
        <v>0</v>
      </c>
      <c r="N173" s="49">
        <f t="shared" si="40"/>
        <v>0</v>
      </c>
      <c r="O173" s="48" t="e">
        <f>K173+I173+J173-L173+N173+G173</f>
        <v>#DIV/0!</v>
      </c>
      <c r="P173" s="38" t="e">
        <f>O173*(1/((1+P$12)^(B173/12)))</f>
        <v>#DIV/0!</v>
      </c>
      <c r="Q173" s="53"/>
      <c r="R173" s="53">
        <f t="shared" si="35"/>
        <v>0.12</v>
      </c>
      <c r="S173" s="53">
        <f t="shared" si="36"/>
        <v>1.0596241035318976E-2</v>
      </c>
      <c r="T173" s="53">
        <f t="shared" si="37"/>
        <v>0</v>
      </c>
      <c r="U173" s="53">
        <f t="shared" si="38"/>
        <v>0</v>
      </c>
    </row>
    <row r="174" spans="1:21" x14ac:dyDescent="0.2">
      <c r="A174" s="62" t="e">
        <f t="shared" si="31"/>
        <v>#DIV/0!</v>
      </c>
      <c r="B174" s="45">
        <f t="shared" si="32"/>
        <v>160</v>
      </c>
      <c r="C174" s="51" t="e">
        <f>IF(B174&lt;C$4,C$1,D173-L174+N174)</f>
        <v>#DIV/0!</v>
      </c>
      <c r="D174" s="47" t="e" cm="1">
        <f t="array" ref="D174">_xlfn.IFS(AND($C$7="Y",B174&lt;C$4),C174,AND($C$7="Y",B174=C$4),D173+F174-J174-K174-L174+N174,AND($C$7="Y",B174&gt;$C$4),D173-J174-K174-L174+N174, TRUE, D173-J174-K174-L174+N174)</f>
        <v>#DIV/0!</v>
      </c>
      <c r="E174" s="48">
        <f t="shared" si="33"/>
        <v>0</v>
      </c>
      <c r="F174" s="50">
        <f t="shared" si="34"/>
        <v>0</v>
      </c>
      <c r="G174" s="50">
        <f t="shared" si="39"/>
        <v>0</v>
      </c>
      <c r="H174" s="51" t="e">
        <f>IF(AND($B174&lt;=$C$4,C$7="Y"),0,IF(AND(C$7="N",C$4&gt;0,B174&lt;=C$4),0,(D173-L174+N174)*C$2/12/(1-(1/(1+C$2/12))^(C$3+C$4-B174+1))))</f>
        <v>#DIV/0!</v>
      </c>
      <c r="I174" s="52" t="e">
        <f>IF(AND(C$7="Y",$B174&lt;=C$4),0,IF(AND(C$7="Y",$B174&gt;C$4),(1-U174)*C$2*D173/12,IF(AND($C$7="N",C$4&gt;0),(1-U174)*D173*C$2/12, (1-U174)*D173*C$2/12)))</f>
        <v>#DIV/0!</v>
      </c>
      <c r="J174" s="52" t="e">
        <f>IF(AND($B174&lt;=$C$4,C$7="Y"),0,IF(AND(C$7="N",C$4&gt;0,B174&lt;=C$4),0,H174-I174))</f>
        <v>#DIV/0!</v>
      </c>
      <c r="K174" s="51" t="e">
        <f>IF(AND(C$7="Y",$B174&lt;=$C$4),0,IF(AND(C$7="N",C$4&gt;0,B174&lt;=C$4),0,S174*(C174-J174)))</f>
        <v>#DIV/0!</v>
      </c>
      <c r="L174" s="49" t="e">
        <f>IF(AND(C$7="Y",$B174&lt;=$C$4),0,IF(AND(C$7="N",C$4&gt;0,B174&lt;=C$4),0,U174*D173))</f>
        <v>#DIV/0!</v>
      </c>
      <c r="M174" s="49">
        <f t="shared" si="41"/>
        <v>0</v>
      </c>
      <c r="N174" s="49">
        <f t="shared" si="40"/>
        <v>0</v>
      </c>
      <c r="O174" s="48" t="e">
        <f>K174+I174+J174-L174+N174+G174</f>
        <v>#DIV/0!</v>
      </c>
      <c r="P174" s="38" t="e">
        <f>O174*(1/((1+P$12)^(B174/12)))</f>
        <v>#DIV/0!</v>
      </c>
      <c r="Q174" s="53"/>
      <c r="R174" s="53">
        <f t="shared" si="35"/>
        <v>0.12</v>
      </c>
      <c r="S174" s="53">
        <f t="shared" si="36"/>
        <v>1.0596241035318976E-2</v>
      </c>
      <c r="T174" s="53">
        <f t="shared" si="37"/>
        <v>0</v>
      </c>
      <c r="U174" s="53">
        <f t="shared" si="38"/>
        <v>0</v>
      </c>
    </row>
    <row r="175" spans="1:21" x14ac:dyDescent="0.2">
      <c r="A175" s="62" t="e">
        <f t="shared" si="31"/>
        <v>#DIV/0!</v>
      </c>
      <c r="B175" s="45">
        <f t="shared" si="32"/>
        <v>161</v>
      </c>
      <c r="C175" s="51" t="e">
        <f>IF(B175&lt;C$4,C$1,D174-L175+N175)</f>
        <v>#DIV/0!</v>
      </c>
      <c r="D175" s="47" t="e" cm="1">
        <f t="array" ref="D175">_xlfn.IFS(AND($C$7="Y",B175&lt;C$4),C175,AND($C$7="Y",B175=C$4),D174+F175-J175-K175-L175+N175,AND($C$7="Y",B175&gt;$C$4),D174-J175-K175-L175+N175, TRUE, D174-J175-K175-L175+N175)</f>
        <v>#DIV/0!</v>
      </c>
      <c r="E175" s="48">
        <f t="shared" si="33"/>
        <v>0</v>
      </c>
      <c r="F175" s="50">
        <f t="shared" si="34"/>
        <v>0</v>
      </c>
      <c r="G175" s="50">
        <f t="shared" si="39"/>
        <v>0</v>
      </c>
      <c r="H175" s="51" t="e">
        <f>IF(AND($B175&lt;=$C$4,C$7="Y"),0,IF(AND(C$7="N",C$4&gt;0,B175&lt;=C$4),0,(D174-L175+N175)*C$2/12/(1-(1/(1+C$2/12))^(C$3+C$4-B175+1))))</f>
        <v>#DIV/0!</v>
      </c>
      <c r="I175" s="52" t="e">
        <f>IF(AND(C$7="Y",$B175&lt;=C$4),0,IF(AND(C$7="Y",$B175&gt;C$4),(1-U175)*C$2*D174/12,IF(AND($C$7="N",C$4&gt;0),(1-U175)*D174*C$2/12, (1-U175)*D174*C$2/12)))</f>
        <v>#DIV/0!</v>
      </c>
      <c r="J175" s="52" t="e">
        <f>IF(AND($B175&lt;=$C$4,C$7="Y"),0,IF(AND(C$7="N",C$4&gt;0,B175&lt;=C$4),0,H175-I175))</f>
        <v>#DIV/0!</v>
      </c>
      <c r="K175" s="51" t="e">
        <f>IF(AND(C$7="Y",$B175&lt;=$C$4),0,IF(AND(C$7="N",C$4&gt;0,B175&lt;=C$4),0,S175*(C175-J175)))</f>
        <v>#DIV/0!</v>
      </c>
      <c r="L175" s="49" t="e">
        <f>IF(AND(C$7="Y",$B175&lt;=$C$4),0,IF(AND(C$7="N",C$4&gt;0,B175&lt;=C$4),0,U175*D174))</f>
        <v>#DIV/0!</v>
      </c>
      <c r="M175" s="49">
        <f t="shared" si="41"/>
        <v>0</v>
      </c>
      <c r="N175" s="49">
        <f t="shared" si="40"/>
        <v>0</v>
      </c>
      <c r="O175" s="48" t="e">
        <f>K175+I175+J175-L175+N175+G175</f>
        <v>#DIV/0!</v>
      </c>
      <c r="P175" s="38" t="e">
        <f>O175*(1/((1+P$12)^(B175/12)))</f>
        <v>#DIV/0!</v>
      </c>
      <c r="Q175" s="53"/>
      <c r="R175" s="53">
        <f t="shared" si="35"/>
        <v>0.12</v>
      </c>
      <c r="S175" s="53">
        <f t="shared" si="36"/>
        <v>1.0596241035318976E-2</v>
      </c>
      <c r="T175" s="53">
        <f t="shared" si="37"/>
        <v>0</v>
      </c>
      <c r="U175" s="53">
        <f t="shared" si="38"/>
        <v>0</v>
      </c>
    </row>
    <row r="176" spans="1:21" x14ac:dyDescent="0.2">
      <c r="A176" s="62" t="e">
        <f t="shared" si="31"/>
        <v>#DIV/0!</v>
      </c>
      <c r="B176" s="45">
        <f t="shared" si="32"/>
        <v>162</v>
      </c>
      <c r="C176" s="51" t="e">
        <f>IF(B176&lt;C$4,C$1,D175-L176+N176)</f>
        <v>#DIV/0!</v>
      </c>
      <c r="D176" s="47" t="e" cm="1">
        <f t="array" ref="D176">_xlfn.IFS(AND($C$7="Y",B176&lt;C$4),C176,AND($C$7="Y",B176=C$4),D175+F176-J176-K176-L176+N176,AND($C$7="Y",B176&gt;$C$4),D175-J176-K176-L176+N176, TRUE, D175-J176-K176-L176+N176)</f>
        <v>#DIV/0!</v>
      </c>
      <c r="E176" s="48">
        <f t="shared" si="33"/>
        <v>0</v>
      </c>
      <c r="F176" s="50">
        <f t="shared" si="34"/>
        <v>0</v>
      </c>
      <c r="G176" s="50">
        <f t="shared" si="39"/>
        <v>0</v>
      </c>
      <c r="H176" s="51" t="e">
        <f>IF(AND($B176&lt;=$C$4,C$7="Y"),0,IF(AND(C$7="N",C$4&gt;0,B176&lt;=C$4),0,(D175-L176+N176)*C$2/12/(1-(1/(1+C$2/12))^(C$3+C$4-B176+1))))</f>
        <v>#DIV/0!</v>
      </c>
      <c r="I176" s="52" t="e">
        <f>IF(AND(C$7="Y",$B176&lt;=C$4),0,IF(AND(C$7="Y",$B176&gt;C$4),(1-U176)*C$2*D175/12,IF(AND($C$7="N",C$4&gt;0),(1-U176)*D175*C$2/12, (1-U176)*D175*C$2/12)))</f>
        <v>#DIV/0!</v>
      </c>
      <c r="J176" s="52" t="e">
        <f>IF(AND($B176&lt;=$C$4,C$7="Y"),0,IF(AND(C$7="N",C$4&gt;0,B176&lt;=C$4),0,H176-I176))</f>
        <v>#DIV/0!</v>
      </c>
      <c r="K176" s="51" t="e">
        <f>IF(AND(C$7="Y",$B176&lt;=$C$4),0,IF(AND(C$7="N",C$4&gt;0,B176&lt;=C$4),0,S176*(C176-J176)))</f>
        <v>#DIV/0!</v>
      </c>
      <c r="L176" s="49" t="e">
        <f>IF(AND(C$7="Y",$B176&lt;=$C$4),0,IF(AND(C$7="N",C$4&gt;0,B176&lt;=C$4),0,U176*D175))</f>
        <v>#DIV/0!</v>
      </c>
      <c r="M176" s="49">
        <f t="shared" si="41"/>
        <v>0</v>
      </c>
      <c r="N176" s="49">
        <f t="shared" si="40"/>
        <v>0</v>
      </c>
      <c r="O176" s="48" t="e">
        <f>K176+I176+J176-L176+N176+G176</f>
        <v>#DIV/0!</v>
      </c>
      <c r="P176" s="38" t="e">
        <f>O176*(1/((1+P$12)^(B176/12)))</f>
        <v>#DIV/0!</v>
      </c>
      <c r="Q176" s="53"/>
      <c r="R176" s="53">
        <f t="shared" si="35"/>
        <v>0.12</v>
      </c>
      <c r="S176" s="53">
        <f t="shared" si="36"/>
        <v>1.0596241035318976E-2</v>
      </c>
      <c r="T176" s="53">
        <f t="shared" si="37"/>
        <v>0</v>
      </c>
      <c r="U176" s="53">
        <f t="shared" si="38"/>
        <v>0</v>
      </c>
    </row>
    <row r="177" spans="1:21" x14ac:dyDescent="0.2">
      <c r="A177" s="62" t="e">
        <f t="shared" si="31"/>
        <v>#DIV/0!</v>
      </c>
      <c r="B177" s="45">
        <f t="shared" si="32"/>
        <v>163</v>
      </c>
      <c r="C177" s="51" t="e">
        <f>IF(B177&lt;C$4,C$1,D176-L177+N177)</f>
        <v>#DIV/0!</v>
      </c>
      <c r="D177" s="47" t="e" cm="1">
        <f t="array" ref="D177">_xlfn.IFS(AND($C$7="Y",B177&lt;C$4),C177,AND($C$7="Y",B177=C$4),D176+F177-J177-K177-L177+N177,AND($C$7="Y",B177&gt;$C$4),D176-J177-K177-L177+N177, TRUE, D176-J177-K177-L177+N177)</f>
        <v>#DIV/0!</v>
      </c>
      <c r="E177" s="48">
        <f t="shared" si="33"/>
        <v>0</v>
      </c>
      <c r="F177" s="50">
        <f t="shared" si="34"/>
        <v>0</v>
      </c>
      <c r="G177" s="50">
        <f t="shared" si="39"/>
        <v>0</v>
      </c>
      <c r="H177" s="51" t="e">
        <f>IF(AND($B177&lt;=$C$4,C$7="Y"),0,IF(AND(C$7="N",C$4&gt;0,B177&lt;=C$4),0,(D176-L177+N177)*C$2/12/(1-(1/(1+C$2/12))^(C$3+C$4-B177+1))))</f>
        <v>#DIV/0!</v>
      </c>
      <c r="I177" s="52" t="e">
        <f>IF(AND(C$7="Y",$B177&lt;=C$4),0,IF(AND(C$7="Y",$B177&gt;C$4),(1-U177)*C$2*D176/12,IF(AND($C$7="N",C$4&gt;0),(1-U177)*D176*C$2/12, (1-U177)*D176*C$2/12)))</f>
        <v>#DIV/0!</v>
      </c>
      <c r="J177" s="52" t="e">
        <f>IF(AND($B177&lt;=$C$4,C$7="Y"),0,IF(AND(C$7="N",C$4&gt;0,B177&lt;=C$4),0,H177-I177))</f>
        <v>#DIV/0!</v>
      </c>
      <c r="K177" s="51" t="e">
        <f>IF(AND(C$7="Y",$B177&lt;=$C$4),0,IF(AND(C$7="N",C$4&gt;0,B177&lt;=C$4),0,S177*(C177-J177)))</f>
        <v>#DIV/0!</v>
      </c>
      <c r="L177" s="49" t="e">
        <f>IF(AND(C$7="Y",$B177&lt;=$C$4),0,IF(AND(C$7="N",C$4&gt;0,B177&lt;=C$4),0,U177*D176))</f>
        <v>#DIV/0!</v>
      </c>
      <c r="M177" s="49">
        <f t="shared" si="41"/>
        <v>0</v>
      </c>
      <c r="N177" s="49">
        <f t="shared" si="40"/>
        <v>0</v>
      </c>
      <c r="O177" s="48" t="e">
        <f>K177+I177+J177-L177+N177+G177</f>
        <v>#DIV/0!</v>
      </c>
      <c r="P177" s="38" t="e">
        <f>O177*(1/((1+P$12)^(B177/12)))</f>
        <v>#DIV/0!</v>
      </c>
      <c r="Q177" s="53"/>
      <c r="R177" s="53">
        <f t="shared" si="35"/>
        <v>0.12</v>
      </c>
      <c r="S177" s="53">
        <f t="shared" si="36"/>
        <v>1.0596241035318976E-2</v>
      </c>
      <c r="T177" s="53">
        <f t="shared" si="37"/>
        <v>0</v>
      </c>
      <c r="U177" s="53">
        <f t="shared" si="38"/>
        <v>0</v>
      </c>
    </row>
    <row r="178" spans="1:21" x14ac:dyDescent="0.2">
      <c r="A178" s="62" t="e">
        <f t="shared" si="31"/>
        <v>#DIV/0!</v>
      </c>
      <c r="B178" s="45">
        <f t="shared" si="32"/>
        <v>164</v>
      </c>
      <c r="C178" s="51" t="e">
        <f>IF(B178&lt;C$4,C$1,D177-L178+N178)</f>
        <v>#DIV/0!</v>
      </c>
      <c r="D178" s="47" t="e" cm="1">
        <f t="array" ref="D178">_xlfn.IFS(AND($C$7="Y",B178&lt;C$4),C178,AND($C$7="Y",B178=C$4),D177+F178-J178-K178-L178+N178,AND($C$7="Y",B178&gt;$C$4),D177-J178-K178-L178+N178, TRUE, D177-J178-K178-L178+N178)</f>
        <v>#DIV/0!</v>
      </c>
      <c r="E178" s="48">
        <f t="shared" si="33"/>
        <v>0</v>
      </c>
      <c r="F178" s="50">
        <f t="shared" si="34"/>
        <v>0</v>
      </c>
      <c r="G178" s="50">
        <f t="shared" si="39"/>
        <v>0</v>
      </c>
      <c r="H178" s="51" t="e">
        <f>IF(AND($B178&lt;=$C$4,C$7="Y"),0,IF(AND(C$7="N",C$4&gt;0,B178&lt;=C$4),0,(D177-L178+N178)*C$2/12/(1-(1/(1+C$2/12))^(C$3+C$4-B178+1))))</f>
        <v>#DIV/0!</v>
      </c>
      <c r="I178" s="52" t="e">
        <f>IF(AND(C$7="Y",$B178&lt;=C$4),0,IF(AND(C$7="Y",$B178&gt;C$4),(1-U178)*C$2*D177/12,IF(AND($C$7="N",C$4&gt;0),(1-U178)*D177*C$2/12, (1-U178)*D177*C$2/12)))</f>
        <v>#DIV/0!</v>
      </c>
      <c r="J178" s="52" t="e">
        <f>IF(AND($B178&lt;=$C$4,C$7="Y"),0,IF(AND(C$7="N",C$4&gt;0,B178&lt;=C$4),0,H178-I178))</f>
        <v>#DIV/0!</v>
      </c>
      <c r="K178" s="51" t="e">
        <f>IF(AND(C$7="Y",$B178&lt;=$C$4),0,IF(AND(C$7="N",C$4&gt;0,B178&lt;=C$4),0,S178*(C178-J178)))</f>
        <v>#DIV/0!</v>
      </c>
      <c r="L178" s="49" t="e">
        <f>IF(AND(C$7="Y",$B178&lt;=$C$4),0,IF(AND(C$7="N",C$4&gt;0,B178&lt;=C$4),0,U178*D177))</f>
        <v>#DIV/0!</v>
      </c>
      <c r="M178" s="49">
        <f t="shared" si="41"/>
        <v>0</v>
      </c>
      <c r="N178" s="49">
        <f t="shared" si="40"/>
        <v>0</v>
      </c>
      <c r="O178" s="48" t="e">
        <f>K178+I178+J178-L178+N178+G178</f>
        <v>#DIV/0!</v>
      </c>
      <c r="P178" s="38" t="e">
        <f>O178*(1/((1+P$12)^(B178/12)))</f>
        <v>#DIV/0!</v>
      </c>
      <c r="Q178" s="53"/>
      <c r="R178" s="53">
        <f t="shared" si="35"/>
        <v>0.12</v>
      </c>
      <c r="S178" s="53">
        <f t="shared" si="36"/>
        <v>1.0596241035318976E-2</v>
      </c>
      <c r="T178" s="53">
        <f t="shared" si="37"/>
        <v>0</v>
      </c>
      <c r="U178" s="53">
        <f t="shared" si="38"/>
        <v>0</v>
      </c>
    </row>
    <row r="179" spans="1:21" x14ac:dyDescent="0.2">
      <c r="A179" s="62" t="e">
        <f t="shared" si="31"/>
        <v>#DIV/0!</v>
      </c>
      <c r="B179" s="45">
        <f t="shared" si="32"/>
        <v>165</v>
      </c>
      <c r="C179" s="51" t="e">
        <f>IF(B179&lt;C$4,C$1,D178-L179+N179)</f>
        <v>#DIV/0!</v>
      </c>
      <c r="D179" s="47" t="e" cm="1">
        <f t="array" ref="D179">_xlfn.IFS(AND($C$7="Y",B179&lt;C$4),C179,AND($C$7="Y",B179=C$4),D178+F179-J179-K179-L179+N179,AND($C$7="Y",B179&gt;$C$4),D178-J179-K179-L179+N179, TRUE, D178-J179-K179-L179+N179)</f>
        <v>#DIV/0!</v>
      </c>
      <c r="E179" s="48">
        <f t="shared" si="33"/>
        <v>0</v>
      </c>
      <c r="F179" s="50">
        <f t="shared" si="34"/>
        <v>0</v>
      </c>
      <c r="G179" s="50">
        <f t="shared" si="39"/>
        <v>0</v>
      </c>
      <c r="H179" s="51" t="e">
        <f>IF(AND($B179&lt;=$C$4,C$7="Y"),0,IF(AND(C$7="N",C$4&gt;0,B179&lt;=C$4),0,(D178-L179+N179)*C$2/12/(1-(1/(1+C$2/12))^(C$3+C$4-B179+1))))</f>
        <v>#DIV/0!</v>
      </c>
      <c r="I179" s="52" t="e">
        <f>IF(AND(C$7="Y",$B179&lt;=C$4),0,IF(AND(C$7="Y",$B179&gt;C$4),(1-U179)*C$2*D178/12,IF(AND($C$7="N",C$4&gt;0),(1-U179)*D178*C$2/12, (1-U179)*D178*C$2/12)))</f>
        <v>#DIV/0!</v>
      </c>
      <c r="J179" s="52" t="e">
        <f>IF(AND($B179&lt;=$C$4,C$7="Y"),0,IF(AND(C$7="N",C$4&gt;0,B179&lt;=C$4),0,H179-I179))</f>
        <v>#DIV/0!</v>
      </c>
      <c r="K179" s="51" t="e">
        <f>IF(AND(C$7="Y",$B179&lt;=$C$4),0,IF(AND(C$7="N",C$4&gt;0,B179&lt;=C$4),0,S179*(C179-J179)))</f>
        <v>#DIV/0!</v>
      </c>
      <c r="L179" s="49" t="e">
        <f>IF(AND(C$7="Y",$B179&lt;=$C$4),0,IF(AND(C$7="N",C$4&gt;0,B179&lt;=C$4),0,U179*D178))</f>
        <v>#DIV/0!</v>
      </c>
      <c r="M179" s="49">
        <f t="shared" si="41"/>
        <v>0</v>
      </c>
      <c r="N179" s="49">
        <f t="shared" si="40"/>
        <v>0</v>
      </c>
      <c r="O179" s="48" t="e">
        <f>K179+I179+J179-L179+N179+G179</f>
        <v>#DIV/0!</v>
      </c>
      <c r="P179" s="38" t="e">
        <f>O179*(1/((1+P$12)^(B179/12)))</f>
        <v>#DIV/0!</v>
      </c>
      <c r="Q179" s="53"/>
      <c r="R179" s="53">
        <f t="shared" si="35"/>
        <v>0.12</v>
      </c>
      <c r="S179" s="53">
        <f t="shared" si="36"/>
        <v>1.0596241035318976E-2</v>
      </c>
      <c r="T179" s="53">
        <f t="shared" si="37"/>
        <v>0</v>
      </c>
      <c r="U179" s="53">
        <f t="shared" si="38"/>
        <v>0</v>
      </c>
    </row>
    <row r="180" spans="1:21" x14ac:dyDescent="0.2">
      <c r="A180" s="62" t="e">
        <f t="shared" si="31"/>
        <v>#DIV/0!</v>
      </c>
      <c r="B180" s="45">
        <f t="shared" si="32"/>
        <v>166</v>
      </c>
      <c r="C180" s="51" t="e">
        <f>IF(B180&lt;C$4,C$1,D179-L180+N180)</f>
        <v>#DIV/0!</v>
      </c>
      <c r="D180" s="47" t="e" cm="1">
        <f t="array" ref="D180">_xlfn.IFS(AND($C$7="Y",B180&lt;C$4),C180,AND($C$7="Y",B180=C$4),D179+F180-J180-K180-L180+N180,AND($C$7="Y",B180&gt;$C$4),D179-J180-K180-L180+N180, TRUE, D179-J180-K180-L180+N180)</f>
        <v>#DIV/0!</v>
      </c>
      <c r="E180" s="48">
        <f t="shared" si="33"/>
        <v>0</v>
      </c>
      <c r="F180" s="50">
        <f t="shared" si="34"/>
        <v>0</v>
      </c>
      <c r="G180" s="50">
        <f t="shared" si="39"/>
        <v>0</v>
      </c>
      <c r="H180" s="51" t="e">
        <f>IF(AND($B180&lt;=$C$4,C$7="Y"),0,IF(AND(C$7="N",C$4&gt;0,B180&lt;=C$4),0,(D179-L180+N180)*C$2/12/(1-(1/(1+C$2/12))^(C$3+C$4-B180+1))))</f>
        <v>#DIV/0!</v>
      </c>
      <c r="I180" s="52" t="e">
        <f>IF(AND(C$7="Y",$B180&lt;=C$4),0,IF(AND(C$7="Y",$B180&gt;C$4),(1-U180)*C$2*D179/12,IF(AND($C$7="N",C$4&gt;0),(1-U180)*D179*C$2/12, (1-U180)*D179*C$2/12)))</f>
        <v>#DIV/0!</v>
      </c>
      <c r="J180" s="52" t="e">
        <f>IF(AND($B180&lt;=$C$4,C$7="Y"),0,IF(AND(C$7="N",C$4&gt;0,B180&lt;=C$4),0,H180-I180))</f>
        <v>#DIV/0!</v>
      </c>
      <c r="K180" s="51" t="e">
        <f>IF(AND(C$7="Y",$B180&lt;=$C$4),0,IF(AND(C$7="N",C$4&gt;0,B180&lt;=C$4),0,S180*(C180-J180)))</f>
        <v>#DIV/0!</v>
      </c>
      <c r="L180" s="49" t="e">
        <f>IF(AND(C$7="Y",$B180&lt;=$C$4),0,IF(AND(C$7="N",C$4&gt;0,B180&lt;=C$4),0,U180*D179))</f>
        <v>#DIV/0!</v>
      </c>
      <c r="M180" s="49">
        <f t="shared" si="41"/>
        <v>0</v>
      </c>
      <c r="N180" s="49">
        <f t="shared" si="40"/>
        <v>0</v>
      </c>
      <c r="O180" s="48" t="e">
        <f>K180+I180+J180-L180+N180+G180</f>
        <v>#DIV/0!</v>
      </c>
      <c r="P180" s="38" t="e">
        <f>O180*(1/((1+P$12)^(B180/12)))</f>
        <v>#DIV/0!</v>
      </c>
      <c r="Q180" s="53"/>
      <c r="R180" s="53">
        <f t="shared" si="35"/>
        <v>0.12</v>
      </c>
      <c r="S180" s="53">
        <f t="shared" si="36"/>
        <v>1.0596241035318976E-2</v>
      </c>
      <c r="T180" s="53">
        <f t="shared" si="37"/>
        <v>0</v>
      </c>
      <c r="U180" s="53">
        <f t="shared" si="38"/>
        <v>0</v>
      </c>
    </row>
    <row r="181" spans="1:21" x14ac:dyDescent="0.2">
      <c r="A181" s="62" t="e">
        <f t="shared" si="31"/>
        <v>#DIV/0!</v>
      </c>
      <c r="B181" s="45">
        <f t="shared" si="32"/>
        <v>167</v>
      </c>
      <c r="C181" s="51" t="e">
        <f>IF(B181&lt;C$4,C$1,D180-L181+N181)</f>
        <v>#DIV/0!</v>
      </c>
      <c r="D181" s="47" t="e" cm="1">
        <f t="array" ref="D181">_xlfn.IFS(AND($C$7="Y",B181&lt;C$4),C181,AND($C$7="Y",B181=C$4),D180+F181-J181-K181-L181+N181,AND($C$7="Y",B181&gt;$C$4),D180-J181-K181-L181+N181, TRUE, D180-J181-K181-L181+N181)</f>
        <v>#DIV/0!</v>
      </c>
      <c r="E181" s="48">
        <f t="shared" si="33"/>
        <v>0</v>
      </c>
      <c r="F181" s="50">
        <f t="shared" si="34"/>
        <v>0</v>
      </c>
      <c r="G181" s="50">
        <f t="shared" si="39"/>
        <v>0</v>
      </c>
      <c r="H181" s="51" t="e">
        <f>IF(AND($B181&lt;=$C$4,C$7="Y"),0,IF(AND(C$7="N",C$4&gt;0,B181&lt;=C$4),0,(D180-L181+N181)*C$2/12/(1-(1/(1+C$2/12))^(C$3+C$4-B181+1))))</f>
        <v>#DIV/0!</v>
      </c>
      <c r="I181" s="52" t="e">
        <f>IF(AND(C$7="Y",$B181&lt;=C$4),0,IF(AND(C$7="Y",$B181&gt;C$4),(1-U181)*C$2*D180/12,IF(AND($C$7="N",C$4&gt;0),(1-U181)*D180*C$2/12, (1-U181)*D180*C$2/12)))</f>
        <v>#DIV/0!</v>
      </c>
      <c r="J181" s="52" t="e">
        <f>IF(AND($B181&lt;=$C$4,C$7="Y"),0,IF(AND(C$7="N",C$4&gt;0,B181&lt;=C$4),0,H181-I181))</f>
        <v>#DIV/0!</v>
      </c>
      <c r="K181" s="51" t="e">
        <f>IF(AND(C$7="Y",$B181&lt;=$C$4),0,IF(AND(C$7="N",C$4&gt;0,B181&lt;=C$4),0,S181*(C181-J181)))</f>
        <v>#DIV/0!</v>
      </c>
      <c r="L181" s="49" t="e">
        <f>IF(AND(C$7="Y",$B181&lt;=$C$4),0,IF(AND(C$7="N",C$4&gt;0,B181&lt;=C$4),0,U181*D180))</f>
        <v>#DIV/0!</v>
      </c>
      <c r="M181" s="49">
        <f t="shared" si="41"/>
        <v>0</v>
      </c>
      <c r="N181" s="49">
        <f t="shared" si="40"/>
        <v>0</v>
      </c>
      <c r="O181" s="48" t="e">
        <f>K181+I181+J181-L181+N181+G181</f>
        <v>#DIV/0!</v>
      </c>
      <c r="P181" s="38" t="e">
        <f>O181*(1/((1+P$12)^(B181/12)))</f>
        <v>#DIV/0!</v>
      </c>
      <c r="Q181" s="53"/>
      <c r="R181" s="53">
        <f t="shared" si="35"/>
        <v>0.12</v>
      </c>
      <c r="S181" s="53">
        <f t="shared" si="36"/>
        <v>1.0596241035318976E-2</v>
      </c>
      <c r="T181" s="53">
        <f t="shared" si="37"/>
        <v>0</v>
      </c>
      <c r="U181" s="53">
        <f t="shared" si="38"/>
        <v>0</v>
      </c>
    </row>
    <row r="182" spans="1:21" x14ac:dyDescent="0.2">
      <c r="A182" s="62" t="e">
        <f t="shared" si="31"/>
        <v>#DIV/0!</v>
      </c>
      <c r="B182" s="45">
        <f t="shared" si="32"/>
        <v>168</v>
      </c>
      <c r="C182" s="51" t="e">
        <f>IF(B182&lt;C$4,C$1,D181-L182+N182)</f>
        <v>#DIV/0!</v>
      </c>
      <c r="D182" s="47" t="e" cm="1">
        <f t="array" ref="D182">_xlfn.IFS(AND($C$7="Y",B182&lt;C$4),C182,AND($C$7="Y",B182=C$4),D181+F182-J182-K182-L182+N182,AND($C$7="Y",B182&gt;$C$4),D181-J182-K182-L182+N182, TRUE, D181-J182-K182-L182+N182)</f>
        <v>#DIV/0!</v>
      </c>
      <c r="E182" s="48">
        <f t="shared" si="33"/>
        <v>0</v>
      </c>
      <c r="F182" s="50">
        <f t="shared" si="34"/>
        <v>0</v>
      </c>
      <c r="G182" s="50">
        <f t="shared" si="39"/>
        <v>0</v>
      </c>
      <c r="H182" s="51" t="e">
        <f>IF(AND($B182&lt;=$C$4,C$7="Y"),0,IF(AND(C$7="N",C$4&gt;0,B182&lt;=C$4),0,(D181-L182+N182)*C$2/12/(1-(1/(1+C$2/12))^(C$3+C$4-B182+1))))</f>
        <v>#DIV/0!</v>
      </c>
      <c r="I182" s="52" t="e">
        <f>IF(AND(C$7="Y",$B182&lt;=C$4),0,IF(AND(C$7="Y",$B182&gt;C$4),(1-U182)*C$2*D181/12,IF(AND($C$7="N",C$4&gt;0),(1-U182)*D181*C$2/12, (1-U182)*D181*C$2/12)))</f>
        <v>#DIV/0!</v>
      </c>
      <c r="J182" s="52" t="e">
        <f>IF(AND($B182&lt;=$C$4,C$7="Y"),0,IF(AND(C$7="N",C$4&gt;0,B182&lt;=C$4),0,H182-I182))</f>
        <v>#DIV/0!</v>
      </c>
      <c r="K182" s="51" t="e">
        <f>IF(AND(C$7="Y",$B182&lt;=$C$4),0,IF(AND(C$7="N",C$4&gt;0,B182&lt;=C$4),0,S182*(C182-J182)))</f>
        <v>#DIV/0!</v>
      </c>
      <c r="L182" s="49" t="e">
        <f>IF(AND(C$7="Y",$B182&lt;=$C$4),0,IF(AND(C$7="N",C$4&gt;0,B182&lt;=C$4),0,U182*D181))</f>
        <v>#DIV/0!</v>
      </c>
      <c r="M182" s="49">
        <f t="shared" si="41"/>
        <v>0</v>
      </c>
      <c r="N182" s="49">
        <f t="shared" si="40"/>
        <v>0</v>
      </c>
      <c r="O182" s="48" t="e">
        <f>K182+I182+J182-L182+N182+G182</f>
        <v>#DIV/0!</v>
      </c>
      <c r="P182" s="38" t="e">
        <f>O182*(1/((1+P$12)^(B182/12)))</f>
        <v>#DIV/0!</v>
      </c>
      <c r="Q182" s="53"/>
      <c r="R182" s="53">
        <f t="shared" si="35"/>
        <v>0.12</v>
      </c>
      <c r="S182" s="53">
        <f t="shared" si="36"/>
        <v>1.0596241035318976E-2</v>
      </c>
      <c r="T182" s="53">
        <f t="shared" si="37"/>
        <v>0</v>
      </c>
      <c r="U182" s="53">
        <f t="shared" si="38"/>
        <v>0</v>
      </c>
    </row>
    <row r="183" spans="1:21" x14ac:dyDescent="0.2">
      <c r="A183" s="62" t="e">
        <f t="shared" si="31"/>
        <v>#DIV/0!</v>
      </c>
      <c r="B183" s="45">
        <f t="shared" si="32"/>
        <v>169</v>
      </c>
      <c r="C183" s="51" t="e">
        <f>IF(B183&lt;C$4,C$1,D182-L183+N183)</f>
        <v>#DIV/0!</v>
      </c>
      <c r="D183" s="47" t="e" cm="1">
        <f t="array" ref="D183">_xlfn.IFS(AND($C$7="Y",B183&lt;C$4),C183,AND($C$7="Y",B183=C$4),D182+F183-J183-K183-L183+N183,AND($C$7="Y",B183&gt;$C$4),D182-J183-K183-L183+N183, TRUE, D182-J183-K183-L183+N183)</f>
        <v>#DIV/0!</v>
      </c>
      <c r="E183" s="48">
        <f t="shared" si="33"/>
        <v>0</v>
      </c>
      <c r="F183" s="50">
        <f t="shared" si="34"/>
        <v>0</v>
      </c>
      <c r="G183" s="50">
        <f t="shared" si="39"/>
        <v>0</v>
      </c>
      <c r="H183" s="51" t="e">
        <f>IF(AND($B183&lt;=$C$4,C$7="Y"),0,IF(AND(C$7="N",C$4&gt;0,B183&lt;=C$4),0,(D182-L183+N183)*C$2/12/(1-(1/(1+C$2/12))^(C$3+C$4-B183+1))))</f>
        <v>#DIV/0!</v>
      </c>
      <c r="I183" s="52" t="e">
        <f>IF(AND(C$7="Y",$B183&lt;=C$4),0,IF(AND(C$7="Y",$B183&gt;C$4),(1-U183)*C$2*D182/12,IF(AND($C$7="N",C$4&gt;0),(1-U183)*D182*C$2/12, (1-U183)*D182*C$2/12)))</f>
        <v>#DIV/0!</v>
      </c>
      <c r="J183" s="52" t="e">
        <f>IF(AND($B183&lt;=$C$4,C$7="Y"),0,IF(AND(C$7="N",C$4&gt;0,B183&lt;=C$4),0,H183-I183))</f>
        <v>#DIV/0!</v>
      </c>
      <c r="K183" s="51" t="e">
        <f>IF(AND(C$7="Y",$B183&lt;=$C$4),0,IF(AND(C$7="N",C$4&gt;0,B183&lt;=C$4),0,S183*(C183-J183)))</f>
        <v>#DIV/0!</v>
      </c>
      <c r="L183" s="49" t="e">
        <f>IF(AND(C$7="Y",$B183&lt;=$C$4),0,IF(AND(C$7="N",C$4&gt;0,B183&lt;=C$4),0,U183*D182))</f>
        <v>#DIV/0!</v>
      </c>
      <c r="M183" s="49">
        <f t="shared" si="41"/>
        <v>0</v>
      </c>
      <c r="N183" s="49">
        <f t="shared" si="40"/>
        <v>0</v>
      </c>
      <c r="O183" s="48" t="e">
        <f>K183+I183+J183-L183+N183+G183</f>
        <v>#DIV/0!</v>
      </c>
      <c r="P183" s="38" t="e">
        <f>O183*(1/((1+P$12)^(B183/12)))</f>
        <v>#DIV/0!</v>
      </c>
      <c r="Q183" s="53"/>
      <c r="R183" s="53">
        <f t="shared" si="35"/>
        <v>0.12</v>
      </c>
      <c r="S183" s="53">
        <f t="shared" si="36"/>
        <v>1.0596241035318976E-2</v>
      </c>
      <c r="T183" s="53">
        <f t="shared" si="37"/>
        <v>0</v>
      </c>
      <c r="U183" s="53">
        <f t="shared" si="38"/>
        <v>0</v>
      </c>
    </row>
    <row r="184" spans="1:21" x14ac:dyDescent="0.2">
      <c r="A184" s="62" t="e">
        <f t="shared" si="31"/>
        <v>#DIV/0!</v>
      </c>
      <c r="B184" s="45">
        <f t="shared" si="32"/>
        <v>170</v>
      </c>
      <c r="C184" s="51" t="e">
        <f>IF(B184&lt;C$4,C$1,D183-L184+N184)</f>
        <v>#DIV/0!</v>
      </c>
      <c r="D184" s="47" t="e" cm="1">
        <f t="array" ref="D184">_xlfn.IFS(AND($C$7="Y",B184&lt;C$4),C184,AND($C$7="Y",B184=C$4),D183+F184-J184-K184-L184+N184,AND($C$7="Y",B184&gt;$C$4),D183-J184-K184-L184+N184, TRUE, D183-J184-K184-L184+N184)</f>
        <v>#DIV/0!</v>
      </c>
      <c r="E184" s="48">
        <f t="shared" si="33"/>
        <v>0</v>
      </c>
      <c r="F184" s="50">
        <f t="shared" si="34"/>
        <v>0</v>
      </c>
      <c r="G184" s="50">
        <f t="shared" si="39"/>
        <v>0</v>
      </c>
      <c r="H184" s="51" t="e">
        <f>IF(AND($B184&lt;=$C$4,C$7="Y"),0,IF(AND(C$7="N",C$4&gt;0,B184&lt;=C$4),0,(D183-L184+N184)*C$2/12/(1-(1/(1+C$2/12))^(C$3+C$4-B184+1))))</f>
        <v>#DIV/0!</v>
      </c>
      <c r="I184" s="52" t="e">
        <f>IF(AND(C$7="Y",$B184&lt;=C$4),0,IF(AND(C$7="Y",$B184&gt;C$4),(1-U184)*C$2*D183/12,IF(AND($C$7="N",C$4&gt;0),(1-U184)*D183*C$2/12, (1-U184)*D183*C$2/12)))</f>
        <v>#DIV/0!</v>
      </c>
      <c r="J184" s="52" t="e">
        <f>IF(AND($B184&lt;=$C$4,C$7="Y"),0,IF(AND(C$7="N",C$4&gt;0,B184&lt;=C$4),0,H184-I184))</f>
        <v>#DIV/0!</v>
      </c>
      <c r="K184" s="51" t="e">
        <f>IF(AND(C$7="Y",$B184&lt;=$C$4),0,IF(AND(C$7="N",C$4&gt;0,B184&lt;=C$4),0,S184*(C184-J184)))</f>
        <v>#DIV/0!</v>
      </c>
      <c r="L184" s="49" t="e">
        <f>IF(AND(C$7="Y",$B184&lt;=$C$4),0,IF(AND(C$7="N",C$4&gt;0,B184&lt;=C$4),0,U184*D183))</f>
        <v>#DIV/0!</v>
      </c>
      <c r="M184" s="49">
        <f t="shared" si="41"/>
        <v>0</v>
      </c>
      <c r="N184" s="49">
        <f t="shared" si="40"/>
        <v>0</v>
      </c>
      <c r="O184" s="48" t="e">
        <f>K184+I184+J184-L184+N184+G184</f>
        <v>#DIV/0!</v>
      </c>
      <c r="P184" s="38" t="e">
        <f>O184*(1/((1+P$12)^(B184/12)))</f>
        <v>#DIV/0!</v>
      </c>
      <c r="Q184" s="53"/>
      <c r="R184" s="53">
        <f t="shared" si="35"/>
        <v>0.12</v>
      </c>
      <c r="S184" s="53">
        <f t="shared" si="36"/>
        <v>1.0596241035318976E-2</v>
      </c>
      <c r="T184" s="53">
        <f t="shared" si="37"/>
        <v>0</v>
      </c>
      <c r="U184" s="53">
        <f t="shared" si="38"/>
        <v>0</v>
      </c>
    </row>
    <row r="185" spans="1:21" x14ac:dyDescent="0.2">
      <c r="A185" s="62" t="e">
        <f t="shared" si="31"/>
        <v>#DIV/0!</v>
      </c>
      <c r="B185" s="45">
        <f t="shared" si="32"/>
        <v>171</v>
      </c>
      <c r="C185" s="51" t="e">
        <f>IF(B185&lt;C$4,C$1,D184-L185+N185)</f>
        <v>#DIV/0!</v>
      </c>
      <c r="D185" s="47" t="e" cm="1">
        <f t="array" ref="D185">_xlfn.IFS(AND($C$7="Y",B185&lt;C$4),C185,AND($C$7="Y",B185=C$4),D184+F185-J185-K185-L185+N185,AND($C$7="Y",B185&gt;$C$4),D184-J185-K185-L185+N185, TRUE, D184-J185-K185-L185+N185)</f>
        <v>#DIV/0!</v>
      </c>
      <c r="E185" s="48">
        <f t="shared" si="33"/>
        <v>0</v>
      </c>
      <c r="F185" s="50">
        <f t="shared" si="34"/>
        <v>0</v>
      </c>
      <c r="G185" s="50">
        <f t="shared" si="39"/>
        <v>0</v>
      </c>
      <c r="H185" s="51" t="e">
        <f>IF(AND($B185&lt;=$C$4,C$7="Y"),0,IF(AND(C$7="N",C$4&gt;0,B185&lt;=C$4),0,(D184-L185+N185)*C$2/12/(1-(1/(1+C$2/12))^(C$3+C$4-B185+1))))</f>
        <v>#DIV/0!</v>
      </c>
      <c r="I185" s="52" t="e">
        <f>IF(AND(C$7="Y",$B185&lt;=C$4),0,IF(AND(C$7="Y",$B185&gt;C$4),(1-U185)*C$2*D184/12,IF(AND($C$7="N",C$4&gt;0),(1-U185)*D184*C$2/12, (1-U185)*D184*C$2/12)))</f>
        <v>#DIV/0!</v>
      </c>
      <c r="J185" s="52" t="e">
        <f>IF(AND($B185&lt;=$C$4,C$7="Y"),0,IF(AND(C$7="N",C$4&gt;0,B185&lt;=C$4),0,H185-I185))</f>
        <v>#DIV/0!</v>
      </c>
      <c r="K185" s="51" t="e">
        <f>IF(AND(C$7="Y",$B185&lt;=$C$4),0,IF(AND(C$7="N",C$4&gt;0,B185&lt;=C$4),0,S185*(C185-J185)))</f>
        <v>#DIV/0!</v>
      </c>
      <c r="L185" s="49" t="e">
        <f>IF(AND(C$7="Y",$B185&lt;=$C$4),0,IF(AND(C$7="N",C$4&gt;0,B185&lt;=C$4),0,U185*D184))</f>
        <v>#DIV/0!</v>
      </c>
      <c r="M185" s="49">
        <f t="shared" si="41"/>
        <v>0</v>
      </c>
      <c r="N185" s="49">
        <f t="shared" si="40"/>
        <v>0</v>
      </c>
      <c r="O185" s="48" t="e">
        <f>K185+I185+J185-L185+N185+G185</f>
        <v>#DIV/0!</v>
      </c>
      <c r="P185" s="38" t="e">
        <f>O185*(1/((1+P$12)^(B185/12)))</f>
        <v>#DIV/0!</v>
      </c>
      <c r="Q185" s="53"/>
      <c r="R185" s="53">
        <f t="shared" si="35"/>
        <v>0.12</v>
      </c>
      <c r="S185" s="53">
        <f t="shared" si="36"/>
        <v>1.0596241035318976E-2</v>
      </c>
      <c r="T185" s="53">
        <f t="shared" si="37"/>
        <v>0</v>
      </c>
      <c r="U185" s="53">
        <f t="shared" si="38"/>
        <v>0</v>
      </c>
    </row>
    <row r="186" spans="1:21" x14ac:dyDescent="0.2">
      <c r="A186" s="62" t="e">
        <f t="shared" si="31"/>
        <v>#DIV/0!</v>
      </c>
      <c r="B186" s="45">
        <f t="shared" si="32"/>
        <v>172</v>
      </c>
      <c r="C186" s="51" t="e">
        <f>IF(B186&lt;C$4,C$1,D185-L186+N186)</f>
        <v>#DIV/0!</v>
      </c>
      <c r="D186" s="47" t="e" cm="1">
        <f t="array" ref="D186">_xlfn.IFS(AND($C$7="Y",B186&lt;C$4),C186,AND($C$7="Y",B186=C$4),D185+F186-J186-K186-L186+N186,AND($C$7="Y",B186&gt;$C$4),D185-J186-K186-L186+N186, TRUE, D185-J186-K186-L186+N186)</f>
        <v>#DIV/0!</v>
      </c>
      <c r="E186" s="48">
        <f t="shared" si="33"/>
        <v>0</v>
      </c>
      <c r="F186" s="50">
        <f t="shared" si="34"/>
        <v>0</v>
      </c>
      <c r="G186" s="50">
        <f t="shared" si="39"/>
        <v>0</v>
      </c>
      <c r="H186" s="51" t="e">
        <f>IF(AND($B186&lt;=$C$4,C$7="Y"),0,IF(AND(C$7="N",C$4&gt;0,B186&lt;=C$4),0,(D185-L186+N186)*C$2/12/(1-(1/(1+C$2/12))^(C$3+C$4-B186+1))))</f>
        <v>#DIV/0!</v>
      </c>
      <c r="I186" s="52" t="e">
        <f>IF(AND(C$7="Y",$B186&lt;=C$4),0,IF(AND(C$7="Y",$B186&gt;C$4),(1-U186)*C$2*D185/12,IF(AND($C$7="N",C$4&gt;0),(1-U186)*D185*C$2/12, (1-U186)*D185*C$2/12)))</f>
        <v>#DIV/0!</v>
      </c>
      <c r="J186" s="52" t="e">
        <f>IF(AND($B186&lt;=$C$4,C$7="Y"),0,IF(AND(C$7="N",C$4&gt;0,B186&lt;=C$4),0,H186-I186))</f>
        <v>#DIV/0!</v>
      </c>
      <c r="K186" s="51" t="e">
        <f>IF(AND(C$7="Y",$B186&lt;=$C$4),0,IF(AND(C$7="N",C$4&gt;0,B186&lt;=C$4),0,S186*(C186-J186)))</f>
        <v>#DIV/0!</v>
      </c>
      <c r="L186" s="49" t="e">
        <f>IF(AND(C$7="Y",$B186&lt;=$C$4),0,IF(AND(C$7="N",C$4&gt;0,B186&lt;=C$4),0,U186*D185))</f>
        <v>#DIV/0!</v>
      </c>
      <c r="M186" s="49">
        <f t="shared" si="41"/>
        <v>0</v>
      </c>
      <c r="N186" s="49">
        <f t="shared" si="40"/>
        <v>0</v>
      </c>
      <c r="O186" s="48" t="e">
        <f>K186+I186+J186-L186+N186+G186</f>
        <v>#DIV/0!</v>
      </c>
      <c r="P186" s="38" t="e">
        <f>O186*(1/((1+P$12)^(B186/12)))</f>
        <v>#DIV/0!</v>
      </c>
      <c r="Q186" s="53"/>
      <c r="R186" s="53">
        <f t="shared" si="35"/>
        <v>0.12</v>
      </c>
      <c r="S186" s="53">
        <f t="shared" si="36"/>
        <v>1.0596241035318976E-2</v>
      </c>
      <c r="T186" s="53">
        <f t="shared" si="37"/>
        <v>0</v>
      </c>
      <c r="U186" s="53">
        <f t="shared" si="38"/>
        <v>0</v>
      </c>
    </row>
    <row r="187" spans="1:21" x14ac:dyDescent="0.2">
      <c r="A187" s="62" t="e">
        <f t="shared" si="31"/>
        <v>#DIV/0!</v>
      </c>
      <c r="B187" s="45">
        <f t="shared" si="32"/>
        <v>173</v>
      </c>
      <c r="C187" s="51" t="e">
        <f>IF(B187&lt;C$4,C$1,D186-L187+N187)</f>
        <v>#DIV/0!</v>
      </c>
      <c r="D187" s="47" t="e" cm="1">
        <f t="array" ref="D187">_xlfn.IFS(AND($C$7="Y",B187&lt;C$4),C187,AND($C$7="Y",B187=C$4),D186+F187-J187-K187-L187+N187,AND($C$7="Y",B187&gt;$C$4),D186-J187-K187-L187+N187, TRUE, D186-J187-K187-L187+N187)</f>
        <v>#DIV/0!</v>
      </c>
      <c r="E187" s="48">
        <f t="shared" si="33"/>
        <v>0</v>
      </c>
      <c r="F187" s="50">
        <f t="shared" si="34"/>
        <v>0</v>
      </c>
      <c r="G187" s="50">
        <f t="shared" si="39"/>
        <v>0</v>
      </c>
      <c r="H187" s="51" t="e">
        <f>IF(AND($B187&lt;=$C$4,C$7="Y"),0,IF(AND(C$7="N",C$4&gt;0,B187&lt;=C$4),0,(D186-L187+N187)*C$2/12/(1-(1/(1+C$2/12))^(C$3+C$4-B187+1))))</f>
        <v>#DIV/0!</v>
      </c>
      <c r="I187" s="52" t="e">
        <f>IF(AND(C$7="Y",$B187&lt;=C$4),0,IF(AND(C$7="Y",$B187&gt;C$4),(1-U187)*C$2*D186/12,IF(AND($C$7="N",C$4&gt;0),(1-U187)*D186*C$2/12, (1-U187)*D186*C$2/12)))</f>
        <v>#DIV/0!</v>
      </c>
      <c r="J187" s="52" t="e">
        <f>IF(AND($B187&lt;=$C$4,C$7="Y"),0,IF(AND(C$7="N",C$4&gt;0,B187&lt;=C$4),0,H187-I187))</f>
        <v>#DIV/0!</v>
      </c>
      <c r="K187" s="51" t="e">
        <f>IF(AND(C$7="Y",$B187&lt;=$C$4),0,IF(AND(C$7="N",C$4&gt;0,B187&lt;=C$4),0,S187*(C187-J187)))</f>
        <v>#DIV/0!</v>
      </c>
      <c r="L187" s="49" t="e">
        <f>IF(AND(C$7="Y",$B187&lt;=$C$4),0,IF(AND(C$7="N",C$4&gt;0,B187&lt;=C$4),0,U187*D186))</f>
        <v>#DIV/0!</v>
      </c>
      <c r="M187" s="49">
        <f t="shared" si="41"/>
        <v>0</v>
      </c>
      <c r="N187" s="49">
        <f t="shared" si="40"/>
        <v>0</v>
      </c>
      <c r="O187" s="48" t="e">
        <f>K187+I187+J187-L187+N187+G187</f>
        <v>#DIV/0!</v>
      </c>
      <c r="P187" s="38" t="e">
        <f>O187*(1/((1+P$12)^(B187/12)))</f>
        <v>#DIV/0!</v>
      </c>
      <c r="Q187" s="53"/>
      <c r="R187" s="53">
        <f t="shared" si="35"/>
        <v>0.12</v>
      </c>
      <c r="S187" s="53">
        <f t="shared" si="36"/>
        <v>1.0596241035318976E-2</v>
      </c>
      <c r="T187" s="53">
        <f t="shared" si="37"/>
        <v>0</v>
      </c>
      <c r="U187" s="53">
        <f t="shared" si="38"/>
        <v>0</v>
      </c>
    </row>
    <row r="188" spans="1:21" x14ac:dyDescent="0.2">
      <c r="A188" s="62" t="e">
        <f t="shared" si="31"/>
        <v>#DIV/0!</v>
      </c>
      <c r="B188" s="45">
        <f t="shared" si="32"/>
        <v>174</v>
      </c>
      <c r="C188" s="51" t="e">
        <f>IF(B188&lt;C$4,C$1,D187-L188+N188)</f>
        <v>#DIV/0!</v>
      </c>
      <c r="D188" s="47" t="e" cm="1">
        <f t="array" ref="D188">_xlfn.IFS(AND($C$7="Y",B188&lt;C$4),C188,AND($C$7="Y",B188=C$4),D187+F188-J188-K188-L188+N188,AND($C$7="Y",B188&gt;$C$4),D187-J188-K188-L188+N188, TRUE, D187-J188-K188-L188+N188)</f>
        <v>#DIV/0!</v>
      </c>
      <c r="E188" s="48">
        <f t="shared" si="33"/>
        <v>0</v>
      </c>
      <c r="F188" s="50">
        <f t="shared" si="34"/>
        <v>0</v>
      </c>
      <c r="G188" s="50">
        <f t="shared" si="39"/>
        <v>0</v>
      </c>
      <c r="H188" s="51" t="e">
        <f>IF(AND($B188&lt;=$C$4,C$7="Y"),0,IF(AND(C$7="N",C$4&gt;0,B188&lt;=C$4),0,(D187-L188+N188)*C$2/12/(1-(1/(1+C$2/12))^(C$3+C$4-B188+1))))</f>
        <v>#DIV/0!</v>
      </c>
      <c r="I188" s="52" t="e">
        <f>IF(AND(C$7="Y",$B188&lt;=C$4),0,IF(AND(C$7="Y",$B188&gt;C$4),(1-U188)*C$2*D187/12,IF(AND($C$7="N",C$4&gt;0),(1-U188)*D187*C$2/12, (1-U188)*D187*C$2/12)))</f>
        <v>#DIV/0!</v>
      </c>
      <c r="J188" s="52" t="e">
        <f>IF(AND($B188&lt;=$C$4,C$7="Y"),0,IF(AND(C$7="N",C$4&gt;0,B188&lt;=C$4),0,H188-I188))</f>
        <v>#DIV/0!</v>
      </c>
      <c r="K188" s="51" t="e">
        <f>IF(AND(C$7="Y",$B188&lt;=$C$4),0,IF(AND(C$7="N",C$4&gt;0,B188&lt;=C$4),0,S188*(C188-J188)))</f>
        <v>#DIV/0!</v>
      </c>
      <c r="L188" s="49" t="e">
        <f>IF(AND(C$7="Y",$B188&lt;=$C$4),0,IF(AND(C$7="N",C$4&gt;0,B188&lt;=C$4),0,U188*D187))</f>
        <v>#DIV/0!</v>
      </c>
      <c r="M188" s="49">
        <f t="shared" si="41"/>
        <v>0</v>
      </c>
      <c r="N188" s="49">
        <f t="shared" si="40"/>
        <v>0</v>
      </c>
      <c r="O188" s="48" t="e">
        <f>K188+I188+J188-L188+N188+G188</f>
        <v>#DIV/0!</v>
      </c>
      <c r="P188" s="38" t="e">
        <f>O188*(1/((1+P$12)^(B188/12)))</f>
        <v>#DIV/0!</v>
      </c>
      <c r="Q188" s="53"/>
      <c r="R188" s="53">
        <f t="shared" si="35"/>
        <v>0.12</v>
      </c>
      <c r="S188" s="53">
        <f t="shared" si="36"/>
        <v>1.0596241035318976E-2</v>
      </c>
      <c r="T188" s="53">
        <f t="shared" si="37"/>
        <v>0</v>
      </c>
      <c r="U188" s="53">
        <f t="shared" si="38"/>
        <v>0</v>
      </c>
    </row>
    <row r="189" spans="1:21" x14ac:dyDescent="0.2">
      <c r="A189" s="62" t="e">
        <f t="shared" si="31"/>
        <v>#DIV/0!</v>
      </c>
      <c r="B189" s="45">
        <f t="shared" si="32"/>
        <v>175</v>
      </c>
      <c r="C189" s="51" t="e">
        <f>IF(B189&lt;C$4,C$1,D188-L189+N189)</f>
        <v>#DIV/0!</v>
      </c>
      <c r="D189" s="47" t="e" cm="1">
        <f t="array" ref="D189">_xlfn.IFS(AND($C$7="Y",B189&lt;C$4),C189,AND($C$7="Y",B189=C$4),D188+F189-J189-K189-L189+N189,AND($C$7="Y",B189&gt;$C$4),D188-J189-K189-L189+N189, TRUE, D188-J189-K189-L189+N189)</f>
        <v>#DIV/0!</v>
      </c>
      <c r="E189" s="48">
        <f t="shared" si="33"/>
        <v>0</v>
      </c>
      <c r="F189" s="50">
        <f t="shared" si="34"/>
        <v>0</v>
      </c>
      <c r="G189" s="50">
        <f t="shared" si="39"/>
        <v>0</v>
      </c>
      <c r="H189" s="51" t="e">
        <f>IF(AND($B189&lt;=$C$4,C$7="Y"),0,IF(AND(C$7="N",C$4&gt;0,B189&lt;=C$4),0,(D188-L189+N189)*C$2/12/(1-(1/(1+C$2/12))^(C$3+C$4-B189+1))))</f>
        <v>#DIV/0!</v>
      </c>
      <c r="I189" s="52" t="e">
        <f>IF(AND(C$7="Y",$B189&lt;=C$4),0,IF(AND(C$7="Y",$B189&gt;C$4),(1-U189)*C$2*D188/12,IF(AND($C$7="N",C$4&gt;0),(1-U189)*D188*C$2/12, (1-U189)*D188*C$2/12)))</f>
        <v>#DIV/0!</v>
      </c>
      <c r="J189" s="52" t="e">
        <f>IF(AND($B189&lt;=$C$4,C$7="Y"),0,IF(AND(C$7="N",C$4&gt;0,B189&lt;=C$4),0,H189-I189))</f>
        <v>#DIV/0!</v>
      </c>
      <c r="K189" s="51" t="e">
        <f>IF(AND(C$7="Y",$B189&lt;=$C$4),0,IF(AND(C$7="N",C$4&gt;0,B189&lt;=C$4),0,S189*(C189-J189)))</f>
        <v>#DIV/0!</v>
      </c>
      <c r="L189" s="49" t="e">
        <f>IF(AND(C$7="Y",$B189&lt;=$C$4),0,IF(AND(C$7="N",C$4&gt;0,B189&lt;=C$4),0,U189*D188))</f>
        <v>#DIV/0!</v>
      </c>
      <c r="M189" s="49">
        <f t="shared" si="41"/>
        <v>0</v>
      </c>
      <c r="N189" s="49">
        <f t="shared" si="40"/>
        <v>0</v>
      </c>
      <c r="O189" s="48" t="e">
        <f>K189+I189+J189-L189+N189+G189</f>
        <v>#DIV/0!</v>
      </c>
      <c r="P189" s="38" t="e">
        <f>O189*(1/((1+P$12)^(B189/12)))</f>
        <v>#DIV/0!</v>
      </c>
      <c r="Q189" s="53"/>
      <c r="R189" s="53">
        <f t="shared" si="35"/>
        <v>0.12</v>
      </c>
      <c r="S189" s="53">
        <f t="shared" si="36"/>
        <v>1.0596241035318976E-2</v>
      </c>
      <c r="T189" s="53">
        <f t="shared" si="37"/>
        <v>0</v>
      </c>
      <c r="U189" s="53">
        <f t="shared" si="38"/>
        <v>0</v>
      </c>
    </row>
    <row r="190" spans="1:21" x14ac:dyDescent="0.2">
      <c r="A190" s="62" t="e">
        <f t="shared" si="31"/>
        <v>#DIV/0!</v>
      </c>
      <c r="B190" s="45">
        <f t="shared" si="32"/>
        <v>176</v>
      </c>
      <c r="C190" s="51" t="e">
        <f>IF(B190&lt;C$4,C$1,D189-L190+N190)</f>
        <v>#DIV/0!</v>
      </c>
      <c r="D190" s="47" t="e" cm="1">
        <f t="array" ref="D190">_xlfn.IFS(AND($C$7="Y",B190&lt;C$4),C190,AND($C$7="Y",B190=C$4),D189+F190-J190-K190-L190+N190,AND($C$7="Y",B190&gt;$C$4),D189-J190-K190-L190+N190, TRUE, D189-J190-K190-L190+N190)</f>
        <v>#DIV/0!</v>
      </c>
      <c r="E190" s="48">
        <f t="shared" si="33"/>
        <v>0</v>
      </c>
      <c r="F190" s="50">
        <f t="shared" si="34"/>
        <v>0</v>
      </c>
      <c r="G190" s="50">
        <f t="shared" si="39"/>
        <v>0</v>
      </c>
      <c r="H190" s="51" t="e">
        <f>IF(AND($B190&lt;=$C$4,C$7="Y"),0,IF(AND(C$7="N",C$4&gt;0,B190&lt;=C$4),0,(D189-L190+N190)*C$2/12/(1-(1/(1+C$2/12))^(C$3+C$4-B190+1))))</f>
        <v>#DIV/0!</v>
      </c>
      <c r="I190" s="52" t="e">
        <f>IF(AND(C$7="Y",$B190&lt;=C$4),0,IF(AND(C$7="Y",$B190&gt;C$4),(1-U190)*C$2*D189/12,IF(AND($C$7="N",C$4&gt;0),(1-U190)*D189*C$2/12, (1-U190)*D189*C$2/12)))</f>
        <v>#DIV/0!</v>
      </c>
      <c r="J190" s="52" t="e">
        <f>IF(AND($B190&lt;=$C$4,C$7="Y"),0,IF(AND(C$7="N",C$4&gt;0,B190&lt;=C$4),0,H190-I190))</f>
        <v>#DIV/0!</v>
      </c>
      <c r="K190" s="51" t="e">
        <f>IF(AND(C$7="Y",$B190&lt;=$C$4),0,IF(AND(C$7="N",C$4&gt;0,B190&lt;=C$4),0,S190*(C190-J190)))</f>
        <v>#DIV/0!</v>
      </c>
      <c r="L190" s="49" t="e">
        <f>IF(AND(C$7="Y",$B190&lt;=$C$4),0,IF(AND(C$7="N",C$4&gt;0,B190&lt;=C$4),0,U190*D189))</f>
        <v>#DIV/0!</v>
      </c>
      <c r="M190" s="49">
        <f t="shared" si="41"/>
        <v>0</v>
      </c>
      <c r="N190" s="49">
        <f t="shared" si="40"/>
        <v>0</v>
      </c>
      <c r="O190" s="48" t="e">
        <f>K190+I190+J190-L190+N190+G190</f>
        <v>#DIV/0!</v>
      </c>
      <c r="P190" s="38" t="e">
        <f>O190*(1/((1+P$12)^(B190/12)))</f>
        <v>#DIV/0!</v>
      </c>
      <c r="Q190" s="53"/>
      <c r="R190" s="53">
        <f t="shared" si="35"/>
        <v>0.12</v>
      </c>
      <c r="S190" s="53">
        <f t="shared" si="36"/>
        <v>1.0596241035318976E-2</v>
      </c>
      <c r="T190" s="53">
        <f t="shared" si="37"/>
        <v>0</v>
      </c>
      <c r="U190" s="53">
        <f t="shared" si="38"/>
        <v>0</v>
      </c>
    </row>
    <row r="191" spans="1:21" x14ac:dyDescent="0.2">
      <c r="A191" s="62" t="e">
        <f t="shared" si="31"/>
        <v>#DIV/0!</v>
      </c>
      <c r="B191" s="45">
        <f t="shared" si="32"/>
        <v>177</v>
      </c>
      <c r="C191" s="51" t="e">
        <f>IF(B191&lt;C$4,C$1,D190-L191+N191)</f>
        <v>#DIV/0!</v>
      </c>
      <c r="D191" s="47" t="e" cm="1">
        <f t="array" ref="D191">_xlfn.IFS(AND($C$7="Y",B191&lt;C$4),C191,AND($C$7="Y",B191=C$4),D190+F191-J191-K191-L191+N191,AND($C$7="Y",B191&gt;$C$4),D190-J191-K191-L191+N191, TRUE, D190-J191-K191-L191+N191)</f>
        <v>#DIV/0!</v>
      </c>
      <c r="E191" s="48">
        <f t="shared" si="33"/>
        <v>0</v>
      </c>
      <c r="F191" s="50">
        <f t="shared" si="34"/>
        <v>0</v>
      </c>
      <c r="G191" s="50">
        <f t="shared" si="39"/>
        <v>0</v>
      </c>
      <c r="H191" s="51" t="e">
        <f>IF(AND($B191&lt;=$C$4,C$7="Y"),0,IF(AND(C$7="N",C$4&gt;0,B191&lt;=C$4),0,(D190-L191+N191)*C$2/12/(1-(1/(1+C$2/12))^(C$3+C$4-B191+1))))</f>
        <v>#DIV/0!</v>
      </c>
      <c r="I191" s="52" t="e">
        <f>IF(AND(C$7="Y",$B191&lt;=C$4),0,IF(AND(C$7="Y",$B191&gt;C$4),(1-U191)*C$2*D190/12,IF(AND($C$7="N",C$4&gt;0),(1-U191)*D190*C$2/12, (1-U191)*D190*C$2/12)))</f>
        <v>#DIV/0!</v>
      </c>
      <c r="J191" s="52" t="e">
        <f>IF(AND($B191&lt;=$C$4,C$7="Y"),0,IF(AND(C$7="N",C$4&gt;0,B191&lt;=C$4),0,H191-I191))</f>
        <v>#DIV/0!</v>
      </c>
      <c r="K191" s="51" t="e">
        <f>IF(AND(C$7="Y",$B191&lt;=$C$4),0,IF(AND(C$7="N",C$4&gt;0,B191&lt;=C$4),0,S191*(C191-J191)))</f>
        <v>#DIV/0!</v>
      </c>
      <c r="L191" s="49" t="e">
        <f>IF(AND(C$7="Y",$B191&lt;=$C$4),0,IF(AND(C$7="N",C$4&gt;0,B191&lt;=C$4),0,U191*D190))</f>
        <v>#DIV/0!</v>
      </c>
      <c r="M191" s="49">
        <f t="shared" si="41"/>
        <v>0</v>
      </c>
      <c r="N191" s="49">
        <f t="shared" si="40"/>
        <v>0</v>
      </c>
      <c r="O191" s="48" t="e">
        <f>K191+I191+J191-L191+N191+G191</f>
        <v>#DIV/0!</v>
      </c>
      <c r="P191" s="38" t="e">
        <f>O191*(1/((1+P$12)^(B191/12)))</f>
        <v>#DIV/0!</v>
      </c>
      <c r="Q191" s="53"/>
      <c r="R191" s="53">
        <f t="shared" si="35"/>
        <v>0.12</v>
      </c>
      <c r="S191" s="53">
        <f t="shared" si="36"/>
        <v>1.0596241035318976E-2</v>
      </c>
      <c r="T191" s="53">
        <f t="shared" si="37"/>
        <v>0</v>
      </c>
      <c r="U191" s="53">
        <f t="shared" si="38"/>
        <v>0</v>
      </c>
    </row>
    <row r="192" spans="1:21" x14ac:dyDescent="0.2">
      <c r="A192" s="62" t="e">
        <f t="shared" si="31"/>
        <v>#DIV/0!</v>
      </c>
      <c r="B192" s="45">
        <f t="shared" si="32"/>
        <v>178</v>
      </c>
      <c r="C192" s="51" t="e">
        <f>IF(B192&lt;C$4,C$1,D191-L192+N192)</f>
        <v>#DIV/0!</v>
      </c>
      <c r="D192" s="47" t="e" cm="1">
        <f t="array" ref="D192">_xlfn.IFS(AND($C$7="Y",B192&lt;C$4),C192,AND($C$7="Y",B192=C$4),D191+F192-J192-K192-L192+N192,AND($C$7="Y",B192&gt;$C$4),D191-J192-K192-L192+N192, TRUE, D191-J192-K192-L192+N192)</f>
        <v>#DIV/0!</v>
      </c>
      <c r="E192" s="48">
        <f t="shared" si="33"/>
        <v>0</v>
      </c>
      <c r="F192" s="50">
        <f t="shared" si="34"/>
        <v>0</v>
      </c>
      <c r="G192" s="50">
        <f t="shared" si="39"/>
        <v>0</v>
      </c>
      <c r="H192" s="51" t="e">
        <f>IF(AND($B192&lt;=$C$4,C$7="Y"),0,IF(AND(C$7="N",C$4&gt;0,B192&lt;=C$4),0,(D191-L192+N192)*C$2/12/(1-(1/(1+C$2/12))^(C$3+C$4-B192+1))))</f>
        <v>#DIV/0!</v>
      </c>
      <c r="I192" s="52" t="e">
        <f>IF(AND(C$7="Y",$B192&lt;=C$4),0,IF(AND(C$7="Y",$B192&gt;C$4),(1-U192)*C$2*D191/12,IF(AND($C$7="N",C$4&gt;0),(1-U192)*D191*C$2/12, (1-U192)*D191*C$2/12)))</f>
        <v>#DIV/0!</v>
      </c>
      <c r="J192" s="52" t="e">
        <f>IF(AND($B192&lt;=$C$4,C$7="Y"),0,IF(AND(C$7="N",C$4&gt;0,B192&lt;=C$4),0,H192-I192))</f>
        <v>#DIV/0!</v>
      </c>
      <c r="K192" s="51" t="e">
        <f>IF(AND(C$7="Y",$B192&lt;=$C$4),0,IF(AND(C$7="N",C$4&gt;0,B192&lt;=C$4),0,S192*(C192-J192)))</f>
        <v>#DIV/0!</v>
      </c>
      <c r="L192" s="49" t="e">
        <f>IF(AND(C$7="Y",$B192&lt;=$C$4),0,IF(AND(C$7="N",C$4&gt;0,B192&lt;=C$4),0,U192*D191))</f>
        <v>#DIV/0!</v>
      </c>
      <c r="M192" s="49">
        <f t="shared" si="41"/>
        <v>0</v>
      </c>
      <c r="N192" s="49">
        <f t="shared" si="40"/>
        <v>0</v>
      </c>
      <c r="O192" s="48" t="e">
        <f>K192+I192+J192-L192+N192+G192</f>
        <v>#DIV/0!</v>
      </c>
      <c r="P192" s="38" t="e">
        <f>O192*(1/((1+P$12)^(B192/12)))</f>
        <v>#DIV/0!</v>
      </c>
      <c r="Q192" s="53"/>
      <c r="R192" s="53">
        <f t="shared" si="35"/>
        <v>0.12</v>
      </c>
      <c r="S192" s="53">
        <f t="shared" si="36"/>
        <v>1.0596241035318976E-2</v>
      </c>
      <c r="T192" s="53">
        <f t="shared" si="37"/>
        <v>0</v>
      </c>
      <c r="U192" s="53">
        <f t="shared" si="38"/>
        <v>0</v>
      </c>
    </row>
    <row r="193" spans="1:21" x14ac:dyDescent="0.2">
      <c r="A193" s="62" t="e">
        <f t="shared" si="31"/>
        <v>#DIV/0!</v>
      </c>
      <c r="B193" s="45">
        <f t="shared" si="32"/>
        <v>179</v>
      </c>
      <c r="C193" s="51" t="e">
        <f>IF(B193&lt;C$4,C$1,D192-L193+N193)</f>
        <v>#DIV/0!</v>
      </c>
      <c r="D193" s="47" t="e" cm="1">
        <f t="array" ref="D193">_xlfn.IFS(AND($C$7="Y",B193&lt;C$4),C193,AND($C$7="Y",B193=C$4),D192+F193-J193-K193-L193+N193,AND($C$7="Y",B193&gt;$C$4),D192-J193-K193-L193+N193, TRUE, D192-J193-K193-L193+N193)</f>
        <v>#DIV/0!</v>
      </c>
      <c r="E193" s="48">
        <f t="shared" si="33"/>
        <v>0</v>
      </c>
      <c r="F193" s="50">
        <f t="shared" si="34"/>
        <v>0</v>
      </c>
      <c r="G193" s="50">
        <f t="shared" si="39"/>
        <v>0</v>
      </c>
      <c r="H193" s="51" t="e">
        <f>IF(AND($B193&lt;=$C$4,C$7="Y"),0,IF(AND(C$7="N",C$4&gt;0,B193&lt;=C$4),0,(D192-L193+N193)*C$2/12/(1-(1/(1+C$2/12))^(C$3+C$4-B193+1))))</f>
        <v>#DIV/0!</v>
      </c>
      <c r="I193" s="52" t="e">
        <f>IF(AND(C$7="Y",$B193&lt;=C$4),0,IF(AND(C$7="Y",$B193&gt;C$4),(1-U193)*C$2*D192/12,IF(AND($C$7="N",C$4&gt;0),(1-U193)*D192*C$2/12, (1-U193)*D192*C$2/12)))</f>
        <v>#DIV/0!</v>
      </c>
      <c r="J193" s="52" t="e">
        <f>IF(AND($B193&lt;=$C$4,C$7="Y"),0,IF(AND(C$7="N",C$4&gt;0,B193&lt;=C$4),0,H193-I193))</f>
        <v>#DIV/0!</v>
      </c>
      <c r="K193" s="51" t="e">
        <f>IF(AND(C$7="Y",$B193&lt;=$C$4),0,IF(AND(C$7="N",C$4&gt;0,B193&lt;=C$4),0,S193*(C193-J193)))</f>
        <v>#DIV/0!</v>
      </c>
      <c r="L193" s="49" t="e">
        <f>IF(AND(C$7="Y",$B193&lt;=$C$4),0,IF(AND(C$7="N",C$4&gt;0,B193&lt;=C$4),0,U193*D192))</f>
        <v>#DIV/0!</v>
      </c>
      <c r="M193" s="49">
        <f t="shared" si="41"/>
        <v>0</v>
      </c>
      <c r="N193" s="49">
        <f t="shared" si="40"/>
        <v>0</v>
      </c>
      <c r="O193" s="48" t="e">
        <f>K193+I193+J193-L193+N193+G193</f>
        <v>#DIV/0!</v>
      </c>
      <c r="P193" s="38" t="e">
        <f>O193*(1/((1+P$12)^(B193/12)))</f>
        <v>#DIV/0!</v>
      </c>
      <c r="Q193" s="53"/>
      <c r="R193" s="53">
        <f t="shared" si="35"/>
        <v>0.12</v>
      </c>
      <c r="S193" s="53">
        <f t="shared" si="36"/>
        <v>1.0596241035318976E-2</v>
      </c>
      <c r="T193" s="53">
        <f t="shared" si="37"/>
        <v>0</v>
      </c>
      <c r="U193" s="53">
        <f t="shared" si="38"/>
        <v>0</v>
      </c>
    </row>
    <row r="194" spans="1:21" x14ac:dyDescent="0.2">
      <c r="A194" s="62" t="e">
        <f t="shared" si="31"/>
        <v>#DIV/0!</v>
      </c>
      <c r="B194" s="45">
        <f t="shared" si="32"/>
        <v>180</v>
      </c>
      <c r="C194" s="51" t="e">
        <f>IF(B194&lt;C$4,C$1,D193-L194+N194)</f>
        <v>#DIV/0!</v>
      </c>
      <c r="D194" s="47" t="e" cm="1">
        <f t="array" ref="D194">_xlfn.IFS(AND($C$7="Y",B194&lt;C$4),C194,AND($C$7="Y",B194=C$4),D193+F194-J194-K194-L194+N194,AND($C$7="Y",B194&gt;$C$4),D193-J194-K194-L194+N194, TRUE, D193-J194-K194-L194+N194)</f>
        <v>#DIV/0!</v>
      </c>
      <c r="E194" s="48">
        <f t="shared" si="33"/>
        <v>0</v>
      </c>
      <c r="F194" s="50">
        <f t="shared" si="34"/>
        <v>0</v>
      </c>
      <c r="G194" s="50">
        <f t="shared" si="39"/>
        <v>0</v>
      </c>
      <c r="H194" s="51" t="e">
        <f>IF(AND($B194&lt;=$C$4,C$7="Y"),0,IF(AND(C$7="N",C$4&gt;0,B194&lt;=C$4),0,(D193-L194+N194)*C$2/12/(1-(1/(1+C$2/12))^(C$3+C$4-B194+1))))</f>
        <v>#DIV/0!</v>
      </c>
      <c r="I194" s="52" t="e">
        <f>IF(AND(C$7="Y",$B194&lt;=C$4),0,IF(AND(C$7="Y",$B194&gt;C$4),(1-U194)*C$2*D193/12,IF(AND($C$7="N",C$4&gt;0),(1-U194)*D193*C$2/12, (1-U194)*D193*C$2/12)))</f>
        <v>#DIV/0!</v>
      </c>
      <c r="J194" s="52" t="e">
        <f>IF(AND($B194&lt;=$C$4,C$7="Y"),0,IF(AND(C$7="N",C$4&gt;0,B194&lt;=C$4),0,H194-I194))</f>
        <v>#DIV/0!</v>
      </c>
      <c r="K194" s="51" t="e">
        <f>IF(AND(C$7="Y",$B194&lt;=$C$4),0,IF(AND(C$7="N",C$4&gt;0,B194&lt;=C$4),0,S194*(C194-J194)))</f>
        <v>#DIV/0!</v>
      </c>
      <c r="L194" s="49" t="e">
        <f>IF(AND(C$7="Y",$B194&lt;=$C$4),0,IF(AND(C$7="N",C$4&gt;0,B194&lt;=C$4),0,U194*D193))</f>
        <v>#DIV/0!</v>
      </c>
      <c r="M194" s="49">
        <f t="shared" si="41"/>
        <v>0</v>
      </c>
      <c r="N194" s="49">
        <f t="shared" si="40"/>
        <v>0</v>
      </c>
      <c r="O194" s="48" t="e">
        <f>K194+I194+J194-L194+N194+G194</f>
        <v>#DIV/0!</v>
      </c>
      <c r="P194" s="38" t="e">
        <f>O194*(1/((1+P$12)^(B194/12)))</f>
        <v>#DIV/0!</v>
      </c>
      <c r="Q194" s="53"/>
      <c r="R194" s="53">
        <f t="shared" si="35"/>
        <v>0.12</v>
      </c>
      <c r="S194" s="53">
        <f t="shared" si="36"/>
        <v>1.0596241035318976E-2</v>
      </c>
      <c r="T194" s="53">
        <f t="shared" si="37"/>
        <v>0</v>
      </c>
      <c r="U194" s="53">
        <f t="shared" si="38"/>
        <v>0</v>
      </c>
    </row>
    <row r="195" spans="1:21" x14ac:dyDescent="0.2">
      <c r="A195" s="62" t="e">
        <f t="shared" si="31"/>
        <v>#DIV/0!</v>
      </c>
      <c r="B195" s="45">
        <f t="shared" si="32"/>
        <v>181</v>
      </c>
      <c r="C195" s="51" t="e">
        <f>IF(B195&lt;C$4,C$1,D194-L195+N195)</f>
        <v>#DIV/0!</v>
      </c>
      <c r="D195" s="47" t="e" cm="1">
        <f t="array" ref="D195">_xlfn.IFS(AND($C$7="Y",B195&lt;C$4),C195,AND($C$7="Y",B195=C$4),D194+F195-J195-K195-L195+N195,AND($C$7="Y",B195&gt;$C$4),D194-J195-K195-L195+N195, TRUE, D194-J195-K195-L195+N195)</f>
        <v>#DIV/0!</v>
      </c>
      <c r="E195" s="48">
        <f t="shared" si="33"/>
        <v>0</v>
      </c>
      <c r="F195" s="50">
        <f t="shared" si="34"/>
        <v>0</v>
      </c>
      <c r="G195" s="50">
        <f t="shared" si="39"/>
        <v>0</v>
      </c>
      <c r="H195" s="51" t="e">
        <f>IF(AND($B195&lt;=$C$4,C$7="Y"),0,IF(AND(C$7="N",C$4&gt;0,B195&lt;=C$4),0,(D194-L195+N195)*C$2/12/(1-(1/(1+C$2/12))^(C$3+C$4-B195+1))))</f>
        <v>#DIV/0!</v>
      </c>
      <c r="I195" s="52" t="e">
        <f>IF(AND(C$7="Y",$B195&lt;=C$4),0,IF(AND(C$7="Y",$B195&gt;C$4),(1-U195)*C$2*D194/12,IF(AND($C$7="N",C$4&gt;0),(1-U195)*D194*C$2/12, (1-U195)*D194*C$2/12)))</f>
        <v>#DIV/0!</v>
      </c>
      <c r="J195" s="52" t="e">
        <f>IF(AND($B195&lt;=$C$4,C$7="Y"),0,IF(AND(C$7="N",C$4&gt;0,B195&lt;=C$4),0,H195-I195))</f>
        <v>#DIV/0!</v>
      </c>
      <c r="K195" s="51" t="e">
        <f>IF(AND(C$7="Y",$B195&lt;=$C$4),0,IF(AND(C$7="N",C$4&gt;0,B195&lt;=C$4),0,S195*(C195-J195)))</f>
        <v>#DIV/0!</v>
      </c>
      <c r="L195" s="49" t="e">
        <f>IF(AND(C$7="Y",$B195&lt;=$C$4),0,IF(AND(C$7="N",C$4&gt;0,B195&lt;=C$4),0,U195*D194))</f>
        <v>#DIV/0!</v>
      </c>
      <c r="M195" s="49">
        <f t="shared" si="41"/>
        <v>0</v>
      </c>
      <c r="N195" s="49">
        <f t="shared" si="40"/>
        <v>0</v>
      </c>
      <c r="O195" s="48" t="e">
        <f>K195+I195+J195-L195+N195+G195</f>
        <v>#DIV/0!</v>
      </c>
      <c r="P195" s="38" t="e">
        <f>O195*(1/((1+P$12)^(B195/12)))</f>
        <v>#DIV/0!</v>
      </c>
      <c r="Q195" s="53"/>
      <c r="R195" s="53">
        <f t="shared" si="35"/>
        <v>0.12</v>
      </c>
      <c r="S195" s="53">
        <f t="shared" si="36"/>
        <v>1.0596241035318976E-2</v>
      </c>
      <c r="T195" s="53">
        <f t="shared" si="37"/>
        <v>0</v>
      </c>
      <c r="U195" s="53">
        <f t="shared" si="38"/>
        <v>0</v>
      </c>
    </row>
    <row r="196" spans="1:21" x14ac:dyDescent="0.2">
      <c r="A196" s="62" t="e">
        <f t="shared" si="31"/>
        <v>#DIV/0!</v>
      </c>
      <c r="B196" s="45">
        <f t="shared" si="32"/>
        <v>182</v>
      </c>
      <c r="C196" s="51" t="e">
        <f>IF(B196&lt;C$4,C$1,D195-L196+N196)</f>
        <v>#DIV/0!</v>
      </c>
      <c r="D196" s="47" t="e" cm="1">
        <f t="array" ref="D196">_xlfn.IFS(AND($C$7="Y",B196&lt;C$4),C196,AND($C$7="Y",B196=C$4),D195+F196-J196-K196-L196+N196,AND($C$7="Y",B196&gt;$C$4),D195-J196-K196-L196+N196, TRUE, D195-J196-K196-L196+N196)</f>
        <v>#DIV/0!</v>
      </c>
      <c r="E196" s="48">
        <f t="shared" si="33"/>
        <v>0</v>
      </c>
      <c r="F196" s="50">
        <f t="shared" si="34"/>
        <v>0</v>
      </c>
      <c r="G196" s="50">
        <f t="shared" si="39"/>
        <v>0</v>
      </c>
      <c r="H196" s="51" t="e">
        <f>IF(AND($B196&lt;=$C$4,C$7="Y"),0,IF(AND(C$7="N",C$4&gt;0,B196&lt;=C$4),0,(D195-L196+N196)*C$2/12/(1-(1/(1+C$2/12))^(C$3+C$4-B196+1))))</f>
        <v>#DIV/0!</v>
      </c>
      <c r="I196" s="52" t="e">
        <f>IF(AND(C$7="Y",$B196&lt;=C$4),0,IF(AND(C$7="Y",$B196&gt;C$4),(1-U196)*C$2*D195/12,IF(AND($C$7="N",C$4&gt;0),(1-U196)*D195*C$2/12, (1-U196)*D195*C$2/12)))</f>
        <v>#DIV/0!</v>
      </c>
      <c r="J196" s="52" t="e">
        <f>IF(AND($B196&lt;=$C$4,C$7="Y"),0,IF(AND(C$7="N",C$4&gt;0,B196&lt;=C$4),0,H196-I196))</f>
        <v>#DIV/0!</v>
      </c>
      <c r="K196" s="51" t="e">
        <f>IF(AND(C$7="Y",$B196&lt;=$C$4),0,IF(AND(C$7="N",C$4&gt;0,B196&lt;=C$4),0,S196*(C196-J196)))</f>
        <v>#DIV/0!</v>
      </c>
      <c r="L196" s="49" t="e">
        <f>IF(AND(C$7="Y",$B196&lt;=$C$4),0,IF(AND(C$7="N",C$4&gt;0,B196&lt;=C$4),0,U196*D195))</f>
        <v>#DIV/0!</v>
      </c>
      <c r="M196" s="49">
        <f t="shared" si="41"/>
        <v>0</v>
      </c>
      <c r="N196" s="49">
        <f t="shared" si="40"/>
        <v>0</v>
      </c>
      <c r="O196" s="48" t="e">
        <f>K196+I196+J196-L196+N196+G196</f>
        <v>#DIV/0!</v>
      </c>
      <c r="P196" s="38" t="e">
        <f>O196*(1/((1+P$12)^(B196/12)))</f>
        <v>#DIV/0!</v>
      </c>
      <c r="Q196" s="53"/>
      <c r="R196" s="53">
        <f t="shared" si="35"/>
        <v>0.12</v>
      </c>
      <c r="S196" s="53">
        <f t="shared" si="36"/>
        <v>1.0596241035318976E-2</v>
      </c>
      <c r="T196" s="53">
        <f t="shared" si="37"/>
        <v>0</v>
      </c>
      <c r="U196" s="53">
        <f t="shared" si="38"/>
        <v>0</v>
      </c>
    </row>
    <row r="197" spans="1:21" x14ac:dyDescent="0.2">
      <c r="A197" s="62" t="e">
        <f t="shared" si="31"/>
        <v>#DIV/0!</v>
      </c>
      <c r="B197" s="45">
        <f t="shared" si="32"/>
        <v>183</v>
      </c>
      <c r="C197" s="51" t="e">
        <f>IF(B197&lt;C$4,C$1,D196-L197+N197)</f>
        <v>#DIV/0!</v>
      </c>
      <c r="D197" s="47" t="e" cm="1">
        <f t="array" ref="D197">_xlfn.IFS(AND($C$7="Y",B197&lt;C$4),C197,AND($C$7="Y",B197=C$4),D196+F197-J197-K197-L197+N197,AND($C$7="Y",B197&gt;$C$4),D196-J197-K197-L197+N197, TRUE, D196-J197-K197-L197+N197)</f>
        <v>#DIV/0!</v>
      </c>
      <c r="E197" s="48">
        <f t="shared" si="33"/>
        <v>0</v>
      </c>
      <c r="F197" s="50">
        <f t="shared" si="34"/>
        <v>0</v>
      </c>
      <c r="G197" s="50">
        <f t="shared" si="39"/>
        <v>0</v>
      </c>
      <c r="H197" s="51" t="e">
        <f>IF(AND($B197&lt;=$C$4,C$7="Y"),0,IF(AND(C$7="N",C$4&gt;0,B197&lt;=C$4),0,(D196-L197+N197)*C$2/12/(1-(1/(1+C$2/12))^(C$3+C$4-B197+1))))</f>
        <v>#DIV/0!</v>
      </c>
      <c r="I197" s="52" t="e">
        <f>IF(AND(C$7="Y",$B197&lt;=C$4),0,IF(AND(C$7="Y",$B197&gt;C$4),(1-U197)*C$2*D196/12,IF(AND($C$7="N",C$4&gt;0),(1-U197)*D196*C$2/12, (1-U197)*D196*C$2/12)))</f>
        <v>#DIV/0!</v>
      </c>
      <c r="J197" s="52" t="e">
        <f>IF(AND($B197&lt;=$C$4,C$7="Y"),0,IF(AND(C$7="N",C$4&gt;0,B197&lt;=C$4),0,H197-I197))</f>
        <v>#DIV/0!</v>
      </c>
      <c r="K197" s="51" t="e">
        <f>IF(AND(C$7="Y",$B197&lt;=$C$4),0,IF(AND(C$7="N",C$4&gt;0,B197&lt;=C$4),0,S197*(C197-J197)))</f>
        <v>#DIV/0!</v>
      </c>
      <c r="L197" s="49" t="e">
        <f>IF(AND(C$7="Y",$B197&lt;=$C$4),0,IF(AND(C$7="N",C$4&gt;0,B197&lt;=C$4),0,U197*D196))</f>
        <v>#DIV/0!</v>
      </c>
      <c r="M197" s="49">
        <f t="shared" si="41"/>
        <v>0</v>
      </c>
      <c r="N197" s="49">
        <f t="shared" si="40"/>
        <v>0</v>
      </c>
      <c r="O197" s="48" t="e">
        <f>K197+I197+J197-L197+N197+G197</f>
        <v>#DIV/0!</v>
      </c>
      <c r="P197" s="38" t="e">
        <f>O197*(1/((1+P$12)^(B197/12)))</f>
        <v>#DIV/0!</v>
      </c>
      <c r="Q197" s="53"/>
      <c r="R197" s="53">
        <f t="shared" si="35"/>
        <v>0.12</v>
      </c>
      <c r="S197" s="53">
        <f t="shared" si="36"/>
        <v>1.0596241035318976E-2</v>
      </c>
      <c r="T197" s="53">
        <f t="shared" si="37"/>
        <v>0</v>
      </c>
      <c r="U197" s="53">
        <f t="shared" si="38"/>
        <v>0</v>
      </c>
    </row>
    <row r="198" spans="1:21" x14ac:dyDescent="0.2">
      <c r="A198" s="62" t="e">
        <f t="shared" si="31"/>
        <v>#DIV/0!</v>
      </c>
      <c r="B198" s="45">
        <f t="shared" si="32"/>
        <v>184</v>
      </c>
      <c r="C198" s="51" t="e">
        <f>IF(B198&lt;C$4,C$1,D197-L198+N198)</f>
        <v>#DIV/0!</v>
      </c>
      <c r="D198" s="47" t="e" cm="1">
        <f t="array" ref="D198">_xlfn.IFS(AND($C$7="Y",B198&lt;C$4),C198,AND($C$7="Y",B198=C$4),D197+F198-J198-K198-L198+N198,AND($C$7="Y",B198&gt;$C$4),D197-J198-K198-L198+N198, TRUE, D197-J198-K198-L198+N198)</f>
        <v>#DIV/0!</v>
      </c>
      <c r="E198" s="48">
        <f t="shared" si="33"/>
        <v>0</v>
      </c>
      <c r="F198" s="50">
        <f t="shared" si="34"/>
        <v>0</v>
      </c>
      <c r="G198" s="50">
        <f t="shared" si="39"/>
        <v>0</v>
      </c>
      <c r="H198" s="51" t="e">
        <f>IF(AND($B198&lt;=$C$4,C$7="Y"),0,IF(AND(C$7="N",C$4&gt;0,B198&lt;=C$4),0,(D197-L198+N198)*C$2/12/(1-(1/(1+C$2/12))^(C$3+C$4-B198+1))))</f>
        <v>#DIV/0!</v>
      </c>
      <c r="I198" s="52" t="e">
        <f>IF(AND(C$7="Y",$B198&lt;=C$4),0,IF(AND(C$7="Y",$B198&gt;C$4),(1-U198)*C$2*D197/12,IF(AND($C$7="N",C$4&gt;0),(1-U198)*D197*C$2/12, (1-U198)*D197*C$2/12)))</f>
        <v>#DIV/0!</v>
      </c>
      <c r="J198" s="52" t="e">
        <f>IF(AND($B198&lt;=$C$4,C$7="Y"),0,IF(AND(C$7="N",C$4&gt;0,B198&lt;=C$4),0,H198-I198))</f>
        <v>#DIV/0!</v>
      </c>
      <c r="K198" s="51" t="e">
        <f>IF(AND(C$7="Y",$B198&lt;=$C$4),0,IF(AND(C$7="N",C$4&gt;0,B198&lt;=C$4),0,S198*(C198-J198)))</f>
        <v>#DIV/0!</v>
      </c>
      <c r="L198" s="49" t="e">
        <f>IF(AND(C$7="Y",$B198&lt;=$C$4),0,IF(AND(C$7="N",C$4&gt;0,B198&lt;=C$4),0,U198*D197))</f>
        <v>#DIV/0!</v>
      </c>
      <c r="M198" s="49">
        <f t="shared" si="41"/>
        <v>0</v>
      </c>
      <c r="N198" s="49">
        <f t="shared" si="40"/>
        <v>0</v>
      </c>
      <c r="O198" s="48" t="e">
        <f>K198+I198+J198-L198+N198+G198</f>
        <v>#DIV/0!</v>
      </c>
      <c r="P198" s="38" t="e">
        <f>O198*(1/((1+P$12)^(B198/12)))</f>
        <v>#DIV/0!</v>
      </c>
      <c r="Q198" s="53"/>
      <c r="R198" s="53">
        <f t="shared" si="35"/>
        <v>0.12</v>
      </c>
      <c r="S198" s="53">
        <f t="shared" si="36"/>
        <v>1.0596241035318976E-2</v>
      </c>
      <c r="T198" s="53">
        <f t="shared" si="37"/>
        <v>0</v>
      </c>
      <c r="U198" s="53">
        <f t="shared" si="38"/>
        <v>0</v>
      </c>
    </row>
    <row r="199" spans="1:21" x14ac:dyDescent="0.2">
      <c r="A199" s="62" t="e">
        <f t="shared" si="31"/>
        <v>#DIV/0!</v>
      </c>
      <c r="B199" s="45">
        <f t="shared" si="32"/>
        <v>185</v>
      </c>
      <c r="C199" s="51" t="e">
        <f>IF(B199&lt;C$4,C$1,D198-L199+N199)</f>
        <v>#DIV/0!</v>
      </c>
      <c r="D199" s="47" t="e" cm="1">
        <f t="array" ref="D199">_xlfn.IFS(AND($C$7="Y",B199&lt;C$4),C199,AND($C$7="Y",B199=C$4),D198+F199-J199-K199-L199+N199,AND($C$7="Y",B199&gt;$C$4),D198-J199-K199-L199+N199, TRUE, D198-J199-K199-L199+N199)</f>
        <v>#DIV/0!</v>
      </c>
      <c r="E199" s="48">
        <f t="shared" si="33"/>
        <v>0</v>
      </c>
      <c r="F199" s="50">
        <f t="shared" si="34"/>
        <v>0</v>
      </c>
      <c r="G199" s="50">
        <f t="shared" si="39"/>
        <v>0</v>
      </c>
      <c r="H199" s="51" t="e">
        <f>IF(AND($B199&lt;=$C$4,C$7="Y"),0,IF(AND(C$7="N",C$4&gt;0,B199&lt;=C$4),0,(D198-L199+N199)*C$2/12/(1-(1/(1+C$2/12))^(C$3+C$4-B199+1))))</f>
        <v>#DIV/0!</v>
      </c>
      <c r="I199" s="52" t="e">
        <f>IF(AND(C$7="Y",$B199&lt;=C$4),0,IF(AND(C$7="Y",$B199&gt;C$4),(1-U199)*C$2*D198/12,IF(AND($C$7="N",C$4&gt;0),(1-U199)*D198*C$2/12, (1-U199)*D198*C$2/12)))</f>
        <v>#DIV/0!</v>
      </c>
      <c r="J199" s="52" t="e">
        <f>IF(AND($B199&lt;=$C$4,C$7="Y"),0,IF(AND(C$7="N",C$4&gt;0,B199&lt;=C$4),0,H199-I199))</f>
        <v>#DIV/0!</v>
      </c>
      <c r="K199" s="51" t="e">
        <f>IF(AND(C$7="Y",$B199&lt;=$C$4),0,IF(AND(C$7="N",C$4&gt;0,B199&lt;=C$4),0,S199*(C199-J199)))</f>
        <v>#DIV/0!</v>
      </c>
      <c r="L199" s="49" t="e">
        <f>IF(AND(C$7="Y",$B199&lt;=$C$4),0,IF(AND(C$7="N",C$4&gt;0,B199&lt;=C$4),0,U199*D198))</f>
        <v>#DIV/0!</v>
      </c>
      <c r="M199" s="49">
        <f t="shared" si="41"/>
        <v>0</v>
      </c>
      <c r="N199" s="49">
        <f t="shared" si="40"/>
        <v>0</v>
      </c>
      <c r="O199" s="48" t="e">
        <f>K199+I199+J199-L199+N199+G199</f>
        <v>#DIV/0!</v>
      </c>
      <c r="P199" s="38" t="e">
        <f>O199*(1/((1+P$12)^(B199/12)))</f>
        <v>#DIV/0!</v>
      </c>
      <c r="Q199" s="53"/>
      <c r="R199" s="53">
        <f t="shared" si="35"/>
        <v>0.12</v>
      </c>
      <c r="S199" s="53">
        <f t="shared" si="36"/>
        <v>1.0596241035318976E-2</v>
      </c>
      <c r="T199" s="53">
        <f t="shared" si="37"/>
        <v>0</v>
      </c>
      <c r="U199" s="53">
        <f t="shared" si="38"/>
        <v>0</v>
      </c>
    </row>
    <row r="200" spans="1:21" x14ac:dyDescent="0.2">
      <c r="A200" s="62" t="e">
        <f t="shared" si="31"/>
        <v>#DIV/0!</v>
      </c>
      <c r="B200" s="45">
        <f t="shared" si="32"/>
        <v>186</v>
      </c>
      <c r="C200" s="51" t="e">
        <f>IF(B200&lt;C$4,C$1,D199-L200+N200)</f>
        <v>#DIV/0!</v>
      </c>
      <c r="D200" s="47" t="e" cm="1">
        <f t="array" ref="D200">_xlfn.IFS(AND($C$7="Y",B200&lt;C$4),C200,AND($C$7="Y",B200=C$4),D199+F200-J200-K200-L200+N200,AND($C$7="Y",B200&gt;$C$4),D199-J200-K200-L200+N200, TRUE, D199-J200-K200-L200+N200)</f>
        <v>#DIV/0!</v>
      </c>
      <c r="E200" s="48">
        <f t="shared" si="33"/>
        <v>0</v>
      </c>
      <c r="F200" s="50">
        <f t="shared" si="34"/>
        <v>0</v>
      </c>
      <c r="G200" s="50">
        <f t="shared" si="39"/>
        <v>0</v>
      </c>
      <c r="H200" s="51" t="e">
        <f>IF(AND($B200&lt;=$C$4,C$7="Y"),0,IF(AND(C$7="N",C$4&gt;0,B200&lt;=C$4),0,(D199-L200+N200)*C$2/12/(1-(1/(1+C$2/12))^(C$3+C$4-B200+1))))</f>
        <v>#DIV/0!</v>
      </c>
      <c r="I200" s="52" t="e">
        <f>IF(AND(C$7="Y",$B200&lt;=C$4),0,IF(AND(C$7="Y",$B200&gt;C$4),(1-U200)*C$2*D199/12,IF(AND($C$7="N",C$4&gt;0),(1-U200)*D199*C$2/12, (1-U200)*D199*C$2/12)))</f>
        <v>#DIV/0!</v>
      </c>
      <c r="J200" s="52" t="e">
        <f>IF(AND($B200&lt;=$C$4,C$7="Y"),0,IF(AND(C$7="N",C$4&gt;0,B200&lt;=C$4),0,H200-I200))</f>
        <v>#DIV/0!</v>
      </c>
      <c r="K200" s="51" t="e">
        <f>IF(AND(C$7="Y",$B200&lt;=$C$4),0,IF(AND(C$7="N",C$4&gt;0,B200&lt;=C$4),0,S200*(C200-J200)))</f>
        <v>#DIV/0!</v>
      </c>
      <c r="L200" s="49" t="e">
        <f>IF(AND(C$7="Y",$B200&lt;=$C$4),0,IF(AND(C$7="N",C$4&gt;0,B200&lt;=C$4),0,U200*D199))</f>
        <v>#DIV/0!</v>
      </c>
      <c r="M200" s="49">
        <f t="shared" si="41"/>
        <v>0</v>
      </c>
      <c r="N200" s="49">
        <f t="shared" si="40"/>
        <v>0</v>
      </c>
      <c r="O200" s="48" t="e">
        <f>K200+I200+J200-L200+N200+G200</f>
        <v>#DIV/0!</v>
      </c>
      <c r="P200" s="38" t="e">
        <f>O200*(1/((1+P$12)^(B200/12)))</f>
        <v>#DIV/0!</v>
      </c>
      <c r="Q200" s="53"/>
      <c r="R200" s="53">
        <f t="shared" si="35"/>
        <v>0.12</v>
      </c>
      <c r="S200" s="53">
        <f t="shared" si="36"/>
        <v>1.0596241035318976E-2</v>
      </c>
      <c r="T200" s="53">
        <f t="shared" si="37"/>
        <v>0</v>
      </c>
      <c r="U200" s="53">
        <f t="shared" si="38"/>
        <v>0</v>
      </c>
    </row>
    <row r="201" spans="1:21" x14ac:dyDescent="0.2">
      <c r="A201" s="62" t="e">
        <f t="shared" si="31"/>
        <v>#DIV/0!</v>
      </c>
      <c r="B201" s="45">
        <f t="shared" si="32"/>
        <v>187</v>
      </c>
      <c r="C201" s="51" t="e">
        <f>IF(B201&lt;C$4,C$1,D200-L201+N201)</f>
        <v>#DIV/0!</v>
      </c>
      <c r="D201" s="47" t="e" cm="1">
        <f t="array" ref="D201">_xlfn.IFS(AND($C$7="Y",B201&lt;C$4),C201,AND($C$7="Y",B201=C$4),D200+F201-J201-K201-L201+N201,AND($C$7="Y",B201&gt;$C$4),D200-J201-K201-L201+N201, TRUE, D200-J201-K201-L201+N201)</f>
        <v>#DIV/0!</v>
      </c>
      <c r="E201" s="48">
        <f t="shared" si="33"/>
        <v>0</v>
      </c>
      <c r="F201" s="50">
        <f t="shared" si="34"/>
        <v>0</v>
      </c>
      <c r="G201" s="50">
        <f t="shared" si="39"/>
        <v>0</v>
      </c>
      <c r="H201" s="51" t="e">
        <f>IF(AND($B201&lt;=$C$4,C$7="Y"),0,IF(AND(C$7="N",C$4&gt;0,B201&lt;=C$4),0,(D200-L201+N201)*C$2/12/(1-(1/(1+C$2/12))^(C$3+C$4-B201+1))))</f>
        <v>#DIV/0!</v>
      </c>
      <c r="I201" s="52" t="e">
        <f>IF(AND(C$7="Y",$B201&lt;=C$4),0,IF(AND(C$7="Y",$B201&gt;C$4),(1-U201)*C$2*D200/12,IF(AND($C$7="N",C$4&gt;0),(1-U201)*D200*C$2/12, (1-U201)*D200*C$2/12)))</f>
        <v>#DIV/0!</v>
      </c>
      <c r="J201" s="52" t="e">
        <f>IF(AND($B201&lt;=$C$4,C$7="Y"),0,IF(AND(C$7="N",C$4&gt;0,B201&lt;=C$4),0,H201-I201))</f>
        <v>#DIV/0!</v>
      </c>
      <c r="K201" s="51" t="e">
        <f>IF(AND(C$7="Y",$B201&lt;=$C$4),0,IF(AND(C$7="N",C$4&gt;0,B201&lt;=C$4),0,S201*(C201-J201)))</f>
        <v>#DIV/0!</v>
      </c>
      <c r="L201" s="49" t="e">
        <f>IF(AND(C$7="Y",$B201&lt;=$C$4),0,IF(AND(C$7="N",C$4&gt;0,B201&lt;=C$4),0,U201*D200))</f>
        <v>#DIV/0!</v>
      </c>
      <c r="M201" s="49">
        <f t="shared" si="41"/>
        <v>0</v>
      </c>
      <c r="N201" s="49">
        <f t="shared" si="40"/>
        <v>0</v>
      </c>
      <c r="O201" s="48" t="e">
        <f>K201+I201+J201-L201+N201+G201</f>
        <v>#DIV/0!</v>
      </c>
      <c r="P201" s="38" t="e">
        <f>O201*(1/((1+P$12)^(B201/12)))</f>
        <v>#DIV/0!</v>
      </c>
      <c r="Q201" s="53"/>
      <c r="R201" s="53">
        <f t="shared" si="35"/>
        <v>0.12</v>
      </c>
      <c r="S201" s="53">
        <f t="shared" si="36"/>
        <v>1.0596241035318976E-2</v>
      </c>
      <c r="T201" s="53">
        <f t="shared" si="37"/>
        <v>0</v>
      </c>
      <c r="U201" s="53">
        <f t="shared" si="38"/>
        <v>0</v>
      </c>
    </row>
    <row r="202" spans="1:21" x14ac:dyDescent="0.2">
      <c r="A202" s="62" t="e">
        <f t="shared" si="31"/>
        <v>#DIV/0!</v>
      </c>
      <c r="B202" s="45">
        <f t="shared" si="32"/>
        <v>188</v>
      </c>
      <c r="C202" s="51" t="e">
        <f>IF(B202&lt;C$4,C$1,D201-L202+N202)</f>
        <v>#DIV/0!</v>
      </c>
      <c r="D202" s="47" t="e" cm="1">
        <f t="array" ref="D202">_xlfn.IFS(AND($C$7="Y",B202&lt;C$4),C202,AND($C$7="Y",B202=C$4),D201+F202-J202-K202-L202+N202,AND($C$7="Y",B202&gt;$C$4),D201-J202-K202-L202+N202, TRUE, D201-J202-K202-L202+N202)</f>
        <v>#DIV/0!</v>
      </c>
      <c r="E202" s="48">
        <f t="shared" si="33"/>
        <v>0</v>
      </c>
      <c r="F202" s="50">
        <f t="shared" si="34"/>
        <v>0</v>
      </c>
      <c r="G202" s="50">
        <f t="shared" si="39"/>
        <v>0</v>
      </c>
      <c r="H202" s="51" t="e">
        <f>IF(AND($B202&lt;=$C$4,C$7="Y"),0,IF(AND(C$7="N",C$4&gt;0,B202&lt;=C$4),0,(D201-L202+N202)*C$2/12/(1-(1/(1+C$2/12))^(C$3+C$4-B202+1))))</f>
        <v>#DIV/0!</v>
      </c>
      <c r="I202" s="52" t="e">
        <f>IF(AND(C$7="Y",$B202&lt;=C$4),0,IF(AND(C$7="Y",$B202&gt;C$4),(1-U202)*C$2*D201/12,IF(AND($C$7="N",C$4&gt;0),(1-U202)*D201*C$2/12, (1-U202)*D201*C$2/12)))</f>
        <v>#DIV/0!</v>
      </c>
      <c r="J202" s="52" t="e">
        <f>IF(AND($B202&lt;=$C$4,C$7="Y"),0,IF(AND(C$7="N",C$4&gt;0,B202&lt;=C$4),0,H202-I202))</f>
        <v>#DIV/0!</v>
      </c>
      <c r="K202" s="51" t="e">
        <f>IF(AND(C$7="Y",$B202&lt;=$C$4),0,IF(AND(C$7="N",C$4&gt;0,B202&lt;=C$4),0,S202*(C202-J202)))</f>
        <v>#DIV/0!</v>
      </c>
      <c r="L202" s="49" t="e">
        <f>IF(AND(C$7="Y",$B202&lt;=$C$4),0,IF(AND(C$7="N",C$4&gt;0,B202&lt;=C$4),0,U202*D201))</f>
        <v>#DIV/0!</v>
      </c>
      <c r="M202" s="49">
        <f t="shared" si="41"/>
        <v>0</v>
      </c>
      <c r="N202" s="49">
        <f t="shared" si="40"/>
        <v>0</v>
      </c>
      <c r="O202" s="48" t="e">
        <f>K202+I202+J202-L202+N202+G202</f>
        <v>#DIV/0!</v>
      </c>
      <c r="P202" s="38" t="e">
        <f>O202*(1/((1+P$12)^(B202/12)))</f>
        <v>#DIV/0!</v>
      </c>
      <c r="Q202" s="53"/>
      <c r="R202" s="53">
        <f t="shared" si="35"/>
        <v>0.12</v>
      </c>
      <c r="S202" s="53">
        <f t="shared" si="36"/>
        <v>1.0596241035318976E-2</v>
      </c>
      <c r="T202" s="53">
        <f t="shared" si="37"/>
        <v>0</v>
      </c>
      <c r="U202" s="53">
        <f t="shared" si="38"/>
        <v>0</v>
      </c>
    </row>
    <row r="203" spans="1:21" x14ac:dyDescent="0.2">
      <c r="A203" s="62" t="e">
        <f t="shared" si="31"/>
        <v>#DIV/0!</v>
      </c>
      <c r="B203" s="45">
        <f t="shared" si="32"/>
        <v>189</v>
      </c>
      <c r="C203" s="51" t="e">
        <f>IF(B203&lt;C$4,C$1,D202-L203+N203)</f>
        <v>#DIV/0!</v>
      </c>
      <c r="D203" s="47" t="e" cm="1">
        <f t="array" ref="D203">_xlfn.IFS(AND($C$7="Y",B203&lt;C$4),C203,AND($C$7="Y",B203=C$4),D202+F203-J203-K203-L203+N203,AND($C$7="Y",B203&gt;$C$4),D202-J203-K203-L203+N203, TRUE, D202-J203-K203-L203+N203)</f>
        <v>#DIV/0!</v>
      </c>
      <c r="E203" s="48">
        <f t="shared" si="33"/>
        <v>0</v>
      </c>
      <c r="F203" s="50">
        <f t="shared" si="34"/>
        <v>0</v>
      </c>
      <c r="G203" s="50">
        <f t="shared" si="39"/>
        <v>0</v>
      </c>
      <c r="H203" s="51" t="e">
        <f>IF(AND($B203&lt;=$C$4,C$7="Y"),0,IF(AND(C$7="N",C$4&gt;0,B203&lt;=C$4),0,(D202-L203+N203)*C$2/12/(1-(1/(1+C$2/12))^(C$3+C$4-B203+1))))</f>
        <v>#DIV/0!</v>
      </c>
      <c r="I203" s="52" t="e">
        <f>IF(AND(C$7="Y",$B203&lt;=C$4),0,IF(AND(C$7="Y",$B203&gt;C$4),(1-U203)*C$2*D202/12,IF(AND($C$7="N",C$4&gt;0),(1-U203)*D202*C$2/12, (1-U203)*D202*C$2/12)))</f>
        <v>#DIV/0!</v>
      </c>
      <c r="J203" s="52" t="e">
        <f>IF(AND($B203&lt;=$C$4,C$7="Y"),0,IF(AND(C$7="N",C$4&gt;0,B203&lt;=C$4),0,H203-I203))</f>
        <v>#DIV/0!</v>
      </c>
      <c r="K203" s="51" t="e">
        <f>IF(AND(C$7="Y",$B203&lt;=$C$4),0,IF(AND(C$7="N",C$4&gt;0,B203&lt;=C$4),0,S203*(C203-J203)))</f>
        <v>#DIV/0!</v>
      </c>
      <c r="L203" s="49" t="e">
        <f>IF(AND(C$7="Y",$B203&lt;=$C$4),0,IF(AND(C$7="N",C$4&gt;0,B203&lt;=C$4),0,U203*D202))</f>
        <v>#DIV/0!</v>
      </c>
      <c r="M203" s="49">
        <f t="shared" si="41"/>
        <v>0</v>
      </c>
      <c r="N203" s="49">
        <f t="shared" si="40"/>
        <v>0</v>
      </c>
      <c r="O203" s="48" t="e">
        <f>K203+I203+J203-L203+N203+G203</f>
        <v>#DIV/0!</v>
      </c>
      <c r="P203" s="38" t="e">
        <f>O203*(1/((1+P$12)^(B203/12)))</f>
        <v>#DIV/0!</v>
      </c>
      <c r="Q203" s="53"/>
      <c r="R203" s="53">
        <f t="shared" si="35"/>
        <v>0.12</v>
      </c>
      <c r="S203" s="53">
        <f t="shared" si="36"/>
        <v>1.0596241035318976E-2</v>
      </c>
      <c r="T203" s="53">
        <f t="shared" si="37"/>
        <v>0</v>
      </c>
      <c r="U203" s="53">
        <f t="shared" si="38"/>
        <v>0</v>
      </c>
    </row>
    <row r="204" spans="1:21" x14ac:dyDescent="0.2">
      <c r="A204" s="62" t="e">
        <f t="shared" si="31"/>
        <v>#DIV/0!</v>
      </c>
      <c r="B204" s="45">
        <f t="shared" si="32"/>
        <v>190</v>
      </c>
      <c r="C204" s="51" t="e">
        <f>IF(B204&lt;C$4,C$1,D203-L204+N204)</f>
        <v>#DIV/0!</v>
      </c>
      <c r="D204" s="47" t="e" cm="1">
        <f t="array" ref="D204">_xlfn.IFS(AND($C$7="Y",B204&lt;C$4),C204,AND($C$7="Y",B204=C$4),D203+F204-J204-K204-L204+N204,AND($C$7="Y",B204&gt;$C$4),D203-J204-K204-L204+N204, TRUE, D203-J204-K204-L204+N204)</f>
        <v>#DIV/0!</v>
      </c>
      <c r="E204" s="48">
        <f t="shared" si="33"/>
        <v>0</v>
      </c>
      <c r="F204" s="50">
        <f t="shared" si="34"/>
        <v>0</v>
      </c>
      <c r="G204" s="50">
        <f t="shared" si="39"/>
        <v>0</v>
      </c>
      <c r="H204" s="51" t="e">
        <f>IF(AND($B204&lt;=$C$4,C$7="Y"),0,IF(AND(C$7="N",C$4&gt;0,B204&lt;=C$4),0,(D203-L204+N204)*C$2/12/(1-(1/(1+C$2/12))^(C$3+C$4-B204+1))))</f>
        <v>#DIV/0!</v>
      </c>
      <c r="I204" s="52" t="e">
        <f>IF(AND(C$7="Y",$B204&lt;=C$4),0,IF(AND(C$7="Y",$B204&gt;C$4),(1-U204)*C$2*D203/12,IF(AND($C$7="N",C$4&gt;0),(1-U204)*D203*C$2/12, (1-U204)*D203*C$2/12)))</f>
        <v>#DIV/0!</v>
      </c>
      <c r="J204" s="52" t="e">
        <f>IF(AND($B204&lt;=$C$4,C$7="Y"),0,IF(AND(C$7="N",C$4&gt;0,B204&lt;=C$4),0,H204-I204))</f>
        <v>#DIV/0!</v>
      </c>
      <c r="K204" s="51" t="e">
        <f>IF(AND(C$7="Y",$B204&lt;=$C$4),0,IF(AND(C$7="N",C$4&gt;0,B204&lt;=C$4),0,S204*(C204-J204)))</f>
        <v>#DIV/0!</v>
      </c>
      <c r="L204" s="49" t="e">
        <f>IF(AND(C$7="Y",$B204&lt;=$C$4),0,IF(AND(C$7="N",C$4&gt;0,B204&lt;=C$4),0,U204*D203))</f>
        <v>#DIV/0!</v>
      </c>
      <c r="M204" s="49">
        <f t="shared" si="41"/>
        <v>0</v>
      </c>
      <c r="N204" s="49">
        <f t="shared" si="40"/>
        <v>0</v>
      </c>
      <c r="O204" s="48" t="e">
        <f>K204+I204+J204-L204+N204+G204</f>
        <v>#DIV/0!</v>
      </c>
      <c r="P204" s="38" t="e">
        <f>O204*(1/((1+P$12)^(B204/12)))</f>
        <v>#DIV/0!</v>
      </c>
      <c r="Q204" s="53"/>
      <c r="R204" s="53">
        <f t="shared" si="35"/>
        <v>0.12</v>
      </c>
      <c r="S204" s="53">
        <f t="shared" si="36"/>
        <v>1.0596241035318976E-2</v>
      </c>
      <c r="T204" s="53">
        <f t="shared" si="37"/>
        <v>0</v>
      </c>
      <c r="U204" s="53">
        <f t="shared" si="38"/>
        <v>0</v>
      </c>
    </row>
    <row r="205" spans="1:21" x14ac:dyDescent="0.2">
      <c r="A205" s="62" t="e">
        <f t="shared" si="31"/>
        <v>#DIV/0!</v>
      </c>
      <c r="B205" s="45">
        <f t="shared" si="32"/>
        <v>191</v>
      </c>
      <c r="C205" s="51" t="e">
        <f>IF(B205&lt;C$4,C$1,D204-L205+N205)</f>
        <v>#DIV/0!</v>
      </c>
      <c r="D205" s="47" t="e" cm="1">
        <f t="array" ref="D205">_xlfn.IFS(AND($C$7="Y",B205&lt;C$4),C205,AND($C$7="Y",B205=C$4),D204+F205-J205-K205-L205+N205,AND($C$7="Y",B205&gt;$C$4),D204-J205-K205-L205+N205, TRUE, D204-J205-K205-L205+N205)</f>
        <v>#DIV/0!</v>
      </c>
      <c r="E205" s="48">
        <f t="shared" si="33"/>
        <v>0</v>
      </c>
      <c r="F205" s="50">
        <f t="shared" si="34"/>
        <v>0</v>
      </c>
      <c r="G205" s="50">
        <f t="shared" si="39"/>
        <v>0</v>
      </c>
      <c r="H205" s="51" t="e">
        <f>IF(AND($B205&lt;=$C$4,C$7="Y"),0,IF(AND(C$7="N",C$4&gt;0,B205&lt;=C$4),0,(D204-L205+N205)*C$2/12/(1-(1/(1+C$2/12))^(C$3+C$4-B205+1))))</f>
        <v>#DIV/0!</v>
      </c>
      <c r="I205" s="52" t="e">
        <f>IF(AND(C$7="Y",$B205&lt;=C$4),0,IF(AND(C$7="Y",$B205&gt;C$4),(1-U205)*C$2*D204/12,IF(AND($C$7="N",C$4&gt;0),(1-U205)*D204*C$2/12, (1-U205)*D204*C$2/12)))</f>
        <v>#DIV/0!</v>
      </c>
      <c r="J205" s="52" t="e">
        <f>IF(AND($B205&lt;=$C$4,C$7="Y"),0,IF(AND(C$7="N",C$4&gt;0,B205&lt;=C$4),0,H205-I205))</f>
        <v>#DIV/0!</v>
      </c>
      <c r="K205" s="51" t="e">
        <f>IF(AND(C$7="Y",$B205&lt;=$C$4),0,IF(AND(C$7="N",C$4&gt;0,B205&lt;=C$4),0,S205*(C205-J205)))</f>
        <v>#DIV/0!</v>
      </c>
      <c r="L205" s="49" t="e">
        <f>IF(AND(C$7="Y",$B205&lt;=$C$4),0,IF(AND(C$7="N",C$4&gt;0,B205&lt;=C$4),0,U205*D204))</f>
        <v>#DIV/0!</v>
      </c>
      <c r="M205" s="49">
        <f t="shared" si="41"/>
        <v>0</v>
      </c>
      <c r="N205" s="49">
        <f t="shared" si="40"/>
        <v>0</v>
      </c>
      <c r="O205" s="48" t="e">
        <f>K205+I205+J205-L205+N205+G205</f>
        <v>#DIV/0!</v>
      </c>
      <c r="P205" s="38" t="e">
        <f>O205*(1/((1+P$12)^(B205/12)))</f>
        <v>#DIV/0!</v>
      </c>
      <c r="Q205" s="53"/>
      <c r="R205" s="53">
        <f t="shared" si="35"/>
        <v>0.12</v>
      </c>
      <c r="S205" s="53">
        <f t="shared" si="36"/>
        <v>1.0596241035318976E-2</v>
      </c>
      <c r="T205" s="53">
        <f t="shared" si="37"/>
        <v>0</v>
      </c>
      <c r="U205" s="53">
        <f t="shared" si="38"/>
        <v>0</v>
      </c>
    </row>
    <row r="206" spans="1:21" x14ac:dyDescent="0.2">
      <c r="A206" s="62" t="e">
        <f t="shared" si="31"/>
        <v>#DIV/0!</v>
      </c>
      <c r="B206" s="45">
        <f t="shared" si="32"/>
        <v>192</v>
      </c>
      <c r="C206" s="51" t="e">
        <f>IF(B206&lt;C$4,C$1,D205-L206+N206)</f>
        <v>#DIV/0!</v>
      </c>
      <c r="D206" s="47" t="e" cm="1">
        <f t="array" ref="D206">_xlfn.IFS(AND($C$7="Y",B206&lt;C$4),C206,AND($C$7="Y",B206=C$4),D205+F206-J206-K206-L206+N206,AND($C$7="Y",B206&gt;$C$4),D205-J206-K206-L206+N206, TRUE, D205-J206-K206-L206+N206)</f>
        <v>#DIV/0!</v>
      </c>
      <c r="E206" s="48">
        <f t="shared" si="33"/>
        <v>0</v>
      </c>
      <c r="F206" s="50">
        <f t="shared" si="34"/>
        <v>0</v>
      </c>
      <c r="G206" s="50">
        <f t="shared" si="39"/>
        <v>0</v>
      </c>
      <c r="H206" s="51" t="e">
        <f>IF(AND($B206&lt;=$C$4,C$7="Y"),0,IF(AND(C$7="N",C$4&gt;0,B206&lt;=C$4),0,(D205-L206+N206)*C$2/12/(1-(1/(1+C$2/12))^(C$3+C$4-B206+1))))</f>
        <v>#DIV/0!</v>
      </c>
      <c r="I206" s="52" t="e">
        <f>IF(AND(C$7="Y",$B206&lt;=C$4),0,IF(AND(C$7="Y",$B206&gt;C$4),(1-U206)*C$2*D205/12,IF(AND($C$7="N",C$4&gt;0),(1-U206)*D205*C$2/12, (1-U206)*D205*C$2/12)))</f>
        <v>#DIV/0!</v>
      </c>
      <c r="J206" s="52" t="e">
        <f>IF(AND($B206&lt;=$C$4,C$7="Y"),0,IF(AND(C$7="N",C$4&gt;0,B206&lt;=C$4),0,H206-I206))</f>
        <v>#DIV/0!</v>
      </c>
      <c r="K206" s="51" t="e">
        <f>IF(AND(C$7="Y",$B206&lt;=$C$4),0,IF(AND(C$7="N",C$4&gt;0,B206&lt;=C$4),0,S206*(C206-J206)))</f>
        <v>#DIV/0!</v>
      </c>
      <c r="L206" s="49" t="e">
        <f>IF(AND(C$7="Y",$B206&lt;=$C$4),0,IF(AND(C$7="N",C$4&gt;0,B206&lt;=C$4),0,U206*D205))</f>
        <v>#DIV/0!</v>
      </c>
      <c r="M206" s="49">
        <f t="shared" si="41"/>
        <v>0</v>
      </c>
      <c r="N206" s="49">
        <f t="shared" si="40"/>
        <v>0</v>
      </c>
      <c r="O206" s="48" t="e">
        <f>K206+I206+J206-L206+N206+G206</f>
        <v>#DIV/0!</v>
      </c>
      <c r="P206" s="38" t="e">
        <f>O206*(1/((1+P$12)^(B206/12)))</f>
        <v>#DIV/0!</v>
      </c>
      <c r="Q206" s="53"/>
      <c r="R206" s="53">
        <f t="shared" si="35"/>
        <v>0.12</v>
      </c>
      <c r="S206" s="53">
        <f t="shared" si="36"/>
        <v>1.0596241035318976E-2</v>
      </c>
      <c r="T206" s="53">
        <f t="shared" si="37"/>
        <v>0</v>
      </c>
      <c r="U206" s="53">
        <f t="shared" si="38"/>
        <v>0</v>
      </c>
    </row>
    <row r="207" spans="1:21" x14ac:dyDescent="0.2">
      <c r="A207" s="62" t="e">
        <f t="shared" ref="A207:A235" si="42">D207/C$1</f>
        <v>#DIV/0!</v>
      </c>
      <c r="B207" s="45">
        <f t="shared" si="32"/>
        <v>193</v>
      </c>
      <c r="C207" s="51" t="e">
        <f>IF(B207&lt;C$4,C$1,D206-L207+N207)</f>
        <v>#DIV/0!</v>
      </c>
      <c r="D207" s="47" t="e" cm="1">
        <f t="array" ref="D207">_xlfn.IFS(AND($C$7="Y",B207&lt;C$4),C207,AND($C$7="Y",B207=C$4),D206+F207-J207-K207-L207+N207,AND($C$7="Y",B207&gt;$C$4),D206-J207-K207-L207+N207, TRUE, D206-J207-K207-L207+N207)</f>
        <v>#DIV/0!</v>
      </c>
      <c r="E207" s="48">
        <f t="shared" si="33"/>
        <v>0</v>
      </c>
      <c r="F207" s="50">
        <f t="shared" si="34"/>
        <v>0</v>
      </c>
      <c r="G207" s="50">
        <f t="shared" si="39"/>
        <v>0</v>
      </c>
      <c r="H207" s="51" t="e">
        <f>IF(AND($B207&lt;=$C$4,C$7="Y"),0,IF(AND(C$7="N",C$4&gt;0,B207&lt;=C$4),0,(D206-L207+N207)*C$2/12/(1-(1/(1+C$2/12))^(C$3+C$4-B207+1))))</f>
        <v>#DIV/0!</v>
      </c>
      <c r="I207" s="52" t="e">
        <f>IF(AND(C$7="Y",$B207&lt;=C$4),0,IF(AND(C$7="Y",$B207&gt;C$4),(1-U207)*C$2*D206/12,IF(AND($C$7="N",C$4&gt;0),(1-U207)*D206*C$2/12, (1-U207)*D206*C$2/12)))</f>
        <v>#DIV/0!</v>
      </c>
      <c r="J207" s="52" t="e">
        <f>IF(AND($B207&lt;=$C$4,C$7="Y"),0,IF(AND(C$7="N",C$4&gt;0,B207&lt;=C$4),0,H207-I207))</f>
        <v>#DIV/0!</v>
      </c>
      <c r="K207" s="51" t="e">
        <f>IF(AND(C$7="Y",$B207&lt;=$C$4),0,IF(AND(C$7="N",C$4&gt;0,B207&lt;=C$4),0,S207*(C207-J207)))</f>
        <v>#DIV/0!</v>
      </c>
      <c r="L207" s="49" t="e">
        <f>IF(AND(C$7="Y",$B207&lt;=$C$4),0,IF(AND(C$7="N",C$4&gt;0,B207&lt;=C$4),0,U207*D206))</f>
        <v>#DIV/0!</v>
      </c>
      <c r="M207" s="49">
        <f t="shared" si="41"/>
        <v>0</v>
      </c>
      <c r="N207" s="49">
        <f t="shared" si="40"/>
        <v>0</v>
      </c>
      <c r="O207" s="48" t="e">
        <f>K207+I207+J207-L207+N207+G207</f>
        <v>#DIV/0!</v>
      </c>
      <c r="P207" s="38" t="e">
        <f>O207*(1/((1+P$12)^(B207/12)))</f>
        <v>#DIV/0!</v>
      </c>
      <c r="Q207" s="53"/>
      <c r="R207" s="53">
        <f t="shared" si="35"/>
        <v>0.12</v>
      </c>
      <c r="S207" s="53">
        <f t="shared" si="36"/>
        <v>1.0596241035318976E-2</v>
      </c>
      <c r="T207" s="53">
        <f t="shared" si="37"/>
        <v>0</v>
      </c>
      <c r="U207" s="53">
        <f t="shared" si="38"/>
        <v>0</v>
      </c>
    </row>
    <row r="208" spans="1:21" x14ac:dyDescent="0.2">
      <c r="A208" s="62" t="e">
        <f t="shared" si="42"/>
        <v>#DIV/0!</v>
      </c>
      <c r="B208" s="45">
        <f t="shared" ref="B208:B223" si="43">B207+1</f>
        <v>194</v>
      </c>
      <c r="C208" s="51" t="e">
        <f>IF(B208&lt;C$4,C$1,D207-L208+N208)</f>
        <v>#DIV/0!</v>
      </c>
      <c r="D208" s="47" t="e" cm="1">
        <f t="array" ref="D208">_xlfn.IFS(AND($C$7="Y",B208&lt;C$4),C208,AND($C$7="Y",B208=C$4),D207+F208-J208-K208-L208+N208,AND($C$7="Y",B208&gt;$C$4),D207-J208-K208-L208+N208, TRUE, D207-J208-K208-L208+N208)</f>
        <v>#DIV/0!</v>
      </c>
      <c r="E208" s="48">
        <f t="shared" ref="E208:E219" si="44">IF(AND($C$7="Y",B208&lt;=$C$4),D207*C$2/12-G208,0)</f>
        <v>0</v>
      </c>
      <c r="F208" s="50">
        <f t="shared" ref="F208:F219" si="45">IF(AND($C$7="Y",B208&lt;=C$4),E208+F207,0)</f>
        <v>0</v>
      </c>
      <c r="G208" s="50">
        <f t="shared" si="39"/>
        <v>0</v>
      </c>
      <c r="H208" s="51" t="e">
        <f>IF(AND($B208&lt;=$C$4,C$7="Y"),0,IF(AND(C$7="N",C$4&gt;0,B208&lt;=C$4),0,(D207-L208+N208)*C$2/12/(1-(1/(1+C$2/12))^(C$3+C$4-B208+1))))</f>
        <v>#DIV/0!</v>
      </c>
      <c r="I208" s="52" t="e">
        <f>IF(AND(C$7="Y",$B208&lt;=C$4),0,IF(AND(C$7="Y",$B208&gt;C$4),(1-U208)*C$2*D207/12,IF(AND($C$7="N",C$4&gt;0),(1-U208)*D207*C$2/12, (1-U208)*D207*C$2/12)))</f>
        <v>#DIV/0!</v>
      </c>
      <c r="J208" s="52" t="e">
        <f>IF(AND($B208&lt;=$C$4,C$7="Y"),0,IF(AND(C$7="N",C$4&gt;0,B208&lt;=C$4),0,H208-I208))</f>
        <v>#DIV/0!</v>
      </c>
      <c r="K208" s="51" t="e">
        <f>IF(AND(C$7="Y",$B208&lt;=$C$4),0,IF(AND(C$7="N",C$4&gt;0,B208&lt;=C$4),0,S208*(C208-J208)))</f>
        <v>#DIV/0!</v>
      </c>
      <c r="L208" s="49" t="e">
        <f>IF(AND(C$7="Y",$B208&lt;=$C$4),0,IF(AND(C$7="N",C$4&gt;0,B208&lt;=C$4),0,U208*D207))</f>
        <v>#DIV/0!</v>
      </c>
      <c r="M208" s="49">
        <f t="shared" si="41"/>
        <v>0</v>
      </c>
      <c r="N208" s="49">
        <f t="shared" si="40"/>
        <v>0</v>
      </c>
      <c r="O208" s="48" t="e">
        <f>K208+I208+J208-L208+N208+G208</f>
        <v>#DIV/0!</v>
      </c>
      <c r="P208" s="38" t="e">
        <f>O208*(1/((1+P$12)^(B208/12)))</f>
        <v>#DIV/0!</v>
      </c>
      <c r="Q208" s="53"/>
      <c r="R208" s="53">
        <f t="shared" ref="R208:R219" si="46">R$12</f>
        <v>0.12</v>
      </c>
      <c r="S208" s="53">
        <f t="shared" ref="S208:S219" si="47">1-(1-R208)^(1/12)</f>
        <v>1.0596241035318976E-2</v>
      </c>
      <c r="T208" s="53">
        <f t="shared" ref="T208:T219" si="48">T$12</f>
        <v>0</v>
      </c>
      <c r="U208" s="53">
        <f t="shared" si="38"/>
        <v>0</v>
      </c>
    </row>
    <row r="209" spans="1:21" x14ac:dyDescent="0.2">
      <c r="A209" s="62" t="e">
        <f t="shared" si="42"/>
        <v>#DIV/0!</v>
      </c>
      <c r="B209" s="45">
        <f t="shared" si="43"/>
        <v>195</v>
      </c>
      <c r="C209" s="51" t="e">
        <f>IF(B209&lt;C$4,C$1,D208-L209+N209)</f>
        <v>#DIV/0!</v>
      </c>
      <c r="D209" s="47" t="e" cm="1">
        <f t="array" ref="D209">_xlfn.IFS(AND($C$7="Y",B209&lt;C$4),C209,AND($C$7="Y",B209=C$4),D208+F209-J209-K209-L209+N209,AND($C$7="Y",B209&gt;$C$4),D208-J209-K209-L209+N209, TRUE, D208-J209-K209-L209+N209)</f>
        <v>#DIV/0!</v>
      </c>
      <c r="E209" s="48">
        <f t="shared" si="44"/>
        <v>0</v>
      </c>
      <c r="F209" s="50">
        <f t="shared" si="45"/>
        <v>0</v>
      </c>
      <c r="G209" s="50">
        <f t="shared" si="39"/>
        <v>0</v>
      </c>
      <c r="H209" s="51" t="e">
        <f>IF(AND($B209&lt;=$C$4,C$7="Y"),0,IF(AND(C$7="N",C$4&gt;0,B209&lt;=C$4),0,(D208-L209+N209)*C$2/12/(1-(1/(1+C$2/12))^(C$3+C$4-B209+1))))</f>
        <v>#DIV/0!</v>
      </c>
      <c r="I209" s="52" t="e">
        <f>IF(AND(C$7="Y",$B209&lt;=C$4),0,IF(AND(C$7="Y",$B209&gt;C$4),(1-U209)*C$2*D208/12,IF(AND($C$7="N",C$4&gt;0),(1-U209)*D208*C$2/12, (1-U209)*D208*C$2/12)))</f>
        <v>#DIV/0!</v>
      </c>
      <c r="J209" s="52" t="e">
        <f>IF(AND($B209&lt;=$C$4,C$7="Y"),0,IF(AND(C$7="N",C$4&gt;0,B209&lt;=C$4),0,H209-I209))</f>
        <v>#DIV/0!</v>
      </c>
      <c r="K209" s="51" t="e">
        <f>IF(AND(C$7="Y",$B209&lt;=$C$4),0,IF(AND(C$7="N",C$4&gt;0,B209&lt;=C$4),0,S209*(C209-J209)))</f>
        <v>#DIV/0!</v>
      </c>
      <c r="L209" s="49" t="e">
        <f>IF(AND(C$7="Y",$B209&lt;=$C$4),0,IF(AND(C$7="N",C$4&gt;0,B209&lt;=C$4),0,U209*D208))</f>
        <v>#DIV/0!</v>
      </c>
      <c r="M209" s="49">
        <f t="shared" si="41"/>
        <v>0</v>
      </c>
      <c r="N209" s="49">
        <f t="shared" si="40"/>
        <v>0</v>
      </c>
      <c r="O209" s="48" t="e">
        <f>K209+I209+J209-L209+N209+G209</f>
        <v>#DIV/0!</v>
      </c>
      <c r="P209" s="38" t="e">
        <f>O209*(1/((1+P$12)^(B209/12)))</f>
        <v>#DIV/0!</v>
      </c>
      <c r="Q209" s="53"/>
      <c r="R209" s="53">
        <f t="shared" si="46"/>
        <v>0.12</v>
      </c>
      <c r="S209" s="53">
        <f t="shared" si="47"/>
        <v>1.0596241035318976E-2</v>
      </c>
      <c r="T209" s="53">
        <f t="shared" si="48"/>
        <v>0</v>
      </c>
      <c r="U209" s="53">
        <f t="shared" ref="U209:U219" si="49">1-(1-T209)^(1/12)</f>
        <v>0</v>
      </c>
    </row>
    <row r="210" spans="1:21" x14ac:dyDescent="0.2">
      <c r="A210" s="62" t="e">
        <f t="shared" si="42"/>
        <v>#DIV/0!</v>
      </c>
      <c r="B210" s="45">
        <f t="shared" si="43"/>
        <v>196</v>
      </c>
      <c r="C210" s="51" t="e">
        <f>IF(B210&lt;C$4,C$1,D209-L210+N210)</f>
        <v>#DIV/0!</v>
      </c>
      <c r="D210" s="47" t="e" cm="1">
        <f t="array" ref="D210">_xlfn.IFS(AND($C$7="Y",B210&lt;C$4),C210,AND($C$7="Y",B210=C$4),D209+F210-J210-K210-L210+N210,AND($C$7="Y",B210&gt;$C$4),D209-J210-K210-L210+N210, TRUE, D209-J210-K210-L210+N210)</f>
        <v>#DIV/0!</v>
      </c>
      <c r="E210" s="48">
        <f t="shared" si="44"/>
        <v>0</v>
      </c>
      <c r="F210" s="50">
        <f t="shared" si="45"/>
        <v>0</v>
      </c>
      <c r="G210" s="50">
        <f t="shared" ref="G210:G219" si="50">IF($B210&lt;=$C$4,C$6,0)</f>
        <v>0</v>
      </c>
      <c r="H210" s="51" t="e">
        <f>IF(AND($B210&lt;=$C$4,C$7="Y"),0,IF(AND(C$7="N",C$4&gt;0,B210&lt;=C$4),0,(D209-L210+N210)*C$2/12/(1-(1/(1+C$2/12))^(C$3+C$4-B210+1))))</f>
        <v>#DIV/0!</v>
      </c>
      <c r="I210" s="52" t="e">
        <f>IF(AND(C$7="Y",$B210&lt;=C$4),0,IF(AND(C$7="Y",$B210&gt;C$4),(1-U210)*C$2*D209/12,IF(AND($C$7="N",C$4&gt;0),(1-U210)*D209*C$2/12, (1-U210)*D209*C$2/12)))</f>
        <v>#DIV/0!</v>
      </c>
      <c r="J210" s="52" t="e">
        <f>IF(AND($B210&lt;=$C$4,C$7="Y"),0,IF(AND(C$7="N",C$4&gt;0,B210&lt;=C$4),0,H210-I210))</f>
        <v>#DIV/0!</v>
      </c>
      <c r="K210" s="51" t="e">
        <f>IF(AND(C$7="Y",$B210&lt;=$C$4),0,IF(AND(C$7="N",C$4&gt;0,B210&lt;=C$4),0,S210*(C210-J210)))</f>
        <v>#DIV/0!</v>
      </c>
      <c r="L210" s="49" t="e">
        <f>IF(AND(C$7="Y",$B210&lt;=$C$4),0,IF(AND(C$7="N",C$4&gt;0,B210&lt;=C$4),0,U210*D209))</f>
        <v>#DIV/0!</v>
      </c>
      <c r="M210" s="49">
        <f t="shared" si="41"/>
        <v>0</v>
      </c>
      <c r="N210" s="49">
        <f t="shared" si="40"/>
        <v>0</v>
      </c>
      <c r="O210" s="48" t="e">
        <f>K210+I210+J210-L210+N210+G210</f>
        <v>#DIV/0!</v>
      </c>
      <c r="P210" s="38" t="e">
        <f>O210*(1/((1+P$12)^(B210/12)))</f>
        <v>#DIV/0!</v>
      </c>
      <c r="Q210" s="53"/>
      <c r="R210" s="53">
        <f t="shared" si="46"/>
        <v>0.12</v>
      </c>
      <c r="S210" s="53">
        <f t="shared" si="47"/>
        <v>1.0596241035318976E-2</v>
      </c>
      <c r="T210" s="53">
        <f t="shared" si="48"/>
        <v>0</v>
      </c>
      <c r="U210" s="53">
        <f t="shared" si="49"/>
        <v>0</v>
      </c>
    </row>
    <row r="211" spans="1:21" x14ac:dyDescent="0.2">
      <c r="A211" s="62" t="e">
        <f t="shared" si="42"/>
        <v>#DIV/0!</v>
      </c>
      <c r="B211" s="45">
        <f t="shared" si="43"/>
        <v>197</v>
      </c>
      <c r="C211" s="51" t="e">
        <f>IF(B211&lt;C$4,C$1,D210-L211+N211)</f>
        <v>#DIV/0!</v>
      </c>
      <c r="D211" s="47" t="e" cm="1">
        <f t="array" ref="D211">_xlfn.IFS(AND($C$7="Y",B211&lt;C$4),C211,AND($C$7="Y",B211=C$4),D210+F211-J211-K211-L211+N211,AND($C$7="Y",B211&gt;$C$4),D210-J211-K211-L211+N211, TRUE, D210-J211-K211-L211+N211)</f>
        <v>#DIV/0!</v>
      </c>
      <c r="E211" s="48">
        <f t="shared" si="44"/>
        <v>0</v>
      </c>
      <c r="F211" s="50">
        <f t="shared" si="45"/>
        <v>0</v>
      </c>
      <c r="G211" s="50">
        <f t="shared" si="50"/>
        <v>0</v>
      </c>
      <c r="H211" s="51" t="e">
        <f>IF(AND($B211&lt;=$C$4,C$7="Y"),0,IF(AND(C$7="N",C$4&gt;0,B211&lt;=C$4),0,(D210-L211+N211)*C$2/12/(1-(1/(1+C$2/12))^(C$3+C$4-B211+1))))</f>
        <v>#DIV/0!</v>
      </c>
      <c r="I211" s="52" t="e">
        <f>IF(AND(C$7="Y",$B211&lt;=C$4),0,IF(AND(C$7="Y",$B211&gt;C$4),(1-U211)*C$2*D210/12,IF(AND($C$7="N",C$4&gt;0),(1-U211)*D210*C$2/12, (1-U211)*D210*C$2/12)))</f>
        <v>#DIV/0!</v>
      </c>
      <c r="J211" s="52" t="e">
        <f>IF(AND($B211&lt;=$C$4,C$7="Y"),0,IF(AND(C$7="N",C$4&gt;0,B211&lt;=C$4),0,H211-I211))</f>
        <v>#DIV/0!</v>
      </c>
      <c r="K211" s="51" t="e">
        <f>IF(AND(C$7="Y",$B211&lt;=$C$4),0,IF(AND(C$7="N",C$4&gt;0,B211&lt;=C$4),0,S211*(C211-J211)))</f>
        <v>#DIV/0!</v>
      </c>
      <c r="L211" s="49" t="e">
        <f>IF(AND(C$7="Y",$B211&lt;=$C$4),0,IF(AND(C$7="N",C$4&gt;0,B211&lt;=C$4),0,U211*D210))</f>
        <v>#DIV/0!</v>
      </c>
      <c r="M211" s="49">
        <f t="shared" si="41"/>
        <v>0</v>
      </c>
      <c r="N211" s="49">
        <f t="shared" si="40"/>
        <v>0</v>
      </c>
      <c r="O211" s="48" t="e">
        <f>K211+I211+J211-L211+N211+G211</f>
        <v>#DIV/0!</v>
      </c>
      <c r="P211" s="38" t="e">
        <f>O211*(1/((1+P$12)^(B211/12)))</f>
        <v>#DIV/0!</v>
      </c>
      <c r="Q211" s="53"/>
      <c r="R211" s="53">
        <f t="shared" si="46"/>
        <v>0.12</v>
      </c>
      <c r="S211" s="53">
        <f t="shared" si="47"/>
        <v>1.0596241035318976E-2</v>
      </c>
      <c r="T211" s="53">
        <f t="shared" si="48"/>
        <v>0</v>
      </c>
      <c r="U211" s="53">
        <f t="shared" si="49"/>
        <v>0</v>
      </c>
    </row>
    <row r="212" spans="1:21" x14ac:dyDescent="0.2">
      <c r="A212" s="62" t="e">
        <f t="shared" si="42"/>
        <v>#DIV/0!</v>
      </c>
      <c r="B212" s="45">
        <f t="shared" si="43"/>
        <v>198</v>
      </c>
      <c r="C212" s="51" t="e">
        <f>IF(B212&lt;C$4,C$1,D211-L212+N212)</f>
        <v>#DIV/0!</v>
      </c>
      <c r="D212" s="47" t="e" cm="1">
        <f t="array" ref="D212">_xlfn.IFS(AND($C$7="Y",B212&lt;C$4),C212,AND($C$7="Y",B212=C$4),D211+F212-J212-K212-L212+N212,AND($C$7="Y",B212&gt;$C$4),D211-J212-K212-L212+N212, TRUE, D211-J212-K212-L212+N212)</f>
        <v>#DIV/0!</v>
      </c>
      <c r="E212" s="48">
        <f t="shared" si="44"/>
        <v>0</v>
      </c>
      <c r="F212" s="50">
        <f t="shared" si="45"/>
        <v>0</v>
      </c>
      <c r="G212" s="50">
        <f t="shared" si="50"/>
        <v>0</v>
      </c>
      <c r="H212" s="51" t="e">
        <f>IF(AND($B212&lt;=$C$4,C$7="Y"),0,IF(AND(C$7="N",C$4&gt;0,B212&lt;=C$4),0,(D211-L212+N212)*C$2/12/(1-(1/(1+C$2/12))^(C$3+C$4-B212+1))))</f>
        <v>#DIV/0!</v>
      </c>
      <c r="I212" s="52" t="e">
        <f>IF(AND(C$7="Y",$B212&lt;=C$4),0,IF(AND(C$7="Y",$B212&gt;C$4),(1-U212)*C$2*D211/12,IF(AND($C$7="N",C$4&gt;0),(1-U212)*D211*C$2/12, (1-U212)*D211*C$2/12)))</f>
        <v>#DIV/0!</v>
      </c>
      <c r="J212" s="52" t="e">
        <f>IF(AND($B212&lt;=$C$4,C$7="Y"),0,IF(AND(C$7="N",C$4&gt;0,B212&lt;=C$4),0,H212-I212))</f>
        <v>#DIV/0!</v>
      </c>
      <c r="K212" s="51" t="e">
        <f>IF(AND(C$7="Y",$B212&lt;=$C$4),0,IF(AND(C$7="N",C$4&gt;0,B212&lt;=C$4),0,S212*(C212-J212)))</f>
        <v>#DIV/0!</v>
      </c>
      <c r="L212" s="49" t="e">
        <f>IF(AND(C$7="Y",$B212&lt;=$C$4),0,IF(AND(C$7="N",C$4&gt;0,B212&lt;=C$4),0,U212*D211))</f>
        <v>#DIV/0!</v>
      </c>
      <c r="M212" s="49">
        <f t="shared" si="41"/>
        <v>0</v>
      </c>
      <c r="N212" s="49">
        <f t="shared" si="40"/>
        <v>0</v>
      </c>
      <c r="O212" s="48" t="e">
        <f>K212+I212+J212-L212+N212+G212</f>
        <v>#DIV/0!</v>
      </c>
      <c r="P212" s="38" t="e">
        <f>O212*(1/((1+P$12)^(B212/12)))</f>
        <v>#DIV/0!</v>
      </c>
      <c r="Q212" s="53"/>
      <c r="R212" s="53">
        <f t="shared" si="46"/>
        <v>0.12</v>
      </c>
      <c r="S212" s="53">
        <f t="shared" si="47"/>
        <v>1.0596241035318976E-2</v>
      </c>
      <c r="T212" s="53">
        <f t="shared" si="48"/>
        <v>0</v>
      </c>
      <c r="U212" s="53">
        <f t="shared" si="49"/>
        <v>0</v>
      </c>
    </row>
    <row r="213" spans="1:21" x14ac:dyDescent="0.2">
      <c r="A213" s="62" t="e">
        <f t="shared" si="42"/>
        <v>#DIV/0!</v>
      </c>
      <c r="B213" s="45">
        <f t="shared" si="43"/>
        <v>199</v>
      </c>
      <c r="C213" s="51" t="e">
        <f>IF(B213&lt;C$4,C$1,D212-L213+N213)</f>
        <v>#DIV/0!</v>
      </c>
      <c r="D213" s="47" t="e" cm="1">
        <f t="array" ref="D213">_xlfn.IFS(AND($C$7="Y",B213&lt;C$4),C213,AND($C$7="Y",B213=C$4),D212+F213-J213-K213-L213+N213,AND($C$7="Y",B213&gt;$C$4),D212-J213-K213-L213+N213, TRUE, D212-J213-K213-L213+N213)</f>
        <v>#DIV/0!</v>
      </c>
      <c r="E213" s="48">
        <f t="shared" si="44"/>
        <v>0</v>
      </c>
      <c r="F213" s="50">
        <f t="shared" si="45"/>
        <v>0</v>
      </c>
      <c r="G213" s="50">
        <f t="shared" si="50"/>
        <v>0</v>
      </c>
      <c r="H213" s="51" t="e">
        <f>IF(AND($B213&lt;=$C$4,C$7="Y"),0,IF(AND(C$7="N",C$4&gt;0,B213&lt;=C$4),0,(D212-L213+N213)*C$2/12/(1-(1/(1+C$2/12))^(C$3+C$4-B213+1))))</f>
        <v>#DIV/0!</v>
      </c>
      <c r="I213" s="52" t="e">
        <f>IF(AND(C$7="Y",$B213&lt;=C$4),0,IF(AND(C$7="Y",$B213&gt;C$4),(1-U213)*C$2*D212/12,IF(AND($C$7="N",C$4&gt;0),(1-U213)*D212*C$2/12, (1-U213)*D212*C$2/12)))</f>
        <v>#DIV/0!</v>
      </c>
      <c r="J213" s="52" t="e">
        <f>IF(AND($B213&lt;=$C$4,C$7="Y"),0,IF(AND(C$7="N",C$4&gt;0,B213&lt;=C$4),0,H213-I213))</f>
        <v>#DIV/0!</v>
      </c>
      <c r="K213" s="51" t="e">
        <f>IF(AND(C$7="Y",$B213&lt;=$C$4),0,IF(AND(C$7="N",C$4&gt;0,B213&lt;=C$4),0,S213*(C213-J213)))</f>
        <v>#DIV/0!</v>
      </c>
      <c r="L213" s="49" t="e">
        <f>IF(AND(C$7="Y",$B213&lt;=$C$4),0,IF(AND(C$7="N",C$4&gt;0,B213&lt;=C$4),0,U213*D212))</f>
        <v>#DIV/0!</v>
      </c>
      <c r="M213" s="49">
        <f t="shared" si="41"/>
        <v>0</v>
      </c>
      <c r="N213" s="49">
        <f t="shared" si="40"/>
        <v>0</v>
      </c>
      <c r="O213" s="48" t="e">
        <f>K213+I213+J213-L213+N213+G213</f>
        <v>#DIV/0!</v>
      </c>
      <c r="P213" s="38" t="e">
        <f>O213*(1/((1+P$12)^(B213/12)))</f>
        <v>#DIV/0!</v>
      </c>
      <c r="Q213" s="53"/>
      <c r="R213" s="53">
        <f t="shared" si="46"/>
        <v>0.12</v>
      </c>
      <c r="S213" s="53">
        <f t="shared" si="47"/>
        <v>1.0596241035318976E-2</v>
      </c>
      <c r="T213" s="53">
        <f t="shared" si="48"/>
        <v>0</v>
      </c>
      <c r="U213" s="53">
        <f t="shared" si="49"/>
        <v>0</v>
      </c>
    </row>
    <row r="214" spans="1:21" x14ac:dyDescent="0.2">
      <c r="A214" s="62" t="e">
        <f t="shared" si="42"/>
        <v>#DIV/0!</v>
      </c>
      <c r="B214" s="45">
        <f t="shared" si="43"/>
        <v>200</v>
      </c>
      <c r="C214" s="51" t="e">
        <f>IF(B214&lt;C$4,C$1,D213-L214+N214)</f>
        <v>#DIV/0!</v>
      </c>
      <c r="D214" s="47" t="e" cm="1">
        <f t="array" ref="D214">_xlfn.IFS(AND($C$7="Y",B214&lt;C$4),C214,AND($C$7="Y",B214=C$4),D213+F214-J214-K214-L214+N214,AND($C$7="Y",B214&gt;$C$4),D213-J214-K214-L214+N214, TRUE, D213-J214-K214-L214+N214)</f>
        <v>#DIV/0!</v>
      </c>
      <c r="E214" s="48">
        <f t="shared" si="44"/>
        <v>0</v>
      </c>
      <c r="F214" s="50">
        <f t="shared" si="45"/>
        <v>0</v>
      </c>
      <c r="G214" s="50">
        <f t="shared" si="50"/>
        <v>0</v>
      </c>
      <c r="H214" s="51" t="e">
        <f>IF(AND($B214&lt;=$C$4,C$7="Y"),0,IF(AND(C$7="N",C$4&gt;0,B214&lt;=C$4),0,(D213-L214+N214)*C$2/12/(1-(1/(1+C$2/12))^(C$3+C$4-B214+1))))</f>
        <v>#DIV/0!</v>
      </c>
      <c r="I214" s="52" t="e">
        <f>IF(AND(C$7="Y",$B214&lt;=C$4),0,IF(AND(C$7="Y",$B214&gt;C$4),(1-U214)*C$2*D213/12,IF(AND($C$7="N",C$4&gt;0),(1-U214)*D213*C$2/12, (1-U214)*D213*C$2/12)))</f>
        <v>#DIV/0!</v>
      </c>
      <c r="J214" s="52" t="e">
        <f>IF(AND($B214&lt;=$C$4,C$7="Y"),0,IF(AND(C$7="N",C$4&gt;0,B214&lt;=C$4),0,H214-I214))</f>
        <v>#DIV/0!</v>
      </c>
      <c r="K214" s="51" t="e">
        <f>IF(AND(C$7="Y",$B214&lt;=$C$4),0,IF(AND(C$7="N",C$4&gt;0,B214&lt;=C$4),0,S214*(C214-J214)))</f>
        <v>#DIV/0!</v>
      </c>
      <c r="L214" s="49" t="e">
        <f>IF(AND(C$7="Y",$B214&lt;=$C$4),0,IF(AND(C$7="N",C$4&gt;0,B214&lt;=C$4),0,U214*D213))</f>
        <v>#DIV/0!</v>
      </c>
      <c r="M214" s="49">
        <f t="shared" si="41"/>
        <v>0</v>
      </c>
      <c r="N214" s="49">
        <f t="shared" si="40"/>
        <v>0</v>
      </c>
      <c r="O214" s="48" t="e">
        <f>K214+I214+J214-L214+N214+G214</f>
        <v>#DIV/0!</v>
      </c>
      <c r="P214" s="38" t="e">
        <f>O214*(1/((1+P$12)^(B214/12)))</f>
        <v>#DIV/0!</v>
      </c>
      <c r="Q214" s="53"/>
      <c r="R214" s="53">
        <f t="shared" si="46"/>
        <v>0.12</v>
      </c>
      <c r="S214" s="53">
        <f t="shared" si="47"/>
        <v>1.0596241035318976E-2</v>
      </c>
      <c r="T214" s="53">
        <f t="shared" si="48"/>
        <v>0</v>
      </c>
      <c r="U214" s="53">
        <f t="shared" si="49"/>
        <v>0</v>
      </c>
    </row>
    <row r="215" spans="1:21" x14ac:dyDescent="0.2">
      <c r="A215" s="62" t="e">
        <f t="shared" si="42"/>
        <v>#DIV/0!</v>
      </c>
      <c r="B215" s="45">
        <f t="shared" si="43"/>
        <v>201</v>
      </c>
      <c r="C215" s="51" t="e">
        <f>IF(B215&lt;C$4,C$1,D214-L215+N215)</f>
        <v>#DIV/0!</v>
      </c>
      <c r="D215" s="47" t="e" cm="1">
        <f t="array" ref="D215">_xlfn.IFS(AND($C$7="Y",B215&lt;C$4),C215,AND($C$7="Y",B215=C$4),D214+F215-J215-K215-L215+N215,AND($C$7="Y",B215&gt;$C$4),D214-J215-K215-L215+N215, TRUE, D214-J215-K215-L215+N215)</f>
        <v>#DIV/0!</v>
      </c>
      <c r="E215" s="48">
        <f t="shared" si="44"/>
        <v>0</v>
      </c>
      <c r="F215" s="50">
        <f t="shared" si="45"/>
        <v>0</v>
      </c>
      <c r="G215" s="50">
        <f t="shared" si="50"/>
        <v>0</v>
      </c>
      <c r="H215" s="51" t="e">
        <f>IF(AND($B215&lt;=$C$4,C$7="Y"),0,IF(AND(C$7="N",C$4&gt;0,B215&lt;=C$4),0,(D214-L215+N215)*C$2/12/(1-(1/(1+C$2/12))^(C$3+C$4-B215+1))))</f>
        <v>#DIV/0!</v>
      </c>
      <c r="I215" s="52" t="e">
        <f>IF(AND(C$7="Y",$B215&lt;=C$4),0,IF(AND(C$7="Y",$B215&gt;C$4),(1-U215)*C$2*D214/12,IF(AND($C$7="N",C$4&gt;0),(1-U215)*D214*C$2/12, (1-U215)*D214*C$2/12)))</f>
        <v>#DIV/0!</v>
      </c>
      <c r="J215" s="52" t="e">
        <f>IF(AND($B215&lt;=$C$4,C$7="Y"),0,IF(AND(C$7="N",C$4&gt;0,B215&lt;=C$4),0,H215-I215))</f>
        <v>#DIV/0!</v>
      </c>
      <c r="K215" s="51" t="e">
        <f>IF(AND(C$7="Y",$B215&lt;=$C$4),0,IF(AND(C$7="N",C$4&gt;0,B215&lt;=C$4),0,S215*(C215-J215)))</f>
        <v>#DIV/0!</v>
      </c>
      <c r="L215" s="49" t="e">
        <f>IF(AND(C$7="Y",$B215&lt;=$C$4),0,IF(AND(C$7="N",C$4&gt;0,B215&lt;=C$4),0,U215*D214))</f>
        <v>#DIV/0!</v>
      </c>
      <c r="M215" s="49">
        <f t="shared" si="41"/>
        <v>0</v>
      </c>
      <c r="N215" s="49">
        <f t="shared" si="40"/>
        <v>0</v>
      </c>
      <c r="O215" s="48" t="e">
        <f>K215+I215+J215-L215+N215+G215</f>
        <v>#DIV/0!</v>
      </c>
      <c r="P215" s="38" t="e">
        <f>O215*(1/((1+P$12)^(B215/12)))</f>
        <v>#DIV/0!</v>
      </c>
      <c r="Q215" s="53"/>
      <c r="R215" s="53">
        <f t="shared" si="46"/>
        <v>0.12</v>
      </c>
      <c r="S215" s="53">
        <f t="shared" si="47"/>
        <v>1.0596241035318976E-2</v>
      </c>
      <c r="T215" s="53">
        <f t="shared" si="48"/>
        <v>0</v>
      </c>
      <c r="U215" s="53">
        <f t="shared" si="49"/>
        <v>0</v>
      </c>
    </row>
    <row r="216" spans="1:21" x14ac:dyDescent="0.2">
      <c r="A216" s="62" t="e">
        <f t="shared" si="42"/>
        <v>#DIV/0!</v>
      </c>
      <c r="B216" s="45">
        <f t="shared" si="43"/>
        <v>202</v>
      </c>
      <c r="C216" s="51" t="e">
        <f>IF(B216&lt;C$4,C$1,D215-L216+N216)</f>
        <v>#DIV/0!</v>
      </c>
      <c r="D216" s="47" t="e" cm="1">
        <f t="array" ref="D216">_xlfn.IFS(AND($C$7="Y",B216&lt;C$4),C216,AND($C$7="Y",B216=C$4),D215+F216-J216-K216-L216+N216,AND($C$7="Y",B216&gt;$C$4),D215-J216-K216-L216+N216, TRUE, D215-J216-K216-L216+N216)</f>
        <v>#DIV/0!</v>
      </c>
      <c r="E216" s="48">
        <f t="shared" si="44"/>
        <v>0</v>
      </c>
      <c r="F216" s="50">
        <f t="shared" si="45"/>
        <v>0</v>
      </c>
      <c r="G216" s="50">
        <f t="shared" si="50"/>
        <v>0</v>
      </c>
      <c r="H216" s="51" t="e">
        <f>IF(AND($B216&lt;=$C$4,C$7="Y"),0,IF(AND(C$7="N",C$4&gt;0,B216&lt;=C$4),0,(D215-L216+N216)*C$2/12/(1-(1/(1+C$2/12))^(C$3+C$4-B216+1))))</f>
        <v>#DIV/0!</v>
      </c>
      <c r="I216" s="52" t="e">
        <f>IF(AND(C$7="Y",$B216&lt;=C$4),0,IF(AND(C$7="Y",$B216&gt;C$4),(1-U216)*C$2*D215/12,IF(AND($C$7="N",C$4&gt;0),(1-U216)*D215*C$2/12, (1-U216)*D215*C$2/12)))</f>
        <v>#DIV/0!</v>
      </c>
      <c r="J216" s="52" t="e">
        <f>IF(AND($B216&lt;=$C$4,C$7="Y"),0,IF(AND(C$7="N",C$4&gt;0,B216&lt;=C$4),0,H216-I216))</f>
        <v>#DIV/0!</v>
      </c>
      <c r="K216" s="51" t="e">
        <f>IF(AND(C$7="Y",$B216&lt;=$C$4),0,IF(AND(C$7="N",C$4&gt;0,B216&lt;=C$4),0,S216*(C216-J216)))</f>
        <v>#DIV/0!</v>
      </c>
      <c r="L216" s="49" t="e">
        <f>IF(AND(C$7="Y",$B216&lt;=$C$4),0,IF(AND(C$7="N",C$4&gt;0,B216&lt;=C$4),0,U216*D215))</f>
        <v>#DIV/0!</v>
      </c>
      <c r="M216" s="49">
        <f t="shared" si="41"/>
        <v>0</v>
      </c>
      <c r="N216" s="49">
        <f t="shared" si="40"/>
        <v>0</v>
      </c>
      <c r="O216" s="48" t="e">
        <f>K216+I216+J216-L216+N216+G216</f>
        <v>#DIV/0!</v>
      </c>
      <c r="P216" s="38" t="e">
        <f>O216*(1/((1+P$12)^(B216/12)))</f>
        <v>#DIV/0!</v>
      </c>
      <c r="Q216" s="53"/>
      <c r="R216" s="53">
        <f t="shared" si="46"/>
        <v>0.12</v>
      </c>
      <c r="S216" s="53">
        <f t="shared" si="47"/>
        <v>1.0596241035318976E-2</v>
      </c>
      <c r="T216" s="53">
        <f t="shared" si="48"/>
        <v>0</v>
      </c>
      <c r="U216" s="53">
        <f t="shared" si="49"/>
        <v>0</v>
      </c>
    </row>
    <row r="217" spans="1:21" x14ac:dyDescent="0.2">
      <c r="A217" s="62" t="e">
        <f t="shared" si="42"/>
        <v>#DIV/0!</v>
      </c>
      <c r="B217" s="45">
        <f t="shared" si="43"/>
        <v>203</v>
      </c>
      <c r="C217" s="51" t="e">
        <f>IF(B217&lt;C$4,C$1,D216-L217+N217)</f>
        <v>#DIV/0!</v>
      </c>
      <c r="D217" s="47" t="e" cm="1">
        <f t="array" ref="D217">_xlfn.IFS(AND($C$7="Y",B217&lt;C$4),C217,AND($C$7="Y",B217=C$4),D216+F217-J217-K217-L217+N217,AND($C$7="Y",B217&gt;$C$4),D216-J217-K217-L217+N217, TRUE, D216-J217-K217-L217+N217)</f>
        <v>#DIV/0!</v>
      </c>
      <c r="E217" s="48">
        <f t="shared" si="44"/>
        <v>0</v>
      </c>
      <c r="F217" s="50">
        <f t="shared" si="45"/>
        <v>0</v>
      </c>
      <c r="G217" s="50">
        <f t="shared" si="50"/>
        <v>0</v>
      </c>
      <c r="H217" s="51" t="e">
        <f>IF(AND($B217&lt;=$C$4,C$7="Y"),0,IF(AND(C$7="N",C$4&gt;0,B217&lt;=C$4),0,(D216-L217+N217)*C$2/12/(1-(1/(1+C$2/12))^(C$3+C$4-B217+1))))</f>
        <v>#DIV/0!</v>
      </c>
      <c r="I217" s="52" t="e">
        <f>IF(AND(C$7="Y",$B217&lt;=C$4),0,IF(AND(C$7="Y",$B217&gt;C$4),(1-U217)*C$2*D216/12,IF(AND($C$7="N",C$4&gt;0),(1-U217)*D216*C$2/12, (1-U217)*D216*C$2/12)))</f>
        <v>#DIV/0!</v>
      </c>
      <c r="J217" s="52" t="e">
        <f>IF(AND($B217&lt;=$C$4,C$7="Y"),0,IF(AND(C$7="N",C$4&gt;0,B217&lt;=C$4),0,H217-I217))</f>
        <v>#DIV/0!</v>
      </c>
      <c r="K217" s="51" t="e">
        <f>IF(AND(C$7="Y",$B217&lt;=$C$4),0,IF(AND(C$7="N",C$4&gt;0,B217&lt;=C$4),0,S217*(C217-J217)))</f>
        <v>#DIV/0!</v>
      </c>
      <c r="L217" s="49" t="e">
        <f>IF(AND(C$7="Y",$B217&lt;=$C$4),0,IF(AND(C$7="N",C$4&gt;0,B217&lt;=C$4),0,U217*D216))</f>
        <v>#DIV/0!</v>
      </c>
      <c r="M217" s="49">
        <f t="shared" si="41"/>
        <v>0</v>
      </c>
      <c r="N217" s="49">
        <f t="shared" si="40"/>
        <v>0</v>
      </c>
      <c r="O217" s="48" t="e">
        <f>K217+I217+J217-L217+N217+G217</f>
        <v>#DIV/0!</v>
      </c>
      <c r="P217" s="38" t="e">
        <f>O217*(1/((1+P$12)^(B217/12)))</f>
        <v>#DIV/0!</v>
      </c>
      <c r="Q217" s="53"/>
      <c r="R217" s="53">
        <f t="shared" si="46"/>
        <v>0.12</v>
      </c>
      <c r="S217" s="53">
        <f t="shared" si="47"/>
        <v>1.0596241035318976E-2</v>
      </c>
      <c r="T217" s="53">
        <f t="shared" si="48"/>
        <v>0</v>
      </c>
      <c r="U217" s="53">
        <f t="shared" si="49"/>
        <v>0</v>
      </c>
    </row>
    <row r="218" spans="1:21" x14ac:dyDescent="0.2">
      <c r="A218" s="62" t="e">
        <f t="shared" si="42"/>
        <v>#DIV/0!</v>
      </c>
      <c r="B218" s="45">
        <f t="shared" si="43"/>
        <v>204</v>
      </c>
      <c r="C218" s="51" t="e">
        <f>IF(B218&lt;C$4,C$1,D217-L218+N218)</f>
        <v>#DIV/0!</v>
      </c>
      <c r="D218" s="47" t="e" cm="1">
        <f t="array" ref="D218">_xlfn.IFS(AND($C$7="Y",B218&lt;C$4),C218,AND($C$7="Y",B218=C$4),D217+F218-J218-K218-L218+N218,AND($C$7="Y",B218&gt;$C$4),D217-J218-K218-L218+N218, TRUE, D217-J218-K218-L218+N218)</f>
        <v>#DIV/0!</v>
      </c>
      <c r="E218" s="48">
        <f t="shared" si="44"/>
        <v>0</v>
      </c>
      <c r="F218" s="50">
        <f t="shared" si="45"/>
        <v>0</v>
      </c>
      <c r="G218" s="50">
        <f t="shared" si="50"/>
        <v>0</v>
      </c>
      <c r="H218" s="51" t="e">
        <f>IF(AND($B218&lt;=$C$4,C$7="Y"),0,IF(AND(C$7="N",C$4&gt;0,B218&lt;=C$4),0,(D217-L218+N218)*C$2/12/(1-(1/(1+C$2/12))^(C$3+C$4-B218+1))))</f>
        <v>#DIV/0!</v>
      </c>
      <c r="I218" s="52" t="e">
        <f>IF(AND(C$7="Y",$B218&lt;=C$4),0,IF(AND(C$7="Y",$B218&gt;C$4),(1-U218)*C$2*D217/12,IF(AND($C$7="N",C$4&gt;0),(1-U218)*D217*C$2/12, (1-U218)*D217*C$2/12)))</f>
        <v>#DIV/0!</v>
      </c>
      <c r="J218" s="52" t="e">
        <f>IF(AND($B218&lt;=$C$4,C$7="Y"),0,IF(AND(C$7="N",C$4&gt;0,B218&lt;=C$4),0,H218-I218))</f>
        <v>#DIV/0!</v>
      </c>
      <c r="K218" s="51" t="e">
        <f>IF(AND(C$7="Y",$B218&lt;=$C$4),0,IF(AND(C$7="N",C$4&gt;0,B218&lt;=C$4),0,S218*(C218-J218)))</f>
        <v>#DIV/0!</v>
      </c>
      <c r="L218" s="49" t="e">
        <f>IF(AND(C$7="Y",$B218&lt;=$C$4),0,IF(AND(C$7="N",C$4&gt;0,B218&lt;=C$4),0,U218*D217))</f>
        <v>#DIV/0!</v>
      </c>
      <c r="M218" s="49">
        <f t="shared" si="41"/>
        <v>0</v>
      </c>
      <c r="N218" s="49">
        <f t="shared" si="40"/>
        <v>0</v>
      </c>
      <c r="O218" s="48" t="e">
        <f>K218+I218+J218-L218+N218+G218</f>
        <v>#DIV/0!</v>
      </c>
      <c r="P218" s="38" t="e">
        <f>O218*(1/((1+P$12)^(B218/12)))</f>
        <v>#DIV/0!</v>
      </c>
      <c r="Q218" s="53"/>
      <c r="R218" s="53">
        <f t="shared" si="46"/>
        <v>0.12</v>
      </c>
      <c r="S218" s="53">
        <f t="shared" si="47"/>
        <v>1.0596241035318976E-2</v>
      </c>
      <c r="T218" s="53">
        <f t="shared" si="48"/>
        <v>0</v>
      </c>
      <c r="U218" s="53">
        <f t="shared" si="49"/>
        <v>0</v>
      </c>
    </row>
    <row r="219" spans="1:21" x14ac:dyDescent="0.2">
      <c r="A219" s="62" t="e">
        <f t="shared" si="42"/>
        <v>#DIV/0!</v>
      </c>
      <c r="B219" s="45">
        <f t="shared" si="43"/>
        <v>205</v>
      </c>
      <c r="C219" s="51" t="e">
        <f>IF(B219&lt;C$4,C$1,D218-L219+N219)</f>
        <v>#DIV/0!</v>
      </c>
      <c r="D219" s="47" t="e" cm="1">
        <f t="array" ref="D219">_xlfn.IFS(AND($C$7="Y",B219&lt;C$4),C219,AND($C$7="Y",B219=C$4),D218+F219-J219-K219-L219+N219,AND($C$7="Y",B219&gt;$C$4),D218-J219-K219-L219+N219, TRUE, D218-J219-K219-L219+N219)</f>
        <v>#DIV/0!</v>
      </c>
      <c r="E219" s="48">
        <f t="shared" si="44"/>
        <v>0</v>
      </c>
      <c r="F219" s="50">
        <f t="shared" si="45"/>
        <v>0</v>
      </c>
      <c r="G219" s="50">
        <f t="shared" si="50"/>
        <v>0</v>
      </c>
      <c r="H219" s="51" t="e">
        <f>IF(AND($B219&lt;=$C$4,C$7="Y"),0,IF(AND(C$7="N",C$4&gt;0,B219&lt;=C$4),0,(D218-L219+N219)*C$2/12/(1-(1/(1+C$2/12))^(C$3+C$4-B219+1))))</f>
        <v>#DIV/0!</v>
      </c>
      <c r="I219" s="52" t="e">
        <f>IF(AND(C$7="Y",$B219&lt;=C$4),0,IF(AND(C$7="Y",$B219&gt;C$4),(1-U219)*C$2*D218/12,IF(AND($C$7="N",C$4&gt;0),(1-U219)*D218*C$2/12, (1-U219)*D218*C$2/12)))</f>
        <v>#DIV/0!</v>
      </c>
      <c r="J219" s="52" t="e">
        <f>IF(AND($B219&lt;=$C$4,C$7="Y"),0,IF(AND(C$7="N",C$4&gt;0,B219&lt;=C$4),0,H219-I219))</f>
        <v>#DIV/0!</v>
      </c>
      <c r="K219" s="51" t="e">
        <f>IF(AND(C$7="Y",$B219&lt;=$C$4),0,IF(AND(C$7="N",C$4&gt;0,B219&lt;=C$4),0,S219*(C219-J219)))</f>
        <v>#DIV/0!</v>
      </c>
      <c r="L219" s="49" t="e">
        <f>IF(AND(C$7="Y",$B219&lt;=$C$4),0,IF(AND(C$7="N",C$4&gt;0,B219&lt;=C$4),0,U219*D218))</f>
        <v>#DIV/0!</v>
      </c>
      <c r="M219" s="49">
        <f t="shared" si="41"/>
        <v>0</v>
      </c>
      <c r="N219" s="49">
        <f t="shared" si="40"/>
        <v>0</v>
      </c>
      <c r="O219" s="48" t="e">
        <f>K219+I219+J219-L219+N219+G219</f>
        <v>#DIV/0!</v>
      </c>
      <c r="P219" s="38" t="e">
        <f>O219*(1/((1+P$12)^(B219/12)))</f>
        <v>#DIV/0!</v>
      </c>
      <c r="Q219" s="53"/>
      <c r="R219" s="53">
        <f t="shared" si="46"/>
        <v>0.12</v>
      </c>
      <c r="S219" s="53">
        <f t="shared" si="47"/>
        <v>1.0596241035318976E-2</v>
      </c>
      <c r="T219" s="53">
        <f t="shared" si="48"/>
        <v>0</v>
      </c>
      <c r="U219" s="53">
        <f t="shared" si="49"/>
        <v>0</v>
      </c>
    </row>
    <row r="220" spans="1:21" x14ac:dyDescent="0.2">
      <c r="A220" s="62">
        <f t="shared" si="42"/>
        <v>0</v>
      </c>
      <c r="B220" s="45">
        <f t="shared" si="43"/>
        <v>206</v>
      </c>
      <c r="C220" s="49"/>
      <c r="D220" s="46"/>
      <c r="E220" s="61"/>
      <c r="F220" s="50"/>
      <c r="G220" s="50"/>
      <c r="H220" s="51"/>
      <c r="I220" s="51"/>
      <c r="J220" s="51"/>
      <c r="K220" s="51">
        <f>IF(AND(C$7="Y",$B220&lt;=$C$4),0,IF(AND(C$7="N",C$4&gt;0,B220&lt;=C$4),0,S220*(C220-J220)))</f>
        <v>0</v>
      </c>
      <c r="L220" s="49" t="e">
        <f>IF(AND(C$7="Y",$B220&lt;=$C$4),0,IF(AND(C$7="N",C$4&gt;0,B220&lt;=C$4),0,U220*D219))</f>
        <v>#DIV/0!</v>
      </c>
      <c r="M220" s="49">
        <f t="shared" si="41"/>
        <v>0</v>
      </c>
      <c r="N220" s="49">
        <f t="shared" si="40"/>
        <v>0</v>
      </c>
      <c r="O220" s="48" t="e">
        <f>K220+I220+J220-L220+N220+G220</f>
        <v>#DIV/0!</v>
      </c>
      <c r="P220" s="38" t="e">
        <f>O220*(1/((1+P$12)^(B220/12)))</f>
        <v>#DIV/0!</v>
      </c>
      <c r="Q220" s="53"/>
      <c r="R220" s="53"/>
      <c r="S220" s="53"/>
    </row>
    <row r="221" spans="1:21" x14ac:dyDescent="0.2">
      <c r="A221" s="62">
        <f t="shared" si="42"/>
        <v>0</v>
      </c>
      <c r="B221" s="45">
        <f t="shared" si="43"/>
        <v>207</v>
      </c>
      <c r="C221" s="49"/>
      <c r="D221" s="46"/>
      <c r="E221" s="61"/>
      <c r="F221" s="50"/>
      <c r="G221" s="56"/>
      <c r="H221" s="51"/>
      <c r="I221" s="51">
        <f>IF($B220&lt;=25,0,C$2*D220/12)</f>
        <v>0</v>
      </c>
      <c r="J221" s="51">
        <f>H221-I221</f>
        <v>0</v>
      </c>
      <c r="K221" s="51" t="e">
        <f>IF(AND(C$7="Y",$B221&lt;=$C$4),0,IF(AND(C$7="N",C$4&gt;0,B221&lt;=C$4),0,S221*(C221-J221)))</f>
        <v>#REF!</v>
      </c>
      <c r="L221" s="49">
        <f>IF(AND(C$7="Y",$B221&lt;=$C$4),0,IF(AND(C$7="N",C$4&gt;0,B221&lt;=C$4),0,U221*D220))</f>
        <v>0</v>
      </c>
      <c r="M221" s="49">
        <f t="shared" si="41"/>
        <v>0</v>
      </c>
      <c r="N221" s="49">
        <f t="shared" si="40"/>
        <v>0</v>
      </c>
      <c r="O221" s="48" t="e">
        <f>K221+I221+J221-L221+N221+G221</f>
        <v>#REF!</v>
      </c>
      <c r="P221" s="38" t="e">
        <f>O221*(1/((1+P$12)^(B221/12)))</f>
        <v>#REF!</v>
      </c>
      <c r="Q221" s="53"/>
      <c r="R221" s="53" t="e">
        <f>INDEX(#REF!,MATCH(#REF!,#REF!,0),MATCH(ActiveCDR,#REF!,0))%</f>
        <v>#REF!</v>
      </c>
      <c r="S221" s="53" t="e">
        <f>1-(1-R221)^(1/12)</f>
        <v>#REF!</v>
      </c>
    </row>
    <row r="222" spans="1:21" x14ac:dyDescent="0.2">
      <c r="A222" s="62">
        <f t="shared" si="42"/>
        <v>0</v>
      </c>
      <c r="B222" s="45">
        <f t="shared" si="43"/>
        <v>208</v>
      </c>
      <c r="C222" s="49"/>
      <c r="D222" s="46"/>
      <c r="E222" s="61"/>
      <c r="F222" s="50"/>
      <c r="G222" s="56"/>
      <c r="H222" s="51"/>
      <c r="I222" s="51">
        <f>IF($B221&lt;=25,0,C$2*D221/12)</f>
        <v>0</v>
      </c>
      <c r="J222" s="51">
        <f>H222-I222</f>
        <v>0</v>
      </c>
      <c r="K222" s="51" t="e">
        <f>IF(AND(C$7="Y",$B222&lt;=$C$4),0,IF(AND(C$7="N",C$4&gt;0,B222&lt;=C$4),0,S222*(C222-J222)))</f>
        <v>#REF!</v>
      </c>
      <c r="L222" s="49">
        <f>IF(AND(C$7="Y",$B222&lt;=$C$4),0,IF(AND(C$7="N",C$4&gt;0,B222&lt;=C$4),0,U222*D221))</f>
        <v>0</v>
      </c>
      <c r="M222" s="49">
        <f t="shared" si="41"/>
        <v>0</v>
      </c>
      <c r="N222" s="49">
        <f t="shared" si="40"/>
        <v>0</v>
      </c>
      <c r="O222" s="48" t="e">
        <f>K222+I222+J222-L222+N222+G222</f>
        <v>#REF!</v>
      </c>
      <c r="P222" s="38" t="e">
        <f>O222*(1/((1+P$12)^(B222/12)))</f>
        <v>#REF!</v>
      </c>
      <c r="Q222" s="53"/>
      <c r="R222" s="53" t="e">
        <f>INDEX(#REF!,MATCH(#REF!,#REF!,0),MATCH(ActiveCDR,#REF!,0))%</f>
        <v>#REF!</v>
      </c>
      <c r="S222" s="53" t="e">
        <f t="shared" ref="S222:S224" si="51">1-(1-R222)^(1/12)</f>
        <v>#REF!</v>
      </c>
    </row>
    <row r="223" spans="1:21" x14ac:dyDescent="0.2">
      <c r="A223" s="62">
        <f t="shared" si="42"/>
        <v>0</v>
      </c>
      <c r="B223" s="45">
        <f t="shared" si="43"/>
        <v>209</v>
      </c>
      <c r="C223" s="49"/>
      <c r="D223" s="46"/>
      <c r="E223" s="61"/>
      <c r="F223" s="50"/>
      <c r="G223" s="56"/>
      <c r="H223" s="51"/>
      <c r="I223" s="51">
        <f>IF($B222&lt;=25,0,C$2*D222/12)</f>
        <v>0</v>
      </c>
      <c r="J223" s="51">
        <f>H223-I223</f>
        <v>0</v>
      </c>
      <c r="K223" s="51" t="e">
        <f>IF(AND(C$7="Y",$B223&lt;=$C$4),0,IF(AND(C$7="N",C$4&gt;0,B223&lt;=C$4),0,S223*(C223-J223)))</f>
        <v>#REF!</v>
      </c>
      <c r="L223" s="49">
        <f>IF(AND(C$7="Y",$B223&lt;=$C$4),0,IF(AND(C$7="N",C$4&gt;0,B223&lt;=C$4),0,U223*D222))</f>
        <v>0</v>
      </c>
      <c r="M223" s="49">
        <f t="shared" si="41"/>
        <v>0</v>
      </c>
      <c r="N223" s="49">
        <f t="shared" si="40"/>
        <v>0</v>
      </c>
      <c r="O223" s="48" t="e">
        <f>K223+I223+J223-L223+N223+G223</f>
        <v>#REF!</v>
      </c>
      <c r="P223" s="38" t="e">
        <f>O223*(1/((1+P$12)^(B223/12)))</f>
        <v>#REF!</v>
      </c>
      <c r="Q223" s="53"/>
      <c r="R223" s="53" t="e">
        <f>INDEX(#REF!,MATCH(#REF!,#REF!,0),MATCH(ActiveCDR,#REF!,0))%</f>
        <v>#REF!</v>
      </c>
      <c r="S223" s="53" t="e">
        <f t="shared" si="51"/>
        <v>#REF!</v>
      </c>
    </row>
    <row r="224" spans="1:21" x14ac:dyDescent="0.2">
      <c r="A224" s="62">
        <f t="shared" si="42"/>
        <v>0</v>
      </c>
      <c r="B224" s="45"/>
      <c r="C224" s="49"/>
      <c r="D224" s="46"/>
      <c r="E224" s="61"/>
      <c r="F224" s="50"/>
      <c r="G224" s="56"/>
      <c r="H224" s="51"/>
      <c r="I224" s="51">
        <f>IF($B223&lt;=25,0,C$2*D223/12)</f>
        <v>0</v>
      </c>
      <c r="J224" s="51">
        <f>H224-I224</f>
        <v>0</v>
      </c>
      <c r="K224" s="51" t="e">
        <f>IF(AND(C$7="Y",$B224&lt;=$C$4),0,IF(AND(C$7="N",C$4&gt;0,B224&lt;=C$4),0,S224*(C224-J224)))</f>
        <v>#REF!</v>
      </c>
      <c r="L224" s="49">
        <f>IF(AND(C$7="Y",$B224&lt;=$C$4),0,IF(AND(C$7="N",C$4&gt;0,B224&lt;=C$4),0,U224*D223))</f>
        <v>0</v>
      </c>
      <c r="M224" s="49">
        <f t="shared" si="41"/>
        <v>0</v>
      </c>
      <c r="N224" s="49">
        <f t="shared" si="40"/>
        <v>0</v>
      </c>
      <c r="O224" s="48" t="e">
        <f>K224+I224+J224-L224+N224+G224</f>
        <v>#REF!</v>
      </c>
      <c r="P224" s="38" t="e">
        <f>O224*(1/((1+P$12)^(B224/12)))</f>
        <v>#REF!</v>
      </c>
      <c r="Q224" s="53"/>
      <c r="R224" s="53" t="e">
        <f>INDEX(#REF!,MATCH(#REF!,#REF!,0),MATCH(ActiveCDR,#REF!,0))%</f>
        <v>#REF!</v>
      </c>
      <c r="S224" s="53" t="e">
        <f t="shared" si="51"/>
        <v>#REF!</v>
      </c>
    </row>
    <row r="225" spans="1:19" x14ac:dyDescent="0.2">
      <c r="A225" s="62">
        <f t="shared" si="42"/>
        <v>0</v>
      </c>
      <c r="B225" s="45"/>
      <c r="C225" s="49"/>
      <c r="D225" s="46"/>
      <c r="E225" s="61"/>
      <c r="F225" s="50"/>
      <c r="G225" s="56"/>
      <c r="H225" s="51"/>
      <c r="I225" s="51">
        <f>IF($B224&lt;=25,0,C$2*D224/12)</f>
        <v>0</v>
      </c>
      <c r="J225" s="51">
        <f>H225-I225</f>
        <v>0</v>
      </c>
      <c r="K225" s="51">
        <f>IF(AND(C$7="Y",$B225&lt;=$C$4),0,IF(AND(C$7="N",C$4&gt;0,B225&lt;=C$4),0,S225*(C225-J225)))</f>
        <v>0</v>
      </c>
      <c r="L225" s="49">
        <f>IF(AND(C$7="Y",$B225&lt;=$C$4),0,IF(AND(C$7="N",C$4&gt;0,B225&lt;=C$4),0,U225*D224))</f>
        <v>0</v>
      </c>
      <c r="M225" s="49">
        <f t="shared" si="41"/>
        <v>0</v>
      </c>
      <c r="N225" s="49">
        <f t="shared" si="40"/>
        <v>0</v>
      </c>
      <c r="O225" s="48">
        <f>K225+I225+J225-L225+N225+G225</f>
        <v>0</v>
      </c>
      <c r="P225" s="38">
        <f>O225*(1/((1+P$12)^(B225/12)))</f>
        <v>0</v>
      </c>
      <c r="Q225" s="53"/>
      <c r="R225" s="53"/>
      <c r="S225" s="53"/>
    </row>
    <row r="226" spans="1:19" x14ac:dyDescent="0.2">
      <c r="A226" s="62">
        <f t="shared" si="42"/>
        <v>0</v>
      </c>
      <c r="B226" s="45"/>
      <c r="C226" s="49"/>
      <c r="D226" s="46"/>
      <c r="E226" s="61"/>
      <c r="F226" s="50"/>
      <c r="G226" s="56"/>
      <c r="H226" s="51"/>
      <c r="I226" s="51">
        <f>IF($B225&lt;=25,0,C$2*D225/12)</f>
        <v>0</v>
      </c>
      <c r="J226" s="51">
        <f>H226-I226</f>
        <v>0</v>
      </c>
      <c r="K226" s="51">
        <f>IF(AND(C$7="Y",$B226&lt;=$C$4),0,IF(AND(C$7="N",C$4&gt;0,B226&lt;=C$4),0,S226*(C226-J226)))</f>
        <v>0</v>
      </c>
      <c r="L226" s="49">
        <f>IF(AND(C$7="Y",$B226&lt;=$C$4),0,IF(AND(C$7="N",C$4&gt;0,B226&lt;=C$4),0,U226*D225))</f>
        <v>0</v>
      </c>
      <c r="M226" s="49">
        <f t="shared" si="41"/>
        <v>0</v>
      </c>
      <c r="N226" s="49">
        <f t="shared" si="40"/>
        <v>0</v>
      </c>
      <c r="O226" s="48">
        <f>K226+I226+J226-L226+N226+G226</f>
        <v>0</v>
      </c>
      <c r="P226" s="38">
        <f>O226*(1/((1+P$12)^(B226/12)))</f>
        <v>0</v>
      </c>
      <c r="Q226" s="53"/>
      <c r="R226" s="53"/>
      <c r="S226" s="53"/>
    </row>
    <row r="227" spans="1:19" x14ac:dyDescent="0.2">
      <c r="A227" s="62">
        <f t="shared" si="42"/>
        <v>0</v>
      </c>
      <c r="B227" s="45"/>
      <c r="C227" s="49"/>
      <c r="D227" s="46"/>
      <c r="E227" s="61"/>
      <c r="F227" s="50"/>
      <c r="G227" s="56"/>
      <c r="H227" s="51"/>
      <c r="I227" s="51">
        <f>IF($B226&lt;=25,0,C$2*D226/12)</f>
        <v>0</v>
      </c>
      <c r="J227" s="51">
        <f>H227-I227</f>
        <v>0</v>
      </c>
      <c r="K227" s="51">
        <f>IF(AND(C$7="Y",$B227&lt;=$C$4),0,IF(AND(C$7="N",C$4&gt;0,B227&lt;=C$4),0,S227*(C227-J227)))</f>
        <v>0</v>
      </c>
      <c r="L227" s="49">
        <f>IF(AND(C$7="Y",$B227&lt;=$C$4),0,IF(AND(C$7="N",C$4&gt;0,B227&lt;=C$4),0,U227*D226))</f>
        <v>0</v>
      </c>
      <c r="M227" s="49">
        <f t="shared" si="41"/>
        <v>0</v>
      </c>
      <c r="N227" s="49">
        <f t="shared" ref="N227:N235" si="52">IFERROR((1-$N$12)*L223,0)</f>
        <v>0</v>
      </c>
      <c r="O227" s="48">
        <f>K227+I227+J227-L227+N227+G227</f>
        <v>0</v>
      </c>
      <c r="P227" s="38">
        <f>O227*(1/((1+P$12)^(B227/12)))</f>
        <v>0</v>
      </c>
      <c r="Q227" s="53"/>
      <c r="R227" s="53"/>
      <c r="S227" s="53"/>
    </row>
    <row r="228" spans="1:19" x14ac:dyDescent="0.2">
      <c r="A228" s="62">
        <f t="shared" si="42"/>
        <v>0</v>
      </c>
      <c r="B228" s="45"/>
      <c r="C228" s="49"/>
      <c r="D228" s="46"/>
      <c r="E228" s="61"/>
      <c r="F228" s="50"/>
      <c r="G228" s="56"/>
      <c r="H228" s="51"/>
      <c r="I228" s="51">
        <f>IF($B227&lt;=25,0,C$2*D227/12)</f>
        <v>0</v>
      </c>
      <c r="J228" s="51">
        <f>H228-I228</f>
        <v>0</v>
      </c>
      <c r="K228" s="51">
        <f>IF(AND(C$7="Y",$B228&lt;=$C$4),0,IF(AND(C$7="N",C$4&gt;0,B228&lt;=C$4),0,S228*(C228-J228)))</f>
        <v>0</v>
      </c>
      <c r="L228" s="49">
        <f>IF(AND(C$7="Y",$B228&lt;=$C$4),0,IF(AND(C$7="N",C$4&gt;0,B228&lt;=C$4),0,U228*D227))</f>
        <v>0</v>
      </c>
      <c r="M228" s="49">
        <f t="shared" si="41"/>
        <v>0</v>
      </c>
      <c r="N228" s="49">
        <f t="shared" si="52"/>
        <v>0</v>
      </c>
      <c r="O228" s="48">
        <f>K228+I228+J228-L228+N228+G228</f>
        <v>0</v>
      </c>
      <c r="P228" s="38">
        <f>O228*(1/((1+P$12)^(B228/12)))</f>
        <v>0</v>
      </c>
      <c r="Q228" s="53"/>
      <c r="R228" s="53"/>
      <c r="S228" s="53"/>
    </row>
    <row r="229" spans="1:19" x14ac:dyDescent="0.2">
      <c r="A229" s="62">
        <f t="shared" si="42"/>
        <v>0</v>
      </c>
      <c r="B229" s="45"/>
      <c r="C229" s="49"/>
      <c r="D229" s="46"/>
      <c r="E229" s="61"/>
      <c r="F229" s="50"/>
      <c r="G229" s="56"/>
      <c r="H229" s="51"/>
      <c r="I229" s="51">
        <f>IF($B228&lt;=25,0,C$2*D228/12)</f>
        <v>0</v>
      </c>
      <c r="J229" s="51">
        <f>H229-I229</f>
        <v>0</v>
      </c>
      <c r="K229" s="51">
        <f>IF(AND(C$7="Y",$B229&lt;=$C$4),0,IF(AND(C$7="N",C$4&gt;0,B229&lt;=C$4),0,S229*(C229-J229)))</f>
        <v>0</v>
      </c>
      <c r="L229" s="49">
        <f>IF(AND(C$7="Y",$B229&lt;=$C$4),0,IF(AND(C$7="N",C$4&gt;0,B229&lt;=C$4),0,U229*D228))</f>
        <v>0</v>
      </c>
      <c r="M229" s="49">
        <f t="shared" si="41"/>
        <v>0</v>
      </c>
      <c r="N229" s="49">
        <f t="shared" si="52"/>
        <v>0</v>
      </c>
      <c r="O229" s="48">
        <f>K229+I229+J229-L229+N229+G229</f>
        <v>0</v>
      </c>
      <c r="P229" s="38">
        <f>O229*(1/((1+P$12)^(B229/12)))</f>
        <v>0</v>
      </c>
      <c r="Q229" s="53"/>
      <c r="R229" s="53"/>
      <c r="S229" s="53"/>
    </row>
    <row r="230" spans="1:19" x14ac:dyDescent="0.2">
      <c r="A230" s="62">
        <f t="shared" si="42"/>
        <v>0</v>
      </c>
      <c r="B230" s="45"/>
      <c r="C230" s="49"/>
      <c r="D230" s="46"/>
      <c r="E230" s="61"/>
      <c r="F230" s="50"/>
      <c r="G230" s="56"/>
      <c r="H230" s="51"/>
      <c r="I230" s="51">
        <f>IF($B229&lt;=25,0,C$2*D229/12)</f>
        <v>0</v>
      </c>
      <c r="J230" s="51">
        <f>H230-I230</f>
        <v>0</v>
      </c>
      <c r="K230" s="51">
        <f>IF(AND(C$7="Y",$B230&lt;=$C$4),0,IF(AND(C$7="N",C$4&gt;0,B230&lt;=C$4),0,S230*(C230-J230)))</f>
        <v>0</v>
      </c>
      <c r="L230" s="49">
        <f>IF(AND(C$7="Y",$B230&lt;=$C$4),0,IF(AND(C$7="N",C$4&gt;0,B230&lt;=C$4),0,U230*D229))</f>
        <v>0</v>
      </c>
      <c r="M230" s="49">
        <f t="shared" si="41"/>
        <v>0</v>
      </c>
      <c r="N230" s="49">
        <f t="shared" si="52"/>
        <v>0</v>
      </c>
      <c r="O230" s="48">
        <f>K230+I230+J230-L230+N230+G230</f>
        <v>0</v>
      </c>
      <c r="P230" s="38">
        <f>O230*(1/((1+P$12)^(B230/12)))</f>
        <v>0</v>
      </c>
      <c r="Q230" s="53"/>
      <c r="R230" s="53"/>
      <c r="S230" s="53"/>
    </row>
    <row r="231" spans="1:19" x14ac:dyDescent="0.2">
      <c r="A231" s="62">
        <f t="shared" si="42"/>
        <v>0</v>
      </c>
      <c r="B231" s="45"/>
      <c r="C231" s="49"/>
      <c r="D231" s="46"/>
      <c r="E231" s="61"/>
      <c r="F231" s="50"/>
      <c r="G231" s="56"/>
      <c r="H231" s="51"/>
      <c r="I231" s="51">
        <f>IF($B230&lt;=25,0,C$2*D230/12)</f>
        <v>0</v>
      </c>
      <c r="J231" s="51">
        <f>H231-I231</f>
        <v>0</v>
      </c>
      <c r="K231" s="51">
        <f>IF(AND(C$7="Y",$B231&lt;=$C$4),0,IF(AND(C$7="N",C$4&gt;0,B231&lt;=C$4),0,S231*(C231-J231)))</f>
        <v>0</v>
      </c>
      <c r="L231" s="49">
        <f>IF(AND(C$7="Y",$B231&lt;=$C$4),0,IF(AND(C$7="N",C$4&gt;0,B231&lt;=C$4),0,U231*D230))</f>
        <v>0</v>
      </c>
      <c r="M231" s="49">
        <f t="shared" si="41"/>
        <v>0</v>
      </c>
      <c r="N231" s="49">
        <f t="shared" si="52"/>
        <v>0</v>
      </c>
      <c r="O231" s="48">
        <f>K231+I231+J231-L231+N231+G231</f>
        <v>0</v>
      </c>
      <c r="P231" s="38">
        <f>O231*(1/((1+P$12)^(B231/12)))</f>
        <v>0</v>
      </c>
      <c r="Q231" s="53"/>
      <c r="R231" s="53"/>
      <c r="S231" s="53"/>
    </row>
    <row r="232" spans="1:19" x14ac:dyDescent="0.2">
      <c r="A232" s="62">
        <f t="shared" si="42"/>
        <v>0</v>
      </c>
      <c r="B232" s="45"/>
      <c r="C232" s="49"/>
      <c r="D232" s="46"/>
      <c r="E232" s="61"/>
      <c r="F232" s="50"/>
      <c r="G232" s="56"/>
      <c r="H232" s="51"/>
      <c r="I232" s="51">
        <f>IF($B231&lt;=25,0,C$2*D231/12)</f>
        <v>0</v>
      </c>
      <c r="J232" s="51">
        <f>H232-I232</f>
        <v>0</v>
      </c>
      <c r="K232" s="51">
        <f>IF(AND(C$7="Y",$B232&lt;=$C$4),0,IF(AND(C$7="N",C$4&gt;0,B232&lt;=C$4),0,S232*(C232-J232)))</f>
        <v>0</v>
      </c>
      <c r="L232" s="49">
        <f>IF(AND(C$7="Y",$B232&lt;=$C$4),0,IF(AND(C$7="N",C$4&gt;0,B232&lt;=C$4),0,U232*D231))</f>
        <v>0</v>
      </c>
      <c r="M232" s="49">
        <f t="shared" si="41"/>
        <v>0</v>
      </c>
      <c r="N232" s="49">
        <f t="shared" si="52"/>
        <v>0</v>
      </c>
      <c r="O232" s="48">
        <f>K232+I232+J232-L232+N232+G232</f>
        <v>0</v>
      </c>
      <c r="P232" s="38">
        <f>O232*(1/((1+P$12)^(B232/12)))</f>
        <v>0</v>
      </c>
      <c r="Q232" s="53"/>
      <c r="R232" s="53"/>
      <c r="S232" s="53"/>
    </row>
    <row r="233" spans="1:19" x14ac:dyDescent="0.2">
      <c r="A233" s="62">
        <f t="shared" si="42"/>
        <v>0</v>
      </c>
      <c r="B233" s="45"/>
      <c r="C233" s="49"/>
      <c r="D233" s="46"/>
      <c r="E233" s="61"/>
      <c r="F233" s="50"/>
      <c r="G233" s="56"/>
      <c r="H233" s="51"/>
      <c r="I233" s="51">
        <f>IF($B232&lt;=25,0,C$2*D232/12)</f>
        <v>0</v>
      </c>
      <c r="J233" s="51">
        <f>H233-I233</f>
        <v>0</v>
      </c>
      <c r="K233" s="51">
        <f>IF(AND(C$7="Y",$B233&lt;=$C$4),0,IF(AND(C$7="N",C$4&gt;0,B233&lt;=C$4),0,S233*(C233-J233)))</f>
        <v>0</v>
      </c>
      <c r="L233" s="49">
        <f>IF(AND(C$7="Y",$B233&lt;=$C$4),0,IF(AND(C$7="N",C$4&gt;0,B233&lt;=C$4),0,U233*D232))</f>
        <v>0</v>
      </c>
      <c r="M233" s="49">
        <f t="shared" si="41"/>
        <v>0</v>
      </c>
      <c r="N233" s="49">
        <f t="shared" si="52"/>
        <v>0</v>
      </c>
      <c r="O233" s="48">
        <f>K233+I233+J233-L233+N233+G233</f>
        <v>0</v>
      </c>
      <c r="P233" s="38">
        <f>O233*(1/((1+P$12)^(B233/12)))</f>
        <v>0</v>
      </c>
      <c r="Q233" s="53"/>
      <c r="R233" s="53"/>
      <c r="S233" s="53"/>
    </row>
    <row r="234" spans="1:19" x14ac:dyDescent="0.2">
      <c r="A234" s="62">
        <f t="shared" si="42"/>
        <v>0</v>
      </c>
      <c r="B234" s="45"/>
      <c r="C234" s="49"/>
      <c r="D234" s="46"/>
      <c r="E234" s="61"/>
      <c r="F234" s="50"/>
      <c r="G234" s="56"/>
      <c r="H234" s="51"/>
      <c r="I234" s="51">
        <f>IF($B233&lt;=25,0,C$2*D233/12)</f>
        <v>0</v>
      </c>
      <c r="J234" s="51">
        <f>H234-I234</f>
        <v>0</v>
      </c>
      <c r="K234" s="51">
        <f>IF(AND(C$7="Y",$B234&lt;=$C$4),0,IF(AND(C$7="N",C$4&gt;0,B234&lt;=C$4),0,S234*(C234-J234)))</f>
        <v>0</v>
      </c>
      <c r="L234" s="49">
        <f>IF(AND(C$7="Y",$B234&lt;=$C$4),0,IF(AND(C$7="N",C$4&gt;0,B234&lt;=C$4),0,U234*D233))</f>
        <v>0</v>
      </c>
      <c r="M234" s="49">
        <f t="shared" si="41"/>
        <v>0</v>
      </c>
      <c r="N234" s="49">
        <f t="shared" si="52"/>
        <v>0</v>
      </c>
      <c r="O234" s="48">
        <f>K234+I234+J234-L234+N234+G234</f>
        <v>0</v>
      </c>
      <c r="P234" s="38">
        <f>O234*(1/((1+P$12)^(B234/12)))</f>
        <v>0</v>
      </c>
      <c r="Q234" s="53"/>
      <c r="R234" s="53"/>
      <c r="S234" s="53"/>
    </row>
    <row r="235" spans="1:19" x14ac:dyDescent="0.2">
      <c r="A235" s="62">
        <f t="shared" si="42"/>
        <v>0</v>
      </c>
      <c r="B235" s="45"/>
      <c r="C235" s="49"/>
      <c r="D235" s="46"/>
      <c r="E235" s="61"/>
      <c r="F235" s="50"/>
      <c r="G235" s="56"/>
      <c r="H235" s="51"/>
      <c r="I235" s="51">
        <f>IF($B234&lt;=25,0,C$2*D234/12)</f>
        <v>0</v>
      </c>
      <c r="J235" s="51">
        <f>H235-I235</f>
        <v>0</v>
      </c>
      <c r="K235" s="51">
        <f>IF(AND(C$7="Y",$B235&lt;=$C$4),0,IF(AND(C$7="N",C$4&gt;0,B235&lt;=C$4),0,S235*(C235-J235)))</f>
        <v>0</v>
      </c>
      <c r="L235" s="49">
        <f>IF(AND(C$7="Y",$B235&lt;=$C$4),0,IF(AND(C$7="N",C$4&gt;0,B235&lt;=C$4),0,U235*D234))</f>
        <v>0</v>
      </c>
      <c r="M235" s="49">
        <f t="shared" si="41"/>
        <v>0</v>
      </c>
      <c r="N235" s="49">
        <f t="shared" si="52"/>
        <v>0</v>
      </c>
      <c r="O235" s="48">
        <f>K235+I235+J235-L235+N235+G235</f>
        <v>0</v>
      </c>
      <c r="P235" s="38">
        <f>O235*(1/((1+P$12)^(B235/12)))</f>
        <v>0</v>
      </c>
      <c r="Q235" s="53"/>
      <c r="R235" s="53"/>
      <c r="S235" s="53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D248-7331-46A0-9B5D-38B252BD1E41}">
  <sheetPr codeName="Sheet12"/>
  <dimension ref="A1:W235"/>
  <sheetViews>
    <sheetView showGridLines="0" zoomScaleNormal="100" workbookViewId="0">
      <selection activeCell="J16" sqref="J16"/>
    </sheetView>
  </sheetViews>
  <sheetFormatPr defaultColWidth="9.1796875" defaultRowHeight="10" x14ac:dyDescent="0.2"/>
  <cols>
    <col min="1" max="1" width="12.54296875" style="7" customWidth="1"/>
    <col min="2" max="2" width="15.453125" style="7" customWidth="1"/>
    <col min="3" max="3" width="15.7265625" style="7" customWidth="1"/>
    <col min="4" max="4" width="15.81640625" style="7" customWidth="1"/>
    <col min="5" max="5" width="13.1796875" style="7" customWidth="1"/>
    <col min="6" max="6" width="15.26953125" style="7" customWidth="1"/>
    <col min="7" max="7" width="17" style="7" customWidth="1"/>
    <col min="8" max="8" width="18" style="7" customWidth="1"/>
    <col min="9" max="15" width="17" style="7" customWidth="1"/>
    <col min="16" max="16" width="15.81640625" style="7" customWidth="1"/>
    <col min="17" max="19" width="9.1796875" style="7"/>
    <col min="20" max="20" width="11.1796875" style="7" bestFit="1" customWidth="1"/>
    <col min="21" max="21" width="12.90625" style="7" customWidth="1"/>
    <col min="22" max="22" width="11.453125" style="7" bestFit="1" customWidth="1"/>
    <col min="23" max="23" width="12.6328125" style="7" bestFit="1" customWidth="1"/>
    <col min="24" max="16384" width="9.1796875" style="7"/>
  </cols>
  <sheetData>
    <row r="1" spans="1:23" ht="11.5" x14ac:dyDescent="0.25">
      <c r="A1" s="1"/>
      <c r="B1" s="2" t="s">
        <v>0</v>
      </c>
      <c r="C1" s="3">
        <v>100000000</v>
      </c>
      <c r="D1" s="4" t="s">
        <v>1</v>
      </c>
      <c r="E1" s="5" t="s">
        <v>2</v>
      </c>
      <c r="F1" s="6"/>
      <c r="H1" s="8" t="s">
        <v>3</v>
      </c>
      <c r="I1" s="9">
        <f>T8*(-1)/C1</f>
        <v>-2.2688788903808988E-10</v>
      </c>
      <c r="N1" s="10">
        <f>M8*0.9/C1</f>
        <v>-0.1158080220973452</v>
      </c>
    </row>
    <row r="2" spans="1:23" ht="11.5" x14ac:dyDescent="0.25">
      <c r="A2" s="11"/>
      <c r="B2" s="12" t="s">
        <v>4</v>
      </c>
      <c r="C2" s="13">
        <v>0.05</v>
      </c>
      <c r="D2" s="14"/>
      <c r="E2" s="15" t="s">
        <v>5</v>
      </c>
      <c r="F2" s="16"/>
      <c r="H2" s="17" t="s">
        <v>6</v>
      </c>
      <c r="I2" s="18">
        <v>0.05</v>
      </c>
      <c r="M2" s="19">
        <f>(M8+N8)/C1</f>
        <v>-0.12867558010816132</v>
      </c>
    </row>
    <row r="3" spans="1:23" ht="11.5" x14ac:dyDescent="0.25">
      <c r="A3" s="11"/>
      <c r="B3" s="12" t="s">
        <v>7</v>
      </c>
      <c r="C3" s="20">
        <v>60</v>
      </c>
      <c r="E3" s="17" t="s">
        <v>8</v>
      </c>
      <c r="F3" s="21"/>
      <c r="H3" s="17" t="s">
        <v>9</v>
      </c>
      <c r="I3" s="22">
        <f>T12</f>
        <v>0.05</v>
      </c>
      <c r="K3" s="46">
        <v>419512.21</v>
      </c>
      <c r="L3" s="49">
        <f>K3/U16</f>
        <v>98354245.456870854</v>
      </c>
      <c r="T3" s="46">
        <v>2339837.2599999998</v>
      </c>
      <c r="U3" s="46">
        <v>3564282.02</v>
      </c>
      <c r="V3" s="46"/>
    </row>
    <row r="4" spans="1:23" ht="11.5" x14ac:dyDescent="0.25">
      <c r="B4" s="105" t="s">
        <v>10</v>
      </c>
      <c r="C4" s="20">
        <v>0</v>
      </c>
      <c r="E4" s="17" t="s">
        <v>11</v>
      </c>
      <c r="F4" s="23"/>
      <c r="H4" s="17"/>
      <c r="I4" s="24"/>
      <c r="L4" s="38">
        <f>L3-D15</f>
        <v>244962.06579691172</v>
      </c>
    </row>
    <row r="5" spans="1:23" ht="11.5" x14ac:dyDescent="0.25">
      <c r="B5" s="106" t="s">
        <v>12</v>
      </c>
      <c r="C5" s="25">
        <v>0</v>
      </c>
      <c r="E5" s="17" t="s">
        <v>13</v>
      </c>
      <c r="F5" s="26"/>
      <c r="H5" s="17"/>
      <c r="I5" s="24"/>
      <c r="J5" s="38">
        <f>H15-I15</f>
        <v>1464184.7311700017</v>
      </c>
      <c r="T5" s="46"/>
      <c r="U5" s="46"/>
    </row>
    <row r="6" spans="1:23" ht="11.5" x14ac:dyDescent="0.25">
      <c r="B6" s="106" t="s">
        <v>14</v>
      </c>
      <c r="C6" s="25">
        <v>0</v>
      </c>
      <c r="E6" s="17" t="s">
        <v>15</v>
      </c>
      <c r="F6" s="27"/>
      <c r="H6" s="17"/>
      <c r="I6" s="24"/>
      <c r="V6" s="46"/>
    </row>
    <row r="7" spans="1:23" ht="10.5" x14ac:dyDescent="0.25">
      <c r="B7" s="106" t="s">
        <v>16</v>
      </c>
      <c r="C7" s="28" t="s">
        <v>38</v>
      </c>
      <c r="E7" s="17" t="s">
        <v>17</v>
      </c>
      <c r="F7" s="26"/>
      <c r="H7" s="29"/>
      <c r="I7" s="30"/>
      <c r="J7" s="31"/>
      <c r="T7" s="86">
        <f>1-T8</f>
        <v>0.97731121109619101</v>
      </c>
    </row>
    <row r="8" spans="1:23" ht="11" thickBot="1" x14ac:dyDescent="0.3">
      <c r="B8" s="32" t="s">
        <v>18</v>
      </c>
      <c r="C8" s="33">
        <v>0.12</v>
      </c>
      <c r="E8" s="34"/>
      <c r="F8" s="35"/>
      <c r="H8" s="36"/>
      <c r="I8" s="37"/>
      <c r="J8" s="31">
        <f t="shared" ref="J8:Q8" si="0">_xlfn.AGGREGATE(9, 6, J14:J303)</f>
        <v>87549108.655850574</v>
      </c>
      <c r="K8" s="38" t="e">
        <f>D15+J12</f>
        <v>#DIV/0!</v>
      </c>
      <c r="L8" s="31">
        <f>_xlfn.AGGREGATE(9, 6, L14:L303)</f>
        <v>12450891.344149468</v>
      </c>
      <c r="M8" s="31">
        <f t="shared" si="0"/>
        <v>-12867558.010816133</v>
      </c>
      <c r="N8" s="31">
        <f t="shared" si="0"/>
        <v>0</v>
      </c>
      <c r="O8" s="31">
        <f t="shared" si="0"/>
        <v>87209254.581183031</v>
      </c>
      <c r="P8" s="31">
        <f>_xlfn.AGGREGATE(9, 6, P14:P303)</f>
        <v>87209254.581183031</v>
      </c>
      <c r="Q8" s="31">
        <f t="shared" si="0"/>
        <v>0</v>
      </c>
      <c r="T8" s="86">
        <v>2.2688788903808987E-2</v>
      </c>
      <c r="V8" s="46"/>
      <c r="W8" s="46"/>
    </row>
    <row r="9" spans="1:23" ht="10.5" x14ac:dyDescent="0.25">
      <c r="B9" s="90"/>
      <c r="C9" s="91"/>
      <c r="E9" s="92"/>
      <c r="F9" s="93"/>
      <c r="H9" s="94"/>
      <c r="I9" s="94"/>
      <c r="J9" s="31"/>
      <c r="K9" s="38"/>
      <c r="L9" s="31"/>
      <c r="M9" s="31"/>
      <c r="N9" s="31"/>
      <c r="O9" s="31"/>
      <c r="P9" s="31"/>
      <c r="Q9" s="31"/>
      <c r="T9" s="86"/>
      <c r="V9" s="46"/>
      <c r="W9" s="46"/>
    </row>
    <row r="10" spans="1:23" ht="29.5" customHeight="1" x14ac:dyDescent="0.25">
      <c r="B10" s="90"/>
      <c r="C10" s="91"/>
      <c r="D10" s="38">
        <f>D14-L15</f>
        <v>99573468.122243941</v>
      </c>
      <c r="E10" s="92"/>
      <c r="F10" s="110">
        <f>-1*PMT(C2/12,60,D10)</f>
        <v>1879074.1816793401</v>
      </c>
      <c r="G10" s="87">
        <f>F10-I15</f>
        <v>1464184.7311699903</v>
      </c>
      <c r="H10" s="107">
        <f>C14-G10</f>
        <v>98535815.268830016</v>
      </c>
      <c r="I10" s="107">
        <f>S15*H10</f>
        <v>0</v>
      </c>
      <c r="J10" s="108" t="s">
        <v>86</v>
      </c>
      <c r="K10" s="38"/>
      <c r="L10" s="31"/>
      <c r="M10" s="31"/>
      <c r="N10" s="31"/>
      <c r="O10" s="31"/>
      <c r="P10" s="31"/>
      <c r="Q10" s="31"/>
      <c r="T10" s="86"/>
      <c r="V10" s="46"/>
      <c r="W10" s="46"/>
    </row>
    <row r="11" spans="1:23" ht="34" customHeight="1" x14ac:dyDescent="0.25">
      <c r="A11" s="87">
        <f>B12+I15</f>
        <v>-1464184.7288630963</v>
      </c>
      <c r="B11" s="92">
        <f>C12+D11</f>
        <v>-243185.5127057794</v>
      </c>
      <c r="C11" s="91"/>
      <c r="D11" s="49">
        <v>1219222</v>
      </c>
      <c r="E11" s="92">
        <f>D11-J15</f>
        <v>-244962.73117000167</v>
      </c>
      <c r="F11" s="93"/>
      <c r="G11" s="38">
        <f>D14-L15</f>
        <v>99573468.122243941</v>
      </c>
      <c r="H11" s="94"/>
      <c r="I11" s="107">
        <f>D14-M11</f>
        <v>100000000</v>
      </c>
      <c r="J11" s="108">
        <v>1044042.79</v>
      </c>
      <c r="K11" s="38" t="e">
        <f>J12+J15</f>
        <v>#DIV/0!</v>
      </c>
      <c r="L11" s="31"/>
      <c r="M11" s="31"/>
      <c r="N11" s="31"/>
      <c r="O11" s="31"/>
      <c r="P11" s="31"/>
      <c r="Q11" s="31"/>
      <c r="T11" s="86"/>
      <c r="V11" s="46" t="s">
        <v>85</v>
      </c>
      <c r="W11" s="46"/>
    </row>
    <row r="12" spans="1:23" ht="41" customHeight="1" x14ac:dyDescent="0.25">
      <c r="B12" s="87">
        <f>PMT(C2/12,60,99573468)</f>
        <v>-1879074.1793724461</v>
      </c>
      <c r="C12" s="38">
        <f>B12+C1*C2/12</f>
        <v>-1462407.5127057794</v>
      </c>
      <c r="D12" s="88">
        <f>D15-W16</f>
        <v>-244962.06579691172</v>
      </c>
      <c r="E12" s="38">
        <f>D14-F12-L15</f>
        <v>102694393.94056459</v>
      </c>
      <c r="F12" s="55">
        <f>H15-C1*C2/1</f>
        <v>-3120925.8183206487</v>
      </c>
      <c r="G12" s="38">
        <f>(G11-J15)*S15</f>
        <v>0</v>
      </c>
      <c r="H12" s="46"/>
      <c r="I12" s="38" t="s">
        <v>87</v>
      </c>
      <c r="J12" s="109" t="e">
        <f>J11/S15</f>
        <v>#DIV/0!</v>
      </c>
      <c r="K12" s="38" t="e">
        <f>D14-J12</f>
        <v>#DIV/0!</v>
      </c>
      <c r="L12" s="38">
        <f>D14*C2/12</f>
        <v>416666.66666666669</v>
      </c>
      <c r="N12" s="39">
        <v>1</v>
      </c>
      <c r="O12" s="11"/>
      <c r="P12" s="40"/>
      <c r="Q12" s="11"/>
      <c r="R12" s="40">
        <v>0</v>
      </c>
      <c r="S12" s="11"/>
      <c r="T12" s="41">
        <v>0.05</v>
      </c>
      <c r="U12" s="11"/>
      <c r="V12" s="49"/>
    </row>
    <row r="13" spans="1:23" ht="22.5" customHeight="1" x14ac:dyDescent="0.25">
      <c r="B13" s="42" t="s">
        <v>19</v>
      </c>
      <c r="C13" s="43" t="s">
        <v>20</v>
      </c>
      <c r="D13" s="43" t="s">
        <v>21</v>
      </c>
      <c r="E13" s="44" t="s">
        <v>22</v>
      </c>
      <c r="F13" s="44" t="s">
        <v>23</v>
      </c>
      <c r="G13" s="44" t="s">
        <v>24</v>
      </c>
      <c r="H13" s="43" t="s">
        <v>25</v>
      </c>
      <c r="I13" s="43" t="s">
        <v>26</v>
      </c>
      <c r="J13" s="43" t="s">
        <v>27</v>
      </c>
      <c r="K13" s="43" t="s">
        <v>28</v>
      </c>
      <c r="L13" s="43" t="s">
        <v>29</v>
      </c>
      <c r="M13" s="43" t="s">
        <v>30</v>
      </c>
      <c r="N13" s="43" t="s">
        <v>31</v>
      </c>
      <c r="O13" s="43" t="s">
        <v>32</v>
      </c>
      <c r="P13" s="43" t="s">
        <v>33</v>
      </c>
      <c r="Q13" s="43"/>
      <c r="R13" s="43" t="s">
        <v>34</v>
      </c>
      <c r="S13" s="43" t="s">
        <v>35</v>
      </c>
      <c r="T13" s="43" t="s">
        <v>36</v>
      </c>
      <c r="U13" s="43" t="s">
        <v>37</v>
      </c>
      <c r="V13" s="38"/>
      <c r="W13" s="38"/>
    </row>
    <row r="14" spans="1:23" x14ac:dyDescent="0.2">
      <c r="A14" s="62">
        <f>D14/C$1</f>
        <v>1</v>
      </c>
      <c r="B14" s="45">
        <v>0</v>
      </c>
      <c r="C14" s="46">
        <f>C1</f>
        <v>100000000</v>
      </c>
      <c r="D14" s="47">
        <f>C1</f>
        <v>100000000</v>
      </c>
      <c r="E14" s="38">
        <f>C5</f>
        <v>0</v>
      </c>
      <c r="F14" s="38">
        <f>C$5</f>
        <v>0</v>
      </c>
      <c r="O14" s="48">
        <f>K14+I14+J14+M14+N14+G14</f>
        <v>0</v>
      </c>
      <c r="P14" s="38">
        <f>O14*(1/((1+P$12)^(B14/12)))</f>
        <v>0</v>
      </c>
    </row>
    <row r="15" spans="1:23" x14ac:dyDescent="0.2">
      <c r="A15" s="62">
        <f t="shared" ref="A15:A78" si="1">D15/C$1</f>
        <v>0.98109283391073943</v>
      </c>
      <c r="B15" s="45">
        <f>B14+1</f>
        <v>1</v>
      </c>
      <c r="C15" s="49">
        <f>IF(B15&lt;C$4,C$1,D14)</f>
        <v>100000000</v>
      </c>
      <c r="D15" s="47" cm="1">
        <f t="array" ref="D15">_xlfn.IFS(AND($C$7="Y",B15&lt;C$4),C15,AND($C$7="Y",B15=C$4),D14+F15-J15-K15-L15+N15,AND($C$7="Y",B15&gt;$C$4),D14-J15-K15-L15+N15, TRUE, D14-J15-K15-L15+N15)</f>
        <v>98109283.391073942</v>
      </c>
      <c r="E15" s="48">
        <f>IF(AND($C$7="Y",B15&lt;=$C$4),D14*C$2/12-G15,0)</f>
        <v>0</v>
      </c>
      <c r="F15" s="50">
        <f>IF(AND($C$7="Y",B15&lt;=C$4),E15+F14,0)</f>
        <v>0</v>
      </c>
      <c r="G15" s="50">
        <f>IF(AND(C$7="Y",$B15&lt;=$C$4),C$6,0)</f>
        <v>0</v>
      </c>
      <c r="H15" s="51">
        <f>IF(AND($B15&lt;=$C$4,C$7="Y"),0,IF(AND(C$7="N",C$4&gt;0,B15&lt;=C$4),0,(D14-L15+N15)*C$2/12/(1-(1/(1+C$2/12))^(C$3+C$4-B15+1))))</f>
        <v>1879074.1816793515</v>
      </c>
      <c r="I15" s="52">
        <f>IF(AND(C$7="Y",$B15&lt;=C$4),0,IF(AND(C$7="Y",$B15&gt;C$4),(1-U15)*C$2*D14/12,IF(AND($C$7="N",C$4&gt;0),(1-U15)*D14*C$2/12, (1-U15)*D14*C$2/12)))</f>
        <v>414889.45050934976</v>
      </c>
      <c r="J15" s="57">
        <f>IF(AND($B15&lt;=$C$4,C$7="Y"),0,IF(AND(C$7="N",C$4&gt;0,B15&lt;=C$4),0,H15-I15))</f>
        <v>1464184.7311700017</v>
      </c>
      <c r="K15" s="51">
        <f>IF(AND(C$7="Y",$B15&lt;=$C$4),0,IF(AND(C$7="N",C$4&gt;0,B15&lt;=C$4),0,S15*(C15-J15)))</f>
        <v>0</v>
      </c>
      <c r="L15" s="49">
        <f>IF(AND(C$7="Y",$B15&lt;=$C$4),0,IF(AND(C$7="N",C$4&gt;0,B15&lt;=C$4),0,U15*C14))</f>
        <v>426531.87775606447</v>
      </c>
      <c r="M15" s="49">
        <f>IFERROR(#REF!*-1,0)</f>
        <v>0</v>
      </c>
      <c r="N15" s="49">
        <f>IFERROR((1-$N$12)*#REF!,0)</f>
        <v>0</v>
      </c>
      <c r="O15" s="48">
        <f>K15+I15+J15-L15+N15+G15</f>
        <v>1452542.303923287</v>
      </c>
      <c r="P15" s="38">
        <f>O15*(1/((1+P$12)^(B15/12)))</f>
        <v>1452542.303923287</v>
      </c>
      <c r="Q15" s="53"/>
      <c r="R15" s="53">
        <f>R$12</f>
        <v>0</v>
      </c>
      <c r="S15" s="53">
        <f>1-(1-R15)^(1/12)</f>
        <v>0</v>
      </c>
      <c r="T15" s="53">
        <f>T$12</f>
        <v>0.05</v>
      </c>
      <c r="U15" s="53">
        <f>1-(1-T15)^(1/12)</f>
        <v>4.2653187775606449E-3</v>
      </c>
      <c r="V15" s="38">
        <f>C$2*D14/12</f>
        <v>416666.66666666669</v>
      </c>
      <c r="W15" s="89">
        <f>S15*D14</f>
        <v>0</v>
      </c>
    </row>
    <row r="16" spans="1:23" s="59" customFormat="1" x14ac:dyDescent="0.2">
      <c r="A16" s="96">
        <f t="shared" si="1"/>
        <v>0.9622680175784506</v>
      </c>
      <c r="B16" s="54">
        <f t="shared" ref="B16:B79" si="2">B15+1</f>
        <v>2</v>
      </c>
      <c r="C16" s="51">
        <f>IF(B16&lt;C$4,C$1,D15-L16+N16)</f>
        <v>97690816.022372976</v>
      </c>
      <c r="D16" s="60" cm="1">
        <f t="array" ref="D16">_xlfn.IFS(AND($C$7="Y",B16&lt;C$4),C16,AND($C$7="Y",B16=C$4),D15+F16-J16-K16-L16+N16,AND($C$7="Y",B16&gt;$C$4),D15-J16-K16-L16+N16, TRUE, D15-J16-K16-L16+N16)</f>
        <v>96226801.757845059</v>
      </c>
      <c r="E16" s="97">
        <f t="shared" ref="E16:E79" si="3">IF(AND($C$7="Y",B16&lt;=$C$4),D15*C$2/12-G16,0)</f>
        <v>0</v>
      </c>
      <c r="F16" s="56">
        <f t="shared" ref="F16:F79" si="4">IF(AND($C$7="Y",B16&lt;=C$4),E16+F15,0)</f>
        <v>0</v>
      </c>
      <c r="G16" s="56">
        <f>IF(AND(C$7="Y",$B16&lt;=$C$4),C$6,0)</f>
        <v>0</v>
      </c>
      <c r="H16" s="51">
        <f>IF(AND($B16&lt;=$C$4,C$7="Y"),0,IF(AND(C$7="N",C$4&gt;0,B16&lt;=C$4),0,(D15-L16+N16)*C$2/12/(1-(1/(1+C$2/12))^(C$3+C$4-B16+1))))</f>
        <v>1871059.3312878045</v>
      </c>
      <c r="I16" s="52">
        <f>IF(AND(C$7="Y",$B16&lt;=C$4),0,IF(AND(C$7="Y",$B16&gt;C$4),(1-U16)*C$2*D15/12,IF(AND($C$7="N",C$4&gt;0),(1-U16)*D15*C$2/12, (1-U16)*D15*C$2/12)))</f>
        <v>407045.06675988738</v>
      </c>
      <c r="J16" s="52">
        <f>IF(AND($B16&lt;=$C$4,C$7="Y"),0,IF(AND(C$7="N",C$4&gt;0,B16&lt;=C$4),0,H16-I16))</f>
        <v>1464014.2645279171</v>
      </c>
      <c r="K16" s="51">
        <f>IF(AND(C$7="Y",$B16&lt;=$C$4),0,IF(AND(C$7="N",C$4&gt;0,B16&lt;=C$4),0,S16*(C16-J16-L16)))</f>
        <v>0</v>
      </c>
      <c r="L16" s="51">
        <f>IF(AND(C$7="Y",$B16&lt;=$C$4),0,IF(AND(C$7="N",C$4&gt;0,B16&lt;=C$4),0,U16*D15))</f>
        <v>418467.36870096641</v>
      </c>
      <c r="M16" s="55">
        <f>IFERROR(L12*-1,0)</f>
        <v>-416666.66666666669</v>
      </c>
      <c r="N16" s="55">
        <f>IFERROR((1-$N$12)*K8,0)</f>
        <v>0</v>
      </c>
      <c r="O16" s="97">
        <f>K16+I16+J16-L16+N16+G16</f>
        <v>1452591.9625868381</v>
      </c>
      <c r="P16" s="58">
        <f>O16*(1/((1+P$12)^(B16/12)))</f>
        <v>1452591.9625868381</v>
      </c>
      <c r="Q16" s="98"/>
      <c r="R16" s="98">
        <f t="shared" ref="R16:R79" si="5">R$12</f>
        <v>0</v>
      </c>
      <c r="S16" s="99">
        <f t="shared" ref="S16:S79" si="6">1-(1-R16)^(1/12)</f>
        <v>0</v>
      </c>
      <c r="T16" s="98">
        <f t="shared" ref="T16:T79" si="7">T$12</f>
        <v>0.05</v>
      </c>
      <c r="U16" s="99">
        <f>1-(1-T16)^(1/12)</f>
        <v>4.2653187775606449E-3</v>
      </c>
      <c r="V16" s="100">
        <v>419512.21</v>
      </c>
      <c r="W16" s="55">
        <f>V16/U16</f>
        <v>98354245.456870854</v>
      </c>
    </row>
    <row r="17" spans="1:21" x14ac:dyDescent="0.2">
      <c r="A17" s="62">
        <f t="shared" si="1"/>
        <v>0.94352519955670433</v>
      </c>
      <c r="B17" s="45">
        <f t="shared" si="2"/>
        <v>3</v>
      </c>
      <c r="C17" s="51">
        <f>IF(B17&lt;C$4,C$1,D16-L17+N17)</f>
        <v>95816363.773402721</v>
      </c>
      <c r="D17" s="47" cm="1">
        <f t="array" ref="D17">_xlfn.IFS(AND($C$7="Y",B17&lt;C$4),C17,AND($C$7="Y",B17=C$4),D16+F17-J17-K17-L17+N17,AND($C$7="Y",B17&gt;$C$4),D16-J17-K17-L17+N17, TRUE, D16-J17-K17-L17+N17)</f>
        <v>94352519.955670431</v>
      </c>
      <c r="E17" s="48">
        <f t="shared" si="3"/>
        <v>0</v>
      </c>
      <c r="F17" s="50">
        <f t="shared" si="4"/>
        <v>0</v>
      </c>
      <c r="G17" s="50">
        <f>IF(AND(C$7="Y",$B17&lt;=$C$4),C$6,0)</f>
        <v>0</v>
      </c>
      <c r="H17" s="51">
        <f>IF(AND($B17&lt;=$C$4,C$7="Y"),0,IF(AND(C$7="N",C$4&gt;0,B17&lt;=C$4),0,(D16-L17+N17)*C$2/12/(1-(1/(1+C$2/12))^(C$3+C$4-B17+1))))</f>
        <v>1863078.6667881322</v>
      </c>
      <c r="I17" s="52">
        <f>IF(AND(C$7="Y",$B17&lt;=C$4),0,IF(AND(C$7="Y",$B17&gt;C$4),(1-U17)*C$2*D16/12,IF(AND($C$7="N",C$4&gt;0),(1-U17)*D16*C$2/12, (1-U17)*D16*C$2/12)))</f>
        <v>399234.84905584465</v>
      </c>
      <c r="J17" s="52">
        <f>IF(AND($B17&lt;=$C$4,C$7="Y"),0,IF(AND(C$7="N",C$4&gt;0,B17&lt;=C$4),0,H17-I17))</f>
        <v>1463843.8177322876</v>
      </c>
      <c r="K17" s="51">
        <f>IF(AND(C$7="Y",$B17&lt;=$C$4),0,IF(AND(C$7="N",C$4&gt;0,B17&lt;=C$4),0,S17*(C17-J17)))</f>
        <v>0</v>
      </c>
      <c r="L17" s="49">
        <f>IF(AND(C$7="Y",$B17&lt;=$C$4),0,IF(AND(C$7="N",C$4&gt;0,B17&lt;=C$4),0,U17*D16))</f>
        <v>410437.98444234219</v>
      </c>
      <c r="M17" s="55">
        <f t="shared" ref="M17" si="8">IFERROR(L13*-1,0)</f>
        <v>0</v>
      </c>
      <c r="N17" s="49">
        <f t="shared" ref="N17:N24" si="9">IFERROR((1-$N$12)*L13,0)</f>
        <v>0</v>
      </c>
      <c r="O17" s="48">
        <f>K17+I17+J17-L17+N17+G17</f>
        <v>1452640.6823457899</v>
      </c>
      <c r="P17" s="38">
        <f>O17*(1/((1+P$12)^(B17/12)))</f>
        <v>1452640.6823457899</v>
      </c>
      <c r="Q17" s="53"/>
      <c r="R17" s="53">
        <f t="shared" si="5"/>
        <v>0</v>
      </c>
      <c r="S17" s="53">
        <f t="shared" si="6"/>
        <v>0</v>
      </c>
      <c r="T17" s="53">
        <f t="shared" si="7"/>
        <v>0.05</v>
      </c>
      <c r="U17" s="53">
        <f t="shared" ref="U17:U80" si="10">1-(1-T17)^(1/12)</f>
        <v>4.2653187775606449E-3</v>
      </c>
    </row>
    <row r="18" spans="1:21" s="119" customFormat="1" x14ac:dyDescent="0.2">
      <c r="A18" s="111">
        <f t="shared" si="1"/>
        <v>0.92494349614234062</v>
      </c>
      <c r="B18" s="112">
        <f t="shared" si="2"/>
        <v>4</v>
      </c>
      <c r="C18" s="113">
        <f>IF(B18&lt;C$4,C$1,D17-L18+N18)</f>
        <v>93950076.380593345</v>
      </c>
      <c r="D18" s="114" cm="1">
        <f t="array" ref="D18">_xlfn.IFS(AND($C$7="Y",B18&lt;C$4),C18,AND($C$7="Y",B18=C$4),D17+F18-J18-K18-L18+N18,AND($C$7="Y",B18&gt;$C$4),D17-J18-K18-L18+N18, TRUE, D17-J18-K18-L18+N18)</f>
        <v>92494349.61423406</v>
      </c>
      <c r="E18" s="115">
        <f t="shared" si="3"/>
        <v>0</v>
      </c>
      <c r="F18" s="116">
        <f t="shared" si="4"/>
        <v>0</v>
      </c>
      <c r="G18" s="116">
        <f t="shared" ref="G18:G81" si="11">IF($B18&lt;=$C$4,C$6,0)</f>
        <v>0</v>
      </c>
      <c r="H18" s="113">
        <f>IF(AND($B18&lt;=$C$4,C$7="Y"),0,IF(AND(C$7="N",C$4&gt;0,B18&lt;=C$4),0,(C18-L18+N18)*C$2/12/(1-(1/(1+C$2/12))^(C$3+C$4-B18+1))))</f>
        <v>1847185.4179450842</v>
      </c>
      <c r="I18" s="117">
        <f>IF(AND(C$7="Y",$B18&lt;=C$4),0,IF(AND(C$7="Y",$B18&gt;C$4),(1-U18)*C$2*D17/12,IF(AND($C$7="N",C$4&gt;0),(1-U18)*D17*C$2/12, (1-U18)*D17*C$2/12)))</f>
        <v>391458.65158580564</v>
      </c>
      <c r="J18" s="117">
        <f>IF(AND($B18&lt;=$C$4,C$7="Y"),0,IF(AND(C$7="N",C$4&gt;0,B18&lt;=C$4),0,H18-I18))</f>
        <v>1455726.7663592785</v>
      </c>
      <c r="K18" s="113">
        <f>IF(AND(C$7="Y",$B18&lt;=$C$4),0,IF(AND(C$7="N",C$4&gt;0,B18&lt;=C$4),0,S18*(C18-J18)))</f>
        <v>0</v>
      </c>
      <c r="L18" s="113">
        <f>IF(AND(C$7="Y",$B18&lt;=$C$4),0,IF(AND(C$7="N",C$4&gt;0,B18&lt;=C$4),0,U18*D17))</f>
        <v>402443.57507708657</v>
      </c>
      <c r="M18" s="113">
        <f>IFERROR(L14*-1,0)</f>
        <v>0</v>
      </c>
      <c r="N18" s="113">
        <f>IFERROR((1-$N$12)*L14,0)</f>
        <v>0</v>
      </c>
      <c r="O18" s="115">
        <f>K18+I18+J18-L18+N18+G18</f>
        <v>1444741.8428679975</v>
      </c>
      <c r="P18" s="109">
        <f>O18*(1/((1+P$12)^(B18/12)))</f>
        <v>1444741.8428679975</v>
      </c>
      <c r="Q18" s="118"/>
      <c r="R18" s="118">
        <f t="shared" si="5"/>
        <v>0</v>
      </c>
      <c r="S18" s="118">
        <f t="shared" si="6"/>
        <v>0</v>
      </c>
      <c r="T18" s="118">
        <f t="shared" si="7"/>
        <v>0.05</v>
      </c>
      <c r="U18" s="118">
        <f t="shared" si="10"/>
        <v>4.2653187775606449E-3</v>
      </c>
    </row>
    <row r="19" spans="1:21" x14ac:dyDescent="0.2">
      <c r="A19" s="62">
        <f t="shared" si="1"/>
        <v>0.90636202997109805</v>
      </c>
      <c r="B19" s="45">
        <f t="shared" si="2"/>
        <v>5</v>
      </c>
      <c r="C19" s="51">
        <f>IF(B19&lt;C$4,C$1,D18-L19+N19)</f>
        <v>92099831.728006214</v>
      </c>
      <c r="D19" s="47" cm="1">
        <f t="array" ref="D19">_xlfn.IFS(AND($C$7="Y",B19&lt;C$4),C19,AND($C$7="Y",B19=C$4),D18+F19-J19-K19-L19+N19,AND($C$7="Y",B19&gt;$C$4),D18-J19-K19-L19+N19, TRUE, D18-J19-K19-L19+N19)</f>
        <v>90636202.997109801</v>
      </c>
      <c r="E19" s="48">
        <f t="shared" si="3"/>
        <v>0</v>
      </c>
      <c r="F19" s="50">
        <f t="shared" si="4"/>
        <v>0</v>
      </c>
      <c r="G19" s="50">
        <f t="shared" si="11"/>
        <v>0</v>
      </c>
      <c r="H19" s="51">
        <f>IF(AND($B19&lt;=$C$4,C$7="Y"),0,IF(AND(C$7="N",C$4&gt;0,B19&lt;=C$4),0,(D18-L19+N19)*C$2/12/(1-(1/(1+C$2/12))^(C$3+C$4-B19+1))))</f>
        <v>1847378.0297631114</v>
      </c>
      <c r="I19" s="52">
        <f>IF(AND(C$7="Y",$B19&lt;=C$4),0,IF(AND(C$7="Y",$B19&gt;C$4),(1-U19)*C$2*D18/12,IF(AND($C$7="N",C$4&gt;0),(1-U19)*D18*C$2/12, (1-U19)*D18*C$2/12)))</f>
        <v>383749.29886669252</v>
      </c>
      <c r="J19" s="52">
        <f>IF(AND($B19&lt;=$C$4,C$7="Y"),0,IF(AND(C$7="N",C$4&gt;0,B19&lt;=C$4),0,H19-I19))</f>
        <v>1463628.7308964189</v>
      </c>
      <c r="K19" s="51">
        <f>IF(AND(C$7="Y",$B19&lt;=$C$4),0,IF(AND(C$7="N",C$4&gt;0,B19&lt;=C$4),0,S19*(C19-J19)))</f>
        <v>0</v>
      </c>
      <c r="L19" s="49">
        <f>IF(AND(C$7="Y",$B19&lt;=$C$4),0,IF(AND(C$7="N",C$4&gt;0,B19&lt;=C$4),0,U19*D18))</f>
        <v>394517.88622785173</v>
      </c>
      <c r="M19" s="49">
        <f>IFERROR(L15*-1,0)</f>
        <v>-426531.87775606447</v>
      </c>
      <c r="N19" s="49">
        <f>IFERROR((1-$N$12)*L15,0)</f>
        <v>0</v>
      </c>
      <c r="O19" s="48">
        <f>K19+I19+J19-L19+N19+G19</f>
        <v>1452860.1435352596</v>
      </c>
      <c r="P19" s="38">
        <f>O19*(1/((1+P$12)^(B19/12)))</f>
        <v>1452860.1435352596</v>
      </c>
      <c r="Q19" s="53"/>
      <c r="R19" s="53">
        <f t="shared" si="5"/>
        <v>0</v>
      </c>
      <c r="S19" s="53">
        <f t="shared" si="6"/>
        <v>0</v>
      </c>
      <c r="T19" s="53">
        <f t="shared" si="7"/>
        <v>0.05</v>
      </c>
      <c r="U19" s="53">
        <f t="shared" si="10"/>
        <v>4.2653187775606449E-3</v>
      </c>
    </row>
    <row r="20" spans="1:21" x14ac:dyDescent="0.2">
      <c r="A20" s="62">
        <f t="shared" si="1"/>
        <v>0.88786152369553184</v>
      </c>
      <c r="B20" s="45">
        <f t="shared" si="2"/>
        <v>6</v>
      </c>
      <c r="C20" s="51">
        <f>IF(B20&lt;C$4,C$1,D19-L20+N20)</f>
        <v>90249610.698539436</v>
      </c>
      <c r="D20" s="47" cm="1">
        <f t="array" ref="D20">_xlfn.IFS(AND($C$7="Y",B20&lt;C$4),C20,AND($C$7="Y",B20=C$4),D19+F20-J20-K20-L20+N20,AND($C$7="Y",B20&gt;$C$4),D19-J20-K20-L20+N20, TRUE, D19-J20-K20-L20+N20)</f>
        <v>88786152.369553179</v>
      </c>
      <c r="E20" s="48">
        <f t="shared" si="3"/>
        <v>0</v>
      </c>
      <c r="F20" s="50">
        <f t="shared" si="4"/>
        <v>0</v>
      </c>
      <c r="G20" s="50">
        <f t="shared" si="11"/>
        <v>0</v>
      </c>
      <c r="H20" s="51">
        <f>IF(AND($B20&lt;=$C$4,C$7="Y"),0,IF(AND(C$7="N",C$4&gt;0,B20&lt;=C$4),0,(D19-L20+N20)*C$2/12/(1-(1/(1+C$2/12))^(C$3+C$4-B20+1))))</f>
        <v>1839498.3735635099</v>
      </c>
      <c r="I20" s="52">
        <f>IF(AND(C$7="Y",$B20&lt;=C$4),0,IF(AND(C$7="Y",$B20&gt;C$4),(1-U20)*C$2*D19/12,IF(AND($C$7="N",C$4&gt;0),(1-U20)*D19*C$2/12, (1-U20)*D19*C$2/12)))</f>
        <v>376040.0445772477</v>
      </c>
      <c r="J20" s="52">
        <f>IF(AND($B20&lt;=$C$4,C$7="Y"),0,IF(AND(C$7="N",C$4&gt;0,B20&lt;=C$4),0,H20-I20))</f>
        <v>1463458.3289862622</v>
      </c>
      <c r="K20" s="51">
        <f>IF(AND(C$7="Y",$B20&lt;=$C$4),0,IF(AND(C$7="N",C$4&gt;0,B20&lt;=C$4),0,S20*(C20-J20)))</f>
        <v>0</v>
      </c>
      <c r="L20" s="49">
        <f>IF(AND(C$7="Y",$B20&lt;=$C$4),0,IF(AND(C$7="N",C$4&gt;0,B20&lt;=C$4),0,U20*D19))</f>
        <v>386592.29857037083</v>
      </c>
      <c r="M20" s="49">
        <f t="shared" ref="M20:M23" si="12">IFERROR(L16*-1,0)</f>
        <v>-418467.36870096641</v>
      </c>
      <c r="N20" s="49">
        <f>IFERROR((1-$N$12)*L16,0)</f>
        <v>0</v>
      </c>
      <c r="O20" s="48">
        <f>K20+I20+J20-L20+N20+G20</f>
        <v>1452906.0749931391</v>
      </c>
      <c r="P20" s="38">
        <f>O20*(1/((1+P$12)^(B20/12)))</f>
        <v>1452906.0749931391</v>
      </c>
      <c r="Q20" s="53"/>
      <c r="R20" s="53">
        <f t="shared" si="5"/>
        <v>0</v>
      </c>
      <c r="S20" s="53">
        <f t="shared" si="6"/>
        <v>0</v>
      </c>
      <c r="T20" s="53">
        <f t="shared" si="7"/>
        <v>0.05</v>
      </c>
      <c r="U20" s="53">
        <f t="shared" si="10"/>
        <v>4.2653187775606449E-3</v>
      </c>
    </row>
    <row r="21" spans="1:21" x14ac:dyDescent="0.2">
      <c r="A21" s="62">
        <f t="shared" si="1"/>
        <v>0.86944163179748934</v>
      </c>
      <c r="B21" s="45">
        <f t="shared" si="2"/>
        <v>7</v>
      </c>
      <c r="C21" s="51">
        <f>IF(B21&lt;C$4,C$1,D20-L21+N21)</f>
        <v>88407451.126663968</v>
      </c>
      <c r="D21" s="47" cm="1">
        <f t="array" ref="D21">_xlfn.IFS(AND($C$7="Y",B21&lt;C$4),C21,AND($C$7="Y",B21=C$4),D20+F21-J21-K21-L21+N21,AND($C$7="Y",B21&gt;$C$4),D20-J21-K21-L21+N21, TRUE, D20-J21-K21-L21+N21)</f>
        <v>86944163.179748937</v>
      </c>
      <c r="E21" s="48">
        <f t="shared" si="3"/>
        <v>0</v>
      </c>
      <c r="F21" s="50">
        <f t="shared" si="4"/>
        <v>0</v>
      </c>
      <c r="G21" s="50">
        <f t="shared" si="11"/>
        <v>0</v>
      </c>
      <c r="H21" s="51">
        <f>IF(AND($B21&lt;=$C$4,C$7="Y"),0,IF(AND(C$7="N",C$4&gt;0,B21&lt;=C$4),0,(D20-L21+N21)*C$2/12/(1-(1/(1+C$2/12))^(C$3+C$4-B21+1))))</f>
        <v>1831652.3266094578</v>
      </c>
      <c r="I21" s="52">
        <f>IF(AND(C$7="Y",$B21&lt;=C$4),0,IF(AND(C$7="Y",$B21&gt;C$4),(1-U21)*C$2*D20/12,IF(AND($C$7="N",C$4&gt;0),(1-U21)*D20*C$2/12, (1-U21)*D20*C$2/12)))</f>
        <v>368364.37969443318</v>
      </c>
      <c r="J21" s="52">
        <f>IF(AND($B21&lt;=$C$4,C$7="Y"),0,IF(AND(C$7="N",C$4&gt;0,B21&lt;=C$4),0,H21-I21))</f>
        <v>1463287.9469150247</v>
      </c>
      <c r="K21" s="51">
        <f>IF(AND(C$7="Y",$B21&lt;=$C$4),0,IF(AND(C$7="N",C$4&gt;0,B21&lt;=C$4),0,S21*(C21-J21)))</f>
        <v>0</v>
      </c>
      <c r="L21" s="49">
        <f>IF(AND(C$7="Y",$B21&lt;=$C$4),0,IF(AND(C$7="N",C$4&gt;0,B21&lt;=C$4),0,U21*D20))</f>
        <v>378701.2428892157</v>
      </c>
      <c r="M21" s="49">
        <f>IFERROR(L17*-1,0)</f>
        <v>-410437.98444234219</v>
      </c>
      <c r="N21" s="49">
        <f t="shared" ref="N21:N28" si="13">IFERROR((1-$N$12)*L17,0)</f>
        <v>0</v>
      </c>
      <c r="O21" s="48">
        <f>K21+I21+J21-L21+N21+G21</f>
        <v>1452951.0837202421</v>
      </c>
      <c r="P21" s="38">
        <f>O21*(1/((1+P$12)^(B21/12)))</f>
        <v>1452951.0837202421</v>
      </c>
      <c r="Q21" s="53"/>
      <c r="R21" s="53">
        <f t="shared" si="5"/>
        <v>0</v>
      </c>
      <c r="S21" s="53">
        <f t="shared" si="6"/>
        <v>0</v>
      </c>
      <c r="T21" s="53">
        <f t="shared" si="7"/>
        <v>0.05</v>
      </c>
      <c r="U21" s="53">
        <f t="shared" si="10"/>
        <v>4.2653187775606449E-3</v>
      </c>
    </row>
    <row r="22" spans="1:21" x14ac:dyDescent="0.2">
      <c r="A22" s="62">
        <f t="shared" si="1"/>
        <v>0.85110201023258669</v>
      </c>
      <c r="B22" s="45">
        <f t="shared" si="2"/>
        <v>8</v>
      </c>
      <c r="C22" s="51">
        <f>IF(B22&lt;C$4,C$1,D21-L22+N22)</f>
        <v>86573318.607939065</v>
      </c>
      <c r="D22" s="47" cm="1">
        <f t="array" ref="D22">_xlfn.IFS(AND($C$7="Y",B22&lt;C$4),C22,AND($C$7="Y",B22=C$4),D21+F22-J22-K22-L22+N22,AND($C$7="Y",B22&gt;$C$4),D21-J22-K22-L22+N22, TRUE, D21-J22-K22-L22+N22)</f>
        <v>85110201.023258671</v>
      </c>
      <c r="E22" s="48">
        <f t="shared" si="3"/>
        <v>0</v>
      </c>
      <c r="F22" s="50">
        <f t="shared" si="4"/>
        <v>0</v>
      </c>
      <c r="G22" s="50">
        <f t="shared" si="11"/>
        <v>0</v>
      </c>
      <c r="H22" s="51">
        <f>IF(AND($B22&lt;=$C$4,C$7="Y"),0,IF(AND(C$7="N",C$4&gt;0,B22&lt;=C$4),0,(D21-L22+N22)*C$2/12/(1-(1/(1+C$2/12))^(C$3+C$4-B22+1))))</f>
        <v>1823839.745546808</v>
      </c>
      <c r="I22" s="52">
        <f>IF(AND(C$7="Y",$B22&lt;=C$4),0,IF(AND(C$7="Y",$B22&gt;C$4),(1-U22)*C$2*D21/12,IF(AND($C$7="N",C$4&gt;0),(1-U22)*D21*C$2/12, (1-U22)*D21*C$2/12)))</f>
        <v>360722.1608664128</v>
      </c>
      <c r="J22" s="52">
        <f>IF(AND($B22&lt;=$C$4,C$7="Y"),0,IF(AND(C$7="N",C$4&gt;0,B22&lt;=C$4),0,H22-I22))</f>
        <v>1463117.5846803952</v>
      </c>
      <c r="K22" s="51">
        <f>IF(AND(C$7="Y",$B22&lt;=$C$4),0,IF(AND(C$7="N",C$4&gt;0,B22&lt;=C$4),0,S22*(C22-J22)))</f>
        <v>0</v>
      </c>
      <c r="L22" s="49">
        <f>IF(AND(C$7="Y",$B22&lt;=$C$4),0,IF(AND(C$7="N",C$4&gt;0,B22&lt;=C$4),0,U22*D21))</f>
        <v>370844.57180987997</v>
      </c>
      <c r="M22" s="49">
        <f t="shared" ref="M22:M25" si="14">IFERROR(L18*-1,0)</f>
        <v>-402443.57507708657</v>
      </c>
      <c r="N22" s="49">
        <f t="shared" si="13"/>
        <v>0</v>
      </c>
      <c r="O22" s="48">
        <f>K22+I22+J22-L22+N22+G22</f>
        <v>1452995.173736928</v>
      </c>
      <c r="P22" s="38">
        <f>O22*(1/((1+P$12)^(B22/12)))</f>
        <v>1452995.173736928</v>
      </c>
      <c r="Q22" s="53"/>
      <c r="R22" s="53">
        <f t="shared" si="5"/>
        <v>0</v>
      </c>
      <c r="S22" s="53">
        <f t="shared" si="6"/>
        <v>0</v>
      </c>
      <c r="T22" s="53">
        <f t="shared" si="7"/>
        <v>0.05</v>
      </c>
      <c r="U22" s="53">
        <f t="shared" si="10"/>
        <v>4.2653187775606449E-3</v>
      </c>
    </row>
    <row r="23" spans="1:21" x14ac:dyDescent="0.2">
      <c r="A23" s="62">
        <f t="shared" si="1"/>
        <v>0.83284231642392148</v>
      </c>
      <c r="B23" s="45">
        <f t="shared" si="2"/>
        <v>9</v>
      </c>
      <c r="C23" s="51">
        <f>IF(B23&lt;C$4,C$1,D22-L23+N23)</f>
        <v>84747178.88467221</v>
      </c>
      <c r="D23" s="47" cm="1">
        <f t="array" ref="D23">_xlfn.IFS(AND($C$7="Y",B23&lt;C$4),C23,AND($C$7="Y",B23=C$4),D22+F23-J23-K23-L23+N23,AND($C$7="Y",B23&gt;$C$4),D22-J23-K23-L23+N23, TRUE, D22-J23-K23-L23+N23)</f>
        <v>83284231.642392144</v>
      </c>
      <c r="E23" s="48">
        <f t="shared" si="3"/>
        <v>0</v>
      </c>
      <c r="F23" s="50">
        <f t="shared" si="4"/>
        <v>0</v>
      </c>
      <c r="G23" s="50">
        <f t="shared" si="11"/>
        <v>0</v>
      </c>
      <c r="H23" s="51">
        <f>IF(AND($B23&lt;=$C$4,C$7="Y"),0,IF(AND(C$7="N",C$4&gt;0,B23&lt;=C$4),0,(D22-L23+N23)*C$2/12/(1-(1/(1+C$2/12))^(C$3+C$4-B23+1))))</f>
        <v>1816060.4876328644</v>
      </c>
      <c r="I23" s="52">
        <f>IF(AND(C$7="Y",$B23&lt;=C$4),0,IF(AND(C$7="Y",$B23&gt;C$4),(1-U23)*C$2*D22/12,IF(AND($C$7="N",C$4&gt;0),(1-U23)*D22*C$2/12, (1-U23)*D22*C$2/12)))</f>
        <v>353113.24535280088</v>
      </c>
      <c r="J23" s="52">
        <f>IF(AND($B23&lt;=$C$4,C$7="Y"),0,IF(AND(C$7="N",C$4&gt;0,B23&lt;=C$4),0,H23-I23))</f>
        <v>1462947.2422800635</v>
      </c>
      <c r="K23" s="51">
        <f>IF(AND(C$7="Y",$B23&lt;=$C$4),0,IF(AND(C$7="N",C$4&gt;0,B23&lt;=C$4),0,S23*(C23-J23)))</f>
        <v>0</v>
      </c>
      <c r="L23" s="49">
        <f>IF(AND(C$7="Y",$B23&lt;=$C$4),0,IF(AND(C$7="N",C$4&gt;0,B23&lt;=C$4),0,U23*D22))</f>
        <v>363022.13858646643</v>
      </c>
      <c r="M23" s="49">
        <f t="shared" si="14"/>
        <v>-394517.88622785173</v>
      </c>
      <c r="N23" s="49">
        <f t="shared" si="13"/>
        <v>0</v>
      </c>
      <c r="O23" s="48">
        <f>K23+I23+J23-L23+N23+G23</f>
        <v>1453038.349046398</v>
      </c>
      <c r="P23" s="38">
        <f>O23*(1/((1+P$12)^(B23/12)))</f>
        <v>1453038.349046398</v>
      </c>
      <c r="Q23" s="53"/>
      <c r="R23" s="53">
        <f t="shared" si="5"/>
        <v>0</v>
      </c>
      <c r="S23" s="53">
        <f t="shared" si="6"/>
        <v>0</v>
      </c>
      <c r="T23" s="53">
        <f t="shared" si="7"/>
        <v>0.05</v>
      </c>
      <c r="U23" s="53">
        <f t="shared" si="10"/>
        <v>4.2653187775606449E-3</v>
      </c>
    </row>
    <row r="24" spans="1:21" x14ac:dyDescent="0.2">
      <c r="A24" s="62">
        <f t="shared" si="1"/>
        <v>0.81466220925581412</v>
      </c>
      <c r="B24" s="45">
        <f t="shared" si="2"/>
        <v>10</v>
      </c>
      <c r="C24" s="51">
        <f>IF(B24&lt;C$4,C$1,D23-L24+N24)</f>
        <v>82928997.845293134</v>
      </c>
      <c r="D24" s="47" cm="1">
        <f t="array" ref="D24">_xlfn.IFS(AND($C$7="Y",B24&lt;C$4),C24,AND($C$7="Y",B24=C$4),D23+F24-J24-K24-L24+N24,AND($C$7="Y",B24&gt;$C$4),D23-J24-K24-L24+N24, TRUE, D23-J24-K24-L24+N24)</f>
        <v>81466220.925581411</v>
      </c>
      <c r="E24" s="48">
        <f t="shared" si="3"/>
        <v>0</v>
      </c>
      <c r="F24" s="50">
        <f t="shared" si="4"/>
        <v>0</v>
      </c>
      <c r="G24" s="50">
        <f t="shared" si="11"/>
        <v>0</v>
      </c>
      <c r="H24" s="51">
        <f>IF(AND($B24&lt;=$C$4,C$7="Y"),0,IF(AND(C$7="N",C$4&gt;0,B24&lt;=C$4),0,(D23-L24+N24)*C$2/12/(1-(1/(1+C$2/12))^(C$3+C$4-B24+1))))</f>
        <v>1808314.4107337783</v>
      </c>
      <c r="I24" s="52">
        <f>IF(AND(C$7="Y",$B24&lt;=C$4),0,IF(AND(C$7="Y",$B24&gt;C$4),(1-U24)*C$2*D23/12,IF(AND($C$7="N",C$4&gt;0),(1-U24)*D23*C$2/12, (1-U24)*D23*C$2/12)))</f>
        <v>345537.49102205475</v>
      </c>
      <c r="J24" s="52">
        <f>IF(AND($B24&lt;=$C$4,C$7="Y"),0,IF(AND(C$7="N",C$4&gt;0,B24&lt;=C$4),0,H24-I24))</f>
        <v>1462776.9197117235</v>
      </c>
      <c r="K24" s="51">
        <f>IF(AND(C$7="Y",$B24&lt;=$C$4),0,IF(AND(C$7="N",C$4&gt;0,B24&lt;=C$4),0,S24*(C24-J24)))</f>
        <v>0</v>
      </c>
      <c r="L24" s="49">
        <f>IF(AND(C$7="Y",$B24&lt;=$C$4),0,IF(AND(C$7="N",C$4&gt;0,B24&lt;=C$4),0,U24*D23))</f>
        <v>355233.79709900566</v>
      </c>
      <c r="M24" s="49">
        <f>IFERROR(L20*-1,0)</f>
        <v>-386592.29857037083</v>
      </c>
      <c r="N24" s="49">
        <f t="shared" si="13"/>
        <v>0</v>
      </c>
      <c r="O24" s="48">
        <f>K24+I24+J24-L24+N24+G24</f>
        <v>1453080.6136347726</v>
      </c>
      <c r="P24" s="38">
        <f>O24*(1/((1+P$12)^(B24/12)))</f>
        <v>1453080.6136347726</v>
      </c>
      <c r="Q24" s="53"/>
      <c r="R24" s="53">
        <f t="shared" si="5"/>
        <v>0</v>
      </c>
      <c r="S24" s="53">
        <f t="shared" si="6"/>
        <v>0</v>
      </c>
      <c r="T24" s="53">
        <f t="shared" si="7"/>
        <v>0.05</v>
      </c>
      <c r="U24" s="53">
        <f t="shared" si="10"/>
        <v>4.2653187775606449E-3</v>
      </c>
    </row>
    <row r="25" spans="1:21" x14ac:dyDescent="0.2">
      <c r="A25" s="62">
        <f t="shared" si="1"/>
        <v>0.79656134906757559</v>
      </c>
      <c r="B25" s="45">
        <f t="shared" si="2"/>
        <v>11</v>
      </c>
      <c r="C25" s="51">
        <f>IF(B25&lt;C$4,C$1,D24-L25+N25)</f>
        <v>81118741.523730621</v>
      </c>
      <c r="D25" s="47" cm="1">
        <f t="array" ref="D25">_xlfn.IFS(AND($C$7="Y",B25&lt;C$4),C25,AND($C$7="Y",B25=C$4),D24+F25-J25-K25-L25+N25,AND($C$7="Y",B25&gt;$C$4),D24-J25-K25-L25+N25, TRUE, D24-J25-K25-L25+N25)</f>
        <v>79656134.906757563</v>
      </c>
      <c r="E25" s="48">
        <f t="shared" si="3"/>
        <v>0</v>
      </c>
      <c r="F25" s="50">
        <f t="shared" si="4"/>
        <v>0</v>
      </c>
      <c r="G25" s="50">
        <f t="shared" si="11"/>
        <v>0</v>
      </c>
      <c r="H25" s="51">
        <f>IF(AND($B25&lt;=$C$4,C$7="Y"),0,IF(AND(C$7="N",C$4&gt;0,B25&lt;=C$4),0,(D24-L25+N25)*C$2/12/(1-(1/(1+C$2/12))^(C$3+C$4-B25+1))))</f>
        <v>1800601.3733219418</v>
      </c>
      <c r="I25" s="52">
        <f>IF(AND(C$7="Y",$B25&lt;=C$4),0,IF(AND(C$7="Y",$B25&gt;C$4),(1-U25)*C$2*D24/12,IF(AND($C$7="N",C$4&gt;0),(1-U25)*D24*C$2/12, (1-U25)*D24*C$2/12)))</f>
        <v>337994.75634887762</v>
      </c>
      <c r="J25" s="52">
        <f>IF(AND($B25&lt;=$C$4,C$7="Y"),0,IF(AND(C$7="N",C$4&gt;0,B25&lt;=C$4),0,H25-I25))</f>
        <v>1462606.6169730641</v>
      </c>
      <c r="K25" s="51">
        <f>IF(AND(C$7="Y",$B25&lt;=$C$4),0,IF(AND(C$7="N",C$4&gt;0,B25&lt;=C$4),0,S25*(C25-J25)))</f>
        <v>0</v>
      </c>
      <c r="L25" s="49">
        <f>IF(AND(C$7="Y",$B25&lt;=$C$4),0,IF(AND(C$7="N",C$4&gt;0,B25&lt;=C$4),0,U25*D24))</f>
        <v>347479.40185078635</v>
      </c>
      <c r="M25" s="49">
        <f t="shared" ref="M25:M28" si="15">IFERROR(L21*-1,0)</f>
        <v>-378701.2428892157</v>
      </c>
      <c r="N25" s="49">
        <f>IFERROR((1-$N$12)*L21,0)</f>
        <v>0</v>
      </c>
      <c r="O25" s="48">
        <f>K25+I25+J25-L25+N25+G25</f>
        <v>1453121.9714711555</v>
      </c>
      <c r="P25" s="38">
        <f>O25*(1/((1+P$12)^(B25/12)))</f>
        <v>1453121.9714711555</v>
      </c>
      <c r="Q25" s="53"/>
      <c r="R25" s="53">
        <f t="shared" si="5"/>
        <v>0</v>
      </c>
      <c r="S25" s="53">
        <f t="shared" si="6"/>
        <v>0</v>
      </c>
      <c r="T25" s="53">
        <f t="shared" si="7"/>
        <v>0.05</v>
      </c>
      <c r="U25" s="53">
        <f t="shared" si="10"/>
        <v>4.2653187775606449E-3</v>
      </c>
    </row>
    <row r="26" spans="1:21" x14ac:dyDescent="0.2">
      <c r="A26" s="62">
        <f t="shared" si="1"/>
        <v>0.77853939764730096</v>
      </c>
      <c r="B26" s="45">
        <f t="shared" si="2"/>
        <v>12</v>
      </c>
      <c r="C26" s="51">
        <f>IF(B26&lt;C$4,C$1,D25-L26+N26)</f>
        <v>79316376.098791867</v>
      </c>
      <c r="D26" s="47" cm="1">
        <f t="array" ref="D26">_xlfn.IFS(AND($C$7="Y",B26&lt;C$4),C26,AND($C$7="Y",B26=C$4),D25+F26-J26-K26-L26+N26,AND($C$7="Y",B26&gt;$C$4),D25-J26-K26-L26+N26, TRUE, D25-J26-K26-L26+N26)</f>
        <v>77853939.764730096</v>
      </c>
      <c r="E26" s="48">
        <f t="shared" si="3"/>
        <v>0</v>
      </c>
      <c r="F26" s="50">
        <f t="shared" si="4"/>
        <v>0</v>
      </c>
      <c r="G26" s="50">
        <f t="shared" si="11"/>
        <v>0</v>
      </c>
      <c r="H26" s="51">
        <f>IF(AND($B26&lt;=$C$4,C$7="Y"),0,IF(AND(C$7="N",C$4&gt;0,B26&lt;=C$4),0,(D25-L26+N26)*C$2/12/(1-(1/(1+C$2/12))^(C$3+C$4-B26+1))))</f>
        <v>1792921.2344734103</v>
      </c>
      <c r="I26" s="52">
        <f>IF(AND(C$7="Y",$B26&lt;=C$4),0,IF(AND(C$7="Y",$B26&gt;C$4),(1-U26)*C$2*D25/12,IF(AND($C$7="N",C$4&gt;0),(1-U26)*D25*C$2/12, (1-U26)*D25*C$2/12)))</f>
        <v>330484.90041163279</v>
      </c>
      <c r="J26" s="52">
        <f>IF(AND($B26&lt;=$C$4,C$7="Y"),0,IF(AND(C$7="N",C$4&gt;0,B26&lt;=C$4),0,H26-I26))</f>
        <v>1462436.3340617775</v>
      </c>
      <c r="K26" s="51">
        <f>IF(AND(C$7="Y",$B26&lt;=$C$4),0,IF(AND(C$7="N",C$4&gt;0,B26&lt;=C$4),0,S26*(C26-J26)))</f>
        <v>0</v>
      </c>
      <c r="L26" s="49">
        <f>IF(AND(C$7="Y",$B26&lt;=$C$4),0,IF(AND(C$7="N",C$4&gt;0,B26&lt;=C$4),0,U26*D25))</f>
        <v>339758.80796569696</v>
      </c>
      <c r="M26" s="49">
        <f t="shared" si="15"/>
        <v>-370844.57180987997</v>
      </c>
      <c r="N26" s="49">
        <f t="shared" ref="N26:N33" si="16">IFERROR((1-$N$12)*L22,0)</f>
        <v>0</v>
      </c>
      <c r="O26" s="48">
        <f>K26+I26+J26-L26+N26+G26</f>
        <v>1453162.4265077133</v>
      </c>
      <c r="P26" s="38">
        <f>O26*(1/((1+P$12)^(B26/12)))</f>
        <v>1453162.4265077133</v>
      </c>
      <c r="Q26" s="53"/>
      <c r="R26" s="53">
        <f t="shared" si="5"/>
        <v>0</v>
      </c>
      <c r="S26" s="53">
        <f t="shared" si="6"/>
        <v>0</v>
      </c>
      <c r="T26" s="53">
        <f t="shared" si="7"/>
        <v>0.05</v>
      </c>
      <c r="U26" s="53">
        <f t="shared" si="10"/>
        <v>4.2653187775606449E-3</v>
      </c>
    </row>
    <row r="27" spans="1:21" x14ac:dyDescent="0.2">
      <c r="A27" s="62">
        <f t="shared" si="1"/>
        <v>0.76059601822568956</v>
      </c>
      <c r="B27" s="45">
        <f t="shared" si="2"/>
        <v>13</v>
      </c>
      <c r="C27" s="51">
        <f>IF(B27&lt;C$4,C$1,D26-L27+N27)</f>
        <v>77521867.89354451</v>
      </c>
      <c r="D27" s="47" cm="1">
        <f t="array" ref="D27">_xlfn.IFS(AND($C$7="Y",B27&lt;C$4),C27,AND($C$7="Y",B27=C$4),D26+F27-J27-K27-L27+N27,AND($C$7="Y",B27&gt;$C$4),D26-J27-K27-L27+N27, TRUE, D26-J27-K27-L27+N27)</f>
        <v>76059601.822568953</v>
      </c>
      <c r="E27" s="48">
        <f t="shared" si="3"/>
        <v>0</v>
      </c>
      <c r="F27" s="50">
        <f t="shared" si="4"/>
        <v>0</v>
      </c>
      <c r="G27" s="50">
        <f t="shared" si="11"/>
        <v>0</v>
      </c>
      <c r="H27" s="51">
        <f>IF(AND($B27&lt;=$C$4,C$7="Y"),0,IF(AND(C$7="N",C$4&gt;0,B27&lt;=C$4),0,(D26-L27+N27)*C$2/12/(1-(1/(1+C$2/12))^(C$3+C$4-B27+1))))</f>
        <v>1785273.8538653229</v>
      </c>
      <c r="I27" s="52">
        <f>IF(AND(C$7="Y",$B27&lt;=C$4),0,IF(AND(C$7="Y",$B27&gt;C$4),(1-U27)*C$2*D26/12,IF(AND($C$7="N",C$4&gt;0),(1-U27)*D26*C$2/12, (1-U27)*D26*C$2/12)))</f>
        <v>323007.78288976877</v>
      </c>
      <c r="J27" s="52">
        <f>IF(AND($B27&lt;=$C$4,C$7="Y"),0,IF(AND(C$7="N",C$4&gt;0,B27&lt;=C$4),0,H27-I27))</f>
        <v>1462266.0709755542</v>
      </c>
      <c r="K27" s="51">
        <f>IF(AND(C$7="Y",$B27&lt;=$C$4),0,IF(AND(C$7="N",C$4&gt;0,B27&lt;=C$4),0,S27*(C27-J27)))</f>
        <v>0</v>
      </c>
      <c r="L27" s="49">
        <f>IF(AND(C$7="Y",$B27&lt;=$C$4),0,IF(AND(C$7="N",C$4&gt;0,B27&lt;=C$4),0,U27*D26))</f>
        <v>332071.87118557864</v>
      </c>
      <c r="M27" s="49">
        <f t="shared" si="15"/>
        <v>-363022.13858646643</v>
      </c>
      <c r="N27" s="49">
        <f t="shared" si="16"/>
        <v>0</v>
      </c>
      <c r="O27" s="48">
        <f>K27+I27+J27-L27+N27+G27</f>
        <v>1453201.9826797443</v>
      </c>
      <c r="P27" s="38">
        <f>O27*(1/((1+P$12)^(B27/12)))</f>
        <v>1453201.9826797443</v>
      </c>
      <c r="Q27" s="53"/>
      <c r="R27" s="53">
        <f t="shared" si="5"/>
        <v>0</v>
      </c>
      <c r="S27" s="53">
        <f t="shared" si="6"/>
        <v>0</v>
      </c>
      <c r="T27" s="53">
        <f t="shared" si="7"/>
        <v>0.05</v>
      </c>
      <c r="U27" s="53">
        <f t="shared" si="10"/>
        <v>4.2653187775606449E-3</v>
      </c>
    </row>
    <row r="28" spans="1:21" x14ac:dyDescent="0.2">
      <c r="A28" s="62">
        <f t="shared" si="1"/>
        <v>0.7427308754698928</v>
      </c>
      <c r="B28" s="45">
        <f t="shared" si="2"/>
        <v>14</v>
      </c>
      <c r="C28" s="51">
        <f>IF(B28&lt;C$4,C$1,D27-L28+N28)</f>
        <v>75735183.374701366</v>
      </c>
      <c r="D28" s="47" cm="1">
        <f t="array" ref="D28">_xlfn.IFS(AND($C$7="Y",B28&lt;C$4),C28,AND($C$7="Y",B28=C$4),D27+F28-J28-K28-L28+N28,AND($C$7="Y",B28&gt;$C$4),D27-J28-K28-L28+N28, TRUE, D27-J28-K28-L28+N28)</f>
        <v>74273087.546989277</v>
      </c>
      <c r="E28" s="48">
        <f t="shared" si="3"/>
        <v>0</v>
      </c>
      <c r="F28" s="50">
        <f t="shared" si="4"/>
        <v>0</v>
      </c>
      <c r="G28" s="50">
        <f t="shared" si="11"/>
        <v>0</v>
      </c>
      <c r="H28" s="51">
        <f>IF(AND($B28&lt;=$C$4,C$7="Y"),0,IF(AND(C$7="N",C$4&gt;0,B28&lt;=C$4),0,(D27-L28+N28)*C$2/12/(1-(1/(1+C$2/12))^(C$3+C$4-B28+1))))</f>
        <v>1777659.0917733428</v>
      </c>
      <c r="I28" s="52">
        <f>IF(AND(C$7="Y",$B28&lt;=C$4),0,IF(AND(C$7="Y",$B28&gt;C$4),(1-U28)*C$2*D27/12,IF(AND($C$7="N",C$4&gt;0),(1-U28)*D27*C$2/12, (1-U28)*D27*C$2/12)))</f>
        <v>315563.26406125567</v>
      </c>
      <c r="J28" s="52">
        <f>IF(AND($B28&lt;=$C$4,C$7="Y"),0,IF(AND(C$7="N",C$4&gt;0,B28&lt;=C$4),0,H28-I28))</f>
        <v>1462095.8277120872</v>
      </c>
      <c r="K28" s="51">
        <f>IF(AND(C$7="Y",$B28&lt;=$C$4),0,IF(AND(C$7="N",C$4&gt;0,B28&lt;=C$4),0,S28*(C28-J28)))</f>
        <v>0</v>
      </c>
      <c r="L28" s="49">
        <f>IF(AND(C$7="Y",$B28&lt;=$C$4),0,IF(AND(C$7="N",C$4&gt;0,B28&lt;=C$4),0,U28*D27))</f>
        <v>324418.44786758919</v>
      </c>
      <c r="M28" s="49">
        <f t="shared" si="15"/>
        <v>-355233.79709900566</v>
      </c>
      <c r="N28" s="49">
        <f t="shared" si="16"/>
        <v>0</v>
      </c>
      <c r="O28" s="48">
        <f>K28+I28+J28-L28+N28+G28</f>
        <v>1453240.6439057537</v>
      </c>
      <c r="P28" s="38">
        <f>O28*(1/((1+P$12)^(B28/12)))</f>
        <v>1453240.6439057537</v>
      </c>
      <c r="Q28" s="53"/>
      <c r="R28" s="53">
        <f t="shared" si="5"/>
        <v>0</v>
      </c>
      <c r="S28" s="53">
        <f t="shared" si="6"/>
        <v>0</v>
      </c>
      <c r="T28" s="53">
        <f t="shared" si="7"/>
        <v>0.05</v>
      </c>
      <c r="U28" s="53">
        <f t="shared" si="10"/>
        <v>4.2653187775606449E-3</v>
      </c>
    </row>
    <row r="29" spans="1:21" x14ac:dyDescent="0.2">
      <c r="A29" s="62">
        <f t="shared" si="1"/>
        <v>0.72494363547738627</v>
      </c>
      <c r="B29" s="45">
        <f t="shared" si="2"/>
        <v>15</v>
      </c>
      <c r="C29" s="51">
        <f>IF(B29&lt;C$4,C$1,D28-L29+N29)</f>
        <v>73956289.152007699</v>
      </c>
      <c r="D29" s="47" cm="1">
        <f t="array" ref="D29">_xlfn.IFS(AND($C$7="Y",B29&lt;C$4),C29,AND($C$7="Y",B29=C$4),D28+F29-J29-K29-L29+N29,AND($C$7="Y",B29&gt;$C$4),D28-J29-K29-L29+N29, TRUE, D28-J29-K29-L29+N29)</f>
        <v>72494363.547738627</v>
      </c>
      <c r="E29" s="48">
        <f t="shared" si="3"/>
        <v>0</v>
      </c>
      <c r="F29" s="50">
        <f t="shared" si="4"/>
        <v>0</v>
      </c>
      <c r="G29" s="50">
        <f t="shared" si="11"/>
        <v>0</v>
      </c>
      <c r="H29" s="51">
        <f>IF(AND($B29&lt;=$C$4,C$7="Y"),0,IF(AND(C$7="N",C$4&gt;0,B29&lt;=C$4),0,(D28-L29+N29)*C$2/12/(1-(1/(1+C$2/12))^(C$3+C$4-B29+1))))</f>
        <v>1770076.8090691003</v>
      </c>
      <c r="I29" s="52">
        <f>IF(AND(C$7="Y",$B29&lt;=C$4),0,IF(AND(C$7="Y",$B29&gt;C$4),(1-U29)*C$2*D28/12,IF(AND($C$7="N",C$4&gt;0),(1-U29)*D28*C$2/12, (1-U29)*D28*C$2/12)))</f>
        <v>308151.20480003208</v>
      </c>
      <c r="J29" s="52">
        <f>IF(AND($B29&lt;=$C$4,C$7="Y"),0,IF(AND(C$7="N",C$4&gt;0,B29&lt;=C$4),0,H29-I29))</f>
        <v>1461925.6042690682</v>
      </c>
      <c r="K29" s="51">
        <f>IF(AND(C$7="Y",$B29&lt;=$C$4),0,IF(AND(C$7="N",C$4&gt;0,B29&lt;=C$4),0,S29*(C29-J29)))</f>
        <v>0</v>
      </c>
      <c r="L29" s="51">
        <f>IF(AND(C$7="Y",$B29&lt;=$C$4),0,IF(AND(C$7="N",C$4&gt;0,B29&lt;=C$4),0,U29*D28))</f>
        <v>316798.39498157904</v>
      </c>
      <c r="M29" s="51">
        <f>IFERROR(L25*-1,0)</f>
        <v>-347479.40185078635</v>
      </c>
      <c r="N29" s="51">
        <f t="shared" si="16"/>
        <v>0</v>
      </c>
      <c r="O29" s="48">
        <f>K29+I29+J29-L29+N29+G29</f>
        <v>1453278.4140875214</v>
      </c>
      <c r="P29" s="38">
        <f>O29*(1/((1+P$12)^(B29/12)))</f>
        <v>1453278.4140875214</v>
      </c>
      <c r="Q29" s="53"/>
      <c r="R29" s="53">
        <f t="shared" si="5"/>
        <v>0</v>
      </c>
      <c r="S29" s="53">
        <f t="shared" si="6"/>
        <v>0</v>
      </c>
      <c r="T29" s="53">
        <f t="shared" si="7"/>
        <v>0.05</v>
      </c>
      <c r="U29" s="53">
        <f t="shared" si="10"/>
        <v>4.2653187775606449E-3</v>
      </c>
    </row>
    <row r="30" spans="1:21" x14ac:dyDescent="0.2">
      <c r="A30" s="62">
        <f t="shared" si="1"/>
        <v>0.70723396576986963</v>
      </c>
      <c r="B30" s="45">
        <f t="shared" si="2"/>
        <v>16</v>
      </c>
      <c r="C30" s="51">
        <f>IF(B30&lt;C$4,C$1,D29-L30+N30)</f>
        <v>72185151.977631152</v>
      </c>
      <c r="D30" s="47" cm="1">
        <f t="array" ref="D30">_xlfn.IFS(AND($C$7="Y",B30&lt;C$4),C30,AND($C$7="Y",B30=C$4),D29+F30-J30-K30-L30+N30,AND($C$7="Y",B30&gt;$C$4),D29-J30-K30-L30+N30, TRUE, D29-J30-K30-L30+N30)</f>
        <v>70723396.576986969</v>
      </c>
      <c r="E30" s="48">
        <f t="shared" si="3"/>
        <v>0</v>
      </c>
      <c r="F30" s="50">
        <f t="shared" si="4"/>
        <v>0</v>
      </c>
      <c r="G30" s="50">
        <f t="shared" si="11"/>
        <v>0</v>
      </c>
      <c r="H30" s="51">
        <f>IF(AND($B30&lt;=$C$4,C$7="Y"),0,IF(AND(C$7="N",C$4&gt;0,B30&lt;=C$4),0,(D29-L30+N30)*C$2/12/(1-(1/(1+C$2/12))^(C$3+C$4-B30+1))))</f>
        <v>1762526.8672176532</v>
      </c>
      <c r="I30" s="52">
        <f>IF(AND(C$7="Y",$B30&lt;=C$4),0,IF(AND(C$7="Y",$B30&gt;C$4),(1-U30)*C$2*D29/12,IF(AND($C$7="N",C$4&gt;0),(1-U30)*D29*C$2/12, (1-U30)*D29*C$2/12)))</f>
        <v>300771.46657346311</v>
      </c>
      <c r="J30" s="52">
        <f>IF(AND($B30&lt;=$C$4,C$7="Y"),0,IF(AND(C$7="N",C$4&gt;0,B30&lt;=C$4),0,H30-I30))</f>
        <v>1461755.4006441901</v>
      </c>
      <c r="K30" s="51">
        <f>IF(AND(C$7="Y",$B30&lt;=$C$4),0,IF(AND(C$7="N",C$4&gt;0,B30&lt;=C$4),0,S30*(C30-J30)))</f>
        <v>0</v>
      </c>
      <c r="L30" s="49">
        <f>IF(AND(C$7="Y",$B30&lt;=$C$4),0,IF(AND(C$7="N",C$4&gt;0,B30&lt;=C$4),0,U30*D29))</f>
        <v>309211.57010747748</v>
      </c>
      <c r="M30" s="49">
        <f t="shared" ref="M30:M43" si="17">IFERROR(L26*-1,0)</f>
        <v>-339758.80796569696</v>
      </c>
      <c r="N30" s="49">
        <f t="shared" si="16"/>
        <v>0</v>
      </c>
      <c r="O30" s="48">
        <f>K30+I30+J30-L30+N30+G30</f>
        <v>1453315.2971101757</v>
      </c>
      <c r="P30" s="38">
        <f>O30*(1/((1+P$12)^(B30/12)))</f>
        <v>1453315.2971101757</v>
      </c>
      <c r="Q30" s="53"/>
      <c r="R30" s="53">
        <f t="shared" si="5"/>
        <v>0</v>
      </c>
      <c r="S30" s="53">
        <f t="shared" si="6"/>
        <v>0</v>
      </c>
      <c r="T30" s="53">
        <f t="shared" si="7"/>
        <v>0.05</v>
      </c>
      <c r="U30" s="53">
        <f t="shared" si="10"/>
        <v>4.2653187775606449E-3</v>
      </c>
    </row>
    <row r="31" spans="1:21" x14ac:dyDescent="0.2">
      <c r="A31" s="62">
        <f t="shared" si="1"/>
        <v>0.68960153528719137</v>
      </c>
      <c r="B31" s="45">
        <f t="shared" si="2"/>
        <v>17</v>
      </c>
      <c r="C31" s="51">
        <f>IF(B31&lt;C$4,C$1,D30-L31+N31)</f>
        <v>70421738.745554283</v>
      </c>
      <c r="D31" s="47" cm="1">
        <f t="array" ref="D31">_xlfn.IFS(AND($C$7="Y",B31&lt;C$4),C31,AND($C$7="Y",B31=C$4),D30+F31-J31-K31-L31+N31,AND($C$7="Y",B31&gt;$C$4),D30-J31-K31-L31+N31, TRUE, D30-J31-K31-L31+N31)</f>
        <v>68960153.528719142</v>
      </c>
      <c r="E31" s="48">
        <f t="shared" si="3"/>
        <v>0</v>
      </c>
      <c r="F31" s="50">
        <f t="shared" si="4"/>
        <v>0</v>
      </c>
      <c r="G31" s="50">
        <f t="shared" si="11"/>
        <v>0</v>
      </c>
      <c r="H31" s="51">
        <f>IF(AND($B31&lt;=$C$4,C$7="Y"),0,IF(AND(C$7="N",C$4&gt;0,B31&lt;=C$4),0,(D30-L31+N31)*C$2/12/(1-(1/(1+C$2/12))^(C$3+C$4-B31+1))))</f>
        <v>1755009.1282749551</v>
      </c>
      <c r="I31" s="52">
        <f>IF(AND(C$7="Y",$B31&lt;=C$4),0,IF(AND(C$7="Y",$B31&gt;C$4),(1-U31)*C$2*D30/12,IF(AND($C$7="N",C$4&gt;0),(1-U31)*D30*C$2/12, (1-U31)*D30*C$2/12)))</f>
        <v>293423.91143980954</v>
      </c>
      <c r="J31" s="52">
        <f>IF(AND($B31&lt;=$C$4,C$7="Y"),0,IF(AND(C$7="N",C$4&gt;0,B31&lt;=C$4),0,H31-I31))</f>
        <v>1461585.2168351456</v>
      </c>
      <c r="K31" s="51">
        <f>IF(AND(C$7="Y",$B31&lt;=$C$4),0,IF(AND(C$7="N",C$4&gt;0,B31&lt;=C$4),0,S31*(C31-J31)))</f>
        <v>0</v>
      </c>
      <c r="L31" s="49">
        <f>IF(AND(C$7="Y",$B31&lt;=$C$4),0,IF(AND(C$7="N",C$4&gt;0,B31&lt;=C$4),0,U31*D30))</f>
        <v>301657.83143269073</v>
      </c>
      <c r="M31" s="49">
        <f t="shared" si="17"/>
        <v>-332071.87118557864</v>
      </c>
      <c r="N31" s="49">
        <f t="shared" si="16"/>
        <v>0</v>
      </c>
      <c r="O31" s="48">
        <f>K31+I31+J31-L31+N31+G31</f>
        <v>1453351.2968422645</v>
      </c>
      <c r="P31" s="38">
        <f>O31*(1/((1+P$12)^(B31/12)))</f>
        <v>1453351.2968422645</v>
      </c>
      <c r="Q31" s="53"/>
      <c r="R31" s="53">
        <f t="shared" si="5"/>
        <v>0</v>
      </c>
      <c r="S31" s="53">
        <f t="shared" si="6"/>
        <v>0</v>
      </c>
      <c r="T31" s="53">
        <f t="shared" si="7"/>
        <v>0.05</v>
      </c>
      <c r="U31" s="53">
        <f t="shared" si="10"/>
        <v>4.2653187775606449E-3</v>
      </c>
    </row>
    <row r="32" spans="1:21" x14ac:dyDescent="0.2">
      <c r="A32" s="62">
        <f t="shared" si="1"/>
        <v>0.67204601438130007</v>
      </c>
      <c r="B32" s="45">
        <f t="shared" si="2"/>
        <v>18</v>
      </c>
      <c r="C32" s="51">
        <f>IF(B32&lt;C$4,C$1,D31-L32+N32)</f>
        <v>68666016.490969628</v>
      </c>
      <c r="D32" s="47" cm="1">
        <f t="array" ref="D32">_xlfn.IFS(AND($C$7="Y",B32&lt;C$4),C32,AND($C$7="Y",B32=C$4),D31+F32-J32-K32-L32+N32,AND($C$7="Y",B32&gt;$C$4),D31-J32-K32-L32+N32, TRUE, D31-J32-K32-L32+N32)</f>
        <v>67204601.438130006</v>
      </c>
      <c r="E32" s="48">
        <f t="shared" si="3"/>
        <v>0</v>
      </c>
      <c r="F32" s="50">
        <f t="shared" si="4"/>
        <v>0</v>
      </c>
      <c r="G32" s="50">
        <f t="shared" si="11"/>
        <v>0</v>
      </c>
      <c r="H32" s="51">
        <f>IF(AND($B32&lt;=$C$4,C$7="Y"),0,IF(AND(C$7="N",C$4&gt;0,B32&lt;=C$4),0,(D31-L32+N32)*C$2/12/(1-(1/(1+C$2/12))^(C$3+C$4-B32+1))))</f>
        <v>1747523.4548853331</v>
      </c>
      <c r="I32" s="52">
        <f>IF(AND(C$7="Y",$B32&lt;=C$4),0,IF(AND(C$7="Y",$B32&gt;C$4),(1-U32)*C$2*D31/12,IF(AND($C$7="N",C$4&gt;0),(1-U32)*D31*C$2/12, (1-U32)*D31*C$2/12)))</f>
        <v>286108.40204570681</v>
      </c>
      <c r="J32" s="52">
        <f>IF(AND($B32&lt;=$C$4,C$7="Y"),0,IF(AND(C$7="N",C$4&gt;0,B32&lt;=C$4),0,H32-I32))</f>
        <v>1461415.0528396263</v>
      </c>
      <c r="K32" s="51">
        <f>IF(AND(C$7="Y",$B32&lt;=$C$4),0,IF(AND(C$7="N",C$4&gt;0,B32&lt;=C$4),0,S32*(C32-J32)))</f>
        <v>0</v>
      </c>
      <c r="L32" s="49">
        <f>IF(AND(C$7="Y",$B32&lt;=$C$4),0,IF(AND(C$7="N",C$4&gt;0,B32&lt;=C$4),0,U32*D31))</f>
        <v>294137.03774951072</v>
      </c>
      <c r="M32" s="49">
        <f t="shared" si="17"/>
        <v>-324418.44786758919</v>
      </c>
      <c r="N32" s="49">
        <f t="shared" si="16"/>
        <v>0</v>
      </c>
      <c r="O32" s="48">
        <f>K32+I32+J32-L32+N32+G32</f>
        <v>1453386.4171358224</v>
      </c>
      <c r="P32" s="38">
        <f>O32*(1/((1+P$12)^(B32/12)))</f>
        <v>1453386.4171358224</v>
      </c>
      <c r="Q32" s="53"/>
      <c r="R32" s="53">
        <f t="shared" si="5"/>
        <v>0</v>
      </c>
      <c r="S32" s="53">
        <f t="shared" si="6"/>
        <v>0</v>
      </c>
      <c r="T32" s="53">
        <f t="shared" si="7"/>
        <v>0.05</v>
      </c>
      <c r="U32" s="53">
        <f t="shared" si="10"/>
        <v>4.2653187775606449E-3</v>
      </c>
    </row>
    <row r="33" spans="1:23" x14ac:dyDescent="0.2">
      <c r="A33" s="62">
        <f t="shared" si="1"/>
        <v>0.65456707481022147</v>
      </c>
      <c r="B33" s="45">
        <f t="shared" si="2"/>
        <v>19</v>
      </c>
      <c r="C33" s="51">
        <f>IF(B33&lt;C$4,C$1,D32-L33+N33)</f>
        <v>66917952.389677472</v>
      </c>
      <c r="D33" s="47" cm="1">
        <f t="array" ref="D33">_xlfn.IFS(AND($C$7="Y",B33&lt;C$4),C33,AND($C$7="Y",B33=C$4),D32+F33-J33-K33-L33+N33,AND($C$7="Y",B33&gt;$C$4),D32-J33-K33-L33+N33, TRUE, D32-J33-K33-L33+N33)</f>
        <v>65456707.481022142</v>
      </c>
      <c r="E33" s="48">
        <f t="shared" si="3"/>
        <v>0</v>
      </c>
      <c r="F33" s="50">
        <f t="shared" si="4"/>
        <v>0</v>
      </c>
      <c r="G33" s="50">
        <f t="shared" si="11"/>
        <v>0</v>
      </c>
      <c r="H33" s="51">
        <f>IF(AND($B33&lt;=$C$4,C$7="Y"),0,IF(AND(C$7="N",C$4&gt;0,B33&lt;=C$4),0,(D32-L33+N33)*C$2/12/(1-(1/(1+C$2/12))^(C$3+C$4-B33+1))))</f>
        <v>1740069.710278983</v>
      </c>
      <c r="I33" s="52">
        <f>IF(AND(C$7="Y",$B33&lt;=C$4),0,IF(AND(C$7="Y",$B33&gt;C$4),(1-U33)*C$2*D32/12,IF(AND($C$7="N",C$4&gt;0),(1-U33)*D32*C$2/12, (1-U33)*D32*C$2/12)))</f>
        <v>278824.80162365612</v>
      </c>
      <c r="J33" s="52">
        <f>IF(AND($B33&lt;=$C$4,C$7="Y"),0,IF(AND(C$7="N",C$4&gt;0,B33&lt;=C$4),0,H33-I33))</f>
        <v>1461244.9086553268</v>
      </c>
      <c r="K33" s="51">
        <f>IF(AND(C$7="Y",$B33&lt;=$C$4),0,IF(AND(C$7="N",C$4&gt;0,B33&lt;=C$4),0,S33*(C33-J33)))</f>
        <v>0</v>
      </c>
      <c r="L33" s="49">
        <f>IF(AND(C$7="Y",$B33&lt;=$C$4),0,IF(AND(C$7="N",C$4&gt;0,B33&lt;=C$4),0,U33*D32))</f>
        <v>286649.04845253506</v>
      </c>
      <c r="M33" s="49">
        <f t="shared" si="17"/>
        <v>-316798.39498157904</v>
      </c>
      <c r="N33" s="49">
        <f t="shared" si="16"/>
        <v>0</v>
      </c>
      <c r="O33" s="48">
        <f>K33+I33+J33-L33+N33+G33</f>
        <v>1453420.661826448</v>
      </c>
      <c r="P33" s="38">
        <f>O33*(1/((1+P$12)^(B33/12)))</f>
        <v>1453420.661826448</v>
      </c>
      <c r="Q33" s="53"/>
      <c r="R33" s="53">
        <f t="shared" si="5"/>
        <v>0</v>
      </c>
      <c r="S33" s="53">
        <f t="shared" si="6"/>
        <v>0</v>
      </c>
      <c r="T33" s="53">
        <f t="shared" si="7"/>
        <v>0.05</v>
      </c>
      <c r="U33" s="53">
        <f t="shared" si="10"/>
        <v>4.2653187775606449E-3</v>
      </c>
    </row>
    <row r="34" spans="1:23" x14ac:dyDescent="0.2">
      <c r="A34" s="62">
        <f t="shared" si="1"/>
        <v>0.63716438973206102</v>
      </c>
      <c r="B34" s="45">
        <f t="shared" si="2"/>
        <v>20</v>
      </c>
      <c r="C34" s="51">
        <f>IF(B34&lt;C$4,C$1,D33-L34+N34)</f>
        <v>65177513.757486045</v>
      </c>
      <c r="D34" s="47" cm="1">
        <f t="array" ref="D34">_xlfn.IFS(AND($C$7="Y",B34&lt;C$4),C34,AND($C$7="Y",B34=C$4),D33+F34-J34-K34-L34+N34,AND($C$7="Y",B34&gt;$C$4),D33-J34-K34-L34+N34, TRUE, D33-J34-K34-L34+N34)</f>
        <v>63716438.973206103</v>
      </c>
      <c r="E34" s="48">
        <f t="shared" si="3"/>
        <v>0</v>
      </c>
      <c r="F34" s="50">
        <f t="shared" si="4"/>
        <v>0</v>
      </c>
      <c r="G34" s="50">
        <f t="shared" si="11"/>
        <v>0</v>
      </c>
      <c r="H34" s="51">
        <f>IF(AND($B34&lt;=$C$4,C$7="Y"),0,IF(AND(C$7="N",C$4&gt;0,B34&lt;=C$4),0,(D33-L34+N34)*C$2/12/(1-(1/(1+C$2/12))^(C$3+C$4-B34+1))))</f>
        <v>1732647.7582694648</v>
      </c>
      <c r="I34" s="52">
        <f>IF(AND(C$7="Y",$B34&lt;=C$4),0,IF(AND(C$7="Y",$B34&gt;C$4),(1-U34)*C$2*D33/12,IF(AND($C$7="N",C$4&gt;0),(1-U34)*D33*C$2/12, (1-U34)*D33*C$2/12)))</f>
        <v>271572.97398952517</v>
      </c>
      <c r="J34" s="52">
        <f>IF(AND($B34&lt;=$C$4,C$7="Y"),0,IF(AND(C$7="N",C$4&gt;0,B34&lt;=C$4),0,H34-I34))</f>
        <v>1461074.7842799397</v>
      </c>
      <c r="K34" s="51">
        <f>IF(AND(C$7="Y",$B34&lt;=$C$4),0,IF(AND(C$7="N",C$4&gt;0,B34&lt;=C$4),0,S34*(C34-J34)))</f>
        <v>0</v>
      </c>
      <c r="L34" s="49">
        <f>IF(AND(C$7="Y",$B34&lt;=$C$4),0,IF(AND(C$7="N",C$4&gt;0,B34&lt;=C$4),0,U34*D33))</f>
        <v>279193.72353609808</v>
      </c>
      <c r="M34" s="49">
        <f t="shared" si="17"/>
        <v>-309211.57010747748</v>
      </c>
      <c r="N34" s="49">
        <f>IFERROR((1-$N$12)*L30,0)</f>
        <v>0</v>
      </c>
      <c r="O34" s="48">
        <f>K34+I34+J34-L34+N34+G34</f>
        <v>1453454.0347333667</v>
      </c>
      <c r="P34" s="38">
        <f>O34*(1/((1+P$12)^(B34/12)))</f>
        <v>1453454.0347333667</v>
      </c>
      <c r="Q34" s="53"/>
      <c r="R34" s="53">
        <f t="shared" si="5"/>
        <v>0</v>
      </c>
      <c r="S34" s="53">
        <f t="shared" si="6"/>
        <v>0</v>
      </c>
      <c r="T34" s="53">
        <f t="shared" si="7"/>
        <v>0.05</v>
      </c>
      <c r="U34" s="53">
        <f t="shared" si="10"/>
        <v>4.2653187775606449E-3</v>
      </c>
    </row>
    <row r="35" spans="1:23" x14ac:dyDescent="0.2">
      <c r="A35" s="62">
        <f t="shared" si="1"/>
        <v>0.61983763369903233</v>
      </c>
      <c r="B35" s="45">
        <f t="shared" si="2"/>
        <v>21</v>
      </c>
      <c r="C35" s="51">
        <f>IF(B35&lt;C$4,C$1,D34-L35+N35)</f>
        <v>63444668.049614392</v>
      </c>
      <c r="D35" s="47" cm="1">
        <f t="array" ref="D35">_xlfn.IFS(AND($C$7="Y",B35&lt;C$4),C35,AND($C$7="Y",B35=C$4),D34+F35-J35-K35-L35+N35,AND($C$7="Y",B35&gt;$C$4),D34-J35-K35-L35+N35, TRUE, D34-J35-K35-L35+N35)</f>
        <v>61983763.369903229</v>
      </c>
      <c r="E35" s="48">
        <f t="shared" si="3"/>
        <v>0</v>
      </c>
      <c r="F35" s="50">
        <f t="shared" si="4"/>
        <v>0</v>
      </c>
      <c r="G35" s="50">
        <f t="shared" si="11"/>
        <v>0</v>
      </c>
      <c r="H35" s="51">
        <f>IF(AND($B35&lt;=$C$4,C$7="Y"),0,IF(AND(C$7="N",C$4&gt;0,B35&lt;=C$4),0,(D34-L35+N35)*C$2/12/(1-(1/(1+C$2/12))^(C$3+C$4-B35+1))))</f>
        <v>1725257.4632512196</v>
      </c>
      <c r="I35" s="52">
        <f>IF(AND(C$7="Y",$B35&lt;=C$4),0,IF(AND(C$7="Y",$B35&gt;C$4),(1-U35)*C$2*D34/12,IF(AND($C$7="N",C$4&gt;0),(1-U35)*D34*C$2/12, (1-U35)*D34*C$2/12)))</f>
        <v>264352.78354005999</v>
      </c>
      <c r="J35" s="52">
        <f>IF(AND($B35&lt;=$C$4,C$7="Y"),0,IF(AND(C$7="N",C$4&gt;0,B35&lt;=C$4),0,H35-I35))</f>
        <v>1460904.6797111596</v>
      </c>
      <c r="K35" s="51">
        <f>IF(AND(C$7="Y",$B35&lt;=$C$4),0,IF(AND(C$7="N",C$4&gt;0,B35&lt;=C$4),0,S35*(C35-J35)))</f>
        <v>0</v>
      </c>
      <c r="L35" s="49">
        <f>IF(AND(C$7="Y",$B35&lt;=$C$4),0,IF(AND(C$7="N",C$4&gt;0,B35&lt;=C$4),0,U35*D34))</f>
        <v>271770.9235917129</v>
      </c>
      <c r="M35" s="49">
        <f t="shared" si="17"/>
        <v>-301657.83143269073</v>
      </c>
      <c r="N35" s="49">
        <f t="shared" ref="N35:N98" si="18">IFERROR((1-$N$12)*L31,0)</f>
        <v>0</v>
      </c>
      <c r="O35" s="48">
        <f>K35+I35+J35-L35+N35+G35</f>
        <v>1453486.5396595066</v>
      </c>
      <c r="P35" s="38">
        <f>O35*(1/((1+P$12)^(B35/12)))</f>
        <v>1453486.5396595066</v>
      </c>
      <c r="Q35" s="53"/>
      <c r="R35" s="53">
        <f t="shared" si="5"/>
        <v>0</v>
      </c>
      <c r="S35" s="53">
        <f t="shared" si="6"/>
        <v>0</v>
      </c>
      <c r="T35" s="53">
        <f t="shared" si="7"/>
        <v>0.05</v>
      </c>
      <c r="U35" s="53">
        <f t="shared" si="10"/>
        <v>4.2653187775606449E-3</v>
      </c>
    </row>
    <row r="36" spans="1:23" x14ac:dyDescent="0.2">
      <c r="A36" s="62">
        <f t="shared" si="1"/>
        <v>0.60258648265151027</v>
      </c>
      <c r="B36" s="45">
        <f t="shared" si="2"/>
        <v>22</v>
      </c>
      <c r="C36" s="51">
        <f>IF(B36&lt;C$4,C$1,D35-L36+N36)</f>
        <v>61719382.860097706</v>
      </c>
      <c r="D36" s="47" cm="1">
        <f t="array" ref="D36">_xlfn.IFS(AND($C$7="Y",B36&lt;C$4),C36,AND($C$7="Y",B36=C$4),D35+F36-J36-K36-L36+N36,AND($C$7="Y",B36&gt;$C$4),D35-J36-K36-L36+N36, TRUE, D35-J36-K36-L36+N36)</f>
        <v>60258648.265151024</v>
      </c>
      <c r="E36" s="48">
        <f t="shared" si="3"/>
        <v>0</v>
      </c>
      <c r="F36" s="50">
        <f t="shared" si="4"/>
        <v>0</v>
      </c>
      <c r="G36" s="50">
        <f t="shared" si="11"/>
        <v>0</v>
      </c>
      <c r="H36" s="51">
        <f>IF(AND($B36&lt;=$C$4,C$7="Y"),0,IF(AND(C$7="N",C$4&gt;0,B36&lt;=C$4),0,(D35-L36+N36)*C$2/12/(1-(1/(1+C$2/12))^(C$3+C$4-B36+1))))</f>
        <v>1717898.6901970876</v>
      </c>
      <c r="I36" s="52">
        <f>IF(AND(C$7="Y",$B36&lt;=C$4),0,IF(AND(C$7="Y",$B36&gt;C$4),(1-U36)*C$2*D35/12,IF(AND($C$7="N",C$4&gt;0),(1-U36)*D35*C$2/12, (1-U36)*D35*C$2/12)))</f>
        <v>257164.09525040712</v>
      </c>
      <c r="J36" s="52">
        <f>IF(AND($B36&lt;=$C$4,C$7="Y"),0,IF(AND(C$7="N",C$4&gt;0,B36&lt;=C$4),0,H36-I36))</f>
        <v>1460734.5949466806</v>
      </c>
      <c r="K36" s="51">
        <f>IF(AND(C$7="Y",$B36&lt;=$C$4),0,IF(AND(C$7="N",C$4&gt;0,B36&lt;=C$4),0,S36*(C36-J36)))</f>
        <v>0</v>
      </c>
      <c r="L36" s="49">
        <f>IF(AND(C$7="Y",$B36&lt;=$C$4),0,IF(AND(C$7="N",C$4&gt;0,B36&lt;=C$4),0,U36*D35))</f>
        <v>264380.50980552391</v>
      </c>
      <c r="M36" s="49">
        <f t="shared" si="17"/>
        <v>-294137.03774951072</v>
      </c>
      <c r="N36" s="49">
        <f t="shared" si="18"/>
        <v>0</v>
      </c>
      <c r="O36" s="48">
        <f>K36+I36+J36-L36+N36+G36</f>
        <v>1453518.180391564</v>
      </c>
      <c r="P36" s="38">
        <f>O36*(1/((1+P$12)^(B36/12)))</f>
        <v>1453518.180391564</v>
      </c>
      <c r="Q36" s="53"/>
      <c r="R36" s="53">
        <f t="shared" si="5"/>
        <v>0</v>
      </c>
      <c r="S36" s="53">
        <f t="shared" si="6"/>
        <v>0</v>
      </c>
      <c r="T36" s="53">
        <f t="shared" si="7"/>
        <v>0.05</v>
      </c>
      <c r="U36" s="53">
        <f t="shared" si="10"/>
        <v>4.2653187775606449E-3</v>
      </c>
      <c r="W36" s="49"/>
    </row>
    <row r="37" spans="1:23" x14ac:dyDescent="0.2">
      <c r="A37" s="62">
        <f t="shared" si="1"/>
        <v>0.58541061391211058</v>
      </c>
      <c r="B37" s="45">
        <f t="shared" si="2"/>
        <v>23</v>
      </c>
      <c r="C37" s="51">
        <f>IF(B37&lt;C$4,C$1,D36-L37+N37)</f>
        <v>60001625.921195254</v>
      </c>
      <c r="D37" s="47" cm="1">
        <f t="array" ref="D37">_xlfn.IFS(AND($C$7="Y",B37&lt;C$4),C37,AND($C$7="Y",B37=C$4),D36+F37-J37-K37-L37+N37,AND($C$7="Y",B37&gt;$C$4),D36-J37-K37-L37+N37, TRUE, D36-J37-K37-L37+N37)</f>
        <v>58541061.391211055</v>
      </c>
      <c r="E37" s="48">
        <f t="shared" si="3"/>
        <v>0</v>
      </c>
      <c r="F37" s="50">
        <f t="shared" si="4"/>
        <v>0</v>
      </c>
      <c r="G37" s="50">
        <f t="shared" si="11"/>
        <v>0</v>
      </c>
      <c r="H37" s="51">
        <f>IF(AND($B37&lt;=$C$4,C$7="Y"),0,IF(AND(C$7="N",C$4&gt;0,B37&lt;=C$4),0,(D36-L37+N37)*C$2/12/(1-(1/(1+C$2/12))^(C$3+C$4-B37+1))))</f>
        <v>1710571.3046558423</v>
      </c>
      <c r="I37" s="52">
        <f>IF(AND(C$7="Y",$B37&lt;=C$4),0,IF(AND(C$7="Y",$B37&gt;C$4),(1-U37)*C$2*D36/12,IF(AND($C$7="N",C$4&gt;0),(1-U37)*D36*C$2/12, (1-U37)*D36*C$2/12)))</f>
        <v>250006.77467164691</v>
      </c>
      <c r="J37" s="52">
        <f>IF(AND($B37&lt;=$C$4,C$7="Y"),0,IF(AND(C$7="N",C$4&gt;0,B37&lt;=C$4),0,H37-I37))</f>
        <v>1460564.5299841953</v>
      </c>
      <c r="K37" s="51">
        <f>IF(AND(C$7="Y",$B37&lt;=$C$4),0,IF(AND(C$7="N",C$4&gt;0,B37&lt;=C$4),0,S37*(C37-J37)))</f>
        <v>0</v>
      </c>
      <c r="L37" s="49">
        <f>IF(AND(C$7="Y",$B37&lt;=$C$4),0,IF(AND(C$7="N",C$4&gt;0,B37&lt;=C$4),0,U37*D36))</f>
        <v>257022.34395577083</v>
      </c>
      <c r="M37" s="49">
        <f t="shared" si="17"/>
        <v>-286649.04845253506</v>
      </c>
      <c r="N37" s="49">
        <f t="shared" si="18"/>
        <v>0</v>
      </c>
      <c r="O37" s="48">
        <f>K37+I37+J37-L37+N37+G37</f>
        <v>1453548.9607000714</v>
      </c>
      <c r="P37" s="38">
        <f>O37*(1/((1+P$12)^(B37/12)))</f>
        <v>1453548.9607000714</v>
      </c>
      <c r="Q37" s="53"/>
      <c r="R37" s="53">
        <f t="shared" si="5"/>
        <v>0</v>
      </c>
      <c r="S37" s="53">
        <f t="shared" si="6"/>
        <v>0</v>
      </c>
      <c r="T37" s="53">
        <f t="shared" si="7"/>
        <v>0.05</v>
      </c>
      <c r="U37" s="53">
        <f t="shared" si="10"/>
        <v>4.2653187775606449E-3</v>
      </c>
    </row>
    <row r="38" spans="1:23" x14ac:dyDescent="0.2">
      <c r="A38" s="62">
        <f t="shared" si="1"/>
        <v>0.56830970617979393</v>
      </c>
      <c r="B38" s="45">
        <f t="shared" si="2"/>
        <v>24</v>
      </c>
      <c r="C38" s="51">
        <f>IF(B38&lt;C$4,C$1,D37-L38+N38)</f>
        <v>58291365.102800794</v>
      </c>
      <c r="D38" s="47" cm="1">
        <f t="array" ref="D38">_xlfn.IFS(AND($C$7="Y",B38&lt;C$4),C38,AND($C$7="Y",B38=C$4),D37+F38-J38-K38-L38+N38,AND($C$7="Y",B38&gt;$C$4),D37-J38-K38-L38+N38, TRUE, D37-J38-K38-L38+N38)</f>
        <v>56830970.617979392</v>
      </c>
      <c r="E38" s="48">
        <f t="shared" si="3"/>
        <v>0</v>
      </c>
      <c r="F38" s="50">
        <f t="shared" si="4"/>
        <v>0</v>
      </c>
      <c r="G38" s="50">
        <f t="shared" si="11"/>
        <v>0</v>
      </c>
      <c r="H38" s="51">
        <f>IF(AND($B38&lt;=$C$4,C$7="Y"),0,IF(AND(C$7="N",C$4&gt;0,B38&lt;=C$4),0,(D37-L38+N38)*C$2/12/(1-(1/(1+C$2/12))^(C$3+C$4-B38+1))))</f>
        <v>1703275.1727497377</v>
      </c>
      <c r="I38" s="52">
        <f>IF(AND(C$7="Y",$B38&lt;=C$4),0,IF(AND(C$7="Y",$B38&gt;C$4),(1-U38)*C$2*D37/12,IF(AND($C$7="N",C$4&gt;0),(1-U38)*D37*C$2/12, (1-U38)*D37*C$2/12)))</f>
        <v>242880.68792833667</v>
      </c>
      <c r="J38" s="52">
        <f>IF(AND($B38&lt;=$C$4,C$7="Y"),0,IF(AND(C$7="N",C$4&gt;0,B38&lt;=C$4),0,H38-I38))</f>
        <v>1460394.4848214011</v>
      </c>
      <c r="K38" s="51">
        <f>IF(AND(C$7="Y",$B38&lt;=$C$4),0,IF(AND(C$7="N",C$4&gt;0,B38&lt;=C$4),0,S38*(C38-J38)))</f>
        <v>0</v>
      </c>
      <c r="L38" s="49">
        <f>IF(AND(C$7="Y",$B38&lt;=$C$4),0,IF(AND(C$7="N",C$4&gt;0,B38&lt;=C$4),0,U38*D37))</f>
        <v>249696.28841026302</v>
      </c>
      <c r="M38" s="49">
        <f t="shared" si="17"/>
        <v>-279193.72353609808</v>
      </c>
      <c r="N38" s="49">
        <f t="shared" si="18"/>
        <v>0</v>
      </c>
      <c r="O38" s="48">
        <f>K38+I38+J38-L38+N38+G38</f>
        <v>1453578.8843394746</v>
      </c>
      <c r="P38" s="38">
        <f>O38*(1/((1+P$12)^(B38/12)))</f>
        <v>1453578.8843394746</v>
      </c>
      <c r="Q38" s="53"/>
      <c r="R38" s="53">
        <f t="shared" si="5"/>
        <v>0</v>
      </c>
      <c r="S38" s="53">
        <f t="shared" si="6"/>
        <v>0</v>
      </c>
      <c r="T38" s="53">
        <f t="shared" si="7"/>
        <v>0.05</v>
      </c>
      <c r="U38" s="53">
        <f t="shared" si="10"/>
        <v>4.2653187775606449E-3</v>
      </c>
    </row>
    <row r="39" spans="1:23" s="59" customFormat="1" x14ac:dyDescent="0.2">
      <c r="A39" s="62">
        <f t="shared" si="1"/>
        <v>0.55128343952399539</v>
      </c>
      <c r="B39" s="54">
        <f t="shared" si="2"/>
        <v>25</v>
      </c>
      <c r="C39" s="51">
        <f>IF(B39&lt;C$4,C$1,D38-L39+N39)</f>
        <v>56588568.411855526</v>
      </c>
      <c r="D39" s="47" cm="1">
        <f t="array" ref="D39">_xlfn.IFS(AND($C$7="Y",B39&lt;C$4),C39,AND($C$7="Y",B39=C$4),D38+F39-J39-K39-L39+N39,AND($C$7="Y",B39&gt;$C$4),D38-J39-K39-L39+N39, TRUE, D38-J39-K39-L39+N39)</f>
        <v>55128343.952399537</v>
      </c>
      <c r="E39" s="48">
        <f t="shared" si="3"/>
        <v>0</v>
      </c>
      <c r="F39" s="50">
        <f t="shared" si="4"/>
        <v>0</v>
      </c>
      <c r="G39" s="56">
        <f t="shared" si="11"/>
        <v>0</v>
      </c>
      <c r="H39" s="51">
        <f>IF(AND($B39&lt;=$C$4,C$7="Y"),0,IF(AND(C$7="N",C$4&gt;0,B39&lt;=C$4),0,(D38-L39+N39)*C$2/12/(1-(1/(1+C$2/12))^(C$3+C$4-B39+1))))</f>
        <v>1696010.1611720545</v>
      </c>
      <c r="I39" s="52">
        <f>IF(AND(C$7="Y",$B39&lt;=C$4),0,IF(AND(C$7="Y",$B39&gt;C$4),(1-U39)*C$2*D38/12,IF(AND($C$7="N",C$4&gt;0),(1-U39)*D38*C$2/12, (1-U39)*D38*C$2/12)))</f>
        <v>235785.70171606471</v>
      </c>
      <c r="J39" s="57">
        <f>IF(AND($B39&lt;=$C$4,C$7="Y"),0,IF(AND(C$7="N",C$4&gt;0,B39&lt;=C$4),0,H39-I39))</f>
        <v>1460224.4594559898</v>
      </c>
      <c r="K39" s="55">
        <f>IF(AND(C$7="Y",$B39&lt;=$C$4),0,IF(AND(C$7="N",C$4&gt;0,B39&lt;=C$4),0,S39*(C39-J39)))</f>
        <v>0</v>
      </c>
      <c r="L39" s="55">
        <f>IF(AND(C$7="Y",$B39&lt;=$C$4),0,IF(AND(C$7="N",C$4&gt;0,B39&lt;=C$4),0,U39*D38))</f>
        <v>242402.2061238648</v>
      </c>
      <c r="M39" s="55">
        <f t="shared" si="17"/>
        <v>-271770.9235917129</v>
      </c>
      <c r="N39" s="55">
        <f t="shared" si="18"/>
        <v>0</v>
      </c>
      <c r="O39" s="48">
        <f>K39+I39+J39-L39+N39+G39</f>
        <v>1453607.9550481897</v>
      </c>
      <c r="P39" s="58">
        <f>O39*(1/((1+P$12)^(B39/12)))</f>
        <v>1453607.9550481897</v>
      </c>
      <c r="Q39" s="53"/>
      <c r="R39" s="53">
        <f t="shared" si="5"/>
        <v>0</v>
      </c>
      <c r="S39" s="53">
        <f t="shared" si="6"/>
        <v>0</v>
      </c>
      <c r="T39" s="53">
        <f t="shared" si="7"/>
        <v>0.05</v>
      </c>
      <c r="U39" s="53">
        <f t="shared" si="10"/>
        <v>4.2653187775606449E-3</v>
      </c>
    </row>
    <row r="40" spans="1:23" x14ac:dyDescent="0.2">
      <c r="A40" s="62">
        <f t="shared" si="1"/>
        <v>0.53433149537877889</v>
      </c>
      <c r="B40" s="45">
        <f t="shared" si="2"/>
        <v>26</v>
      </c>
      <c r="C40" s="51">
        <f>IF(B40&lt;C$4,C$1,D39-L40+N40)</f>
        <v>54893203.991763547</v>
      </c>
      <c r="D40" s="60" cm="1">
        <f t="array" ref="D40">_xlfn.IFS(AND($C$7="Y",B40&lt;C$4),C40,AND($C$7="Y",B40=C$4),D39+F40-J40-K40-L40+N40,AND($C$7="Y",B40&gt;$C$4),D39-J40-K40-L40+N40, TRUE, D39-J40-K40-L40+N40)</f>
        <v>53433149.537877887</v>
      </c>
      <c r="E40" s="48">
        <f t="shared" si="3"/>
        <v>0</v>
      </c>
      <c r="F40" s="50">
        <f t="shared" si="4"/>
        <v>0</v>
      </c>
      <c r="G40" s="50">
        <f t="shared" si="11"/>
        <v>0</v>
      </c>
      <c r="H40" s="51">
        <f>IF(AND($B40&lt;=$C$4,C$7="Y"),0,IF(AND(C$7="N",C$4&gt;0,B40&lt;=C$4),0,(D39-L40+N40)*C$2/12/(1-(1/(1+C$2/12))^(C$3+C$4-B40+1))))</f>
        <v>1688776.1371846735</v>
      </c>
      <c r="I40" s="52">
        <f>IF(AND(C$7="Y",$B40&lt;=C$4),0,IF(AND(C$7="Y",$B40&gt;C$4),(1-U40)*C$2*D39/12,IF(AND($C$7="N",C$4&gt;0),(1-U40)*D39*C$2/12, (1-U40)*D39*C$2/12)))</f>
        <v>228721.68329901481</v>
      </c>
      <c r="J40" s="52">
        <f>IF(AND($B40&lt;=$C$4,C$7="Y"),0,IF(AND(C$7="N",C$4&gt;0,B40&lt;=C$4),0,H40-I40))</f>
        <v>1460054.4538856586</v>
      </c>
      <c r="K40" s="51">
        <f>IF(AND(C$7="Y",$B40&lt;=$C$4),0,IF(AND(C$7="N",C$4&gt;0,B40&lt;=C$4),0,S40*(C40-J40)))</f>
        <v>0</v>
      </c>
      <c r="L40" s="49">
        <f>IF(AND(C$7="Y",$B40&lt;=$C$4),0,IF(AND(C$7="N",C$4&gt;0,B40&lt;=C$4),0,U40*D39))</f>
        <v>235139.96063599156</v>
      </c>
      <c r="M40" s="49">
        <f t="shared" si="17"/>
        <v>-264380.50980552391</v>
      </c>
      <c r="N40" s="49">
        <f t="shared" si="18"/>
        <v>0</v>
      </c>
      <c r="O40" s="48">
        <f>K40+I40+J40-L40+N40+G40</f>
        <v>1453636.1765486819</v>
      </c>
      <c r="P40" s="38">
        <f>O40*(1/((1+P$12)^(B40/12)))</f>
        <v>1453636.1765486819</v>
      </c>
      <c r="Q40" s="53"/>
      <c r="R40" s="53">
        <f t="shared" si="5"/>
        <v>0</v>
      </c>
      <c r="S40" s="53">
        <f t="shared" si="6"/>
        <v>0</v>
      </c>
      <c r="T40" s="53">
        <f t="shared" si="7"/>
        <v>0.05</v>
      </c>
      <c r="U40" s="53">
        <f t="shared" si="10"/>
        <v>4.2653187775606449E-3</v>
      </c>
    </row>
    <row r="41" spans="1:23" x14ac:dyDescent="0.2">
      <c r="A41" s="62">
        <f t="shared" si="1"/>
        <v>0.51745355653701675</v>
      </c>
      <c r="B41" s="45">
        <f t="shared" si="2"/>
        <v>27</v>
      </c>
      <c r="C41" s="51">
        <f>IF(B41&lt;C$4,C$1,D40-L41+N41)</f>
        <v>53205240.121809773</v>
      </c>
      <c r="D41" s="47" cm="1">
        <f t="array" ref="D41">_xlfn.IFS(AND($C$7="Y",B41&lt;C$4),C41,AND($C$7="Y",B41=C$4),D40+F41-J41-K41-L41+N41,AND($C$7="Y",B41&gt;$C$4),D40-J41-K41-L41+N41, TRUE, D40-J41-K41-L41+N41)</f>
        <v>51745355.65370167</v>
      </c>
      <c r="E41" s="48">
        <f t="shared" si="3"/>
        <v>0</v>
      </c>
      <c r="F41" s="50">
        <f t="shared" si="4"/>
        <v>0</v>
      </c>
      <c r="G41" s="50">
        <f t="shared" si="11"/>
        <v>0</v>
      </c>
      <c r="H41" s="51">
        <f>IF(AND($B41&lt;=$C$4,C$7="Y"),0,IF(AND(C$7="N",C$4&gt;0,B41&lt;=C$4),0,(D40-L41+N41)*C$2/12/(1-(1/(1+C$2/12))^(C$3+C$4-B41+1))))</f>
        <v>1681572.9686156425</v>
      </c>
      <c r="I41" s="52">
        <f>IF(AND(C$7="Y",$B41&lt;=C$4),0,IF(AND(C$7="Y",$B41&gt;C$4),(1-U41)*C$2*D40/12,IF(AND($C$7="N",C$4&gt;0),(1-U41)*D40*C$2/12, (1-U41)*D40*C$2/12)))</f>
        <v>221688.50050754074</v>
      </c>
      <c r="J41" s="52">
        <f>IF(AND($B41&lt;=$C$4,C$7="Y"),0,IF(AND(C$7="N",C$4&gt;0,B41&lt;=C$4),0,H41-I41))</f>
        <v>1459884.4681081017</v>
      </c>
      <c r="K41" s="51">
        <f>IF(AND(C$7="Y",$B41&lt;=$C$4),0,IF(AND(C$7="N",C$4&gt;0,B41&lt;=C$4),0,S41*(C41-J41)))</f>
        <v>0</v>
      </c>
      <c r="L41" s="49">
        <f>IF(AND(C$7="Y",$B41&lt;=$C$4),0,IF(AND(C$7="N",C$4&gt;0,B41&lt;=C$4),0,U41*D40))</f>
        <v>227909.41606811646</v>
      </c>
      <c r="M41" s="49">
        <f t="shared" si="17"/>
        <v>-257022.34395577083</v>
      </c>
      <c r="N41" s="49">
        <f t="shared" si="18"/>
        <v>0</v>
      </c>
      <c r="O41" s="48">
        <f>K41+I41+J41-L41+N41+G41</f>
        <v>1453663.5525475261</v>
      </c>
      <c r="P41" s="38">
        <f>O41*(1/((1+P$12)^(B41/12)))</f>
        <v>1453663.5525475261</v>
      </c>
      <c r="Q41" s="53"/>
      <c r="R41" s="53">
        <f t="shared" si="5"/>
        <v>0</v>
      </c>
      <c r="S41" s="53">
        <f t="shared" si="6"/>
        <v>0</v>
      </c>
      <c r="T41" s="53">
        <f t="shared" si="7"/>
        <v>0.05</v>
      </c>
      <c r="U41" s="53">
        <f t="shared" si="10"/>
        <v>4.2653187775606449E-3</v>
      </c>
    </row>
    <row r="42" spans="1:23" x14ac:dyDescent="0.2">
      <c r="A42" s="62">
        <f t="shared" si="1"/>
        <v>0.50064930714459366</v>
      </c>
      <c r="B42" s="45">
        <f t="shared" si="2"/>
        <v>28</v>
      </c>
      <c r="C42" s="51">
        <f>IF(B42&lt;C$4,C$1,D41-L42+N42)</f>
        <v>51524645.216580383</v>
      </c>
      <c r="D42" s="47" cm="1">
        <f t="array" ref="D42">_xlfn.IFS(AND($C$7="Y",B42&lt;C$4),C42,AND($C$7="Y",B42=C$4),D41+F42-J42-K42-L42+N42,AND($C$7="Y",B42&gt;$C$4),D41-J42-K42-L42+N42, TRUE, D41-J42-K42-L42+N42)</f>
        <v>50064930.714459367</v>
      </c>
      <c r="E42" s="48">
        <f t="shared" si="3"/>
        <v>0</v>
      </c>
      <c r="F42" s="50">
        <f t="shared" si="4"/>
        <v>0</v>
      </c>
      <c r="G42" s="50">
        <f t="shared" si="11"/>
        <v>0</v>
      </c>
      <c r="H42" s="51">
        <f>IF(AND($B42&lt;=$C$4,C$7="Y"),0,IF(AND(C$7="N",C$4&gt;0,B42&lt;=C$4),0,(D41-L42+N42)*C$2/12/(1-(1/(1+C$2/12))^(C$3+C$4-B42+1))))</f>
        <v>1674400.5238567689</v>
      </c>
      <c r="I42" s="52">
        <f>IF(AND(C$7="Y",$B42&lt;=C$4),0,IF(AND(C$7="Y",$B42&gt;C$4),(1-U42)*C$2*D41/12,IF(AND($C$7="N",C$4&gt;0),(1-U42)*D41*C$2/12, (1-U42)*D41*C$2/12)))</f>
        <v>214686.02173575162</v>
      </c>
      <c r="J42" s="52">
        <f>IF(AND($B42&lt;=$C$4,C$7="Y"),0,IF(AND(C$7="N",C$4&gt;0,B42&lt;=C$4),0,H42-I42))</f>
        <v>1459714.5021210173</v>
      </c>
      <c r="K42" s="51">
        <f>IF(AND(C$7="Y",$B42&lt;=$C$4),0,IF(AND(C$7="N",C$4&gt;0,B42&lt;=C$4),0,S42*(C42-J42)))</f>
        <v>0</v>
      </c>
      <c r="L42" s="49">
        <f>IF(AND(C$7="Y",$B42&lt;=$C$4),0,IF(AND(C$7="N",C$4&gt;0,B42&lt;=C$4),0,U42*D41))</f>
        <v>220710.43712128763</v>
      </c>
      <c r="M42" s="49">
        <f t="shared" si="17"/>
        <v>-249696.28841026302</v>
      </c>
      <c r="N42" s="49">
        <f t="shared" si="18"/>
        <v>0</v>
      </c>
      <c r="O42" s="48">
        <f>K42+I42+J42-L42+N42+G42</f>
        <v>1453690.0867354812</v>
      </c>
      <c r="P42" s="38">
        <f>O42*(1/((1+P$12)^(B42/12)))</f>
        <v>1453690.0867354812</v>
      </c>
      <c r="Q42" s="53"/>
      <c r="R42" s="53">
        <f t="shared" si="5"/>
        <v>0</v>
      </c>
      <c r="S42" s="53">
        <f t="shared" si="6"/>
        <v>0</v>
      </c>
      <c r="T42" s="53">
        <f t="shared" si="7"/>
        <v>0.05</v>
      </c>
      <c r="U42" s="53">
        <f t="shared" si="10"/>
        <v>4.2653187775606449E-3</v>
      </c>
    </row>
    <row r="43" spans="1:23" x14ac:dyDescent="0.2">
      <c r="A43" s="62">
        <f t="shared" si="1"/>
        <v>0.48391843269463614</v>
      </c>
      <c r="B43" s="45">
        <f t="shared" si="2"/>
        <v>29</v>
      </c>
      <c r="C43" s="51">
        <f>IF(B43&lt;C$4,C$1,D42-L43+N43)</f>
        <v>49851387.825385712</v>
      </c>
      <c r="D43" s="47" cm="1">
        <f t="array" ref="D43">_xlfn.IFS(AND($C$7="Y",B43&lt;C$4),C43,AND($C$7="Y",B43=C$4),D42+F43-J43-K43-L43+N43,AND($C$7="Y",B43&gt;$C$4),D42-J43-K43-L43+N43, TRUE, D42-J43-K43-L43+N43)</f>
        <v>48391843.269463614</v>
      </c>
      <c r="E43" s="48">
        <f t="shared" si="3"/>
        <v>0</v>
      </c>
      <c r="F43" s="50">
        <f t="shared" si="4"/>
        <v>0</v>
      </c>
      <c r="G43" s="50">
        <f t="shared" si="11"/>
        <v>0</v>
      </c>
      <c r="H43" s="51">
        <f>IF(AND($B43&lt;=$C$4,C$7="Y"),0,IF(AND(C$7="N",C$4&gt;0,B43&lt;=C$4),0,(D42-L43+N43)*C$2/12/(1-(1/(1+C$2/12))^(C$3+C$4-B43+1))))</f>
        <v>1667258.6718612043</v>
      </c>
      <c r="I43" s="52">
        <f>IF(AND(C$7="Y",$B43&lt;=C$4),0,IF(AND(C$7="Y",$B43&gt;C$4),(1-U43)*C$2*D42/12,IF(AND($C$7="N",C$4&gt;0),(1-U43)*D42*C$2/12, (1-U43)*D42*C$2/12)))</f>
        <v>207714.11593910714</v>
      </c>
      <c r="J43" s="52">
        <f>IF(AND($B43&lt;=$C$4,C$7="Y"),0,IF(AND(C$7="N",C$4&gt;0,B43&lt;=C$4),0,H43-I43))</f>
        <v>1459544.5559220971</v>
      </c>
      <c r="K43" s="51">
        <f>IF(AND(C$7="Y",$B43&lt;=$C$4),0,IF(AND(C$7="N",C$4&gt;0,B43&lt;=C$4),0,S43*(C43-J43)))</f>
        <v>0</v>
      </c>
      <c r="L43" s="49">
        <f>IF(AND(C$7="Y",$B43&lt;=$C$4),0,IF(AND(C$7="N",C$4&gt;0,B43&lt;=C$4),0,U43*D42))</f>
        <v>213542.8890736562</v>
      </c>
      <c r="M43" s="49">
        <f t="shared" si="17"/>
        <v>-242402.2061238648</v>
      </c>
      <c r="N43" s="49">
        <f t="shared" si="18"/>
        <v>0</v>
      </c>
      <c r="O43" s="48">
        <f>K43+I43+J43-L43+N43+G43</f>
        <v>1453715.7827875481</v>
      </c>
      <c r="P43" s="38">
        <f>O43*(1/((1+P$12)^(B43/12)))</f>
        <v>1453715.7827875481</v>
      </c>
      <c r="Q43" s="53"/>
      <c r="R43" s="53">
        <f t="shared" si="5"/>
        <v>0</v>
      </c>
      <c r="S43" s="53">
        <f t="shared" si="6"/>
        <v>0</v>
      </c>
      <c r="T43" s="53">
        <f t="shared" si="7"/>
        <v>0.05</v>
      </c>
      <c r="U43" s="53">
        <f t="shared" si="10"/>
        <v>4.2653187775606449E-3</v>
      </c>
    </row>
    <row r="44" spans="1:23" x14ac:dyDescent="0.2">
      <c r="A44" s="62">
        <f t="shared" si="1"/>
        <v>0.4672606200217656</v>
      </c>
      <c r="B44" s="54">
        <f t="shared" si="2"/>
        <v>30</v>
      </c>
      <c r="C44" s="51">
        <f>IF(B44&lt;C$4,C$1,D43-L44+N44)</f>
        <v>48185436.6316856</v>
      </c>
      <c r="D44" s="60" cm="1">
        <f t="array" ref="D44">_xlfn.IFS(AND($C$7="Y",B44&lt;C$4),C44,AND($C$7="Y",B44=C$4),D43+F44-J44-K44-L44+N44,AND($C$7="Y",B44&gt;$C$4),D43-J44-K44-L44+N44, TRUE, D43-J44-K44-L44+N44)</f>
        <v>46726062.00217656</v>
      </c>
      <c r="E44" s="48">
        <f t="shared" si="3"/>
        <v>0</v>
      </c>
      <c r="F44" s="50">
        <f t="shared" si="4"/>
        <v>0</v>
      </c>
      <c r="G44" s="50">
        <f t="shared" si="11"/>
        <v>0</v>
      </c>
      <c r="H44" s="51">
        <f>IF(AND($B44&lt;=$C$4,C$7="Y"),0,IF(AND(C$7="N",C$4&gt;0,B44&lt;=C$4),0,(D43-L44+N44)*C$2/12/(1-(1/(1+C$2/12))^(C$3+C$4-B44+1))))</f>
        <v>1660147.2821410643</v>
      </c>
      <c r="I44" s="52">
        <f>IF(AND(C$7="Y",$B44&lt;=C$4),0,IF(AND(C$7="Y",$B44&gt;C$4),(1-U44)*C$2*D43/12,IF(AND($C$7="N",C$4&gt;0),(1-U44)*D43*C$2/12, (1-U44)*D43*C$2/12)))</f>
        <v>200772.65263202332</v>
      </c>
      <c r="J44" s="52">
        <f>IF(AND($B44&lt;=$C$4,C$7="Y"),0,IF(AND(C$7="N",C$4&gt;0,B44&lt;=C$4),0,H44-I44))</f>
        <v>1459374.6295090411</v>
      </c>
      <c r="K44" s="51">
        <f>IF(AND(C$7="Y",$B44&lt;=$C$4),0,IF(AND(C$7="N",C$4&gt;0,B44&lt;=C$4),0,S44*(C44-J44)))</f>
        <v>0</v>
      </c>
      <c r="L44" s="49">
        <f>IF(AND(C$7="Y",$B44&lt;=$C$4),0,IF(AND(C$7="N",C$4&gt;0,B44&lt;=C$4),0,U44*D43))</f>
        <v>206406.63777801488</v>
      </c>
      <c r="M44" s="49">
        <f>IFERROR(L40*-1,0)</f>
        <v>-235139.96063599156</v>
      </c>
      <c r="N44" s="49">
        <f t="shared" si="18"/>
        <v>0</v>
      </c>
      <c r="O44" s="48">
        <f>K44+I44+J44-L44+N44+G44</f>
        <v>1453740.6443630494</v>
      </c>
      <c r="P44" s="38">
        <f>O44*(1/((1+P$12)^(B44/12)))</f>
        <v>1453740.6443630494</v>
      </c>
      <c r="Q44" s="53"/>
      <c r="R44" s="53">
        <f t="shared" si="5"/>
        <v>0</v>
      </c>
      <c r="S44" s="53">
        <f t="shared" si="6"/>
        <v>0</v>
      </c>
      <c r="T44" s="53">
        <f t="shared" si="7"/>
        <v>0.05</v>
      </c>
      <c r="U44" s="53">
        <f t="shared" si="10"/>
        <v>4.2653187775606449E-3</v>
      </c>
    </row>
    <row r="45" spans="1:23" x14ac:dyDescent="0.2">
      <c r="A45" s="62">
        <f t="shared" si="1"/>
        <v>0.45067555729637665</v>
      </c>
      <c r="B45" s="54">
        <f t="shared" si="2"/>
        <v>31</v>
      </c>
      <c r="C45" s="51">
        <f>IF(B45&lt;C$4,C$1,D44-L45+N45)</f>
        <v>46526760.452517211</v>
      </c>
      <c r="D45" s="60" cm="1">
        <f t="array" ref="D45">_xlfn.IFS(AND($C$7="Y",B45&lt;C$4),C45,AND($C$7="Y",B45=C$4),D44+F45-J45-K45-L45+N45,AND($C$7="Y",B45&gt;$C$4),D44-J45-K45-L45+N45, TRUE, D44-J45-K45-L45+N45)</f>
        <v>45067555.729637668</v>
      </c>
      <c r="E45" s="48">
        <f t="shared" si="3"/>
        <v>0</v>
      </c>
      <c r="F45" s="50">
        <f t="shared" si="4"/>
        <v>0</v>
      </c>
      <c r="G45" s="50">
        <f t="shared" si="11"/>
        <v>0</v>
      </c>
      <c r="H45" s="51">
        <f>IF(AND($B45&lt;=$C$4,C$7="Y"),0,IF(AND(C$7="N",C$4&gt;0,B45&lt;=C$4),0,(D44-L45+N45)*C$2/12/(1-(1/(1+C$2/12))^(C$3+C$4-B45+1))))</f>
        <v>1653066.2247650314</v>
      </c>
      <c r="I45" s="52">
        <f>IF(AND(C$7="Y",$B45&lt;=C$4),0,IF(AND(C$7="Y",$B45&gt;C$4),(1-U45)*C$2*D44/12,IF(AND($C$7="N",C$4&gt;0),(1-U45)*D44*C$2/12, (1-U45)*D44*C$2/12)))</f>
        <v>193861.5018854884</v>
      </c>
      <c r="J45" s="52">
        <f>IF(AND($B45&lt;=$C$4,C$7="Y"),0,IF(AND(C$7="N",C$4&gt;0,B45&lt;=C$4),0,H45-I45))</f>
        <v>1459204.722879543</v>
      </c>
      <c r="K45" s="51">
        <f>IF(AND(C$7="Y",$B45&lt;=$C$4),0,IF(AND(C$7="N",C$4&gt;0,B45&lt;=C$4),0,S45*(C45-J45)))</f>
        <v>0</v>
      </c>
      <c r="L45" s="49">
        <f>IF(AND(C$7="Y",$B45&lt;=$C$4),0,IF(AND(C$7="N",C$4&gt;0,B45&lt;=C$4),0,U45*D44))</f>
        <v>199301.54965934664</v>
      </c>
      <c r="M45" s="49">
        <f t="shared" ref="M45:M108" si="19">IFERROR(L41*-1,0)</f>
        <v>-227909.41606811646</v>
      </c>
      <c r="N45" s="49">
        <f t="shared" si="18"/>
        <v>0</v>
      </c>
      <c r="O45" s="48">
        <f>K45+I45+J45-L45+N45+G45</f>
        <v>1453764.6751056847</v>
      </c>
      <c r="P45" s="38">
        <f>O45*(1/((1+P$12)^(B45/12)))</f>
        <v>1453764.6751056847</v>
      </c>
      <c r="Q45" s="53"/>
      <c r="R45" s="53">
        <f t="shared" si="5"/>
        <v>0</v>
      </c>
      <c r="S45" s="53">
        <f t="shared" si="6"/>
        <v>0</v>
      </c>
      <c r="T45" s="53">
        <f t="shared" si="7"/>
        <v>0.05</v>
      </c>
      <c r="U45" s="53">
        <f t="shared" si="10"/>
        <v>4.2653187775606449E-3</v>
      </c>
    </row>
    <row r="46" spans="1:23" x14ac:dyDescent="0.2">
      <c r="A46" s="62">
        <f t="shared" si="1"/>
        <v>0.43416293401893979</v>
      </c>
      <c r="B46" s="45">
        <f t="shared" si="2"/>
        <v>32</v>
      </c>
      <c r="C46" s="51">
        <f>IF(B46&lt;C$4,C$1,D45-L46+N46)</f>
        <v>44875328.237925284</v>
      </c>
      <c r="D46" s="47" cm="1">
        <f t="array" ref="D46">_xlfn.IFS(AND($C$7="Y",B46&lt;C$4),C46,AND($C$7="Y",B46=C$4),D45+F46-J46-K46-L46+N46,AND($C$7="Y",B46&gt;$C$4),D45-J46-K46-L46+N46, TRUE, D45-J46-K46-L46+N46)</f>
        <v>43416293.401893981</v>
      </c>
      <c r="E46" s="48">
        <f t="shared" si="3"/>
        <v>0</v>
      </c>
      <c r="F46" s="50">
        <f t="shared" si="4"/>
        <v>0</v>
      </c>
      <c r="G46" s="50">
        <f t="shared" si="11"/>
        <v>0</v>
      </c>
      <c r="H46" s="51">
        <f>IF(AND($B46&lt;=$C$4,C$7="Y"),0,IF(AND(C$7="N",C$4&gt;0,B46&lt;=C$4),0,(D45-L46+N46)*C$2/12/(1-(1/(1+C$2/12))^(C$3+C$4-B46+1))))</f>
        <v>1646015.3703559896</v>
      </c>
      <c r="I46" s="52">
        <f>IF(AND(C$7="Y",$B46&lt;=C$4),0,IF(AND(C$7="Y",$B46&gt;C$4),(1-U46)*C$2*D45/12,IF(AND($C$7="N",C$4&gt;0),(1-U46)*D45*C$2/12, (1-U46)*D45*C$2/12)))</f>
        <v>186980.53432468869</v>
      </c>
      <c r="J46" s="52">
        <f>IF(AND($B46&lt;=$C$4,C$7="Y"),0,IF(AND(C$7="N",C$4&gt;0,B46&lt;=C$4),0,H46-I46))</f>
        <v>1459034.8360313009</v>
      </c>
      <c r="K46" s="51">
        <f>IF(AND(C$7="Y",$B46&lt;=$C$4),0,IF(AND(C$7="N",C$4&gt;0,B46&lt;=C$4),0,S46*(C46-J46)))</f>
        <v>0</v>
      </c>
      <c r="L46" s="49">
        <f>IF(AND(C$7="Y",$B46&lt;=$C$4),0,IF(AND(C$7="N",C$4&gt;0,B46&lt;=C$4),0,U46*D45))</f>
        <v>192227.49171238436</v>
      </c>
      <c r="M46" s="49">
        <f t="shared" si="19"/>
        <v>-220710.43712128763</v>
      </c>
      <c r="N46" s="49">
        <f t="shared" si="18"/>
        <v>0</v>
      </c>
      <c r="O46" s="48">
        <f>K46+I46+J46-L46+N46+G46</f>
        <v>1453787.8786436052</v>
      </c>
      <c r="P46" s="38">
        <f>O46*(1/((1+P$12)^(B46/12)))</f>
        <v>1453787.8786436052</v>
      </c>
      <c r="Q46" s="53"/>
      <c r="R46" s="53">
        <f t="shared" si="5"/>
        <v>0</v>
      </c>
      <c r="S46" s="53">
        <f t="shared" si="6"/>
        <v>0</v>
      </c>
      <c r="T46" s="53">
        <f t="shared" si="7"/>
        <v>0.05</v>
      </c>
      <c r="U46" s="53">
        <f t="shared" si="10"/>
        <v>4.2653187775606449E-3</v>
      </c>
    </row>
    <row r="47" spans="1:23" x14ac:dyDescent="0.2">
      <c r="A47" s="62">
        <f t="shared" si="1"/>
        <v>0.41772244101432787</v>
      </c>
      <c r="B47" s="45">
        <f t="shared" si="2"/>
        <v>33</v>
      </c>
      <c r="C47" s="51">
        <f>IF(B47&lt;C$4,C$1,D46-L47+N47)</f>
        <v>43231109.070394799</v>
      </c>
      <c r="D47" s="47" cm="1">
        <f t="array" ref="D47">_xlfn.IFS(AND($C$7="Y",B47&lt;C$4),C47,AND($C$7="Y",B47=C$4),D46+F47-J47-K47-L47+N47,AND($C$7="Y",B47&gt;$C$4),D46-J47-K47-L47+N47, TRUE, D46-J47-K47-L47+N47)</f>
        <v>41772244.101432785</v>
      </c>
      <c r="E47" s="48">
        <f t="shared" si="3"/>
        <v>0</v>
      </c>
      <c r="F47" s="50">
        <f t="shared" si="4"/>
        <v>0</v>
      </c>
      <c r="G47" s="50">
        <f t="shared" si="11"/>
        <v>0</v>
      </c>
      <c r="H47" s="51">
        <f>IF(AND($B47&lt;=$C$4,C$7="Y"),0,IF(AND(C$7="N",C$4&gt;0,B47&lt;=C$4),0,(D46-L47+N47)*C$2/12/(1-(1/(1+C$2/12))^(C$3+C$4-B47+1))))</f>
        <v>1638994.5900886573</v>
      </c>
      <c r="I47" s="52">
        <f>IF(AND(C$7="Y",$B47&lt;=C$4),0,IF(AND(C$7="Y",$B47&gt;C$4),(1-U47)*C$2*D46/12,IF(AND($C$7="N",C$4&gt;0),(1-U47)*D46*C$2/12, (1-U47)*D46*C$2/12)))</f>
        <v>180129.62112664501</v>
      </c>
      <c r="J47" s="52">
        <f>IF(AND($B47&lt;=$C$4,C$7="Y"),0,IF(AND(C$7="N",C$4&gt;0,B47&lt;=C$4),0,H47-I47))</f>
        <v>1458864.9689620123</v>
      </c>
      <c r="K47" s="51">
        <f>IF(AND(C$7="Y",$B47&lt;=$C$4),0,IF(AND(C$7="N",C$4&gt;0,B47&lt;=C$4),0,S47*(C47-J47)))</f>
        <v>0</v>
      </c>
      <c r="L47" s="49">
        <f>IF(AND(C$7="Y",$B47&lt;=$C$4),0,IF(AND(C$7="N",C$4&gt;0,B47&lt;=C$4),0,U47*D46))</f>
        <v>185184.33149918073</v>
      </c>
      <c r="M47" s="49">
        <f t="shared" si="19"/>
        <v>-213542.8890736562</v>
      </c>
      <c r="N47" s="49">
        <f t="shared" si="18"/>
        <v>0</v>
      </c>
      <c r="O47" s="48">
        <f>K47+I47+J47-L47+N47+G47</f>
        <v>1453810.2585894766</v>
      </c>
      <c r="P47" s="38">
        <f>O47*(1/((1+P$12)^(B47/12)))</f>
        <v>1453810.2585894766</v>
      </c>
      <c r="Q47" s="53"/>
      <c r="R47" s="53">
        <f t="shared" si="5"/>
        <v>0</v>
      </c>
      <c r="S47" s="53">
        <f t="shared" si="6"/>
        <v>0</v>
      </c>
      <c r="T47" s="53">
        <f t="shared" si="7"/>
        <v>0.05</v>
      </c>
      <c r="U47" s="53">
        <f t="shared" si="10"/>
        <v>4.2653187775606449E-3</v>
      </c>
    </row>
    <row r="48" spans="1:23" x14ac:dyDescent="0.2">
      <c r="A48" s="62">
        <f t="shared" si="1"/>
        <v>0.40135377042616727</v>
      </c>
      <c r="B48" s="45">
        <f t="shared" si="2"/>
        <v>34</v>
      </c>
      <c r="C48" s="51">
        <f>IF(B48&lt;C$4,C$1,D47-L48+N48)</f>
        <v>41594072.164286099</v>
      </c>
      <c r="D48" s="47" cm="1">
        <f t="array" ref="D48">_xlfn.IFS(AND($C$7="Y",B48&lt;C$4),C48,AND($C$7="Y",B48=C$4),D47+F48-J48-K48-L48+N48,AND($C$7="Y",B48&gt;$C$4),D47-J48-K48-L48+N48, TRUE, D47-J48-K48-L48+N48)</f>
        <v>40135377.042616725</v>
      </c>
      <c r="E48" s="48">
        <f t="shared" si="3"/>
        <v>0</v>
      </c>
      <c r="F48" s="50">
        <f t="shared" si="4"/>
        <v>0</v>
      </c>
      <c r="G48" s="50">
        <f t="shared" si="11"/>
        <v>0</v>
      </c>
      <c r="H48" s="51">
        <f>IF(AND($B48&lt;=$C$4,C$7="Y"),0,IF(AND(C$7="N",C$4&gt;0,B48&lt;=C$4),0,(D47-L48+N48)*C$2/12/(1-(1/(1+C$2/12))^(C$3+C$4-B48+1))))</f>
        <v>1632003.7556872305</v>
      </c>
      <c r="I48" s="52">
        <f>IF(AND(C$7="Y",$B48&lt;=C$4),0,IF(AND(C$7="Y",$B48&gt;C$4),(1-U48)*C$2*D47/12,IF(AND($C$7="N",C$4&gt;0),(1-U48)*D47*C$2/12, (1-U48)*D47*C$2/12)))</f>
        <v>173308.63401785874</v>
      </c>
      <c r="J48" s="52">
        <f>IF(AND($B48&lt;=$C$4,C$7="Y"),0,IF(AND(C$7="N",C$4&gt;0,B48&lt;=C$4),0,H48-I48))</f>
        <v>1458695.1216693718</v>
      </c>
      <c r="K48" s="51">
        <f>IF(AND(C$7="Y",$B48&lt;=$C$4),0,IF(AND(C$7="N",C$4&gt;0,B48&lt;=C$4),0,S48*(C48-J48)))</f>
        <v>0</v>
      </c>
      <c r="L48" s="49">
        <f>IF(AND(C$7="Y",$B48&lt;=$C$4),0,IF(AND(C$7="N",C$4&gt;0,B48&lt;=C$4),0,U48*D47))</f>
        <v>178171.93714668814</v>
      </c>
      <c r="M48" s="49">
        <f t="shared" si="19"/>
        <v>-206406.63777801488</v>
      </c>
      <c r="N48" s="49">
        <f t="shared" si="18"/>
        <v>0</v>
      </c>
      <c r="O48" s="48">
        <f>K48+I48+J48-L48+N48+G48</f>
        <v>1453831.8185405424</v>
      </c>
      <c r="P48" s="38">
        <f>O48*(1/((1+P$12)^(B48/12)))</f>
        <v>1453831.8185405424</v>
      </c>
      <c r="Q48" s="53"/>
      <c r="R48" s="53">
        <f t="shared" si="5"/>
        <v>0</v>
      </c>
      <c r="S48" s="53">
        <f t="shared" si="6"/>
        <v>0</v>
      </c>
      <c r="T48" s="53">
        <f t="shared" si="7"/>
        <v>0.05</v>
      </c>
      <c r="U48" s="53">
        <f t="shared" si="10"/>
        <v>4.2653187775606449E-3</v>
      </c>
    </row>
    <row r="49" spans="1:21" x14ac:dyDescent="0.2">
      <c r="A49" s="62">
        <f t="shared" si="1"/>
        <v>0.38505661571121291</v>
      </c>
      <c r="B49" s="45">
        <f t="shared" si="2"/>
        <v>35</v>
      </c>
      <c r="C49" s="51">
        <f>IF(B49&lt;C$4,C$1,D48-L49+N49)</f>
        <v>39964186.865272373</v>
      </c>
      <c r="D49" s="47" cm="1">
        <f t="array" ref="D49">_xlfn.IFS(AND($C$7="Y",B49&lt;C$4),C49,AND($C$7="Y",B49=C$4),D48+F49-J49-K49-L49+N49,AND($C$7="Y",B49&gt;$C$4),D48-J49-K49-L49+N49, TRUE, D48-J49-K49-L49+N49)</f>
        <v>38505661.57112129</v>
      </c>
      <c r="E49" s="48">
        <f t="shared" si="3"/>
        <v>0</v>
      </c>
      <c r="F49" s="50">
        <f t="shared" si="4"/>
        <v>0</v>
      </c>
      <c r="G49" s="50">
        <f t="shared" si="11"/>
        <v>0</v>
      </c>
      <c r="H49" s="51">
        <f>IF(AND($B49&lt;=$C$4,C$7="Y"),0,IF(AND(C$7="N",C$4&gt;0,B49&lt;=C$4),0,(D48-L49+N49)*C$2/12/(1-(1/(1+C$2/12))^(C$3+C$4-B49+1))))</f>
        <v>1625042.739423048</v>
      </c>
      <c r="I49" s="52">
        <f>IF(AND(C$7="Y",$B49&lt;=C$4),0,IF(AND(C$7="Y",$B49&gt;C$4),(1-U49)*C$2*D48/12,IF(AND($C$7="N",C$4&gt;0),(1-U49)*D48*C$2/12, (1-U49)*D48*C$2/12)))</f>
        <v>166517.44527196823</v>
      </c>
      <c r="J49" s="52">
        <f>IF(AND($B49&lt;=$C$4,C$7="Y"),0,IF(AND(C$7="N",C$4&gt;0,B49&lt;=C$4),0,H49-I49))</f>
        <v>1458525.2941510798</v>
      </c>
      <c r="K49" s="51">
        <f>IF(AND(C$7="Y",$B49&lt;=$C$4),0,IF(AND(C$7="N",C$4&gt;0,B49&lt;=C$4),0,S49*(C49-J49)))</f>
        <v>0</v>
      </c>
      <c r="L49" s="49">
        <f>IF(AND(C$7="Y",$B49&lt;=$C$4),0,IF(AND(C$7="N",C$4&gt;0,B49&lt;=C$4),0,U49*D48))</f>
        <v>171190.17734434953</v>
      </c>
      <c r="M49" s="49">
        <f t="shared" si="19"/>
        <v>-199301.54965934664</v>
      </c>
      <c r="N49" s="49">
        <f t="shared" si="18"/>
        <v>0</v>
      </c>
      <c r="O49" s="48">
        <f>K49+I49+J49-L49+N49+G49</f>
        <v>1453852.5620786985</v>
      </c>
      <c r="P49" s="38">
        <f>O49*(1/((1+P$12)^(B49/12)))</f>
        <v>1453852.5620786985</v>
      </c>
      <c r="Q49" s="53"/>
      <c r="R49" s="53">
        <f t="shared" si="5"/>
        <v>0</v>
      </c>
      <c r="S49" s="53">
        <f t="shared" si="6"/>
        <v>0</v>
      </c>
      <c r="T49" s="53">
        <f t="shared" si="7"/>
        <v>0.05</v>
      </c>
      <c r="U49" s="53">
        <f t="shared" si="10"/>
        <v>4.2653187775606449E-3</v>
      </c>
    </row>
    <row r="50" spans="1:21" x14ac:dyDescent="0.2">
      <c r="A50" s="62">
        <f t="shared" si="1"/>
        <v>0.36883067163374761</v>
      </c>
      <c r="B50" s="45">
        <f t="shared" si="2"/>
        <v>36</v>
      </c>
      <c r="C50" s="51">
        <f>IF(B50&lt;C$4,C$1,D49-L50+N50)</f>
        <v>38341422.649779588</v>
      </c>
      <c r="D50" s="47" cm="1">
        <f t="array" ref="D50">_xlfn.IFS(AND($C$7="Y",B50&lt;C$4),C50,AND($C$7="Y",B50=C$4),D49+F50-J50-K50-L50+N50,AND($C$7="Y",B50&gt;$C$4),D49-J50-K50-L50+N50, TRUE, D49-J50-K50-L50+N50)</f>
        <v>36883067.163374759</v>
      </c>
      <c r="E50" s="48">
        <f t="shared" si="3"/>
        <v>0</v>
      </c>
      <c r="F50" s="50">
        <f t="shared" si="4"/>
        <v>0</v>
      </c>
      <c r="G50" s="50">
        <f t="shared" si="11"/>
        <v>0</v>
      </c>
      <c r="H50" s="51">
        <f>IF(AND($B50&lt;=$C$4,C$7="Y"),0,IF(AND(C$7="N",C$4&gt;0,B50&lt;=C$4),0,(D49-L50+N50)*C$2/12/(1-(1/(1+C$2/12))^(C$3+C$4-B50+1))))</f>
        <v>1618111.4141122466</v>
      </c>
      <c r="I50" s="52">
        <f>IF(AND(C$7="Y",$B50&lt;=C$4),0,IF(AND(C$7="Y",$B50&gt;C$4),(1-U50)*C$2*D49/12,IF(AND($C$7="N",C$4&gt;0),(1-U50)*D49*C$2/12, (1-U50)*D49*C$2/12)))</f>
        <v>159755.92770741496</v>
      </c>
      <c r="J50" s="52">
        <f>IF(AND($B50&lt;=$C$4,C$7="Y"),0,IF(AND(C$7="N",C$4&gt;0,B50&lt;=C$4),0,H50-I50))</f>
        <v>1458355.4864048315</v>
      </c>
      <c r="K50" s="51">
        <f>IF(AND(C$7="Y",$B50&lt;=$C$4),0,IF(AND(C$7="N",C$4&gt;0,B50&lt;=C$4),0,S50*(C50-J50)))</f>
        <v>0</v>
      </c>
      <c r="L50" s="49">
        <f>IF(AND(C$7="Y",$B50&lt;=$C$4),0,IF(AND(C$7="N",C$4&gt;0,B50&lt;=C$4),0,U50*D49))</f>
        <v>164238.92134169897</v>
      </c>
      <c r="M50" s="49">
        <f t="shared" si="19"/>
        <v>-192227.49171238436</v>
      </c>
      <c r="N50" s="49">
        <f t="shared" si="18"/>
        <v>0</v>
      </c>
      <c r="O50" s="48">
        <f>K50+I50+J50-L50+N50+G50</f>
        <v>1453872.4927705475</v>
      </c>
      <c r="P50" s="38">
        <f>O50*(1/((1+P$12)^(B50/12)))</f>
        <v>1453872.4927705475</v>
      </c>
      <c r="Q50" s="53"/>
      <c r="R50" s="53">
        <f t="shared" si="5"/>
        <v>0</v>
      </c>
      <c r="S50" s="53">
        <f t="shared" si="6"/>
        <v>0</v>
      </c>
      <c r="T50" s="53">
        <f t="shared" si="7"/>
        <v>0.05</v>
      </c>
      <c r="U50" s="53">
        <f t="shared" si="10"/>
        <v>4.2653187775606449E-3</v>
      </c>
    </row>
    <row r="51" spans="1:21" x14ac:dyDescent="0.2">
      <c r="A51" s="62">
        <f t="shared" si="1"/>
        <v>0.35267563426000459</v>
      </c>
      <c r="B51" s="45">
        <f t="shared" si="2"/>
        <v>37</v>
      </c>
      <c r="C51" s="51">
        <f>IF(B51&lt;C$4,C$1,D50-L51+N51)</f>
        <v>36725749.124428786</v>
      </c>
      <c r="D51" s="47" cm="1">
        <f t="array" ref="D51">_xlfn.IFS(AND($C$7="Y",B51&lt;C$4),C51,AND($C$7="Y",B51=C$4),D50+F51-J51-K51-L51+N51,AND($C$7="Y",B51&gt;$C$4),D50-J51-K51-L51+N51, TRUE, D50-J51-K51-L51+N51)</f>
        <v>35267563.426000461</v>
      </c>
      <c r="E51" s="48">
        <f t="shared" si="3"/>
        <v>0</v>
      </c>
      <c r="F51" s="50">
        <f t="shared" si="4"/>
        <v>0</v>
      </c>
      <c r="G51" s="50">
        <f t="shared" si="11"/>
        <v>0</v>
      </c>
      <c r="H51" s="51">
        <f>IF(AND($B51&lt;=$C$4,C$7="Y"),0,IF(AND(C$7="N",C$4&gt;0,B51&lt;=C$4),0,(D50-L51+N51)*C$2/12/(1-(1/(1+C$2/12))^(C$3+C$4-B51+1))))</f>
        <v>1611209.6531134485</v>
      </c>
      <c r="I51" s="52">
        <f>IF(AND(C$7="Y",$B51&lt;=C$4),0,IF(AND(C$7="Y",$B51&gt;C$4),(1-U51)*C$2*D50/12,IF(AND($C$7="N",C$4&gt;0),(1-U51)*D50*C$2/12, (1-U51)*D50*C$2/12)))</f>
        <v>153023.95468511994</v>
      </c>
      <c r="J51" s="52">
        <f>IF(AND($B51&lt;=$C$4,C$7="Y"),0,IF(AND(C$7="N",C$4&gt;0,B51&lt;=C$4),0,H51-I51))</f>
        <v>1458185.6984283286</v>
      </c>
      <c r="K51" s="51">
        <f>IF(AND(C$7="Y",$B51&lt;=$C$4),0,IF(AND(C$7="N",C$4&gt;0,B51&lt;=C$4),0,S51*(C51-J51)))</f>
        <v>0</v>
      </c>
      <c r="L51" s="49">
        <f>IF(AND(C$7="Y",$B51&lt;=$C$4),0,IF(AND(C$7="N",C$4&gt;0,B51&lt;=C$4),0,U51*D50))</f>
        <v>157318.0389459728</v>
      </c>
      <c r="M51" s="49">
        <f t="shared" si="19"/>
        <v>-185184.33149918073</v>
      </c>
      <c r="N51" s="49">
        <f t="shared" si="18"/>
        <v>0</v>
      </c>
      <c r="O51" s="48">
        <f>K51+I51+J51-L51+N51+G51</f>
        <v>1453891.6141674756</v>
      </c>
      <c r="P51" s="38">
        <f>O51*(1/((1+P$12)^(B51/12)))</f>
        <v>1453891.6141674756</v>
      </c>
      <c r="Q51" s="53"/>
      <c r="R51" s="53">
        <f t="shared" si="5"/>
        <v>0</v>
      </c>
      <c r="S51" s="53">
        <f t="shared" si="6"/>
        <v>0</v>
      </c>
      <c r="T51" s="53">
        <f t="shared" si="7"/>
        <v>0.05</v>
      </c>
      <c r="U51" s="53">
        <f t="shared" si="10"/>
        <v>4.2653187775606449E-3</v>
      </c>
    </row>
    <row r="52" spans="1:21" x14ac:dyDescent="0.2">
      <c r="A52" s="62">
        <f t="shared" si="1"/>
        <v>0.33659120095261469</v>
      </c>
      <c r="B52" s="45">
        <f t="shared" si="2"/>
        <v>38</v>
      </c>
      <c r="C52" s="51">
        <f>IF(B52&lt;C$4,C$1,D51-L52+N52)</f>
        <v>35117136.025480732</v>
      </c>
      <c r="D52" s="47" cm="1">
        <f t="array" ref="D52">_xlfn.IFS(AND($C$7="Y",B52&lt;C$4),C52,AND($C$7="Y",B52=C$4),D51+F52-J52-K52-L52+N52,AND($C$7="Y",B52&gt;$C$4),D51-J52-K52-L52+N52, TRUE, D51-J52-K52-L52+N52)</f>
        <v>33659120.095261469</v>
      </c>
      <c r="E52" s="48">
        <f t="shared" si="3"/>
        <v>0</v>
      </c>
      <c r="F52" s="50">
        <f t="shared" si="4"/>
        <v>0</v>
      </c>
      <c r="G52" s="50">
        <f t="shared" si="11"/>
        <v>0</v>
      </c>
      <c r="H52" s="51">
        <f>IF(AND($B52&lt;=$C$4,C$7="Y"),0,IF(AND(C$7="N",C$4&gt;0,B52&lt;=C$4),0,(D51-L52+N52)*C$2/12/(1-(1/(1+C$2/12))^(C$3+C$4-B52+1))))</f>
        <v>1604337.3303254358</v>
      </c>
      <c r="I52" s="52">
        <f>IF(AND(C$7="Y",$B52&lt;=C$4),0,IF(AND(C$7="Y",$B52&gt;C$4),(1-U52)*C$2*D51/12,IF(AND($C$7="N",C$4&gt;0),(1-U52)*D51*C$2/12, (1-U52)*D51*C$2/12)))</f>
        <v>146321.40010616972</v>
      </c>
      <c r="J52" s="52">
        <f>IF(AND($B52&lt;=$C$4,C$7="Y"),0,IF(AND(C$7="N",C$4&gt;0,B52&lt;=C$4),0,H52-I52))</f>
        <v>1458015.9302192661</v>
      </c>
      <c r="K52" s="51">
        <f>IF(AND(C$7="Y",$B52&lt;=$C$4),0,IF(AND(C$7="N",C$4&gt;0,B52&lt;=C$4),0,S52*(C52-J52)))</f>
        <v>0</v>
      </c>
      <c r="L52" s="49">
        <f>IF(AND(C$7="Y",$B52&lt;=$C$4),0,IF(AND(C$7="N",C$4&gt;0,B52&lt;=C$4),0,U52*D51))</f>
        <v>150427.40051973079</v>
      </c>
      <c r="M52" s="49">
        <f t="shared" si="19"/>
        <v>-178171.93714668814</v>
      </c>
      <c r="N52" s="49">
        <f t="shared" si="18"/>
        <v>0</v>
      </c>
      <c r="O52" s="48">
        <f>K52+I52+J52-L52+N52+G52</f>
        <v>1453909.9298057051</v>
      </c>
      <c r="P52" s="38">
        <f>O52*(1/((1+P$12)^(B52/12)))</f>
        <v>1453909.9298057051</v>
      </c>
      <c r="Q52" s="53"/>
      <c r="R52" s="53">
        <f t="shared" si="5"/>
        <v>0</v>
      </c>
      <c r="S52" s="53">
        <f t="shared" si="6"/>
        <v>0</v>
      </c>
      <c r="T52" s="53">
        <f t="shared" si="7"/>
        <v>0.05</v>
      </c>
      <c r="U52" s="53">
        <f t="shared" si="10"/>
        <v>4.2653187775606449E-3</v>
      </c>
    </row>
    <row r="53" spans="1:21" x14ac:dyDescent="0.2">
      <c r="A53" s="62">
        <f t="shared" si="1"/>
        <v>0.32057707036507638</v>
      </c>
      <c r="B53" s="45">
        <f t="shared" si="2"/>
        <v>39</v>
      </c>
      <c r="C53" s="51">
        <f>IF(B53&lt;C$4,C$1,D52-L53+N53)</f>
        <v>33515553.218282983</v>
      </c>
      <c r="D53" s="47" cm="1">
        <f t="array" ref="D53">_xlfn.IFS(AND($C$7="Y",B53&lt;C$4),C53,AND($C$7="Y",B53=C$4),D52+F53-J53-K53-L53+N53,AND($C$7="Y",B53&gt;$C$4),D52-J53-K53-L53+N53, TRUE, D52-J53-K53-L53+N53)</f>
        <v>32057707.036507636</v>
      </c>
      <c r="E53" s="48">
        <f t="shared" si="3"/>
        <v>0</v>
      </c>
      <c r="F53" s="50">
        <f t="shared" si="4"/>
        <v>0</v>
      </c>
      <c r="G53" s="50">
        <f t="shared" si="11"/>
        <v>0</v>
      </c>
      <c r="H53" s="51">
        <f>IF(AND($B53&lt;=$C$4,C$7="Y"),0,IF(AND(C$7="N",C$4&gt;0,B53&lt;=C$4),0,(D52-L53+N53)*C$2/12/(1-(1/(1+C$2/12))^(C$3+C$4-B53+1))))</f>
        <v>1597494.3201848581</v>
      </c>
      <c r="I53" s="52">
        <f>IF(AND(C$7="Y",$B53&lt;=C$4),0,IF(AND(C$7="Y",$B53&gt;C$4),(1-U53)*C$2*D52/12,IF(AND($C$7="N",C$4&gt;0),(1-U53)*D52*C$2/12, (1-U53)*D52*C$2/12)))</f>
        <v>139648.13840951244</v>
      </c>
      <c r="J53" s="52">
        <f>IF(AND($B53&lt;=$C$4,C$7="Y"),0,IF(AND(C$7="N",C$4&gt;0,B53&lt;=C$4),0,H53-I53))</f>
        <v>1457846.1817753457</v>
      </c>
      <c r="K53" s="51">
        <f>IF(AND(C$7="Y",$B53&lt;=$C$4),0,IF(AND(C$7="N",C$4&gt;0,B53&lt;=C$4),0,S53*(C53-J53)))</f>
        <v>0</v>
      </c>
      <c r="L53" s="49">
        <f>IF(AND(C$7="Y",$B53&lt;=$C$4),0,IF(AND(C$7="N",C$4&gt;0,B53&lt;=C$4),0,U53*D52))</f>
        <v>143566.87697848759</v>
      </c>
      <c r="M53" s="49">
        <f t="shared" si="19"/>
        <v>-171190.17734434953</v>
      </c>
      <c r="N53" s="49">
        <f t="shared" si="18"/>
        <v>0</v>
      </c>
      <c r="O53" s="48">
        <f>K53+I53+J53-L53+N53+G53</f>
        <v>1453927.4432063703</v>
      </c>
      <c r="P53" s="38">
        <f>O53*(1/((1+P$12)^(B53/12)))</f>
        <v>1453927.4432063703</v>
      </c>
      <c r="Q53" s="53"/>
      <c r="R53" s="53">
        <f t="shared" si="5"/>
        <v>0</v>
      </c>
      <c r="S53" s="53">
        <f t="shared" si="6"/>
        <v>0</v>
      </c>
      <c r="T53" s="53">
        <f t="shared" si="7"/>
        <v>0.05</v>
      </c>
      <c r="U53" s="53">
        <f t="shared" si="10"/>
        <v>4.2653187775606449E-3</v>
      </c>
    </row>
    <row r="54" spans="1:21" x14ac:dyDescent="0.2">
      <c r="A54" s="62">
        <f t="shared" si="1"/>
        <v>0.30463294243625016</v>
      </c>
      <c r="B54" s="45">
        <f t="shared" si="2"/>
        <v>40</v>
      </c>
      <c r="C54" s="51">
        <f>IF(B54&lt;C$4,C$1,D53-L54+N54)</f>
        <v>31920970.696719281</v>
      </c>
      <c r="D54" s="47" cm="1">
        <f t="array" ref="D54">_xlfn.IFS(AND($C$7="Y",B54&lt;C$4),C54,AND($C$7="Y",B54=C$4),D53+F54-J54-K54-L54+N54,AND($C$7="Y",B54&gt;$C$4),D53-J54-K54-L54+N54, TRUE, D53-J54-K54-L54+N54)</f>
        <v>30463294.243625019</v>
      </c>
      <c r="E54" s="48">
        <f t="shared" si="3"/>
        <v>0</v>
      </c>
      <c r="F54" s="50">
        <f t="shared" si="4"/>
        <v>0</v>
      </c>
      <c r="G54" s="50">
        <f t="shared" si="11"/>
        <v>0</v>
      </c>
      <c r="H54" s="51">
        <f>IF(AND($B54&lt;=$C$4,C$7="Y"),0,IF(AND(C$7="N",C$4&gt;0,B54&lt;=C$4),0,(D53-L54+N54)*C$2/12/(1-(1/(1+C$2/12))^(C$3+C$4-B54+1))))</f>
        <v>1590680.4976639263</v>
      </c>
      <c r="I54" s="52">
        <f>IF(AND(C$7="Y",$B54&lt;=C$4),0,IF(AND(C$7="Y",$B54&gt;C$4),(1-U54)*C$2*D53/12,IF(AND($C$7="N",C$4&gt;0),(1-U54)*D53*C$2/12, (1-U54)*D53*C$2/12)))</f>
        <v>133004.04456966367</v>
      </c>
      <c r="J54" s="52">
        <f>IF(AND($B54&lt;=$C$4,C$7="Y"),0,IF(AND(C$7="N",C$4&gt;0,B54&lt;=C$4),0,H54-I54))</f>
        <v>1457676.4530942626</v>
      </c>
      <c r="K54" s="51">
        <f>IF(AND(C$7="Y",$B54&lt;=$C$4),0,IF(AND(C$7="N",C$4&gt;0,B54&lt;=C$4),0,S54*(C54-J54)))</f>
        <v>0</v>
      </c>
      <c r="L54" s="49">
        <f>IF(AND(C$7="Y",$B54&lt;=$C$4),0,IF(AND(C$7="N",C$4&gt;0,B54&lt;=C$4),0,U54*D53))</f>
        <v>136736.33978835403</v>
      </c>
      <c r="M54" s="49">
        <f t="shared" si="19"/>
        <v>-164238.92134169897</v>
      </c>
      <c r="N54" s="49">
        <f t="shared" si="18"/>
        <v>0</v>
      </c>
      <c r="O54" s="48">
        <f>K54+I54+J54-L54+N54+G54</f>
        <v>1453944.1578755723</v>
      </c>
      <c r="P54" s="38">
        <f>O54*(1/((1+P$12)^(B54/12)))</f>
        <v>1453944.1578755723</v>
      </c>
      <c r="Q54" s="53"/>
      <c r="R54" s="53">
        <f t="shared" si="5"/>
        <v>0</v>
      </c>
      <c r="S54" s="53">
        <f t="shared" si="6"/>
        <v>0</v>
      </c>
      <c r="T54" s="53">
        <f t="shared" si="7"/>
        <v>0.05</v>
      </c>
      <c r="U54" s="53">
        <f t="shared" si="10"/>
        <v>4.2653187775606449E-3</v>
      </c>
    </row>
    <row r="55" spans="1:21" x14ac:dyDescent="0.2">
      <c r="A55" s="62">
        <f t="shared" si="1"/>
        <v>0.28875851838487615</v>
      </c>
      <c r="B55" s="45">
        <f t="shared" si="2"/>
        <v>41</v>
      </c>
      <c r="C55" s="51">
        <f>IF(B55&lt;C$4,C$1,D54-L55+N55)</f>
        <v>30333358.582661331</v>
      </c>
      <c r="D55" s="47" cm="1">
        <f t="array" ref="D55">_xlfn.IFS(AND($C$7="Y",B55&lt;C$4),C55,AND($C$7="Y",B55=C$4),D54+F55-J55-K55-L55+N55,AND($C$7="Y",B55&gt;$C$4),D54-J55-K55-L55+N55, TRUE, D54-J55-K55-L55+N55)</f>
        <v>28875851.838487614</v>
      </c>
      <c r="E55" s="48">
        <f t="shared" si="3"/>
        <v>0</v>
      </c>
      <c r="F55" s="50">
        <f t="shared" si="4"/>
        <v>0</v>
      </c>
      <c r="G55" s="50">
        <f t="shared" si="11"/>
        <v>0</v>
      </c>
      <c r="H55" s="51">
        <f>IF(AND($B55&lt;=$C$4,C$7="Y"),0,IF(AND(C$7="N",C$4&gt;0,B55&lt;=C$4),0,(D54-L55+N55)*C$2/12/(1-(1/(1+C$2/12))^(C$3+C$4-B55+1))))</f>
        <v>1583895.7382681388</v>
      </c>
      <c r="I55" s="52">
        <f>IF(AND(C$7="Y",$B55&lt;=C$4),0,IF(AND(C$7="Y",$B55&gt;C$4),(1-U55)*C$2*D54/12,IF(AND($C$7="N",C$4&gt;0),(1-U55)*D54*C$2/12, (1-U55)*D54*C$2/12)))</f>
        <v>126388.99409442222</v>
      </c>
      <c r="J55" s="52">
        <f>IF(AND($B55&lt;=$C$4,C$7="Y"),0,IF(AND(C$7="N",C$4&gt;0,B55&lt;=C$4),0,H55-I55))</f>
        <v>1457506.7441737165</v>
      </c>
      <c r="K55" s="51">
        <f>IF(AND(C$7="Y",$B55&lt;=$C$4),0,IF(AND(C$7="N",C$4&gt;0,B55&lt;=C$4),0,S55*(C55-J55)))</f>
        <v>0</v>
      </c>
      <c r="L55" s="49">
        <f>IF(AND(C$7="Y",$B55&lt;=$C$4),0,IF(AND(C$7="N",C$4&gt;0,B55&lt;=C$4),0,U55*D54))</f>
        <v>129935.66096368889</v>
      </c>
      <c r="M55" s="49">
        <f t="shared" si="19"/>
        <v>-157318.0389459728</v>
      </c>
      <c r="N55" s="49">
        <f t="shared" si="18"/>
        <v>0</v>
      </c>
      <c r="O55" s="48">
        <f>K55+I55+J55-L55+N55+G55</f>
        <v>1453960.0773044499</v>
      </c>
      <c r="P55" s="38">
        <f>O55*(1/((1+P$12)^(B55/12)))</f>
        <v>1453960.0773044499</v>
      </c>
      <c r="Q55" s="53"/>
      <c r="R55" s="53">
        <f t="shared" si="5"/>
        <v>0</v>
      </c>
      <c r="S55" s="53">
        <f t="shared" si="6"/>
        <v>0</v>
      </c>
      <c r="T55" s="53">
        <f t="shared" si="7"/>
        <v>0.05</v>
      </c>
      <c r="U55" s="53">
        <f t="shared" si="10"/>
        <v>4.2653187775606449E-3</v>
      </c>
    </row>
    <row r="56" spans="1:21" x14ac:dyDescent="0.2">
      <c r="A56" s="62">
        <f t="shared" si="1"/>
        <v>0.27295350070411445</v>
      </c>
      <c r="B56" s="45">
        <f t="shared" si="2"/>
        <v>42</v>
      </c>
      <c r="C56" s="51">
        <f>IF(B56&lt;C$4,C$1,D55-L56+N56)</f>
        <v>28752687.125422854</v>
      </c>
      <c r="D56" s="47" cm="1">
        <f t="array" ref="D56">_xlfn.IFS(AND($C$7="Y",B56&lt;C$4),C56,AND($C$7="Y",B56=C$4),D55+F56-J56-K56-L56+N56,AND($C$7="Y",B56&gt;$C$4),D55-J56-K56-L56+N56, TRUE, D55-J56-K56-L56+N56)</f>
        <v>27295350.070411444</v>
      </c>
      <c r="E56" s="48">
        <f t="shared" si="3"/>
        <v>0</v>
      </c>
      <c r="F56" s="50">
        <f t="shared" si="4"/>
        <v>0</v>
      </c>
      <c r="G56" s="50">
        <f t="shared" si="11"/>
        <v>0</v>
      </c>
      <c r="H56" s="51">
        <f>IF(AND($B56&lt;=$C$4,C$7="Y"),0,IF(AND(C$7="N",C$4&gt;0,B56&lt;=C$4),0,(D55-L56+N56)*C$2/12/(1-(1/(1+C$2/12))^(C$3+C$4-B56+1))))</f>
        <v>1577139.9180340066</v>
      </c>
      <c r="I56" s="52">
        <f>IF(AND(C$7="Y",$B56&lt;=C$4),0,IF(AND(C$7="Y",$B56&gt;C$4),(1-U56)*C$2*D55/12,IF(AND($C$7="N",C$4&gt;0),(1-U56)*D55*C$2/12, (1-U56)*D55*C$2/12)))</f>
        <v>119802.86302259524</v>
      </c>
      <c r="J56" s="52">
        <f>IF(AND($B56&lt;=$C$4,C$7="Y"),0,IF(AND(C$7="N",C$4&gt;0,B56&lt;=C$4),0,H56-I56))</f>
        <v>1457337.0550114114</v>
      </c>
      <c r="K56" s="51">
        <f>IF(AND(C$7="Y",$B56&lt;=$C$4),0,IF(AND(C$7="N",C$4&gt;0,B56&lt;=C$4),0,S56*(C56-J56)))</f>
        <v>0</v>
      </c>
      <c r="L56" s="49">
        <f>IF(AND(C$7="Y",$B56&lt;=$C$4),0,IF(AND(C$7="N",C$4&gt;0,B56&lt;=C$4),0,U56*D55))</f>
        <v>123164.71306476029</v>
      </c>
      <c r="M56" s="49">
        <f t="shared" si="19"/>
        <v>-150427.40051973079</v>
      </c>
      <c r="N56" s="49">
        <f t="shared" si="18"/>
        <v>0</v>
      </c>
      <c r="O56" s="48">
        <f>K56+I56+J56-L56+N56+G56</f>
        <v>1453975.2049692464</v>
      </c>
      <c r="P56" s="38">
        <f>O56*(1/((1+P$12)^(B56/12)))</f>
        <v>1453975.2049692464</v>
      </c>
      <c r="Q56" s="53"/>
      <c r="R56" s="53">
        <f t="shared" si="5"/>
        <v>0</v>
      </c>
      <c r="S56" s="53">
        <f t="shared" si="6"/>
        <v>0</v>
      </c>
      <c r="T56" s="53">
        <f t="shared" si="7"/>
        <v>0.05</v>
      </c>
      <c r="U56" s="53">
        <f t="shared" si="10"/>
        <v>4.2653187775606449E-3</v>
      </c>
    </row>
    <row r="57" spans="1:21" x14ac:dyDescent="0.2">
      <c r="A57" s="62">
        <f t="shared" si="1"/>
        <v>0.25721759315610987</v>
      </c>
      <c r="B57" s="45">
        <f t="shared" si="2"/>
        <v>43</v>
      </c>
      <c r="C57" s="51">
        <f>IF(B57&lt;C$4,C$1,D56-L57+N57)</f>
        <v>27178926.701216027</v>
      </c>
      <c r="D57" s="47" cm="1">
        <f t="array" ref="D57">_xlfn.IFS(AND($C$7="Y",B57&lt;C$4),C57,AND($C$7="Y",B57=C$4),D56+F57-J57-K57-L57+N57,AND($C$7="Y",B57&gt;$C$4),D56-J57-K57-L57+N57, TRUE, D56-J57-K57-L57+N57)</f>
        <v>25721759.315610986</v>
      </c>
      <c r="E57" s="48">
        <f t="shared" si="3"/>
        <v>0</v>
      </c>
      <c r="F57" s="50">
        <f t="shared" si="4"/>
        <v>0</v>
      </c>
      <c r="G57" s="50">
        <f t="shared" si="11"/>
        <v>0</v>
      </c>
      <c r="H57" s="51">
        <f>IF(AND($B57&lt;=$C$4,C$7="Y"),0,IF(AND(C$7="N",C$4&gt;0,B57&lt;=C$4),0,(D56-L57+N57)*C$2/12/(1-(1/(1+C$2/12))^(C$3+C$4-B57+1))))</f>
        <v>1570412.9135267753</v>
      </c>
      <c r="I57" s="52">
        <f>IF(AND(C$7="Y",$B57&lt;=C$4),0,IF(AND(C$7="Y",$B57&gt;C$4),(1-U57)*C$2*D56/12,IF(AND($C$7="N",C$4&gt;0),(1-U57)*D56*C$2/12, (1-U57)*D56*C$2/12)))</f>
        <v>113245.52792173345</v>
      </c>
      <c r="J57" s="52">
        <f>IF(AND($B57&lt;=$C$4,C$7="Y"),0,IF(AND(C$7="N",C$4&gt;0,B57&lt;=C$4),0,H57-I57))</f>
        <v>1457167.3856050419</v>
      </c>
      <c r="K57" s="51">
        <f>IF(AND(C$7="Y",$B57&lt;=$C$4),0,IF(AND(C$7="N",C$4&gt;0,B57&lt;=C$4),0,S57*(C57-J57)))</f>
        <v>0</v>
      </c>
      <c r="L57" s="49">
        <f>IF(AND(C$7="Y",$B57&lt;=$C$4),0,IF(AND(C$7="N",C$4&gt;0,B57&lt;=C$4),0,U57*D56))</f>
        <v>116423.3691954172</v>
      </c>
      <c r="M57" s="49">
        <f t="shared" si="19"/>
        <v>-143566.87697848759</v>
      </c>
      <c r="N57" s="49">
        <f t="shared" si="18"/>
        <v>0</v>
      </c>
      <c r="O57" s="48">
        <f>K57+I57+J57-L57+N57+G57</f>
        <v>1453989.544331358</v>
      </c>
      <c r="P57" s="38">
        <f>O57*(1/((1+P$12)^(B57/12)))</f>
        <v>1453989.544331358</v>
      </c>
      <c r="Q57" s="53"/>
      <c r="R57" s="53">
        <f t="shared" si="5"/>
        <v>0</v>
      </c>
      <c r="S57" s="53">
        <f t="shared" si="6"/>
        <v>0</v>
      </c>
      <c r="T57" s="53">
        <f t="shared" si="7"/>
        <v>0.05</v>
      </c>
      <c r="U57" s="53">
        <f t="shared" si="10"/>
        <v>4.2653187775606449E-3</v>
      </c>
    </row>
    <row r="58" spans="1:21" x14ac:dyDescent="0.2">
      <c r="A58" s="62">
        <f t="shared" si="1"/>
        <v>0.24155050076657911</v>
      </c>
      <c r="B58" s="45">
        <f t="shared" si="2"/>
        <v>44</v>
      </c>
      <c r="C58" s="51">
        <f>IF(B58&lt;C$4,C$1,D57-L58+N58)</f>
        <v>25612047.812610216</v>
      </c>
      <c r="D58" s="47" cm="1">
        <f t="array" ref="D58">_xlfn.IFS(AND($C$7="Y",B58&lt;C$4),C58,AND($C$7="Y",B58=C$4),D57+F58-J58-K58-L58+N58,AND($C$7="Y",B58&gt;$C$4),D57-J58-K58-L58+N58, TRUE, D57-J58-K58-L58+N58)</f>
        <v>24155050.07665791</v>
      </c>
      <c r="E58" s="48">
        <f t="shared" si="3"/>
        <v>0</v>
      </c>
      <c r="F58" s="50">
        <f t="shared" si="4"/>
        <v>0</v>
      </c>
      <c r="G58" s="50">
        <f t="shared" si="11"/>
        <v>0</v>
      </c>
      <c r="H58" s="51">
        <f>IF(AND($B58&lt;=$C$4,C$7="Y"),0,IF(AND(C$7="N",C$4&gt;0,B58&lt;=C$4),0,(D57-L58+N58)*C$2/12/(1-(1/(1+C$2/12))^(C$3+C$4-B58+1))))</f>
        <v>1563714.6018381836</v>
      </c>
      <c r="I58" s="52">
        <f>IF(AND(C$7="Y",$B58&lt;=C$4),0,IF(AND(C$7="Y",$B58&gt;C$4),(1-U58)*C$2*D57/12,IF(AND($C$7="N",C$4&gt;0),(1-U58)*D57*C$2/12, (1-U58)*D57*C$2/12)))</f>
        <v>106716.8658858759</v>
      </c>
      <c r="J58" s="52">
        <f>IF(AND($B58&lt;=$C$4,C$7="Y"),0,IF(AND(C$7="N",C$4&gt;0,B58&lt;=C$4),0,H58-I58))</f>
        <v>1456997.7359523077</v>
      </c>
      <c r="K58" s="51">
        <f>IF(AND(C$7="Y",$B58&lt;=$C$4),0,IF(AND(C$7="N",C$4&gt;0,B58&lt;=C$4),0,S58*(C58-J58)))</f>
        <v>0</v>
      </c>
      <c r="L58" s="49">
        <f>IF(AND(C$7="Y",$B58&lt;=$C$4),0,IF(AND(C$7="N",C$4&gt;0,B58&lt;=C$4),0,U58*D57))</f>
        <v>109711.50300077099</v>
      </c>
      <c r="M58" s="49">
        <f t="shared" si="19"/>
        <v>-136736.33978835403</v>
      </c>
      <c r="N58" s="49">
        <f t="shared" si="18"/>
        <v>0</v>
      </c>
      <c r="O58" s="48">
        <f>K58+I58+J58-L58+N58+G58</f>
        <v>1454003.0988374127</v>
      </c>
      <c r="P58" s="38">
        <f>O58*(1/((1+P$12)^(B58/12)))</f>
        <v>1454003.0988374127</v>
      </c>
      <c r="Q58" s="53"/>
      <c r="R58" s="53">
        <f t="shared" si="5"/>
        <v>0</v>
      </c>
      <c r="S58" s="53">
        <f t="shared" si="6"/>
        <v>0</v>
      </c>
      <c r="T58" s="53">
        <f t="shared" si="7"/>
        <v>0.05</v>
      </c>
      <c r="U58" s="53">
        <f t="shared" si="10"/>
        <v>4.2653187775606449E-3</v>
      </c>
    </row>
    <row r="59" spans="1:21" x14ac:dyDescent="0.2">
      <c r="A59" s="62">
        <f t="shared" si="1"/>
        <v>0.22595192981942111</v>
      </c>
      <c r="B59" s="45">
        <f t="shared" si="2"/>
        <v>45</v>
      </c>
      <c r="C59" s="51">
        <f>IF(B59&lt;C$4,C$1,D58-L59+N59)</f>
        <v>24052021.087993022</v>
      </c>
      <c r="D59" s="47" cm="1">
        <f t="array" ref="D59">_xlfn.IFS(AND($C$7="Y",B59&lt;C$4),C59,AND($C$7="Y",B59=C$4),D58+F59-J59-K59-L59+N59,AND($C$7="Y",B59&gt;$C$4),D58-J59-K59-L59+N59, TRUE, D58-J59-K59-L59+N59)</f>
        <v>22595192.98194211</v>
      </c>
      <c r="E59" s="48">
        <f t="shared" si="3"/>
        <v>0</v>
      </c>
      <c r="F59" s="50">
        <f t="shared" si="4"/>
        <v>0</v>
      </c>
      <c r="G59" s="50">
        <f t="shared" si="11"/>
        <v>0</v>
      </c>
      <c r="H59" s="51">
        <f>IF(AND($B59&lt;=$C$4,C$7="Y"),0,IF(AND(C$7="N",C$4&gt;0,B59&lt;=C$4),0,(D58-L59+N59)*C$2/12/(1-(1/(1+C$2/12))^(C$3+C$4-B59+1))))</f>
        <v>1557044.8605842181</v>
      </c>
      <c r="I59" s="52">
        <f>IF(AND(C$7="Y",$B59&lt;=C$4),0,IF(AND(C$7="Y",$B59&gt;C$4),(1-U59)*C$2*D58/12,IF(AND($C$7="N",C$4&gt;0),(1-U59)*D58*C$2/12, (1-U59)*D58*C$2/12)))</f>
        <v>100216.75453330427</v>
      </c>
      <c r="J59" s="52">
        <f>IF(AND($B59&lt;=$C$4,C$7="Y"),0,IF(AND(C$7="N",C$4&gt;0,B59&lt;=C$4),0,H59-I59))</f>
        <v>1456828.1060509137</v>
      </c>
      <c r="K59" s="51">
        <f>IF(AND(C$7="Y",$B59&lt;=$C$4),0,IF(AND(C$7="N",C$4&gt;0,B59&lt;=C$4),0,S59*(C59-J59)))</f>
        <v>0</v>
      </c>
      <c r="L59" s="49">
        <f>IF(AND(C$7="Y",$B59&lt;=$C$4),0,IF(AND(C$7="N",C$4&gt;0,B59&lt;=C$4),0,U59*D58))</f>
        <v>103028.98866488668</v>
      </c>
      <c r="M59" s="49">
        <f t="shared" si="19"/>
        <v>-129935.66096368889</v>
      </c>
      <c r="N59" s="49">
        <f t="shared" si="18"/>
        <v>0</v>
      </c>
      <c r="O59" s="48">
        <f>K59+I59+J59-L59+N59+G59</f>
        <v>1454015.8719193314</v>
      </c>
      <c r="P59" s="38">
        <f>O59*(1/((1+P$12)^(B59/12)))</f>
        <v>1454015.8719193314</v>
      </c>
      <c r="Q59" s="53"/>
      <c r="R59" s="53">
        <f t="shared" si="5"/>
        <v>0</v>
      </c>
      <c r="S59" s="53">
        <f t="shared" si="6"/>
        <v>0</v>
      </c>
      <c r="T59" s="53">
        <f t="shared" si="7"/>
        <v>0.05</v>
      </c>
      <c r="U59" s="53">
        <f t="shared" si="10"/>
        <v>4.2653187775606449E-3</v>
      </c>
    </row>
    <row r="60" spans="1:21" x14ac:dyDescent="0.2">
      <c r="A60" s="62">
        <f t="shared" si="1"/>
        <v>0.21042158785135068</v>
      </c>
      <c r="B60" s="45">
        <f t="shared" si="2"/>
        <v>46</v>
      </c>
      <c r="C60" s="51">
        <f>IF(B60&lt;C$4,C$1,D59-L60+N60)</f>
        <v>22498817.281033624</v>
      </c>
      <c r="D60" s="47" cm="1">
        <f t="array" ref="D60">_xlfn.IFS(AND($C$7="Y",B60&lt;C$4),C60,AND($C$7="Y",B60=C$4),D59+F60-J60-K60-L60+N60,AND($C$7="Y",B60&gt;$C$4),D59-J60-K60-L60+N60, TRUE, D59-J60-K60-L60+N60)</f>
        <v>21042158.785135068</v>
      </c>
      <c r="E60" s="48">
        <f t="shared" si="3"/>
        <v>0</v>
      </c>
      <c r="F60" s="50">
        <f t="shared" si="4"/>
        <v>0</v>
      </c>
      <c r="G60" s="50">
        <f t="shared" si="11"/>
        <v>0</v>
      </c>
      <c r="H60" s="51">
        <f>IF(AND($B60&lt;=$C$4,C$7="Y"),0,IF(AND(C$7="N",C$4&gt;0,B60&lt;=C$4),0,(D59-L60+N60)*C$2/12/(1-(1/(1+C$2/12))^(C$3+C$4-B60+1))))</f>
        <v>1550403.5679028628</v>
      </c>
      <c r="I60" s="52">
        <f>IF(AND(C$7="Y",$B60&lt;=C$4),0,IF(AND(C$7="Y",$B60&gt;C$4),(1-U60)*C$2*D59/12,IF(AND($C$7="N",C$4&gt;0),(1-U60)*D59*C$2/12, (1-U60)*D59*C$2/12)))</f>
        <v>93745.07200430677</v>
      </c>
      <c r="J60" s="52">
        <f>IF(AND($B60&lt;=$C$4,C$7="Y"),0,IF(AND(C$7="N",C$4&gt;0,B60&lt;=C$4),0,H60-I60))</f>
        <v>1456658.495898556</v>
      </c>
      <c r="K60" s="51">
        <f>IF(AND(C$7="Y",$B60&lt;=$C$4),0,IF(AND(C$7="N",C$4&gt;0,B60&lt;=C$4),0,S60*(C60-J60)))</f>
        <v>0</v>
      </c>
      <c r="L60" s="49">
        <f>IF(AND(C$7="Y",$B60&lt;=$C$4),0,IF(AND(C$7="N",C$4&gt;0,B60&lt;=C$4),0,U60*D59))</f>
        <v>96375.700908484185</v>
      </c>
      <c r="M60" s="49">
        <f t="shared" si="19"/>
        <v>-123164.71306476029</v>
      </c>
      <c r="N60" s="49">
        <f t="shared" si="18"/>
        <v>0</v>
      </c>
      <c r="O60" s="48">
        <f>K60+I60+J60-L60+N60+G60</f>
        <v>1454027.8669943786</v>
      </c>
      <c r="P60" s="38">
        <f>O60*(1/((1+P$12)^(B60/12)))</f>
        <v>1454027.8669943786</v>
      </c>
      <c r="Q60" s="53"/>
      <c r="R60" s="53">
        <f t="shared" si="5"/>
        <v>0</v>
      </c>
      <c r="S60" s="53">
        <f t="shared" si="6"/>
        <v>0</v>
      </c>
      <c r="T60" s="53">
        <f t="shared" si="7"/>
        <v>0.05</v>
      </c>
      <c r="U60" s="53">
        <f t="shared" si="10"/>
        <v>4.2653187775606449E-3</v>
      </c>
    </row>
    <row r="61" spans="1:21" x14ac:dyDescent="0.2">
      <c r="A61" s="62">
        <f t="shared" si="1"/>
        <v>0.19495918364655479</v>
      </c>
      <c r="B61" s="45">
        <f t="shared" si="2"/>
        <v>47</v>
      </c>
      <c r="C61" s="51">
        <f>IF(B61&lt;C$4,C$1,D60-L61+N61)</f>
        <v>20952407.270148419</v>
      </c>
      <c r="D61" s="47" cm="1">
        <f t="array" ref="D61">_xlfn.IFS(AND($C$7="Y",B61&lt;C$4),C61,AND($C$7="Y",B61=C$4),D60+F61-J61-K61-L61+N61,AND($C$7="Y",B61&gt;$C$4),D60-J61-K61-L61+N61, TRUE, D60-J61-K61-L61+N61)</f>
        <v>19495918.36465548</v>
      </c>
      <c r="E61" s="48">
        <f t="shared" si="3"/>
        <v>0</v>
      </c>
      <c r="F61" s="50">
        <f t="shared" si="4"/>
        <v>0</v>
      </c>
      <c r="G61" s="50">
        <f t="shared" si="11"/>
        <v>0</v>
      </c>
      <c r="H61" s="51">
        <f>IF(AND($B61&lt;=$C$4,C$7="Y"),0,IF(AND(C$7="N",C$4&gt;0,B61&lt;=C$4),0,(D60-L61+N61)*C$2/12/(1-(1/(1+C$2/12))^(C$3+C$4-B61+1))))</f>
        <v>1543790.6024518888</v>
      </c>
      <c r="I61" s="52">
        <f>IF(AND(C$7="Y",$B61&lt;=C$4),0,IF(AND(C$7="Y",$B61&gt;C$4),(1-U61)*C$2*D60/12,IF(AND($C$7="N",C$4&gt;0),(1-U61)*D60*C$2/12, (1-U61)*D60*C$2/12)))</f>
        <v>87301.696958951754</v>
      </c>
      <c r="J61" s="52">
        <f>IF(AND($B61&lt;=$C$4,C$7="Y"),0,IF(AND(C$7="N",C$4&gt;0,B61&lt;=C$4),0,H61-I61))</f>
        <v>1456488.9054929372</v>
      </c>
      <c r="K61" s="51">
        <f>IF(AND(C$7="Y",$B61&lt;=$C$4),0,IF(AND(C$7="N",C$4&gt;0,B61&lt;=C$4),0,S61*(C61-J61)))</f>
        <v>0</v>
      </c>
      <c r="L61" s="49">
        <f>IF(AND(C$7="Y",$B61&lt;=$C$4),0,IF(AND(C$7="N",C$4&gt;0,B61&lt;=C$4),0,U61*D60))</f>
        <v>89751.514986649287</v>
      </c>
      <c r="M61" s="49">
        <f t="shared" si="19"/>
        <v>-116423.3691954172</v>
      </c>
      <c r="N61" s="49">
        <f t="shared" si="18"/>
        <v>0</v>
      </c>
      <c r="O61" s="48">
        <f>K61+I61+J61-L61+N61+G61</f>
        <v>1454039.0874652395</v>
      </c>
      <c r="P61" s="38">
        <f>O61*(1/((1+P$12)^(B61/12)))</f>
        <v>1454039.0874652395</v>
      </c>
      <c r="Q61" s="53"/>
      <c r="R61" s="53">
        <f t="shared" si="5"/>
        <v>0</v>
      </c>
      <c r="S61" s="53">
        <f t="shared" si="6"/>
        <v>0</v>
      </c>
      <c r="T61" s="53">
        <f t="shared" si="7"/>
        <v>0.05</v>
      </c>
      <c r="U61" s="53">
        <f t="shared" si="10"/>
        <v>4.2653187775606449E-3</v>
      </c>
    </row>
    <row r="62" spans="1:21" x14ac:dyDescent="0.2">
      <c r="A62" s="62">
        <f t="shared" si="1"/>
        <v>0.17956442723137167</v>
      </c>
      <c r="B62" s="45">
        <f t="shared" si="2"/>
        <v>48</v>
      </c>
      <c r="C62" s="51">
        <f>IF(B62&lt;C$4,C$1,D61-L62+N62)</f>
        <v>19412762.057968926</v>
      </c>
      <c r="D62" s="47" cm="1">
        <f t="array" ref="D62">_xlfn.IFS(AND($C$7="Y",B62&lt;C$4),C62,AND($C$7="Y",B62=C$4),D61+F62-J62-K62-L62+N62,AND($C$7="Y",B62&gt;$C$4),D61-J62-K62-L62+N62, TRUE, D61-J62-K62-L62+N62)</f>
        <v>17956442.723137166</v>
      </c>
      <c r="E62" s="48">
        <f t="shared" si="3"/>
        <v>0</v>
      </c>
      <c r="F62" s="50">
        <f t="shared" si="4"/>
        <v>0</v>
      </c>
      <c r="G62" s="50">
        <f t="shared" si="11"/>
        <v>0</v>
      </c>
      <c r="H62" s="51">
        <f>IF(AND($B62&lt;=$C$4,C$7="Y"),0,IF(AND(C$7="N",C$4&gt;0,B62&lt;=C$4),0,(D61-L62+N62)*C$2/12/(1-(1/(1+C$2/12))^(C$3+C$4-B62+1))))</f>
        <v>1537205.8434066304</v>
      </c>
      <c r="I62" s="52">
        <f>IF(AND(C$7="Y",$B62&lt;=C$4),0,IF(AND(C$7="Y",$B62&gt;C$4),(1-U62)*C$2*D61/12,IF(AND($C$7="N",C$4&gt;0),(1-U62)*D61*C$2/12, (1-U62)*D61*C$2/12)))</f>
        <v>80886.508574870531</v>
      </c>
      <c r="J62" s="52">
        <f>IF(AND($B62&lt;=$C$4,C$7="Y"),0,IF(AND(C$7="N",C$4&gt;0,B62&lt;=C$4),0,H62-I62))</f>
        <v>1456319.3348317598</v>
      </c>
      <c r="K62" s="51">
        <f>IF(AND(C$7="Y",$B62&lt;=$C$4),0,IF(AND(C$7="N",C$4&gt;0,B62&lt;=C$4),0,S62*(C62-J62)))</f>
        <v>0</v>
      </c>
      <c r="L62" s="49">
        <f>IF(AND(C$7="Y",$B62&lt;=$C$4),0,IF(AND(C$7="N",C$4&gt;0,B62&lt;=C$4),0,U62*D61))</f>
        <v>83156.306686554439</v>
      </c>
      <c r="M62" s="49">
        <f t="shared" si="19"/>
        <v>-109711.50300077099</v>
      </c>
      <c r="N62" s="49">
        <f t="shared" si="18"/>
        <v>0</v>
      </c>
      <c r="O62" s="48">
        <f>K62+I62+J62-L62+N62+G62</f>
        <v>1454049.5367200759</v>
      </c>
      <c r="P62" s="38">
        <f>O62*(1/((1+P$12)^(B62/12)))</f>
        <v>1454049.5367200759</v>
      </c>
      <c r="Q62" s="53"/>
      <c r="R62" s="53">
        <f t="shared" si="5"/>
        <v>0</v>
      </c>
      <c r="S62" s="53">
        <f t="shared" si="6"/>
        <v>0</v>
      </c>
      <c r="T62" s="53">
        <f t="shared" si="7"/>
        <v>0.05</v>
      </c>
      <c r="U62" s="53">
        <f t="shared" si="10"/>
        <v>4.2653187775606449E-3</v>
      </c>
    </row>
    <row r="63" spans="1:21" x14ac:dyDescent="0.2">
      <c r="A63" s="62">
        <f t="shared" si="1"/>
        <v>0.16423702986899255</v>
      </c>
      <c r="B63" s="45">
        <f t="shared" si="2"/>
        <v>49</v>
      </c>
      <c r="C63" s="51">
        <f>IF(B63&lt;C$4,C$1,D62-L63+N63)</f>
        <v>17879852.770811979</v>
      </c>
      <c r="D63" s="47" cm="1">
        <f t="array" ref="D63">_xlfn.IFS(AND($C$7="Y",B63&lt;C$4),C63,AND($C$7="Y",B63=C$4),D62+F63-J63-K63-L63+N63,AND($C$7="Y",B63&gt;$C$4),D62-J63-K63-L63+N63, TRUE, D62-J63-K63-L63+N63)</f>
        <v>16423702.986899255</v>
      </c>
      <c r="E63" s="48">
        <f t="shared" si="3"/>
        <v>0</v>
      </c>
      <c r="F63" s="50">
        <f t="shared" si="4"/>
        <v>0</v>
      </c>
      <c r="G63" s="50">
        <f t="shared" si="11"/>
        <v>0</v>
      </c>
      <c r="H63" s="51">
        <f>IF(AND($B63&lt;=$C$4,C$7="Y"),0,IF(AND(C$7="N",C$4&gt;0,B63&lt;=C$4),0,(D62-L63+N63)*C$2/12/(1-(1/(1+C$2/12))^(C$3+C$4-B63+1))))</f>
        <v>1530649.1704577715</v>
      </c>
      <c r="I63" s="52">
        <f>IF(AND(C$7="Y",$B63&lt;=C$4),0,IF(AND(C$7="Y",$B63&gt;C$4),(1-U63)*C$2*D62/12,IF(AND($C$7="N",C$4&gt;0),(1-U63)*D62*C$2/12, (1-U63)*D62*C$2/12)))</f>
        <v>74499.386545049914</v>
      </c>
      <c r="J63" s="52">
        <f>IF(AND($B63&lt;=$C$4,C$7="Y"),0,IF(AND(C$7="N",C$4&gt;0,B63&lt;=C$4),0,H63-I63))</f>
        <v>1456149.7839127216</v>
      </c>
      <c r="K63" s="51">
        <f>IF(AND(C$7="Y",$B63&lt;=$C$4),0,IF(AND(C$7="N",C$4&gt;0,B63&lt;=C$4),0,S63*(C63-J63)))</f>
        <v>0</v>
      </c>
      <c r="L63" s="49">
        <f>IF(AND(C$7="Y",$B63&lt;=$C$4),0,IF(AND(C$7="N",C$4&gt;0,B63&lt;=C$4),0,U63*D62))</f>
        <v>76589.952325189151</v>
      </c>
      <c r="M63" s="49">
        <f t="shared" si="19"/>
        <v>-103028.98866488668</v>
      </c>
      <c r="N63" s="49">
        <f t="shared" si="18"/>
        <v>0</v>
      </c>
      <c r="O63" s="48">
        <f>K63+I63+J63-L63+N63+G63</f>
        <v>1454059.2181325823</v>
      </c>
      <c r="P63" s="38">
        <f>O63*(1/((1+P$12)^(B63/12)))</f>
        <v>1454059.2181325823</v>
      </c>
      <c r="Q63" s="53"/>
      <c r="R63" s="53">
        <f t="shared" si="5"/>
        <v>0</v>
      </c>
      <c r="S63" s="53">
        <f t="shared" si="6"/>
        <v>0</v>
      </c>
      <c r="T63" s="53">
        <f t="shared" si="7"/>
        <v>0.05</v>
      </c>
      <c r="U63" s="53">
        <f t="shared" si="10"/>
        <v>4.2653187775606449E-3</v>
      </c>
    </row>
    <row r="64" spans="1:21" x14ac:dyDescent="0.2">
      <c r="A64" s="62">
        <f t="shared" si="1"/>
        <v>0.14897670405418631</v>
      </c>
      <c r="B64" s="45">
        <f t="shared" si="2"/>
        <v>50</v>
      </c>
      <c r="C64" s="51">
        <f>IF(B64&lt;C$4,C$1,D63-L64+N64)</f>
        <v>16353650.658152154</v>
      </c>
      <c r="D64" s="47" cm="1">
        <f t="array" ref="D64">_xlfn.IFS(AND($C$7="Y",B64&lt;C$4),C64,AND($C$7="Y",B64=C$4),D63+F64-J64-K64-L64+N64,AND($C$7="Y",B64&gt;$C$4),D63-J64-K64-L64+N64, TRUE, D63-J64-K64-L64+N64)</f>
        <v>14897670.405418631</v>
      </c>
      <c r="E64" s="48">
        <f t="shared" si="3"/>
        <v>0</v>
      </c>
      <c r="F64" s="50">
        <f t="shared" si="4"/>
        <v>0</v>
      </c>
      <c r="G64" s="50">
        <f t="shared" si="11"/>
        <v>0</v>
      </c>
      <c r="H64" s="51">
        <f>IF(AND($B64&lt;=$C$4,C$7="Y"),0,IF(AND(C$7="N",C$4&gt;0,B64&lt;=C$4),0,(D63-L64+N64)*C$2/12/(1-(1/(1+C$2/12))^(C$3+C$4-B64+1))))</f>
        <v>1524120.463809157</v>
      </c>
      <c r="I64" s="52">
        <f>IF(AND(C$7="Y",$B64&lt;=C$4),0,IF(AND(C$7="Y",$B64&gt;C$4),(1-U64)*C$2*D63/12,IF(AND($C$7="N",C$4&gt;0),(1-U64)*D63*C$2/12, (1-U64)*D63*C$2/12)))</f>
        <v>68140.211075633983</v>
      </c>
      <c r="J64" s="52">
        <f>IF(AND($B64&lt;=$C$4,C$7="Y"),0,IF(AND(C$7="N",C$4&gt;0,B64&lt;=C$4),0,H64-I64))</f>
        <v>1455980.252733523</v>
      </c>
      <c r="K64" s="51">
        <f>IF(AND(C$7="Y",$B64&lt;=$C$4),0,IF(AND(C$7="N",C$4&gt;0,B64&lt;=C$4),0,S64*(C64-J64)))</f>
        <v>0</v>
      </c>
      <c r="L64" s="49">
        <f>IF(AND(C$7="Y",$B64&lt;=$C$4),0,IF(AND(C$7="N",C$4&gt;0,B64&lt;=C$4),0,U64*D63))</f>
        <v>70052.32874710024</v>
      </c>
      <c r="M64" s="49">
        <f t="shared" si="19"/>
        <v>-96375.700908484185</v>
      </c>
      <c r="N64" s="49">
        <f t="shared" si="18"/>
        <v>0</v>
      </c>
      <c r="O64" s="48">
        <f>K64+I64+J64-L64+N64+G64</f>
        <v>1454068.1350620568</v>
      </c>
      <c r="P64" s="38">
        <f>O64*(1/((1+P$12)^(B64/12)))</f>
        <v>1454068.1350620568</v>
      </c>
      <c r="Q64" s="53"/>
      <c r="R64" s="53">
        <f t="shared" si="5"/>
        <v>0</v>
      </c>
      <c r="S64" s="53">
        <f t="shared" si="6"/>
        <v>0</v>
      </c>
      <c r="T64" s="53">
        <f t="shared" si="7"/>
        <v>0.05</v>
      </c>
      <c r="U64" s="53">
        <f t="shared" si="10"/>
        <v>4.2653187775606449E-3</v>
      </c>
    </row>
    <row r="65" spans="1:21" x14ac:dyDescent="0.2">
      <c r="A65" s="62">
        <f t="shared" si="1"/>
        <v>0.13378316350804617</v>
      </c>
      <c r="B65" s="45">
        <f t="shared" si="2"/>
        <v>51</v>
      </c>
      <c r="C65" s="51">
        <f>IF(B65&lt;C$4,C$1,D64-L65+N65)</f>
        <v>14834127.092096489</v>
      </c>
      <c r="D65" s="47" cm="1">
        <f t="array" ref="D65">_xlfn.IFS(AND($C$7="Y",B65&lt;C$4),C65,AND($C$7="Y",B65=C$4),D64+F65-J65-K65-L65+N65,AND($C$7="Y",B65&gt;$C$4),D64-J65-K65-L65+N65, TRUE, D64-J65-K65-L65+N65)</f>
        <v>13378316.350804616</v>
      </c>
      <c r="E65" s="48">
        <f t="shared" si="3"/>
        <v>0</v>
      </c>
      <c r="F65" s="50">
        <f t="shared" si="4"/>
        <v>0</v>
      </c>
      <c r="G65" s="50">
        <f t="shared" si="11"/>
        <v>0</v>
      </c>
      <c r="H65" s="51">
        <f>IF(AND($B65&lt;=$C$4,C$7="Y"),0,IF(AND(C$7="N",C$4&gt;0,B65&lt;=C$4),0,(D64-L65+N65)*C$2/12/(1-(1/(1+C$2/12))^(C$3+C$4-B65+1))))</f>
        <v>1517619.6041756079</v>
      </c>
      <c r="I65" s="52">
        <f>IF(AND(C$7="Y",$B65&lt;=C$4),0,IF(AND(C$7="Y",$B65&gt;C$4),(1-U65)*C$2*D64/12,IF(AND($C$7="N",C$4&gt;0),(1-U65)*D64*C$2/12, (1-U65)*D64*C$2/12)))</f>
        <v>61808.862883735368</v>
      </c>
      <c r="J65" s="52">
        <f>IF(AND($B65&lt;=$C$4,C$7="Y"),0,IF(AND(C$7="N",C$4&gt;0,B65&lt;=C$4),0,H65-I65))</f>
        <v>1455810.7412918725</v>
      </c>
      <c r="K65" s="51">
        <f>IF(AND(C$7="Y",$B65&lt;=$C$4),0,IF(AND(C$7="N",C$4&gt;0,B65&lt;=C$4),0,S65*(C65-J65)))</f>
        <v>0</v>
      </c>
      <c r="L65" s="49">
        <f>IF(AND(C$7="Y",$B65&lt;=$C$4),0,IF(AND(C$7="N",C$4&gt;0,B65&lt;=C$4),0,U65*D64))</f>
        <v>63543.313322141592</v>
      </c>
      <c r="M65" s="49">
        <f t="shared" si="19"/>
        <v>-89751.514986649287</v>
      </c>
      <c r="N65" s="49">
        <f t="shared" si="18"/>
        <v>0</v>
      </c>
      <c r="O65" s="48">
        <f>K65+I65+J65-L65+N65+G65</f>
        <v>1454076.2908534664</v>
      </c>
      <c r="P65" s="38">
        <f>O65*(1/((1+P$12)^(B65/12)))</f>
        <v>1454076.2908534664</v>
      </c>
      <c r="Q65" s="53"/>
      <c r="R65" s="53">
        <f t="shared" si="5"/>
        <v>0</v>
      </c>
      <c r="S65" s="53">
        <f t="shared" si="6"/>
        <v>0</v>
      </c>
      <c r="T65" s="53">
        <f t="shared" si="7"/>
        <v>0.05</v>
      </c>
      <c r="U65" s="53">
        <f t="shared" si="10"/>
        <v>4.2653187775606449E-3</v>
      </c>
    </row>
    <row r="66" spans="1:21" x14ac:dyDescent="0.2">
      <c r="A66" s="62">
        <f t="shared" si="1"/>
        <v>0.11865612317275918</v>
      </c>
      <c r="B66" s="45">
        <f t="shared" si="2"/>
        <v>52</v>
      </c>
      <c r="C66" s="51">
        <f>IF(B66&lt;C$4,C$1,D65-L66+N66)</f>
        <v>13321253.566861382</v>
      </c>
      <c r="D66" s="47" cm="1">
        <f t="array" ref="D66">_xlfn.IFS(AND($C$7="Y",B66&lt;C$4),C66,AND($C$7="Y",B66=C$4),D65+F66-J66-K66-L66+N66,AND($C$7="Y",B66&gt;$C$4),D65-J66-K66-L66+N66, TRUE, D65-J66-K66-L66+N66)</f>
        <v>11865612.317275919</v>
      </c>
      <c r="E66" s="48">
        <f t="shared" si="3"/>
        <v>0</v>
      </c>
      <c r="F66" s="50">
        <f t="shared" si="4"/>
        <v>0</v>
      </c>
      <c r="G66" s="50">
        <f t="shared" si="11"/>
        <v>0</v>
      </c>
      <c r="H66" s="51">
        <f>IF(AND($B66&lt;=$C$4,C$7="Y"),0,IF(AND(C$7="N",C$4&gt;0,B66&lt;=C$4),0,(D65-L66+N66)*C$2/12/(1-(1/(1+C$2/12))^(C$3+C$4-B66+1))))</f>
        <v>1511146.4727807189</v>
      </c>
      <c r="I66" s="52">
        <f>IF(AND(C$7="Y",$B66&lt;=C$4),0,IF(AND(C$7="Y",$B66&gt;C$4),(1-U66)*C$2*D65/12,IF(AND($C$7="N",C$4&gt;0),(1-U66)*D65*C$2/12, (1-U66)*D65*C$2/12)))</f>
        <v>55505.223195255763</v>
      </c>
      <c r="J66" s="52">
        <f>IF(AND($B66&lt;=$C$4,C$7="Y"),0,IF(AND(C$7="N",C$4&gt;0,B66&lt;=C$4),0,H66-I66))</f>
        <v>1455641.2495854632</v>
      </c>
      <c r="K66" s="51">
        <f>IF(AND(C$7="Y",$B66&lt;=$C$4),0,IF(AND(C$7="N",C$4&gt;0,B66&lt;=C$4),0,S66*(C66-J66)))</f>
        <v>0</v>
      </c>
      <c r="L66" s="49">
        <f>IF(AND(C$7="Y",$B66&lt;=$C$4),0,IF(AND(C$7="N",C$4&gt;0,B66&lt;=C$4),0,U66*D65))</f>
        <v>57062.783943233531</v>
      </c>
      <c r="M66" s="49">
        <f t="shared" si="19"/>
        <v>-83156.306686554439</v>
      </c>
      <c r="N66" s="49">
        <f t="shared" si="18"/>
        <v>0</v>
      </c>
      <c r="O66" s="48">
        <f>K66+I66+J66-L66+N66+G66</f>
        <v>1454083.6888374854</v>
      </c>
      <c r="P66" s="38">
        <f>O66*(1/((1+P$12)^(B66/12)))</f>
        <v>1454083.6888374854</v>
      </c>
      <c r="Q66" s="53"/>
      <c r="R66" s="53">
        <f t="shared" si="5"/>
        <v>0</v>
      </c>
      <c r="S66" s="53">
        <f t="shared" si="6"/>
        <v>0</v>
      </c>
      <c r="T66" s="53">
        <f t="shared" si="7"/>
        <v>0.05</v>
      </c>
      <c r="U66" s="53">
        <f t="shared" si="10"/>
        <v>4.2653187775606449E-3</v>
      </c>
    </row>
    <row r="67" spans="1:21" x14ac:dyDescent="0.2">
      <c r="A67" s="62">
        <f t="shared" si="1"/>
        <v>0.10359529920639779</v>
      </c>
      <c r="B67" s="45">
        <f t="shared" si="2"/>
        <v>53</v>
      </c>
      <c r="C67" s="51">
        <f>IF(B67&lt;C$4,C$1,D66-L67+N67)</f>
        <v>11815001.698251788</v>
      </c>
      <c r="D67" s="47" cm="1">
        <f t="array" ref="D67">_xlfn.IFS(AND($C$7="Y",B67&lt;C$4),C67,AND($C$7="Y",B67=C$4),D66+F67-J67-K67-L67+N67,AND($C$7="Y",B67&gt;$C$4),D66-J67-K67-L67+N67, TRUE, D66-J67-K67-L67+N67)</f>
        <v>10359529.920639779</v>
      </c>
      <c r="E67" s="48">
        <f t="shared" si="3"/>
        <v>0</v>
      </c>
      <c r="F67" s="50">
        <f t="shared" si="4"/>
        <v>0</v>
      </c>
      <c r="G67" s="50">
        <f t="shared" si="11"/>
        <v>0</v>
      </c>
      <c r="H67" s="51">
        <f>IF(AND($B67&lt;=$C$4,C$7="Y"),0,IF(AND(C$7="N",C$4&gt;0,B67&lt;=C$4),0,(D66-L67+N67)*C$2/12/(1-(1/(1+C$2/12))^(C$3+C$4-B67+1))))</f>
        <v>1504700.9513547244</v>
      </c>
      <c r="I67" s="52">
        <f>IF(AND(C$7="Y",$B67&lt;=C$4),0,IF(AND(C$7="Y",$B67&gt;C$4),(1-U67)*C$2*D66/12,IF(AND($C$7="N",C$4&gt;0),(1-U67)*D66*C$2/12, (1-U67)*D66*C$2/12)))</f>
        <v>49229.173742715786</v>
      </c>
      <c r="J67" s="52">
        <f>IF(AND($B67&lt;=$C$4,C$7="Y"),0,IF(AND(C$7="N",C$4&gt;0,B67&lt;=C$4),0,H67-I67))</f>
        <v>1455471.7776120086</v>
      </c>
      <c r="K67" s="51">
        <f>IF(AND(C$7="Y",$B67&lt;=$C$4),0,IF(AND(C$7="N",C$4&gt;0,B67&lt;=C$4),0,S67*(C67-J67)))</f>
        <v>0</v>
      </c>
      <c r="L67" s="49">
        <f>IF(AND(C$7="Y",$B67&lt;=$C$4),0,IF(AND(C$7="N",C$4&gt;0,B67&lt;=C$4),0,U67*D66))</f>
        <v>50610.619024131855</v>
      </c>
      <c r="M67" s="49">
        <f t="shared" si="19"/>
        <v>-76589.952325189151</v>
      </c>
      <c r="N67" s="49">
        <f t="shared" si="18"/>
        <v>0</v>
      </c>
      <c r="O67" s="48">
        <f>K67+I67+J67-L67+N67+G67</f>
        <v>1454090.3323305924</v>
      </c>
      <c r="P67" s="38">
        <f>O67*(1/((1+P$12)^(B67/12)))</f>
        <v>1454090.3323305924</v>
      </c>
      <c r="Q67" s="53"/>
      <c r="R67" s="53">
        <f t="shared" si="5"/>
        <v>0</v>
      </c>
      <c r="S67" s="53">
        <f t="shared" si="6"/>
        <v>0</v>
      </c>
      <c r="T67" s="53">
        <f t="shared" si="7"/>
        <v>0.05</v>
      </c>
      <c r="U67" s="53">
        <f t="shared" si="10"/>
        <v>4.2653187775606449E-3</v>
      </c>
    </row>
    <row r="68" spans="1:21" x14ac:dyDescent="0.2">
      <c r="A68" s="62">
        <f t="shared" si="1"/>
        <v>8.8600408977733719E-2</v>
      </c>
      <c r="B68" s="45">
        <f t="shared" si="2"/>
        <v>54</v>
      </c>
      <c r="C68" s="51">
        <f>IF(B68&lt;C$4,C$1,D67-L68+N68)</f>
        <v>10315343.223142574</v>
      </c>
      <c r="D68" s="47" cm="1">
        <f t="array" ref="D68">_xlfn.IFS(AND($C$7="Y",B68&lt;C$4),C68,AND($C$7="Y",B68=C$4),D67+F68-J68-K68-L68+N68,AND($C$7="Y",B68&gt;$C$4),D67-J68-K68-L68+N68, TRUE, D67-J68-K68-L68+N68)</f>
        <v>8860040.897773372</v>
      </c>
      <c r="E68" s="48">
        <f t="shared" si="3"/>
        <v>0</v>
      </c>
      <c r="F68" s="50">
        <f t="shared" si="4"/>
        <v>0</v>
      </c>
      <c r="G68" s="50">
        <f t="shared" si="11"/>
        <v>0</v>
      </c>
      <c r="H68" s="51">
        <f>IF(AND($B68&lt;=$C$4,C$7="Y"),0,IF(AND(C$7="N",C$4&gt;0,B68&lt;=C$4),0,(D67-L68+N68)*C$2/12/(1-(1/(1+C$2/12))^(C$3+C$4-B68+1))))</f>
        <v>1498282.9221322949</v>
      </c>
      <c r="I68" s="52">
        <f>IF(AND(C$7="Y",$B68&lt;=C$4),0,IF(AND(C$7="Y",$B68&gt;C$4),(1-U68)*C$2*D67/12,IF(AND($C$7="N",C$4&gt;0),(1-U68)*D67*C$2/12, (1-U68)*D67*C$2/12)))</f>
        <v>42980.596763094058</v>
      </c>
      <c r="J68" s="52">
        <f>IF(AND($B68&lt;=$C$4,C$7="Y"),0,IF(AND(C$7="N",C$4&gt;0,B68&lt;=C$4),0,H68-I68))</f>
        <v>1455302.3253692009</v>
      </c>
      <c r="K68" s="51">
        <f>IF(AND(C$7="Y",$B68&lt;=$C$4),0,IF(AND(C$7="N",C$4&gt;0,B68&lt;=C$4),0,S68*(C68-J68)))</f>
        <v>0</v>
      </c>
      <c r="L68" s="49">
        <f>IF(AND(C$7="Y",$B68&lt;=$C$4),0,IF(AND(C$7="N",C$4&gt;0,B68&lt;=C$4),0,U68*D67))</f>
        <v>44186.697497206187</v>
      </c>
      <c r="M68" s="49">
        <f t="shared" si="19"/>
        <v>-70052.32874710024</v>
      </c>
      <c r="N68" s="49">
        <f t="shared" si="18"/>
        <v>0</v>
      </c>
      <c r="O68" s="48">
        <f>K68+I68+J68-L68+N68+G68</f>
        <v>1454096.2246350886</v>
      </c>
      <c r="P68" s="38">
        <f>O68*(1/((1+P$12)^(B68/12)))</f>
        <v>1454096.2246350886</v>
      </c>
      <c r="Q68" s="53"/>
      <c r="R68" s="53">
        <f t="shared" si="5"/>
        <v>0</v>
      </c>
      <c r="S68" s="53">
        <f t="shared" si="6"/>
        <v>0</v>
      </c>
      <c r="T68" s="53">
        <f t="shared" si="7"/>
        <v>0.05</v>
      </c>
      <c r="U68" s="53">
        <f t="shared" si="10"/>
        <v>4.2653187775606449E-3</v>
      </c>
    </row>
    <row r="69" spans="1:21" x14ac:dyDescent="0.2">
      <c r="A69" s="62">
        <f t="shared" si="1"/>
        <v>7.3671171061073945E-2</v>
      </c>
      <c r="B69" s="45">
        <f t="shared" si="2"/>
        <v>55</v>
      </c>
      <c r="C69" s="51">
        <f>IF(B69&lt;C$4,C$1,D68-L69+N69)</f>
        <v>8822249.9989621434</v>
      </c>
      <c r="D69" s="47" cm="1">
        <f t="array" ref="D69">_xlfn.IFS(AND($C$7="Y",B69&lt;C$4),C69,AND($C$7="Y",B69=C$4),D68+F69-J69-K69-L69+N69,AND($C$7="Y",B69&gt;$C$4),D68-J69-K69-L69+N69, TRUE, D68-J69-K69-L69+N69)</f>
        <v>7367117.1061073951</v>
      </c>
      <c r="E69" s="48">
        <f t="shared" si="3"/>
        <v>0</v>
      </c>
      <c r="F69" s="50">
        <f t="shared" si="4"/>
        <v>0</v>
      </c>
      <c r="G69" s="50">
        <f t="shared" si="11"/>
        <v>0</v>
      </c>
      <c r="H69" s="51">
        <f>IF(AND($B69&lt;=$C$4,C$7="Y"),0,IF(AND(C$7="N",C$4&gt;0,B69&lt;=C$4),0,(D68-L69+N69)*C$2/12/(1-(1/(1+C$2/12))^(C$3+C$4-B69+1))))</f>
        <v>1491892.2678504251</v>
      </c>
      <c r="I69" s="52">
        <f>IF(AND(C$7="Y",$B69&lt;=C$4),0,IF(AND(C$7="Y",$B69&gt;C$4),(1-U69)*C$2*D68/12,IF(AND($C$7="N",C$4&gt;0),(1-U69)*D68*C$2/12, (1-U69)*D68*C$2/12)))</f>
        <v>36759.3749956756</v>
      </c>
      <c r="J69" s="52">
        <f>IF(AND($B69&lt;=$C$4,C$7="Y"),0,IF(AND(C$7="N",C$4&gt;0,B69&lt;=C$4),0,H69-I69))</f>
        <v>1455132.8928547495</v>
      </c>
      <c r="K69" s="51">
        <f>IF(AND(C$7="Y",$B69&lt;=$C$4),0,IF(AND(C$7="N",C$4&gt;0,B69&lt;=C$4),0,S69*(C69-J69)))</f>
        <v>0</v>
      </c>
      <c r="L69" s="49">
        <f>IF(AND(C$7="Y",$B69&lt;=$C$4),0,IF(AND(C$7="N",C$4&gt;0,B69&lt;=C$4),0,U69*D68))</f>
        <v>37790.898811228035</v>
      </c>
      <c r="M69" s="49">
        <f t="shared" si="19"/>
        <v>-63543.313322141592</v>
      </c>
      <c r="N69" s="49">
        <f t="shared" si="18"/>
        <v>0</v>
      </c>
      <c r="O69" s="48">
        <f>K69+I69+J69-L69+N69+G69</f>
        <v>1454101.369039197</v>
      </c>
      <c r="P69" s="38">
        <f>O69*(1/((1+P$12)^(B69/12)))</f>
        <v>1454101.369039197</v>
      </c>
      <c r="Q69" s="53"/>
      <c r="R69" s="53">
        <f t="shared" si="5"/>
        <v>0</v>
      </c>
      <c r="S69" s="53">
        <f t="shared" si="6"/>
        <v>0</v>
      </c>
      <c r="T69" s="53">
        <f t="shared" si="7"/>
        <v>0.05</v>
      </c>
      <c r="U69" s="53">
        <f t="shared" si="10"/>
        <v>4.2653187775606449E-3</v>
      </c>
    </row>
    <row r="70" spans="1:21" x14ac:dyDescent="0.2">
      <c r="A70" s="62">
        <f t="shared" si="1"/>
        <v>5.8807305231118726E-2</v>
      </c>
      <c r="B70" s="45">
        <f t="shared" si="2"/>
        <v>56</v>
      </c>
      <c r="C70" s="51">
        <f>IF(B70&lt;C$4,C$1,D69-L70+N70)</f>
        <v>7335694.0031782268</v>
      </c>
      <c r="D70" s="47" cm="1">
        <f t="array" ref="D70">_xlfn.IFS(AND($C$7="Y",B70&lt;C$4),C70,AND($C$7="Y",B70=C$4),D69+F70-J70-K70-L70+N70,AND($C$7="Y",B70&gt;$C$4),D69-J70-K70-L70+N70, TRUE, D69-J70-K70-L70+N70)</f>
        <v>5880730.5231118724</v>
      </c>
      <c r="E70" s="48">
        <f t="shared" si="3"/>
        <v>0</v>
      </c>
      <c r="F70" s="50">
        <f t="shared" si="4"/>
        <v>0</v>
      </c>
      <c r="G70" s="50">
        <f t="shared" si="11"/>
        <v>0</v>
      </c>
      <c r="H70" s="51">
        <f>IF(AND($B70&lt;=$C$4,C$7="Y"),0,IF(AND(C$7="N",C$4&gt;0,B70&lt;=C$4),0,(D69-L70+N70)*C$2/12/(1-(1/(1+C$2/12))^(C$3+C$4-B70+1))))</f>
        <v>1485528.8717462635</v>
      </c>
      <c r="I70" s="52">
        <f>IF(AND(C$7="Y",$B70&lt;=C$4),0,IF(AND(C$7="Y",$B70&gt;C$4),(1-U70)*C$2*D69/12,IF(AND($C$7="N",C$4&gt;0),(1-U70)*D69*C$2/12, (1-U70)*D69*C$2/12)))</f>
        <v>30565.39167990928</v>
      </c>
      <c r="J70" s="52">
        <f>IF(AND($B70&lt;=$C$4,C$7="Y"),0,IF(AND(C$7="N",C$4&gt;0,B70&lt;=C$4),0,H70-I70))</f>
        <v>1454963.4800663542</v>
      </c>
      <c r="K70" s="51">
        <f>IF(AND(C$7="Y",$B70&lt;=$C$4),0,IF(AND(C$7="N",C$4&gt;0,B70&lt;=C$4),0,S70*(C70-J70)))</f>
        <v>0</v>
      </c>
      <c r="L70" s="49">
        <f>IF(AND(C$7="Y",$B70&lt;=$C$4),0,IF(AND(C$7="N",C$4&gt;0,B70&lt;=C$4),0,U70*D69))</f>
        <v>31423.102929168112</v>
      </c>
      <c r="M70" s="49">
        <f t="shared" si="19"/>
        <v>-57062.783943233531</v>
      </c>
      <c r="N70" s="49">
        <f t="shared" si="18"/>
        <v>0</v>
      </c>
      <c r="O70" s="48">
        <f>K70+I70+J70-L70+N70+G70</f>
        <v>1454105.7688170953</v>
      </c>
      <c r="P70" s="38">
        <f>O70*(1/((1+P$12)^(B70/12)))</f>
        <v>1454105.7688170953</v>
      </c>
      <c r="Q70" s="53"/>
      <c r="R70" s="53">
        <f t="shared" si="5"/>
        <v>0</v>
      </c>
      <c r="S70" s="53">
        <f t="shared" si="6"/>
        <v>0</v>
      </c>
      <c r="T70" s="53">
        <f t="shared" si="7"/>
        <v>0.05</v>
      </c>
      <c r="U70" s="53">
        <f t="shared" si="10"/>
        <v>4.2653187775606449E-3</v>
      </c>
    </row>
    <row r="71" spans="1:21" x14ac:dyDescent="0.2">
      <c r="A71" s="62">
        <f t="shared" si="1"/>
        <v>4.4008532457841511E-2</v>
      </c>
      <c r="B71" s="45">
        <f t="shared" si="2"/>
        <v>57</v>
      </c>
      <c r="C71" s="51">
        <f>IF(B71&lt;C$4,C$1,D70-L71+N71)</f>
        <v>5855647.332785869</v>
      </c>
      <c r="D71" s="47" cm="1">
        <f t="array" ref="D71">_xlfn.IFS(AND($C$7="Y",B71&lt;C$4),C71,AND($C$7="Y",B71=C$4),D70+F71-J71-K71-L71+N71,AND($C$7="Y",B71&gt;$C$4),D70-J71-K71-L71+N71, TRUE, D70-J71-K71-L71+N71)</f>
        <v>4400853.2457841514</v>
      </c>
      <c r="E71" s="48">
        <f t="shared" si="3"/>
        <v>0</v>
      </c>
      <c r="F71" s="50">
        <f t="shared" si="4"/>
        <v>0</v>
      </c>
      <c r="G71" s="50">
        <f t="shared" si="11"/>
        <v>0</v>
      </c>
      <c r="H71" s="51">
        <f>IF(AND($B71&lt;=$C$4,C$7="Y"),0,IF(AND(C$7="N",C$4&gt;0,B71&lt;=C$4),0,(D70-L71+N71)*C$2/12/(1-(1/(1+C$2/12))^(C$3+C$4-B71+1))))</f>
        <v>1479192.617554992</v>
      </c>
      <c r="I71" s="52">
        <f>IF(AND(C$7="Y",$B71&lt;=C$4),0,IF(AND(C$7="Y",$B71&gt;C$4),(1-U71)*C$2*D70/12,IF(AND($C$7="N",C$4&gt;0),(1-U71)*D70*C$2/12, (1-U71)*D70*C$2/12)))</f>
        <v>24398.530553274453</v>
      </c>
      <c r="J71" s="52">
        <f>IF(AND($B71&lt;=$C$4,C$7="Y"),0,IF(AND(C$7="N",C$4&gt;0,B71&lt;=C$4),0,H71-I71))</f>
        <v>1454794.0870017174</v>
      </c>
      <c r="K71" s="51">
        <f>IF(AND(C$7="Y",$B71&lt;=$C$4),0,IF(AND(C$7="N",C$4&gt;0,B71&lt;=C$4),0,S71*(C71-J71)))</f>
        <v>0</v>
      </c>
      <c r="L71" s="49">
        <f>IF(AND(C$7="Y",$B71&lt;=$C$4),0,IF(AND(C$7="N",C$4&gt;0,B71&lt;=C$4),0,U71*D70))</f>
        <v>25083.190326003103</v>
      </c>
      <c r="M71" s="49">
        <f t="shared" si="19"/>
        <v>-50610.619024131855</v>
      </c>
      <c r="N71" s="49">
        <f t="shared" si="18"/>
        <v>0</v>
      </c>
      <c r="O71" s="48">
        <f>K71+I71+J71-L71+N71+G71</f>
        <v>1454109.4272289888</v>
      </c>
      <c r="P71" s="38">
        <f>O71*(1/((1+P$12)^(B71/12)))</f>
        <v>1454109.4272289888</v>
      </c>
      <c r="Q71" s="53"/>
      <c r="R71" s="53">
        <f t="shared" si="5"/>
        <v>0</v>
      </c>
      <c r="S71" s="53">
        <f t="shared" si="6"/>
        <v>0</v>
      </c>
      <c r="T71" s="53">
        <f t="shared" si="7"/>
        <v>0.05</v>
      </c>
      <c r="U71" s="53">
        <f t="shared" si="10"/>
        <v>4.2653187775606449E-3</v>
      </c>
    </row>
    <row r="72" spans="1:21" x14ac:dyDescent="0.2">
      <c r="A72" s="62">
        <f t="shared" si="1"/>
        <v>2.9274574901390737E-2</v>
      </c>
      <c r="B72" s="45">
        <f t="shared" si="2"/>
        <v>58</v>
      </c>
      <c r="C72" s="51">
        <f>IF(B72&lt;C$4,C$1,D71-L72+N72)</f>
        <v>4382082.2037976198</v>
      </c>
      <c r="D72" s="47" cm="1">
        <f t="array" ref="D72">_xlfn.IFS(AND($C$7="Y",B72&lt;C$4),C72,AND($C$7="Y",B72=C$4),D71+F72-J72-K72-L72+N72,AND($C$7="Y",B72&gt;$C$4),D71-J72-K72-L72+N72, TRUE, D71-J72-K72-L72+N72)</f>
        <v>2927457.4901390737</v>
      </c>
      <c r="E72" s="48">
        <f t="shared" si="3"/>
        <v>0</v>
      </c>
      <c r="F72" s="50">
        <f t="shared" si="4"/>
        <v>0</v>
      </c>
      <c r="G72" s="50">
        <f t="shared" si="11"/>
        <v>0</v>
      </c>
      <c r="H72" s="51">
        <f>IF(AND($B72&lt;=$C$4,C$7="Y"),0,IF(AND(C$7="N",C$4&gt;0,B72&lt;=C$4),0,(D71-L72+N72)*C$2/12/(1-(1/(1+C$2/12))^(C$3+C$4-B72+1))))</f>
        <v>1472883.3895077023</v>
      </c>
      <c r="I72" s="52">
        <f>IF(AND(C$7="Y",$B72&lt;=C$4),0,IF(AND(C$7="Y",$B72&gt;C$4),(1-U72)*C$2*D71/12,IF(AND($C$7="N",C$4&gt;0),(1-U72)*D71*C$2/12, (1-U72)*D71*C$2/12)))</f>
        <v>18258.675849156749</v>
      </c>
      <c r="J72" s="52">
        <f>IF(AND($B72&lt;=$C$4,C$7="Y"),0,IF(AND(C$7="N",C$4&gt;0,B72&lt;=C$4),0,H72-I72))</f>
        <v>1454624.7136585456</v>
      </c>
      <c r="K72" s="51">
        <f>IF(AND(C$7="Y",$B72&lt;=$C$4),0,IF(AND(C$7="N",C$4&gt;0,B72&lt;=C$4),0,S72*(C72-J72)))</f>
        <v>0</v>
      </c>
      <c r="L72" s="49">
        <f>IF(AND(C$7="Y",$B72&lt;=$C$4),0,IF(AND(C$7="N",C$4&gt;0,B72&lt;=C$4),0,U72*D71))</f>
        <v>18771.041986531854</v>
      </c>
      <c r="M72" s="49">
        <f t="shared" si="19"/>
        <v>-44186.697497206187</v>
      </c>
      <c r="N72" s="49">
        <f t="shared" si="18"/>
        <v>0</v>
      </c>
      <c r="O72" s="48">
        <f>K72+I72+J72-L72+N72+G72</f>
        <v>1454112.3475211705</v>
      </c>
      <c r="P72" s="38">
        <f>O72*(1/((1+P$12)^(B72/12)))</f>
        <v>1454112.3475211705</v>
      </c>
      <c r="Q72" s="53"/>
      <c r="R72" s="53">
        <f t="shared" si="5"/>
        <v>0</v>
      </c>
      <c r="S72" s="53">
        <f t="shared" si="6"/>
        <v>0</v>
      </c>
      <c r="T72" s="53">
        <f t="shared" si="7"/>
        <v>0.05</v>
      </c>
      <c r="U72" s="53">
        <f t="shared" si="10"/>
        <v>4.2653187775606449E-3</v>
      </c>
    </row>
    <row r="73" spans="1:21" x14ac:dyDescent="0.2">
      <c r="A73" s="62">
        <f t="shared" si="1"/>
        <v>1.460515590701336E-2</v>
      </c>
      <c r="B73" s="45">
        <f t="shared" si="2"/>
        <v>59</v>
      </c>
      <c r="C73" s="51">
        <f>IF(B73&lt;C$4,C$1,D72-L73+N73)</f>
        <v>2914970.9507358731</v>
      </c>
      <c r="D73" s="47" cm="1">
        <f t="array" ref="D73">_xlfn.IFS(AND($C$7="Y",B73&lt;C$4),C73,AND($C$7="Y",B73=C$4),D72+F73-J73-K73-L73+N73,AND($C$7="Y",B73&gt;$C$4),D72-J73-K73-L73+N73, TRUE, D72-J73-K73-L73+N73)</f>
        <v>1460515.590701336</v>
      </c>
      <c r="E73" s="48">
        <f t="shared" si="3"/>
        <v>0</v>
      </c>
      <c r="F73" s="50">
        <f t="shared" si="4"/>
        <v>0</v>
      </c>
      <c r="G73" s="50">
        <f t="shared" si="11"/>
        <v>0</v>
      </c>
      <c r="H73" s="51">
        <f>IF(AND($B73&lt;=$C$4,C$7="Y"),0,IF(AND(C$7="N",C$4&gt;0,B73&lt;=C$4),0,(D72-L73+N73)*C$2/12/(1-(1/(1+C$2/12))^(C$3+C$4-B73+1))))</f>
        <v>1466601.0723292697</v>
      </c>
      <c r="I73" s="52">
        <f>IF(AND(C$7="Y",$B73&lt;=C$4),0,IF(AND(C$7="Y",$B73&gt;C$4),(1-U73)*C$2*D72/12,IF(AND($C$7="N",C$4&gt;0),(1-U73)*D72*C$2/12, (1-U73)*D72*C$2/12)))</f>
        <v>12145.712294732804</v>
      </c>
      <c r="J73" s="52">
        <f>IF(AND($B73&lt;=$C$4,C$7="Y"),0,IF(AND(C$7="N",C$4&gt;0,B73&lt;=C$4),0,H73-I73))</f>
        <v>1454455.3600345368</v>
      </c>
      <c r="K73" s="51">
        <f>IF(AND(C$7="Y",$B73&lt;=$C$4),0,IF(AND(C$7="N",C$4&gt;0,B73&lt;=C$4),0,S73*(C73-J73)))</f>
        <v>0</v>
      </c>
      <c r="L73" s="49">
        <f>IF(AND(C$7="Y",$B73&lt;=$C$4),0,IF(AND(C$7="N",C$4&gt;0,B73&lt;=C$4),0,U73*D72))</f>
        <v>12486.539403200748</v>
      </c>
      <c r="M73" s="49">
        <f t="shared" si="19"/>
        <v>-37790.898811228035</v>
      </c>
      <c r="N73" s="49">
        <f t="shared" si="18"/>
        <v>0</v>
      </c>
      <c r="O73" s="48">
        <f>K73+I73+J73-L73+N73+G73</f>
        <v>1454114.5329260689</v>
      </c>
      <c r="P73" s="38">
        <f>O73*(1/((1+P$12)^(B73/12)))</f>
        <v>1454114.5329260689</v>
      </c>
      <c r="Q73" s="53"/>
      <c r="R73" s="53">
        <f t="shared" si="5"/>
        <v>0</v>
      </c>
      <c r="S73" s="53">
        <f t="shared" si="6"/>
        <v>0</v>
      </c>
      <c r="T73" s="53">
        <f t="shared" si="7"/>
        <v>0.05</v>
      </c>
      <c r="U73" s="53">
        <f t="shared" si="10"/>
        <v>4.2653187775606449E-3</v>
      </c>
    </row>
    <row r="74" spans="1:21" x14ac:dyDescent="0.2">
      <c r="A74" s="62">
        <f t="shared" si="1"/>
        <v>-5.1159076974727212E-17</v>
      </c>
      <c r="B74" s="45">
        <f t="shared" si="2"/>
        <v>60</v>
      </c>
      <c r="C74" s="51">
        <f>IF(B74&lt;C$4,C$1,D73-L74+N74)</f>
        <v>1454286.0261273975</v>
      </c>
      <c r="D74" s="47" cm="1">
        <f t="array" ref="D74">_xlfn.IFS(AND($C$7="Y",B74&lt;C$4),C74,AND($C$7="Y",B74=C$4),D73+F74-J74-K74-L74+N74,AND($C$7="Y",B74&gt;$C$4),D73-J74-K74-L74+N74, TRUE, D73-J74-K74-L74+N74)</f>
        <v>-5.1159076974727213E-9</v>
      </c>
      <c r="E74" s="48">
        <f t="shared" si="3"/>
        <v>0</v>
      </c>
      <c r="F74" s="50">
        <f t="shared" si="4"/>
        <v>0</v>
      </c>
      <c r="G74" s="50">
        <f t="shared" si="11"/>
        <v>0</v>
      </c>
      <c r="H74" s="51">
        <f>IF(AND($B74&lt;=$C$4,C$7="Y"),0,IF(AND(C$7="N",C$4&gt;0,B74&lt;=C$4),0,(D73-L74+N74)*C$2/12/(1-(1/(1+C$2/12))^(C$3+C$4-B74+1))))</f>
        <v>1460345.5512362667</v>
      </c>
      <c r="I74" s="52">
        <f>IF(AND(C$7="Y",$B74&lt;=C$4),0,IF(AND(C$7="Y",$B74&gt;C$4),(1-U74)*C$2*D73/12,IF(AND($C$7="N",C$4&gt;0),(1-U74)*D73*C$2/12, (1-U74)*D73*C$2/12)))</f>
        <v>6059.5251088641562</v>
      </c>
      <c r="J74" s="52">
        <f>IF(AND($B74&lt;=$C$4,C$7="Y"),0,IF(AND(C$7="N",C$4&gt;0,B74&lt;=C$4),0,H74-I74))</f>
        <v>1454286.0261274027</v>
      </c>
      <c r="K74" s="51">
        <f>IF(AND(C$7="Y",$B74&lt;=$C$4),0,IF(AND(C$7="N",C$4&gt;0,B74&lt;=C$4),0,S74*(C74-J74)))</f>
        <v>0</v>
      </c>
      <c r="L74" s="49">
        <f>IF(AND(C$7="Y",$B74&lt;=$C$4),0,IF(AND(C$7="N",C$4&gt;0,B74&lt;=C$4),0,U74*D73))</f>
        <v>6229.5645739384863</v>
      </c>
      <c r="M74" s="49">
        <f t="shared" si="19"/>
        <v>-31423.102929168112</v>
      </c>
      <c r="N74" s="49">
        <f t="shared" si="18"/>
        <v>0</v>
      </c>
      <c r="O74" s="48">
        <f>K74+I74+J74-L74+N74+G74</f>
        <v>1454115.9866623282</v>
      </c>
      <c r="P74" s="38">
        <f>O74*(1/((1+P$12)^(B74/12)))</f>
        <v>1454115.9866623282</v>
      </c>
      <c r="Q74" s="53"/>
      <c r="R74" s="53">
        <f t="shared" si="5"/>
        <v>0</v>
      </c>
      <c r="S74" s="53">
        <f t="shared" si="6"/>
        <v>0</v>
      </c>
      <c r="T74" s="53">
        <f t="shared" si="7"/>
        <v>0.05</v>
      </c>
      <c r="U74" s="53">
        <f t="shared" si="10"/>
        <v>4.2653187775606449E-3</v>
      </c>
    </row>
    <row r="75" spans="1:21" x14ac:dyDescent="0.2">
      <c r="A75" s="62" t="e">
        <f t="shared" si="1"/>
        <v>#DIV/0!</v>
      </c>
      <c r="B75" s="45">
        <f t="shared" si="2"/>
        <v>61</v>
      </c>
      <c r="C75" s="51">
        <f>IF(B75&lt;C$4,C$1,D74-L75+N75)</f>
        <v>-5.0940867203064241E-9</v>
      </c>
      <c r="D75" s="47" t="e" cm="1">
        <f t="array" ref="D75">_xlfn.IFS(AND($C$7="Y",B75&lt;C$4),C75,AND($C$7="Y",B75=C$4),D74+F75-J75-K75-L75+N75,AND($C$7="Y",B75&gt;$C$4),D74-J75-K75-L75+N75, TRUE, D74-J75-K75-L75+N75)</f>
        <v>#DIV/0!</v>
      </c>
      <c r="E75" s="48">
        <f t="shared" si="3"/>
        <v>0</v>
      </c>
      <c r="F75" s="50">
        <f t="shared" si="4"/>
        <v>0</v>
      </c>
      <c r="G75" s="50">
        <f t="shared" si="11"/>
        <v>0</v>
      </c>
      <c r="H75" s="51" t="e">
        <f>IF(AND($B75&lt;=$C$4,C$7="Y"),0,IF(AND(C$7="N",C$4&gt;0,B75&lt;=C$4),0,(D74-L75+N75)*C$2/12/(1-(1/(1+C$2/12))^(C$3+C$4-B75+1))))</f>
        <v>#DIV/0!</v>
      </c>
      <c r="I75" s="52">
        <f>IF(AND(C$7="Y",$B75&lt;=C$4),0,IF(AND(C$7="Y",$B75&gt;C$4),(1-U75)*C$2*D74/12,IF(AND($C$7="N",C$4&gt;0),(1-U75)*D74*C$2/12, (1-U75)*D74*C$2/12)))</f>
        <v>-2.1225361334610101E-11</v>
      </c>
      <c r="J75" s="52" t="e">
        <f>IF(AND($B75&lt;=$C$4,C$7="Y"),0,IF(AND(C$7="N",C$4&gt;0,B75&lt;=C$4),0,H75-I75))</f>
        <v>#DIV/0!</v>
      </c>
      <c r="K75" s="51" t="e">
        <f>IF(AND(C$7="Y",$B75&lt;=$C$4),0,IF(AND(C$7="N",C$4&gt;0,B75&lt;=C$4),0,S75*(C75-J75)))</f>
        <v>#DIV/0!</v>
      </c>
      <c r="L75" s="49">
        <f>IF(AND(C$7="Y",$B75&lt;=$C$4),0,IF(AND(C$7="N",C$4&gt;0,B75&lt;=C$4),0,U75*D74))</f>
        <v>-2.1820977166297441E-11</v>
      </c>
      <c r="M75" s="49">
        <f t="shared" si="19"/>
        <v>-25083.190326003103</v>
      </c>
      <c r="N75" s="49">
        <f t="shared" si="18"/>
        <v>0</v>
      </c>
      <c r="O75" s="48" t="e">
        <f>K75+I75+J75-L75+N75+G75</f>
        <v>#DIV/0!</v>
      </c>
      <c r="P75" s="38" t="e">
        <f>O75*(1/((1+P$12)^(B75/12)))</f>
        <v>#DIV/0!</v>
      </c>
      <c r="Q75" s="53"/>
      <c r="R75" s="53">
        <f t="shared" si="5"/>
        <v>0</v>
      </c>
      <c r="S75" s="53">
        <f t="shared" si="6"/>
        <v>0</v>
      </c>
      <c r="T75" s="53">
        <f t="shared" si="7"/>
        <v>0.05</v>
      </c>
      <c r="U75" s="53">
        <f t="shared" si="10"/>
        <v>4.2653187775606449E-3</v>
      </c>
    </row>
    <row r="76" spans="1:21" x14ac:dyDescent="0.2">
      <c r="A76" s="62" t="e">
        <f t="shared" si="1"/>
        <v>#DIV/0!</v>
      </c>
      <c r="B76" s="45">
        <f t="shared" si="2"/>
        <v>62</v>
      </c>
      <c r="C76" s="51" t="e">
        <f>IF(B76&lt;C$4,C$1,D75-L76+N76)</f>
        <v>#DIV/0!</v>
      </c>
      <c r="D76" s="47" t="e" cm="1">
        <f t="array" ref="D76">_xlfn.IFS(AND($C$7="Y",B76&lt;C$4),C76,AND($C$7="Y",B76=C$4),D75+F76-J76-K76-L76+N76,AND($C$7="Y",B76&gt;$C$4),D75-J76-K76-L76+N76, TRUE, D75-J76-K76-L76+N76)</f>
        <v>#DIV/0!</v>
      </c>
      <c r="E76" s="48">
        <f t="shared" si="3"/>
        <v>0</v>
      </c>
      <c r="F76" s="50">
        <f t="shared" si="4"/>
        <v>0</v>
      </c>
      <c r="G76" s="50">
        <f t="shared" si="11"/>
        <v>0</v>
      </c>
      <c r="H76" s="51" t="e">
        <f>IF(AND($B76&lt;=$C$4,C$7="Y"),0,IF(AND(C$7="N",C$4&gt;0,B76&lt;=C$4),0,(D75-L76+N76)*C$2/12/(1-(1/(1+C$2/12))^(C$3+C$4-B76+1))))</f>
        <v>#DIV/0!</v>
      </c>
      <c r="I76" s="52" t="e">
        <f>IF(AND(C$7="Y",$B76&lt;=C$4),0,IF(AND(C$7="Y",$B76&gt;C$4),(1-U76)*C$2*D75/12,IF(AND($C$7="N",C$4&gt;0),(1-U76)*D75*C$2/12, (1-U76)*D75*C$2/12)))</f>
        <v>#DIV/0!</v>
      </c>
      <c r="J76" s="52" t="e">
        <f>IF(AND($B76&lt;=$C$4,C$7="Y"),0,IF(AND(C$7="N",C$4&gt;0,B76&lt;=C$4),0,H76-I76))</f>
        <v>#DIV/0!</v>
      </c>
      <c r="K76" s="51" t="e">
        <f>IF(AND(C$7="Y",$B76&lt;=$C$4),0,IF(AND(C$7="N",C$4&gt;0,B76&lt;=C$4),0,S76*(C76-J76)))</f>
        <v>#DIV/0!</v>
      </c>
      <c r="L76" s="49" t="e">
        <f>IF(AND(C$7="Y",$B76&lt;=$C$4),0,IF(AND(C$7="N",C$4&gt;0,B76&lt;=C$4),0,U76*D75))</f>
        <v>#DIV/0!</v>
      </c>
      <c r="M76" s="49">
        <f t="shared" si="19"/>
        <v>-18771.041986531854</v>
      </c>
      <c r="N76" s="49">
        <f t="shared" si="18"/>
        <v>0</v>
      </c>
      <c r="O76" s="48" t="e">
        <f>K76+I76+J76-L76+N76+G76</f>
        <v>#DIV/0!</v>
      </c>
      <c r="P76" s="38" t="e">
        <f>O76*(1/((1+P$12)^(B76/12)))</f>
        <v>#DIV/0!</v>
      </c>
      <c r="Q76" s="53"/>
      <c r="R76" s="53">
        <f t="shared" si="5"/>
        <v>0</v>
      </c>
      <c r="S76" s="53">
        <f t="shared" si="6"/>
        <v>0</v>
      </c>
      <c r="T76" s="53">
        <f t="shared" si="7"/>
        <v>0.05</v>
      </c>
      <c r="U76" s="53">
        <f t="shared" si="10"/>
        <v>4.2653187775606449E-3</v>
      </c>
    </row>
    <row r="77" spans="1:21" x14ac:dyDescent="0.2">
      <c r="A77" s="62" t="e">
        <f t="shared" si="1"/>
        <v>#DIV/0!</v>
      </c>
      <c r="B77" s="45">
        <f t="shared" si="2"/>
        <v>63</v>
      </c>
      <c r="C77" s="51" t="e">
        <f>IF(B77&lt;C$4,C$1,D76-L77+N77)</f>
        <v>#DIV/0!</v>
      </c>
      <c r="D77" s="47" t="e" cm="1">
        <f t="array" ref="D77">_xlfn.IFS(AND($C$7="Y",B77&lt;C$4),C77,AND($C$7="Y",B77=C$4),D76+F77-J77-K77-L77+N77,AND($C$7="Y",B77&gt;$C$4),D76-J77-K77-L77+N77, TRUE, D76-J77-K77-L77+N77)</f>
        <v>#DIV/0!</v>
      </c>
      <c r="E77" s="48">
        <f t="shared" si="3"/>
        <v>0</v>
      </c>
      <c r="F77" s="50">
        <f t="shared" si="4"/>
        <v>0</v>
      </c>
      <c r="G77" s="50">
        <f t="shared" si="11"/>
        <v>0</v>
      </c>
      <c r="H77" s="51" t="e">
        <f>IF(AND($B77&lt;=$C$4,C$7="Y"),0,IF(AND(C$7="N",C$4&gt;0,B77&lt;=C$4),0,(D76-L77+N77)*C$2/12/(1-(1/(1+C$2/12))^(C$3+C$4-B77+1))))</f>
        <v>#DIV/0!</v>
      </c>
      <c r="I77" s="52" t="e">
        <f>IF(AND(C$7="Y",$B77&lt;=C$4),0,IF(AND(C$7="Y",$B77&gt;C$4),(1-U77)*C$2*D76/12,IF(AND($C$7="N",C$4&gt;0),(1-U77)*D76*C$2/12, (1-U77)*D76*C$2/12)))</f>
        <v>#DIV/0!</v>
      </c>
      <c r="J77" s="52" t="e">
        <f>IF(AND($B77&lt;=$C$4,C$7="Y"),0,IF(AND(C$7="N",C$4&gt;0,B77&lt;=C$4),0,H77-I77))</f>
        <v>#DIV/0!</v>
      </c>
      <c r="K77" s="51" t="e">
        <f>IF(AND(C$7="Y",$B77&lt;=$C$4),0,IF(AND(C$7="N",C$4&gt;0,B77&lt;=C$4),0,S77*(C77-J77)))</f>
        <v>#DIV/0!</v>
      </c>
      <c r="L77" s="49" t="e">
        <f>IF(AND(C$7="Y",$B77&lt;=$C$4),0,IF(AND(C$7="N",C$4&gt;0,B77&lt;=C$4),0,U77*D76))</f>
        <v>#DIV/0!</v>
      </c>
      <c r="M77" s="49">
        <f t="shared" si="19"/>
        <v>-12486.539403200748</v>
      </c>
      <c r="N77" s="49">
        <f t="shared" si="18"/>
        <v>0</v>
      </c>
      <c r="O77" s="48" t="e">
        <f>K77+I77+J77-L77+N77+G77</f>
        <v>#DIV/0!</v>
      </c>
      <c r="P77" s="38" t="e">
        <f>O77*(1/((1+P$12)^(B77/12)))</f>
        <v>#DIV/0!</v>
      </c>
      <c r="Q77" s="53"/>
      <c r="R77" s="53">
        <f t="shared" si="5"/>
        <v>0</v>
      </c>
      <c r="S77" s="53">
        <f t="shared" si="6"/>
        <v>0</v>
      </c>
      <c r="T77" s="53">
        <f t="shared" si="7"/>
        <v>0.05</v>
      </c>
      <c r="U77" s="53">
        <f t="shared" si="10"/>
        <v>4.2653187775606449E-3</v>
      </c>
    </row>
    <row r="78" spans="1:21" x14ac:dyDescent="0.2">
      <c r="A78" s="62" t="e">
        <f t="shared" si="1"/>
        <v>#DIV/0!</v>
      </c>
      <c r="B78" s="45">
        <f t="shared" si="2"/>
        <v>64</v>
      </c>
      <c r="C78" s="51" t="e">
        <f>IF(B78&lt;C$4,C$1,D77-L78+N78)</f>
        <v>#DIV/0!</v>
      </c>
      <c r="D78" s="47" t="e" cm="1">
        <f t="array" ref="D78">_xlfn.IFS(AND($C$7="Y",B78&lt;C$4),C78,AND($C$7="Y",B78=C$4),D77+F78-J78-K78-L78+N78,AND($C$7="Y",B78&gt;$C$4),D77-J78-K78-L78+N78, TRUE, D77-J78-K78-L78+N78)</f>
        <v>#DIV/0!</v>
      </c>
      <c r="E78" s="48">
        <f t="shared" si="3"/>
        <v>0</v>
      </c>
      <c r="F78" s="50">
        <f t="shared" si="4"/>
        <v>0</v>
      </c>
      <c r="G78" s="50">
        <f t="shared" si="11"/>
        <v>0</v>
      </c>
      <c r="H78" s="51" t="e">
        <f>IF(AND($B78&lt;=$C$4,C$7="Y"),0,IF(AND(C$7="N",C$4&gt;0,B78&lt;=C$4),0,(D77-L78+N78)*C$2/12/(1-(1/(1+C$2/12))^(C$3+C$4-B78+1))))</f>
        <v>#DIV/0!</v>
      </c>
      <c r="I78" s="52" t="e">
        <f>IF(AND(C$7="Y",$B78&lt;=C$4),0,IF(AND(C$7="Y",$B78&gt;C$4),(1-U78)*C$2*D77/12,IF(AND($C$7="N",C$4&gt;0),(1-U78)*D77*C$2/12, (1-U78)*D77*C$2/12)))</f>
        <v>#DIV/0!</v>
      </c>
      <c r="J78" s="52" t="e">
        <f>IF(AND($B78&lt;=$C$4,C$7="Y"),0,IF(AND(C$7="N",C$4&gt;0,B78&lt;=C$4),0,H78-I78))</f>
        <v>#DIV/0!</v>
      </c>
      <c r="K78" s="51" t="e">
        <f>IF(AND(C$7="Y",$B78&lt;=$C$4),0,IF(AND(C$7="N",C$4&gt;0,B78&lt;=C$4),0,S78*(C78-J78)))</f>
        <v>#DIV/0!</v>
      </c>
      <c r="L78" s="49" t="e">
        <f>IF(AND(C$7="Y",$B78&lt;=$C$4),0,IF(AND(C$7="N",C$4&gt;0,B78&lt;=C$4),0,U78*D77))</f>
        <v>#DIV/0!</v>
      </c>
      <c r="M78" s="49">
        <f t="shared" si="19"/>
        <v>-6229.5645739384863</v>
      </c>
      <c r="N78" s="49">
        <f t="shared" si="18"/>
        <v>0</v>
      </c>
      <c r="O78" s="48" t="e">
        <f>K78+I78+J78-L78+N78+G78</f>
        <v>#DIV/0!</v>
      </c>
      <c r="P78" s="38" t="e">
        <f>O78*(1/((1+P$12)^(B78/12)))</f>
        <v>#DIV/0!</v>
      </c>
      <c r="Q78" s="53"/>
      <c r="R78" s="53">
        <f t="shared" si="5"/>
        <v>0</v>
      </c>
      <c r="S78" s="53">
        <f t="shared" si="6"/>
        <v>0</v>
      </c>
      <c r="T78" s="53">
        <f t="shared" si="7"/>
        <v>0.05</v>
      </c>
      <c r="U78" s="53">
        <f t="shared" si="10"/>
        <v>4.2653187775606449E-3</v>
      </c>
    </row>
    <row r="79" spans="1:21" x14ac:dyDescent="0.2">
      <c r="A79" s="62" t="e">
        <f t="shared" ref="A79:A142" si="20">D79/C$1</f>
        <v>#DIV/0!</v>
      </c>
      <c r="B79" s="45">
        <f t="shared" si="2"/>
        <v>65</v>
      </c>
      <c r="C79" s="51" t="e">
        <f>IF(B79&lt;C$4,C$1,D78-L79+N79)</f>
        <v>#DIV/0!</v>
      </c>
      <c r="D79" s="47" t="e" cm="1">
        <f t="array" ref="D79">_xlfn.IFS(AND($C$7="Y",B79&lt;C$4),C79,AND($C$7="Y",B79=C$4),D78+F79-J79-K79-L79+N79,AND($C$7="Y",B79&gt;$C$4),D78-J79-K79-L79+N79, TRUE, D78-J79-K79-L79+N79)</f>
        <v>#DIV/0!</v>
      </c>
      <c r="E79" s="48">
        <f t="shared" si="3"/>
        <v>0</v>
      </c>
      <c r="F79" s="50">
        <f t="shared" si="4"/>
        <v>0</v>
      </c>
      <c r="G79" s="50">
        <f t="shared" si="11"/>
        <v>0</v>
      </c>
      <c r="H79" s="51" t="e">
        <f>IF(AND($B79&lt;=$C$4,C$7="Y"),0,IF(AND(C$7="N",C$4&gt;0,B79&lt;=C$4),0,(D78-L79+N79)*C$2/12/(1-(1/(1+C$2/12))^(C$3+C$4-B79+1))))</f>
        <v>#DIV/0!</v>
      </c>
      <c r="I79" s="52" t="e">
        <f>IF(AND(C$7="Y",$B79&lt;=C$4),0,IF(AND(C$7="Y",$B79&gt;C$4),(1-U79)*C$2*D78/12,IF(AND($C$7="N",C$4&gt;0),(1-U79)*D78*C$2/12, (1-U79)*D78*C$2/12)))</f>
        <v>#DIV/0!</v>
      </c>
      <c r="J79" s="52" t="e">
        <f>IF(AND($B79&lt;=$C$4,C$7="Y"),0,IF(AND(C$7="N",C$4&gt;0,B79&lt;=C$4),0,H79-I79))</f>
        <v>#DIV/0!</v>
      </c>
      <c r="K79" s="51" t="e">
        <f>IF(AND(C$7="Y",$B79&lt;=$C$4),0,IF(AND(C$7="N",C$4&gt;0,B79&lt;=C$4),0,S79*(C79-J79)))</f>
        <v>#DIV/0!</v>
      </c>
      <c r="L79" s="49" t="e">
        <f>IF(AND(C$7="Y",$B79&lt;=$C$4),0,IF(AND(C$7="N",C$4&gt;0,B79&lt;=C$4),0,U79*D78))</f>
        <v>#DIV/0!</v>
      </c>
      <c r="M79" s="49">
        <f t="shared" si="19"/>
        <v>2.1820977166297441E-11</v>
      </c>
      <c r="N79" s="49">
        <f t="shared" si="18"/>
        <v>0</v>
      </c>
      <c r="O79" s="48" t="e">
        <f>K79+I79+J79-L79+N79+G79</f>
        <v>#DIV/0!</v>
      </c>
      <c r="P79" s="38" t="e">
        <f>O79*(1/((1+P$12)^(B79/12)))</f>
        <v>#DIV/0!</v>
      </c>
      <c r="Q79" s="53"/>
      <c r="R79" s="53">
        <f t="shared" si="5"/>
        <v>0</v>
      </c>
      <c r="S79" s="53">
        <f t="shared" si="6"/>
        <v>0</v>
      </c>
      <c r="T79" s="53">
        <f t="shared" si="7"/>
        <v>0.05</v>
      </c>
      <c r="U79" s="53">
        <f t="shared" si="10"/>
        <v>4.2653187775606449E-3</v>
      </c>
    </row>
    <row r="80" spans="1:21" x14ac:dyDescent="0.2">
      <c r="A80" s="62" t="e">
        <f t="shared" si="20"/>
        <v>#DIV/0!</v>
      </c>
      <c r="B80" s="45">
        <f t="shared" ref="B80:B143" si="21">B79+1</f>
        <v>66</v>
      </c>
      <c r="C80" s="51" t="e">
        <f>IF(B80&lt;C$4,C$1,D79-L80+N80)</f>
        <v>#DIV/0!</v>
      </c>
      <c r="D80" s="47" t="e" cm="1">
        <f t="array" ref="D80">_xlfn.IFS(AND($C$7="Y",B80&lt;C$4),C80,AND($C$7="Y",B80=C$4),D79+F80-J80-K80-L80+N80,AND($C$7="Y",B80&gt;$C$4),D79-J80-K80-L80+N80, TRUE, D79-J80-K80-L80+N80)</f>
        <v>#DIV/0!</v>
      </c>
      <c r="E80" s="48">
        <f t="shared" ref="E80:E143" si="22">IF(AND($C$7="Y",B80&lt;=$C$4),D79*C$2/12-G80,0)</f>
        <v>0</v>
      </c>
      <c r="F80" s="50">
        <f t="shared" ref="F80:F143" si="23">IF(AND($C$7="Y",B80&lt;=C$4),E80+F79,0)</f>
        <v>0</v>
      </c>
      <c r="G80" s="50">
        <f t="shared" si="11"/>
        <v>0</v>
      </c>
      <c r="H80" s="51" t="e">
        <f>IF(AND($B80&lt;=$C$4,C$7="Y"),0,IF(AND(C$7="N",C$4&gt;0,B80&lt;=C$4),0,(D79-L80+N80)*C$2/12/(1-(1/(1+C$2/12))^(C$3+C$4-B80+1))))</f>
        <v>#DIV/0!</v>
      </c>
      <c r="I80" s="52" t="e">
        <f>IF(AND(C$7="Y",$B80&lt;=C$4),0,IF(AND(C$7="Y",$B80&gt;C$4),(1-U80)*C$2*D79/12,IF(AND($C$7="N",C$4&gt;0),(1-U80)*D79*C$2/12, (1-U80)*D79*C$2/12)))</f>
        <v>#DIV/0!</v>
      </c>
      <c r="J80" s="52" t="e">
        <f>IF(AND($B80&lt;=$C$4,C$7="Y"),0,IF(AND(C$7="N",C$4&gt;0,B80&lt;=C$4),0,H80-I80))</f>
        <v>#DIV/0!</v>
      </c>
      <c r="K80" s="51" t="e">
        <f>IF(AND(C$7="Y",$B80&lt;=$C$4),0,IF(AND(C$7="N",C$4&gt;0,B80&lt;=C$4),0,S80*(C80-J80)))</f>
        <v>#DIV/0!</v>
      </c>
      <c r="L80" s="49" t="e">
        <f>IF(AND(C$7="Y",$B80&lt;=$C$4),0,IF(AND(C$7="N",C$4&gt;0,B80&lt;=C$4),0,U80*D79))</f>
        <v>#DIV/0!</v>
      </c>
      <c r="M80" s="49">
        <f t="shared" si="19"/>
        <v>0</v>
      </c>
      <c r="N80" s="49">
        <f t="shared" si="18"/>
        <v>0</v>
      </c>
      <c r="O80" s="48" t="e">
        <f>K80+I80+J80-L80+N80+G80</f>
        <v>#DIV/0!</v>
      </c>
      <c r="P80" s="38" t="e">
        <f>O80*(1/((1+P$12)^(B80/12)))</f>
        <v>#DIV/0!</v>
      </c>
      <c r="Q80" s="53"/>
      <c r="R80" s="53">
        <f t="shared" ref="R80:R143" si="24">R$12</f>
        <v>0</v>
      </c>
      <c r="S80" s="53">
        <f t="shared" ref="S80:S143" si="25">1-(1-R80)^(1/12)</f>
        <v>0</v>
      </c>
      <c r="T80" s="53">
        <f t="shared" ref="T80:T143" si="26">T$12</f>
        <v>0.05</v>
      </c>
      <c r="U80" s="53">
        <f t="shared" si="10"/>
        <v>4.2653187775606449E-3</v>
      </c>
    </row>
    <row r="81" spans="1:21" x14ac:dyDescent="0.2">
      <c r="A81" s="62" t="e">
        <f t="shared" si="20"/>
        <v>#DIV/0!</v>
      </c>
      <c r="B81" s="45">
        <f t="shared" si="21"/>
        <v>67</v>
      </c>
      <c r="C81" s="51" t="e">
        <f>IF(B81&lt;C$4,C$1,D80-L81+N81)</f>
        <v>#DIV/0!</v>
      </c>
      <c r="D81" s="47" t="e" cm="1">
        <f t="array" ref="D81">_xlfn.IFS(AND($C$7="Y",B81&lt;C$4),C81,AND($C$7="Y",B81=C$4),D80+F81-J81-K81-L81+N81,AND($C$7="Y",B81&gt;$C$4),D80-J81-K81-L81+N81, TRUE, D80-J81-K81-L81+N81)</f>
        <v>#DIV/0!</v>
      </c>
      <c r="E81" s="48">
        <f t="shared" si="22"/>
        <v>0</v>
      </c>
      <c r="F81" s="50">
        <f t="shared" si="23"/>
        <v>0</v>
      </c>
      <c r="G81" s="50">
        <f t="shared" si="11"/>
        <v>0</v>
      </c>
      <c r="H81" s="51" t="e">
        <f>IF(AND($B81&lt;=$C$4,C$7="Y"),0,IF(AND(C$7="N",C$4&gt;0,B81&lt;=C$4),0,(D80-L81+N81)*C$2/12/(1-(1/(1+C$2/12))^(C$3+C$4-B81+1))))</f>
        <v>#DIV/0!</v>
      </c>
      <c r="I81" s="52" t="e">
        <f>IF(AND(C$7="Y",$B81&lt;=C$4),0,IF(AND(C$7="Y",$B81&gt;C$4),(1-U81)*C$2*D80/12,IF(AND($C$7="N",C$4&gt;0),(1-U81)*D80*C$2/12, (1-U81)*D80*C$2/12)))</f>
        <v>#DIV/0!</v>
      </c>
      <c r="J81" s="52" t="e">
        <f>IF(AND($B81&lt;=$C$4,C$7="Y"),0,IF(AND(C$7="N",C$4&gt;0,B81&lt;=C$4),0,H81-I81))</f>
        <v>#DIV/0!</v>
      </c>
      <c r="K81" s="51" t="e">
        <f>IF(AND(C$7="Y",$B81&lt;=$C$4),0,IF(AND(C$7="N",C$4&gt;0,B81&lt;=C$4),0,S81*(C81-J81)))</f>
        <v>#DIV/0!</v>
      </c>
      <c r="L81" s="49" t="e">
        <f>IF(AND(C$7="Y",$B81&lt;=$C$4),0,IF(AND(C$7="N",C$4&gt;0,B81&lt;=C$4),0,U81*D80))</f>
        <v>#DIV/0!</v>
      </c>
      <c r="M81" s="49">
        <f t="shared" si="19"/>
        <v>0</v>
      </c>
      <c r="N81" s="49">
        <f t="shared" si="18"/>
        <v>0</v>
      </c>
      <c r="O81" s="48" t="e">
        <f>K81+I81+J81-L81+N81+G81</f>
        <v>#DIV/0!</v>
      </c>
      <c r="P81" s="38" t="e">
        <f>O81*(1/((1+P$12)^(B81/12)))</f>
        <v>#DIV/0!</v>
      </c>
      <c r="Q81" s="53"/>
      <c r="R81" s="53">
        <f t="shared" si="24"/>
        <v>0</v>
      </c>
      <c r="S81" s="53">
        <f t="shared" si="25"/>
        <v>0</v>
      </c>
      <c r="T81" s="53">
        <f t="shared" si="26"/>
        <v>0.05</v>
      </c>
      <c r="U81" s="53">
        <f t="shared" ref="U81:U144" si="27">1-(1-T81)^(1/12)</f>
        <v>4.2653187775606449E-3</v>
      </c>
    </row>
    <row r="82" spans="1:21" x14ac:dyDescent="0.2">
      <c r="A82" s="62" t="e">
        <f t="shared" si="20"/>
        <v>#DIV/0!</v>
      </c>
      <c r="B82" s="45">
        <f t="shared" si="21"/>
        <v>68</v>
      </c>
      <c r="C82" s="51" t="e">
        <f>IF(B82&lt;C$4,C$1,D81-L82+N82)</f>
        <v>#DIV/0!</v>
      </c>
      <c r="D82" s="47" t="e" cm="1">
        <f t="array" ref="D82">_xlfn.IFS(AND($C$7="Y",B82&lt;C$4),C82,AND($C$7="Y",B82=C$4),D81+F82-J82-K82-L82+N82,AND($C$7="Y",B82&gt;$C$4),D81-J82-K82-L82+N82, TRUE, D81-J82-K82-L82+N82)</f>
        <v>#DIV/0!</v>
      </c>
      <c r="E82" s="48">
        <f t="shared" si="22"/>
        <v>0</v>
      </c>
      <c r="F82" s="50">
        <f t="shared" si="23"/>
        <v>0</v>
      </c>
      <c r="G82" s="50">
        <f t="shared" ref="G82:G145" si="28">IF($B82&lt;=$C$4,C$6,0)</f>
        <v>0</v>
      </c>
      <c r="H82" s="51" t="e">
        <f>IF(AND($B82&lt;=$C$4,C$7="Y"),0,IF(AND(C$7="N",C$4&gt;0,B82&lt;=C$4),0,(D81-L82+N82)*C$2/12/(1-(1/(1+C$2/12))^(C$3+C$4-B82+1))))</f>
        <v>#DIV/0!</v>
      </c>
      <c r="I82" s="52" t="e">
        <f>IF(AND(C$7="Y",$B82&lt;=C$4),0,IF(AND(C$7="Y",$B82&gt;C$4),(1-U82)*C$2*D81/12,IF(AND($C$7="N",C$4&gt;0),(1-U82)*D81*C$2/12, (1-U82)*D81*C$2/12)))</f>
        <v>#DIV/0!</v>
      </c>
      <c r="J82" s="52" t="e">
        <f>IF(AND($B82&lt;=$C$4,C$7="Y"),0,IF(AND(C$7="N",C$4&gt;0,B82&lt;=C$4),0,H82-I82))</f>
        <v>#DIV/0!</v>
      </c>
      <c r="K82" s="51" t="e">
        <f>IF(AND(C$7="Y",$B82&lt;=$C$4),0,IF(AND(C$7="N",C$4&gt;0,B82&lt;=C$4),0,S82*(C82-J82)))</f>
        <v>#DIV/0!</v>
      </c>
      <c r="L82" s="49" t="e">
        <f>IF(AND(C$7="Y",$B82&lt;=$C$4),0,IF(AND(C$7="N",C$4&gt;0,B82&lt;=C$4),0,U82*D81))</f>
        <v>#DIV/0!</v>
      </c>
      <c r="M82" s="49">
        <f t="shared" si="19"/>
        <v>0</v>
      </c>
      <c r="N82" s="49">
        <f t="shared" si="18"/>
        <v>0</v>
      </c>
      <c r="O82" s="48" t="e">
        <f>K82+I82+J82-L82+N82+G82</f>
        <v>#DIV/0!</v>
      </c>
      <c r="P82" s="38" t="e">
        <f>O82*(1/((1+P$12)^(B82/12)))</f>
        <v>#DIV/0!</v>
      </c>
      <c r="Q82" s="53"/>
      <c r="R82" s="53">
        <f t="shared" si="24"/>
        <v>0</v>
      </c>
      <c r="S82" s="53">
        <f t="shared" si="25"/>
        <v>0</v>
      </c>
      <c r="T82" s="53">
        <f t="shared" si="26"/>
        <v>0.05</v>
      </c>
      <c r="U82" s="53">
        <f t="shared" si="27"/>
        <v>4.2653187775606449E-3</v>
      </c>
    </row>
    <row r="83" spans="1:21" x14ac:dyDescent="0.2">
      <c r="A83" s="62" t="e">
        <f t="shared" si="20"/>
        <v>#DIV/0!</v>
      </c>
      <c r="B83" s="45">
        <f t="shared" si="21"/>
        <v>69</v>
      </c>
      <c r="C83" s="51" t="e">
        <f>IF(B83&lt;C$4,C$1,D82-L83+N83)</f>
        <v>#DIV/0!</v>
      </c>
      <c r="D83" s="47" t="e" cm="1">
        <f t="array" ref="D83">_xlfn.IFS(AND($C$7="Y",B83&lt;C$4),C83,AND($C$7="Y",B83=C$4),D82+F83-J83-K83-L83+N83,AND($C$7="Y",B83&gt;$C$4),D82-J83-K83-L83+N83, TRUE, D82-J83-K83-L83+N83)</f>
        <v>#DIV/0!</v>
      </c>
      <c r="E83" s="48">
        <f t="shared" si="22"/>
        <v>0</v>
      </c>
      <c r="F83" s="50">
        <f t="shared" si="23"/>
        <v>0</v>
      </c>
      <c r="G83" s="50">
        <f t="shared" si="28"/>
        <v>0</v>
      </c>
      <c r="H83" s="51" t="e">
        <f>IF(AND($B83&lt;=$C$4,C$7="Y"),0,IF(AND(C$7="N",C$4&gt;0,B83&lt;=C$4),0,(D82-L83+N83)*C$2/12/(1-(1/(1+C$2/12))^(C$3+C$4-B83+1))))</f>
        <v>#DIV/0!</v>
      </c>
      <c r="I83" s="52" t="e">
        <f>IF(AND(C$7="Y",$B83&lt;=C$4),0,IF(AND(C$7="Y",$B83&gt;C$4),(1-U83)*C$2*D82/12,IF(AND($C$7="N",C$4&gt;0),(1-U83)*D82*C$2/12, (1-U83)*D82*C$2/12)))</f>
        <v>#DIV/0!</v>
      </c>
      <c r="J83" s="52" t="e">
        <f>IF(AND($B83&lt;=$C$4,C$7="Y"),0,IF(AND(C$7="N",C$4&gt;0,B83&lt;=C$4),0,H83-I83))</f>
        <v>#DIV/0!</v>
      </c>
      <c r="K83" s="51" t="e">
        <f>IF(AND(C$7="Y",$B83&lt;=$C$4),0,IF(AND(C$7="N",C$4&gt;0,B83&lt;=C$4),0,S83*(C83-J83)))</f>
        <v>#DIV/0!</v>
      </c>
      <c r="L83" s="49" t="e">
        <f>IF(AND(C$7="Y",$B83&lt;=$C$4),0,IF(AND(C$7="N",C$4&gt;0,B83&lt;=C$4),0,U83*D82))</f>
        <v>#DIV/0!</v>
      </c>
      <c r="M83" s="49">
        <f t="shared" si="19"/>
        <v>0</v>
      </c>
      <c r="N83" s="49">
        <f t="shared" si="18"/>
        <v>0</v>
      </c>
      <c r="O83" s="48" t="e">
        <f>K83+I83+J83-L83+N83+G83</f>
        <v>#DIV/0!</v>
      </c>
      <c r="P83" s="38" t="e">
        <f>O83*(1/((1+P$12)^(B83/12)))</f>
        <v>#DIV/0!</v>
      </c>
      <c r="Q83" s="53"/>
      <c r="R83" s="53">
        <f t="shared" si="24"/>
        <v>0</v>
      </c>
      <c r="S83" s="53">
        <f t="shared" si="25"/>
        <v>0</v>
      </c>
      <c r="T83" s="53">
        <f t="shared" si="26"/>
        <v>0.05</v>
      </c>
      <c r="U83" s="53">
        <f t="shared" si="27"/>
        <v>4.2653187775606449E-3</v>
      </c>
    </row>
    <row r="84" spans="1:21" x14ac:dyDescent="0.2">
      <c r="A84" s="62" t="e">
        <f t="shared" si="20"/>
        <v>#DIV/0!</v>
      </c>
      <c r="B84" s="45">
        <f t="shared" si="21"/>
        <v>70</v>
      </c>
      <c r="C84" s="51" t="e">
        <f>IF(B84&lt;C$4,C$1,D83-L84+N84)</f>
        <v>#DIV/0!</v>
      </c>
      <c r="D84" s="47" t="e" cm="1">
        <f t="array" ref="D84">_xlfn.IFS(AND($C$7="Y",B84&lt;C$4),C84,AND($C$7="Y",B84=C$4),D83+F84-J84-K84-L84+N84,AND($C$7="Y",B84&gt;$C$4),D83-J84-K84-L84+N84, TRUE, D83-J84-K84-L84+N84)</f>
        <v>#DIV/0!</v>
      </c>
      <c r="E84" s="48">
        <f t="shared" si="22"/>
        <v>0</v>
      </c>
      <c r="F84" s="50">
        <f t="shared" si="23"/>
        <v>0</v>
      </c>
      <c r="G84" s="50">
        <f t="shared" si="28"/>
        <v>0</v>
      </c>
      <c r="H84" s="51" t="e">
        <f>IF(AND($B84&lt;=$C$4,C$7="Y"),0,IF(AND(C$7="N",C$4&gt;0,B84&lt;=C$4),0,(D83-L84+N84)*C$2/12/(1-(1/(1+C$2/12))^(C$3+C$4-B84+1))))</f>
        <v>#DIV/0!</v>
      </c>
      <c r="I84" s="52" t="e">
        <f>IF(AND(C$7="Y",$B84&lt;=C$4),0,IF(AND(C$7="Y",$B84&gt;C$4),(1-U84)*C$2*D83/12,IF(AND($C$7="N",C$4&gt;0),(1-U84)*D83*C$2/12, (1-U84)*D83*C$2/12)))</f>
        <v>#DIV/0!</v>
      </c>
      <c r="J84" s="52" t="e">
        <f>IF(AND($B84&lt;=$C$4,C$7="Y"),0,IF(AND(C$7="N",C$4&gt;0,B84&lt;=C$4),0,H84-I84))</f>
        <v>#DIV/0!</v>
      </c>
      <c r="K84" s="51" t="e">
        <f>IF(AND(C$7="Y",$B84&lt;=$C$4),0,IF(AND(C$7="N",C$4&gt;0,B84&lt;=C$4),0,S84*(C84-J84)))</f>
        <v>#DIV/0!</v>
      </c>
      <c r="L84" s="49" t="e">
        <f>IF(AND(C$7="Y",$B84&lt;=$C$4),0,IF(AND(C$7="N",C$4&gt;0,B84&lt;=C$4),0,U84*D83))</f>
        <v>#DIV/0!</v>
      </c>
      <c r="M84" s="49">
        <f t="shared" si="19"/>
        <v>0</v>
      </c>
      <c r="N84" s="49">
        <f t="shared" si="18"/>
        <v>0</v>
      </c>
      <c r="O84" s="48" t="e">
        <f>K84+I84+J84-L84+N84+G84</f>
        <v>#DIV/0!</v>
      </c>
      <c r="P84" s="38" t="e">
        <f>O84*(1/((1+P$12)^(B84/12)))</f>
        <v>#DIV/0!</v>
      </c>
      <c r="Q84" s="53"/>
      <c r="R84" s="53">
        <f t="shared" si="24"/>
        <v>0</v>
      </c>
      <c r="S84" s="53">
        <f t="shared" si="25"/>
        <v>0</v>
      </c>
      <c r="T84" s="53">
        <f t="shared" si="26"/>
        <v>0.05</v>
      </c>
      <c r="U84" s="53">
        <f t="shared" si="27"/>
        <v>4.2653187775606449E-3</v>
      </c>
    </row>
    <row r="85" spans="1:21" x14ac:dyDescent="0.2">
      <c r="A85" s="62" t="e">
        <f t="shared" si="20"/>
        <v>#DIV/0!</v>
      </c>
      <c r="B85" s="45">
        <f t="shared" si="21"/>
        <v>71</v>
      </c>
      <c r="C85" s="51" t="e">
        <f>IF(B85&lt;C$4,C$1,D84-L85+N85)</f>
        <v>#DIV/0!</v>
      </c>
      <c r="D85" s="47" t="e" cm="1">
        <f t="array" ref="D85">_xlfn.IFS(AND($C$7="Y",B85&lt;C$4),C85,AND($C$7="Y",B85=C$4),D84+F85-J85-K85-L85+N85,AND($C$7="Y",B85&gt;$C$4),D84-J85-K85-L85+N85, TRUE, D84-J85-K85-L85+N85)</f>
        <v>#DIV/0!</v>
      </c>
      <c r="E85" s="48">
        <f t="shared" si="22"/>
        <v>0</v>
      </c>
      <c r="F85" s="50">
        <f t="shared" si="23"/>
        <v>0</v>
      </c>
      <c r="G85" s="50">
        <f t="shared" si="28"/>
        <v>0</v>
      </c>
      <c r="H85" s="51" t="e">
        <f>IF(AND($B85&lt;=$C$4,C$7="Y"),0,IF(AND(C$7="N",C$4&gt;0,B85&lt;=C$4),0,(D84-L85+N85)*C$2/12/(1-(1/(1+C$2/12))^(C$3+C$4-B85+1))))</f>
        <v>#DIV/0!</v>
      </c>
      <c r="I85" s="52" t="e">
        <f>IF(AND(C$7="Y",$B85&lt;=C$4),0,IF(AND(C$7="Y",$B85&gt;C$4),(1-U85)*C$2*D84/12,IF(AND($C$7="N",C$4&gt;0),(1-U85)*D84*C$2/12, (1-U85)*D84*C$2/12)))</f>
        <v>#DIV/0!</v>
      </c>
      <c r="J85" s="52" t="e">
        <f>IF(AND($B85&lt;=$C$4,C$7="Y"),0,IF(AND(C$7="N",C$4&gt;0,B85&lt;=C$4),0,H85-I85))</f>
        <v>#DIV/0!</v>
      </c>
      <c r="K85" s="51" t="e">
        <f>IF(AND(C$7="Y",$B85&lt;=$C$4),0,IF(AND(C$7="N",C$4&gt;0,B85&lt;=C$4),0,S85*(C85-J85)))</f>
        <v>#DIV/0!</v>
      </c>
      <c r="L85" s="49" t="e">
        <f>IF(AND(C$7="Y",$B85&lt;=$C$4),0,IF(AND(C$7="N",C$4&gt;0,B85&lt;=C$4),0,U85*D84))</f>
        <v>#DIV/0!</v>
      </c>
      <c r="M85" s="49">
        <f t="shared" si="19"/>
        <v>0</v>
      </c>
      <c r="N85" s="49">
        <f t="shared" si="18"/>
        <v>0</v>
      </c>
      <c r="O85" s="48" t="e">
        <f>K85+I85+J85-L85+N85+G85</f>
        <v>#DIV/0!</v>
      </c>
      <c r="P85" s="38" t="e">
        <f>O85*(1/((1+P$12)^(B85/12)))</f>
        <v>#DIV/0!</v>
      </c>
      <c r="Q85" s="53"/>
      <c r="R85" s="53">
        <f t="shared" si="24"/>
        <v>0</v>
      </c>
      <c r="S85" s="53">
        <f t="shared" si="25"/>
        <v>0</v>
      </c>
      <c r="T85" s="53">
        <f t="shared" si="26"/>
        <v>0.05</v>
      </c>
      <c r="U85" s="53">
        <f t="shared" si="27"/>
        <v>4.2653187775606449E-3</v>
      </c>
    </row>
    <row r="86" spans="1:21" x14ac:dyDescent="0.2">
      <c r="A86" s="62" t="e">
        <f t="shared" si="20"/>
        <v>#DIV/0!</v>
      </c>
      <c r="B86" s="45">
        <f t="shared" si="21"/>
        <v>72</v>
      </c>
      <c r="C86" s="51" t="e">
        <f>IF(B86&lt;C$4,C$1,D85-L86+N86)</f>
        <v>#DIV/0!</v>
      </c>
      <c r="D86" s="47" t="e" cm="1">
        <f t="array" ref="D86">_xlfn.IFS(AND($C$7="Y",B86&lt;C$4),C86,AND($C$7="Y",B86=C$4),D85+F86-J86-K86-L86+N86,AND($C$7="Y",B86&gt;$C$4),D85-J86-K86-L86+N86, TRUE, D85-J86-K86-L86+N86)</f>
        <v>#DIV/0!</v>
      </c>
      <c r="E86" s="48">
        <f t="shared" si="22"/>
        <v>0</v>
      </c>
      <c r="F86" s="50">
        <f t="shared" si="23"/>
        <v>0</v>
      </c>
      <c r="G86" s="50">
        <f t="shared" si="28"/>
        <v>0</v>
      </c>
      <c r="H86" s="51" t="e">
        <f>IF(AND($B86&lt;=$C$4,C$7="Y"),0,IF(AND(C$7="N",C$4&gt;0,B86&lt;=C$4),0,(D85-L86+N86)*C$2/12/(1-(1/(1+C$2/12))^(C$3+C$4-B86+1))))</f>
        <v>#DIV/0!</v>
      </c>
      <c r="I86" s="52" t="e">
        <f>IF(AND(C$7="Y",$B86&lt;=C$4),0,IF(AND(C$7="Y",$B86&gt;C$4),(1-U86)*C$2*D85/12,IF(AND($C$7="N",C$4&gt;0),(1-U86)*D85*C$2/12, (1-U86)*D85*C$2/12)))</f>
        <v>#DIV/0!</v>
      </c>
      <c r="J86" s="52" t="e">
        <f>IF(AND($B86&lt;=$C$4,C$7="Y"),0,IF(AND(C$7="N",C$4&gt;0,B86&lt;=C$4),0,H86-I86))</f>
        <v>#DIV/0!</v>
      </c>
      <c r="K86" s="51" t="e">
        <f>IF(AND(C$7="Y",$B86&lt;=$C$4),0,IF(AND(C$7="N",C$4&gt;0,B86&lt;=C$4),0,S86*(C86-J86)))</f>
        <v>#DIV/0!</v>
      </c>
      <c r="L86" s="49" t="e">
        <f>IF(AND(C$7="Y",$B86&lt;=$C$4),0,IF(AND(C$7="N",C$4&gt;0,B86&lt;=C$4),0,U86*D85))</f>
        <v>#DIV/0!</v>
      </c>
      <c r="M86" s="49">
        <f t="shared" si="19"/>
        <v>0</v>
      </c>
      <c r="N86" s="49">
        <f t="shared" si="18"/>
        <v>0</v>
      </c>
      <c r="O86" s="48" t="e">
        <f>K86+I86+J86-L86+N86+G86</f>
        <v>#DIV/0!</v>
      </c>
      <c r="P86" s="38" t="e">
        <f>O86*(1/((1+P$12)^(B86/12)))</f>
        <v>#DIV/0!</v>
      </c>
      <c r="Q86" s="53"/>
      <c r="R86" s="53">
        <f t="shared" si="24"/>
        <v>0</v>
      </c>
      <c r="S86" s="53">
        <f t="shared" si="25"/>
        <v>0</v>
      </c>
      <c r="T86" s="53">
        <f t="shared" si="26"/>
        <v>0.05</v>
      </c>
      <c r="U86" s="53">
        <f t="shared" si="27"/>
        <v>4.2653187775606449E-3</v>
      </c>
    </row>
    <row r="87" spans="1:21" x14ac:dyDescent="0.2">
      <c r="A87" s="62" t="e">
        <f t="shared" si="20"/>
        <v>#DIV/0!</v>
      </c>
      <c r="B87" s="45">
        <f t="shared" si="21"/>
        <v>73</v>
      </c>
      <c r="C87" s="51" t="e">
        <f>IF(B87&lt;C$4,C$1,D86-L87+N87)</f>
        <v>#DIV/0!</v>
      </c>
      <c r="D87" s="47" t="e" cm="1">
        <f t="array" ref="D87">_xlfn.IFS(AND($C$7="Y",B87&lt;C$4),C87,AND($C$7="Y",B87=C$4),D86+F87-J87-K87-L87+N87,AND($C$7="Y",B87&gt;$C$4),D86-J87-K87-L87+N87, TRUE, D86-J87-K87-L87+N87)</f>
        <v>#DIV/0!</v>
      </c>
      <c r="E87" s="48">
        <f t="shared" si="22"/>
        <v>0</v>
      </c>
      <c r="F87" s="50">
        <f t="shared" si="23"/>
        <v>0</v>
      </c>
      <c r="G87" s="50">
        <f t="shared" si="28"/>
        <v>0</v>
      </c>
      <c r="H87" s="51" t="e">
        <f>IF(AND($B87&lt;=$C$4,C$7="Y"),0,IF(AND(C$7="N",C$4&gt;0,B87&lt;=C$4),0,(D86-L87+N87)*C$2/12/(1-(1/(1+C$2/12))^(C$3+C$4-B87+1))))</f>
        <v>#DIV/0!</v>
      </c>
      <c r="I87" s="52" t="e">
        <f>IF(AND(C$7="Y",$B87&lt;=C$4),0,IF(AND(C$7="Y",$B87&gt;C$4),(1-U87)*C$2*D86/12,IF(AND($C$7="N",C$4&gt;0),(1-U87)*D86*C$2/12, (1-U87)*D86*C$2/12)))</f>
        <v>#DIV/0!</v>
      </c>
      <c r="J87" s="52" t="e">
        <f>IF(AND($B87&lt;=$C$4,C$7="Y"),0,IF(AND(C$7="N",C$4&gt;0,B87&lt;=C$4),0,H87-I87))</f>
        <v>#DIV/0!</v>
      </c>
      <c r="K87" s="51" t="e">
        <f>IF(AND(C$7="Y",$B87&lt;=$C$4),0,IF(AND(C$7="N",C$4&gt;0,B87&lt;=C$4),0,S87*(C87-J87)))</f>
        <v>#DIV/0!</v>
      </c>
      <c r="L87" s="49" t="e">
        <f>IF(AND(C$7="Y",$B87&lt;=$C$4),0,IF(AND(C$7="N",C$4&gt;0,B87&lt;=C$4),0,U87*D86))</f>
        <v>#DIV/0!</v>
      </c>
      <c r="M87" s="49">
        <f t="shared" si="19"/>
        <v>0</v>
      </c>
      <c r="N87" s="49">
        <f t="shared" si="18"/>
        <v>0</v>
      </c>
      <c r="O87" s="48" t="e">
        <f>K87+I87+J87-L87+N87+G87</f>
        <v>#DIV/0!</v>
      </c>
      <c r="P87" s="38" t="e">
        <f>O87*(1/((1+P$12)^(B87/12)))</f>
        <v>#DIV/0!</v>
      </c>
      <c r="Q87" s="53"/>
      <c r="R87" s="53">
        <f t="shared" si="24"/>
        <v>0</v>
      </c>
      <c r="S87" s="53">
        <f t="shared" si="25"/>
        <v>0</v>
      </c>
      <c r="T87" s="53">
        <f t="shared" si="26"/>
        <v>0.05</v>
      </c>
      <c r="U87" s="53">
        <f t="shared" si="27"/>
        <v>4.2653187775606449E-3</v>
      </c>
    </row>
    <row r="88" spans="1:21" x14ac:dyDescent="0.2">
      <c r="A88" s="62" t="e">
        <f t="shared" si="20"/>
        <v>#DIV/0!</v>
      </c>
      <c r="B88" s="45">
        <f t="shared" si="21"/>
        <v>74</v>
      </c>
      <c r="C88" s="51" t="e">
        <f>IF(B88&lt;C$4,C$1,D87-L88+N88)</f>
        <v>#DIV/0!</v>
      </c>
      <c r="D88" s="47" t="e" cm="1">
        <f t="array" ref="D88">_xlfn.IFS(AND($C$7="Y",B88&lt;C$4),C88,AND($C$7="Y",B88=C$4),D87+F88-J88-K88-L88+N88,AND($C$7="Y",B88&gt;$C$4),D87-J88-K88-L88+N88, TRUE, D87-J88-K88-L88+N88)</f>
        <v>#DIV/0!</v>
      </c>
      <c r="E88" s="48">
        <f t="shared" si="22"/>
        <v>0</v>
      </c>
      <c r="F88" s="50">
        <f t="shared" si="23"/>
        <v>0</v>
      </c>
      <c r="G88" s="50">
        <f t="shared" si="28"/>
        <v>0</v>
      </c>
      <c r="H88" s="51" t="e">
        <f>IF(AND($B88&lt;=$C$4,C$7="Y"),0,IF(AND(C$7="N",C$4&gt;0,B88&lt;=C$4),0,(D87-L88+N88)*C$2/12/(1-(1/(1+C$2/12))^(C$3+C$4-B88+1))))</f>
        <v>#DIV/0!</v>
      </c>
      <c r="I88" s="52" t="e">
        <f>IF(AND(C$7="Y",$B88&lt;=C$4),0,IF(AND(C$7="Y",$B88&gt;C$4),(1-U88)*C$2*D87/12,IF(AND($C$7="N",C$4&gt;0),(1-U88)*D87*C$2/12, (1-U88)*D87*C$2/12)))</f>
        <v>#DIV/0!</v>
      </c>
      <c r="J88" s="52" t="e">
        <f>IF(AND($B88&lt;=$C$4,C$7="Y"),0,IF(AND(C$7="N",C$4&gt;0,B88&lt;=C$4),0,H88-I88))</f>
        <v>#DIV/0!</v>
      </c>
      <c r="K88" s="51" t="e">
        <f>IF(AND(C$7="Y",$B88&lt;=$C$4),0,IF(AND(C$7="N",C$4&gt;0,B88&lt;=C$4),0,S88*(C88-J88)))</f>
        <v>#DIV/0!</v>
      </c>
      <c r="L88" s="49" t="e">
        <f>IF(AND(C$7="Y",$B88&lt;=$C$4),0,IF(AND(C$7="N",C$4&gt;0,B88&lt;=C$4),0,U88*D87))</f>
        <v>#DIV/0!</v>
      </c>
      <c r="M88" s="49">
        <f t="shared" si="19"/>
        <v>0</v>
      </c>
      <c r="N88" s="49">
        <f t="shared" si="18"/>
        <v>0</v>
      </c>
      <c r="O88" s="48" t="e">
        <f>K88+I88+J88-L88+N88+G88</f>
        <v>#DIV/0!</v>
      </c>
      <c r="P88" s="38" t="e">
        <f>O88*(1/((1+P$12)^(B88/12)))</f>
        <v>#DIV/0!</v>
      </c>
      <c r="Q88" s="53"/>
      <c r="R88" s="53">
        <f t="shared" si="24"/>
        <v>0</v>
      </c>
      <c r="S88" s="53">
        <f t="shared" si="25"/>
        <v>0</v>
      </c>
      <c r="T88" s="53">
        <f t="shared" si="26"/>
        <v>0.05</v>
      </c>
      <c r="U88" s="53">
        <f t="shared" si="27"/>
        <v>4.2653187775606449E-3</v>
      </c>
    </row>
    <row r="89" spans="1:21" x14ac:dyDescent="0.2">
      <c r="A89" s="62" t="e">
        <f t="shared" si="20"/>
        <v>#DIV/0!</v>
      </c>
      <c r="B89" s="45">
        <f t="shared" si="21"/>
        <v>75</v>
      </c>
      <c r="C89" s="51" t="e">
        <f>IF(B89&lt;C$4,C$1,D88-L89+N89)</f>
        <v>#DIV/0!</v>
      </c>
      <c r="D89" s="47" t="e" cm="1">
        <f t="array" ref="D89">_xlfn.IFS(AND($C$7="Y",B89&lt;C$4),C89,AND($C$7="Y",B89=C$4),D88+F89-J89-K89-L89+N89,AND($C$7="Y",B89&gt;$C$4),D88-J89-K89-L89+N89, TRUE, D88-J89-K89-L89+N89)</f>
        <v>#DIV/0!</v>
      </c>
      <c r="E89" s="48">
        <f t="shared" si="22"/>
        <v>0</v>
      </c>
      <c r="F89" s="50">
        <f t="shared" si="23"/>
        <v>0</v>
      </c>
      <c r="G89" s="50">
        <f t="shared" si="28"/>
        <v>0</v>
      </c>
      <c r="H89" s="51" t="e">
        <f>IF(AND($B89&lt;=$C$4,C$7="Y"),0,IF(AND(C$7="N",C$4&gt;0,B89&lt;=C$4),0,(D88-L89+N89)*C$2/12/(1-(1/(1+C$2/12))^(C$3+C$4-B89+1))))</f>
        <v>#DIV/0!</v>
      </c>
      <c r="I89" s="52" t="e">
        <f>IF(AND(C$7="Y",$B89&lt;=C$4),0,IF(AND(C$7="Y",$B89&gt;C$4),(1-U89)*C$2*D88/12,IF(AND($C$7="N",C$4&gt;0),(1-U89)*D88*C$2/12, (1-U89)*D88*C$2/12)))</f>
        <v>#DIV/0!</v>
      </c>
      <c r="J89" s="52" t="e">
        <f>IF(AND($B89&lt;=$C$4,C$7="Y"),0,IF(AND(C$7="N",C$4&gt;0,B89&lt;=C$4),0,H89-I89))</f>
        <v>#DIV/0!</v>
      </c>
      <c r="K89" s="51" t="e">
        <f>IF(AND(C$7="Y",$B89&lt;=$C$4),0,IF(AND(C$7="N",C$4&gt;0,B89&lt;=C$4),0,S89*(C89-J89)))</f>
        <v>#DIV/0!</v>
      </c>
      <c r="L89" s="49" t="e">
        <f>IF(AND(C$7="Y",$B89&lt;=$C$4),0,IF(AND(C$7="N",C$4&gt;0,B89&lt;=C$4),0,U89*D88))</f>
        <v>#DIV/0!</v>
      </c>
      <c r="M89" s="49">
        <f t="shared" si="19"/>
        <v>0</v>
      </c>
      <c r="N89" s="49">
        <f t="shared" si="18"/>
        <v>0</v>
      </c>
      <c r="O89" s="48" t="e">
        <f>K89+I89+J89-L89+N89+G89</f>
        <v>#DIV/0!</v>
      </c>
      <c r="P89" s="38" t="e">
        <f>O89*(1/((1+P$12)^(B89/12)))</f>
        <v>#DIV/0!</v>
      </c>
      <c r="Q89" s="53"/>
      <c r="R89" s="53">
        <f t="shared" si="24"/>
        <v>0</v>
      </c>
      <c r="S89" s="53">
        <f t="shared" si="25"/>
        <v>0</v>
      </c>
      <c r="T89" s="53">
        <f t="shared" si="26"/>
        <v>0.05</v>
      </c>
      <c r="U89" s="53">
        <f t="shared" si="27"/>
        <v>4.2653187775606449E-3</v>
      </c>
    </row>
    <row r="90" spans="1:21" x14ac:dyDescent="0.2">
      <c r="A90" s="62" t="e">
        <f t="shared" si="20"/>
        <v>#DIV/0!</v>
      </c>
      <c r="B90" s="45">
        <f t="shared" si="21"/>
        <v>76</v>
      </c>
      <c r="C90" s="51" t="e">
        <f>IF(B90&lt;C$4,C$1,D89-L90+N90)</f>
        <v>#DIV/0!</v>
      </c>
      <c r="D90" s="47" t="e" cm="1">
        <f t="array" ref="D90">_xlfn.IFS(AND($C$7="Y",B90&lt;C$4),C90,AND($C$7="Y",B90=C$4),D89+F90-J90-K90-L90+N90,AND($C$7="Y",B90&gt;$C$4),D89-J90-K90-L90+N90, TRUE, D89-J90-K90-L90+N90)</f>
        <v>#DIV/0!</v>
      </c>
      <c r="E90" s="48">
        <f t="shared" si="22"/>
        <v>0</v>
      </c>
      <c r="F90" s="50">
        <f t="shared" si="23"/>
        <v>0</v>
      </c>
      <c r="G90" s="50">
        <f t="shared" si="28"/>
        <v>0</v>
      </c>
      <c r="H90" s="51" t="e">
        <f>IF(AND($B90&lt;=$C$4,C$7="Y"),0,IF(AND(C$7="N",C$4&gt;0,B90&lt;=C$4),0,(D89-L90+N90)*C$2/12/(1-(1/(1+C$2/12))^(C$3+C$4-B90+1))))</f>
        <v>#DIV/0!</v>
      </c>
      <c r="I90" s="52" t="e">
        <f>IF(AND(C$7="Y",$B90&lt;=C$4),0,IF(AND(C$7="Y",$B90&gt;C$4),(1-U90)*C$2*D89/12,IF(AND($C$7="N",C$4&gt;0),(1-U90)*D89*C$2/12, (1-U90)*D89*C$2/12)))</f>
        <v>#DIV/0!</v>
      </c>
      <c r="J90" s="52" t="e">
        <f>IF(AND($B90&lt;=$C$4,C$7="Y"),0,IF(AND(C$7="N",C$4&gt;0,B90&lt;=C$4),0,H90-I90))</f>
        <v>#DIV/0!</v>
      </c>
      <c r="K90" s="51" t="e">
        <f>IF(AND(C$7="Y",$B90&lt;=$C$4),0,IF(AND(C$7="N",C$4&gt;0,B90&lt;=C$4),0,S90*(C90-J90)))</f>
        <v>#DIV/0!</v>
      </c>
      <c r="L90" s="49" t="e">
        <f>IF(AND(C$7="Y",$B90&lt;=$C$4),0,IF(AND(C$7="N",C$4&gt;0,B90&lt;=C$4),0,U90*D89))</f>
        <v>#DIV/0!</v>
      </c>
      <c r="M90" s="49">
        <f t="shared" si="19"/>
        <v>0</v>
      </c>
      <c r="N90" s="49">
        <f t="shared" si="18"/>
        <v>0</v>
      </c>
      <c r="O90" s="48" t="e">
        <f>K90+I90+J90-L90+N90+G90</f>
        <v>#DIV/0!</v>
      </c>
      <c r="P90" s="38" t="e">
        <f>O90*(1/((1+P$12)^(B90/12)))</f>
        <v>#DIV/0!</v>
      </c>
      <c r="Q90" s="53"/>
      <c r="R90" s="53">
        <f t="shared" si="24"/>
        <v>0</v>
      </c>
      <c r="S90" s="53">
        <f t="shared" si="25"/>
        <v>0</v>
      </c>
      <c r="T90" s="53">
        <f t="shared" si="26"/>
        <v>0.05</v>
      </c>
      <c r="U90" s="53">
        <f t="shared" si="27"/>
        <v>4.2653187775606449E-3</v>
      </c>
    </row>
    <row r="91" spans="1:21" x14ac:dyDescent="0.2">
      <c r="A91" s="62" t="e">
        <f t="shared" si="20"/>
        <v>#DIV/0!</v>
      </c>
      <c r="B91" s="45">
        <f t="shared" si="21"/>
        <v>77</v>
      </c>
      <c r="C91" s="51" t="e">
        <f>IF(B91&lt;C$4,C$1,D90-L91+N91)</f>
        <v>#DIV/0!</v>
      </c>
      <c r="D91" s="47" t="e" cm="1">
        <f t="array" ref="D91">_xlfn.IFS(AND($C$7="Y",B91&lt;C$4),C91,AND($C$7="Y",B91=C$4),D90+F91-J91-K91-L91+N91,AND($C$7="Y",B91&gt;$C$4),D90-J91-K91-L91+N91, TRUE, D90-J91-K91-L91+N91)</f>
        <v>#DIV/0!</v>
      </c>
      <c r="E91" s="48">
        <f t="shared" si="22"/>
        <v>0</v>
      </c>
      <c r="F91" s="50">
        <f t="shared" si="23"/>
        <v>0</v>
      </c>
      <c r="G91" s="50">
        <f t="shared" si="28"/>
        <v>0</v>
      </c>
      <c r="H91" s="51" t="e">
        <f>IF(AND($B91&lt;=$C$4,C$7="Y"),0,IF(AND(C$7="N",C$4&gt;0,B91&lt;=C$4),0,(D90-L91+N91)*C$2/12/(1-(1/(1+C$2/12))^(C$3+C$4-B91+1))))</f>
        <v>#DIV/0!</v>
      </c>
      <c r="I91" s="52" t="e">
        <f>IF(AND(C$7="Y",$B91&lt;=C$4),0,IF(AND(C$7="Y",$B91&gt;C$4),(1-U91)*C$2*D90/12,IF(AND($C$7="N",C$4&gt;0),(1-U91)*D90*C$2/12, (1-U91)*D90*C$2/12)))</f>
        <v>#DIV/0!</v>
      </c>
      <c r="J91" s="52" t="e">
        <f>IF(AND($B91&lt;=$C$4,C$7="Y"),0,IF(AND(C$7="N",C$4&gt;0,B91&lt;=C$4),0,H91-I91))</f>
        <v>#DIV/0!</v>
      </c>
      <c r="K91" s="51" t="e">
        <f>IF(AND(C$7="Y",$B91&lt;=$C$4),0,IF(AND(C$7="N",C$4&gt;0,B91&lt;=C$4),0,S91*(C91-J91)))</f>
        <v>#DIV/0!</v>
      </c>
      <c r="L91" s="49" t="e">
        <f>IF(AND(C$7="Y",$B91&lt;=$C$4),0,IF(AND(C$7="N",C$4&gt;0,B91&lt;=C$4),0,U91*D90))</f>
        <v>#DIV/0!</v>
      </c>
      <c r="M91" s="49">
        <f t="shared" si="19"/>
        <v>0</v>
      </c>
      <c r="N91" s="49">
        <f t="shared" si="18"/>
        <v>0</v>
      </c>
      <c r="O91" s="48" t="e">
        <f>K91+I91+J91-L91+N91+G91</f>
        <v>#DIV/0!</v>
      </c>
      <c r="P91" s="38" t="e">
        <f>O91*(1/((1+P$12)^(B91/12)))</f>
        <v>#DIV/0!</v>
      </c>
      <c r="Q91" s="53"/>
      <c r="R91" s="53">
        <f t="shared" si="24"/>
        <v>0</v>
      </c>
      <c r="S91" s="53">
        <f t="shared" si="25"/>
        <v>0</v>
      </c>
      <c r="T91" s="53">
        <f t="shared" si="26"/>
        <v>0.05</v>
      </c>
      <c r="U91" s="53">
        <f t="shared" si="27"/>
        <v>4.2653187775606449E-3</v>
      </c>
    </row>
    <row r="92" spans="1:21" x14ac:dyDescent="0.2">
      <c r="A92" s="62" t="e">
        <f t="shared" si="20"/>
        <v>#DIV/0!</v>
      </c>
      <c r="B92" s="45">
        <f t="shared" si="21"/>
        <v>78</v>
      </c>
      <c r="C92" s="51" t="e">
        <f>IF(B92&lt;C$4,C$1,D91-L92+N92)</f>
        <v>#DIV/0!</v>
      </c>
      <c r="D92" s="47" t="e" cm="1">
        <f t="array" ref="D92">_xlfn.IFS(AND($C$7="Y",B92&lt;C$4),C92,AND($C$7="Y",B92=C$4),D91+F92-J92-K92-L92+N92,AND($C$7="Y",B92&gt;$C$4),D91-J92-K92-L92+N92, TRUE, D91-J92-K92-L92+N92)</f>
        <v>#DIV/0!</v>
      </c>
      <c r="E92" s="48">
        <f t="shared" si="22"/>
        <v>0</v>
      </c>
      <c r="F92" s="50">
        <f t="shared" si="23"/>
        <v>0</v>
      </c>
      <c r="G92" s="50">
        <f t="shared" si="28"/>
        <v>0</v>
      </c>
      <c r="H92" s="51" t="e">
        <f>IF(AND($B92&lt;=$C$4,C$7="Y"),0,IF(AND(C$7="N",C$4&gt;0,B92&lt;=C$4),0,(D91-L92+N92)*C$2/12/(1-(1/(1+C$2/12))^(C$3+C$4-B92+1))))</f>
        <v>#DIV/0!</v>
      </c>
      <c r="I92" s="52" t="e">
        <f>IF(AND(C$7="Y",$B92&lt;=C$4),0,IF(AND(C$7="Y",$B92&gt;C$4),(1-U92)*C$2*D91/12,IF(AND($C$7="N",C$4&gt;0),(1-U92)*D91*C$2/12, (1-U92)*D91*C$2/12)))</f>
        <v>#DIV/0!</v>
      </c>
      <c r="J92" s="52" t="e">
        <f>IF(AND($B92&lt;=$C$4,C$7="Y"),0,IF(AND(C$7="N",C$4&gt;0,B92&lt;=C$4),0,H92-I92))</f>
        <v>#DIV/0!</v>
      </c>
      <c r="K92" s="51" t="e">
        <f>IF(AND(C$7="Y",$B92&lt;=$C$4),0,IF(AND(C$7="N",C$4&gt;0,B92&lt;=C$4),0,S92*(C92-J92)))</f>
        <v>#DIV/0!</v>
      </c>
      <c r="L92" s="49" t="e">
        <f>IF(AND(C$7="Y",$B92&lt;=$C$4),0,IF(AND(C$7="N",C$4&gt;0,B92&lt;=C$4),0,U92*D91))</f>
        <v>#DIV/0!</v>
      </c>
      <c r="M92" s="49">
        <f t="shared" si="19"/>
        <v>0</v>
      </c>
      <c r="N92" s="49">
        <f t="shared" si="18"/>
        <v>0</v>
      </c>
      <c r="O92" s="48" t="e">
        <f>K92+I92+J92-L92+N92+G92</f>
        <v>#DIV/0!</v>
      </c>
      <c r="P92" s="38" t="e">
        <f>O92*(1/((1+P$12)^(B92/12)))</f>
        <v>#DIV/0!</v>
      </c>
      <c r="Q92" s="53"/>
      <c r="R92" s="53">
        <f t="shared" si="24"/>
        <v>0</v>
      </c>
      <c r="S92" s="53">
        <f t="shared" si="25"/>
        <v>0</v>
      </c>
      <c r="T92" s="53">
        <f t="shared" si="26"/>
        <v>0.05</v>
      </c>
      <c r="U92" s="53">
        <f t="shared" si="27"/>
        <v>4.2653187775606449E-3</v>
      </c>
    </row>
    <row r="93" spans="1:21" x14ac:dyDescent="0.2">
      <c r="A93" s="62" t="e">
        <f t="shared" si="20"/>
        <v>#DIV/0!</v>
      </c>
      <c r="B93" s="45">
        <f t="shared" si="21"/>
        <v>79</v>
      </c>
      <c r="C93" s="51" t="e">
        <f>IF(B93&lt;C$4,C$1,D92-L93+N93)</f>
        <v>#DIV/0!</v>
      </c>
      <c r="D93" s="47" t="e" cm="1">
        <f t="array" ref="D93">_xlfn.IFS(AND($C$7="Y",B93&lt;C$4),C93,AND($C$7="Y",B93=C$4),D92+F93-J93-K93-L93+N93,AND($C$7="Y",B93&gt;$C$4),D92-J93-K93-L93+N93, TRUE, D92-J93-K93-L93+N93)</f>
        <v>#DIV/0!</v>
      </c>
      <c r="E93" s="48">
        <f t="shared" si="22"/>
        <v>0</v>
      </c>
      <c r="F93" s="50">
        <f t="shared" si="23"/>
        <v>0</v>
      </c>
      <c r="G93" s="50">
        <f t="shared" si="28"/>
        <v>0</v>
      </c>
      <c r="H93" s="51" t="e">
        <f>IF(AND($B93&lt;=$C$4,C$7="Y"),0,IF(AND(C$7="N",C$4&gt;0,B93&lt;=C$4),0,(D92-L93+N93)*C$2/12/(1-(1/(1+C$2/12))^(C$3+C$4-B93+1))))</f>
        <v>#DIV/0!</v>
      </c>
      <c r="I93" s="52" t="e">
        <f>IF(AND(C$7="Y",$B93&lt;=C$4),0,IF(AND(C$7="Y",$B93&gt;C$4),(1-U93)*C$2*D92/12,IF(AND($C$7="N",C$4&gt;0),(1-U93)*D92*C$2/12, (1-U93)*D92*C$2/12)))</f>
        <v>#DIV/0!</v>
      </c>
      <c r="J93" s="52" t="e">
        <f>IF(AND($B93&lt;=$C$4,C$7="Y"),0,IF(AND(C$7="N",C$4&gt;0,B93&lt;=C$4),0,H93-I93))</f>
        <v>#DIV/0!</v>
      </c>
      <c r="K93" s="51" t="e">
        <f>IF(AND(C$7="Y",$B93&lt;=$C$4),0,IF(AND(C$7="N",C$4&gt;0,B93&lt;=C$4),0,S93*(C93-J93)))</f>
        <v>#DIV/0!</v>
      </c>
      <c r="L93" s="49" t="e">
        <f>IF(AND(C$7="Y",$B93&lt;=$C$4),0,IF(AND(C$7="N",C$4&gt;0,B93&lt;=C$4),0,U93*D92))</f>
        <v>#DIV/0!</v>
      </c>
      <c r="M93" s="49">
        <f t="shared" si="19"/>
        <v>0</v>
      </c>
      <c r="N93" s="49">
        <f t="shared" si="18"/>
        <v>0</v>
      </c>
      <c r="O93" s="48" t="e">
        <f>K93+I93+J93-L93+N93+G93</f>
        <v>#DIV/0!</v>
      </c>
      <c r="P93" s="38" t="e">
        <f>O93*(1/((1+P$12)^(B93/12)))</f>
        <v>#DIV/0!</v>
      </c>
      <c r="Q93" s="53"/>
      <c r="R93" s="53">
        <f t="shared" si="24"/>
        <v>0</v>
      </c>
      <c r="S93" s="53">
        <f t="shared" si="25"/>
        <v>0</v>
      </c>
      <c r="T93" s="53">
        <f t="shared" si="26"/>
        <v>0.05</v>
      </c>
      <c r="U93" s="53">
        <f t="shared" si="27"/>
        <v>4.2653187775606449E-3</v>
      </c>
    </row>
    <row r="94" spans="1:21" x14ac:dyDescent="0.2">
      <c r="A94" s="62" t="e">
        <f t="shared" si="20"/>
        <v>#DIV/0!</v>
      </c>
      <c r="B94" s="45">
        <f t="shared" si="21"/>
        <v>80</v>
      </c>
      <c r="C94" s="51" t="e">
        <f>IF(B94&lt;C$4,C$1,D93-L94+N94)</f>
        <v>#DIV/0!</v>
      </c>
      <c r="D94" s="47" t="e" cm="1">
        <f t="array" ref="D94">_xlfn.IFS(AND($C$7="Y",B94&lt;C$4),C94,AND($C$7="Y",B94=C$4),D93+F94-J94-K94-L94+N94,AND($C$7="Y",B94&gt;$C$4),D93-J94-K94-L94+N94, TRUE, D93-J94-K94-L94+N94)</f>
        <v>#DIV/0!</v>
      </c>
      <c r="E94" s="48">
        <f t="shared" si="22"/>
        <v>0</v>
      </c>
      <c r="F94" s="50">
        <f t="shared" si="23"/>
        <v>0</v>
      </c>
      <c r="G94" s="50">
        <f t="shared" si="28"/>
        <v>0</v>
      </c>
      <c r="H94" s="51" t="e">
        <f>IF(AND($B94&lt;=$C$4,C$7="Y"),0,IF(AND(C$7="N",C$4&gt;0,B94&lt;=C$4),0,(D93-L94+N94)*C$2/12/(1-(1/(1+C$2/12))^(C$3+C$4-B94+1))))</f>
        <v>#DIV/0!</v>
      </c>
      <c r="I94" s="52" t="e">
        <f>IF(AND(C$7="Y",$B94&lt;=C$4),0,IF(AND(C$7="Y",$B94&gt;C$4),(1-U94)*C$2*D93/12,IF(AND($C$7="N",C$4&gt;0),(1-U94)*D93*C$2/12, (1-U94)*D93*C$2/12)))</f>
        <v>#DIV/0!</v>
      </c>
      <c r="J94" s="52" t="e">
        <f>IF(AND($B94&lt;=$C$4,C$7="Y"),0,IF(AND(C$7="N",C$4&gt;0,B94&lt;=C$4),0,H94-I94))</f>
        <v>#DIV/0!</v>
      </c>
      <c r="K94" s="51" t="e">
        <f>IF(AND(C$7="Y",$B94&lt;=$C$4),0,IF(AND(C$7="N",C$4&gt;0,B94&lt;=C$4),0,S94*(C94-J94)))</f>
        <v>#DIV/0!</v>
      </c>
      <c r="L94" s="49" t="e">
        <f>IF(AND(C$7="Y",$B94&lt;=$C$4),0,IF(AND(C$7="N",C$4&gt;0,B94&lt;=C$4),0,U94*D93))</f>
        <v>#DIV/0!</v>
      </c>
      <c r="M94" s="49">
        <f t="shared" si="19"/>
        <v>0</v>
      </c>
      <c r="N94" s="49">
        <f t="shared" si="18"/>
        <v>0</v>
      </c>
      <c r="O94" s="48" t="e">
        <f>K94+I94+J94-L94+N94+G94</f>
        <v>#DIV/0!</v>
      </c>
      <c r="P94" s="38" t="e">
        <f>O94*(1/((1+P$12)^(B94/12)))</f>
        <v>#DIV/0!</v>
      </c>
      <c r="Q94" s="53"/>
      <c r="R94" s="53">
        <f t="shared" si="24"/>
        <v>0</v>
      </c>
      <c r="S94" s="53">
        <f t="shared" si="25"/>
        <v>0</v>
      </c>
      <c r="T94" s="53">
        <f t="shared" si="26"/>
        <v>0.05</v>
      </c>
      <c r="U94" s="53">
        <f t="shared" si="27"/>
        <v>4.2653187775606449E-3</v>
      </c>
    </row>
    <row r="95" spans="1:21" x14ac:dyDescent="0.2">
      <c r="A95" s="62" t="e">
        <f t="shared" si="20"/>
        <v>#DIV/0!</v>
      </c>
      <c r="B95" s="45">
        <f t="shared" si="21"/>
        <v>81</v>
      </c>
      <c r="C95" s="51" t="e">
        <f>IF(B95&lt;C$4,C$1,D94-L95+N95)</f>
        <v>#DIV/0!</v>
      </c>
      <c r="D95" s="47" t="e" cm="1">
        <f t="array" ref="D95">_xlfn.IFS(AND($C$7="Y",B95&lt;C$4),C95,AND($C$7="Y",B95=C$4),D94+F95-J95-K95-L95+N95,AND($C$7="Y",B95&gt;$C$4),D94-J95-K95-L95+N95, TRUE, D94-J95-K95-L95+N95)</f>
        <v>#DIV/0!</v>
      </c>
      <c r="E95" s="48">
        <f t="shared" si="22"/>
        <v>0</v>
      </c>
      <c r="F95" s="50">
        <f t="shared" si="23"/>
        <v>0</v>
      </c>
      <c r="G95" s="50">
        <f t="shared" si="28"/>
        <v>0</v>
      </c>
      <c r="H95" s="51" t="e">
        <f>IF(AND($B95&lt;=$C$4,C$7="Y"),0,IF(AND(C$7="N",C$4&gt;0,B95&lt;=C$4),0,(D94-L95+N95)*C$2/12/(1-(1/(1+C$2/12))^(C$3+C$4-B95+1))))</f>
        <v>#DIV/0!</v>
      </c>
      <c r="I95" s="52" t="e">
        <f>IF(AND(C$7="Y",$B95&lt;=C$4),0,IF(AND(C$7="Y",$B95&gt;C$4),(1-U95)*C$2*D94/12,IF(AND($C$7="N",C$4&gt;0),(1-U95)*D94*C$2/12, (1-U95)*D94*C$2/12)))</f>
        <v>#DIV/0!</v>
      </c>
      <c r="J95" s="52" t="e">
        <f>IF(AND($B95&lt;=$C$4,C$7="Y"),0,IF(AND(C$7="N",C$4&gt;0,B95&lt;=C$4),0,H95-I95))</f>
        <v>#DIV/0!</v>
      </c>
      <c r="K95" s="51" t="e">
        <f>IF(AND(C$7="Y",$B95&lt;=$C$4),0,IF(AND(C$7="N",C$4&gt;0,B95&lt;=C$4),0,S95*(C95-J95)))</f>
        <v>#DIV/0!</v>
      </c>
      <c r="L95" s="49" t="e">
        <f>IF(AND(C$7="Y",$B95&lt;=$C$4),0,IF(AND(C$7="N",C$4&gt;0,B95&lt;=C$4),0,U95*D94))</f>
        <v>#DIV/0!</v>
      </c>
      <c r="M95" s="49">
        <f t="shared" si="19"/>
        <v>0</v>
      </c>
      <c r="N95" s="49">
        <f t="shared" si="18"/>
        <v>0</v>
      </c>
      <c r="O95" s="48" t="e">
        <f>K95+I95+J95-L95+N95+G95</f>
        <v>#DIV/0!</v>
      </c>
      <c r="P95" s="38" t="e">
        <f>O95*(1/((1+P$12)^(B95/12)))</f>
        <v>#DIV/0!</v>
      </c>
      <c r="Q95" s="53"/>
      <c r="R95" s="53">
        <f t="shared" si="24"/>
        <v>0</v>
      </c>
      <c r="S95" s="53">
        <f t="shared" si="25"/>
        <v>0</v>
      </c>
      <c r="T95" s="53">
        <f t="shared" si="26"/>
        <v>0.05</v>
      </c>
      <c r="U95" s="53">
        <f t="shared" si="27"/>
        <v>4.2653187775606449E-3</v>
      </c>
    </row>
    <row r="96" spans="1:21" x14ac:dyDescent="0.2">
      <c r="A96" s="62" t="e">
        <f t="shared" si="20"/>
        <v>#DIV/0!</v>
      </c>
      <c r="B96" s="45">
        <f t="shared" si="21"/>
        <v>82</v>
      </c>
      <c r="C96" s="51" t="e">
        <f>IF(B96&lt;C$4,C$1,D95-L96+N96)</f>
        <v>#DIV/0!</v>
      </c>
      <c r="D96" s="47" t="e" cm="1">
        <f t="array" ref="D96">_xlfn.IFS(AND($C$7="Y",B96&lt;C$4),C96,AND($C$7="Y",B96=C$4),D95+F96-J96-K96-L96+N96,AND($C$7="Y",B96&gt;$C$4),D95-J96-K96-L96+N96, TRUE, D95-J96-K96-L96+N96)</f>
        <v>#DIV/0!</v>
      </c>
      <c r="E96" s="48">
        <f t="shared" si="22"/>
        <v>0</v>
      </c>
      <c r="F96" s="50">
        <f t="shared" si="23"/>
        <v>0</v>
      </c>
      <c r="G96" s="50">
        <f t="shared" si="28"/>
        <v>0</v>
      </c>
      <c r="H96" s="51" t="e">
        <f>IF(AND($B96&lt;=$C$4,C$7="Y"),0,IF(AND(C$7="N",C$4&gt;0,B96&lt;=C$4),0,(D95-L96+N96)*C$2/12/(1-(1/(1+C$2/12))^(C$3+C$4-B96+1))))</f>
        <v>#DIV/0!</v>
      </c>
      <c r="I96" s="52" t="e">
        <f>IF(AND(C$7="Y",$B96&lt;=C$4),0,IF(AND(C$7="Y",$B96&gt;C$4),(1-U96)*C$2*D95/12,IF(AND($C$7="N",C$4&gt;0),(1-U96)*D95*C$2/12, (1-U96)*D95*C$2/12)))</f>
        <v>#DIV/0!</v>
      </c>
      <c r="J96" s="52" t="e">
        <f>IF(AND($B96&lt;=$C$4,C$7="Y"),0,IF(AND(C$7="N",C$4&gt;0,B96&lt;=C$4),0,H96-I96))</f>
        <v>#DIV/0!</v>
      </c>
      <c r="K96" s="51" t="e">
        <f>IF(AND(C$7="Y",$B96&lt;=$C$4),0,IF(AND(C$7="N",C$4&gt;0,B96&lt;=C$4),0,S96*(C96-J96)))</f>
        <v>#DIV/0!</v>
      </c>
      <c r="L96" s="49" t="e">
        <f>IF(AND(C$7="Y",$B96&lt;=$C$4),0,IF(AND(C$7="N",C$4&gt;0,B96&lt;=C$4),0,U96*D95))</f>
        <v>#DIV/0!</v>
      </c>
      <c r="M96" s="49">
        <f t="shared" si="19"/>
        <v>0</v>
      </c>
      <c r="N96" s="49">
        <f t="shared" si="18"/>
        <v>0</v>
      </c>
      <c r="O96" s="48" t="e">
        <f>K96+I96+J96-L96+N96+G96</f>
        <v>#DIV/0!</v>
      </c>
      <c r="P96" s="38" t="e">
        <f>O96*(1/((1+P$12)^(B96/12)))</f>
        <v>#DIV/0!</v>
      </c>
      <c r="Q96" s="53"/>
      <c r="R96" s="53">
        <f t="shared" si="24"/>
        <v>0</v>
      </c>
      <c r="S96" s="53">
        <f t="shared" si="25"/>
        <v>0</v>
      </c>
      <c r="T96" s="53">
        <f t="shared" si="26"/>
        <v>0.05</v>
      </c>
      <c r="U96" s="53">
        <f t="shared" si="27"/>
        <v>4.2653187775606449E-3</v>
      </c>
    </row>
    <row r="97" spans="1:21" x14ac:dyDescent="0.2">
      <c r="A97" s="62" t="e">
        <f t="shared" si="20"/>
        <v>#DIV/0!</v>
      </c>
      <c r="B97" s="45">
        <f t="shared" si="21"/>
        <v>83</v>
      </c>
      <c r="C97" s="51" t="e">
        <f>IF(B97&lt;C$4,C$1,D96-L97+N97)</f>
        <v>#DIV/0!</v>
      </c>
      <c r="D97" s="47" t="e" cm="1">
        <f t="array" ref="D97">_xlfn.IFS(AND($C$7="Y",B97&lt;C$4),C97,AND($C$7="Y",B97=C$4),D96+F97-J97-K97-L97+N97,AND($C$7="Y",B97&gt;$C$4),D96-J97-K97-L97+N97, TRUE, D96-J97-K97-L97+N97)</f>
        <v>#DIV/0!</v>
      </c>
      <c r="E97" s="48">
        <f t="shared" si="22"/>
        <v>0</v>
      </c>
      <c r="F97" s="50">
        <f t="shared" si="23"/>
        <v>0</v>
      </c>
      <c r="G97" s="50">
        <f t="shared" si="28"/>
        <v>0</v>
      </c>
      <c r="H97" s="51" t="e">
        <f>IF(AND($B97&lt;=$C$4,C$7="Y"),0,IF(AND(C$7="N",C$4&gt;0,B97&lt;=C$4),0,(D96-L97+N97)*C$2/12/(1-(1/(1+C$2/12))^(C$3+C$4-B97+1))))</f>
        <v>#DIV/0!</v>
      </c>
      <c r="I97" s="52" t="e">
        <f>IF(AND(C$7="Y",$B97&lt;=C$4),0,IF(AND(C$7="Y",$B97&gt;C$4),(1-U97)*C$2*D96/12,IF(AND($C$7="N",C$4&gt;0),(1-U97)*D96*C$2/12, (1-U97)*D96*C$2/12)))</f>
        <v>#DIV/0!</v>
      </c>
      <c r="J97" s="52" t="e">
        <f>IF(AND($B97&lt;=$C$4,C$7="Y"),0,IF(AND(C$7="N",C$4&gt;0,B97&lt;=C$4),0,H97-I97))</f>
        <v>#DIV/0!</v>
      </c>
      <c r="K97" s="51" t="e">
        <f>IF(AND(C$7="Y",$B97&lt;=$C$4),0,IF(AND(C$7="N",C$4&gt;0,B97&lt;=C$4),0,S97*(C97-J97)))</f>
        <v>#DIV/0!</v>
      </c>
      <c r="L97" s="49" t="e">
        <f>IF(AND(C$7="Y",$B97&lt;=$C$4),0,IF(AND(C$7="N",C$4&gt;0,B97&lt;=C$4),0,U97*D96))</f>
        <v>#DIV/0!</v>
      </c>
      <c r="M97" s="49">
        <f t="shared" si="19"/>
        <v>0</v>
      </c>
      <c r="N97" s="49">
        <f t="shared" si="18"/>
        <v>0</v>
      </c>
      <c r="O97" s="48" t="e">
        <f>K97+I97+J97-L97+N97+G97</f>
        <v>#DIV/0!</v>
      </c>
      <c r="P97" s="38" t="e">
        <f>O97*(1/((1+P$12)^(B97/12)))</f>
        <v>#DIV/0!</v>
      </c>
      <c r="Q97" s="53"/>
      <c r="R97" s="53">
        <f t="shared" si="24"/>
        <v>0</v>
      </c>
      <c r="S97" s="53">
        <f t="shared" si="25"/>
        <v>0</v>
      </c>
      <c r="T97" s="53">
        <f t="shared" si="26"/>
        <v>0.05</v>
      </c>
      <c r="U97" s="53">
        <f t="shared" si="27"/>
        <v>4.2653187775606449E-3</v>
      </c>
    </row>
    <row r="98" spans="1:21" x14ac:dyDescent="0.2">
      <c r="A98" s="62" t="e">
        <f t="shared" si="20"/>
        <v>#DIV/0!</v>
      </c>
      <c r="B98" s="45">
        <f t="shared" si="21"/>
        <v>84</v>
      </c>
      <c r="C98" s="51" t="e">
        <f>IF(B98&lt;C$4,C$1,D97-L98+N98)</f>
        <v>#DIV/0!</v>
      </c>
      <c r="D98" s="47" t="e" cm="1">
        <f t="array" ref="D98">_xlfn.IFS(AND($C$7="Y",B98&lt;C$4),C98,AND($C$7="Y",B98=C$4),D97+F98-J98-K98-L98+N98,AND($C$7="Y",B98&gt;$C$4),D97-J98-K98-L98+N98, TRUE, D97-J98-K98-L98+N98)</f>
        <v>#DIV/0!</v>
      </c>
      <c r="E98" s="48">
        <f t="shared" si="22"/>
        <v>0</v>
      </c>
      <c r="F98" s="50">
        <f t="shared" si="23"/>
        <v>0</v>
      </c>
      <c r="G98" s="50">
        <f t="shared" si="28"/>
        <v>0</v>
      </c>
      <c r="H98" s="51" t="e">
        <f>IF(AND($B98&lt;=$C$4,C$7="Y"),0,IF(AND(C$7="N",C$4&gt;0,B98&lt;=C$4),0,(D97-L98+N98)*C$2/12/(1-(1/(1+C$2/12))^(C$3+C$4-B98+1))))</f>
        <v>#DIV/0!</v>
      </c>
      <c r="I98" s="52" t="e">
        <f>IF(AND(C$7="Y",$B98&lt;=C$4),0,IF(AND(C$7="Y",$B98&gt;C$4),(1-U98)*C$2*D97/12,IF(AND($C$7="N",C$4&gt;0),(1-U98)*D97*C$2/12, (1-U98)*D97*C$2/12)))</f>
        <v>#DIV/0!</v>
      </c>
      <c r="J98" s="52" t="e">
        <f>IF(AND($B98&lt;=$C$4,C$7="Y"),0,IF(AND(C$7="N",C$4&gt;0,B98&lt;=C$4),0,H98-I98))</f>
        <v>#DIV/0!</v>
      </c>
      <c r="K98" s="51" t="e">
        <f>IF(AND(C$7="Y",$B98&lt;=$C$4),0,IF(AND(C$7="N",C$4&gt;0,B98&lt;=C$4),0,S98*(C98-J98)))</f>
        <v>#DIV/0!</v>
      </c>
      <c r="L98" s="49" t="e">
        <f>IF(AND(C$7="Y",$B98&lt;=$C$4),0,IF(AND(C$7="N",C$4&gt;0,B98&lt;=C$4),0,U98*D97))</f>
        <v>#DIV/0!</v>
      </c>
      <c r="M98" s="49">
        <f t="shared" si="19"/>
        <v>0</v>
      </c>
      <c r="N98" s="49">
        <f t="shared" si="18"/>
        <v>0</v>
      </c>
      <c r="O98" s="48" t="e">
        <f>K98+I98+J98-L98+N98+G98</f>
        <v>#DIV/0!</v>
      </c>
      <c r="P98" s="38" t="e">
        <f>O98*(1/((1+P$12)^(B98/12)))</f>
        <v>#DIV/0!</v>
      </c>
      <c r="Q98" s="53"/>
      <c r="R98" s="53">
        <f t="shared" si="24"/>
        <v>0</v>
      </c>
      <c r="S98" s="53">
        <f t="shared" si="25"/>
        <v>0</v>
      </c>
      <c r="T98" s="53">
        <f t="shared" si="26"/>
        <v>0.05</v>
      </c>
      <c r="U98" s="53">
        <f t="shared" si="27"/>
        <v>4.2653187775606449E-3</v>
      </c>
    </row>
    <row r="99" spans="1:21" x14ac:dyDescent="0.2">
      <c r="A99" s="62" t="e">
        <f t="shared" si="20"/>
        <v>#DIV/0!</v>
      </c>
      <c r="B99" s="45">
        <f t="shared" si="21"/>
        <v>85</v>
      </c>
      <c r="C99" s="51" t="e">
        <f>IF(B99&lt;C$4,C$1,D98-L99+N99)</f>
        <v>#DIV/0!</v>
      </c>
      <c r="D99" s="47" t="e" cm="1">
        <f t="array" ref="D99">_xlfn.IFS(AND($C$7="Y",B99&lt;C$4),C99,AND($C$7="Y",B99=C$4),D98+F99-J99-K99-L99+N99,AND($C$7="Y",B99&gt;$C$4),D98-J99-K99-L99+N99, TRUE, D98-J99-K99-L99+N99)</f>
        <v>#DIV/0!</v>
      </c>
      <c r="E99" s="48">
        <f t="shared" si="22"/>
        <v>0</v>
      </c>
      <c r="F99" s="50">
        <f t="shared" si="23"/>
        <v>0</v>
      </c>
      <c r="G99" s="50">
        <f t="shared" si="28"/>
        <v>0</v>
      </c>
      <c r="H99" s="51" t="e">
        <f>IF(AND($B99&lt;=$C$4,C$7="Y"),0,IF(AND(C$7="N",C$4&gt;0,B99&lt;=C$4),0,(D98-L99+N99)*C$2/12/(1-(1/(1+C$2/12))^(C$3+C$4-B99+1))))</f>
        <v>#DIV/0!</v>
      </c>
      <c r="I99" s="52" t="e">
        <f>IF(AND(C$7="Y",$B99&lt;=C$4),0,IF(AND(C$7="Y",$B99&gt;C$4),(1-U99)*C$2*D98/12,IF(AND($C$7="N",C$4&gt;0),(1-U99)*D98*C$2/12, (1-U99)*D98*C$2/12)))</f>
        <v>#DIV/0!</v>
      </c>
      <c r="J99" s="52" t="e">
        <f>IF(AND($B99&lt;=$C$4,C$7="Y"),0,IF(AND(C$7="N",C$4&gt;0,B99&lt;=C$4),0,H99-I99))</f>
        <v>#DIV/0!</v>
      </c>
      <c r="K99" s="51" t="e">
        <f>IF(AND(C$7="Y",$B99&lt;=$C$4),0,IF(AND(C$7="N",C$4&gt;0,B99&lt;=C$4),0,S99*(C99-J99)))</f>
        <v>#DIV/0!</v>
      </c>
      <c r="L99" s="49" t="e">
        <f>IF(AND(C$7="Y",$B99&lt;=$C$4),0,IF(AND(C$7="N",C$4&gt;0,B99&lt;=C$4),0,U99*D98))</f>
        <v>#DIV/0!</v>
      </c>
      <c r="M99" s="49">
        <f t="shared" si="19"/>
        <v>0</v>
      </c>
      <c r="N99" s="49">
        <f t="shared" ref="N99:N162" si="29">IFERROR((1-$N$12)*L95,0)</f>
        <v>0</v>
      </c>
      <c r="O99" s="48" t="e">
        <f>K99+I99+J99-L99+N99+G99</f>
        <v>#DIV/0!</v>
      </c>
      <c r="P99" s="38" t="e">
        <f>O99*(1/((1+P$12)^(B99/12)))</f>
        <v>#DIV/0!</v>
      </c>
      <c r="Q99" s="53"/>
      <c r="R99" s="53">
        <f t="shared" si="24"/>
        <v>0</v>
      </c>
      <c r="S99" s="53">
        <f t="shared" si="25"/>
        <v>0</v>
      </c>
      <c r="T99" s="53">
        <f t="shared" si="26"/>
        <v>0.05</v>
      </c>
      <c r="U99" s="53">
        <f t="shared" si="27"/>
        <v>4.2653187775606449E-3</v>
      </c>
    </row>
    <row r="100" spans="1:21" x14ac:dyDescent="0.2">
      <c r="A100" s="62" t="e">
        <f t="shared" si="20"/>
        <v>#DIV/0!</v>
      </c>
      <c r="B100" s="45">
        <f t="shared" si="21"/>
        <v>86</v>
      </c>
      <c r="C100" s="51" t="e">
        <f>IF(B100&lt;C$4,C$1,D99-L100+N100)</f>
        <v>#DIV/0!</v>
      </c>
      <c r="D100" s="47" t="e" cm="1">
        <f t="array" ref="D100">_xlfn.IFS(AND($C$7="Y",B100&lt;C$4),C100,AND($C$7="Y",B100=C$4),D99+F100-J100-K100-L100+N100,AND($C$7="Y",B100&gt;$C$4),D99-J100-K100-L100+N100, TRUE, D99-J100-K100-L100+N100)</f>
        <v>#DIV/0!</v>
      </c>
      <c r="E100" s="48">
        <f t="shared" si="22"/>
        <v>0</v>
      </c>
      <c r="F100" s="50">
        <f t="shared" si="23"/>
        <v>0</v>
      </c>
      <c r="G100" s="50">
        <f t="shared" si="28"/>
        <v>0</v>
      </c>
      <c r="H100" s="51" t="e">
        <f>IF(AND($B100&lt;=$C$4,C$7="Y"),0,IF(AND(C$7="N",C$4&gt;0,B100&lt;=C$4),0,(D99-L100+N100)*C$2/12/(1-(1/(1+C$2/12))^(C$3+C$4-B100+1))))</f>
        <v>#DIV/0!</v>
      </c>
      <c r="I100" s="52" t="e">
        <f>IF(AND(C$7="Y",$B100&lt;=C$4),0,IF(AND(C$7="Y",$B100&gt;C$4),(1-U100)*C$2*D99/12,IF(AND($C$7="N",C$4&gt;0),(1-U100)*D99*C$2/12, (1-U100)*D99*C$2/12)))</f>
        <v>#DIV/0!</v>
      </c>
      <c r="J100" s="52" t="e">
        <f>IF(AND($B100&lt;=$C$4,C$7="Y"),0,IF(AND(C$7="N",C$4&gt;0,B100&lt;=C$4),0,H100-I100))</f>
        <v>#DIV/0!</v>
      </c>
      <c r="K100" s="51" t="e">
        <f>IF(AND(C$7="Y",$B100&lt;=$C$4),0,IF(AND(C$7="N",C$4&gt;0,B100&lt;=C$4),0,S100*(C100-J100)))</f>
        <v>#DIV/0!</v>
      </c>
      <c r="L100" s="49" t="e">
        <f>IF(AND(C$7="Y",$B100&lt;=$C$4),0,IF(AND(C$7="N",C$4&gt;0,B100&lt;=C$4),0,U100*D99))</f>
        <v>#DIV/0!</v>
      </c>
      <c r="M100" s="49">
        <f t="shared" si="19"/>
        <v>0</v>
      </c>
      <c r="N100" s="49">
        <f t="shared" si="29"/>
        <v>0</v>
      </c>
      <c r="O100" s="48" t="e">
        <f>K100+I100+J100-L100+N100+G100</f>
        <v>#DIV/0!</v>
      </c>
      <c r="P100" s="38" t="e">
        <f>O100*(1/((1+P$12)^(B100/12)))</f>
        <v>#DIV/0!</v>
      </c>
      <c r="Q100" s="53"/>
      <c r="R100" s="53">
        <f t="shared" si="24"/>
        <v>0</v>
      </c>
      <c r="S100" s="53">
        <f t="shared" si="25"/>
        <v>0</v>
      </c>
      <c r="T100" s="53">
        <f t="shared" si="26"/>
        <v>0.05</v>
      </c>
      <c r="U100" s="53">
        <f t="shared" si="27"/>
        <v>4.2653187775606449E-3</v>
      </c>
    </row>
    <row r="101" spans="1:21" x14ac:dyDescent="0.2">
      <c r="A101" s="62" t="e">
        <f t="shared" si="20"/>
        <v>#DIV/0!</v>
      </c>
      <c r="B101" s="45">
        <f t="shared" si="21"/>
        <v>87</v>
      </c>
      <c r="C101" s="51" t="e">
        <f>IF(B101&lt;C$4,C$1,D100-L101+N101)</f>
        <v>#DIV/0!</v>
      </c>
      <c r="D101" s="47" t="e" cm="1">
        <f t="array" ref="D101">_xlfn.IFS(AND($C$7="Y",B101&lt;C$4),C101,AND($C$7="Y",B101=C$4),D100+F101-J101-K101-L101+N101,AND($C$7="Y",B101&gt;$C$4),D100-J101-K101-L101+N101, TRUE, D100-J101-K101-L101+N101)</f>
        <v>#DIV/0!</v>
      </c>
      <c r="E101" s="48">
        <f t="shared" si="22"/>
        <v>0</v>
      </c>
      <c r="F101" s="50">
        <f t="shared" si="23"/>
        <v>0</v>
      </c>
      <c r="G101" s="50">
        <f t="shared" si="28"/>
        <v>0</v>
      </c>
      <c r="H101" s="51" t="e">
        <f>IF(AND($B101&lt;=$C$4,C$7="Y"),0,IF(AND(C$7="N",C$4&gt;0,B101&lt;=C$4),0,(D100-L101+N101)*C$2/12/(1-(1/(1+C$2/12))^(C$3+C$4-B101+1))))</f>
        <v>#DIV/0!</v>
      </c>
      <c r="I101" s="52" t="e">
        <f>IF(AND(C$7="Y",$B101&lt;=C$4),0,IF(AND(C$7="Y",$B101&gt;C$4),(1-U101)*C$2*D100/12,IF(AND($C$7="N",C$4&gt;0),(1-U101)*D100*C$2/12, (1-U101)*D100*C$2/12)))</f>
        <v>#DIV/0!</v>
      </c>
      <c r="J101" s="52" t="e">
        <f>IF(AND($B101&lt;=$C$4,C$7="Y"),0,IF(AND(C$7="N",C$4&gt;0,B101&lt;=C$4),0,H101-I101))</f>
        <v>#DIV/0!</v>
      </c>
      <c r="K101" s="51" t="e">
        <f>IF(AND(C$7="Y",$B101&lt;=$C$4),0,IF(AND(C$7="N",C$4&gt;0,B101&lt;=C$4),0,S101*(C101-J101)))</f>
        <v>#DIV/0!</v>
      </c>
      <c r="L101" s="49" t="e">
        <f>IF(AND(C$7="Y",$B101&lt;=$C$4),0,IF(AND(C$7="N",C$4&gt;0,B101&lt;=C$4),0,U101*D100))</f>
        <v>#DIV/0!</v>
      </c>
      <c r="M101" s="49">
        <f t="shared" si="19"/>
        <v>0</v>
      </c>
      <c r="N101" s="49">
        <f t="shared" si="29"/>
        <v>0</v>
      </c>
      <c r="O101" s="48" t="e">
        <f>K101+I101+J101-L101+N101+G101</f>
        <v>#DIV/0!</v>
      </c>
      <c r="P101" s="38" t="e">
        <f>O101*(1/((1+P$12)^(B101/12)))</f>
        <v>#DIV/0!</v>
      </c>
      <c r="Q101" s="53"/>
      <c r="R101" s="53">
        <f t="shared" si="24"/>
        <v>0</v>
      </c>
      <c r="S101" s="53">
        <f t="shared" si="25"/>
        <v>0</v>
      </c>
      <c r="T101" s="53">
        <f t="shared" si="26"/>
        <v>0.05</v>
      </c>
      <c r="U101" s="53">
        <f t="shared" si="27"/>
        <v>4.2653187775606449E-3</v>
      </c>
    </row>
    <row r="102" spans="1:21" x14ac:dyDescent="0.2">
      <c r="A102" s="62" t="e">
        <f t="shared" si="20"/>
        <v>#DIV/0!</v>
      </c>
      <c r="B102" s="45">
        <f t="shared" si="21"/>
        <v>88</v>
      </c>
      <c r="C102" s="51" t="e">
        <f>IF(B102&lt;C$4,C$1,D101-L102+N102)</f>
        <v>#DIV/0!</v>
      </c>
      <c r="D102" s="47" t="e" cm="1">
        <f t="array" ref="D102">_xlfn.IFS(AND($C$7="Y",B102&lt;C$4),C102,AND($C$7="Y",B102=C$4),D101+F102-J102-K102-L102+N102,AND($C$7="Y",B102&gt;$C$4),D101-J102-K102-L102+N102, TRUE, D101-J102-K102-L102+N102)</f>
        <v>#DIV/0!</v>
      </c>
      <c r="E102" s="48">
        <f t="shared" si="22"/>
        <v>0</v>
      </c>
      <c r="F102" s="50">
        <f t="shared" si="23"/>
        <v>0</v>
      </c>
      <c r="G102" s="50">
        <f t="shared" si="28"/>
        <v>0</v>
      </c>
      <c r="H102" s="51" t="e">
        <f>IF(AND($B102&lt;=$C$4,C$7="Y"),0,IF(AND(C$7="N",C$4&gt;0,B102&lt;=C$4),0,(D101-L102+N102)*C$2/12/(1-(1/(1+C$2/12))^(C$3+C$4-B102+1))))</f>
        <v>#DIV/0!</v>
      </c>
      <c r="I102" s="52" t="e">
        <f>IF(AND(C$7="Y",$B102&lt;=C$4),0,IF(AND(C$7="Y",$B102&gt;C$4),(1-U102)*C$2*D101/12,IF(AND($C$7="N",C$4&gt;0),(1-U102)*D101*C$2/12, (1-U102)*D101*C$2/12)))</f>
        <v>#DIV/0!</v>
      </c>
      <c r="J102" s="52" t="e">
        <f>IF(AND($B102&lt;=$C$4,C$7="Y"),0,IF(AND(C$7="N",C$4&gt;0,B102&lt;=C$4),0,H102-I102))</f>
        <v>#DIV/0!</v>
      </c>
      <c r="K102" s="51" t="e">
        <f>IF(AND(C$7="Y",$B102&lt;=$C$4),0,IF(AND(C$7="N",C$4&gt;0,B102&lt;=C$4),0,S102*(C102-J102)))</f>
        <v>#DIV/0!</v>
      </c>
      <c r="L102" s="49" t="e">
        <f>IF(AND(C$7="Y",$B102&lt;=$C$4),0,IF(AND(C$7="N",C$4&gt;0,B102&lt;=C$4),0,U102*D101))</f>
        <v>#DIV/0!</v>
      </c>
      <c r="M102" s="49">
        <f t="shared" si="19"/>
        <v>0</v>
      </c>
      <c r="N102" s="49">
        <f t="shared" si="29"/>
        <v>0</v>
      </c>
      <c r="O102" s="48" t="e">
        <f>K102+I102+J102-L102+N102+G102</f>
        <v>#DIV/0!</v>
      </c>
      <c r="P102" s="38" t="e">
        <f>O102*(1/((1+P$12)^(B102/12)))</f>
        <v>#DIV/0!</v>
      </c>
      <c r="Q102" s="53"/>
      <c r="R102" s="53">
        <f t="shared" si="24"/>
        <v>0</v>
      </c>
      <c r="S102" s="53">
        <f t="shared" si="25"/>
        <v>0</v>
      </c>
      <c r="T102" s="53">
        <f t="shared" si="26"/>
        <v>0.05</v>
      </c>
      <c r="U102" s="53">
        <f t="shared" si="27"/>
        <v>4.2653187775606449E-3</v>
      </c>
    </row>
    <row r="103" spans="1:21" x14ac:dyDescent="0.2">
      <c r="A103" s="62" t="e">
        <f t="shared" si="20"/>
        <v>#DIV/0!</v>
      </c>
      <c r="B103" s="45">
        <f t="shared" si="21"/>
        <v>89</v>
      </c>
      <c r="C103" s="51" t="e">
        <f>IF(B103&lt;C$4,C$1,D102-L103+N103)</f>
        <v>#DIV/0!</v>
      </c>
      <c r="D103" s="47" t="e" cm="1">
        <f t="array" ref="D103">_xlfn.IFS(AND($C$7="Y",B103&lt;C$4),C103,AND($C$7="Y",B103=C$4),D102+F103-J103-K103-L103+N103,AND($C$7="Y",B103&gt;$C$4),D102-J103-K103-L103+N103, TRUE, D102-J103-K103-L103+N103)</f>
        <v>#DIV/0!</v>
      </c>
      <c r="E103" s="48">
        <f t="shared" si="22"/>
        <v>0</v>
      </c>
      <c r="F103" s="50">
        <f t="shared" si="23"/>
        <v>0</v>
      </c>
      <c r="G103" s="50">
        <f t="shared" si="28"/>
        <v>0</v>
      </c>
      <c r="H103" s="51" t="e">
        <f>IF(AND($B103&lt;=$C$4,C$7="Y"),0,IF(AND(C$7="N",C$4&gt;0,B103&lt;=C$4),0,(D102-L103+N103)*C$2/12/(1-(1/(1+C$2/12))^(C$3+C$4-B103+1))))</f>
        <v>#DIV/0!</v>
      </c>
      <c r="I103" s="52" t="e">
        <f>IF(AND(C$7="Y",$B103&lt;=C$4),0,IF(AND(C$7="Y",$B103&gt;C$4),(1-U103)*C$2*D102/12,IF(AND($C$7="N",C$4&gt;0),(1-U103)*D102*C$2/12, (1-U103)*D102*C$2/12)))</f>
        <v>#DIV/0!</v>
      </c>
      <c r="J103" s="52" t="e">
        <f>IF(AND($B103&lt;=$C$4,C$7="Y"),0,IF(AND(C$7="N",C$4&gt;0,B103&lt;=C$4),0,H103-I103))</f>
        <v>#DIV/0!</v>
      </c>
      <c r="K103" s="51" t="e">
        <f>IF(AND(C$7="Y",$B103&lt;=$C$4),0,IF(AND(C$7="N",C$4&gt;0,B103&lt;=C$4),0,S103*(C103-J103)))</f>
        <v>#DIV/0!</v>
      </c>
      <c r="L103" s="49" t="e">
        <f>IF(AND(C$7="Y",$B103&lt;=$C$4),0,IF(AND(C$7="N",C$4&gt;0,B103&lt;=C$4),0,U103*D102))</f>
        <v>#DIV/0!</v>
      </c>
      <c r="M103" s="49">
        <f t="shared" si="19"/>
        <v>0</v>
      </c>
      <c r="N103" s="49">
        <f t="shared" si="29"/>
        <v>0</v>
      </c>
      <c r="O103" s="48" t="e">
        <f>K103+I103+J103-L103+N103+G103</f>
        <v>#DIV/0!</v>
      </c>
      <c r="P103" s="38" t="e">
        <f>O103*(1/((1+P$12)^(B103/12)))</f>
        <v>#DIV/0!</v>
      </c>
      <c r="Q103" s="53"/>
      <c r="R103" s="53">
        <f t="shared" si="24"/>
        <v>0</v>
      </c>
      <c r="S103" s="53">
        <f t="shared" si="25"/>
        <v>0</v>
      </c>
      <c r="T103" s="53">
        <f t="shared" si="26"/>
        <v>0.05</v>
      </c>
      <c r="U103" s="53">
        <f t="shared" si="27"/>
        <v>4.2653187775606449E-3</v>
      </c>
    </row>
    <row r="104" spans="1:21" x14ac:dyDescent="0.2">
      <c r="A104" s="62" t="e">
        <f t="shared" si="20"/>
        <v>#DIV/0!</v>
      </c>
      <c r="B104" s="45">
        <f t="shared" si="21"/>
        <v>90</v>
      </c>
      <c r="C104" s="51" t="e">
        <f>IF(B104&lt;C$4,C$1,D103-L104+N104)</f>
        <v>#DIV/0!</v>
      </c>
      <c r="D104" s="47" t="e" cm="1">
        <f t="array" ref="D104">_xlfn.IFS(AND($C$7="Y",B104&lt;C$4),C104,AND($C$7="Y",B104=C$4),D103+F104-J104-K104-L104+N104,AND($C$7="Y",B104&gt;$C$4),D103-J104-K104-L104+N104, TRUE, D103-J104-K104-L104+N104)</f>
        <v>#DIV/0!</v>
      </c>
      <c r="E104" s="48">
        <f t="shared" si="22"/>
        <v>0</v>
      </c>
      <c r="F104" s="50">
        <f t="shared" si="23"/>
        <v>0</v>
      </c>
      <c r="G104" s="50">
        <f t="shared" si="28"/>
        <v>0</v>
      </c>
      <c r="H104" s="51" t="e">
        <f>IF(AND($B104&lt;=$C$4,C$7="Y"),0,IF(AND(C$7="N",C$4&gt;0,B104&lt;=C$4),0,(D103-L104+N104)*C$2/12/(1-(1/(1+C$2/12))^(C$3+C$4-B104+1))))</f>
        <v>#DIV/0!</v>
      </c>
      <c r="I104" s="52" t="e">
        <f>IF(AND(C$7="Y",$B104&lt;=C$4),0,IF(AND(C$7="Y",$B104&gt;C$4),(1-U104)*C$2*D103/12,IF(AND($C$7="N",C$4&gt;0),(1-U104)*D103*C$2/12, (1-U104)*D103*C$2/12)))</f>
        <v>#DIV/0!</v>
      </c>
      <c r="J104" s="52" t="e">
        <f>IF(AND($B104&lt;=$C$4,C$7="Y"),0,IF(AND(C$7="N",C$4&gt;0,B104&lt;=C$4),0,H104-I104))</f>
        <v>#DIV/0!</v>
      </c>
      <c r="K104" s="51" t="e">
        <f>IF(AND(C$7="Y",$B104&lt;=$C$4),0,IF(AND(C$7="N",C$4&gt;0,B104&lt;=C$4),0,S104*(C104-J104)))</f>
        <v>#DIV/0!</v>
      </c>
      <c r="L104" s="49" t="e">
        <f>IF(AND(C$7="Y",$B104&lt;=$C$4),0,IF(AND(C$7="N",C$4&gt;0,B104&lt;=C$4),0,U104*D103))</f>
        <v>#DIV/0!</v>
      </c>
      <c r="M104" s="49">
        <f t="shared" si="19"/>
        <v>0</v>
      </c>
      <c r="N104" s="49">
        <f t="shared" si="29"/>
        <v>0</v>
      </c>
      <c r="O104" s="48" t="e">
        <f>K104+I104+J104-L104+N104+G104</f>
        <v>#DIV/0!</v>
      </c>
      <c r="P104" s="38" t="e">
        <f>O104*(1/((1+P$12)^(B104/12)))</f>
        <v>#DIV/0!</v>
      </c>
      <c r="Q104" s="53"/>
      <c r="R104" s="53">
        <f t="shared" si="24"/>
        <v>0</v>
      </c>
      <c r="S104" s="53">
        <f t="shared" si="25"/>
        <v>0</v>
      </c>
      <c r="T104" s="53">
        <f t="shared" si="26"/>
        <v>0.05</v>
      </c>
      <c r="U104" s="53">
        <f t="shared" si="27"/>
        <v>4.2653187775606449E-3</v>
      </c>
    </row>
    <row r="105" spans="1:21" x14ac:dyDescent="0.2">
      <c r="A105" s="62" t="e">
        <f t="shared" si="20"/>
        <v>#DIV/0!</v>
      </c>
      <c r="B105" s="45">
        <f t="shared" si="21"/>
        <v>91</v>
      </c>
      <c r="C105" s="51" t="e">
        <f>IF(B105&lt;C$4,C$1,D104-L105+N105)</f>
        <v>#DIV/0!</v>
      </c>
      <c r="D105" s="47" t="e" cm="1">
        <f t="array" ref="D105">_xlfn.IFS(AND($C$7="Y",B105&lt;C$4),C105,AND($C$7="Y",B105=C$4),D104+F105-J105-K105-L105+N105,AND($C$7="Y",B105&gt;$C$4),D104-J105-K105-L105+N105, TRUE, D104-J105-K105-L105+N105)</f>
        <v>#DIV/0!</v>
      </c>
      <c r="E105" s="48">
        <f t="shared" si="22"/>
        <v>0</v>
      </c>
      <c r="F105" s="50">
        <f t="shared" si="23"/>
        <v>0</v>
      </c>
      <c r="G105" s="50">
        <f t="shared" si="28"/>
        <v>0</v>
      </c>
      <c r="H105" s="51" t="e">
        <f>IF(AND($B105&lt;=$C$4,C$7="Y"),0,IF(AND(C$7="N",C$4&gt;0,B105&lt;=C$4),0,(D104-L105+N105)*C$2/12/(1-(1/(1+C$2/12))^(C$3+C$4-B105+1))))</f>
        <v>#DIV/0!</v>
      </c>
      <c r="I105" s="52" t="e">
        <f>IF(AND(C$7="Y",$B105&lt;=C$4),0,IF(AND(C$7="Y",$B105&gt;C$4),(1-U105)*C$2*D104/12,IF(AND($C$7="N",C$4&gt;0),(1-U105)*D104*C$2/12, (1-U105)*D104*C$2/12)))</f>
        <v>#DIV/0!</v>
      </c>
      <c r="J105" s="52" t="e">
        <f>IF(AND($B105&lt;=$C$4,C$7="Y"),0,IF(AND(C$7="N",C$4&gt;0,B105&lt;=C$4),0,H105-I105))</f>
        <v>#DIV/0!</v>
      </c>
      <c r="K105" s="51" t="e">
        <f>IF(AND(C$7="Y",$B105&lt;=$C$4),0,IF(AND(C$7="N",C$4&gt;0,B105&lt;=C$4),0,S105*(C105-J105)))</f>
        <v>#DIV/0!</v>
      </c>
      <c r="L105" s="49" t="e">
        <f>IF(AND(C$7="Y",$B105&lt;=$C$4),0,IF(AND(C$7="N",C$4&gt;0,B105&lt;=C$4),0,U105*D104))</f>
        <v>#DIV/0!</v>
      </c>
      <c r="M105" s="49">
        <f t="shared" si="19"/>
        <v>0</v>
      </c>
      <c r="N105" s="49">
        <f t="shared" si="29"/>
        <v>0</v>
      </c>
      <c r="O105" s="48" t="e">
        <f>K105+I105+J105-L105+N105+G105</f>
        <v>#DIV/0!</v>
      </c>
      <c r="P105" s="38" t="e">
        <f>O105*(1/((1+P$12)^(B105/12)))</f>
        <v>#DIV/0!</v>
      </c>
      <c r="Q105" s="53"/>
      <c r="R105" s="53">
        <f t="shared" si="24"/>
        <v>0</v>
      </c>
      <c r="S105" s="53">
        <f t="shared" si="25"/>
        <v>0</v>
      </c>
      <c r="T105" s="53">
        <f t="shared" si="26"/>
        <v>0.05</v>
      </c>
      <c r="U105" s="53">
        <f t="shared" si="27"/>
        <v>4.2653187775606449E-3</v>
      </c>
    </row>
    <row r="106" spans="1:21" x14ac:dyDescent="0.2">
      <c r="A106" s="62" t="e">
        <f t="shared" si="20"/>
        <v>#DIV/0!</v>
      </c>
      <c r="B106" s="45">
        <f t="shared" si="21"/>
        <v>92</v>
      </c>
      <c r="C106" s="51" t="e">
        <f>IF(B106&lt;C$4,C$1,D105-L106+N106)</f>
        <v>#DIV/0!</v>
      </c>
      <c r="D106" s="47" t="e" cm="1">
        <f t="array" ref="D106">_xlfn.IFS(AND($C$7="Y",B106&lt;C$4),C106,AND($C$7="Y",B106=C$4),D105+F106-J106-K106-L106+N106,AND($C$7="Y",B106&gt;$C$4),D105-J106-K106-L106+N106, TRUE, D105-J106-K106-L106+N106)</f>
        <v>#DIV/0!</v>
      </c>
      <c r="E106" s="48">
        <f t="shared" si="22"/>
        <v>0</v>
      </c>
      <c r="F106" s="50">
        <f t="shared" si="23"/>
        <v>0</v>
      </c>
      <c r="G106" s="50">
        <f t="shared" si="28"/>
        <v>0</v>
      </c>
      <c r="H106" s="51" t="e">
        <f>IF(AND($B106&lt;=$C$4,C$7="Y"),0,IF(AND(C$7="N",C$4&gt;0,B106&lt;=C$4),0,(D105-L106+N106)*C$2/12/(1-(1/(1+C$2/12))^(C$3+C$4-B106+1))))</f>
        <v>#DIV/0!</v>
      </c>
      <c r="I106" s="52" t="e">
        <f>IF(AND(C$7="Y",$B106&lt;=C$4),0,IF(AND(C$7="Y",$B106&gt;C$4),(1-U106)*C$2*D105/12,IF(AND($C$7="N",C$4&gt;0),(1-U106)*D105*C$2/12, (1-U106)*D105*C$2/12)))</f>
        <v>#DIV/0!</v>
      </c>
      <c r="J106" s="52" t="e">
        <f>IF(AND($B106&lt;=$C$4,C$7="Y"),0,IF(AND(C$7="N",C$4&gt;0,B106&lt;=C$4),0,H106-I106))</f>
        <v>#DIV/0!</v>
      </c>
      <c r="K106" s="51" t="e">
        <f>IF(AND(C$7="Y",$B106&lt;=$C$4),0,IF(AND(C$7="N",C$4&gt;0,B106&lt;=C$4),0,S106*(C106-J106)))</f>
        <v>#DIV/0!</v>
      </c>
      <c r="L106" s="49" t="e">
        <f>IF(AND(C$7="Y",$B106&lt;=$C$4),0,IF(AND(C$7="N",C$4&gt;0,B106&lt;=C$4),0,U106*D105))</f>
        <v>#DIV/0!</v>
      </c>
      <c r="M106" s="49">
        <f t="shared" si="19"/>
        <v>0</v>
      </c>
      <c r="N106" s="49">
        <f t="shared" si="29"/>
        <v>0</v>
      </c>
      <c r="O106" s="48" t="e">
        <f>K106+I106+J106-L106+N106+G106</f>
        <v>#DIV/0!</v>
      </c>
      <c r="P106" s="38" t="e">
        <f>O106*(1/((1+P$12)^(B106/12)))</f>
        <v>#DIV/0!</v>
      </c>
      <c r="Q106" s="53"/>
      <c r="R106" s="53">
        <f t="shared" si="24"/>
        <v>0</v>
      </c>
      <c r="S106" s="53">
        <f t="shared" si="25"/>
        <v>0</v>
      </c>
      <c r="T106" s="53">
        <f t="shared" si="26"/>
        <v>0.05</v>
      </c>
      <c r="U106" s="53">
        <f t="shared" si="27"/>
        <v>4.2653187775606449E-3</v>
      </c>
    </row>
    <row r="107" spans="1:21" x14ac:dyDescent="0.2">
      <c r="A107" s="62" t="e">
        <f t="shared" si="20"/>
        <v>#DIV/0!</v>
      </c>
      <c r="B107" s="45">
        <f t="shared" si="21"/>
        <v>93</v>
      </c>
      <c r="C107" s="51" t="e">
        <f>IF(B107&lt;C$4,C$1,D106-L107+N107)</f>
        <v>#DIV/0!</v>
      </c>
      <c r="D107" s="47" t="e" cm="1">
        <f t="array" ref="D107">_xlfn.IFS(AND($C$7="Y",B107&lt;C$4),C107,AND($C$7="Y",B107=C$4),D106+F107-J107-K107-L107+N107,AND($C$7="Y",B107&gt;$C$4),D106-J107-K107-L107+N107, TRUE, D106-J107-K107-L107+N107)</f>
        <v>#DIV/0!</v>
      </c>
      <c r="E107" s="48">
        <f t="shared" si="22"/>
        <v>0</v>
      </c>
      <c r="F107" s="50">
        <f t="shared" si="23"/>
        <v>0</v>
      </c>
      <c r="G107" s="50">
        <f t="shared" si="28"/>
        <v>0</v>
      </c>
      <c r="H107" s="51" t="e">
        <f>IF(AND($B107&lt;=$C$4,C$7="Y"),0,IF(AND(C$7="N",C$4&gt;0,B107&lt;=C$4),0,(D106-L107+N107)*C$2/12/(1-(1/(1+C$2/12))^(C$3+C$4-B107+1))))</f>
        <v>#DIV/0!</v>
      </c>
      <c r="I107" s="52" t="e">
        <f>IF(AND(C$7="Y",$B107&lt;=C$4),0,IF(AND(C$7="Y",$B107&gt;C$4),(1-U107)*C$2*D106/12,IF(AND($C$7="N",C$4&gt;0),(1-U107)*D106*C$2/12, (1-U107)*D106*C$2/12)))</f>
        <v>#DIV/0!</v>
      </c>
      <c r="J107" s="52" t="e">
        <f>IF(AND($B107&lt;=$C$4,C$7="Y"),0,IF(AND(C$7="N",C$4&gt;0,B107&lt;=C$4),0,H107-I107))</f>
        <v>#DIV/0!</v>
      </c>
      <c r="K107" s="51" t="e">
        <f>IF(AND(C$7="Y",$B107&lt;=$C$4),0,IF(AND(C$7="N",C$4&gt;0,B107&lt;=C$4),0,S107*(C107-J107)))</f>
        <v>#DIV/0!</v>
      </c>
      <c r="L107" s="49" t="e">
        <f>IF(AND(C$7="Y",$B107&lt;=$C$4),0,IF(AND(C$7="N",C$4&gt;0,B107&lt;=C$4),0,U107*D106))</f>
        <v>#DIV/0!</v>
      </c>
      <c r="M107" s="49">
        <f t="shared" si="19"/>
        <v>0</v>
      </c>
      <c r="N107" s="49">
        <f t="shared" si="29"/>
        <v>0</v>
      </c>
      <c r="O107" s="48" t="e">
        <f>K107+I107+J107-L107+N107+G107</f>
        <v>#DIV/0!</v>
      </c>
      <c r="P107" s="38" t="e">
        <f>O107*(1/((1+P$12)^(B107/12)))</f>
        <v>#DIV/0!</v>
      </c>
      <c r="Q107" s="53"/>
      <c r="R107" s="53">
        <f t="shared" si="24"/>
        <v>0</v>
      </c>
      <c r="S107" s="53">
        <f t="shared" si="25"/>
        <v>0</v>
      </c>
      <c r="T107" s="53">
        <f t="shared" si="26"/>
        <v>0.05</v>
      </c>
      <c r="U107" s="53">
        <f t="shared" si="27"/>
        <v>4.2653187775606449E-3</v>
      </c>
    </row>
    <row r="108" spans="1:21" x14ac:dyDescent="0.2">
      <c r="A108" s="62" t="e">
        <f t="shared" si="20"/>
        <v>#DIV/0!</v>
      </c>
      <c r="B108" s="45">
        <f t="shared" si="21"/>
        <v>94</v>
      </c>
      <c r="C108" s="51" t="e">
        <f>IF(B108&lt;C$4,C$1,D107-L108+N108)</f>
        <v>#DIV/0!</v>
      </c>
      <c r="D108" s="47" t="e" cm="1">
        <f t="array" ref="D108">_xlfn.IFS(AND($C$7="Y",B108&lt;C$4),C108,AND($C$7="Y",B108=C$4),D107+F108-J108-K108-L108+N108,AND($C$7="Y",B108&gt;$C$4),D107-J108-K108-L108+N108, TRUE, D107-J108-K108-L108+N108)</f>
        <v>#DIV/0!</v>
      </c>
      <c r="E108" s="48">
        <f t="shared" si="22"/>
        <v>0</v>
      </c>
      <c r="F108" s="50">
        <f t="shared" si="23"/>
        <v>0</v>
      </c>
      <c r="G108" s="50">
        <f t="shared" si="28"/>
        <v>0</v>
      </c>
      <c r="H108" s="51" t="e">
        <f>IF(AND($B108&lt;=$C$4,C$7="Y"),0,IF(AND(C$7="N",C$4&gt;0,B108&lt;=C$4),0,(D107-L108+N108)*C$2/12/(1-(1/(1+C$2/12))^(C$3+C$4-B108+1))))</f>
        <v>#DIV/0!</v>
      </c>
      <c r="I108" s="52" t="e">
        <f>IF(AND(C$7="Y",$B108&lt;=C$4),0,IF(AND(C$7="Y",$B108&gt;C$4),(1-U108)*C$2*D107/12,IF(AND($C$7="N",C$4&gt;0),(1-U108)*D107*C$2/12, (1-U108)*D107*C$2/12)))</f>
        <v>#DIV/0!</v>
      </c>
      <c r="J108" s="52" t="e">
        <f>IF(AND($B108&lt;=$C$4,C$7="Y"),0,IF(AND(C$7="N",C$4&gt;0,B108&lt;=C$4),0,H108-I108))</f>
        <v>#DIV/0!</v>
      </c>
      <c r="K108" s="51" t="e">
        <f>IF(AND(C$7="Y",$B108&lt;=$C$4),0,IF(AND(C$7="N",C$4&gt;0,B108&lt;=C$4),0,S108*(C108-J108)))</f>
        <v>#DIV/0!</v>
      </c>
      <c r="L108" s="49" t="e">
        <f>IF(AND(C$7="Y",$B108&lt;=$C$4),0,IF(AND(C$7="N",C$4&gt;0,B108&lt;=C$4),0,U108*D107))</f>
        <v>#DIV/0!</v>
      </c>
      <c r="M108" s="49">
        <f t="shared" si="19"/>
        <v>0</v>
      </c>
      <c r="N108" s="49">
        <f t="shared" si="29"/>
        <v>0</v>
      </c>
      <c r="O108" s="48" t="e">
        <f>K108+I108+J108-L108+N108+G108</f>
        <v>#DIV/0!</v>
      </c>
      <c r="P108" s="38" t="e">
        <f>O108*(1/((1+P$12)^(B108/12)))</f>
        <v>#DIV/0!</v>
      </c>
      <c r="Q108" s="53"/>
      <c r="R108" s="53">
        <f t="shared" si="24"/>
        <v>0</v>
      </c>
      <c r="S108" s="53">
        <f t="shared" si="25"/>
        <v>0</v>
      </c>
      <c r="T108" s="53">
        <f t="shared" si="26"/>
        <v>0.05</v>
      </c>
      <c r="U108" s="53">
        <f t="shared" si="27"/>
        <v>4.2653187775606449E-3</v>
      </c>
    </row>
    <row r="109" spans="1:21" x14ac:dyDescent="0.2">
      <c r="A109" s="62" t="e">
        <f t="shared" si="20"/>
        <v>#DIV/0!</v>
      </c>
      <c r="B109" s="45">
        <f t="shared" si="21"/>
        <v>95</v>
      </c>
      <c r="C109" s="51" t="e">
        <f>IF(B109&lt;C$4,C$1,D108-L109+N109)</f>
        <v>#DIV/0!</v>
      </c>
      <c r="D109" s="47" t="e" cm="1">
        <f t="array" ref="D109">_xlfn.IFS(AND($C$7="Y",B109&lt;C$4),C109,AND($C$7="Y",B109=C$4),D108+F109-J109-K109-L109+N109,AND($C$7="Y",B109&gt;$C$4),D108-J109-K109-L109+N109, TRUE, D108-J109-K109-L109+N109)</f>
        <v>#DIV/0!</v>
      </c>
      <c r="E109" s="48">
        <f t="shared" si="22"/>
        <v>0</v>
      </c>
      <c r="F109" s="50">
        <f t="shared" si="23"/>
        <v>0</v>
      </c>
      <c r="G109" s="50">
        <f t="shared" si="28"/>
        <v>0</v>
      </c>
      <c r="H109" s="51" t="e">
        <f>IF(AND($B109&lt;=$C$4,C$7="Y"),0,IF(AND(C$7="N",C$4&gt;0,B109&lt;=C$4),0,(D108-L109+N109)*C$2/12/(1-(1/(1+C$2/12))^(C$3+C$4-B109+1))))</f>
        <v>#DIV/0!</v>
      </c>
      <c r="I109" s="52" t="e">
        <f>IF(AND(C$7="Y",$B109&lt;=C$4),0,IF(AND(C$7="Y",$B109&gt;C$4),(1-U109)*C$2*D108/12,IF(AND($C$7="N",C$4&gt;0),(1-U109)*D108*C$2/12, (1-U109)*D108*C$2/12)))</f>
        <v>#DIV/0!</v>
      </c>
      <c r="J109" s="52" t="e">
        <f>IF(AND($B109&lt;=$C$4,C$7="Y"),0,IF(AND(C$7="N",C$4&gt;0,B109&lt;=C$4),0,H109-I109))</f>
        <v>#DIV/0!</v>
      </c>
      <c r="K109" s="51" t="e">
        <f>IF(AND(C$7="Y",$B109&lt;=$C$4),0,IF(AND(C$7="N",C$4&gt;0,B109&lt;=C$4),0,S109*(C109-J109)))</f>
        <v>#DIV/0!</v>
      </c>
      <c r="L109" s="49" t="e">
        <f>IF(AND(C$7="Y",$B109&lt;=$C$4),0,IF(AND(C$7="N",C$4&gt;0,B109&lt;=C$4),0,U109*D108))</f>
        <v>#DIV/0!</v>
      </c>
      <c r="M109" s="49">
        <f t="shared" ref="M109:M172" si="30">IFERROR(L105*-1,0)</f>
        <v>0</v>
      </c>
      <c r="N109" s="49">
        <f t="shared" si="29"/>
        <v>0</v>
      </c>
      <c r="O109" s="48" t="e">
        <f>K109+I109+J109-L109+N109+G109</f>
        <v>#DIV/0!</v>
      </c>
      <c r="P109" s="38" t="e">
        <f>O109*(1/((1+P$12)^(B109/12)))</f>
        <v>#DIV/0!</v>
      </c>
      <c r="Q109" s="53"/>
      <c r="R109" s="53">
        <f t="shared" si="24"/>
        <v>0</v>
      </c>
      <c r="S109" s="53">
        <f t="shared" si="25"/>
        <v>0</v>
      </c>
      <c r="T109" s="53">
        <f t="shared" si="26"/>
        <v>0.05</v>
      </c>
      <c r="U109" s="53">
        <f t="shared" si="27"/>
        <v>4.2653187775606449E-3</v>
      </c>
    </row>
    <row r="110" spans="1:21" x14ac:dyDescent="0.2">
      <c r="A110" s="62" t="e">
        <f t="shared" si="20"/>
        <v>#DIV/0!</v>
      </c>
      <c r="B110" s="45">
        <f t="shared" si="21"/>
        <v>96</v>
      </c>
      <c r="C110" s="51" t="e">
        <f>IF(B110&lt;C$4,C$1,D109-L110+N110)</f>
        <v>#DIV/0!</v>
      </c>
      <c r="D110" s="47" t="e" cm="1">
        <f t="array" ref="D110">_xlfn.IFS(AND($C$7="Y",B110&lt;C$4),C110,AND($C$7="Y",B110=C$4),D109+F110-J110-K110-L110+N110,AND($C$7="Y",B110&gt;$C$4),D109-J110-K110-L110+N110, TRUE, D109-J110-K110-L110+N110)</f>
        <v>#DIV/0!</v>
      </c>
      <c r="E110" s="48">
        <f t="shared" si="22"/>
        <v>0</v>
      </c>
      <c r="F110" s="50">
        <f t="shared" si="23"/>
        <v>0</v>
      </c>
      <c r="G110" s="50">
        <f t="shared" si="28"/>
        <v>0</v>
      </c>
      <c r="H110" s="51" t="e">
        <f>IF(AND($B110&lt;=$C$4,C$7="Y"),0,IF(AND(C$7="N",C$4&gt;0,B110&lt;=C$4),0,(D109-L110+N110)*C$2/12/(1-(1/(1+C$2/12))^(C$3+C$4-B110+1))))</f>
        <v>#DIV/0!</v>
      </c>
      <c r="I110" s="52" t="e">
        <f>IF(AND(C$7="Y",$B110&lt;=C$4),0,IF(AND(C$7="Y",$B110&gt;C$4),(1-U110)*C$2*D109/12,IF(AND($C$7="N",C$4&gt;0),(1-U110)*D109*C$2/12, (1-U110)*D109*C$2/12)))</f>
        <v>#DIV/0!</v>
      </c>
      <c r="J110" s="52" t="e">
        <f>IF(AND($B110&lt;=$C$4,C$7="Y"),0,IF(AND(C$7="N",C$4&gt;0,B110&lt;=C$4),0,H110-I110))</f>
        <v>#DIV/0!</v>
      </c>
      <c r="K110" s="51" t="e">
        <f>IF(AND(C$7="Y",$B110&lt;=$C$4),0,IF(AND(C$7="N",C$4&gt;0,B110&lt;=C$4),0,S110*(C110-J110)))</f>
        <v>#DIV/0!</v>
      </c>
      <c r="L110" s="49" t="e">
        <f>IF(AND(C$7="Y",$B110&lt;=$C$4),0,IF(AND(C$7="N",C$4&gt;0,B110&lt;=C$4),0,U110*D109))</f>
        <v>#DIV/0!</v>
      </c>
      <c r="M110" s="49">
        <f t="shared" si="30"/>
        <v>0</v>
      </c>
      <c r="N110" s="49">
        <f t="shared" si="29"/>
        <v>0</v>
      </c>
      <c r="O110" s="48" t="e">
        <f>K110+I110+J110-L110+N110+G110</f>
        <v>#DIV/0!</v>
      </c>
      <c r="P110" s="38" t="e">
        <f>O110*(1/((1+P$12)^(B110/12)))</f>
        <v>#DIV/0!</v>
      </c>
      <c r="Q110" s="53"/>
      <c r="R110" s="53">
        <f t="shared" si="24"/>
        <v>0</v>
      </c>
      <c r="S110" s="53">
        <f t="shared" si="25"/>
        <v>0</v>
      </c>
      <c r="T110" s="53">
        <f t="shared" si="26"/>
        <v>0.05</v>
      </c>
      <c r="U110" s="53">
        <f t="shared" si="27"/>
        <v>4.2653187775606449E-3</v>
      </c>
    </row>
    <row r="111" spans="1:21" x14ac:dyDescent="0.2">
      <c r="A111" s="62" t="e">
        <f t="shared" si="20"/>
        <v>#DIV/0!</v>
      </c>
      <c r="B111" s="45">
        <f t="shared" si="21"/>
        <v>97</v>
      </c>
      <c r="C111" s="51" t="e">
        <f>IF(B111&lt;C$4,C$1,D110-L111+N111)</f>
        <v>#DIV/0!</v>
      </c>
      <c r="D111" s="47" t="e" cm="1">
        <f t="array" ref="D111">_xlfn.IFS(AND($C$7="Y",B111&lt;C$4),C111,AND($C$7="Y",B111=C$4),D110+F111-J111-K111-L111+N111,AND($C$7="Y",B111&gt;$C$4),D110-J111-K111-L111+N111, TRUE, D110-J111-K111-L111+N111)</f>
        <v>#DIV/0!</v>
      </c>
      <c r="E111" s="48">
        <f t="shared" si="22"/>
        <v>0</v>
      </c>
      <c r="F111" s="50">
        <f t="shared" si="23"/>
        <v>0</v>
      </c>
      <c r="G111" s="50">
        <f t="shared" si="28"/>
        <v>0</v>
      </c>
      <c r="H111" s="51" t="e">
        <f>IF(AND($B111&lt;=$C$4,C$7="Y"),0,IF(AND(C$7="N",C$4&gt;0,B111&lt;=C$4),0,(D110-L111+N111)*C$2/12/(1-(1/(1+C$2/12))^(C$3+C$4-B111+1))))</f>
        <v>#DIV/0!</v>
      </c>
      <c r="I111" s="52" t="e">
        <f>IF(AND(C$7="Y",$B111&lt;=C$4),0,IF(AND(C$7="Y",$B111&gt;C$4),(1-U111)*C$2*D110/12,IF(AND($C$7="N",C$4&gt;0),(1-U111)*D110*C$2/12, (1-U111)*D110*C$2/12)))</f>
        <v>#DIV/0!</v>
      </c>
      <c r="J111" s="52" t="e">
        <f>IF(AND($B111&lt;=$C$4,C$7="Y"),0,IF(AND(C$7="N",C$4&gt;0,B111&lt;=C$4),0,H111-I111))</f>
        <v>#DIV/0!</v>
      </c>
      <c r="K111" s="51" t="e">
        <f>IF(AND(C$7="Y",$B111&lt;=$C$4),0,IF(AND(C$7="N",C$4&gt;0,B111&lt;=C$4),0,S111*(C111-J111)))</f>
        <v>#DIV/0!</v>
      </c>
      <c r="L111" s="49" t="e">
        <f>IF(AND(C$7="Y",$B111&lt;=$C$4),0,IF(AND(C$7="N",C$4&gt;0,B111&lt;=C$4),0,U111*D110))</f>
        <v>#DIV/0!</v>
      </c>
      <c r="M111" s="49">
        <f t="shared" si="30"/>
        <v>0</v>
      </c>
      <c r="N111" s="49">
        <f t="shared" si="29"/>
        <v>0</v>
      </c>
      <c r="O111" s="48" t="e">
        <f>K111+I111+J111-L111+N111+G111</f>
        <v>#DIV/0!</v>
      </c>
      <c r="P111" s="38" t="e">
        <f>O111*(1/((1+P$12)^(B111/12)))</f>
        <v>#DIV/0!</v>
      </c>
      <c r="Q111" s="53"/>
      <c r="R111" s="53">
        <f t="shared" si="24"/>
        <v>0</v>
      </c>
      <c r="S111" s="53">
        <f t="shared" si="25"/>
        <v>0</v>
      </c>
      <c r="T111" s="53">
        <f t="shared" si="26"/>
        <v>0.05</v>
      </c>
      <c r="U111" s="53">
        <f t="shared" si="27"/>
        <v>4.2653187775606449E-3</v>
      </c>
    </row>
    <row r="112" spans="1:21" x14ac:dyDescent="0.2">
      <c r="A112" s="62" t="e">
        <f t="shared" si="20"/>
        <v>#DIV/0!</v>
      </c>
      <c r="B112" s="45">
        <f t="shared" si="21"/>
        <v>98</v>
      </c>
      <c r="C112" s="51" t="e">
        <f>IF(B112&lt;C$4,C$1,D111-L112+N112)</f>
        <v>#DIV/0!</v>
      </c>
      <c r="D112" s="47" t="e" cm="1">
        <f t="array" ref="D112">_xlfn.IFS(AND($C$7="Y",B112&lt;C$4),C112,AND($C$7="Y",B112=C$4),D111+F112-J112-K112-L112+N112,AND($C$7="Y",B112&gt;$C$4),D111-J112-K112-L112+N112, TRUE, D111-J112-K112-L112+N112)</f>
        <v>#DIV/0!</v>
      </c>
      <c r="E112" s="48">
        <f t="shared" si="22"/>
        <v>0</v>
      </c>
      <c r="F112" s="50">
        <f t="shared" si="23"/>
        <v>0</v>
      </c>
      <c r="G112" s="50">
        <f t="shared" si="28"/>
        <v>0</v>
      </c>
      <c r="H112" s="51" t="e">
        <f>IF(AND($B112&lt;=$C$4,C$7="Y"),0,IF(AND(C$7="N",C$4&gt;0,B112&lt;=C$4),0,(D111-L112+N112)*C$2/12/(1-(1/(1+C$2/12))^(C$3+C$4-B112+1))))</f>
        <v>#DIV/0!</v>
      </c>
      <c r="I112" s="52" t="e">
        <f>IF(AND(C$7="Y",$B112&lt;=C$4),0,IF(AND(C$7="Y",$B112&gt;C$4),(1-U112)*C$2*D111/12,IF(AND($C$7="N",C$4&gt;0),(1-U112)*D111*C$2/12, (1-U112)*D111*C$2/12)))</f>
        <v>#DIV/0!</v>
      </c>
      <c r="J112" s="52" t="e">
        <f>IF(AND($B112&lt;=$C$4,C$7="Y"),0,IF(AND(C$7="N",C$4&gt;0,B112&lt;=C$4),0,H112-I112))</f>
        <v>#DIV/0!</v>
      </c>
      <c r="K112" s="51" t="e">
        <f>IF(AND(C$7="Y",$B112&lt;=$C$4),0,IF(AND(C$7="N",C$4&gt;0,B112&lt;=C$4),0,S112*(C112-J112)))</f>
        <v>#DIV/0!</v>
      </c>
      <c r="L112" s="49" t="e">
        <f>IF(AND(C$7="Y",$B112&lt;=$C$4),0,IF(AND(C$7="N",C$4&gt;0,B112&lt;=C$4),0,U112*D111))</f>
        <v>#DIV/0!</v>
      </c>
      <c r="M112" s="49">
        <f t="shared" si="30"/>
        <v>0</v>
      </c>
      <c r="N112" s="49">
        <f t="shared" si="29"/>
        <v>0</v>
      </c>
      <c r="O112" s="48" t="e">
        <f>K112+I112+J112-L112+N112+G112</f>
        <v>#DIV/0!</v>
      </c>
      <c r="P112" s="38" t="e">
        <f>O112*(1/((1+P$12)^(B112/12)))</f>
        <v>#DIV/0!</v>
      </c>
      <c r="Q112" s="53"/>
      <c r="R112" s="53">
        <f t="shared" si="24"/>
        <v>0</v>
      </c>
      <c r="S112" s="53">
        <f t="shared" si="25"/>
        <v>0</v>
      </c>
      <c r="T112" s="53">
        <f t="shared" si="26"/>
        <v>0.05</v>
      </c>
      <c r="U112" s="53">
        <f t="shared" si="27"/>
        <v>4.2653187775606449E-3</v>
      </c>
    </row>
    <row r="113" spans="1:21" x14ac:dyDescent="0.2">
      <c r="A113" s="62" t="e">
        <f t="shared" si="20"/>
        <v>#DIV/0!</v>
      </c>
      <c r="B113" s="45">
        <f t="shared" si="21"/>
        <v>99</v>
      </c>
      <c r="C113" s="51" t="e">
        <f>IF(B113&lt;C$4,C$1,D112-L113+N113)</f>
        <v>#DIV/0!</v>
      </c>
      <c r="D113" s="47" t="e" cm="1">
        <f t="array" ref="D113">_xlfn.IFS(AND($C$7="Y",B113&lt;C$4),C113,AND($C$7="Y",B113=C$4),D112+F113-J113-K113-L113+N113,AND($C$7="Y",B113&gt;$C$4),D112-J113-K113-L113+N113, TRUE, D112-J113-K113-L113+N113)</f>
        <v>#DIV/0!</v>
      </c>
      <c r="E113" s="48">
        <f t="shared" si="22"/>
        <v>0</v>
      </c>
      <c r="F113" s="50">
        <f t="shared" si="23"/>
        <v>0</v>
      </c>
      <c r="G113" s="50">
        <f t="shared" si="28"/>
        <v>0</v>
      </c>
      <c r="H113" s="51" t="e">
        <f>IF(AND($B113&lt;=$C$4,C$7="Y"),0,IF(AND(C$7="N",C$4&gt;0,B113&lt;=C$4),0,(D112-L113+N113)*C$2/12/(1-(1/(1+C$2/12))^(C$3+C$4-B113+1))))</f>
        <v>#DIV/0!</v>
      </c>
      <c r="I113" s="52" t="e">
        <f>IF(AND(C$7="Y",$B113&lt;=C$4),0,IF(AND(C$7="Y",$B113&gt;C$4),(1-U113)*C$2*D112/12,IF(AND($C$7="N",C$4&gt;0),(1-U113)*D112*C$2/12, (1-U113)*D112*C$2/12)))</f>
        <v>#DIV/0!</v>
      </c>
      <c r="J113" s="52" t="e">
        <f>IF(AND($B113&lt;=$C$4,C$7="Y"),0,IF(AND(C$7="N",C$4&gt;0,B113&lt;=C$4),0,H113-I113))</f>
        <v>#DIV/0!</v>
      </c>
      <c r="K113" s="51" t="e">
        <f>IF(AND(C$7="Y",$B113&lt;=$C$4),0,IF(AND(C$7="N",C$4&gt;0,B113&lt;=C$4),0,S113*(C113-J113)))</f>
        <v>#DIV/0!</v>
      </c>
      <c r="L113" s="49" t="e">
        <f>IF(AND(C$7="Y",$B113&lt;=$C$4),0,IF(AND(C$7="N",C$4&gt;0,B113&lt;=C$4),0,U113*D112))</f>
        <v>#DIV/0!</v>
      </c>
      <c r="M113" s="49">
        <f t="shared" si="30"/>
        <v>0</v>
      </c>
      <c r="N113" s="49">
        <f t="shared" si="29"/>
        <v>0</v>
      </c>
      <c r="O113" s="48" t="e">
        <f>K113+I113+J113-L113+N113+G113</f>
        <v>#DIV/0!</v>
      </c>
      <c r="P113" s="38" t="e">
        <f>O113*(1/((1+P$12)^(B113/12)))</f>
        <v>#DIV/0!</v>
      </c>
      <c r="Q113" s="53"/>
      <c r="R113" s="53">
        <f t="shared" si="24"/>
        <v>0</v>
      </c>
      <c r="S113" s="53">
        <f t="shared" si="25"/>
        <v>0</v>
      </c>
      <c r="T113" s="53">
        <f t="shared" si="26"/>
        <v>0.05</v>
      </c>
      <c r="U113" s="53">
        <f t="shared" si="27"/>
        <v>4.2653187775606449E-3</v>
      </c>
    </row>
    <row r="114" spans="1:21" x14ac:dyDescent="0.2">
      <c r="A114" s="62" t="e">
        <f t="shared" si="20"/>
        <v>#DIV/0!</v>
      </c>
      <c r="B114" s="45">
        <f t="shared" si="21"/>
        <v>100</v>
      </c>
      <c r="C114" s="51" t="e">
        <f>IF(B114&lt;C$4,C$1,D113-L114+N114)</f>
        <v>#DIV/0!</v>
      </c>
      <c r="D114" s="47" t="e" cm="1">
        <f t="array" ref="D114">_xlfn.IFS(AND($C$7="Y",B114&lt;C$4),C114,AND($C$7="Y",B114=C$4),D113+F114-J114-K114-L114+N114,AND($C$7="Y",B114&gt;$C$4),D113-J114-K114-L114+N114, TRUE, D113-J114-K114-L114+N114)</f>
        <v>#DIV/0!</v>
      </c>
      <c r="E114" s="48">
        <f t="shared" si="22"/>
        <v>0</v>
      </c>
      <c r="F114" s="50">
        <f t="shared" si="23"/>
        <v>0</v>
      </c>
      <c r="G114" s="50">
        <f t="shared" si="28"/>
        <v>0</v>
      </c>
      <c r="H114" s="51" t="e">
        <f>IF(AND($B114&lt;=$C$4,C$7="Y"),0,IF(AND(C$7="N",C$4&gt;0,B114&lt;=C$4),0,(D113-L114+N114)*C$2/12/(1-(1/(1+C$2/12))^(C$3+C$4-B114+1))))</f>
        <v>#DIV/0!</v>
      </c>
      <c r="I114" s="52" t="e">
        <f>IF(AND(C$7="Y",$B114&lt;=C$4),0,IF(AND(C$7="Y",$B114&gt;C$4),(1-U114)*C$2*D113/12,IF(AND($C$7="N",C$4&gt;0),(1-U114)*D113*C$2/12, (1-U114)*D113*C$2/12)))</f>
        <v>#DIV/0!</v>
      </c>
      <c r="J114" s="52" t="e">
        <f>IF(AND($B114&lt;=$C$4,C$7="Y"),0,IF(AND(C$7="N",C$4&gt;0,B114&lt;=C$4),0,H114-I114))</f>
        <v>#DIV/0!</v>
      </c>
      <c r="K114" s="51" t="e">
        <f>IF(AND(C$7="Y",$B114&lt;=$C$4),0,IF(AND(C$7="N",C$4&gt;0,B114&lt;=C$4),0,S114*(C114-J114)))</f>
        <v>#DIV/0!</v>
      </c>
      <c r="L114" s="49" t="e">
        <f>IF(AND(C$7="Y",$B114&lt;=$C$4),0,IF(AND(C$7="N",C$4&gt;0,B114&lt;=C$4),0,U114*D113))</f>
        <v>#DIV/0!</v>
      </c>
      <c r="M114" s="49">
        <f t="shared" si="30"/>
        <v>0</v>
      </c>
      <c r="N114" s="49">
        <f t="shared" si="29"/>
        <v>0</v>
      </c>
      <c r="O114" s="48" t="e">
        <f>K114+I114+J114-L114+N114+G114</f>
        <v>#DIV/0!</v>
      </c>
      <c r="P114" s="38" t="e">
        <f>O114*(1/((1+P$12)^(B114/12)))</f>
        <v>#DIV/0!</v>
      </c>
      <c r="Q114" s="53"/>
      <c r="R114" s="53">
        <f t="shared" si="24"/>
        <v>0</v>
      </c>
      <c r="S114" s="53">
        <f t="shared" si="25"/>
        <v>0</v>
      </c>
      <c r="T114" s="53">
        <f t="shared" si="26"/>
        <v>0.05</v>
      </c>
      <c r="U114" s="53">
        <f t="shared" si="27"/>
        <v>4.2653187775606449E-3</v>
      </c>
    </row>
    <row r="115" spans="1:21" x14ac:dyDescent="0.2">
      <c r="A115" s="62" t="e">
        <f t="shared" si="20"/>
        <v>#DIV/0!</v>
      </c>
      <c r="B115" s="45">
        <f t="shared" si="21"/>
        <v>101</v>
      </c>
      <c r="C115" s="51" t="e">
        <f>IF(B115&lt;C$4,C$1,D114-L115+N115)</f>
        <v>#DIV/0!</v>
      </c>
      <c r="D115" s="47" t="e" cm="1">
        <f t="array" ref="D115">_xlfn.IFS(AND($C$7="Y",B115&lt;C$4),C115,AND($C$7="Y",B115=C$4),D114+F115-J115-K115-L115+N115,AND($C$7="Y",B115&gt;$C$4),D114-J115-K115-L115+N115, TRUE, D114-J115-K115-L115+N115)</f>
        <v>#DIV/0!</v>
      </c>
      <c r="E115" s="48">
        <f t="shared" si="22"/>
        <v>0</v>
      </c>
      <c r="F115" s="50">
        <f t="shared" si="23"/>
        <v>0</v>
      </c>
      <c r="G115" s="50">
        <f t="shared" si="28"/>
        <v>0</v>
      </c>
      <c r="H115" s="51" t="e">
        <f>IF(AND($B115&lt;=$C$4,C$7="Y"),0,IF(AND(C$7="N",C$4&gt;0,B115&lt;=C$4),0,(D114-L115+N115)*C$2/12/(1-(1/(1+C$2/12))^(C$3+C$4-B115+1))))</f>
        <v>#DIV/0!</v>
      </c>
      <c r="I115" s="52" t="e">
        <f>IF(AND(C$7="Y",$B115&lt;=C$4),0,IF(AND(C$7="Y",$B115&gt;C$4),(1-U115)*C$2*D114/12,IF(AND($C$7="N",C$4&gt;0),(1-U115)*D114*C$2/12, (1-U115)*D114*C$2/12)))</f>
        <v>#DIV/0!</v>
      </c>
      <c r="J115" s="52" t="e">
        <f>IF(AND($B115&lt;=$C$4,C$7="Y"),0,IF(AND(C$7="N",C$4&gt;0,B115&lt;=C$4),0,H115-I115))</f>
        <v>#DIV/0!</v>
      </c>
      <c r="K115" s="51" t="e">
        <f>IF(AND(C$7="Y",$B115&lt;=$C$4),0,IF(AND(C$7="N",C$4&gt;0,B115&lt;=C$4),0,S115*(C115-J115)))</f>
        <v>#DIV/0!</v>
      </c>
      <c r="L115" s="49" t="e">
        <f>IF(AND(C$7="Y",$B115&lt;=$C$4),0,IF(AND(C$7="N",C$4&gt;0,B115&lt;=C$4),0,U115*D114))</f>
        <v>#DIV/0!</v>
      </c>
      <c r="M115" s="49">
        <f t="shared" si="30"/>
        <v>0</v>
      </c>
      <c r="N115" s="49">
        <f t="shared" si="29"/>
        <v>0</v>
      </c>
      <c r="O115" s="48" t="e">
        <f>K115+I115+J115-L115+N115+G115</f>
        <v>#DIV/0!</v>
      </c>
      <c r="P115" s="38" t="e">
        <f>O115*(1/((1+P$12)^(B115/12)))</f>
        <v>#DIV/0!</v>
      </c>
      <c r="Q115" s="53"/>
      <c r="R115" s="53">
        <f t="shared" si="24"/>
        <v>0</v>
      </c>
      <c r="S115" s="53">
        <f t="shared" si="25"/>
        <v>0</v>
      </c>
      <c r="T115" s="53">
        <f t="shared" si="26"/>
        <v>0.05</v>
      </c>
      <c r="U115" s="53">
        <f t="shared" si="27"/>
        <v>4.2653187775606449E-3</v>
      </c>
    </row>
    <row r="116" spans="1:21" x14ac:dyDescent="0.2">
      <c r="A116" s="62" t="e">
        <f t="shared" si="20"/>
        <v>#DIV/0!</v>
      </c>
      <c r="B116" s="45">
        <f t="shared" si="21"/>
        <v>102</v>
      </c>
      <c r="C116" s="51" t="e">
        <f>IF(B116&lt;C$4,C$1,D115-L116+N116)</f>
        <v>#DIV/0!</v>
      </c>
      <c r="D116" s="47" t="e" cm="1">
        <f t="array" ref="D116">_xlfn.IFS(AND($C$7="Y",B116&lt;C$4),C116,AND($C$7="Y",B116=C$4),D115+F116-J116-K116-L116+N116,AND($C$7="Y",B116&gt;$C$4),D115-J116-K116-L116+N116, TRUE, D115-J116-K116-L116+N116)</f>
        <v>#DIV/0!</v>
      </c>
      <c r="E116" s="48">
        <f t="shared" si="22"/>
        <v>0</v>
      </c>
      <c r="F116" s="50">
        <f t="shared" si="23"/>
        <v>0</v>
      </c>
      <c r="G116" s="50">
        <f t="shared" si="28"/>
        <v>0</v>
      </c>
      <c r="H116" s="51" t="e">
        <f>IF(AND($B116&lt;=$C$4,C$7="Y"),0,IF(AND(C$7="N",C$4&gt;0,B116&lt;=C$4),0,(D115-L116+N116)*C$2/12/(1-(1/(1+C$2/12))^(C$3+C$4-B116+1))))</f>
        <v>#DIV/0!</v>
      </c>
      <c r="I116" s="52" t="e">
        <f>IF(AND(C$7="Y",$B116&lt;=C$4),0,IF(AND(C$7="Y",$B116&gt;C$4),(1-U116)*C$2*D115/12,IF(AND($C$7="N",C$4&gt;0),(1-U116)*D115*C$2/12, (1-U116)*D115*C$2/12)))</f>
        <v>#DIV/0!</v>
      </c>
      <c r="J116" s="52" t="e">
        <f>IF(AND($B116&lt;=$C$4,C$7="Y"),0,IF(AND(C$7="N",C$4&gt;0,B116&lt;=C$4),0,H116-I116))</f>
        <v>#DIV/0!</v>
      </c>
      <c r="K116" s="51" t="e">
        <f>IF(AND(C$7="Y",$B116&lt;=$C$4),0,IF(AND(C$7="N",C$4&gt;0,B116&lt;=C$4),0,S116*(C116-J116)))</f>
        <v>#DIV/0!</v>
      </c>
      <c r="L116" s="49" t="e">
        <f>IF(AND(C$7="Y",$B116&lt;=$C$4),0,IF(AND(C$7="N",C$4&gt;0,B116&lt;=C$4),0,U116*D115))</f>
        <v>#DIV/0!</v>
      </c>
      <c r="M116" s="49">
        <f t="shared" si="30"/>
        <v>0</v>
      </c>
      <c r="N116" s="49">
        <f t="shared" si="29"/>
        <v>0</v>
      </c>
      <c r="O116" s="48" t="e">
        <f>K116+I116+J116-L116+N116+G116</f>
        <v>#DIV/0!</v>
      </c>
      <c r="P116" s="38" t="e">
        <f>O116*(1/((1+P$12)^(B116/12)))</f>
        <v>#DIV/0!</v>
      </c>
      <c r="Q116" s="53"/>
      <c r="R116" s="53">
        <f t="shared" si="24"/>
        <v>0</v>
      </c>
      <c r="S116" s="53">
        <f t="shared" si="25"/>
        <v>0</v>
      </c>
      <c r="T116" s="53">
        <f t="shared" si="26"/>
        <v>0.05</v>
      </c>
      <c r="U116" s="53">
        <f t="shared" si="27"/>
        <v>4.2653187775606449E-3</v>
      </c>
    </row>
    <row r="117" spans="1:21" x14ac:dyDescent="0.2">
      <c r="A117" s="62" t="e">
        <f t="shared" si="20"/>
        <v>#DIV/0!</v>
      </c>
      <c r="B117" s="45">
        <f t="shared" si="21"/>
        <v>103</v>
      </c>
      <c r="C117" s="51" t="e">
        <f>IF(B117&lt;C$4,C$1,D116-L117+N117)</f>
        <v>#DIV/0!</v>
      </c>
      <c r="D117" s="47" t="e" cm="1">
        <f t="array" ref="D117">_xlfn.IFS(AND($C$7="Y",B117&lt;C$4),C117,AND($C$7="Y",B117=C$4),D116+F117-J117-K117-L117+N117,AND($C$7="Y",B117&gt;$C$4),D116-J117-K117-L117+N117, TRUE, D116-J117-K117-L117+N117)</f>
        <v>#DIV/0!</v>
      </c>
      <c r="E117" s="48">
        <f t="shared" si="22"/>
        <v>0</v>
      </c>
      <c r="F117" s="50">
        <f t="shared" si="23"/>
        <v>0</v>
      </c>
      <c r="G117" s="50">
        <f t="shared" si="28"/>
        <v>0</v>
      </c>
      <c r="H117" s="51" t="e">
        <f>IF(AND($B117&lt;=$C$4,C$7="Y"),0,IF(AND(C$7="N",C$4&gt;0,B117&lt;=C$4),0,(D116-L117+N117)*C$2/12/(1-(1/(1+C$2/12))^(C$3+C$4-B117+1))))</f>
        <v>#DIV/0!</v>
      </c>
      <c r="I117" s="52" t="e">
        <f>IF(AND(C$7="Y",$B117&lt;=C$4),0,IF(AND(C$7="Y",$B117&gt;C$4),(1-U117)*C$2*D116/12,IF(AND($C$7="N",C$4&gt;0),(1-U117)*D116*C$2/12, (1-U117)*D116*C$2/12)))</f>
        <v>#DIV/0!</v>
      </c>
      <c r="J117" s="52" t="e">
        <f>IF(AND($B117&lt;=$C$4,C$7="Y"),0,IF(AND(C$7="N",C$4&gt;0,B117&lt;=C$4),0,H117-I117))</f>
        <v>#DIV/0!</v>
      </c>
      <c r="K117" s="51" t="e">
        <f>IF(AND(C$7="Y",$B117&lt;=$C$4),0,IF(AND(C$7="N",C$4&gt;0,B117&lt;=C$4),0,S117*(C117-J117)))</f>
        <v>#DIV/0!</v>
      </c>
      <c r="L117" s="49" t="e">
        <f>IF(AND(C$7="Y",$B117&lt;=$C$4),0,IF(AND(C$7="N",C$4&gt;0,B117&lt;=C$4),0,U117*D116))</f>
        <v>#DIV/0!</v>
      </c>
      <c r="M117" s="49">
        <f t="shared" si="30"/>
        <v>0</v>
      </c>
      <c r="N117" s="49">
        <f t="shared" si="29"/>
        <v>0</v>
      </c>
      <c r="O117" s="48" t="e">
        <f>K117+I117+J117-L117+N117+G117</f>
        <v>#DIV/0!</v>
      </c>
      <c r="P117" s="38" t="e">
        <f>O117*(1/((1+P$12)^(B117/12)))</f>
        <v>#DIV/0!</v>
      </c>
      <c r="Q117" s="53"/>
      <c r="R117" s="53">
        <f t="shared" si="24"/>
        <v>0</v>
      </c>
      <c r="S117" s="53">
        <f t="shared" si="25"/>
        <v>0</v>
      </c>
      <c r="T117" s="53">
        <f t="shared" si="26"/>
        <v>0.05</v>
      </c>
      <c r="U117" s="53">
        <f t="shared" si="27"/>
        <v>4.2653187775606449E-3</v>
      </c>
    </row>
    <row r="118" spans="1:21" x14ac:dyDescent="0.2">
      <c r="A118" s="62" t="e">
        <f t="shared" si="20"/>
        <v>#DIV/0!</v>
      </c>
      <c r="B118" s="45">
        <f t="shared" si="21"/>
        <v>104</v>
      </c>
      <c r="C118" s="51" t="e">
        <f>IF(B118&lt;C$4,C$1,D117-L118+N118)</f>
        <v>#DIV/0!</v>
      </c>
      <c r="D118" s="47" t="e" cm="1">
        <f t="array" ref="D118">_xlfn.IFS(AND($C$7="Y",B118&lt;C$4),C118,AND($C$7="Y",B118=C$4),D117+F118-J118-K118-L118+N118,AND($C$7="Y",B118&gt;$C$4),D117-J118-K118-L118+N118, TRUE, D117-J118-K118-L118+N118)</f>
        <v>#DIV/0!</v>
      </c>
      <c r="E118" s="48">
        <f t="shared" si="22"/>
        <v>0</v>
      </c>
      <c r="F118" s="50">
        <f t="shared" si="23"/>
        <v>0</v>
      </c>
      <c r="G118" s="50">
        <f t="shared" si="28"/>
        <v>0</v>
      </c>
      <c r="H118" s="51" t="e">
        <f>IF(AND($B118&lt;=$C$4,C$7="Y"),0,IF(AND(C$7="N",C$4&gt;0,B118&lt;=C$4),0,(D117-L118+N118)*C$2/12/(1-(1/(1+C$2/12))^(C$3+C$4-B118+1))))</f>
        <v>#DIV/0!</v>
      </c>
      <c r="I118" s="52" t="e">
        <f>IF(AND(C$7="Y",$B118&lt;=C$4),0,IF(AND(C$7="Y",$B118&gt;C$4),(1-U118)*C$2*D117/12,IF(AND($C$7="N",C$4&gt;0),(1-U118)*D117*C$2/12, (1-U118)*D117*C$2/12)))</f>
        <v>#DIV/0!</v>
      </c>
      <c r="J118" s="52" t="e">
        <f>IF(AND($B118&lt;=$C$4,C$7="Y"),0,IF(AND(C$7="N",C$4&gt;0,B118&lt;=C$4),0,H118-I118))</f>
        <v>#DIV/0!</v>
      </c>
      <c r="K118" s="51" t="e">
        <f>IF(AND(C$7="Y",$B118&lt;=$C$4),0,IF(AND(C$7="N",C$4&gt;0,B118&lt;=C$4),0,S118*(C118-J118)))</f>
        <v>#DIV/0!</v>
      </c>
      <c r="L118" s="49" t="e">
        <f>IF(AND(C$7="Y",$B118&lt;=$C$4),0,IF(AND(C$7="N",C$4&gt;0,B118&lt;=C$4),0,U118*D117))</f>
        <v>#DIV/0!</v>
      </c>
      <c r="M118" s="49">
        <f t="shared" si="30"/>
        <v>0</v>
      </c>
      <c r="N118" s="49">
        <f t="shared" si="29"/>
        <v>0</v>
      </c>
      <c r="O118" s="48" t="e">
        <f>K118+I118+J118-L118+N118+G118</f>
        <v>#DIV/0!</v>
      </c>
      <c r="P118" s="38" t="e">
        <f>O118*(1/((1+P$12)^(B118/12)))</f>
        <v>#DIV/0!</v>
      </c>
      <c r="Q118" s="53"/>
      <c r="R118" s="53">
        <f t="shared" si="24"/>
        <v>0</v>
      </c>
      <c r="S118" s="53">
        <f t="shared" si="25"/>
        <v>0</v>
      </c>
      <c r="T118" s="53">
        <f t="shared" si="26"/>
        <v>0.05</v>
      </c>
      <c r="U118" s="53">
        <f t="shared" si="27"/>
        <v>4.2653187775606449E-3</v>
      </c>
    </row>
    <row r="119" spans="1:21" x14ac:dyDescent="0.2">
      <c r="A119" s="62" t="e">
        <f t="shared" si="20"/>
        <v>#DIV/0!</v>
      </c>
      <c r="B119" s="45">
        <f t="shared" si="21"/>
        <v>105</v>
      </c>
      <c r="C119" s="51" t="e">
        <f>IF(B119&lt;C$4,C$1,D118-L119+N119)</f>
        <v>#DIV/0!</v>
      </c>
      <c r="D119" s="47" t="e" cm="1">
        <f t="array" ref="D119">_xlfn.IFS(AND($C$7="Y",B119&lt;C$4),C119,AND($C$7="Y",B119=C$4),D118+F119-J119-K119-L119+N119,AND($C$7="Y",B119&gt;$C$4),D118-J119-K119-L119+N119, TRUE, D118-J119-K119-L119+N119)</f>
        <v>#DIV/0!</v>
      </c>
      <c r="E119" s="48">
        <f t="shared" si="22"/>
        <v>0</v>
      </c>
      <c r="F119" s="50">
        <f t="shared" si="23"/>
        <v>0</v>
      </c>
      <c r="G119" s="50">
        <f t="shared" si="28"/>
        <v>0</v>
      </c>
      <c r="H119" s="51" t="e">
        <f>IF(AND($B119&lt;=$C$4,C$7="Y"),0,IF(AND(C$7="N",C$4&gt;0,B119&lt;=C$4),0,(D118-L119+N119)*C$2/12/(1-(1/(1+C$2/12))^(C$3+C$4-B119+1))))</f>
        <v>#DIV/0!</v>
      </c>
      <c r="I119" s="52" t="e">
        <f>IF(AND(C$7="Y",$B119&lt;=C$4),0,IF(AND(C$7="Y",$B119&gt;C$4),(1-U119)*C$2*D118/12,IF(AND($C$7="N",C$4&gt;0),(1-U119)*D118*C$2/12, (1-U119)*D118*C$2/12)))</f>
        <v>#DIV/0!</v>
      </c>
      <c r="J119" s="52" t="e">
        <f>IF(AND($B119&lt;=$C$4,C$7="Y"),0,IF(AND(C$7="N",C$4&gt;0,B119&lt;=C$4),0,H119-I119))</f>
        <v>#DIV/0!</v>
      </c>
      <c r="K119" s="51" t="e">
        <f>IF(AND(C$7="Y",$B119&lt;=$C$4),0,IF(AND(C$7="N",C$4&gt;0,B119&lt;=C$4),0,S119*(C119-J119)))</f>
        <v>#DIV/0!</v>
      </c>
      <c r="L119" s="49" t="e">
        <f>IF(AND(C$7="Y",$B119&lt;=$C$4),0,IF(AND(C$7="N",C$4&gt;0,B119&lt;=C$4),0,U119*D118))</f>
        <v>#DIV/0!</v>
      </c>
      <c r="M119" s="49">
        <f t="shared" si="30"/>
        <v>0</v>
      </c>
      <c r="N119" s="49">
        <f t="shared" si="29"/>
        <v>0</v>
      </c>
      <c r="O119" s="48" t="e">
        <f>K119+I119+J119-L119+N119+G119</f>
        <v>#DIV/0!</v>
      </c>
      <c r="P119" s="38" t="e">
        <f>O119*(1/((1+P$12)^(B119/12)))</f>
        <v>#DIV/0!</v>
      </c>
      <c r="Q119" s="53"/>
      <c r="R119" s="53">
        <f t="shared" si="24"/>
        <v>0</v>
      </c>
      <c r="S119" s="53">
        <f t="shared" si="25"/>
        <v>0</v>
      </c>
      <c r="T119" s="53">
        <f t="shared" si="26"/>
        <v>0.05</v>
      </c>
      <c r="U119" s="53">
        <f t="shared" si="27"/>
        <v>4.2653187775606449E-3</v>
      </c>
    </row>
    <row r="120" spans="1:21" x14ac:dyDescent="0.2">
      <c r="A120" s="62" t="e">
        <f t="shared" si="20"/>
        <v>#DIV/0!</v>
      </c>
      <c r="B120" s="45">
        <f t="shared" si="21"/>
        <v>106</v>
      </c>
      <c r="C120" s="51" t="e">
        <f>IF(B120&lt;C$4,C$1,D119-L120+N120)</f>
        <v>#DIV/0!</v>
      </c>
      <c r="D120" s="47" t="e" cm="1">
        <f t="array" ref="D120">_xlfn.IFS(AND($C$7="Y",B120&lt;C$4),C120,AND($C$7="Y",B120=C$4),D119+F120-J120-K120-L120+N120,AND($C$7="Y",B120&gt;$C$4),D119-J120-K120-L120+N120, TRUE, D119-J120-K120-L120+N120)</f>
        <v>#DIV/0!</v>
      </c>
      <c r="E120" s="48">
        <f t="shared" si="22"/>
        <v>0</v>
      </c>
      <c r="F120" s="50">
        <f t="shared" si="23"/>
        <v>0</v>
      </c>
      <c r="G120" s="50">
        <f t="shared" si="28"/>
        <v>0</v>
      </c>
      <c r="H120" s="51" t="e">
        <f>IF(AND($B120&lt;=$C$4,C$7="Y"),0,IF(AND(C$7="N",C$4&gt;0,B120&lt;=C$4),0,(D119-L120+N120)*C$2/12/(1-(1/(1+C$2/12))^(C$3+C$4-B120+1))))</f>
        <v>#DIV/0!</v>
      </c>
      <c r="I120" s="52" t="e">
        <f>IF(AND(C$7="Y",$B120&lt;=C$4),0,IF(AND(C$7="Y",$B120&gt;C$4),(1-U120)*C$2*D119/12,IF(AND($C$7="N",C$4&gt;0),(1-U120)*D119*C$2/12, (1-U120)*D119*C$2/12)))</f>
        <v>#DIV/0!</v>
      </c>
      <c r="J120" s="52" t="e">
        <f>IF(AND($B120&lt;=$C$4,C$7="Y"),0,IF(AND(C$7="N",C$4&gt;0,B120&lt;=C$4),0,H120-I120))</f>
        <v>#DIV/0!</v>
      </c>
      <c r="K120" s="51" t="e">
        <f>IF(AND(C$7="Y",$B120&lt;=$C$4),0,IF(AND(C$7="N",C$4&gt;0,B120&lt;=C$4),0,S120*(C120-J120)))</f>
        <v>#DIV/0!</v>
      </c>
      <c r="L120" s="49" t="e">
        <f>IF(AND(C$7="Y",$B120&lt;=$C$4),0,IF(AND(C$7="N",C$4&gt;0,B120&lt;=C$4),0,U120*D119))</f>
        <v>#DIV/0!</v>
      </c>
      <c r="M120" s="49">
        <f t="shared" si="30"/>
        <v>0</v>
      </c>
      <c r="N120" s="49">
        <f t="shared" si="29"/>
        <v>0</v>
      </c>
      <c r="O120" s="48" t="e">
        <f>K120+I120+J120-L120+N120+G120</f>
        <v>#DIV/0!</v>
      </c>
      <c r="P120" s="38" t="e">
        <f>O120*(1/((1+P$12)^(B120/12)))</f>
        <v>#DIV/0!</v>
      </c>
      <c r="Q120" s="53"/>
      <c r="R120" s="53">
        <f t="shared" si="24"/>
        <v>0</v>
      </c>
      <c r="S120" s="53">
        <f t="shared" si="25"/>
        <v>0</v>
      </c>
      <c r="T120" s="53">
        <f t="shared" si="26"/>
        <v>0.05</v>
      </c>
      <c r="U120" s="53">
        <f t="shared" si="27"/>
        <v>4.2653187775606449E-3</v>
      </c>
    </row>
    <row r="121" spans="1:21" x14ac:dyDescent="0.2">
      <c r="A121" s="62" t="e">
        <f t="shared" si="20"/>
        <v>#DIV/0!</v>
      </c>
      <c r="B121" s="45">
        <f t="shared" si="21"/>
        <v>107</v>
      </c>
      <c r="C121" s="51" t="e">
        <f>IF(B121&lt;C$4,C$1,D120-L121+N121)</f>
        <v>#DIV/0!</v>
      </c>
      <c r="D121" s="47" t="e" cm="1">
        <f t="array" ref="D121">_xlfn.IFS(AND($C$7="Y",B121&lt;C$4),C121,AND($C$7="Y",B121=C$4),D120+F121-J121-K121-L121+N121,AND($C$7="Y",B121&gt;$C$4),D120-J121-K121-L121+N121, TRUE, D120-J121-K121-L121+N121)</f>
        <v>#DIV/0!</v>
      </c>
      <c r="E121" s="48">
        <f t="shared" si="22"/>
        <v>0</v>
      </c>
      <c r="F121" s="50">
        <f t="shared" si="23"/>
        <v>0</v>
      </c>
      <c r="G121" s="50">
        <f t="shared" si="28"/>
        <v>0</v>
      </c>
      <c r="H121" s="51" t="e">
        <f>IF(AND($B121&lt;=$C$4,C$7="Y"),0,IF(AND(C$7="N",C$4&gt;0,B121&lt;=C$4),0,(D120-L121+N121)*C$2/12/(1-(1/(1+C$2/12))^(C$3+C$4-B121+1))))</f>
        <v>#DIV/0!</v>
      </c>
      <c r="I121" s="52" t="e">
        <f>IF(AND(C$7="Y",$B121&lt;=C$4),0,IF(AND(C$7="Y",$B121&gt;C$4),(1-U121)*C$2*D120/12,IF(AND($C$7="N",C$4&gt;0),(1-U121)*D120*C$2/12, (1-U121)*D120*C$2/12)))</f>
        <v>#DIV/0!</v>
      </c>
      <c r="J121" s="52" t="e">
        <f>IF(AND($B121&lt;=$C$4,C$7="Y"),0,IF(AND(C$7="N",C$4&gt;0,B121&lt;=C$4),0,H121-I121))</f>
        <v>#DIV/0!</v>
      </c>
      <c r="K121" s="51" t="e">
        <f>IF(AND(C$7="Y",$B121&lt;=$C$4),0,IF(AND(C$7="N",C$4&gt;0,B121&lt;=C$4),0,S121*(C121-J121)))</f>
        <v>#DIV/0!</v>
      </c>
      <c r="L121" s="49" t="e">
        <f>IF(AND(C$7="Y",$B121&lt;=$C$4),0,IF(AND(C$7="N",C$4&gt;0,B121&lt;=C$4),0,U121*D120))</f>
        <v>#DIV/0!</v>
      </c>
      <c r="M121" s="49">
        <f t="shared" si="30"/>
        <v>0</v>
      </c>
      <c r="N121" s="49">
        <f t="shared" si="29"/>
        <v>0</v>
      </c>
      <c r="O121" s="48" t="e">
        <f>K121+I121+J121-L121+N121+G121</f>
        <v>#DIV/0!</v>
      </c>
      <c r="P121" s="38" t="e">
        <f>O121*(1/((1+P$12)^(B121/12)))</f>
        <v>#DIV/0!</v>
      </c>
      <c r="Q121" s="53"/>
      <c r="R121" s="53">
        <f t="shared" si="24"/>
        <v>0</v>
      </c>
      <c r="S121" s="53">
        <f t="shared" si="25"/>
        <v>0</v>
      </c>
      <c r="T121" s="53">
        <f t="shared" si="26"/>
        <v>0.05</v>
      </c>
      <c r="U121" s="53">
        <f t="shared" si="27"/>
        <v>4.2653187775606449E-3</v>
      </c>
    </row>
    <row r="122" spans="1:21" x14ac:dyDescent="0.2">
      <c r="A122" s="62" t="e">
        <f t="shared" si="20"/>
        <v>#DIV/0!</v>
      </c>
      <c r="B122" s="45">
        <f t="shared" si="21"/>
        <v>108</v>
      </c>
      <c r="C122" s="51" t="e">
        <f>IF(B122&lt;C$4,C$1,D121-L122+N122)</f>
        <v>#DIV/0!</v>
      </c>
      <c r="D122" s="47" t="e" cm="1">
        <f t="array" ref="D122">_xlfn.IFS(AND($C$7="Y",B122&lt;C$4),C122,AND($C$7="Y",B122=C$4),D121+F122-J122-K122-L122+N122,AND($C$7="Y",B122&gt;$C$4),D121-J122-K122-L122+N122, TRUE, D121-J122-K122-L122+N122)</f>
        <v>#DIV/0!</v>
      </c>
      <c r="E122" s="48">
        <f t="shared" si="22"/>
        <v>0</v>
      </c>
      <c r="F122" s="50">
        <f t="shared" si="23"/>
        <v>0</v>
      </c>
      <c r="G122" s="50">
        <f t="shared" si="28"/>
        <v>0</v>
      </c>
      <c r="H122" s="51" t="e">
        <f>IF(AND($B122&lt;=$C$4,C$7="Y"),0,IF(AND(C$7="N",C$4&gt;0,B122&lt;=C$4),0,(D121-L122+N122)*C$2/12/(1-(1/(1+C$2/12))^(C$3+C$4-B122+1))))</f>
        <v>#DIV/0!</v>
      </c>
      <c r="I122" s="52" t="e">
        <f>IF(AND(C$7="Y",$B122&lt;=C$4),0,IF(AND(C$7="Y",$B122&gt;C$4),(1-U122)*C$2*D121/12,IF(AND($C$7="N",C$4&gt;0),(1-U122)*D121*C$2/12, (1-U122)*D121*C$2/12)))</f>
        <v>#DIV/0!</v>
      </c>
      <c r="J122" s="52" t="e">
        <f>IF(AND($B122&lt;=$C$4,C$7="Y"),0,IF(AND(C$7="N",C$4&gt;0,B122&lt;=C$4),0,H122-I122))</f>
        <v>#DIV/0!</v>
      </c>
      <c r="K122" s="51" t="e">
        <f>IF(AND(C$7="Y",$B122&lt;=$C$4),0,IF(AND(C$7="N",C$4&gt;0,B122&lt;=C$4),0,S122*(C122-J122)))</f>
        <v>#DIV/0!</v>
      </c>
      <c r="L122" s="49" t="e">
        <f>IF(AND(C$7="Y",$B122&lt;=$C$4),0,IF(AND(C$7="N",C$4&gt;0,B122&lt;=C$4),0,U122*D121))</f>
        <v>#DIV/0!</v>
      </c>
      <c r="M122" s="49">
        <f t="shared" si="30"/>
        <v>0</v>
      </c>
      <c r="N122" s="49">
        <f t="shared" si="29"/>
        <v>0</v>
      </c>
      <c r="O122" s="48" t="e">
        <f>K122+I122+J122-L122+N122+G122</f>
        <v>#DIV/0!</v>
      </c>
      <c r="P122" s="38" t="e">
        <f>O122*(1/((1+P$12)^(B122/12)))</f>
        <v>#DIV/0!</v>
      </c>
      <c r="Q122" s="53"/>
      <c r="R122" s="53">
        <f t="shared" si="24"/>
        <v>0</v>
      </c>
      <c r="S122" s="53">
        <f t="shared" si="25"/>
        <v>0</v>
      </c>
      <c r="T122" s="53">
        <f t="shared" si="26"/>
        <v>0.05</v>
      </c>
      <c r="U122" s="53">
        <f t="shared" si="27"/>
        <v>4.2653187775606449E-3</v>
      </c>
    </row>
    <row r="123" spans="1:21" x14ac:dyDescent="0.2">
      <c r="A123" s="62" t="e">
        <f t="shared" si="20"/>
        <v>#DIV/0!</v>
      </c>
      <c r="B123" s="45">
        <f t="shared" si="21"/>
        <v>109</v>
      </c>
      <c r="C123" s="51" t="e">
        <f>IF(B123&lt;C$4,C$1,D122-L123+N123)</f>
        <v>#DIV/0!</v>
      </c>
      <c r="D123" s="47" t="e" cm="1">
        <f t="array" ref="D123">_xlfn.IFS(AND($C$7="Y",B123&lt;C$4),C123,AND($C$7="Y",B123=C$4),D122+F123-J123-K123-L123+N123,AND($C$7="Y",B123&gt;$C$4),D122-J123-K123-L123+N123, TRUE, D122-J123-K123-L123+N123)</f>
        <v>#DIV/0!</v>
      </c>
      <c r="E123" s="48">
        <f t="shared" si="22"/>
        <v>0</v>
      </c>
      <c r="F123" s="50">
        <f t="shared" si="23"/>
        <v>0</v>
      </c>
      <c r="G123" s="50">
        <f t="shared" si="28"/>
        <v>0</v>
      </c>
      <c r="H123" s="51" t="e">
        <f>IF(AND($B123&lt;=$C$4,C$7="Y"),0,IF(AND(C$7="N",C$4&gt;0,B123&lt;=C$4),0,(D122-L123+N123)*C$2/12/(1-(1/(1+C$2/12))^(C$3+C$4-B123+1))))</f>
        <v>#DIV/0!</v>
      </c>
      <c r="I123" s="52" t="e">
        <f>IF(AND(C$7="Y",$B123&lt;=C$4),0,IF(AND(C$7="Y",$B123&gt;C$4),(1-U123)*C$2*D122/12,IF(AND($C$7="N",C$4&gt;0),(1-U123)*D122*C$2/12, (1-U123)*D122*C$2/12)))</f>
        <v>#DIV/0!</v>
      </c>
      <c r="J123" s="52" t="e">
        <f>IF(AND($B123&lt;=$C$4,C$7="Y"),0,IF(AND(C$7="N",C$4&gt;0,B123&lt;=C$4),0,H123-I123))</f>
        <v>#DIV/0!</v>
      </c>
      <c r="K123" s="51" t="e">
        <f>IF(AND(C$7="Y",$B123&lt;=$C$4),0,IF(AND(C$7="N",C$4&gt;0,B123&lt;=C$4),0,S123*(C123-J123)))</f>
        <v>#DIV/0!</v>
      </c>
      <c r="L123" s="49" t="e">
        <f>IF(AND(C$7="Y",$B123&lt;=$C$4),0,IF(AND(C$7="N",C$4&gt;0,B123&lt;=C$4),0,U123*D122))</f>
        <v>#DIV/0!</v>
      </c>
      <c r="M123" s="49">
        <f t="shared" si="30"/>
        <v>0</v>
      </c>
      <c r="N123" s="49">
        <f t="shared" si="29"/>
        <v>0</v>
      </c>
      <c r="O123" s="48" t="e">
        <f>K123+I123+J123-L123+N123+G123</f>
        <v>#DIV/0!</v>
      </c>
      <c r="P123" s="38" t="e">
        <f>O123*(1/((1+P$12)^(B123/12)))</f>
        <v>#DIV/0!</v>
      </c>
      <c r="Q123" s="53"/>
      <c r="R123" s="53">
        <f t="shared" si="24"/>
        <v>0</v>
      </c>
      <c r="S123" s="53">
        <f t="shared" si="25"/>
        <v>0</v>
      </c>
      <c r="T123" s="53">
        <f t="shared" si="26"/>
        <v>0.05</v>
      </c>
      <c r="U123" s="53">
        <f t="shared" si="27"/>
        <v>4.2653187775606449E-3</v>
      </c>
    </row>
    <row r="124" spans="1:21" x14ac:dyDescent="0.2">
      <c r="A124" s="62" t="e">
        <f t="shared" si="20"/>
        <v>#DIV/0!</v>
      </c>
      <c r="B124" s="45">
        <f t="shared" si="21"/>
        <v>110</v>
      </c>
      <c r="C124" s="51" t="e">
        <f>IF(B124&lt;C$4,C$1,D123-L124+N124)</f>
        <v>#DIV/0!</v>
      </c>
      <c r="D124" s="47" t="e" cm="1">
        <f t="array" ref="D124">_xlfn.IFS(AND($C$7="Y",B124&lt;C$4),C124,AND($C$7="Y",B124=C$4),D123+F124-J124-K124-L124+N124,AND($C$7="Y",B124&gt;$C$4),D123-J124-K124-L124+N124, TRUE, D123-J124-K124-L124+N124)</f>
        <v>#DIV/0!</v>
      </c>
      <c r="E124" s="48">
        <f t="shared" si="22"/>
        <v>0</v>
      </c>
      <c r="F124" s="50">
        <f t="shared" si="23"/>
        <v>0</v>
      </c>
      <c r="G124" s="50">
        <f t="shared" si="28"/>
        <v>0</v>
      </c>
      <c r="H124" s="51" t="e">
        <f>IF(AND($B124&lt;=$C$4,C$7="Y"),0,IF(AND(C$7="N",C$4&gt;0,B124&lt;=C$4),0,(D123-L124+N124)*C$2/12/(1-(1/(1+C$2/12))^(C$3+C$4-B124+1))))</f>
        <v>#DIV/0!</v>
      </c>
      <c r="I124" s="52" t="e">
        <f>IF(AND(C$7="Y",$B124&lt;=C$4),0,IF(AND(C$7="Y",$B124&gt;C$4),(1-U124)*C$2*D123/12,IF(AND($C$7="N",C$4&gt;0),(1-U124)*D123*C$2/12, (1-U124)*D123*C$2/12)))</f>
        <v>#DIV/0!</v>
      </c>
      <c r="J124" s="52" t="e">
        <f>IF(AND($B124&lt;=$C$4,C$7="Y"),0,IF(AND(C$7="N",C$4&gt;0,B124&lt;=C$4),0,H124-I124))</f>
        <v>#DIV/0!</v>
      </c>
      <c r="K124" s="51" t="e">
        <f>IF(AND(C$7="Y",$B124&lt;=$C$4),0,IF(AND(C$7="N",C$4&gt;0,B124&lt;=C$4),0,S124*(C124-J124)))</f>
        <v>#DIV/0!</v>
      </c>
      <c r="L124" s="49" t="e">
        <f>IF(AND(C$7="Y",$B124&lt;=$C$4),0,IF(AND(C$7="N",C$4&gt;0,B124&lt;=C$4),0,U124*D123))</f>
        <v>#DIV/0!</v>
      </c>
      <c r="M124" s="49">
        <f t="shared" si="30"/>
        <v>0</v>
      </c>
      <c r="N124" s="49">
        <f t="shared" si="29"/>
        <v>0</v>
      </c>
      <c r="O124" s="48" t="e">
        <f>K124+I124+J124-L124+N124+G124</f>
        <v>#DIV/0!</v>
      </c>
      <c r="P124" s="38" t="e">
        <f>O124*(1/((1+P$12)^(B124/12)))</f>
        <v>#DIV/0!</v>
      </c>
      <c r="Q124" s="53"/>
      <c r="R124" s="53">
        <f t="shared" si="24"/>
        <v>0</v>
      </c>
      <c r="S124" s="53">
        <f t="shared" si="25"/>
        <v>0</v>
      </c>
      <c r="T124" s="53">
        <f t="shared" si="26"/>
        <v>0.05</v>
      </c>
      <c r="U124" s="53">
        <f t="shared" si="27"/>
        <v>4.2653187775606449E-3</v>
      </c>
    </row>
    <row r="125" spans="1:21" x14ac:dyDescent="0.2">
      <c r="A125" s="62" t="e">
        <f t="shared" si="20"/>
        <v>#DIV/0!</v>
      </c>
      <c r="B125" s="45">
        <f t="shared" si="21"/>
        <v>111</v>
      </c>
      <c r="C125" s="51" t="e">
        <f>IF(B125&lt;C$4,C$1,D124-L125+N125)</f>
        <v>#DIV/0!</v>
      </c>
      <c r="D125" s="47" t="e" cm="1">
        <f t="array" ref="D125">_xlfn.IFS(AND($C$7="Y",B125&lt;C$4),C125,AND($C$7="Y",B125=C$4),D124+F125-J125-K125-L125+N125,AND($C$7="Y",B125&gt;$C$4),D124-J125-K125-L125+N125, TRUE, D124-J125-K125-L125+N125)</f>
        <v>#DIV/0!</v>
      </c>
      <c r="E125" s="48">
        <f t="shared" si="22"/>
        <v>0</v>
      </c>
      <c r="F125" s="50">
        <f t="shared" si="23"/>
        <v>0</v>
      </c>
      <c r="G125" s="50">
        <f t="shared" si="28"/>
        <v>0</v>
      </c>
      <c r="H125" s="51" t="e">
        <f>IF(AND($B125&lt;=$C$4,C$7="Y"),0,IF(AND(C$7="N",C$4&gt;0,B125&lt;=C$4),0,(D124-L125+N125)*C$2/12/(1-(1/(1+C$2/12))^(C$3+C$4-B125+1))))</f>
        <v>#DIV/0!</v>
      </c>
      <c r="I125" s="52" t="e">
        <f>IF(AND(C$7="Y",$B125&lt;=C$4),0,IF(AND(C$7="Y",$B125&gt;C$4),(1-U125)*C$2*D124/12,IF(AND($C$7="N",C$4&gt;0),(1-U125)*D124*C$2/12, (1-U125)*D124*C$2/12)))</f>
        <v>#DIV/0!</v>
      </c>
      <c r="J125" s="52" t="e">
        <f>IF(AND($B125&lt;=$C$4,C$7="Y"),0,IF(AND(C$7="N",C$4&gt;0,B125&lt;=C$4),0,H125-I125))</f>
        <v>#DIV/0!</v>
      </c>
      <c r="K125" s="51" t="e">
        <f>IF(AND(C$7="Y",$B125&lt;=$C$4),0,IF(AND(C$7="N",C$4&gt;0,B125&lt;=C$4),0,S125*(C125-J125)))</f>
        <v>#DIV/0!</v>
      </c>
      <c r="L125" s="49" t="e">
        <f>IF(AND(C$7="Y",$B125&lt;=$C$4),0,IF(AND(C$7="N",C$4&gt;0,B125&lt;=C$4),0,U125*D124))</f>
        <v>#DIV/0!</v>
      </c>
      <c r="M125" s="49">
        <f t="shared" si="30"/>
        <v>0</v>
      </c>
      <c r="N125" s="49">
        <f t="shared" si="29"/>
        <v>0</v>
      </c>
      <c r="O125" s="48" t="e">
        <f>K125+I125+J125-L125+N125+G125</f>
        <v>#DIV/0!</v>
      </c>
      <c r="P125" s="38" t="e">
        <f>O125*(1/((1+P$12)^(B125/12)))</f>
        <v>#DIV/0!</v>
      </c>
      <c r="Q125" s="53"/>
      <c r="R125" s="53">
        <f t="shared" si="24"/>
        <v>0</v>
      </c>
      <c r="S125" s="53">
        <f t="shared" si="25"/>
        <v>0</v>
      </c>
      <c r="T125" s="53">
        <f t="shared" si="26"/>
        <v>0.05</v>
      </c>
      <c r="U125" s="53">
        <f t="shared" si="27"/>
        <v>4.2653187775606449E-3</v>
      </c>
    </row>
    <row r="126" spans="1:21" x14ac:dyDescent="0.2">
      <c r="A126" s="62" t="e">
        <f t="shared" si="20"/>
        <v>#DIV/0!</v>
      </c>
      <c r="B126" s="45">
        <f t="shared" si="21"/>
        <v>112</v>
      </c>
      <c r="C126" s="51" t="e">
        <f>IF(B126&lt;C$4,C$1,D125-L126+N126)</f>
        <v>#DIV/0!</v>
      </c>
      <c r="D126" s="47" t="e" cm="1">
        <f t="array" ref="D126">_xlfn.IFS(AND($C$7="Y",B126&lt;C$4),C126,AND($C$7="Y",B126=C$4),D125+F126-J126-K126-L126+N126,AND($C$7="Y",B126&gt;$C$4),D125-J126-K126-L126+N126, TRUE, D125-J126-K126-L126+N126)</f>
        <v>#DIV/0!</v>
      </c>
      <c r="E126" s="48">
        <f t="shared" si="22"/>
        <v>0</v>
      </c>
      <c r="F126" s="50">
        <f t="shared" si="23"/>
        <v>0</v>
      </c>
      <c r="G126" s="50">
        <f t="shared" si="28"/>
        <v>0</v>
      </c>
      <c r="H126" s="51" t="e">
        <f>IF(AND($B126&lt;=$C$4,C$7="Y"),0,IF(AND(C$7="N",C$4&gt;0,B126&lt;=C$4),0,(D125-L126+N126)*C$2/12/(1-(1/(1+C$2/12))^(C$3+C$4-B126+1))))</f>
        <v>#DIV/0!</v>
      </c>
      <c r="I126" s="52" t="e">
        <f>IF(AND(C$7="Y",$B126&lt;=C$4),0,IF(AND(C$7="Y",$B126&gt;C$4),(1-U126)*C$2*D125/12,IF(AND($C$7="N",C$4&gt;0),(1-U126)*D125*C$2/12, (1-U126)*D125*C$2/12)))</f>
        <v>#DIV/0!</v>
      </c>
      <c r="J126" s="52" t="e">
        <f>IF(AND($B126&lt;=$C$4,C$7="Y"),0,IF(AND(C$7="N",C$4&gt;0,B126&lt;=C$4),0,H126-I126))</f>
        <v>#DIV/0!</v>
      </c>
      <c r="K126" s="51" t="e">
        <f>IF(AND(C$7="Y",$B126&lt;=$C$4),0,IF(AND(C$7="N",C$4&gt;0,B126&lt;=C$4),0,S126*(C126-J126)))</f>
        <v>#DIV/0!</v>
      </c>
      <c r="L126" s="49" t="e">
        <f>IF(AND(C$7="Y",$B126&lt;=$C$4),0,IF(AND(C$7="N",C$4&gt;0,B126&lt;=C$4),0,U126*D125))</f>
        <v>#DIV/0!</v>
      </c>
      <c r="M126" s="49">
        <f t="shared" si="30"/>
        <v>0</v>
      </c>
      <c r="N126" s="49">
        <f t="shared" si="29"/>
        <v>0</v>
      </c>
      <c r="O126" s="48" t="e">
        <f>K126+I126+J126-L126+N126+G126</f>
        <v>#DIV/0!</v>
      </c>
      <c r="P126" s="38" t="e">
        <f>O126*(1/((1+P$12)^(B126/12)))</f>
        <v>#DIV/0!</v>
      </c>
      <c r="Q126" s="53"/>
      <c r="R126" s="53">
        <f t="shared" si="24"/>
        <v>0</v>
      </c>
      <c r="S126" s="53">
        <f t="shared" si="25"/>
        <v>0</v>
      </c>
      <c r="T126" s="53">
        <f t="shared" si="26"/>
        <v>0.05</v>
      </c>
      <c r="U126" s="53">
        <f t="shared" si="27"/>
        <v>4.2653187775606449E-3</v>
      </c>
    </row>
    <row r="127" spans="1:21" x14ac:dyDescent="0.2">
      <c r="A127" s="62" t="e">
        <f t="shared" si="20"/>
        <v>#DIV/0!</v>
      </c>
      <c r="B127" s="45">
        <f t="shared" si="21"/>
        <v>113</v>
      </c>
      <c r="C127" s="51" t="e">
        <f>IF(B127&lt;C$4,C$1,D126-L127+N127)</f>
        <v>#DIV/0!</v>
      </c>
      <c r="D127" s="47" t="e" cm="1">
        <f t="array" ref="D127">_xlfn.IFS(AND($C$7="Y",B127&lt;C$4),C127,AND($C$7="Y",B127=C$4),D126+F127-J127-K127-L127+N127,AND($C$7="Y",B127&gt;$C$4),D126-J127-K127-L127+N127, TRUE, D126-J127-K127-L127+N127)</f>
        <v>#DIV/0!</v>
      </c>
      <c r="E127" s="48">
        <f t="shared" si="22"/>
        <v>0</v>
      </c>
      <c r="F127" s="50">
        <f t="shared" si="23"/>
        <v>0</v>
      </c>
      <c r="G127" s="50">
        <f t="shared" si="28"/>
        <v>0</v>
      </c>
      <c r="H127" s="51" t="e">
        <f>IF(AND($B127&lt;=$C$4,C$7="Y"),0,IF(AND(C$7="N",C$4&gt;0,B127&lt;=C$4),0,(D126-L127+N127)*C$2/12/(1-(1/(1+C$2/12))^(C$3+C$4-B127+1))))</f>
        <v>#DIV/0!</v>
      </c>
      <c r="I127" s="52" t="e">
        <f>IF(AND(C$7="Y",$B127&lt;=C$4),0,IF(AND(C$7="Y",$B127&gt;C$4),(1-U127)*C$2*D126/12,IF(AND($C$7="N",C$4&gt;0),(1-U127)*D126*C$2/12, (1-U127)*D126*C$2/12)))</f>
        <v>#DIV/0!</v>
      </c>
      <c r="J127" s="52" t="e">
        <f>IF(AND($B127&lt;=$C$4,C$7="Y"),0,IF(AND(C$7="N",C$4&gt;0,B127&lt;=C$4),0,H127-I127))</f>
        <v>#DIV/0!</v>
      </c>
      <c r="K127" s="51" t="e">
        <f>IF(AND(C$7="Y",$B127&lt;=$C$4),0,IF(AND(C$7="N",C$4&gt;0,B127&lt;=C$4),0,S127*(C127-J127)))</f>
        <v>#DIV/0!</v>
      </c>
      <c r="L127" s="49" t="e">
        <f>IF(AND(C$7="Y",$B127&lt;=$C$4),0,IF(AND(C$7="N",C$4&gt;0,B127&lt;=C$4),0,U127*D126))</f>
        <v>#DIV/0!</v>
      </c>
      <c r="M127" s="49">
        <f t="shared" si="30"/>
        <v>0</v>
      </c>
      <c r="N127" s="49">
        <f t="shared" si="29"/>
        <v>0</v>
      </c>
      <c r="O127" s="48" t="e">
        <f>K127+I127+J127-L127+N127+G127</f>
        <v>#DIV/0!</v>
      </c>
      <c r="P127" s="38" t="e">
        <f>O127*(1/((1+P$12)^(B127/12)))</f>
        <v>#DIV/0!</v>
      </c>
      <c r="Q127" s="53"/>
      <c r="R127" s="53">
        <f t="shared" si="24"/>
        <v>0</v>
      </c>
      <c r="S127" s="53">
        <f t="shared" si="25"/>
        <v>0</v>
      </c>
      <c r="T127" s="53">
        <f t="shared" si="26"/>
        <v>0.05</v>
      </c>
      <c r="U127" s="53">
        <f t="shared" si="27"/>
        <v>4.2653187775606449E-3</v>
      </c>
    </row>
    <row r="128" spans="1:21" x14ac:dyDescent="0.2">
      <c r="A128" s="62" t="e">
        <f t="shared" si="20"/>
        <v>#DIV/0!</v>
      </c>
      <c r="B128" s="45">
        <f t="shared" si="21"/>
        <v>114</v>
      </c>
      <c r="C128" s="51" t="e">
        <f>IF(B128&lt;C$4,C$1,D127-L128+N128)</f>
        <v>#DIV/0!</v>
      </c>
      <c r="D128" s="47" t="e" cm="1">
        <f t="array" ref="D128">_xlfn.IFS(AND($C$7="Y",B128&lt;C$4),C128,AND($C$7="Y",B128=C$4),D127+F128-J128-K128-L128+N128,AND($C$7="Y",B128&gt;$C$4),D127-J128-K128-L128+N128, TRUE, D127-J128-K128-L128+N128)</f>
        <v>#DIV/0!</v>
      </c>
      <c r="E128" s="48">
        <f t="shared" si="22"/>
        <v>0</v>
      </c>
      <c r="F128" s="50">
        <f t="shared" si="23"/>
        <v>0</v>
      </c>
      <c r="G128" s="50">
        <f t="shared" si="28"/>
        <v>0</v>
      </c>
      <c r="H128" s="51" t="e">
        <f>IF(AND($B128&lt;=$C$4,C$7="Y"),0,IF(AND(C$7="N",C$4&gt;0,B128&lt;=C$4),0,(D127-L128+N128)*C$2/12/(1-(1/(1+C$2/12))^(C$3+C$4-B128+1))))</f>
        <v>#DIV/0!</v>
      </c>
      <c r="I128" s="52" t="e">
        <f>IF(AND(C$7="Y",$B128&lt;=C$4),0,IF(AND(C$7="Y",$B128&gt;C$4),(1-U128)*C$2*D127/12,IF(AND($C$7="N",C$4&gt;0),(1-U128)*D127*C$2/12, (1-U128)*D127*C$2/12)))</f>
        <v>#DIV/0!</v>
      </c>
      <c r="J128" s="52" t="e">
        <f>IF(AND($B128&lt;=$C$4,C$7="Y"),0,IF(AND(C$7="N",C$4&gt;0,B128&lt;=C$4),0,H128-I128))</f>
        <v>#DIV/0!</v>
      </c>
      <c r="K128" s="51" t="e">
        <f>IF(AND(C$7="Y",$B128&lt;=$C$4),0,IF(AND(C$7="N",C$4&gt;0,B128&lt;=C$4),0,S128*(C128-J128)))</f>
        <v>#DIV/0!</v>
      </c>
      <c r="L128" s="49" t="e">
        <f>IF(AND(C$7="Y",$B128&lt;=$C$4),0,IF(AND(C$7="N",C$4&gt;0,B128&lt;=C$4),0,U128*D127))</f>
        <v>#DIV/0!</v>
      </c>
      <c r="M128" s="49">
        <f t="shared" si="30"/>
        <v>0</v>
      </c>
      <c r="N128" s="49">
        <f t="shared" si="29"/>
        <v>0</v>
      </c>
      <c r="O128" s="48" t="e">
        <f>K128+I128+J128-L128+N128+G128</f>
        <v>#DIV/0!</v>
      </c>
      <c r="P128" s="38" t="e">
        <f>O128*(1/((1+P$12)^(B128/12)))</f>
        <v>#DIV/0!</v>
      </c>
      <c r="Q128" s="53"/>
      <c r="R128" s="53">
        <f t="shared" si="24"/>
        <v>0</v>
      </c>
      <c r="S128" s="53">
        <f t="shared" si="25"/>
        <v>0</v>
      </c>
      <c r="T128" s="53">
        <f t="shared" si="26"/>
        <v>0.05</v>
      </c>
      <c r="U128" s="53">
        <f t="shared" si="27"/>
        <v>4.2653187775606449E-3</v>
      </c>
    </row>
    <row r="129" spans="1:21" x14ac:dyDescent="0.2">
      <c r="A129" s="62" t="e">
        <f t="shared" si="20"/>
        <v>#DIV/0!</v>
      </c>
      <c r="B129" s="45">
        <f t="shared" si="21"/>
        <v>115</v>
      </c>
      <c r="C129" s="51" t="e">
        <f>IF(B129&lt;C$4,C$1,D128-L129+N129)</f>
        <v>#DIV/0!</v>
      </c>
      <c r="D129" s="47" t="e" cm="1">
        <f t="array" ref="D129">_xlfn.IFS(AND($C$7="Y",B129&lt;C$4),C129,AND($C$7="Y",B129=C$4),D128+F129-J129-K129-L129+N129,AND($C$7="Y",B129&gt;$C$4),D128-J129-K129-L129+N129, TRUE, D128-J129-K129-L129+N129)</f>
        <v>#DIV/0!</v>
      </c>
      <c r="E129" s="48">
        <f t="shared" si="22"/>
        <v>0</v>
      </c>
      <c r="F129" s="50">
        <f t="shared" si="23"/>
        <v>0</v>
      </c>
      <c r="G129" s="50">
        <f t="shared" si="28"/>
        <v>0</v>
      </c>
      <c r="H129" s="51" t="e">
        <f>IF(AND($B129&lt;=$C$4,C$7="Y"),0,IF(AND(C$7="N",C$4&gt;0,B129&lt;=C$4),0,(D128-L129+N129)*C$2/12/(1-(1/(1+C$2/12))^(C$3+C$4-B129+1))))</f>
        <v>#DIV/0!</v>
      </c>
      <c r="I129" s="52" t="e">
        <f>IF(AND(C$7="Y",$B129&lt;=C$4),0,IF(AND(C$7="Y",$B129&gt;C$4),(1-U129)*C$2*D128/12,IF(AND($C$7="N",C$4&gt;0),(1-U129)*D128*C$2/12, (1-U129)*D128*C$2/12)))</f>
        <v>#DIV/0!</v>
      </c>
      <c r="J129" s="52" t="e">
        <f>IF(AND($B129&lt;=$C$4,C$7="Y"),0,IF(AND(C$7="N",C$4&gt;0,B129&lt;=C$4),0,H129-I129))</f>
        <v>#DIV/0!</v>
      </c>
      <c r="K129" s="51" t="e">
        <f>IF(AND(C$7="Y",$B129&lt;=$C$4),0,IF(AND(C$7="N",C$4&gt;0,B129&lt;=C$4),0,S129*(C129-J129)))</f>
        <v>#DIV/0!</v>
      </c>
      <c r="L129" s="49" t="e">
        <f>IF(AND(C$7="Y",$B129&lt;=$C$4),0,IF(AND(C$7="N",C$4&gt;0,B129&lt;=C$4),0,U129*D128))</f>
        <v>#DIV/0!</v>
      </c>
      <c r="M129" s="49">
        <f t="shared" si="30"/>
        <v>0</v>
      </c>
      <c r="N129" s="49">
        <f t="shared" si="29"/>
        <v>0</v>
      </c>
      <c r="O129" s="48" t="e">
        <f>K129+I129+J129-L129+N129+G129</f>
        <v>#DIV/0!</v>
      </c>
      <c r="P129" s="38" t="e">
        <f>O129*(1/((1+P$12)^(B129/12)))</f>
        <v>#DIV/0!</v>
      </c>
      <c r="Q129" s="53"/>
      <c r="R129" s="53">
        <f t="shared" si="24"/>
        <v>0</v>
      </c>
      <c r="S129" s="53">
        <f t="shared" si="25"/>
        <v>0</v>
      </c>
      <c r="T129" s="53">
        <f t="shared" si="26"/>
        <v>0.05</v>
      </c>
      <c r="U129" s="53">
        <f t="shared" si="27"/>
        <v>4.2653187775606449E-3</v>
      </c>
    </row>
    <row r="130" spans="1:21" x14ac:dyDescent="0.2">
      <c r="A130" s="62" t="e">
        <f t="shared" si="20"/>
        <v>#DIV/0!</v>
      </c>
      <c r="B130" s="45">
        <f t="shared" si="21"/>
        <v>116</v>
      </c>
      <c r="C130" s="51" t="e">
        <f>IF(B130&lt;C$4,C$1,D129-L130+N130)</f>
        <v>#DIV/0!</v>
      </c>
      <c r="D130" s="47" t="e" cm="1">
        <f t="array" ref="D130">_xlfn.IFS(AND($C$7="Y",B130&lt;C$4),C130,AND($C$7="Y",B130=C$4),D129+F130-J130-K130-L130+N130,AND($C$7="Y",B130&gt;$C$4),D129-J130-K130-L130+N130, TRUE, D129-J130-K130-L130+N130)</f>
        <v>#DIV/0!</v>
      </c>
      <c r="E130" s="48">
        <f t="shared" si="22"/>
        <v>0</v>
      </c>
      <c r="F130" s="50">
        <f t="shared" si="23"/>
        <v>0</v>
      </c>
      <c r="G130" s="50">
        <f t="shared" si="28"/>
        <v>0</v>
      </c>
      <c r="H130" s="51" t="e">
        <f>IF(AND($B130&lt;=$C$4,C$7="Y"),0,IF(AND(C$7="N",C$4&gt;0,B130&lt;=C$4),0,(D129-L130+N130)*C$2/12/(1-(1/(1+C$2/12))^(C$3+C$4-B130+1))))</f>
        <v>#DIV/0!</v>
      </c>
      <c r="I130" s="52" t="e">
        <f>IF(AND(C$7="Y",$B130&lt;=C$4),0,IF(AND(C$7="Y",$B130&gt;C$4),(1-U130)*C$2*D129/12,IF(AND($C$7="N",C$4&gt;0),(1-U130)*D129*C$2/12, (1-U130)*D129*C$2/12)))</f>
        <v>#DIV/0!</v>
      </c>
      <c r="J130" s="52" t="e">
        <f>IF(AND($B130&lt;=$C$4,C$7="Y"),0,IF(AND(C$7="N",C$4&gt;0,B130&lt;=C$4),0,H130-I130))</f>
        <v>#DIV/0!</v>
      </c>
      <c r="K130" s="51" t="e">
        <f>IF(AND(C$7="Y",$B130&lt;=$C$4),0,IF(AND(C$7="N",C$4&gt;0,B130&lt;=C$4),0,S130*(C130-J130)))</f>
        <v>#DIV/0!</v>
      </c>
      <c r="L130" s="49" t="e">
        <f>IF(AND(C$7="Y",$B130&lt;=$C$4),0,IF(AND(C$7="N",C$4&gt;0,B130&lt;=C$4),0,U130*D129))</f>
        <v>#DIV/0!</v>
      </c>
      <c r="M130" s="49">
        <f t="shared" si="30"/>
        <v>0</v>
      </c>
      <c r="N130" s="49">
        <f t="shared" si="29"/>
        <v>0</v>
      </c>
      <c r="O130" s="48" t="e">
        <f>K130+I130+J130-L130+N130+G130</f>
        <v>#DIV/0!</v>
      </c>
      <c r="P130" s="38" t="e">
        <f>O130*(1/((1+P$12)^(B130/12)))</f>
        <v>#DIV/0!</v>
      </c>
      <c r="Q130" s="53"/>
      <c r="R130" s="53">
        <f t="shared" si="24"/>
        <v>0</v>
      </c>
      <c r="S130" s="53">
        <f t="shared" si="25"/>
        <v>0</v>
      </c>
      <c r="T130" s="53">
        <f t="shared" si="26"/>
        <v>0.05</v>
      </c>
      <c r="U130" s="53">
        <f t="shared" si="27"/>
        <v>4.2653187775606449E-3</v>
      </c>
    </row>
    <row r="131" spans="1:21" x14ac:dyDescent="0.2">
      <c r="A131" s="62" t="e">
        <f t="shared" si="20"/>
        <v>#DIV/0!</v>
      </c>
      <c r="B131" s="45">
        <f t="shared" si="21"/>
        <v>117</v>
      </c>
      <c r="C131" s="51" t="e">
        <f>IF(B131&lt;C$4,C$1,D130-L131+N131)</f>
        <v>#DIV/0!</v>
      </c>
      <c r="D131" s="47" t="e" cm="1">
        <f t="array" ref="D131">_xlfn.IFS(AND($C$7="Y",B131&lt;C$4),C131,AND($C$7="Y",B131=C$4),D130+F131-J131-K131-L131+N131,AND($C$7="Y",B131&gt;$C$4),D130-J131-K131-L131+N131, TRUE, D130-J131-K131-L131+N131)</f>
        <v>#DIV/0!</v>
      </c>
      <c r="E131" s="48">
        <f t="shared" si="22"/>
        <v>0</v>
      </c>
      <c r="F131" s="50">
        <f t="shared" si="23"/>
        <v>0</v>
      </c>
      <c r="G131" s="50">
        <f t="shared" si="28"/>
        <v>0</v>
      </c>
      <c r="H131" s="51" t="e">
        <f>IF(AND($B131&lt;=$C$4,C$7="Y"),0,IF(AND(C$7="N",C$4&gt;0,B131&lt;=C$4),0,(D130-L131+N131)*C$2/12/(1-(1/(1+C$2/12))^(C$3+C$4-B131+1))))</f>
        <v>#DIV/0!</v>
      </c>
      <c r="I131" s="52" t="e">
        <f>IF(AND(C$7="Y",$B131&lt;=C$4),0,IF(AND(C$7="Y",$B131&gt;C$4),(1-U131)*C$2*D130/12,IF(AND($C$7="N",C$4&gt;0),(1-U131)*D130*C$2/12, (1-U131)*D130*C$2/12)))</f>
        <v>#DIV/0!</v>
      </c>
      <c r="J131" s="52" t="e">
        <f>IF(AND($B131&lt;=$C$4,C$7="Y"),0,IF(AND(C$7="N",C$4&gt;0,B131&lt;=C$4),0,H131-I131))</f>
        <v>#DIV/0!</v>
      </c>
      <c r="K131" s="51" t="e">
        <f>IF(AND(C$7="Y",$B131&lt;=$C$4),0,IF(AND(C$7="N",C$4&gt;0,B131&lt;=C$4),0,S131*(C131-J131)))</f>
        <v>#DIV/0!</v>
      </c>
      <c r="L131" s="49" t="e">
        <f>IF(AND(C$7="Y",$B131&lt;=$C$4),0,IF(AND(C$7="N",C$4&gt;0,B131&lt;=C$4),0,U131*D130))</f>
        <v>#DIV/0!</v>
      </c>
      <c r="M131" s="49">
        <f t="shared" si="30"/>
        <v>0</v>
      </c>
      <c r="N131" s="49">
        <f t="shared" si="29"/>
        <v>0</v>
      </c>
      <c r="O131" s="48" t="e">
        <f>K131+I131+J131-L131+N131+G131</f>
        <v>#DIV/0!</v>
      </c>
      <c r="P131" s="38" t="e">
        <f>O131*(1/((1+P$12)^(B131/12)))</f>
        <v>#DIV/0!</v>
      </c>
      <c r="Q131" s="53"/>
      <c r="R131" s="53">
        <f t="shared" si="24"/>
        <v>0</v>
      </c>
      <c r="S131" s="53">
        <f t="shared" si="25"/>
        <v>0</v>
      </c>
      <c r="T131" s="53">
        <f t="shared" si="26"/>
        <v>0.05</v>
      </c>
      <c r="U131" s="53">
        <f t="shared" si="27"/>
        <v>4.2653187775606449E-3</v>
      </c>
    </row>
    <row r="132" spans="1:21" x14ac:dyDescent="0.2">
      <c r="A132" s="62" t="e">
        <f t="shared" si="20"/>
        <v>#DIV/0!</v>
      </c>
      <c r="B132" s="45">
        <f t="shared" si="21"/>
        <v>118</v>
      </c>
      <c r="C132" s="51" t="e">
        <f>IF(B132&lt;C$4,C$1,D131-L132+N132)</f>
        <v>#DIV/0!</v>
      </c>
      <c r="D132" s="47" t="e" cm="1">
        <f t="array" ref="D132">_xlfn.IFS(AND($C$7="Y",B132&lt;C$4),C132,AND($C$7="Y",B132=C$4),D131+F132-J132-K132-L132+N132,AND($C$7="Y",B132&gt;$C$4),D131-J132-K132-L132+N132, TRUE, D131-J132-K132-L132+N132)</f>
        <v>#DIV/0!</v>
      </c>
      <c r="E132" s="48">
        <f t="shared" si="22"/>
        <v>0</v>
      </c>
      <c r="F132" s="50">
        <f t="shared" si="23"/>
        <v>0</v>
      </c>
      <c r="G132" s="50">
        <f t="shared" si="28"/>
        <v>0</v>
      </c>
      <c r="H132" s="51" t="e">
        <f>IF(AND($B132&lt;=$C$4,C$7="Y"),0,IF(AND(C$7="N",C$4&gt;0,B132&lt;=C$4),0,(D131-L132+N132)*C$2/12/(1-(1/(1+C$2/12))^(C$3+C$4-B132+1))))</f>
        <v>#DIV/0!</v>
      </c>
      <c r="I132" s="52" t="e">
        <f>IF(AND(C$7="Y",$B132&lt;=C$4),0,IF(AND(C$7="Y",$B132&gt;C$4),(1-U132)*C$2*D131/12,IF(AND($C$7="N",C$4&gt;0),(1-U132)*D131*C$2/12, (1-U132)*D131*C$2/12)))</f>
        <v>#DIV/0!</v>
      </c>
      <c r="J132" s="52" t="e">
        <f>IF(AND($B132&lt;=$C$4,C$7="Y"),0,IF(AND(C$7="N",C$4&gt;0,B132&lt;=C$4),0,H132-I132))</f>
        <v>#DIV/0!</v>
      </c>
      <c r="K132" s="51" t="e">
        <f>IF(AND(C$7="Y",$B132&lt;=$C$4),0,IF(AND(C$7="N",C$4&gt;0,B132&lt;=C$4),0,S132*(C132-J132)))</f>
        <v>#DIV/0!</v>
      </c>
      <c r="L132" s="49" t="e">
        <f>IF(AND(C$7="Y",$B132&lt;=$C$4),0,IF(AND(C$7="N",C$4&gt;0,B132&lt;=C$4),0,U132*D131))</f>
        <v>#DIV/0!</v>
      </c>
      <c r="M132" s="49">
        <f t="shared" si="30"/>
        <v>0</v>
      </c>
      <c r="N132" s="49">
        <f t="shared" si="29"/>
        <v>0</v>
      </c>
      <c r="O132" s="48" t="e">
        <f>K132+I132+J132-L132+N132+G132</f>
        <v>#DIV/0!</v>
      </c>
      <c r="P132" s="38" t="e">
        <f>O132*(1/((1+P$12)^(B132/12)))</f>
        <v>#DIV/0!</v>
      </c>
      <c r="Q132" s="53"/>
      <c r="R132" s="53">
        <f t="shared" si="24"/>
        <v>0</v>
      </c>
      <c r="S132" s="53">
        <f t="shared" si="25"/>
        <v>0</v>
      </c>
      <c r="T132" s="53">
        <f t="shared" si="26"/>
        <v>0.05</v>
      </c>
      <c r="U132" s="53">
        <f t="shared" si="27"/>
        <v>4.2653187775606449E-3</v>
      </c>
    </row>
    <row r="133" spans="1:21" x14ac:dyDescent="0.2">
      <c r="A133" s="62" t="e">
        <f t="shared" si="20"/>
        <v>#DIV/0!</v>
      </c>
      <c r="B133" s="45">
        <f t="shared" si="21"/>
        <v>119</v>
      </c>
      <c r="C133" s="51" t="e">
        <f>IF(B133&lt;C$4,C$1,D132-L133+N133)</f>
        <v>#DIV/0!</v>
      </c>
      <c r="D133" s="47" t="e" cm="1">
        <f t="array" ref="D133">_xlfn.IFS(AND($C$7="Y",B133&lt;C$4),C133,AND($C$7="Y",B133=C$4),D132+F133-J133-K133-L133+N133,AND($C$7="Y",B133&gt;$C$4),D132-J133-K133-L133+N133, TRUE, D132-J133-K133-L133+N133)</f>
        <v>#DIV/0!</v>
      </c>
      <c r="E133" s="48">
        <f t="shared" si="22"/>
        <v>0</v>
      </c>
      <c r="F133" s="50">
        <f t="shared" si="23"/>
        <v>0</v>
      </c>
      <c r="G133" s="50">
        <f t="shared" si="28"/>
        <v>0</v>
      </c>
      <c r="H133" s="51" t="e">
        <f>IF(AND($B133&lt;=$C$4,C$7="Y"),0,IF(AND(C$7="N",C$4&gt;0,B133&lt;=C$4),0,(D132-L133+N133)*C$2/12/(1-(1/(1+C$2/12))^(C$3+C$4-B133+1))))</f>
        <v>#DIV/0!</v>
      </c>
      <c r="I133" s="52" t="e">
        <f>IF(AND(C$7="Y",$B133&lt;=C$4),0,IF(AND(C$7="Y",$B133&gt;C$4),(1-U133)*C$2*D132/12,IF(AND($C$7="N",C$4&gt;0),(1-U133)*D132*C$2/12, (1-U133)*D132*C$2/12)))</f>
        <v>#DIV/0!</v>
      </c>
      <c r="J133" s="52" t="e">
        <f>IF(AND($B133&lt;=$C$4,C$7="Y"),0,IF(AND(C$7="N",C$4&gt;0,B133&lt;=C$4),0,H133-I133))</f>
        <v>#DIV/0!</v>
      </c>
      <c r="K133" s="51" t="e">
        <f>IF(AND(C$7="Y",$B133&lt;=$C$4),0,IF(AND(C$7="N",C$4&gt;0,B133&lt;=C$4),0,S133*(C133-J133)))</f>
        <v>#DIV/0!</v>
      </c>
      <c r="L133" s="49" t="e">
        <f>IF(AND(C$7="Y",$B133&lt;=$C$4),0,IF(AND(C$7="N",C$4&gt;0,B133&lt;=C$4),0,U133*D132))</f>
        <v>#DIV/0!</v>
      </c>
      <c r="M133" s="49">
        <f t="shared" si="30"/>
        <v>0</v>
      </c>
      <c r="N133" s="49">
        <f t="shared" si="29"/>
        <v>0</v>
      </c>
      <c r="O133" s="48" t="e">
        <f>K133+I133+J133-L133+N133+G133</f>
        <v>#DIV/0!</v>
      </c>
      <c r="P133" s="38" t="e">
        <f>O133*(1/((1+P$12)^(B133/12)))</f>
        <v>#DIV/0!</v>
      </c>
      <c r="Q133" s="53"/>
      <c r="R133" s="53">
        <f t="shared" si="24"/>
        <v>0</v>
      </c>
      <c r="S133" s="53">
        <f t="shared" si="25"/>
        <v>0</v>
      </c>
      <c r="T133" s="53">
        <f t="shared" si="26"/>
        <v>0.05</v>
      </c>
      <c r="U133" s="53">
        <f t="shared" si="27"/>
        <v>4.2653187775606449E-3</v>
      </c>
    </row>
    <row r="134" spans="1:21" x14ac:dyDescent="0.2">
      <c r="A134" s="62" t="e">
        <f t="shared" si="20"/>
        <v>#DIV/0!</v>
      </c>
      <c r="B134" s="45">
        <f t="shared" si="21"/>
        <v>120</v>
      </c>
      <c r="C134" s="51" t="e">
        <f>IF(B134&lt;C$4,C$1,D133-L134+N134)</f>
        <v>#DIV/0!</v>
      </c>
      <c r="D134" s="47" t="e" cm="1">
        <f t="array" ref="D134">_xlfn.IFS(AND($C$7="Y",B134&lt;C$4),C134,AND($C$7="Y",B134=C$4),D133+F134-J134-K134-L134+N134,AND($C$7="Y",B134&gt;$C$4),D133-J134-K134-L134+N134, TRUE, D133-J134-K134-L134+N134)</f>
        <v>#DIV/0!</v>
      </c>
      <c r="E134" s="48">
        <f t="shared" si="22"/>
        <v>0</v>
      </c>
      <c r="F134" s="50">
        <f t="shared" si="23"/>
        <v>0</v>
      </c>
      <c r="G134" s="50">
        <f t="shared" si="28"/>
        <v>0</v>
      </c>
      <c r="H134" s="51" t="e">
        <f>IF(AND($B134&lt;=$C$4,C$7="Y"),0,IF(AND(C$7="N",C$4&gt;0,B134&lt;=C$4),0,(D133-L134+N134)*C$2/12/(1-(1/(1+C$2/12))^(C$3+C$4-B134+1))))</f>
        <v>#DIV/0!</v>
      </c>
      <c r="I134" s="52" t="e">
        <f>IF(AND(C$7="Y",$B134&lt;=C$4),0,IF(AND(C$7="Y",$B134&gt;C$4),(1-U134)*C$2*D133/12,IF(AND($C$7="N",C$4&gt;0),(1-U134)*D133*C$2/12, (1-U134)*D133*C$2/12)))</f>
        <v>#DIV/0!</v>
      </c>
      <c r="J134" s="52" t="e">
        <f>IF(AND($B134&lt;=$C$4,C$7="Y"),0,IF(AND(C$7="N",C$4&gt;0,B134&lt;=C$4),0,H134-I134))</f>
        <v>#DIV/0!</v>
      </c>
      <c r="K134" s="51" t="e">
        <f>IF(AND(C$7="Y",$B134&lt;=$C$4),0,IF(AND(C$7="N",C$4&gt;0,B134&lt;=C$4),0,S134*(C134-J134)))</f>
        <v>#DIV/0!</v>
      </c>
      <c r="L134" s="49" t="e">
        <f>IF(AND(C$7="Y",$B134&lt;=$C$4),0,IF(AND(C$7="N",C$4&gt;0,B134&lt;=C$4),0,U134*D133))</f>
        <v>#DIV/0!</v>
      </c>
      <c r="M134" s="49">
        <f t="shared" si="30"/>
        <v>0</v>
      </c>
      <c r="N134" s="49">
        <f t="shared" si="29"/>
        <v>0</v>
      </c>
      <c r="O134" s="48" t="e">
        <f>K134+I134+J134-L134+N134+G134</f>
        <v>#DIV/0!</v>
      </c>
      <c r="P134" s="38" t="e">
        <f>O134*(1/((1+P$12)^(B134/12)))</f>
        <v>#DIV/0!</v>
      </c>
      <c r="Q134" s="53"/>
      <c r="R134" s="53">
        <f t="shared" si="24"/>
        <v>0</v>
      </c>
      <c r="S134" s="53">
        <f t="shared" si="25"/>
        <v>0</v>
      </c>
      <c r="T134" s="53">
        <f t="shared" si="26"/>
        <v>0.05</v>
      </c>
      <c r="U134" s="53">
        <f t="shared" si="27"/>
        <v>4.2653187775606449E-3</v>
      </c>
    </row>
    <row r="135" spans="1:21" x14ac:dyDescent="0.2">
      <c r="A135" s="62" t="e">
        <f t="shared" si="20"/>
        <v>#DIV/0!</v>
      </c>
      <c r="B135" s="45">
        <f t="shared" si="21"/>
        <v>121</v>
      </c>
      <c r="C135" s="51" t="e">
        <f>IF(B135&lt;C$4,C$1,D134-L135+N135)</f>
        <v>#DIV/0!</v>
      </c>
      <c r="D135" s="47" t="e" cm="1">
        <f t="array" ref="D135">_xlfn.IFS(AND($C$7="Y",B135&lt;C$4),C135,AND($C$7="Y",B135=C$4),D134+F135-J135-K135-L135+N135,AND($C$7="Y",B135&gt;$C$4),D134-J135-K135-L135+N135, TRUE, D134-J135-K135-L135+N135)</f>
        <v>#DIV/0!</v>
      </c>
      <c r="E135" s="48">
        <f t="shared" si="22"/>
        <v>0</v>
      </c>
      <c r="F135" s="50">
        <f t="shared" si="23"/>
        <v>0</v>
      </c>
      <c r="G135" s="50">
        <f t="shared" si="28"/>
        <v>0</v>
      </c>
      <c r="H135" s="51" t="e">
        <f>IF(AND($B135&lt;=$C$4,C$7="Y"),0,IF(AND(C$7="N",C$4&gt;0,B135&lt;=C$4),0,(D134-L135+N135)*C$2/12/(1-(1/(1+C$2/12))^(C$3+C$4-B135+1))))</f>
        <v>#DIV/0!</v>
      </c>
      <c r="I135" s="52" t="e">
        <f>IF(AND(C$7="Y",$B135&lt;=C$4),0,IF(AND(C$7="Y",$B135&gt;C$4),(1-U135)*C$2*D134/12,IF(AND($C$7="N",C$4&gt;0),(1-U135)*D134*C$2/12, (1-U135)*D134*C$2/12)))</f>
        <v>#DIV/0!</v>
      </c>
      <c r="J135" s="52" t="e">
        <f>IF(AND($B135&lt;=$C$4,C$7="Y"),0,IF(AND(C$7="N",C$4&gt;0,B135&lt;=C$4),0,H135-I135))</f>
        <v>#DIV/0!</v>
      </c>
      <c r="K135" s="51" t="e">
        <f>IF(AND(C$7="Y",$B135&lt;=$C$4),0,IF(AND(C$7="N",C$4&gt;0,B135&lt;=C$4),0,S135*(C135-J135)))</f>
        <v>#DIV/0!</v>
      </c>
      <c r="L135" s="49" t="e">
        <f>IF(AND(C$7="Y",$B135&lt;=$C$4),0,IF(AND(C$7="N",C$4&gt;0,B135&lt;=C$4),0,U135*D134))</f>
        <v>#DIV/0!</v>
      </c>
      <c r="M135" s="49">
        <f t="shared" si="30"/>
        <v>0</v>
      </c>
      <c r="N135" s="49">
        <f t="shared" si="29"/>
        <v>0</v>
      </c>
      <c r="O135" s="48" t="e">
        <f>K135+I135+J135-L135+N135+G135</f>
        <v>#DIV/0!</v>
      </c>
      <c r="P135" s="38" t="e">
        <f>O135*(1/((1+P$12)^(B135/12)))</f>
        <v>#DIV/0!</v>
      </c>
      <c r="Q135" s="53"/>
      <c r="R135" s="53">
        <f t="shared" si="24"/>
        <v>0</v>
      </c>
      <c r="S135" s="53">
        <f t="shared" si="25"/>
        <v>0</v>
      </c>
      <c r="T135" s="53">
        <f t="shared" si="26"/>
        <v>0.05</v>
      </c>
      <c r="U135" s="53">
        <f t="shared" si="27"/>
        <v>4.2653187775606449E-3</v>
      </c>
    </row>
    <row r="136" spans="1:21" x14ac:dyDescent="0.2">
      <c r="A136" s="62" t="e">
        <f t="shared" si="20"/>
        <v>#DIV/0!</v>
      </c>
      <c r="B136" s="45">
        <f t="shared" si="21"/>
        <v>122</v>
      </c>
      <c r="C136" s="51" t="e">
        <f>IF(B136&lt;C$4,C$1,D135-L136+N136)</f>
        <v>#DIV/0!</v>
      </c>
      <c r="D136" s="47" t="e" cm="1">
        <f t="array" ref="D136">_xlfn.IFS(AND($C$7="Y",B136&lt;C$4),C136,AND($C$7="Y",B136=C$4),D135+F136-J136-K136-L136+N136,AND($C$7="Y",B136&gt;$C$4),D135-J136-K136-L136+N136, TRUE, D135-J136-K136-L136+N136)</f>
        <v>#DIV/0!</v>
      </c>
      <c r="E136" s="48">
        <f t="shared" si="22"/>
        <v>0</v>
      </c>
      <c r="F136" s="50">
        <f t="shared" si="23"/>
        <v>0</v>
      </c>
      <c r="G136" s="50">
        <f t="shared" si="28"/>
        <v>0</v>
      </c>
      <c r="H136" s="51" t="e">
        <f>IF(AND($B136&lt;=$C$4,C$7="Y"),0,IF(AND(C$7="N",C$4&gt;0,B136&lt;=C$4),0,(D135-L136+N136)*C$2/12/(1-(1/(1+C$2/12))^(C$3+C$4-B136+1))))</f>
        <v>#DIV/0!</v>
      </c>
      <c r="I136" s="52" t="e">
        <f>IF(AND(C$7="Y",$B136&lt;=C$4),0,IF(AND(C$7="Y",$B136&gt;C$4),(1-U136)*C$2*D135/12,IF(AND($C$7="N",C$4&gt;0),(1-U136)*D135*C$2/12, (1-U136)*D135*C$2/12)))</f>
        <v>#DIV/0!</v>
      </c>
      <c r="J136" s="52" t="e">
        <f>IF(AND($B136&lt;=$C$4,C$7="Y"),0,IF(AND(C$7="N",C$4&gt;0,B136&lt;=C$4),0,H136-I136))</f>
        <v>#DIV/0!</v>
      </c>
      <c r="K136" s="51" t="e">
        <f>IF(AND(C$7="Y",$B136&lt;=$C$4),0,IF(AND(C$7="N",C$4&gt;0,B136&lt;=C$4),0,S136*(C136-J136)))</f>
        <v>#DIV/0!</v>
      </c>
      <c r="L136" s="49" t="e">
        <f>IF(AND(C$7="Y",$B136&lt;=$C$4),0,IF(AND(C$7="N",C$4&gt;0,B136&lt;=C$4),0,U136*D135))</f>
        <v>#DIV/0!</v>
      </c>
      <c r="M136" s="49">
        <f t="shared" si="30"/>
        <v>0</v>
      </c>
      <c r="N136" s="49">
        <f t="shared" si="29"/>
        <v>0</v>
      </c>
      <c r="O136" s="48" t="e">
        <f>K136+I136+J136-L136+N136+G136</f>
        <v>#DIV/0!</v>
      </c>
      <c r="P136" s="38" t="e">
        <f>O136*(1/((1+P$12)^(B136/12)))</f>
        <v>#DIV/0!</v>
      </c>
      <c r="Q136" s="53"/>
      <c r="R136" s="53">
        <f t="shared" si="24"/>
        <v>0</v>
      </c>
      <c r="S136" s="53">
        <f t="shared" si="25"/>
        <v>0</v>
      </c>
      <c r="T136" s="53">
        <f t="shared" si="26"/>
        <v>0.05</v>
      </c>
      <c r="U136" s="53">
        <f t="shared" si="27"/>
        <v>4.2653187775606449E-3</v>
      </c>
    </row>
    <row r="137" spans="1:21" x14ac:dyDescent="0.2">
      <c r="A137" s="62" t="e">
        <f t="shared" si="20"/>
        <v>#DIV/0!</v>
      </c>
      <c r="B137" s="45">
        <f t="shared" si="21"/>
        <v>123</v>
      </c>
      <c r="C137" s="51" t="e">
        <f>IF(B137&lt;C$4,C$1,D136-L137+N137)</f>
        <v>#DIV/0!</v>
      </c>
      <c r="D137" s="47" t="e" cm="1">
        <f t="array" ref="D137">_xlfn.IFS(AND($C$7="Y",B137&lt;C$4),C137,AND($C$7="Y",B137=C$4),D136+F137-J137-K137-L137+N137,AND($C$7="Y",B137&gt;$C$4),D136-J137-K137-L137+N137, TRUE, D136-J137-K137-L137+N137)</f>
        <v>#DIV/0!</v>
      </c>
      <c r="E137" s="48">
        <f t="shared" si="22"/>
        <v>0</v>
      </c>
      <c r="F137" s="50">
        <f t="shared" si="23"/>
        <v>0</v>
      </c>
      <c r="G137" s="50">
        <f t="shared" si="28"/>
        <v>0</v>
      </c>
      <c r="H137" s="51" t="e">
        <f>IF(AND($B137&lt;=$C$4,C$7="Y"),0,IF(AND(C$7="N",C$4&gt;0,B137&lt;=C$4),0,(D136-L137+N137)*C$2/12/(1-(1/(1+C$2/12))^(C$3+C$4-B137+1))))</f>
        <v>#DIV/0!</v>
      </c>
      <c r="I137" s="52" t="e">
        <f>IF(AND(C$7="Y",$B137&lt;=C$4),0,IF(AND(C$7="Y",$B137&gt;C$4),(1-U137)*C$2*D136/12,IF(AND($C$7="N",C$4&gt;0),(1-U137)*D136*C$2/12, (1-U137)*D136*C$2/12)))</f>
        <v>#DIV/0!</v>
      </c>
      <c r="J137" s="52" t="e">
        <f>IF(AND($B137&lt;=$C$4,C$7="Y"),0,IF(AND(C$7="N",C$4&gt;0,B137&lt;=C$4),0,H137-I137))</f>
        <v>#DIV/0!</v>
      </c>
      <c r="K137" s="51" t="e">
        <f>IF(AND(C$7="Y",$B137&lt;=$C$4),0,IF(AND(C$7="N",C$4&gt;0,B137&lt;=C$4),0,S137*(C137-J137)))</f>
        <v>#DIV/0!</v>
      </c>
      <c r="L137" s="49" t="e">
        <f>IF(AND(C$7="Y",$B137&lt;=$C$4),0,IF(AND(C$7="N",C$4&gt;0,B137&lt;=C$4),0,U137*D136))</f>
        <v>#DIV/0!</v>
      </c>
      <c r="M137" s="49">
        <f t="shared" si="30"/>
        <v>0</v>
      </c>
      <c r="N137" s="49">
        <f t="shared" si="29"/>
        <v>0</v>
      </c>
      <c r="O137" s="48" t="e">
        <f>K137+I137+J137-L137+N137+G137</f>
        <v>#DIV/0!</v>
      </c>
      <c r="P137" s="38" t="e">
        <f>O137*(1/((1+P$12)^(B137/12)))</f>
        <v>#DIV/0!</v>
      </c>
      <c r="Q137" s="53"/>
      <c r="R137" s="53">
        <f t="shared" si="24"/>
        <v>0</v>
      </c>
      <c r="S137" s="53">
        <f t="shared" si="25"/>
        <v>0</v>
      </c>
      <c r="T137" s="53">
        <f t="shared" si="26"/>
        <v>0.05</v>
      </c>
      <c r="U137" s="53">
        <f t="shared" si="27"/>
        <v>4.2653187775606449E-3</v>
      </c>
    </row>
    <row r="138" spans="1:21" x14ac:dyDescent="0.2">
      <c r="A138" s="62" t="e">
        <f t="shared" si="20"/>
        <v>#DIV/0!</v>
      </c>
      <c r="B138" s="45">
        <f t="shared" si="21"/>
        <v>124</v>
      </c>
      <c r="C138" s="51" t="e">
        <f>IF(B138&lt;C$4,C$1,D137-L138+N138)</f>
        <v>#DIV/0!</v>
      </c>
      <c r="D138" s="47" t="e" cm="1">
        <f t="array" ref="D138">_xlfn.IFS(AND($C$7="Y",B138&lt;C$4),C138,AND($C$7="Y",B138=C$4),D137+F138-J138-K138-L138+N138,AND($C$7="Y",B138&gt;$C$4),D137-J138-K138-L138+N138, TRUE, D137-J138-K138-L138+N138)</f>
        <v>#DIV/0!</v>
      </c>
      <c r="E138" s="48">
        <f t="shared" si="22"/>
        <v>0</v>
      </c>
      <c r="F138" s="50">
        <f t="shared" si="23"/>
        <v>0</v>
      </c>
      <c r="G138" s="50">
        <f t="shared" si="28"/>
        <v>0</v>
      </c>
      <c r="H138" s="51" t="e">
        <f>IF(AND($B138&lt;=$C$4,C$7="Y"),0,IF(AND(C$7="N",C$4&gt;0,B138&lt;=C$4),0,(D137-L138+N138)*C$2/12/(1-(1/(1+C$2/12))^(C$3+C$4-B138+1))))</f>
        <v>#DIV/0!</v>
      </c>
      <c r="I138" s="52" t="e">
        <f>IF(AND(C$7="Y",$B138&lt;=C$4),0,IF(AND(C$7="Y",$B138&gt;C$4),(1-U138)*C$2*D137/12,IF(AND($C$7="N",C$4&gt;0),(1-U138)*D137*C$2/12, (1-U138)*D137*C$2/12)))</f>
        <v>#DIV/0!</v>
      </c>
      <c r="J138" s="52" t="e">
        <f>IF(AND($B138&lt;=$C$4,C$7="Y"),0,IF(AND(C$7="N",C$4&gt;0,B138&lt;=C$4),0,H138-I138))</f>
        <v>#DIV/0!</v>
      </c>
      <c r="K138" s="51" t="e">
        <f>IF(AND(C$7="Y",$B138&lt;=$C$4),0,IF(AND(C$7="N",C$4&gt;0,B138&lt;=C$4),0,S138*(C138-J138)))</f>
        <v>#DIV/0!</v>
      </c>
      <c r="L138" s="49" t="e">
        <f>IF(AND(C$7="Y",$B138&lt;=$C$4),0,IF(AND(C$7="N",C$4&gt;0,B138&lt;=C$4),0,U138*D137))</f>
        <v>#DIV/0!</v>
      </c>
      <c r="M138" s="49">
        <f t="shared" si="30"/>
        <v>0</v>
      </c>
      <c r="N138" s="49">
        <f t="shared" si="29"/>
        <v>0</v>
      </c>
      <c r="O138" s="48" t="e">
        <f>K138+I138+J138-L138+N138+G138</f>
        <v>#DIV/0!</v>
      </c>
      <c r="P138" s="38" t="e">
        <f>O138*(1/((1+P$12)^(B138/12)))</f>
        <v>#DIV/0!</v>
      </c>
      <c r="Q138" s="53"/>
      <c r="R138" s="53">
        <f t="shared" si="24"/>
        <v>0</v>
      </c>
      <c r="S138" s="53">
        <f t="shared" si="25"/>
        <v>0</v>
      </c>
      <c r="T138" s="53">
        <f t="shared" si="26"/>
        <v>0.05</v>
      </c>
      <c r="U138" s="53">
        <f t="shared" si="27"/>
        <v>4.2653187775606449E-3</v>
      </c>
    </row>
    <row r="139" spans="1:21" x14ac:dyDescent="0.2">
      <c r="A139" s="62" t="e">
        <f t="shared" si="20"/>
        <v>#DIV/0!</v>
      </c>
      <c r="B139" s="45">
        <f t="shared" si="21"/>
        <v>125</v>
      </c>
      <c r="C139" s="51" t="e">
        <f>IF(B139&lt;C$4,C$1,D138-L139+N139)</f>
        <v>#DIV/0!</v>
      </c>
      <c r="D139" s="47" t="e" cm="1">
        <f t="array" ref="D139">_xlfn.IFS(AND($C$7="Y",B139&lt;C$4),C139,AND($C$7="Y",B139=C$4),D138+F139-J139-K139-L139+N139,AND($C$7="Y",B139&gt;$C$4),D138-J139-K139-L139+N139, TRUE, D138-J139-K139-L139+N139)</f>
        <v>#DIV/0!</v>
      </c>
      <c r="E139" s="48">
        <f t="shared" si="22"/>
        <v>0</v>
      </c>
      <c r="F139" s="50">
        <f t="shared" si="23"/>
        <v>0</v>
      </c>
      <c r="G139" s="50">
        <f t="shared" si="28"/>
        <v>0</v>
      </c>
      <c r="H139" s="51" t="e">
        <f>IF(AND($B139&lt;=$C$4,C$7="Y"),0,IF(AND(C$7="N",C$4&gt;0,B139&lt;=C$4),0,(D138-L139+N139)*C$2/12/(1-(1/(1+C$2/12))^(C$3+C$4-B139+1))))</f>
        <v>#DIV/0!</v>
      </c>
      <c r="I139" s="52" t="e">
        <f>IF(AND(C$7="Y",$B139&lt;=C$4),0,IF(AND(C$7="Y",$B139&gt;C$4),(1-U139)*C$2*D138/12,IF(AND($C$7="N",C$4&gt;0),(1-U139)*D138*C$2/12, (1-U139)*D138*C$2/12)))</f>
        <v>#DIV/0!</v>
      </c>
      <c r="J139" s="52" t="e">
        <f>IF(AND($B139&lt;=$C$4,C$7="Y"),0,IF(AND(C$7="N",C$4&gt;0,B139&lt;=C$4),0,H139-I139))</f>
        <v>#DIV/0!</v>
      </c>
      <c r="K139" s="51" t="e">
        <f>IF(AND(C$7="Y",$B139&lt;=$C$4),0,IF(AND(C$7="N",C$4&gt;0,B139&lt;=C$4),0,S139*(C139-J139)))</f>
        <v>#DIV/0!</v>
      </c>
      <c r="L139" s="49" t="e">
        <f>IF(AND(C$7="Y",$B139&lt;=$C$4),0,IF(AND(C$7="N",C$4&gt;0,B139&lt;=C$4),0,U139*D138))</f>
        <v>#DIV/0!</v>
      </c>
      <c r="M139" s="49">
        <f t="shared" si="30"/>
        <v>0</v>
      </c>
      <c r="N139" s="49">
        <f t="shared" si="29"/>
        <v>0</v>
      </c>
      <c r="O139" s="48" t="e">
        <f>K139+I139+J139-L139+N139+G139</f>
        <v>#DIV/0!</v>
      </c>
      <c r="P139" s="38" t="e">
        <f>O139*(1/((1+P$12)^(B139/12)))</f>
        <v>#DIV/0!</v>
      </c>
      <c r="Q139" s="53"/>
      <c r="R139" s="53">
        <f t="shared" si="24"/>
        <v>0</v>
      </c>
      <c r="S139" s="53">
        <f t="shared" si="25"/>
        <v>0</v>
      </c>
      <c r="T139" s="53">
        <f t="shared" si="26"/>
        <v>0.05</v>
      </c>
      <c r="U139" s="53">
        <f t="shared" si="27"/>
        <v>4.2653187775606449E-3</v>
      </c>
    </row>
    <row r="140" spans="1:21" x14ac:dyDescent="0.2">
      <c r="A140" s="62" t="e">
        <f t="shared" si="20"/>
        <v>#DIV/0!</v>
      </c>
      <c r="B140" s="45">
        <f t="shared" si="21"/>
        <v>126</v>
      </c>
      <c r="C140" s="51" t="e">
        <f>IF(B140&lt;C$4,C$1,D139-L140+N140)</f>
        <v>#DIV/0!</v>
      </c>
      <c r="D140" s="47" t="e" cm="1">
        <f t="array" ref="D140">_xlfn.IFS(AND($C$7="Y",B140&lt;C$4),C140,AND($C$7="Y",B140=C$4),D139+F140-J140-K140-L140+N140,AND($C$7="Y",B140&gt;$C$4),D139-J140-K140-L140+N140, TRUE, D139-J140-K140-L140+N140)</f>
        <v>#DIV/0!</v>
      </c>
      <c r="E140" s="48">
        <f t="shared" si="22"/>
        <v>0</v>
      </c>
      <c r="F140" s="50">
        <f t="shared" si="23"/>
        <v>0</v>
      </c>
      <c r="G140" s="50">
        <f t="shared" si="28"/>
        <v>0</v>
      </c>
      <c r="H140" s="51" t="e">
        <f>IF(AND($B140&lt;=$C$4,C$7="Y"),0,IF(AND(C$7="N",C$4&gt;0,B140&lt;=C$4),0,(D139-L140+N140)*C$2/12/(1-(1/(1+C$2/12))^(C$3+C$4-B140+1))))</f>
        <v>#DIV/0!</v>
      </c>
      <c r="I140" s="52" t="e">
        <f>IF(AND(C$7="Y",$B140&lt;=C$4),0,IF(AND(C$7="Y",$B140&gt;C$4),(1-U140)*C$2*D139/12,IF(AND($C$7="N",C$4&gt;0),(1-U140)*D139*C$2/12, (1-U140)*D139*C$2/12)))</f>
        <v>#DIV/0!</v>
      </c>
      <c r="J140" s="52" t="e">
        <f>IF(AND($B140&lt;=$C$4,C$7="Y"),0,IF(AND(C$7="N",C$4&gt;0,B140&lt;=C$4),0,H140-I140))</f>
        <v>#DIV/0!</v>
      </c>
      <c r="K140" s="51" t="e">
        <f>IF(AND(C$7="Y",$B140&lt;=$C$4),0,IF(AND(C$7="N",C$4&gt;0,B140&lt;=C$4),0,S140*(C140-J140)))</f>
        <v>#DIV/0!</v>
      </c>
      <c r="L140" s="49" t="e">
        <f>IF(AND(C$7="Y",$B140&lt;=$C$4),0,IF(AND(C$7="N",C$4&gt;0,B140&lt;=C$4),0,U140*D139))</f>
        <v>#DIV/0!</v>
      </c>
      <c r="M140" s="49">
        <f t="shared" si="30"/>
        <v>0</v>
      </c>
      <c r="N140" s="49">
        <f t="shared" si="29"/>
        <v>0</v>
      </c>
      <c r="O140" s="48" t="e">
        <f>K140+I140+J140-L140+N140+G140</f>
        <v>#DIV/0!</v>
      </c>
      <c r="P140" s="38" t="e">
        <f>O140*(1/((1+P$12)^(B140/12)))</f>
        <v>#DIV/0!</v>
      </c>
      <c r="Q140" s="53"/>
      <c r="R140" s="53">
        <f t="shared" si="24"/>
        <v>0</v>
      </c>
      <c r="S140" s="53">
        <f t="shared" si="25"/>
        <v>0</v>
      </c>
      <c r="T140" s="53">
        <f t="shared" si="26"/>
        <v>0.05</v>
      </c>
      <c r="U140" s="53">
        <f t="shared" si="27"/>
        <v>4.2653187775606449E-3</v>
      </c>
    </row>
    <row r="141" spans="1:21" x14ac:dyDescent="0.2">
      <c r="A141" s="62" t="e">
        <f t="shared" si="20"/>
        <v>#DIV/0!</v>
      </c>
      <c r="B141" s="45">
        <f t="shared" si="21"/>
        <v>127</v>
      </c>
      <c r="C141" s="51" t="e">
        <f>IF(B141&lt;C$4,C$1,D140-L141+N141)</f>
        <v>#DIV/0!</v>
      </c>
      <c r="D141" s="47" t="e" cm="1">
        <f t="array" ref="D141">_xlfn.IFS(AND($C$7="Y",B141&lt;C$4),C141,AND($C$7="Y",B141=C$4),D140+F141-J141-K141-L141+N141,AND($C$7="Y",B141&gt;$C$4),D140-J141-K141-L141+N141, TRUE, D140-J141-K141-L141+N141)</f>
        <v>#DIV/0!</v>
      </c>
      <c r="E141" s="48">
        <f t="shared" si="22"/>
        <v>0</v>
      </c>
      <c r="F141" s="50">
        <f t="shared" si="23"/>
        <v>0</v>
      </c>
      <c r="G141" s="50">
        <f t="shared" si="28"/>
        <v>0</v>
      </c>
      <c r="H141" s="51" t="e">
        <f>IF(AND($B141&lt;=$C$4,C$7="Y"),0,IF(AND(C$7="N",C$4&gt;0,B141&lt;=C$4),0,(D140-L141+N141)*C$2/12/(1-(1/(1+C$2/12))^(C$3+C$4-B141+1))))</f>
        <v>#DIV/0!</v>
      </c>
      <c r="I141" s="52" t="e">
        <f>IF(AND(C$7="Y",$B141&lt;=C$4),0,IF(AND(C$7="Y",$B141&gt;C$4),(1-U141)*C$2*D140/12,IF(AND($C$7="N",C$4&gt;0),(1-U141)*D140*C$2/12, (1-U141)*D140*C$2/12)))</f>
        <v>#DIV/0!</v>
      </c>
      <c r="J141" s="52" t="e">
        <f>IF(AND($B141&lt;=$C$4,C$7="Y"),0,IF(AND(C$7="N",C$4&gt;0,B141&lt;=C$4),0,H141-I141))</f>
        <v>#DIV/0!</v>
      </c>
      <c r="K141" s="51" t="e">
        <f>IF(AND(C$7="Y",$B141&lt;=$C$4),0,IF(AND(C$7="N",C$4&gt;0,B141&lt;=C$4),0,S141*(C141-J141)))</f>
        <v>#DIV/0!</v>
      </c>
      <c r="L141" s="49" t="e">
        <f>IF(AND(C$7="Y",$B141&lt;=$C$4),0,IF(AND(C$7="N",C$4&gt;0,B141&lt;=C$4),0,U141*D140))</f>
        <v>#DIV/0!</v>
      </c>
      <c r="M141" s="49">
        <f t="shared" si="30"/>
        <v>0</v>
      </c>
      <c r="N141" s="49">
        <f t="shared" si="29"/>
        <v>0</v>
      </c>
      <c r="O141" s="48" t="e">
        <f>K141+I141+J141-L141+N141+G141</f>
        <v>#DIV/0!</v>
      </c>
      <c r="P141" s="38" t="e">
        <f>O141*(1/((1+P$12)^(B141/12)))</f>
        <v>#DIV/0!</v>
      </c>
      <c r="Q141" s="53"/>
      <c r="R141" s="53">
        <f t="shared" si="24"/>
        <v>0</v>
      </c>
      <c r="S141" s="53">
        <f t="shared" si="25"/>
        <v>0</v>
      </c>
      <c r="T141" s="53">
        <f t="shared" si="26"/>
        <v>0.05</v>
      </c>
      <c r="U141" s="53">
        <f t="shared" si="27"/>
        <v>4.2653187775606449E-3</v>
      </c>
    </row>
    <row r="142" spans="1:21" x14ac:dyDescent="0.2">
      <c r="A142" s="62" t="e">
        <f t="shared" si="20"/>
        <v>#DIV/0!</v>
      </c>
      <c r="B142" s="45">
        <f t="shared" si="21"/>
        <v>128</v>
      </c>
      <c r="C142" s="51" t="e">
        <f>IF(B142&lt;C$4,C$1,D141-L142+N142)</f>
        <v>#DIV/0!</v>
      </c>
      <c r="D142" s="47" t="e" cm="1">
        <f t="array" ref="D142">_xlfn.IFS(AND($C$7="Y",B142&lt;C$4),C142,AND($C$7="Y",B142=C$4),D141+F142-J142-K142-L142+N142,AND($C$7="Y",B142&gt;$C$4),D141-J142-K142-L142+N142, TRUE, D141-J142-K142-L142+N142)</f>
        <v>#DIV/0!</v>
      </c>
      <c r="E142" s="48">
        <f t="shared" si="22"/>
        <v>0</v>
      </c>
      <c r="F142" s="50">
        <f t="shared" si="23"/>
        <v>0</v>
      </c>
      <c r="G142" s="50">
        <f t="shared" si="28"/>
        <v>0</v>
      </c>
      <c r="H142" s="51" t="e">
        <f>IF(AND($B142&lt;=$C$4,C$7="Y"),0,IF(AND(C$7="N",C$4&gt;0,B142&lt;=C$4),0,(D141-L142+N142)*C$2/12/(1-(1/(1+C$2/12))^(C$3+C$4-B142+1))))</f>
        <v>#DIV/0!</v>
      </c>
      <c r="I142" s="52" t="e">
        <f>IF(AND(C$7="Y",$B142&lt;=C$4),0,IF(AND(C$7="Y",$B142&gt;C$4),(1-U142)*C$2*D141/12,IF(AND($C$7="N",C$4&gt;0),(1-U142)*D141*C$2/12, (1-U142)*D141*C$2/12)))</f>
        <v>#DIV/0!</v>
      </c>
      <c r="J142" s="52" t="e">
        <f>IF(AND($B142&lt;=$C$4,C$7="Y"),0,IF(AND(C$7="N",C$4&gt;0,B142&lt;=C$4),0,H142-I142))</f>
        <v>#DIV/0!</v>
      </c>
      <c r="K142" s="51" t="e">
        <f>IF(AND(C$7="Y",$B142&lt;=$C$4),0,IF(AND(C$7="N",C$4&gt;0,B142&lt;=C$4),0,S142*(C142-J142)))</f>
        <v>#DIV/0!</v>
      </c>
      <c r="L142" s="49" t="e">
        <f>IF(AND(C$7="Y",$B142&lt;=$C$4),0,IF(AND(C$7="N",C$4&gt;0,B142&lt;=C$4),0,U142*D141))</f>
        <v>#DIV/0!</v>
      </c>
      <c r="M142" s="49">
        <f t="shared" si="30"/>
        <v>0</v>
      </c>
      <c r="N142" s="49">
        <f t="shared" si="29"/>
        <v>0</v>
      </c>
      <c r="O142" s="48" t="e">
        <f>K142+I142+J142-L142+N142+G142</f>
        <v>#DIV/0!</v>
      </c>
      <c r="P142" s="38" t="e">
        <f>O142*(1/((1+P$12)^(B142/12)))</f>
        <v>#DIV/0!</v>
      </c>
      <c r="Q142" s="53"/>
      <c r="R142" s="53">
        <f t="shared" si="24"/>
        <v>0</v>
      </c>
      <c r="S142" s="53">
        <f t="shared" si="25"/>
        <v>0</v>
      </c>
      <c r="T142" s="53">
        <f t="shared" si="26"/>
        <v>0.05</v>
      </c>
      <c r="U142" s="53">
        <f t="shared" si="27"/>
        <v>4.2653187775606449E-3</v>
      </c>
    </row>
    <row r="143" spans="1:21" x14ac:dyDescent="0.2">
      <c r="A143" s="62" t="e">
        <f t="shared" ref="A143:A206" si="31">D143/C$1</f>
        <v>#DIV/0!</v>
      </c>
      <c r="B143" s="45">
        <f t="shared" si="21"/>
        <v>129</v>
      </c>
      <c r="C143" s="51" t="e">
        <f>IF(B143&lt;C$4,C$1,D142-L143+N143)</f>
        <v>#DIV/0!</v>
      </c>
      <c r="D143" s="47" t="e" cm="1">
        <f t="array" ref="D143">_xlfn.IFS(AND($C$7="Y",B143&lt;C$4),C143,AND($C$7="Y",B143=C$4),D142+F143-J143-K143-L143+N143,AND($C$7="Y",B143&gt;$C$4),D142-J143-K143-L143+N143, TRUE, D142-J143-K143-L143+N143)</f>
        <v>#DIV/0!</v>
      </c>
      <c r="E143" s="48">
        <f t="shared" si="22"/>
        <v>0</v>
      </c>
      <c r="F143" s="50">
        <f t="shared" si="23"/>
        <v>0</v>
      </c>
      <c r="G143" s="50">
        <f t="shared" si="28"/>
        <v>0</v>
      </c>
      <c r="H143" s="51" t="e">
        <f>IF(AND($B143&lt;=$C$4,C$7="Y"),0,IF(AND(C$7="N",C$4&gt;0,B143&lt;=C$4),0,(D142-L143+N143)*C$2/12/(1-(1/(1+C$2/12))^(C$3+C$4-B143+1))))</f>
        <v>#DIV/0!</v>
      </c>
      <c r="I143" s="52" t="e">
        <f>IF(AND(C$7="Y",$B143&lt;=C$4),0,IF(AND(C$7="Y",$B143&gt;C$4),(1-U143)*C$2*D142/12,IF(AND($C$7="N",C$4&gt;0),(1-U143)*D142*C$2/12, (1-U143)*D142*C$2/12)))</f>
        <v>#DIV/0!</v>
      </c>
      <c r="J143" s="52" t="e">
        <f>IF(AND($B143&lt;=$C$4,C$7="Y"),0,IF(AND(C$7="N",C$4&gt;0,B143&lt;=C$4),0,H143-I143))</f>
        <v>#DIV/0!</v>
      </c>
      <c r="K143" s="51" t="e">
        <f>IF(AND(C$7="Y",$B143&lt;=$C$4),0,IF(AND(C$7="N",C$4&gt;0,B143&lt;=C$4),0,S143*(C143-J143)))</f>
        <v>#DIV/0!</v>
      </c>
      <c r="L143" s="49" t="e">
        <f>IF(AND(C$7="Y",$B143&lt;=$C$4),0,IF(AND(C$7="N",C$4&gt;0,B143&lt;=C$4),0,U143*D142))</f>
        <v>#DIV/0!</v>
      </c>
      <c r="M143" s="49">
        <f t="shared" si="30"/>
        <v>0</v>
      </c>
      <c r="N143" s="49">
        <f t="shared" si="29"/>
        <v>0</v>
      </c>
      <c r="O143" s="48" t="e">
        <f>K143+I143+J143-L143+N143+G143</f>
        <v>#DIV/0!</v>
      </c>
      <c r="P143" s="38" t="e">
        <f>O143*(1/((1+P$12)^(B143/12)))</f>
        <v>#DIV/0!</v>
      </c>
      <c r="Q143" s="53"/>
      <c r="R143" s="53">
        <f t="shared" si="24"/>
        <v>0</v>
      </c>
      <c r="S143" s="53">
        <f t="shared" si="25"/>
        <v>0</v>
      </c>
      <c r="T143" s="53">
        <f t="shared" si="26"/>
        <v>0.05</v>
      </c>
      <c r="U143" s="53">
        <f t="shared" si="27"/>
        <v>4.2653187775606449E-3</v>
      </c>
    </row>
    <row r="144" spans="1:21" x14ac:dyDescent="0.2">
      <c r="A144" s="62" t="e">
        <f t="shared" si="31"/>
        <v>#DIV/0!</v>
      </c>
      <c r="B144" s="45">
        <f t="shared" ref="B144:B207" si="32">B143+1</f>
        <v>130</v>
      </c>
      <c r="C144" s="51" t="e">
        <f>IF(B144&lt;C$4,C$1,D143-L144+N144)</f>
        <v>#DIV/0!</v>
      </c>
      <c r="D144" s="47" t="e" cm="1">
        <f t="array" ref="D144">_xlfn.IFS(AND($C$7="Y",B144&lt;C$4),C144,AND($C$7="Y",B144=C$4),D143+F144-J144-K144-L144+N144,AND($C$7="Y",B144&gt;$C$4),D143-J144-K144-L144+N144, TRUE, D143-J144-K144-L144+N144)</f>
        <v>#DIV/0!</v>
      </c>
      <c r="E144" s="48">
        <f t="shared" ref="E144:E207" si="33">IF(AND($C$7="Y",B144&lt;=$C$4),D143*C$2/12-G144,0)</f>
        <v>0</v>
      </c>
      <c r="F144" s="50">
        <f t="shared" ref="F144:F207" si="34">IF(AND($C$7="Y",B144&lt;=C$4),E144+F143,0)</f>
        <v>0</v>
      </c>
      <c r="G144" s="50">
        <f t="shared" si="28"/>
        <v>0</v>
      </c>
      <c r="H144" s="51" t="e">
        <f>IF(AND($B144&lt;=$C$4,C$7="Y"),0,IF(AND(C$7="N",C$4&gt;0,B144&lt;=C$4),0,(D143-L144+N144)*C$2/12/(1-(1/(1+C$2/12))^(C$3+C$4-B144+1))))</f>
        <v>#DIV/0!</v>
      </c>
      <c r="I144" s="52" t="e">
        <f>IF(AND(C$7="Y",$B144&lt;=C$4),0,IF(AND(C$7="Y",$B144&gt;C$4),(1-U144)*C$2*D143/12,IF(AND($C$7="N",C$4&gt;0),(1-U144)*D143*C$2/12, (1-U144)*D143*C$2/12)))</f>
        <v>#DIV/0!</v>
      </c>
      <c r="J144" s="52" t="e">
        <f>IF(AND($B144&lt;=$C$4,C$7="Y"),0,IF(AND(C$7="N",C$4&gt;0,B144&lt;=C$4),0,H144-I144))</f>
        <v>#DIV/0!</v>
      </c>
      <c r="K144" s="51" t="e">
        <f>IF(AND(C$7="Y",$B144&lt;=$C$4),0,IF(AND(C$7="N",C$4&gt;0,B144&lt;=C$4),0,S144*(C144-J144)))</f>
        <v>#DIV/0!</v>
      </c>
      <c r="L144" s="49" t="e">
        <f>IF(AND(C$7="Y",$B144&lt;=$C$4),0,IF(AND(C$7="N",C$4&gt;0,B144&lt;=C$4),0,U144*D143))</f>
        <v>#DIV/0!</v>
      </c>
      <c r="M144" s="49">
        <f t="shared" si="30"/>
        <v>0</v>
      </c>
      <c r="N144" s="49">
        <f t="shared" si="29"/>
        <v>0</v>
      </c>
      <c r="O144" s="48" t="e">
        <f>K144+I144+J144-L144+N144+G144</f>
        <v>#DIV/0!</v>
      </c>
      <c r="P144" s="38" t="e">
        <f>O144*(1/((1+P$12)^(B144/12)))</f>
        <v>#DIV/0!</v>
      </c>
      <c r="Q144" s="53"/>
      <c r="R144" s="53">
        <f t="shared" ref="R144:R207" si="35">R$12</f>
        <v>0</v>
      </c>
      <c r="S144" s="53">
        <f t="shared" ref="S144:S207" si="36">1-(1-R144)^(1/12)</f>
        <v>0</v>
      </c>
      <c r="T144" s="53">
        <f t="shared" ref="T144:T207" si="37">T$12</f>
        <v>0.05</v>
      </c>
      <c r="U144" s="53">
        <f t="shared" si="27"/>
        <v>4.2653187775606449E-3</v>
      </c>
    </row>
    <row r="145" spans="1:21" x14ac:dyDescent="0.2">
      <c r="A145" s="62" t="e">
        <f t="shared" si="31"/>
        <v>#DIV/0!</v>
      </c>
      <c r="B145" s="45">
        <f t="shared" si="32"/>
        <v>131</v>
      </c>
      <c r="C145" s="51" t="e">
        <f>IF(B145&lt;C$4,C$1,D144-L145+N145)</f>
        <v>#DIV/0!</v>
      </c>
      <c r="D145" s="47" t="e" cm="1">
        <f t="array" ref="D145">_xlfn.IFS(AND($C$7="Y",B145&lt;C$4),C145,AND($C$7="Y",B145=C$4),D144+F145-J145-K145-L145+N145,AND($C$7="Y",B145&gt;$C$4),D144-J145-K145-L145+N145, TRUE, D144-J145-K145-L145+N145)</f>
        <v>#DIV/0!</v>
      </c>
      <c r="E145" s="48">
        <f t="shared" si="33"/>
        <v>0</v>
      </c>
      <c r="F145" s="50">
        <f t="shared" si="34"/>
        <v>0</v>
      </c>
      <c r="G145" s="50">
        <f t="shared" si="28"/>
        <v>0</v>
      </c>
      <c r="H145" s="51" t="e">
        <f>IF(AND($B145&lt;=$C$4,C$7="Y"),0,IF(AND(C$7="N",C$4&gt;0,B145&lt;=C$4),0,(D144-L145+N145)*C$2/12/(1-(1/(1+C$2/12))^(C$3+C$4-B145+1))))</f>
        <v>#DIV/0!</v>
      </c>
      <c r="I145" s="52" t="e">
        <f>IF(AND(C$7="Y",$B145&lt;=C$4),0,IF(AND(C$7="Y",$B145&gt;C$4),(1-U145)*C$2*D144/12,IF(AND($C$7="N",C$4&gt;0),(1-U145)*D144*C$2/12, (1-U145)*D144*C$2/12)))</f>
        <v>#DIV/0!</v>
      </c>
      <c r="J145" s="52" t="e">
        <f>IF(AND($B145&lt;=$C$4,C$7="Y"),0,IF(AND(C$7="N",C$4&gt;0,B145&lt;=C$4),0,H145-I145))</f>
        <v>#DIV/0!</v>
      </c>
      <c r="K145" s="51" t="e">
        <f>IF(AND(C$7="Y",$B145&lt;=$C$4),0,IF(AND(C$7="N",C$4&gt;0,B145&lt;=C$4),0,S145*(C145-J145)))</f>
        <v>#DIV/0!</v>
      </c>
      <c r="L145" s="49" t="e">
        <f>IF(AND(C$7="Y",$B145&lt;=$C$4),0,IF(AND(C$7="N",C$4&gt;0,B145&lt;=C$4),0,U145*D144))</f>
        <v>#DIV/0!</v>
      </c>
      <c r="M145" s="49">
        <f t="shared" si="30"/>
        <v>0</v>
      </c>
      <c r="N145" s="49">
        <f t="shared" si="29"/>
        <v>0</v>
      </c>
      <c r="O145" s="48" t="e">
        <f>K145+I145+J145-L145+N145+G145</f>
        <v>#DIV/0!</v>
      </c>
      <c r="P145" s="38" t="e">
        <f>O145*(1/((1+P$12)^(B145/12)))</f>
        <v>#DIV/0!</v>
      </c>
      <c r="Q145" s="53"/>
      <c r="R145" s="53">
        <f t="shared" si="35"/>
        <v>0</v>
      </c>
      <c r="S145" s="53">
        <f t="shared" si="36"/>
        <v>0</v>
      </c>
      <c r="T145" s="53">
        <f t="shared" si="37"/>
        <v>0.05</v>
      </c>
      <c r="U145" s="53">
        <f t="shared" ref="U145:U208" si="38">1-(1-T145)^(1/12)</f>
        <v>4.2653187775606449E-3</v>
      </c>
    </row>
    <row r="146" spans="1:21" x14ac:dyDescent="0.2">
      <c r="A146" s="62" t="e">
        <f t="shared" si="31"/>
        <v>#DIV/0!</v>
      </c>
      <c r="B146" s="45">
        <f t="shared" si="32"/>
        <v>132</v>
      </c>
      <c r="C146" s="51" t="e">
        <f>IF(B146&lt;C$4,C$1,D145-L146+N146)</f>
        <v>#DIV/0!</v>
      </c>
      <c r="D146" s="47" t="e" cm="1">
        <f t="array" ref="D146">_xlfn.IFS(AND($C$7="Y",B146&lt;C$4),C146,AND($C$7="Y",B146=C$4),D145+F146-J146-K146-L146+N146,AND($C$7="Y",B146&gt;$C$4),D145-J146-K146-L146+N146, TRUE, D145-J146-K146-L146+N146)</f>
        <v>#DIV/0!</v>
      </c>
      <c r="E146" s="48">
        <f t="shared" si="33"/>
        <v>0</v>
      </c>
      <c r="F146" s="50">
        <f t="shared" si="34"/>
        <v>0</v>
      </c>
      <c r="G146" s="50">
        <f t="shared" ref="G146:G209" si="39">IF($B146&lt;=$C$4,C$6,0)</f>
        <v>0</v>
      </c>
      <c r="H146" s="51" t="e">
        <f>IF(AND($B146&lt;=$C$4,C$7="Y"),0,IF(AND(C$7="N",C$4&gt;0,B146&lt;=C$4),0,(D145-L146+N146)*C$2/12/(1-(1/(1+C$2/12))^(C$3+C$4-B146+1))))</f>
        <v>#DIV/0!</v>
      </c>
      <c r="I146" s="52" t="e">
        <f>IF(AND(C$7="Y",$B146&lt;=C$4),0,IF(AND(C$7="Y",$B146&gt;C$4),(1-U146)*C$2*D145/12,IF(AND($C$7="N",C$4&gt;0),(1-U146)*D145*C$2/12, (1-U146)*D145*C$2/12)))</f>
        <v>#DIV/0!</v>
      </c>
      <c r="J146" s="52" t="e">
        <f>IF(AND($B146&lt;=$C$4,C$7="Y"),0,IF(AND(C$7="N",C$4&gt;0,B146&lt;=C$4),0,H146-I146))</f>
        <v>#DIV/0!</v>
      </c>
      <c r="K146" s="51" t="e">
        <f>IF(AND(C$7="Y",$B146&lt;=$C$4),0,IF(AND(C$7="N",C$4&gt;0,B146&lt;=C$4),0,S146*(C146-J146)))</f>
        <v>#DIV/0!</v>
      </c>
      <c r="L146" s="49" t="e">
        <f>IF(AND(C$7="Y",$B146&lt;=$C$4),0,IF(AND(C$7="N",C$4&gt;0,B146&lt;=C$4),0,U146*D145))</f>
        <v>#DIV/0!</v>
      </c>
      <c r="M146" s="49">
        <f t="shared" si="30"/>
        <v>0</v>
      </c>
      <c r="N146" s="49">
        <f t="shared" si="29"/>
        <v>0</v>
      </c>
      <c r="O146" s="48" t="e">
        <f>K146+I146+J146-L146+N146+G146</f>
        <v>#DIV/0!</v>
      </c>
      <c r="P146" s="38" t="e">
        <f>O146*(1/((1+P$12)^(B146/12)))</f>
        <v>#DIV/0!</v>
      </c>
      <c r="Q146" s="53"/>
      <c r="R146" s="53">
        <f t="shared" si="35"/>
        <v>0</v>
      </c>
      <c r="S146" s="53">
        <f t="shared" si="36"/>
        <v>0</v>
      </c>
      <c r="T146" s="53">
        <f t="shared" si="37"/>
        <v>0.05</v>
      </c>
      <c r="U146" s="53">
        <f t="shared" si="38"/>
        <v>4.2653187775606449E-3</v>
      </c>
    </row>
    <row r="147" spans="1:21" x14ac:dyDescent="0.2">
      <c r="A147" s="62" t="e">
        <f t="shared" si="31"/>
        <v>#DIV/0!</v>
      </c>
      <c r="B147" s="45">
        <f t="shared" si="32"/>
        <v>133</v>
      </c>
      <c r="C147" s="51" t="e">
        <f>IF(B147&lt;C$4,C$1,D146-L147+N147)</f>
        <v>#DIV/0!</v>
      </c>
      <c r="D147" s="47" t="e" cm="1">
        <f t="array" ref="D147">_xlfn.IFS(AND($C$7="Y",B147&lt;C$4),C147,AND($C$7="Y",B147=C$4),D146+F147-J147-K147-L147+N147,AND($C$7="Y",B147&gt;$C$4),D146-J147-K147-L147+N147, TRUE, D146-J147-K147-L147+N147)</f>
        <v>#DIV/0!</v>
      </c>
      <c r="E147" s="48">
        <f t="shared" si="33"/>
        <v>0</v>
      </c>
      <c r="F147" s="50">
        <f t="shared" si="34"/>
        <v>0</v>
      </c>
      <c r="G147" s="50">
        <f t="shared" si="39"/>
        <v>0</v>
      </c>
      <c r="H147" s="51" t="e">
        <f>IF(AND($B147&lt;=$C$4,C$7="Y"),0,IF(AND(C$7="N",C$4&gt;0,B147&lt;=C$4),0,(D146-L147+N147)*C$2/12/(1-(1/(1+C$2/12))^(C$3+C$4-B147+1))))</f>
        <v>#DIV/0!</v>
      </c>
      <c r="I147" s="52" t="e">
        <f>IF(AND(C$7="Y",$B147&lt;=C$4),0,IF(AND(C$7="Y",$B147&gt;C$4),(1-U147)*C$2*D146/12,IF(AND($C$7="N",C$4&gt;0),(1-U147)*D146*C$2/12, (1-U147)*D146*C$2/12)))</f>
        <v>#DIV/0!</v>
      </c>
      <c r="J147" s="52" t="e">
        <f>IF(AND($B147&lt;=$C$4,C$7="Y"),0,IF(AND(C$7="N",C$4&gt;0,B147&lt;=C$4),0,H147-I147))</f>
        <v>#DIV/0!</v>
      </c>
      <c r="K147" s="51" t="e">
        <f>IF(AND(C$7="Y",$B147&lt;=$C$4),0,IF(AND(C$7="N",C$4&gt;0,B147&lt;=C$4),0,S147*(C147-J147)))</f>
        <v>#DIV/0!</v>
      </c>
      <c r="L147" s="49" t="e">
        <f>IF(AND(C$7="Y",$B147&lt;=$C$4),0,IF(AND(C$7="N",C$4&gt;0,B147&lt;=C$4),0,U147*D146))</f>
        <v>#DIV/0!</v>
      </c>
      <c r="M147" s="49">
        <f t="shared" si="30"/>
        <v>0</v>
      </c>
      <c r="N147" s="49">
        <f t="shared" si="29"/>
        <v>0</v>
      </c>
      <c r="O147" s="48" t="e">
        <f>K147+I147+J147-L147+N147+G147</f>
        <v>#DIV/0!</v>
      </c>
      <c r="P147" s="38" t="e">
        <f>O147*(1/((1+P$12)^(B147/12)))</f>
        <v>#DIV/0!</v>
      </c>
      <c r="Q147" s="53"/>
      <c r="R147" s="53">
        <f t="shared" si="35"/>
        <v>0</v>
      </c>
      <c r="S147" s="53">
        <f t="shared" si="36"/>
        <v>0</v>
      </c>
      <c r="T147" s="53">
        <f t="shared" si="37"/>
        <v>0.05</v>
      </c>
      <c r="U147" s="53">
        <f t="shared" si="38"/>
        <v>4.2653187775606449E-3</v>
      </c>
    </row>
    <row r="148" spans="1:21" x14ac:dyDescent="0.2">
      <c r="A148" s="62" t="e">
        <f t="shared" si="31"/>
        <v>#DIV/0!</v>
      </c>
      <c r="B148" s="45">
        <f t="shared" si="32"/>
        <v>134</v>
      </c>
      <c r="C148" s="51" t="e">
        <f>IF(B148&lt;C$4,C$1,D147-L148+N148)</f>
        <v>#DIV/0!</v>
      </c>
      <c r="D148" s="47" t="e" cm="1">
        <f t="array" ref="D148">_xlfn.IFS(AND($C$7="Y",B148&lt;C$4),C148,AND($C$7="Y",B148=C$4),D147+F148-J148-K148-L148+N148,AND($C$7="Y",B148&gt;$C$4),D147-J148-K148-L148+N148, TRUE, D147-J148-K148-L148+N148)</f>
        <v>#DIV/0!</v>
      </c>
      <c r="E148" s="48">
        <f t="shared" si="33"/>
        <v>0</v>
      </c>
      <c r="F148" s="50">
        <f t="shared" si="34"/>
        <v>0</v>
      </c>
      <c r="G148" s="50">
        <f t="shared" si="39"/>
        <v>0</v>
      </c>
      <c r="H148" s="51" t="e">
        <f>IF(AND($B148&lt;=$C$4,C$7="Y"),0,IF(AND(C$7="N",C$4&gt;0,B148&lt;=C$4),0,(D147-L148+N148)*C$2/12/(1-(1/(1+C$2/12))^(C$3+C$4-B148+1))))</f>
        <v>#DIV/0!</v>
      </c>
      <c r="I148" s="52" t="e">
        <f>IF(AND(C$7="Y",$B148&lt;=C$4),0,IF(AND(C$7="Y",$B148&gt;C$4),(1-U148)*C$2*D147/12,IF(AND($C$7="N",C$4&gt;0),(1-U148)*D147*C$2/12, (1-U148)*D147*C$2/12)))</f>
        <v>#DIV/0!</v>
      </c>
      <c r="J148" s="52" t="e">
        <f>IF(AND($B148&lt;=$C$4,C$7="Y"),0,IF(AND(C$7="N",C$4&gt;0,B148&lt;=C$4),0,H148-I148))</f>
        <v>#DIV/0!</v>
      </c>
      <c r="K148" s="51" t="e">
        <f>IF(AND(C$7="Y",$B148&lt;=$C$4),0,IF(AND(C$7="N",C$4&gt;0,B148&lt;=C$4),0,S148*(C148-J148)))</f>
        <v>#DIV/0!</v>
      </c>
      <c r="L148" s="49" t="e">
        <f>IF(AND(C$7="Y",$B148&lt;=$C$4),0,IF(AND(C$7="N",C$4&gt;0,B148&lt;=C$4),0,U148*D147))</f>
        <v>#DIV/0!</v>
      </c>
      <c r="M148" s="49">
        <f t="shared" si="30"/>
        <v>0</v>
      </c>
      <c r="N148" s="49">
        <f t="shared" si="29"/>
        <v>0</v>
      </c>
      <c r="O148" s="48" t="e">
        <f>K148+I148+J148-L148+N148+G148</f>
        <v>#DIV/0!</v>
      </c>
      <c r="P148" s="38" t="e">
        <f>O148*(1/((1+P$12)^(B148/12)))</f>
        <v>#DIV/0!</v>
      </c>
      <c r="Q148" s="53"/>
      <c r="R148" s="53">
        <f t="shared" si="35"/>
        <v>0</v>
      </c>
      <c r="S148" s="53">
        <f t="shared" si="36"/>
        <v>0</v>
      </c>
      <c r="T148" s="53">
        <f t="shared" si="37"/>
        <v>0.05</v>
      </c>
      <c r="U148" s="53">
        <f t="shared" si="38"/>
        <v>4.2653187775606449E-3</v>
      </c>
    </row>
    <row r="149" spans="1:21" x14ac:dyDescent="0.2">
      <c r="A149" s="62" t="e">
        <f t="shared" si="31"/>
        <v>#DIV/0!</v>
      </c>
      <c r="B149" s="45">
        <f t="shared" si="32"/>
        <v>135</v>
      </c>
      <c r="C149" s="51" t="e">
        <f>IF(B149&lt;C$4,C$1,D148-L149+N149)</f>
        <v>#DIV/0!</v>
      </c>
      <c r="D149" s="47" t="e" cm="1">
        <f t="array" ref="D149">_xlfn.IFS(AND($C$7="Y",B149&lt;C$4),C149,AND($C$7="Y",B149=C$4),D148+F149-J149-K149-L149+N149,AND($C$7="Y",B149&gt;$C$4),D148-J149-K149-L149+N149, TRUE, D148-J149-K149-L149+N149)</f>
        <v>#DIV/0!</v>
      </c>
      <c r="E149" s="48">
        <f t="shared" si="33"/>
        <v>0</v>
      </c>
      <c r="F149" s="50">
        <f t="shared" si="34"/>
        <v>0</v>
      </c>
      <c r="G149" s="50">
        <f t="shared" si="39"/>
        <v>0</v>
      </c>
      <c r="H149" s="51" t="e">
        <f>IF(AND($B149&lt;=$C$4,C$7="Y"),0,IF(AND(C$7="N",C$4&gt;0,B149&lt;=C$4),0,(D148-L149+N149)*C$2/12/(1-(1/(1+C$2/12))^(C$3+C$4-B149+1))))</f>
        <v>#DIV/0!</v>
      </c>
      <c r="I149" s="52" t="e">
        <f>IF(AND(C$7="Y",$B149&lt;=C$4),0,IF(AND(C$7="Y",$B149&gt;C$4),(1-U149)*C$2*D148/12,IF(AND($C$7="N",C$4&gt;0),(1-U149)*D148*C$2/12, (1-U149)*D148*C$2/12)))</f>
        <v>#DIV/0!</v>
      </c>
      <c r="J149" s="52" t="e">
        <f>IF(AND($B149&lt;=$C$4,C$7="Y"),0,IF(AND(C$7="N",C$4&gt;0,B149&lt;=C$4),0,H149-I149))</f>
        <v>#DIV/0!</v>
      </c>
      <c r="K149" s="51" t="e">
        <f>IF(AND(C$7="Y",$B149&lt;=$C$4),0,IF(AND(C$7="N",C$4&gt;0,B149&lt;=C$4),0,S149*(C149-J149)))</f>
        <v>#DIV/0!</v>
      </c>
      <c r="L149" s="49" t="e">
        <f>IF(AND(C$7="Y",$B149&lt;=$C$4),0,IF(AND(C$7="N",C$4&gt;0,B149&lt;=C$4),0,U149*D148))</f>
        <v>#DIV/0!</v>
      </c>
      <c r="M149" s="49">
        <f t="shared" si="30"/>
        <v>0</v>
      </c>
      <c r="N149" s="49">
        <f t="shared" si="29"/>
        <v>0</v>
      </c>
      <c r="O149" s="48" t="e">
        <f>K149+I149+J149-L149+N149+G149</f>
        <v>#DIV/0!</v>
      </c>
      <c r="P149" s="38" t="e">
        <f>O149*(1/((1+P$12)^(B149/12)))</f>
        <v>#DIV/0!</v>
      </c>
      <c r="Q149" s="53"/>
      <c r="R149" s="53">
        <f t="shared" si="35"/>
        <v>0</v>
      </c>
      <c r="S149" s="53">
        <f t="shared" si="36"/>
        <v>0</v>
      </c>
      <c r="T149" s="53">
        <f t="shared" si="37"/>
        <v>0.05</v>
      </c>
      <c r="U149" s="53">
        <f t="shared" si="38"/>
        <v>4.2653187775606449E-3</v>
      </c>
    </row>
    <row r="150" spans="1:21" x14ac:dyDescent="0.2">
      <c r="A150" s="62" t="e">
        <f t="shared" si="31"/>
        <v>#DIV/0!</v>
      </c>
      <c r="B150" s="45">
        <f t="shared" si="32"/>
        <v>136</v>
      </c>
      <c r="C150" s="51" t="e">
        <f>IF(B150&lt;C$4,C$1,D149-L150+N150)</f>
        <v>#DIV/0!</v>
      </c>
      <c r="D150" s="47" t="e" cm="1">
        <f t="array" ref="D150">_xlfn.IFS(AND($C$7="Y",B150&lt;C$4),C150,AND($C$7="Y",B150=C$4),D149+F150-J150-K150-L150+N150,AND($C$7="Y",B150&gt;$C$4),D149-J150-K150-L150+N150, TRUE, D149-J150-K150-L150+N150)</f>
        <v>#DIV/0!</v>
      </c>
      <c r="E150" s="48">
        <f t="shared" si="33"/>
        <v>0</v>
      </c>
      <c r="F150" s="50">
        <f t="shared" si="34"/>
        <v>0</v>
      </c>
      <c r="G150" s="50">
        <f t="shared" si="39"/>
        <v>0</v>
      </c>
      <c r="H150" s="51" t="e">
        <f>IF(AND($B150&lt;=$C$4,C$7="Y"),0,IF(AND(C$7="N",C$4&gt;0,B150&lt;=C$4),0,(D149-L150+N150)*C$2/12/(1-(1/(1+C$2/12))^(C$3+C$4-B150+1))))</f>
        <v>#DIV/0!</v>
      </c>
      <c r="I150" s="52" t="e">
        <f>IF(AND(C$7="Y",$B150&lt;=C$4),0,IF(AND(C$7="Y",$B150&gt;C$4),(1-U150)*C$2*D149/12,IF(AND($C$7="N",C$4&gt;0),(1-U150)*D149*C$2/12, (1-U150)*D149*C$2/12)))</f>
        <v>#DIV/0!</v>
      </c>
      <c r="J150" s="52" t="e">
        <f>IF(AND($B150&lt;=$C$4,C$7="Y"),0,IF(AND(C$7="N",C$4&gt;0,B150&lt;=C$4),0,H150-I150))</f>
        <v>#DIV/0!</v>
      </c>
      <c r="K150" s="51" t="e">
        <f>IF(AND(C$7="Y",$B150&lt;=$C$4),0,IF(AND(C$7="N",C$4&gt;0,B150&lt;=C$4),0,S150*(C150-J150)))</f>
        <v>#DIV/0!</v>
      </c>
      <c r="L150" s="49" t="e">
        <f>IF(AND(C$7="Y",$B150&lt;=$C$4),0,IF(AND(C$7="N",C$4&gt;0,B150&lt;=C$4),0,U150*D149))</f>
        <v>#DIV/0!</v>
      </c>
      <c r="M150" s="49">
        <f t="shared" si="30"/>
        <v>0</v>
      </c>
      <c r="N150" s="49">
        <f t="shared" si="29"/>
        <v>0</v>
      </c>
      <c r="O150" s="48" t="e">
        <f>K150+I150+J150-L150+N150+G150</f>
        <v>#DIV/0!</v>
      </c>
      <c r="P150" s="38" t="e">
        <f>O150*(1/((1+P$12)^(B150/12)))</f>
        <v>#DIV/0!</v>
      </c>
      <c r="Q150" s="53"/>
      <c r="R150" s="53">
        <f t="shared" si="35"/>
        <v>0</v>
      </c>
      <c r="S150" s="53">
        <f t="shared" si="36"/>
        <v>0</v>
      </c>
      <c r="T150" s="53">
        <f t="shared" si="37"/>
        <v>0.05</v>
      </c>
      <c r="U150" s="53">
        <f t="shared" si="38"/>
        <v>4.2653187775606449E-3</v>
      </c>
    </row>
    <row r="151" spans="1:21" x14ac:dyDescent="0.2">
      <c r="A151" s="62" t="e">
        <f t="shared" si="31"/>
        <v>#DIV/0!</v>
      </c>
      <c r="B151" s="45">
        <f t="shared" si="32"/>
        <v>137</v>
      </c>
      <c r="C151" s="51" t="e">
        <f>IF(B151&lt;C$4,C$1,D150-L151+N151)</f>
        <v>#DIV/0!</v>
      </c>
      <c r="D151" s="47" t="e" cm="1">
        <f t="array" ref="D151">_xlfn.IFS(AND($C$7="Y",B151&lt;C$4),C151,AND($C$7="Y",B151=C$4),D150+F151-J151-K151-L151+N151,AND($C$7="Y",B151&gt;$C$4),D150-J151-K151-L151+N151, TRUE, D150-J151-K151-L151+N151)</f>
        <v>#DIV/0!</v>
      </c>
      <c r="E151" s="48">
        <f t="shared" si="33"/>
        <v>0</v>
      </c>
      <c r="F151" s="50">
        <f t="shared" si="34"/>
        <v>0</v>
      </c>
      <c r="G151" s="50">
        <f t="shared" si="39"/>
        <v>0</v>
      </c>
      <c r="H151" s="51" t="e">
        <f>IF(AND($B151&lt;=$C$4,C$7="Y"),0,IF(AND(C$7="N",C$4&gt;0,B151&lt;=C$4),0,(D150-L151+N151)*C$2/12/(1-(1/(1+C$2/12))^(C$3+C$4-B151+1))))</f>
        <v>#DIV/0!</v>
      </c>
      <c r="I151" s="52" t="e">
        <f>IF(AND(C$7="Y",$B151&lt;=C$4),0,IF(AND(C$7="Y",$B151&gt;C$4),(1-U151)*C$2*D150/12,IF(AND($C$7="N",C$4&gt;0),(1-U151)*D150*C$2/12, (1-U151)*D150*C$2/12)))</f>
        <v>#DIV/0!</v>
      </c>
      <c r="J151" s="52" t="e">
        <f>IF(AND($B151&lt;=$C$4,C$7="Y"),0,IF(AND(C$7="N",C$4&gt;0,B151&lt;=C$4),0,H151-I151))</f>
        <v>#DIV/0!</v>
      </c>
      <c r="K151" s="51" t="e">
        <f>IF(AND(C$7="Y",$B151&lt;=$C$4),0,IF(AND(C$7="N",C$4&gt;0,B151&lt;=C$4),0,S151*(C151-J151)))</f>
        <v>#DIV/0!</v>
      </c>
      <c r="L151" s="49" t="e">
        <f>IF(AND(C$7="Y",$B151&lt;=$C$4),0,IF(AND(C$7="N",C$4&gt;0,B151&lt;=C$4),0,U151*D150))</f>
        <v>#DIV/0!</v>
      </c>
      <c r="M151" s="49">
        <f t="shared" si="30"/>
        <v>0</v>
      </c>
      <c r="N151" s="49">
        <f t="shared" si="29"/>
        <v>0</v>
      </c>
      <c r="O151" s="48" t="e">
        <f>K151+I151+J151-L151+N151+G151</f>
        <v>#DIV/0!</v>
      </c>
      <c r="P151" s="38" t="e">
        <f>O151*(1/((1+P$12)^(B151/12)))</f>
        <v>#DIV/0!</v>
      </c>
      <c r="Q151" s="53"/>
      <c r="R151" s="53">
        <f t="shared" si="35"/>
        <v>0</v>
      </c>
      <c r="S151" s="53">
        <f t="shared" si="36"/>
        <v>0</v>
      </c>
      <c r="T151" s="53">
        <f t="shared" si="37"/>
        <v>0.05</v>
      </c>
      <c r="U151" s="53">
        <f t="shared" si="38"/>
        <v>4.2653187775606449E-3</v>
      </c>
    </row>
    <row r="152" spans="1:21" x14ac:dyDescent="0.2">
      <c r="A152" s="62" t="e">
        <f t="shared" si="31"/>
        <v>#DIV/0!</v>
      </c>
      <c r="B152" s="45">
        <f t="shared" si="32"/>
        <v>138</v>
      </c>
      <c r="C152" s="51" t="e">
        <f>IF(B152&lt;C$4,C$1,D151-L152+N152)</f>
        <v>#DIV/0!</v>
      </c>
      <c r="D152" s="47" t="e" cm="1">
        <f t="array" ref="D152">_xlfn.IFS(AND($C$7="Y",B152&lt;C$4),C152,AND($C$7="Y",B152=C$4),D151+F152-J152-K152-L152+N152,AND($C$7="Y",B152&gt;$C$4),D151-J152-K152-L152+N152, TRUE, D151-J152-K152-L152+N152)</f>
        <v>#DIV/0!</v>
      </c>
      <c r="E152" s="48">
        <f t="shared" si="33"/>
        <v>0</v>
      </c>
      <c r="F152" s="50">
        <f t="shared" si="34"/>
        <v>0</v>
      </c>
      <c r="G152" s="50">
        <f t="shared" si="39"/>
        <v>0</v>
      </c>
      <c r="H152" s="51" t="e">
        <f>IF(AND($B152&lt;=$C$4,C$7="Y"),0,IF(AND(C$7="N",C$4&gt;0,B152&lt;=C$4),0,(D151-L152+N152)*C$2/12/(1-(1/(1+C$2/12))^(C$3+C$4-B152+1))))</f>
        <v>#DIV/0!</v>
      </c>
      <c r="I152" s="52" t="e">
        <f>IF(AND(C$7="Y",$B152&lt;=C$4),0,IF(AND(C$7="Y",$B152&gt;C$4),(1-U152)*C$2*D151/12,IF(AND($C$7="N",C$4&gt;0),(1-U152)*D151*C$2/12, (1-U152)*D151*C$2/12)))</f>
        <v>#DIV/0!</v>
      </c>
      <c r="J152" s="52" t="e">
        <f>IF(AND($B152&lt;=$C$4,C$7="Y"),0,IF(AND(C$7="N",C$4&gt;0,B152&lt;=C$4),0,H152-I152))</f>
        <v>#DIV/0!</v>
      </c>
      <c r="K152" s="51" t="e">
        <f>IF(AND(C$7="Y",$B152&lt;=$C$4),0,IF(AND(C$7="N",C$4&gt;0,B152&lt;=C$4),0,S152*(C152-J152)))</f>
        <v>#DIV/0!</v>
      </c>
      <c r="L152" s="49" t="e">
        <f>IF(AND(C$7="Y",$B152&lt;=$C$4),0,IF(AND(C$7="N",C$4&gt;0,B152&lt;=C$4),0,U152*D151))</f>
        <v>#DIV/0!</v>
      </c>
      <c r="M152" s="49">
        <f t="shared" si="30"/>
        <v>0</v>
      </c>
      <c r="N152" s="49">
        <f t="shared" si="29"/>
        <v>0</v>
      </c>
      <c r="O152" s="48" t="e">
        <f>K152+I152+J152-L152+N152+G152</f>
        <v>#DIV/0!</v>
      </c>
      <c r="P152" s="38" t="e">
        <f>O152*(1/((1+P$12)^(B152/12)))</f>
        <v>#DIV/0!</v>
      </c>
      <c r="Q152" s="53"/>
      <c r="R152" s="53">
        <f t="shared" si="35"/>
        <v>0</v>
      </c>
      <c r="S152" s="53">
        <f t="shared" si="36"/>
        <v>0</v>
      </c>
      <c r="T152" s="53">
        <f t="shared" si="37"/>
        <v>0.05</v>
      </c>
      <c r="U152" s="53">
        <f t="shared" si="38"/>
        <v>4.2653187775606449E-3</v>
      </c>
    </row>
    <row r="153" spans="1:21" x14ac:dyDescent="0.2">
      <c r="A153" s="62" t="e">
        <f t="shared" si="31"/>
        <v>#DIV/0!</v>
      </c>
      <c r="B153" s="45">
        <f t="shared" si="32"/>
        <v>139</v>
      </c>
      <c r="C153" s="51" t="e">
        <f>IF(B153&lt;C$4,C$1,D152-L153+N153)</f>
        <v>#DIV/0!</v>
      </c>
      <c r="D153" s="47" t="e" cm="1">
        <f t="array" ref="D153">_xlfn.IFS(AND($C$7="Y",B153&lt;C$4),C153,AND($C$7="Y",B153=C$4),D152+F153-J153-K153-L153+N153,AND($C$7="Y",B153&gt;$C$4),D152-J153-K153-L153+N153, TRUE, D152-J153-K153-L153+N153)</f>
        <v>#DIV/0!</v>
      </c>
      <c r="E153" s="48">
        <f t="shared" si="33"/>
        <v>0</v>
      </c>
      <c r="F153" s="50">
        <f t="shared" si="34"/>
        <v>0</v>
      </c>
      <c r="G153" s="50">
        <f t="shared" si="39"/>
        <v>0</v>
      </c>
      <c r="H153" s="51" t="e">
        <f>IF(AND($B153&lt;=$C$4,C$7="Y"),0,IF(AND(C$7="N",C$4&gt;0,B153&lt;=C$4),0,(D152-L153+N153)*C$2/12/(1-(1/(1+C$2/12))^(C$3+C$4-B153+1))))</f>
        <v>#DIV/0!</v>
      </c>
      <c r="I153" s="52" t="e">
        <f>IF(AND(C$7="Y",$B153&lt;=C$4),0,IF(AND(C$7="Y",$B153&gt;C$4),(1-U153)*C$2*D152/12,IF(AND($C$7="N",C$4&gt;0),(1-U153)*D152*C$2/12, (1-U153)*D152*C$2/12)))</f>
        <v>#DIV/0!</v>
      </c>
      <c r="J153" s="52" t="e">
        <f>IF(AND($B153&lt;=$C$4,C$7="Y"),0,IF(AND(C$7="N",C$4&gt;0,B153&lt;=C$4),0,H153-I153))</f>
        <v>#DIV/0!</v>
      </c>
      <c r="K153" s="51" t="e">
        <f>IF(AND(C$7="Y",$B153&lt;=$C$4),0,IF(AND(C$7="N",C$4&gt;0,B153&lt;=C$4),0,S153*(C153-J153)))</f>
        <v>#DIV/0!</v>
      </c>
      <c r="L153" s="49" t="e">
        <f>IF(AND(C$7="Y",$B153&lt;=$C$4),0,IF(AND(C$7="N",C$4&gt;0,B153&lt;=C$4),0,U153*D152))</f>
        <v>#DIV/0!</v>
      </c>
      <c r="M153" s="49">
        <f t="shared" si="30"/>
        <v>0</v>
      </c>
      <c r="N153" s="49">
        <f t="shared" si="29"/>
        <v>0</v>
      </c>
      <c r="O153" s="48" t="e">
        <f>K153+I153+J153-L153+N153+G153</f>
        <v>#DIV/0!</v>
      </c>
      <c r="P153" s="38" t="e">
        <f>O153*(1/((1+P$12)^(B153/12)))</f>
        <v>#DIV/0!</v>
      </c>
      <c r="Q153" s="53"/>
      <c r="R153" s="53">
        <f t="shared" si="35"/>
        <v>0</v>
      </c>
      <c r="S153" s="53">
        <f t="shared" si="36"/>
        <v>0</v>
      </c>
      <c r="T153" s="53">
        <f t="shared" si="37"/>
        <v>0.05</v>
      </c>
      <c r="U153" s="53">
        <f t="shared" si="38"/>
        <v>4.2653187775606449E-3</v>
      </c>
    </row>
    <row r="154" spans="1:21" x14ac:dyDescent="0.2">
      <c r="A154" s="62" t="e">
        <f t="shared" si="31"/>
        <v>#DIV/0!</v>
      </c>
      <c r="B154" s="45">
        <f t="shared" si="32"/>
        <v>140</v>
      </c>
      <c r="C154" s="51" t="e">
        <f>IF(B154&lt;C$4,C$1,D153-L154+N154)</f>
        <v>#DIV/0!</v>
      </c>
      <c r="D154" s="47" t="e" cm="1">
        <f t="array" ref="D154">_xlfn.IFS(AND($C$7="Y",B154&lt;C$4),C154,AND($C$7="Y",B154=C$4),D153+F154-J154-K154-L154+N154,AND($C$7="Y",B154&gt;$C$4),D153-J154-K154-L154+N154, TRUE, D153-J154-K154-L154+N154)</f>
        <v>#DIV/0!</v>
      </c>
      <c r="E154" s="48">
        <f t="shared" si="33"/>
        <v>0</v>
      </c>
      <c r="F154" s="50">
        <f t="shared" si="34"/>
        <v>0</v>
      </c>
      <c r="G154" s="50">
        <f t="shared" si="39"/>
        <v>0</v>
      </c>
      <c r="H154" s="51" t="e">
        <f>IF(AND($B154&lt;=$C$4,C$7="Y"),0,IF(AND(C$7="N",C$4&gt;0,B154&lt;=C$4),0,(D153-L154+N154)*C$2/12/(1-(1/(1+C$2/12))^(C$3+C$4-B154+1))))</f>
        <v>#DIV/0!</v>
      </c>
      <c r="I154" s="52" t="e">
        <f>IF(AND(C$7="Y",$B154&lt;=C$4),0,IF(AND(C$7="Y",$B154&gt;C$4),(1-U154)*C$2*D153/12,IF(AND($C$7="N",C$4&gt;0),(1-U154)*D153*C$2/12, (1-U154)*D153*C$2/12)))</f>
        <v>#DIV/0!</v>
      </c>
      <c r="J154" s="52" t="e">
        <f>IF(AND($B154&lt;=$C$4,C$7="Y"),0,IF(AND(C$7="N",C$4&gt;0,B154&lt;=C$4),0,H154-I154))</f>
        <v>#DIV/0!</v>
      </c>
      <c r="K154" s="51" t="e">
        <f>IF(AND(C$7="Y",$B154&lt;=$C$4),0,IF(AND(C$7="N",C$4&gt;0,B154&lt;=C$4),0,S154*(C154-J154)))</f>
        <v>#DIV/0!</v>
      </c>
      <c r="L154" s="49" t="e">
        <f>IF(AND(C$7="Y",$B154&lt;=$C$4),0,IF(AND(C$7="N",C$4&gt;0,B154&lt;=C$4),0,U154*D153))</f>
        <v>#DIV/0!</v>
      </c>
      <c r="M154" s="49">
        <f t="shared" si="30"/>
        <v>0</v>
      </c>
      <c r="N154" s="49">
        <f t="shared" si="29"/>
        <v>0</v>
      </c>
      <c r="O154" s="48" t="e">
        <f>K154+I154+J154-L154+N154+G154</f>
        <v>#DIV/0!</v>
      </c>
      <c r="P154" s="38" t="e">
        <f>O154*(1/((1+P$12)^(B154/12)))</f>
        <v>#DIV/0!</v>
      </c>
      <c r="Q154" s="53"/>
      <c r="R154" s="53">
        <f t="shared" si="35"/>
        <v>0</v>
      </c>
      <c r="S154" s="53">
        <f t="shared" si="36"/>
        <v>0</v>
      </c>
      <c r="T154" s="53">
        <f t="shared" si="37"/>
        <v>0.05</v>
      </c>
      <c r="U154" s="53">
        <f t="shared" si="38"/>
        <v>4.2653187775606449E-3</v>
      </c>
    </row>
    <row r="155" spans="1:21" x14ac:dyDescent="0.2">
      <c r="A155" s="62" t="e">
        <f t="shared" si="31"/>
        <v>#DIV/0!</v>
      </c>
      <c r="B155" s="45">
        <f t="shared" si="32"/>
        <v>141</v>
      </c>
      <c r="C155" s="51" t="e">
        <f>IF(B155&lt;C$4,C$1,D154-L155+N155)</f>
        <v>#DIV/0!</v>
      </c>
      <c r="D155" s="47" t="e" cm="1">
        <f t="array" ref="D155">_xlfn.IFS(AND($C$7="Y",B155&lt;C$4),C155,AND($C$7="Y",B155=C$4),D154+F155-J155-K155-L155+N155,AND($C$7="Y",B155&gt;$C$4),D154-J155-K155-L155+N155, TRUE, D154-J155-K155-L155+N155)</f>
        <v>#DIV/0!</v>
      </c>
      <c r="E155" s="48">
        <f t="shared" si="33"/>
        <v>0</v>
      </c>
      <c r="F155" s="50">
        <f t="shared" si="34"/>
        <v>0</v>
      </c>
      <c r="G155" s="50">
        <f t="shared" si="39"/>
        <v>0</v>
      </c>
      <c r="H155" s="51" t="e">
        <f>IF(AND($B155&lt;=$C$4,C$7="Y"),0,IF(AND(C$7="N",C$4&gt;0,B155&lt;=C$4),0,(D154-L155+N155)*C$2/12/(1-(1/(1+C$2/12))^(C$3+C$4-B155+1))))</f>
        <v>#DIV/0!</v>
      </c>
      <c r="I155" s="52" t="e">
        <f>IF(AND(C$7="Y",$B155&lt;=C$4),0,IF(AND(C$7="Y",$B155&gt;C$4),(1-U155)*C$2*D154/12,IF(AND($C$7="N",C$4&gt;0),(1-U155)*D154*C$2/12, (1-U155)*D154*C$2/12)))</f>
        <v>#DIV/0!</v>
      </c>
      <c r="J155" s="52" t="e">
        <f>IF(AND($B155&lt;=$C$4,C$7="Y"),0,IF(AND(C$7="N",C$4&gt;0,B155&lt;=C$4),0,H155-I155))</f>
        <v>#DIV/0!</v>
      </c>
      <c r="K155" s="51" t="e">
        <f>IF(AND(C$7="Y",$B155&lt;=$C$4),0,IF(AND(C$7="N",C$4&gt;0,B155&lt;=C$4),0,S155*(C155-J155)))</f>
        <v>#DIV/0!</v>
      </c>
      <c r="L155" s="49" t="e">
        <f>IF(AND(C$7="Y",$B155&lt;=$C$4),0,IF(AND(C$7="N",C$4&gt;0,B155&lt;=C$4),0,U155*D154))</f>
        <v>#DIV/0!</v>
      </c>
      <c r="M155" s="49">
        <f t="shared" si="30"/>
        <v>0</v>
      </c>
      <c r="N155" s="49">
        <f t="shared" si="29"/>
        <v>0</v>
      </c>
      <c r="O155" s="48" t="e">
        <f>K155+I155+J155-L155+N155+G155</f>
        <v>#DIV/0!</v>
      </c>
      <c r="P155" s="38" t="e">
        <f>O155*(1/((1+P$12)^(B155/12)))</f>
        <v>#DIV/0!</v>
      </c>
      <c r="Q155" s="53"/>
      <c r="R155" s="53">
        <f t="shared" si="35"/>
        <v>0</v>
      </c>
      <c r="S155" s="53">
        <f t="shared" si="36"/>
        <v>0</v>
      </c>
      <c r="T155" s="53">
        <f t="shared" si="37"/>
        <v>0.05</v>
      </c>
      <c r="U155" s="53">
        <f t="shared" si="38"/>
        <v>4.2653187775606449E-3</v>
      </c>
    </row>
    <row r="156" spans="1:21" x14ac:dyDescent="0.2">
      <c r="A156" s="62" t="e">
        <f t="shared" si="31"/>
        <v>#DIV/0!</v>
      </c>
      <c r="B156" s="45">
        <f t="shared" si="32"/>
        <v>142</v>
      </c>
      <c r="C156" s="51" t="e">
        <f>IF(B156&lt;C$4,C$1,D155-L156+N156)</f>
        <v>#DIV/0!</v>
      </c>
      <c r="D156" s="47" t="e" cm="1">
        <f t="array" ref="D156">_xlfn.IFS(AND($C$7="Y",B156&lt;C$4),C156,AND($C$7="Y",B156=C$4),D155+F156-J156-K156-L156+N156,AND($C$7="Y",B156&gt;$C$4),D155-J156-K156-L156+N156, TRUE, D155-J156-K156-L156+N156)</f>
        <v>#DIV/0!</v>
      </c>
      <c r="E156" s="48">
        <f t="shared" si="33"/>
        <v>0</v>
      </c>
      <c r="F156" s="50">
        <f t="shared" si="34"/>
        <v>0</v>
      </c>
      <c r="G156" s="50">
        <f t="shared" si="39"/>
        <v>0</v>
      </c>
      <c r="H156" s="51" t="e">
        <f>IF(AND($B156&lt;=$C$4,C$7="Y"),0,IF(AND(C$7="N",C$4&gt;0,B156&lt;=C$4),0,(D155-L156+N156)*C$2/12/(1-(1/(1+C$2/12))^(C$3+C$4-B156+1))))</f>
        <v>#DIV/0!</v>
      </c>
      <c r="I156" s="52" t="e">
        <f>IF(AND(C$7="Y",$B156&lt;=C$4),0,IF(AND(C$7="Y",$B156&gt;C$4),(1-U156)*C$2*D155/12,IF(AND($C$7="N",C$4&gt;0),(1-U156)*D155*C$2/12, (1-U156)*D155*C$2/12)))</f>
        <v>#DIV/0!</v>
      </c>
      <c r="J156" s="52" t="e">
        <f>IF(AND($B156&lt;=$C$4,C$7="Y"),0,IF(AND(C$7="N",C$4&gt;0,B156&lt;=C$4),0,H156-I156))</f>
        <v>#DIV/0!</v>
      </c>
      <c r="K156" s="51" t="e">
        <f>IF(AND(C$7="Y",$B156&lt;=$C$4),0,IF(AND(C$7="N",C$4&gt;0,B156&lt;=C$4),0,S156*(C156-J156)))</f>
        <v>#DIV/0!</v>
      </c>
      <c r="L156" s="49" t="e">
        <f>IF(AND(C$7="Y",$B156&lt;=$C$4),0,IF(AND(C$7="N",C$4&gt;0,B156&lt;=C$4),0,U156*D155))</f>
        <v>#DIV/0!</v>
      </c>
      <c r="M156" s="49">
        <f t="shared" si="30"/>
        <v>0</v>
      </c>
      <c r="N156" s="49">
        <f t="shared" si="29"/>
        <v>0</v>
      </c>
      <c r="O156" s="48" t="e">
        <f>K156+I156+J156-L156+N156+G156</f>
        <v>#DIV/0!</v>
      </c>
      <c r="P156" s="38" t="e">
        <f>O156*(1/((1+P$12)^(B156/12)))</f>
        <v>#DIV/0!</v>
      </c>
      <c r="Q156" s="53"/>
      <c r="R156" s="53">
        <f t="shared" si="35"/>
        <v>0</v>
      </c>
      <c r="S156" s="53">
        <f t="shared" si="36"/>
        <v>0</v>
      </c>
      <c r="T156" s="53">
        <f t="shared" si="37"/>
        <v>0.05</v>
      </c>
      <c r="U156" s="53">
        <f t="shared" si="38"/>
        <v>4.2653187775606449E-3</v>
      </c>
    </row>
    <row r="157" spans="1:21" x14ac:dyDescent="0.2">
      <c r="A157" s="62" t="e">
        <f t="shared" si="31"/>
        <v>#DIV/0!</v>
      </c>
      <c r="B157" s="45">
        <f t="shared" si="32"/>
        <v>143</v>
      </c>
      <c r="C157" s="51" t="e">
        <f>IF(B157&lt;C$4,C$1,D156-L157+N157)</f>
        <v>#DIV/0!</v>
      </c>
      <c r="D157" s="47" t="e" cm="1">
        <f t="array" ref="D157">_xlfn.IFS(AND($C$7="Y",B157&lt;C$4),C157,AND($C$7="Y",B157=C$4),D156+F157-J157-K157-L157+N157,AND($C$7="Y",B157&gt;$C$4),D156-J157-K157-L157+N157, TRUE, D156-J157-K157-L157+N157)</f>
        <v>#DIV/0!</v>
      </c>
      <c r="E157" s="48">
        <f t="shared" si="33"/>
        <v>0</v>
      </c>
      <c r="F157" s="50">
        <f t="shared" si="34"/>
        <v>0</v>
      </c>
      <c r="G157" s="50">
        <f t="shared" si="39"/>
        <v>0</v>
      </c>
      <c r="H157" s="51" t="e">
        <f>IF(AND($B157&lt;=$C$4,C$7="Y"),0,IF(AND(C$7="N",C$4&gt;0,B157&lt;=C$4),0,(D156-L157+N157)*C$2/12/(1-(1/(1+C$2/12))^(C$3+C$4-B157+1))))</f>
        <v>#DIV/0!</v>
      </c>
      <c r="I157" s="52" t="e">
        <f>IF(AND(C$7="Y",$B157&lt;=C$4),0,IF(AND(C$7="Y",$B157&gt;C$4),(1-U157)*C$2*D156/12,IF(AND($C$7="N",C$4&gt;0),(1-U157)*D156*C$2/12, (1-U157)*D156*C$2/12)))</f>
        <v>#DIV/0!</v>
      </c>
      <c r="J157" s="52" t="e">
        <f>IF(AND($B157&lt;=$C$4,C$7="Y"),0,IF(AND(C$7="N",C$4&gt;0,B157&lt;=C$4),0,H157-I157))</f>
        <v>#DIV/0!</v>
      </c>
      <c r="K157" s="51" t="e">
        <f>IF(AND(C$7="Y",$B157&lt;=$C$4),0,IF(AND(C$7="N",C$4&gt;0,B157&lt;=C$4),0,S157*(C157-J157)))</f>
        <v>#DIV/0!</v>
      </c>
      <c r="L157" s="49" t="e">
        <f>IF(AND(C$7="Y",$B157&lt;=$C$4),0,IF(AND(C$7="N",C$4&gt;0,B157&lt;=C$4),0,U157*D156))</f>
        <v>#DIV/0!</v>
      </c>
      <c r="M157" s="49">
        <f t="shared" si="30"/>
        <v>0</v>
      </c>
      <c r="N157" s="49">
        <f t="shared" si="29"/>
        <v>0</v>
      </c>
      <c r="O157" s="48" t="e">
        <f>K157+I157+J157-L157+N157+G157</f>
        <v>#DIV/0!</v>
      </c>
      <c r="P157" s="38" t="e">
        <f>O157*(1/((1+P$12)^(B157/12)))</f>
        <v>#DIV/0!</v>
      </c>
      <c r="Q157" s="53"/>
      <c r="R157" s="53">
        <f t="shared" si="35"/>
        <v>0</v>
      </c>
      <c r="S157" s="53">
        <f t="shared" si="36"/>
        <v>0</v>
      </c>
      <c r="T157" s="53">
        <f t="shared" si="37"/>
        <v>0.05</v>
      </c>
      <c r="U157" s="53">
        <f t="shared" si="38"/>
        <v>4.2653187775606449E-3</v>
      </c>
    </row>
    <row r="158" spans="1:21" x14ac:dyDescent="0.2">
      <c r="A158" s="62" t="e">
        <f t="shared" si="31"/>
        <v>#DIV/0!</v>
      </c>
      <c r="B158" s="45">
        <f t="shared" si="32"/>
        <v>144</v>
      </c>
      <c r="C158" s="51" t="e">
        <f>IF(B158&lt;C$4,C$1,D157-L158+N158)</f>
        <v>#DIV/0!</v>
      </c>
      <c r="D158" s="47" t="e" cm="1">
        <f t="array" ref="D158">_xlfn.IFS(AND($C$7="Y",B158&lt;C$4),C158,AND($C$7="Y",B158=C$4),D157+F158-J158-K158-L158+N158,AND($C$7="Y",B158&gt;$C$4),D157-J158-K158-L158+N158, TRUE, D157-J158-K158-L158+N158)</f>
        <v>#DIV/0!</v>
      </c>
      <c r="E158" s="48">
        <f t="shared" si="33"/>
        <v>0</v>
      </c>
      <c r="F158" s="50">
        <f t="shared" si="34"/>
        <v>0</v>
      </c>
      <c r="G158" s="50">
        <f t="shared" si="39"/>
        <v>0</v>
      </c>
      <c r="H158" s="51" t="e">
        <f>IF(AND($B158&lt;=$C$4,C$7="Y"),0,IF(AND(C$7="N",C$4&gt;0,B158&lt;=C$4),0,(D157-L158+N158)*C$2/12/(1-(1/(1+C$2/12))^(C$3+C$4-B158+1))))</f>
        <v>#DIV/0!</v>
      </c>
      <c r="I158" s="52" t="e">
        <f>IF(AND(C$7="Y",$B158&lt;=C$4),0,IF(AND(C$7="Y",$B158&gt;C$4),(1-U158)*C$2*D157/12,IF(AND($C$7="N",C$4&gt;0),(1-U158)*D157*C$2/12, (1-U158)*D157*C$2/12)))</f>
        <v>#DIV/0!</v>
      </c>
      <c r="J158" s="52" t="e">
        <f>IF(AND($B158&lt;=$C$4,C$7="Y"),0,IF(AND(C$7="N",C$4&gt;0,B158&lt;=C$4),0,H158-I158))</f>
        <v>#DIV/0!</v>
      </c>
      <c r="K158" s="51" t="e">
        <f>IF(AND(C$7="Y",$B158&lt;=$C$4),0,IF(AND(C$7="N",C$4&gt;0,B158&lt;=C$4),0,S158*(C158-J158)))</f>
        <v>#DIV/0!</v>
      </c>
      <c r="L158" s="49" t="e">
        <f>IF(AND(C$7="Y",$B158&lt;=$C$4),0,IF(AND(C$7="N",C$4&gt;0,B158&lt;=C$4),0,U158*D157))</f>
        <v>#DIV/0!</v>
      </c>
      <c r="M158" s="49">
        <f t="shared" si="30"/>
        <v>0</v>
      </c>
      <c r="N158" s="49">
        <f t="shared" si="29"/>
        <v>0</v>
      </c>
      <c r="O158" s="48" t="e">
        <f>K158+I158+J158-L158+N158+G158</f>
        <v>#DIV/0!</v>
      </c>
      <c r="P158" s="38" t="e">
        <f>O158*(1/((1+P$12)^(B158/12)))</f>
        <v>#DIV/0!</v>
      </c>
      <c r="Q158" s="53"/>
      <c r="R158" s="53">
        <f t="shared" si="35"/>
        <v>0</v>
      </c>
      <c r="S158" s="53">
        <f t="shared" si="36"/>
        <v>0</v>
      </c>
      <c r="T158" s="53">
        <f t="shared" si="37"/>
        <v>0.05</v>
      </c>
      <c r="U158" s="53">
        <f t="shared" si="38"/>
        <v>4.2653187775606449E-3</v>
      </c>
    </row>
    <row r="159" spans="1:21" x14ac:dyDescent="0.2">
      <c r="A159" s="62" t="e">
        <f t="shared" si="31"/>
        <v>#DIV/0!</v>
      </c>
      <c r="B159" s="45">
        <f t="shared" si="32"/>
        <v>145</v>
      </c>
      <c r="C159" s="51" t="e">
        <f>IF(B159&lt;C$4,C$1,D158-L159+N159)</f>
        <v>#DIV/0!</v>
      </c>
      <c r="D159" s="47" t="e" cm="1">
        <f t="array" ref="D159">_xlfn.IFS(AND($C$7="Y",B159&lt;C$4),C159,AND($C$7="Y",B159=C$4),D158+F159-J159-K159-L159+N159,AND($C$7="Y",B159&gt;$C$4),D158-J159-K159-L159+N159, TRUE, D158-J159-K159-L159+N159)</f>
        <v>#DIV/0!</v>
      </c>
      <c r="E159" s="48">
        <f t="shared" si="33"/>
        <v>0</v>
      </c>
      <c r="F159" s="50">
        <f t="shared" si="34"/>
        <v>0</v>
      </c>
      <c r="G159" s="50">
        <f t="shared" si="39"/>
        <v>0</v>
      </c>
      <c r="H159" s="51" t="e">
        <f>IF(AND($B159&lt;=$C$4,C$7="Y"),0,IF(AND(C$7="N",C$4&gt;0,B159&lt;=C$4),0,(D158-L159+N159)*C$2/12/(1-(1/(1+C$2/12))^(C$3+C$4-B159+1))))</f>
        <v>#DIV/0!</v>
      </c>
      <c r="I159" s="52" t="e">
        <f>IF(AND(C$7="Y",$B159&lt;=C$4),0,IF(AND(C$7="Y",$B159&gt;C$4),(1-U159)*C$2*D158/12,IF(AND($C$7="N",C$4&gt;0),(1-U159)*D158*C$2/12, (1-U159)*D158*C$2/12)))</f>
        <v>#DIV/0!</v>
      </c>
      <c r="J159" s="52" t="e">
        <f>IF(AND($B159&lt;=$C$4,C$7="Y"),0,IF(AND(C$7="N",C$4&gt;0,B159&lt;=C$4),0,H159-I159))</f>
        <v>#DIV/0!</v>
      </c>
      <c r="K159" s="51" t="e">
        <f>IF(AND(C$7="Y",$B159&lt;=$C$4),0,IF(AND(C$7="N",C$4&gt;0,B159&lt;=C$4),0,S159*(C159-J159)))</f>
        <v>#DIV/0!</v>
      </c>
      <c r="L159" s="49" t="e">
        <f>IF(AND(C$7="Y",$B159&lt;=$C$4),0,IF(AND(C$7="N",C$4&gt;0,B159&lt;=C$4),0,U159*D158))</f>
        <v>#DIV/0!</v>
      </c>
      <c r="M159" s="49">
        <f t="shared" si="30"/>
        <v>0</v>
      </c>
      <c r="N159" s="49">
        <f t="shared" si="29"/>
        <v>0</v>
      </c>
      <c r="O159" s="48" t="e">
        <f>K159+I159+J159-L159+N159+G159</f>
        <v>#DIV/0!</v>
      </c>
      <c r="P159" s="38" t="e">
        <f>O159*(1/((1+P$12)^(B159/12)))</f>
        <v>#DIV/0!</v>
      </c>
      <c r="Q159" s="53"/>
      <c r="R159" s="53">
        <f t="shared" si="35"/>
        <v>0</v>
      </c>
      <c r="S159" s="53">
        <f t="shared" si="36"/>
        <v>0</v>
      </c>
      <c r="T159" s="53">
        <f t="shared" si="37"/>
        <v>0.05</v>
      </c>
      <c r="U159" s="53">
        <f t="shared" si="38"/>
        <v>4.2653187775606449E-3</v>
      </c>
    </row>
    <row r="160" spans="1:21" x14ac:dyDescent="0.2">
      <c r="A160" s="62" t="e">
        <f t="shared" si="31"/>
        <v>#DIV/0!</v>
      </c>
      <c r="B160" s="45">
        <f t="shared" si="32"/>
        <v>146</v>
      </c>
      <c r="C160" s="51" t="e">
        <f>IF(B160&lt;C$4,C$1,D159-L160+N160)</f>
        <v>#DIV/0!</v>
      </c>
      <c r="D160" s="47" t="e" cm="1">
        <f t="array" ref="D160">_xlfn.IFS(AND($C$7="Y",B160&lt;C$4),C160,AND($C$7="Y",B160=C$4),D159+F160-J160-K160-L160+N160,AND($C$7="Y",B160&gt;$C$4),D159-J160-K160-L160+N160, TRUE, D159-J160-K160-L160+N160)</f>
        <v>#DIV/0!</v>
      </c>
      <c r="E160" s="48">
        <f t="shared" si="33"/>
        <v>0</v>
      </c>
      <c r="F160" s="50">
        <f t="shared" si="34"/>
        <v>0</v>
      </c>
      <c r="G160" s="50">
        <f t="shared" si="39"/>
        <v>0</v>
      </c>
      <c r="H160" s="51" t="e">
        <f>IF(AND($B160&lt;=$C$4,C$7="Y"),0,IF(AND(C$7="N",C$4&gt;0,B160&lt;=C$4),0,(D159-L160+N160)*C$2/12/(1-(1/(1+C$2/12))^(C$3+C$4-B160+1))))</f>
        <v>#DIV/0!</v>
      </c>
      <c r="I160" s="52" t="e">
        <f>IF(AND(C$7="Y",$B160&lt;=C$4),0,IF(AND(C$7="Y",$B160&gt;C$4),(1-U160)*C$2*D159/12,IF(AND($C$7="N",C$4&gt;0),(1-U160)*D159*C$2/12, (1-U160)*D159*C$2/12)))</f>
        <v>#DIV/0!</v>
      </c>
      <c r="J160" s="52" t="e">
        <f>IF(AND($B160&lt;=$C$4,C$7="Y"),0,IF(AND(C$7="N",C$4&gt;0,B160&lt;=C$4),0,H160-I160))</f>
        <v>#DIV/0!</v>
      </c>
      <c r="K160" s="51" t="e">
        <f>IF(AND(C$7="Y",$B160&lt;=$C$4),0,IF(AND(C$7="N",C$4&gt;0,B160&lt;=C$4),0,S160*(C160-J160)))</f>
        <v>#DIV/0!</v>
      </c>
      <c r="L160" s="49" t="e">
        <f>IF(AND(C$7="Y",$B160&lt;=$C$4),0,IF(AND(C$7="N",C$4&gt;0,B160&lt;=C$4),0,U160*D159))</f>
        <v>#DIV/0!</v>
      </c>
      <c r="M160" s="49">
        <f t="shared" si="30"/>
        <v>0</v>
      </c>
      <c r="N160" s="49">
        <f t="shared" si="29"/>
        <v>0</v>
      </c>
      <c r="O160" s="48" t="e">
        <f>K160+I160+J160-L160+N160+G160</f>
        <v>#DIV/0!</v>
      </c>
      <c r="P160" s="38" t="e">
        <f>O160*(1/((1+P$12)^(B160/12)))</f>
        <v>#DIV/0!</v>
      </c>
      <c r="Q160" s="53"/>
      <c r="R160" s="53">
        <f t="shared" si="35"/>
        <v>0</v>
      </c>
      <c r="S160" s="53">
        <f t="shared" si="36"/>
        <v>0</v>
      </c>
      <c r="T160" s="53">
        <f t="shared" si="37"/>
        <v>0.05</v>
      </c>
      <c r="U160" s="53">
        <f t="shared" si="38"/>
        <v>4.2653187775606449E-3</v>
      </c>
    </row>
    <row r="161" spans="1:21" x14ac:dyDescent="0.2">
      <c r="A161" s="62" t="e">
        <f t="shared" si="31"/>
        <v>#DIV/0!</v>
      </c>
      <c r="B161" s="45">
        <f t="shared" si="32"/>
        <v>147</v>
      </c>
      <c r="C161" s="51" t="e">
        <f>IF(B161&lt;C$4,C$1,D160-L161+N161)</f>
        <v>#DIV/0!</v>
      </c>
      <c r="D161" s="47" t="e" cm="1">
        <f t="array" ref="D161">_xlfn.IFS(AND($C$7="Y",B161&lt;C$4),C161,AND($C$7="Y",B161=C$4),D160+F161-J161-K161-L161+N161,AND($C$7="Y",B161&gt;$C$4),D160-J161-K161-L161+N161, TRUE, D160-J161-K161-L161+N161)</f>
        <v>#DIV/0!</v>
      </c>
      <c r="E161" s="48">
        <f t="shared" si="33"/>
        <v>0</v>
      </c>
      <c r="F161" s="50">
        <f t="shared" si="34"/>
        <v>0</v>
      </c>
      <c r="G161" s="50">
        <f t="shared" si="39"/>
        <v>0</v>
      </c>
      <c r="H161" s="51" t="e">
        <f>IF(AND($B161&lt;=$C$4,C$7="Y"),0,IF(AND(C$7="N",C$4&gt;0,B161&lt;=C$4),0,(D160-L161+N161)*C$2/12/(1-(1/(1+C$2/12))^(C$3+C$4-B161+1))))</f>
        <v>#DIV/0!</v>
      </c>
      <c r="I161" s="52" t="e">
        <f>IF(AND(C$7="Y",$B161&lt;=C$4),0,IF(AND(C$7="Y",$B161&gt;C$4),(1-U161)*C$2*D160/12,IF(AND($C$7="N",C$4&gt;0),(1-U161)*D160*C$2/12, (1-U161)*D160*C$2/12)))</f>
        <v>#DIV/0!</v>
      </c>
      <c r="J161" s="52" t="e">
        <f>IF(AND($B161&lt;=$C$4,C$7="Y"),0,IF(AND(C$7="N",C$4&gt;0,B161&lt;=C$4),0,H161-I161))</f>
        <v>#DIV/0!</v>
      </c>
      <c r="K161" s="51" t="e">
        <f>IF(AND(C$7="Y",$B161&lt;=$C$4),0,IF(AND(C$7="N",C$4&gt;0,B161&lt;=C$4),0,S161*(C161-J161)))</f>
        <v>#DIV/0!</v>
      </c>
      <c r="L161" s="49" t="e">
        <f>IF(AND(C$7="Y",$B161&lt;=$C$4),0,IF(AND(C$7="N",C$4&gt;0,B161&lt;=C$4),0,U161*D160))</f>
        <v>#DIV/0!</v>
      </c>
      <c r="M161" s="49">
        <f t="shared" si="30"/>
        <v>0</v>
      </c>
      <c r="N161" s="49">
        <f t="shared" si="29"/>
        <v>0</v>
      </c>
      <c r="O161" s="48" t="e">
        <f>K161+I161+J161-L161+N161+G161</f>
        <v>#DIV/0!</v>
      </c>
      <c r="P161" s="38" t="e">
        <f>O161*(1/((1+P$12)^(B161/12)))</f>
        <v>#DIV/0!</v>
      </c>
      <c r="Q161" s="53"/>
      <c r="R161" s="53">
        <f t="shared" si="35"/>
        <v>0</v>
      </c>
      <c r="S161" s="53">
        <f t="shared" si="36"/>
        <v>0</v>
      </c>
      <c r="T161" s="53">
        <f t="shared" si="37"/>
        <v>0.05</v>
      </c>
      <c r="U161" s="53">
        <f t="shared" si="38"/>
        <v>4.2653187775606449E-3</v>
      </c>
    </row>
    <row r="162" spans="1:21" x14ac:dyDescent="0.2">
      <c r="A162" s="62" t="e">
        <f t="shared" si="31"/>
        <v>#DIV/0!</v>
      </c>
      <c r="B162" s="45">
        <f t="shared" si="32"/>
        <v>148</v>
      </c>
      <c r="C162" s="51" t="e">
        <f>IF(B162&lt;C$4,C$1,D161-L162+N162)</f>
        <v>#DIV/0!</v>
      </c>
      <c r="D162" s="47" t="e" cm="1">
        <f t="array" ref="D162">_xlfn.IFS(AND($C$7="Y",B162&lt;C$4),C162,AND($C$7="Y",B162=C$4),D161+F162-J162-K162-L162+N162,AND($C$7="Y",B162&gt;$C$4),D161-J162-K162-L162+N162, TRUE, D161-J162-K162-L162+N162)</f>
        <v>#DIV/0!</v>
      </c>
      <c r="E162" s="48">
        <f t="shared" si="33"/>
        <v>0</v>
      </c>
      <c r="F162" s="50">
        <f t="shared" si="34"/>
        <v>0</v>
      </c>
      <c r="G162" s="50">
        <f t="shared" si="39"/>
        <v>0</v>
      </c>
      <c r="H162" s="51" t="e">
        <f>IF(AND($B162&lt;=$C$4,C$7="Y"),0,IF(AND(C$7="N",C$4&gt;0,B162&lt;=C$4),0,(D161-L162+N162)*C$2/12/(1-(1/(1+C$2/12))^(C$3+C$4-B162+1))))</f>
        <v>#DIV/0!</v>
      </c>
      <c r="I162" s="52" t="e">
        <f>IF(AND(C$7="Y",$B162&lt;=C$4),0,IF(AND(C$7="Y",$B162&gt;C$4),(1-U162)*C$2*D161/12,IF(AND($C$7="N",C$4&gt;0),(1-U162)*D161*C$2/12, (1-U162)*D161*C$2/12)))</f>
        <v>#DIV/0!</v>
      </c>
      <c r="J162" s="52" t="e">
        <f>IF(AND($B162&lt;=$C$4,C$7="Y"),0,IF(AND(C$7="N",C$4&gt;0,B162&lt;=C$4),0,H162-I162))</f>
        <v>#DIV/0!</v>
      </c>
      <c r="K162" s="51" t="e">
        <f>IF(AND(C$7="Y",$B162&lt;=$C$4),0,IF(AND(C$7="N",C$4&gt;0,B162&lt;=C$4),0,S162*(C162-J162)))</f>
        <v>#DIV/0!</v>
      </c>
      <c r="L162" s="49" t="e">
        <f>IF(AND(C$7="Y",$B162&lt;=$C$4),0,IF(AND(C$7="N",C$4&gt;0,B162&lt;=C$4),0,U162*D161))</f>
        <v>#DIV/0!</v>
      </c>
      <c r="M162" s="49">
        <f t="shared" si="30"/>
        <v>0</v>
      </c>
      <c r="N162" s="49">
        <f t="shared" si="29"/>
        <v>0</v>
      </c>
      <c r="O162" s="48" t="e">
        <f>K162+I162+J162-L162+N162+G162</f>
        <v>#DIV/0!</v>
      </c>
      <c r="P162" s="38" t="e">
        <f>O162*(1/((1+P$12)^(B162/12)))</f>
        <v>#DIV/0!</v>
      </c>
      <c r="Q162" s="53"/>
      <c r="R162" s="53">
        <f t="shared" si="35"/>
        <v>0</v>
      </c>
      <c r="S162" s="53">
        <f t="shared" si="36"/>
        <v>0</v>
      </c>
      <c r="T162" s="53">
        <f t="shared" si="37"/>
        <v>0.05</v>
      </c>
      <c r="U162" s="53">
        <f t="shared" si="38"/>
        <v>4.2653187775606449E-3</v>
      </c>
    </row>
    <row r="163" spans="1:21" x14ac:dyDescent="0.2">
      <c r="A163" s="62" t="e">
        <f t="shared" si="31"/>
        <v>#DIV/0!</v>
      </c>
      <c r="B163" s="45">
        <f t="shared" si="32"/>
        <v>149</v>
      </c>
      <c r="C163" s="51" t="e">
        <f>IF(B163&lt;C$4,C$1,D162-L163+N163)</f>
        <v>#DIV/0!</v>
      </c>
      <c r="D163" s="47" t="e" cm="1">
        <f t="array" ref="D163">_xlfn.IFS(AND($C$7="Y",B163&lt;C$4),C163,AND($C$7="Y",B163=C$4),D162+F163-J163-K163-L163+N163,AND($C$7="Y",B163&gt;$C$4),D162-J163-K163-L163+N163, TRUE, D162-J163-K163-L163+N163)</f>
        <v>#DIV/0!</v>
      </c>
      <c r="E163" s="48">
        <f t="shared" si="33"/>
        <v>0</v>
      </c>
      <c r="F163" s="50">
        <f t="shared" si="34"/>
        <v>0</v>
      </c>
      <c r="G163" s="50">
        <f t="shared" si="39"/>
        <v>0</v>
      </c>
      <c r="H163" s="51" t="e">
        <f>IF(AND($B163&lt;=$C$4,C$7="Y"),0,IF(AND(C$7="N",C$4&gt;0,B163&lt;=C$4),0,(D162-L163+N163)*C$2/12/(1-(1/(1+C$2/12))^(C$3+C$4-B163+1))))</f>
        <v>#DIV/0!</v>
      </c>
      <c r="I163" s="52" t="e">
        <f>IF(AND(C$7="Y",$B163&lt;=C$4),0,IF(AND(C$7="Y",$B163&gt;C$4),(1-U163)*C$2*D162/12,IF(AND($C$7="N",C$4&gt;0),(1-U163)*D162*C$2/12, (1-U163)*D162*C$2/12)))</f>
        <v>#DIV/0!</v>
      </c>
      <c r="J163" s="52" t="e">
        <f>IF(AND($B163&lt;=$C$4,C$7="Y"),0,IF(AND(C$7="N",C$4&gt;0,B163&lt;=C$4),0,H163-I163))</f>
        <v>#DIV/0!</v>
      </c>
      <c r="K163" s="51" t="e">
        <f>IF(AND(C$7="Y",$B163&lt;=$C$4),0,IF(AND(C$7="N",C$4&gt;0,B163&lt;=C$4),0,S163*(C163-J163)))</f>
        <v>#DIV/0!</v>
      </c>
      <c r="L163" s="49" t="e">
        <f>IF(AND(C$7="Y",$B163&lt;=$C$4),0,IF(AND(C$7="N",C$4&gt;0,B163&lt;=C$4),0,U163*D162))</f>
        <v>#DIV/0!</v>
      </c>
      <c r="M163" s="49">
        <f t="shared" si="30"/>
        <v>0</v>
      </c>
      <c r="N163" s="49">
        <f t="shared" ref="N163:N226" si="40">IFERROR((1-$N$12)*L159,0)</f>
        <v>0</v>
      </c>
      <c r="O163" s="48" t="e">
        <f>K163+I163+J163-L163+N163+G163</f>
        <v>#DIV/0!</v>
      </c>
      <c r="P163" s="38" t="e">
        <f>O163*(1/((1+P$12)^(B163/12)))</f>
        <v>#DIV/0!</v>
      </c>
      <c r="Q163" s="53"/>
      <c r="R163" s="53">
        <f t="shared" si="35"/>
        <v>0</v>
      </c>
      <c r="S163" s="53">
        <f t="shared" si="36"/>
        <v>0</v>
      </c>
      <c r="T163" s="53">
        <f t="shared" si="37"/>
        <v>0.05</v>
      </c>
      <c r="U163" s="53">
        <f t="shared" si="38"/>
        <v>4.2653187775606449E-3</v>
      </c>
    </row>
    <row r="164" spans="1:21" x14ac:dyDescent="0.2">
      <c r="A164" s="62" t="e">
        <f t="shared" si="31"/>
        <v>#DIV/0!</v>
      </c>
      <c r="B164" s="45">
        <f t="shared" si="32"/>
        <v>150</v>
      </c>
      <c r="C164" s="51" t="e">
        <f>IF(B164&lt;C$4,C$1,D163-L164+N164)</f>
        <v>#DIV/0!</v>
      </c>
      <c r="D164" s="47" t="e" cm="1">
        <f t="array" ref="D164">_xlfn.IFS(AND($C$7="Y",B164&lt;C$4),C164,AND($C$7="Y",B164=C$4),D163+F164-J164-K164-L164+N164,AND($C$7="Y",B164&gt;$C$4),D163-J164-K164-L164+N164, TRUE, D163-J164-K164-L164+N164)</f>
        <v>#DIV/0!</v>
      </c>
      <c r="E164" s="48">
        <f t="shared" si="33"/>
        <v>0</v>
      </c>
      <c r="F164" s="50">
        <f t="shared" si="34"/>
        <v>0</v>
      </c>
      <c r="G164" s="50">
        <f t="shared" si="39"/>
        <v>0</v>
      </c>
      <c r="H164" s="51" t="e">
        <f>IF(AND($B164&lt;=$C$4,C$7="Y"),0,IF(AND(C$7="N",C$4&gt;0,B164&lt;=C$4),0,(D163-L164+N164)*C$2/12/(1-(1/(1+C$2/12))^(C$3+C$4-B164+1))))</f>
        <v>#DIV/0!</v>
      </c>
      <c r="I164" s="52" t="e">
        <f>IF(AND(C$7="Y",$B164&lt;=C$4),0,IF(AND(C$7="Y",$B164&gt;C$4),(1-U164)*C$2*D163/12,IF(AND($C$7="N",C$4&gt;0),(1-U164)*D163*C$2/12, (1-U164)*D163*C$2/12)))</f>
        <v>#DIV/0!</v>
      </c>
      <c r="J164" s="52" t="e">
        <f>IF(AND($B164&lt;=$C$4,C$7="Y"),0,IF(AND(C$7="N",C$4&gt;0,B164&lt;=C$4),0,H164-I164))</f>
        <v>#DIV/0!</v>
      </c>
      <c r="K164" s="51" t="e">
        <f>IF(AND(C$7="Y",$B164&lt;=$C$4),0,IF(AND(C$7="N",C$4&gt;0,B164&lt;=C$4),0,S164*(C164-J164)))</f>
        <v>#DIV/0!</v>
      </c>
      <c r="L164" s="49" t="e">
        <f>IF(AND(C$7="Y",$B164&lt;=$C$4),0,IF(AND(C$7="N",C$4&gt;0,B164&lt;=C$4),0,U164*D163))</f>
        <v>#DIV/0!</v>
      </c>
      <c r="M164" s="49">
        <f t="shared" si="30"/>
        <v>0</v>
      </c>
      <c r="N164" s="49">
        <f t="shared" si="40"/>
        <v>0</v>
      </c>
      <c r="O164" s="48" t="e">
        <f>K164+I164+J164-L164+N164+G164</f>
        <v>#DIV/0!</v>
      </c>
      <c r="P164" s="38" t="e">
        <f>O164*(1/((1+P$12)^(B164/12)))</f>
        <v>#DIV/0!</v>
      </c>
      <c r="Q164" s="53"/>
      <c r="R164" s="53">
        <f t="shared" si="35"/>
        <v>0</v>
      </c>
      <c r="S164" s="53">
        <f t="shared" si="36"/>
        <v>0</v>
      </c>
      <c r="T164" s="53">
        <f t="shared" si="37"/>
        <v>0.05</v>
      </c>
      <c r="U164" s="53">
        <f t="shared" si="38"/>
        <v>4.2653187775606449E-3</v>
      </c>
    </row>
    <row r="165" spans="1:21" x14ac:dyDescent="0.2">
      <c r="A165" s="62" t="e">
        <f t="shared" si="31"/>
        <v>#DIV/0!</v>
      </c>
      <c r="B165" s="45">
        <f t="shared" si="32"/>
        <v>151</v>
      </c>
      <c r="C165" s="51" t="e">
        <f>IF(B165&lt;C$4,C$1,D164-L165+N165)</f>
        <v>#DIV/0!</v>
      </c>
      <c r="D165" s="47" t="e" cm="1">
        <f t="array" ref="D165">_xlfn.IFS(AND($C$7="Y",B165&lt;C$4),C165,AND($C$7="Y",B165=C$4),D164+F165-J165-K165-L165+N165,AND($C$7="Y",B165&gt;$C$4),D164-J165-K165-L165+N165, TRUE, D164-J165-K165-L165+N165)</f>
        <v>#DIV/0!</v>
      </c>
      <c r="E165" s="48">
        <f t="shared" si="33"/>
        <v>0</v>
      </c>
      <c r="F165" s="50">
        <f t="shared" si="34"/>
        <v>0</v>
      </c>
      <c r="G165" s="50">
        <f t="shared" si="39"/>
        <v>0</v>
      </c>
      <c r="H165" s="51" t="e">
        <f>IF(AND($B165&lt;=$C$4,C$7="Y"),0,IF(AND(C$7="N",C$4&gt;0,B165&lt;=C$4),0,(D164-L165+N165)*C$2/12/(1-(1/(1+C$2/12))^(C$3+C$4-B165+1))))</f>
        <v>#DIV/0!</v>
      </c>
      <c r="I165" s="52" t="e">
        <f>IF(AND(C$7="Y",$B165&lt;=C$4),0,IF(AND(C$7="Y",$B165&gt;C$4),(1-U165)*C$2*D164/12,IF(AND($C$7="N",C$4&gt;0),(1-U165)*D164*C$2/12, (1-U165)*D164*C$2/12)))</f>
        <v>#DIV/0!</v>
      </c>
      <c r="J165" s="52" t="e">
        <f>IF(AND($B165&lt;=$C$4,C$7="Y"),0,IF(AND(C$7="N",C$4&gt;0,B165&lt;=C$4),0,H165-I165))</f>
        <v>#DIV/0!</v>
      </c>
      <c r="K165" s="51" t="e">
        <f>IF(AND(C$7="Y",$B165&lt;=$C$4),0,IF(AND(C$7="N",C$4&gt;0,B165&lt;=C$4),0,S165*(C165-J165)))</f>
        <v>#DIV/0!</v>
      </c>
      <c r="L165" s="49" t="e">
        <f>IF(AND(C$7="Y",$B165&lt;=$C$4),0,IF(AND(C$7="N",C$4&gt;0,B165&lt;=C$4),0,U165*D164))</f>
        <v>#DIV/0!</v>
      </c>
      <c r="M165" s="49">
        <f t="shared" si="30"/>
        <v>0</v>
      </c>
      <c r="N165" s="49">
        <f t="shared" si="40"/>
        <v>0</v>
      </c>
      <c r="O165" s="48" t="e">
        <f>K165+I165+J165-L165+N165+G165</f>
        <v>#DIV/0!</v>
      </c>
      <c r="P165" s="38" t="e">
        <f>O165*(1/((1+P$12)^(B165/12)))</f>
        <v>#DIV/0!</v>
      </c>
      <c r="Q165" s="53"/>
      <c r="R165" s="53">
        <f t="shared" si="35"/>
        <v>0</v>
      </c>
      <c r="S165" s="53">
        <f t="shared" si="36"/>
        <v>0</v>
      </c>
      <c r="T165" s="53">
        <f t="shared" si="37"/>
        <v>0.05</v>
      </c>
      <c r="U165" s="53">
        <f t="shared" si="38"/>
        <v>4.2653187775606449E-3</v>
      </c>
    </row>
    <row r="166" spans="1:21" x14ac:dyDescent="0.2">
      <c r="A166" s="62" t="e">
        <f t="shared" si="31"/>
        <v>#DIV/0!</v>
      </c>
      <c r="B166" s="45">
        <f t="shared" si="32"/>
        <v>152</v>
      </c>
      <c r="C166" s="51" t="e">
        <f>IF(B166&lt;C$4,C$1,D165-L166+N166)</f>
        <v>#DIV/0!</v>
      </c>
      <c r="D166" s="47" t="e" cm="1">
        <f t="array" ref="D166">_xlfn.IFS(AND($C$7="Y",B166&lt;C$4),C166,AND($C$7="Y",B166=C$4),D165+F166-J166-K166-L166+N166,AND($C$7="Y",B166&gt;$C$4),D165-J166-K166-L166+N166, TRUE, D165-J166-K166-L166+N166)</f>
        <v>#DIV/0!</v>
      </c>
      <c r="E166" s="48">
        <f t="shared" si="33"/>
        <v>0</v>
      </c>
      <c r="F166" s="50">
        <f t="shared" si="34"/>
        <v>0</v>
      </c>
      <c r="G166" s="50">
        <f t="shared" si="39"/>
        <v>0</v>
      </c>
      <c r="H166" s="51" t="e">
        <f>IF(AND($B166&lt;=$C$4,C$7="Y"),0,IF(AND(C$7="N",C$4&gt;0,B166&lt;=C$4),0,(D165-L166+N166)*C$2/12/(1-(1/(1+C$2/12))^(C$3+C$4-B166+1))))</f>
        <v>#DIV/0!</v>
      </c>
      <c r="I166" s="52" t="e">
        <f>IF(AND(C$7="Y",$B166&lt;=C$4),0,IF(AND(C$7="Y",$B166&gt;C$4),(1-U166)*C$2*D165/12,IF(AND($C$7="N",C$4&gt;0),(1-U166)*D165*C$2/12, (1-U166)*D165*C$2/12)))</f>
        <v>#DIV/0!</v>
      </c>
      <c r="J166" s="52" t="e">
        <f>IF(AND($B166&lt;=$C$4,C$7="Y"),0,IF(AND(C$7="N",C$4&gt;0,B166&lt;=C$4),0,H166-I166))</f>
        <v>#DIV/0!</v>
      </c>
      <c r="K166" s="51" t="e">
        <f>IF(AND(C$7="Y",$B166&lt;=$C$4),0,IF(AND(C$7="N",C$4&gt;0,B166&lt;=C$4),0,S166*(C166-J166)))</f>
        <v>#DIV/0!</v>
      </c>
      <c r="L166" s="49" t="e">
        <f>IF(AND(C$7="Y",$B166&lt;=$C$4),0,IF(AND(C$7="N",C$4&gt;0,B166&lt;=C$4),0,U166*D165))</f>
        <v>#DIV/0!</v>
      </c>
      <c r="M166" s="49">
        <f t="shared" si="30"/>
        <v>0</v>
      </c>
      <c r="N166" s="49">
        <f t="shared" si="40"/>
        <v>0</v>
      </c>
      <c r="O166" s="48" t="e">
        <f>K166+I166+J166-L166+N166+G166</f>
        <v>#DIV/0!</v>
      </c>
      <c r="P166" s="38" t="e">
        <f>O166*(1/((1+P$12)^(B166/12)))</f>
        <v>#DIV/0!</v>
      </c>
      <c r="Q166" s="53"/>
      <c r="R166" s="53">
        <f t="shared" si="35"/>
        <v>0</v>
      </c>
      <c r="S166" s="53">
        <f t="shared" si="36"/>
        <v>0</v>
      </c>
      <c r="T166" s="53">
        <f t="shared" si="37"/>
        <v>0.05</v>
      </c>
      <c r="U166" s="53">
        <f t="shared" si="38"/>
        <v>4.2653187775606449E-3</v>
      </c>
    </row>
    <row r="167" spans="1:21" x14ac:dyDescent="0.2">
      <c r="A167" s="62" t="e">
        <f t="shared" si="31"/>
        <v>#DIV/0!</v>
      </c>
      <c r="B167" s="45">
        <f t="shared" si="32"/>
        <v>153</v>
      </c>
      <c r="C167" s="51" t="e">
        <f>IF(B167&lt;C$4,C$1,D166-L167+N167)</f>
        <v>#DIV/0!</v>
      </c>
      <c r="D167" s="47" t="e" cm="1">
        <f t="array" ref="D167">_xlfn.IFS(AND($C$7="Y",B167&lt;C$4),C167,AND($C$7="Y",B167=C$4),D166+F167-J167-K167-L167+N167,AND($C$7="Y",B167&gt;$C$4),D166-J167-K167-L167+N167, TRUE, D166-J167-K167-L167+N167)</f>
        <v>#DIV/0!</v>
      </c>
      <c r="E167" s="48">
        <f t="shared" si="33"/>
        <v>0</v>
      </c>
      <c r="F167" s="50">
        <f t="shared" si="34"/>
        <v>0</v>
      </c>
      <c r="G167" s="50">
        <f t="shared" si="39"/>
        <v>0</v>
      </c>
      <c r="H167" s="51" t="e">
        <f>IF(AND($B167&lt;=$C$4,C$7="Y"),0,IF(AND(C$7="N",C$4&gt;0,B167&lt;=C$4),0,(D166-L167+N167)*C$2/12/(1-(1/(1+C$2/12))^(C$3+C$4-B167+1))))</f>
        <v>#DIV/0!</v>
      </c>
      <c r="I167" s="52" t="e">
        <f>IF(AND(C$7="Y",$B167&lt;=C$4),0,IF(AND(C$7="Y",$B167&gt;C$4),(1-U167)*C$2*D166/12,IF(AND($C$7="N",C$4&gt;0),(1-U167)*D166*C$2/12, (1-U167)*D166*C$2/12)))</f>
        <v>#DIV/0!</v>
      </c>
      <c r="J167" s="52" t="e">
        <f>IF(AND($B167&lt;=$C$4,C$7="Y"),0,IF(AND(C$7="N",C$4&gt;0,B167&lt;=C$4),0,H167-I167))</f>
        <v>#DIV/0!</v>
      </c>
      <c r="K167" s="51" t="e">
        <f>IF(AND(C$7="Y",$B167&lt;=$C$4),0,IF(AND(C$7="N",C$4&gt;0,B167&lt;=C$4),0,S167*(C167-J167)))</f>
        <v>#DIV/0!</v>
      </c>
      <c r="L167" s="49" t="e">
        <f>IF(AND(C$7="Y",$B167&lt;=$C$4),0,IF(AND(C$7="N",C$4&gt;0,B167&lt;=C$4),0,U167*D166))</f>
        <v>#DIV/0!</v>
      </c>
      <c r="M167" s="49">
        <f t="shared" si="30"/>
        <v>0</v>
      </c>
      <c r="N167" s="49">
        <f t="shared" si="40"/>
        <v>0</v>
      </c>
      <c r="O167" s="48" t="e">
        <f>K167+I167+J167-L167+N167+G167</f>
        <v>#DIV/0!</v>
      </c>
      <c r="P167" s="38" t="e">
        <f>O167*(1/((1+P$12)^(B167/12)))</f>
        <v>#DIV/0!</v>
      </c>
      <c r="Q167" s="53"/>
      <c r="R167" s="53">
        <f t="shared" si="35"/>
        <v>0</v>
      </c>
      <c r="S167" s="53">
        <f t="shared" si="36"/>
        <v>0</v>
      </c>
      <c r="T167" s="53">
        <f t="shared" si="37"/>
        <v>0.05</v>
      </c>
      <c r="U167" s="53">
        <f t="shared" si="38"/>
        <v>4.2653187775606449E-3</v>
      </c>
    </row>
    <row r="168" spans="1:21" x14ac:dyDescent="0.2">
      <c r="A168" s="62" t="e">
        <f t="shared" si="31"/>
        <v>#DIV/0!</v>
      </c>
      <c r="B168" s="45">
        <f t="shared" si="32"/>
        <v>154</v>
      </c>
      <c r="C168" s="51" t="e">
        <f>IF(B168&lt;C$4,C$1,D167-L168+N168)</f>
        <v>#DIV/0!</v>
      </c>
      <c r="D168" s="47" t="e" cm="1">
        <f t="array" ref="D168">_xlfn.IFS(AND($C$7="Y",B168&lt;C$4),C168,AND($C$7="Y",B168=C$4),D167+F168-J168-K168-L168+N168,AND($C$7="Y",B168&gt;$C$4),D167-J168-K168-L168+N168, TRUE, D167-J168-K168-L168+N168)</f>
        <v>#DIV/0!</v>
      </c>
      <c r="E168" s="48">
        <f t="shared" si="33"/>
        <v>0</v>
      </c>
      <c r="F168" s="50">
        <f t="shared" si="34"/>
        <v>0</v>
      </c>
      <c r="G168" s="50">
        <f t="shared" si="39"/>
        <v>0</v>
      </c>
      <c r="H168" s="51" t="e">
        <f>IF(AND($B168&lt;=$C$4,C$7="Y"),0,IF(AND(C$7="N",C$4&gt;0,B168&lt;=C$4),0,(D167-L168+N168)*C$2/12/(1-(1/(1+C$2/12))^(C$3+C$4-B168+1))))</f>
        <v>#DIV/0!</v>
      </c>
      <c r="I168" s="52" t="e">
        <f>IF(AND(C$7="Y",$B168&lt;=C$4),0,IF(AND(C$7="Y",$B168&gt;C$4),(1-U168)*C$2*D167/12,IF(AND($C$7="N",C$4&gt;0),(1-U168)*D167*C$2/12, (1-U168)*D167*C$2/12)))</f>
        <v>#DIV/0!</v>
      </c>
      <c r="J168" s="52" t="e">
        <f>IF(AND($B168&lt;=$C$4,C$7="Y"),0,IF(AND(C$7="N",C$4&gt;0,B168&lt;=C$4),0,H168-I168))</f>
        <v>#DIV/0!</v>
      </c>
      <c r="K168" s="51" t="e">
        <f>IF(AND(C$7="Y",$B168&lt;=$C$4),0,IF(AND(C$7="N",C$4&gt;0,B168&lt;=C$4),0,S168*(C168-J168)))</f>
        <v>#DIV/0!</v>
      </c>
      <c r="L168" s="49" t="e">
        <f>IF(AND(C$7="Y",$B168&lt;=$C$4),0,IF(AND(C$7="N",C$4&gt;0,B168&lt;=C$4),0,U168*D167))</f>
        <v>#DIV/0!</v>
      </c>
      <c r="M168" s="49">
        <f t="shared" si="30"/>
        <v>0</v>
      </c>
      <c r="N168" s="49">
        <f t="shared" si="40"/>
        <v>0</v>
      </c>
      <c r="O168" s="48" t="e">
        <f>K168+I168+J168-L168+N168+G168</f>
        <v>#DIV/0!</v>
      </c>
      <c r="P168" s="38" t="e">
        <f>O168*(1/((1+P$12)^(B168/12)))</f>
        <v>#DIV/0!</v>
      </c>
      <c r="Q168" s="53"/>
      <c r="R168" s="53">
        <f t="shared" si="35"/>
        <v>0</v>
      </c>
      <c r="S168" s="53">
        <f t="shared" si="36"/>
        <v>0</v>
      </c>
      <c r="T168" s="53">
        <f t="shared" si="37"/>
        <v>0.05</v>
      </c>
      <c r="U168" s="53">
        <f t="shared" si="38"/>
        <v>4.2653187775606449E-3</v>
      </c>
    </row>
    <row r="169" spans="1:21" x14ac:dyDescent="0.2">
      <c r="A169" s="62" t="e">
        <f t="shared" si="31"/>
        <v>#DIV/0!</v>
      </c>
      <c r="B169" s="45">
        <f t="shared" si="32"/>
        <v>155</v>
      </c>
      <c r="C169" s="51" t="e">
        <f>IF(B169&lt;C$4,C$1,D168-L169+N169)</f>
        <v>#DIV/0!</v>
      </c>
      <c r="D169" s="47" t="e" cm="1">
        <f t="array" ref="D169">_xlfn.IFS(AND($C$7="Y",B169&lt;C$4),C169,AND($C$7="Y",B169=C$4),D168+F169-J169-K169-L169+N169,AND($C$7="Y",B169&gt;$C$4),D168-J169-K169-L169+N169, TRUE, D168-J169-K169-L169+N169)</f>
        <v>#DIV/0!</v>
      </c>
      <c r="E169" s="48">
        <f t="shared" si="33"/>
        <v>0</v>
      </c>
      <c r="F169" s="50">
        <f t="shared" si="34"/>
        <v>0</v>
      </c>
      <c r="G169" s="50">
        <f t="shared" si="39"/>
        <v>0</v>
      </c>
      <c r="H169" s="51" t="e">
        <f>IF(AND($B169&lt;=$C$4,C$7="Y"),0,IF(AND(C$7="N",C$4&gt;0,B169&lt;=C$4),0,(D168-L169+N169)*C$2/12/(1-(1/(1+C$2/12))^(C$3+C$4-B169+1))))</f>
        <v>#DIV/0!</v>
      </c>
      <c r="I169" s="52" t="e">
        <f>IF(AND(C$7="Y",$B169&lt;=C$4),0,IF(AND(C$7="Y",$B169&gt;C$4),(1-U169)*C$2*D168/12,IF(AND($C$7="N",C$4&gt;0),(1-U169)*D168*C$2/12, (1-U169)*D168*C$2/12)))</f>
        <v>#DIV/0!</v>
      </c>
      <c r="J169" s="52" t="e">
        <f>IF(AND($B169&lt;=$C$4,C$7="Y"),0,IF(AND(C$7="N",C$4&gt;0,B169&lt;=C$4),0,H169-I169))</f>
        <v>#DIV/0!</v>
      </c>
      <c r="K169" s="51" t="e">
        <f>IF(AND(C$7="Y",$B169&lt;=$C$4),0,IF(AND(C$7="N",C$4&gt;0,B169&lt;=C$4),0,S169*(C169-J169)))</f>
        <v>#DIV/0!</v>
      </c>
      <c r="L169" s="49" t="e">
        <f>IF(AND(C$7="Y",$B169&lt;=$C$4),0,IF(AND(C$7="N",C$4&gt;0,B169&lt;=C$4),0,U169*D168))</f>
        <v>#DIV/0!</v>
      </c>
      <c r="M169" s="49">
        <f t="shared" si="30"/>
        <v>0</v>
      </c>
      <c r="N169" s="49">
        <f t="shared" si="40"/>
        <v>0</v>
      </c>
      <c r="O169" s="48" t="e">
        <f>K169+I169+J169-L169+N169+G169</f>
        <v>#DIV/0!</v>
      </c>
      <c r="P169" s="38" t="e">
        <f>O169*(1/((1+P$12)^(B169/12)))</f>
        <v>#DIV/0!</v>
      </c>
      <c r="Q169" s="53"/>
      <c r="R169" s="53">
        <f t="shared" si="35"/>
        <v>0</v>
      </c>
      <c r="S169" s="53">
        <f t="shared" si="36"/>
        <v>0</v>
      </c>
      <c r="T169" s="53">
        <f t="shared" si="37"/>
        <v>0.05</v>
      </c>
      <c r="U169" s="53">
        <f t="shared" si="38"/>
        <v>4.2653187775606449E-3</v>
      </c>
    </row>
    <row r="170" spans="1:21" x14ac:dyDescent="0.2">
      <c r="A170" s="62" t="e">
        <f t="shared" si="31"/>
        <v>#DIV/0!</v>
      </c>
      <c r="B170" s="45">
        <f t="shared" si="32"/>
        <v>156</v>
      </c>
      <c r="C170" s="51" t="e">
        <f>IF(B170&lt;C$4,C$1,D169-L170+N170)</f>
        <v>#DIV/0!</v>
      </c>
      <c r="D170" s="47" t="e" cm="1">
        <f t="array" ref="D170">_xlfn.IFS(AND($C$7="Y",B170&lt;C$4),C170,AND($C$7="Y",B170=C$4),D169+F170-J170-K170-L170+N170,AND($C$7="Y",B170&gt;$C$4),D169-J170-K170-L170+N170, TRUE, D169-J170-K170-L170+N170)</f>
        <v>#DIV/0!</v>
      </c>
      <c r="E170" s="48">
        <f t="shared" si="33"/>
        <v>0</v>
      </c>
      <c r="F170" s="50">
        <f t="shared" si="34"/>
        <v>0</v>
      </c>
      <c r="G170" s="50">
        <f t="shared" si="39"/>
        <v>0</v>
      </c>
      <c r="H170" s="51" t="e">
        <f>IF(AND($B170&lt;=$C$4,C$7="Y"),0,IF(AND(C$7="N",C$4&gt;0,B170&lt;=C$4),0,(D169-L170+N170)*C$2/12/(1-(1/(1+C$2/12))^(C$3+C$4-B170+1))))</f>
        <v>#DIV/0!</v>
      </c>
      <c r="I170" s="52" t="e">
        <f>IF(AND(C$7="Y",$B170&lt;=C$4),0,IF(AND(C$7="Y",$B170&gt;C$4),(1-U170)*C$2*D169/12,IF(AND($C$7="N",C$4&gt;0),(1-U170)*D169*C$2/12, (1-U170)*D169*C$2/12)))</f>
        <v>#DIV/0!</v>
      </c>
      <c r="J170" s="52" t="e">
        <f>IF(AND($B170&lt;=$C$4,C$7="Y"),0,IF(AND(C$7="N",C$4&gt;0,B170&lt;=C$4),0,H170-I170))</f>
        <v>#DIV/0!</v>
      </c>
      <c r="K170" s="51" t="e">
        <f>IF(AND(C$7="Y",$B170&lt;=$C$4),0,IF(AND(C$7="N",C$4&gt;0,B170&lt;=C$4),0,S170*(C170-J170)))</f>
        <v>#DIV/0!</v>
      </c>
      <c r="L170" s="49" t="e">
        <f>IF(AND(C$7="Y",$B170&lt;=$C$4),0,IF(AND(C$7="N",C$4&gt;0,B170&lt;=C$4),0,U170*D169))</f>
        <v>#DIV/0!</v>
      </c>
      <c r="M170" s="49">
        <f t="shared" si="30"/>
        <v>0</v>
      </c>
      <c r="N170" s="49">
        <f t="shared" si="40"/>
        <v>0</v>
      </c>
      <c r="O170" s="48" t="e">
        <f>K170+I170+J170-L170+N170+G170</f>
        <v>#DIV/0!</v>
      </c>
      <c r="P170" s="38" t="e">
        <f>O170*(1/((1+P$12)^(B170/12)))</f>
        <v>#DIV/0!</v>
      </c>
      <c r="Q170" s="53"/>
      <c r="R170" s="53">
        <f t="shared" si="35"/>
        <v>0</v>
      </c>
      <c r="S170" s="53">
        <f t="shared" si="36"/>
        <v>0</v>
      </c>
      <c r="T170" s="53">
        <f t="shared" si="37"/>
        <v>0.05</v>
      </c>
      <c r="U170" s="53">
        <f t="shared" si="38"/>
        <v>4.2653187775606449E-3</v>
      </c>
    </row>
    <row r="171" spans="1:21" x14ac:dyDescent="0.2">
      <c r="A171" s="62" t="e">
        <f t="shared" si="31"/>
        <v>#DIV/0!</v>
      </c>
      <c r="B171" s="45">
        <f t="shared" si="32"/>
        <v>157</v>
      </c>
      <c r="C171" s="51" t="e">
        <f>IF(B171&lt;C$4,C$1,D170-L171+N171)</f>
        <v>#DIV/0!</v>
      </c>
      <c r="D171" s="47" t="e" cm="1">
        <f t="array" ref="D171">_xlfn.IFS(AND($C$7="Y",B171&lt;C$4),C171,AND($C$7="Y",B171=C$4),D170+F171-J171-K171-L171+N171,AND($C$7="Y",B171&gt;$C$4),D170-J171-K171-L171+N171, TRUE, D170-J171-K171-L171+N171)</f>
        <v>#DIV/0!</v>
      </c>
      <c r="E171" s="48">
        <f t="shared" si="33"/>
        <v>0</v>
      </c>
      <c r="F171" s="50">
        <f t="shared" si="34"/>
        <v>0</v>
      </c>
      <c r="G171" s="50">
        <f t="shared" si="39"/>
        <v>0</v>
      </c>
      <c r="H171" s="51" t="e">
        <f>IF(AND($B171&lt;=$C$4,C$7="Y"),0,IF(AND(C$7="N",C$4&gt;0,B171&lt;=C$4),0,(D170-L171+N171)*C$2/12/(1-(1/(1+C$2/12))^(C$3+C$4-B171+1))))</f>
        <v>#DIV/0!</v>
      </c>
      <c r="I171" s="52" t="e">
        <f>IF(AND(C$7="Y",$B171&lt;=C$4),0,IF(AND(C$7="Y",$B171&gt;C$4),(1-U171)*C$2*D170/12,IF(AND($C$7="N",C$4&gt;0),(1-U171)*D170*C$2/12, (1-U171)*D170*C$2/12)))</f>
        <v>#DIV/0!</v>
      </c>
      <c r="J171" s="52" t="e">
        <f>IF(AND($B171&lt;=$C$4,C$7="Y"),0,IF(AND(C$7="N",C$4&gt;0,B171&lt;=C$4),0,H171-I171))</f>
        <v>#DIV/0!</v>
      </c>
      <c r="K171" s="51" t="e">
        <f>IF(AND(C$7="Y",$B171&lt;=$C$4),0,IF(AND(C$7="N",C$4&gt;0,B171&lt;=C$4),0,S171*(C171-J171)))</f>
        <v>#DIV/0!</v>
      </c>
      <c r="L171" s="49" t="e">
        <f>IF(AND(C$7="Y",$B171&lt;=$C$4),0,IF(AND(C$7="N",C$4&gt;0,B171&lt;=C$4),0,U171*D170))</f>
        <v>#DIV/0!</v>
      </c>
      <c r="M171" s="49">
        <f t="shared" si="30"/>
        <v>0</v>
      </c>
      <c r="N171" s="49">
        <f t="shared" si="40"/>
        <v>0</v>
      </c>
      <c r="O171" s="48" t="e">
        <f>K171+I171+J171-L171+N171+G171</f>
        <v>#DIV/0!</v>
      </c>
      <c r="P171" s="38" t="e">
        <f>O171*(1/((1+P$12)^(B171/12)))</f>
        <v>#DIV/0!</v>
      </c>
      <c r="Q171" s="53"/>
      <c r="R171" s="53">
        <f t="shared" si="35"/>
        <v>0</v>
      </c>
      <c r="S171" s="53">
        <f t="shared" si="36"/>
        <v>0</v>
      </c>
      <c r="T171" s="53">
        <f t="shared" si="37"/>
        <v>0.05</v>
      </c>
      <c r="U171" s="53">
        <f t="shared" si="38"/>
        <v>4.2653187775606449E-3</v>
      </c>
    </row>
    <row r="172" spans="1:21" x14ac:dyDescent="0.2">
      <c r="A172" s="62" t="e">
        <f t="shared" si="31"/>
        <v>#DIV/0!</v>
      </c>
      <c r="B172" s="45">
        <f t="shared" si="32"/>
        <v>158</v>
      </c>
      <c r="C172" s="51" t="e">
        <f>IF(B172&lt;C$4,C$1,D171-L172+N172)</f>
        <v>#DIV/0!</v>
      </c>
      <c r="D172" s="47" t="e" cm="1">
        <f t="array" ref="D172">_xlfn.IFS(AND($C$7="Y",B172&lt;C$4),C172,AND($C$7="Y",B172=C$4),D171+F172-J172-K172-L172+N172,AND($C$7="Y",B172&gt;$C$4),D171-J172-K172-L172+N172, TRUE, D171-J172-K172-L172+N172)</f>
        <v>#DIV/0!</v>
      </c>
      <c r="E172" s="48">
        <f t="shared" si="33"/>
        <v>0</v>
      </c>
      <c r="F172" s="50">
        <f t="shared" si="34"/>
        <v>0</v>
      </c>
      <c r="G172" s="50">
        <f t="shared" si="39"/>
        <v>0</v>
      </c>
      <c r="H172" s="51" t="e">
        <f>IF(AND($B172&lt;=$C$4,C$7="Y"),0,IF(AND(C$7="N",C$4&gt;0,B172&lt;=C$4),0,(D171-L172+N172)*C$2/12/(1-(1/(1+C$2/12))^(C$3+C$4-B172+1))))</f>
        <v>#DIV/0!</v>
      </c>
      <c r="I172" s="52" t="e">
        <f>IF(AND(C$7="Y",$B172&lt;=C$4),0,IF(AND(C$7="Y",$B172&gt;C$4),(1-U172)*C$2*D171/12,IF(AND($C$7="N",C$4&gt;0),(1-U172)*D171*C$2/12, (1-U172)*D171*C$2/12)))</f>
        <v>#DIV/0!</v>
      </c>
      <c r="J172" s="52" t="e">
        <f>IF(AND($B172&lt;=$C$4,C$7="Y"),0,IF(AND(C$7="N",C$4&gt;0,B172&lt;=C$4),0,H172-I172))</f>
        <v>#DIV/0!</v>
      </c>
      <c r="K172" s="51" t="e">
        <f>IF(AND(C$7="Y",$B172&lt;=$C$4),0,IF(AND(C$7="N",C$4&gt;0,B172&lt;=C$4),0,S172*(C172-J172)))</f>
        <v>#DIV/0!</v>
      </c>
      <c r="L172" s="49" t="e">
        <f>IF(AND(C$7="Y",$B172&lt;=$C$4),0,IF(AND(C$7="N",C$4&gt;0,B172&lt;=C$4),0,U172*D171))</f>
        <v>#DIV/0!</v>
      </c>
      <c r="M172" s="49">
        <f t="shared" si="30"/>
        <v>0</v>
      </c>
      <c r="N172" s="49">
        <f t="shared" si="40"/>
        <v>0</v>
      </c>
      <c r="O172" s="48" t="e">
        <f>K172+I172+J172-L172+N172+G172</f>
        <v>#DIV/0!</v>
      </c>
      <c r="P172" s="38" t="e">
        <f>O172*(1/((1+P$12)^(B172/12)))</f>
        <v>#DIV/0!</v>
      </c>
      <c r="Q172" s="53"/>
      <c r="R172" s="53">
        <f t="shared" si="35"/>
        <v>0</v>
      </c>
      <c r="S172" s="53">
        <f t="shared" si="36"/>
        <v>0</v>
      </c>
      <c r="T172" s="53">
        <f t="shared" si="37"/>
        <v>0.05</v>
      </c>
      <c r="U172" s="53">
        <f t="shared" si="38"/>
        <v>4.2653187775606449E-3</v>
      </c>
    </row>
    <row r="173" spans="1:21" x14ac:dyDescent="0.2">
      <c r="A173" s="62" t="e">
        <f t="shared" si="31"/>
        <v>#DIV/0!</v>
      </c>
      <c r="B173" s="45">
        <f t="shared" si="32"/>
        <v>159</v>
      </c>
      <c r="C173" s="51" t="e">
        <f>IF(B173&lt;C$4,C$1,D172-L173+N173)</f>
        <v>#DIV/0!</v>
      </c>
      <c r="D173" s="47" t="e" cm="1">
        <f t="array" ref="D173">_xlfn.IFS(AND($C$7="Y",B173&lt;C$4),C173,AND($C$7="Y",B173=C$4),D172+F173-J173-K173-L173+N173,AND($C$7="Y",B173&gt;$C$4),D172-J173-K173-L173+N173, TRUE, D172-J173-K173-L173+N173)</f>
        <v>#DIV/0!</v>
      </c>
      <c r="E173" s="48">
        <f t="shared" si="33"/>
        <v>0</v>
      </c>
      <c r="F173" s="50">
        <f t="shared" si="34"/>
        <v>0</v>
      </c>
      <c r="G173" s="50">
        <f t="shared" si="39"/>
        <v>0</v>
      </c>
      <c r="H173" s="51" t="e">
        <f>IF(AND($B173&lt;=$C$4,C$7="Y"),0,IF(AND(C$7="N",C$4&gt;0,B173&lt;=C$4),0,(D172-L173+N173)*C$2/12/(1-(1/(1+C$2/12))^(C$3+C$4-B173+1))))</f>
        <v>#DIV/0!</v>
      </c>
      <c r="I173" s="52" t="e">
        <f>IF(AND(C$7="Y",$B173&lt;=C$4),0,IF(AND(C$7="Y",$B173&gt;C$4),(1-U173)*C$2*D172/12,IF(AND($C$7="N",C$4&gt;0),(1-U173)*D172*C$2/12, (1-U173)*D172*C$2/12)))</f>
        <v>#DIV/0!</v>
      </c>
      <c r="J173" s="52" t="e">
        <f>IF(AND($B173&lt;=$C$4,C$7="Y"),0,IF(AND(C$7="N",C$4&gt;0,B173&lt;=C$4),0,H173-I173))</f>
        <v>#DIV/0!</v>
      </c>
      <c r="K173" s="51" t="e">
        <f>IF(AND(C$7="Y",$B173&lt;=$C$4),0,IF(AND(C$7="N",C$4&gt;0,B173&lt;=C$4),0,S173*(C173-J173)))</f>
        <v>#DIV/0!</v>
      </c>
      <c r="L173" s="49" t="e">
        <f>IF(AND(C$7="Y",$B173&lt;=$C$4),0,IF(AND(C$7="N",C$4&gt;0,B173&lt;=C$4),0,U173*D172))</f>
        <v>#DIV/0!</v>
      </c>
      <c r="M173" s="49">
        <f t="shared" ref="M173:M235" si="41">IFERROR(L169*-1,0)</f>
        <v>0</v>
      </c>
      <c r="N173" s="49">
        <f t="shared" si="40"/>
        <v>0</v>
      </c>
      <c r="O173" s="48" t="e">
        <f>K173+I173+J173-L173+N173+G173</f>
        <v>#DIV/0!</v>
      </c>
      <c r="P173" s="38" t="e">
        <f>O173*(1/((1+P$12)^(B173/12)))</f>
        <v>#DIV/0!</v>
      </c>
      <c r="Q173" s="53"/>
      <c r="R173" s="53">
        <f t="shared" si="35"/>
        <v>0</v>
      </c>
      <c r="S173" s="53">
        <f t="shared" si="36"/>
        <v>0</v>
      </c>
      <c r="T173" s="53">
        <f t="shared" si="37"/>
        <v>0.05</v>
      </c>
      <c r="U173" s="53">
        <f t="shared" si="38"/>
        <v>4.2653187775606449E-3</v>
      </c>
    </row>
    <row r="174" spans="1:21" x14ac:dyDescent="0.2">
      <c r="A174" s="62" t="e">
        <f t="shared" si="31"/>
        <v>#DIV/0!</v>
      </c>
      <c r="B174" s="45">
        <f t="shared" si="32"/>
        <v>160</v>
      </c>
      <c r="C174" s="51" t="e">
        <f>IF(B174&lt;C$4,C$1,D173-L174+N174)</f>
        <v>#DIV/0!</v>
      </c>
      <c r="D174" s="47" t="e" cm="1">
        <f t="array" ref="D174">_xlfn.IFS(AND($C$7="Y",B174&lt;C$4),C174,AND($C$7="Y",B174=C$4),D173+F174-J174-K174-L174+N174,AND($C$7="Y",B174&gt;$C$4),D173-J174-K174-L174+N174, TRUE, D173-J174-K174-L174+N174)</f>
        <v>#DIV/0!</v>
      </c>
      <c r="E174" s="48">
        <f t="shared" si="33"/>
        <v>0</v>
      </c>
      <c r="F174" s="50">
        <f t="shared" si="34"/>
        <v>0</v>
      </c>
      <c r="G174" s="50">
        <f t="shared" si="39"/>
        <v>0</v>
      </c>
      <c r="H174" s="51" t="e">
        <f>IF(AND($B174&lt;=$C$4,C$7="Y"),0,IF(AND(C$7="N",C$4&gt;0,B174&lt;=C$4),0,(D173-L174+N174)*C$2/12/(1-(1/(1+C$2/12))^(C$3+C$4-B174+1))))</f>
        <v>#DIV/0!</v>
      </c>
      <c r="I174" s="52" t="e">
        <f>IF(AND(C$7="Y",$B174&lt;=C$4),0,IF(AND(C$7="Y",$B174&gt;C$4),(1-U174)*C$2*D173/12,IF(AND($C$7="N",C$4&gt;0),(1-U174)*D173*C$2/12, (1-U174)*D173*C$2/12)))</f>
        <v>#DIV/0!</v>
      </c>
      <c r="J174" s="52" t="e">
        <f>IF(AND($B174&lt;=$C$4,C$7="Y"),0,IF(AND(C$7="N",C$4&gt;0,B174&lt;=C$4),0,H174-I174))</f>
        <v>#DIV/0!</v>
      </c>
      <c r="K174" s="51" t="e">
        <f>IF(AND(C$7="Y",$B174&lt;=$C$4),0,IF(AND(C$7="N",C$4&gt;0,B174&lt;=C$4),0,S174*(C174-J174)))</f>
        <v>#DIV/0!</v>
      </c>
      <c r="L174" s="49" t="e">
        <f>IF(AND(C$7="Y",$B174&lt;=$C$4),0,IF(AND(C$7="N",C$4&gt;0,B174&lt;=C$4),0,U174*D173))</f>
        <v>#DIV/0!</v>
      </c>
      <c r="M174" s="49">
        <f t="shared" si="41"/>
        <v>0</v>
      </c>
      <c r="N174" s="49">
        <f t="shared" si="40"/>
        <v>0</v>
      </c>
      <c r="O174" s="48" t="e">
        <f>K174+I174+J174-L174+N174+G174</f>
        <v>#DIV/0!</v>
      </c>
      <c r="P174" s="38" t="e">
        <f>O174*(1/((1+P$12)^(B174/12)))</f>
        <v>#DIV/0!</v>
      </c>
      <c r="Q174" s="53"/>
      <c r="R174" s="53">
        <f t="shared" si="35"/>
        <v>0</v>
      </c>
      <c r="S174" s="53">
        <f t="shared" si="36"/>
        <v>0</v>
      </c>
      <c r="T174" s="53">
        <f t="shared" si="37"/>
        <v>0.05</v>
      </c>
      <c r="U174" s="53">
        <f t="shared" si="38"/>
        <v>4.2653187775606449E-3</v>
      </c>
    </row>
    <row r="175" spans="1:21" x14ac:dyDescent="0.2">
      <c r="A175" s="62" t="e">
        <f t="shared" si="31"/>
        <v>#DIV/0!</v>
      </c>
      <c r="B175" s="45">
        <f t="shared" si="32"/>
        <v>161</v>
      </c>
      <c r="C175" s="51" t="e">
        <f>IF(B175&lt;C$4,C$1,D174-L175+N175)</f>
        <v>#DIV/0!</v>
      </c>
      <c r="D175" s="47" t="e" cm="1">
        <f t="array" ref="D175">_xlfn.IFS(AND($C$7="Y",B175&lt;C$4),C175,AND($C$7="Y",B175=C$4),D174+F175-J175-K175-L175+N175,AND($C$7="Y",B175&gt;$C$4),D174-J175-K175-L175+N175, TRUE, D174-J175-K175-L175+N175)</f>
        <v>#DIV/0!</v>
      </c>
      <c r="E175" s="48">
        <f t="shared" si="33"/>
        <v>0</v>
      </c>
      <c r="F175" s="50">
        <f t="shared" si="34"/>
        <v>0</v>
      </c>
      <c r="G175" s="50">
        <f t="shared" si="39"/>
        <v>0</v>
      </c>
      <c r="H175" s="51" t="e">
        <f>IF(AND($B175&lt;=$C$4,C$7="Y"),0,IF(AND(C$7="N",C$4&gt;0,B175&lt;=C$4),0,(D174-L175+N175)*C$2/12/(1-(1/(1+C$2/12))^(C$3+C$4-B175+1))))</f>
        <v>#DIV/0!</v>
      </c>
      <c r="I175" s="52" t="e">
        <f>IF(AND(C$7="Y",$B175&lt;=C$4),0,IF(AND(C$7="Y",$B175&gt;C$4),(1-U175)*C$2*D174/12,IF(AND($C$7="N",C$4&gt;0),(1-U175)*D174*C$2/12, (1-U175)*D174*C$2/12)))</f>
        <v>#DIV/0!</v>
      </c>
      <c r="J175" s="52" t="e">
        <f>IF(AND($B175&lt;=$C$4,C$7="Y"),0,IF(AND(C$7="N",C$4&gt;0,B175&lt;=C$4),0,H175-I175))</f>
        <v>#DIV/0!</v>
      </c>
      <c r="K175" s="51" t="e">
        <f>IF(AND(C$7="Y",$B175&lt;=$C$4),0,IF(AND(C$7="N",C$4&gt;0,B175&lt;=C$4),0,S175*(C175-J175)))</f>
        <v>#DIV/0!</v>
      </c>
      <c r="L175" s="49" t="e">
        <f>IF(AND(C$7="Y",$B175&lt;=$C$4),0,IF(AND(C$7="N",C$4&gt;0,B175&lt;=C$4),0,U175*D174))</f>
        <v>#DIV/0!</v>
      </c>
      <c r="M175" s="49">
        <f t="shared" si="41"/>
        <v>0</v>
      </c>
      <c r="N175" s="49">
        <f t="shared" si="40"/>
        <v>0</v>
      </c>
      <c r="O175" s="48" t="e">
        <f>K175+I175+J175-L175+N175+G175</f>
        <v>#DIV/0!</v>
      </c>
      <c r="P175" s="38" t="e">
        <f>O175*(1/((1+P$12)^(B175/12)))</f>
        <v>#DIV/0!</v>
      </c>
      <c r="Q175" s="53"/>
      <c r="R175" s="53">
        <f t="shared" si="35"/>
        <v>0</v>
      </c>
      <c r="S175" s="53">
        <f t="shared" si="36"/>
        <v>0</v>
      </c>
      <c r="T175" s="53">
        <f t="shared" si="37"/>
        <v>0.05</v>
      </c>
      <c r="U175" s="53">
        <f t="shared" si="38"/>
        <v>4.2653187775606449E-3</v>
      </c>
    </row>
    <row r="176" spans="1:21" x14ac:dyDescent="0.2">
      <c r="A176" s="62" t="e">
        <f t="shared" si="31"/>
        <v>#DIV/0!</v>
      </c>
      <c r="B176" s="45">
        <f t="shared" si="32"/>
        <v>162</v>
      </c>
      <c r="C176" s="51" t="e">
        <f>IF(B176&lt;C$4,C$1,D175-L176+N176)</f>
        <v>#DIV/0!</v>
      </c>
      <c r="D176" s="47" t="e" cm="1">
        <f t="array" ref="D176">_xlfn.IFS(AND($C$7="Y",B176&lt;C$4),C176,AND($C$7="Y",B176=C$4),D175+F176-J176-K176-L176+N176,AND($C$7="Y",B176&gt;$C$4),D175-J176-K176-L176+N176, TRUE, D175-J176-K176-L176+N176)</f>
        <v>#DIV/0!</v>
      </c>
      <c r="E176" s="48">
        <f t="shared" si="33"/>
        <v>0</v>
      </c>
      <c r="F176" s="50">
        <f t="shared" si="34"/>
        <v>0</v>
      </c>
      <c r="G176" s="50">
        <f t="shared" si="39"/>
        <v>0</v>
      </c>
      <c r="H176" s="51" t="e">
        <f>IF(AND($B176&lt;=$C$4,C$7="Y"),0,IF(AND(C$7="N",C$4&gt;0,B176&lt;=C$4),0,(D175-L176+N176)*C$2/12/(1-(1/(1+C$2/12))^(C$3+C$4-B176+1))))</f>
        <v>#DIV/0!</v>
      </c>
      <c r="I176" s="52" t="e">
        <f>IF(AND(C$7="Y",$B176&lt;=C$4),0,IF(AND(C$7="Y",$B176&gt;C$4),(1-U176)*C$2*D175/12,IF(AND($C$7="N",C$4&gt;0),(1-U176)*D175*C$2/12, (1-U176)*D175*C$2/12)))</f>
        <v>#DIV/0!</v>
      </c>
      <c r="J176" s="52" t="e">
        <f>IF(AND($B176&lt;=$C$4,C$7="Y"),0,IF(AND(C$7="N",C$4&gt;0,B176&lt;=C$4),0,H176-I176))</f>
        <v>#DIV/0!</v>
      </c>
      <c r="K176" s="51" t="e">
        <f>IF(AND(C$7="Y",$B176&lt;=$C$4),0,IF(AND(C$7="N",C$4&gt;0,B176&lt;=C$4),0,S176*(C176-J176)))</f>
        <v>#DIV/0!</v>
      </c>
      <c r="L176" s="49" t="e">
        <f>IF(AND(C$7="Y",$B176&lt;=$C$4),0,IF(AND(C$7="N",C$4&gt;0,B176&lt;=C$4),0,U176*D175))</f>
        <v>#DIV/0!</v>
      </c>
      <c r="M176" s="49">
        <f t="shared" si="41"/>
        <v>0</v>
      </c>
      <c r="N176" s="49">
        <f t="shared" si="40"/>
        <v>0</v>
      </c>
      <c r="O176" s="48" t="e">
        <f>K176+I176+J176-L176+N176+G176</f>
        <v>#DIV/0!</v>
      </c>
      <c r="P176" s="38" t="e">
        <f>O176*(1/((1+P$12)^(B176/12)))</f>
        <v>#DIV/0!</v>
      </c>
      <c r="Q176" s="53"/>
      <c r="R176" s="53">
        <f t="shared" si="35"/>
        <v>0</v>
      </c>
      <c r="S176" s="53">
        <f t="shared" si="36"/>
        <v>0</v>
      </c>
      <c r="T176" s="53">
        <f t="shared" si="37"/>
        <v>0.05</v>
      </c>
      <c r="U176" s="53">
        <f t="shared" si="38"/>
        <v>4.2653187775606449E-3</v>
      </c>
    </row>
    <row r="177" spans="1:21" x14ac:dyDescent="0.2">
      <c r="A177" s="62" t="e">
        <f t="shared" si="31"/>
        <v>#DIV/0!</v>
      </c>
      <c r="B177" s="45">
        <f t="shared" si="32"/>
        <v>163</v>
      </c>
      <c r="C177" s="51" t="e">
        <f>IF(B177&lt;C$4,C$1,D176-L177+N177)</f>
        <v>#DIV/0!</v>
      </c>
      <c r="D177" s="47" t="e" cm="1">
        <f t="array" ref="D177">_xlfn.IFS(AND($C$7="Y",B177&lt;C$4),C177,AND($C$7="Y",B177=C$4),D176+F177-J177-K177-L177+N177,AND($C$7="Y",B177&gt;$C$4),D176-J177-K177-L177+N177, TRUE, D176-J177-K177-L177+N177)</f>
        <v>#DIV/0!</v>
      </c>
      <c r="E177" s="48">
        <f t="shared" si="33"/>
        <v>0</v>
      </c>
      <c r="F177" s="50">
        <f t="shared" si="34"/>
        <v>0</v>
      </c>
      <c r="G177" s="50">
        <f t="shared" si="39"/>
        <v>0</v>
      </c>
      <c r="H177" s="51" t="e">
        <f>IF(AND($B177&lt;=$C$4,C$7="Y"),0,IF(AND(C$7="N",C$4&gt;0,B177&lt;=C$4),0,(D176-L177+N177)*C$2/12/(1-(1/(1+C$2/12))^(C$3+C$4-B177+1))))</f>
        <v>#DIV/0!</v>
      </c>
      <c r="I177" s="52" t="e">
        <f>IF(AND(C$7="Y",$B177&lt;=C$4),0,IF(AND(C$7="Y",$B177&gt;C$4),(1-U177)*C$2*D176/12,IF(AND($C$7="N",C$4&gt;0),(1-U177)*D176*C$2/12, (1-U177)*D176*C$2/12)))</f>
        <v>#DIV/0!</v>
      </c>
      <c r="J177" s="52" t="e">
        <f>IF(AND($B177&lt;=$C$4,C$7="Y"),0,IF(AND(C$7="N",C$4&gt;0,B177&lt;=C$4),0,H177-I177))</f>
        <v>#DIV/0!</v>
      </c>
      <c r="K177" s="51" t="e">
        <f>IF(AND(C$7="Y",$B177&lt;=$C$4),0,IF(AND(C$7="N",C$4&gt;0,B177&lt;=C$4),0,S177*(C177-J177)))</f>
        <v>#DIV/0!</v>
      </c>
      <c r="L177" s="49" t="e">
        <f>IF(AND(C$7="Y",$B177&lt;=$C$4),0,IF(AND(C$7="N",C$4&gt;0,B177&lt;=C$4),0,U177*D176))</f>
        <v>#DIV/0!</v>
      </c>
      <c r="M177" s="49">
        <f t="shared" si="41"/>
        <v>0</v>
      </c>
      <c r="N177" s="49">
        <f t="shared" si="40"/>
        <v>0</v>
      </c>
      <c r="O177" s="48" t="e">
        <f>K177+I177+J177-L177+N177+G177</f>
        <v>#DIV/0!</v>
      </c>
      <c r="P177" s="38" t="e">
        <f>O177*(1/((1+P$12)^(B177/12)))</f>
        <v>#DIV/0!</v>
      </c>
      <c r="Q177" s="53"/>
      <c r="R177" s="53">
        <f t="shared" si="35"/>
        <v>0</v>
      </c>
      <c r="S177" s="53">
        <f t="shared" si="36"/>
        <v>0</v>
      </c>
      <c r="T177" s="53">
        <f t="shared" si="37"/>
        <v>0.05</v>
      </c>
      <c r="U177" s="53">
        <f t="shared" si="38"/>
        <v>4.2653187775606449E-3</v>
      </c>
    </row>
    <row r="178" spans="1:21" x14ac:dyDescent="0.2">
      <c r="A178" s="62" t="e">
        <f t="shared" si="31"/>
        <v>#DIV/0!</v>
      </c>
      <c r="B178" s="45">
        <f t="shared" si="32"/>
        <v>164</v>
      </c>
      <c r="C178" s="51" t="e">
        <f>IF(B178&lt;C$4,C$1,D177-L178+N178)</f>
        <v>#DIV/0!</v>
      </c>
      <c r="D178" s="47" t="e" cm="1">
        <f t="array" ref="D178">_xlfn.IFS(AND($C$7="Y",B178&lt;C$4),C178,AND($C$7="Y",B178=C$4),D177+F178-J178-K178-L178+N178,AND($C$7="Y",B178&gt;$C$4),D177-J178-K178-L178+N178, TRUE, D177-J178-K178-L178+N178)</f>
        <v>#DIV/0!</v>
      </c>
      <c r="E178" s="48">
        <f t="shared" si="33"/>
        <v>0</v>
      </c>
      <c r="F178" s="50">
        <f t="shared" si="34"/>
        <v>0</v>
      </c>
      <c r="G178" s="50">
        <f t="shared" si="39"/>
        <v>0</v>
      </c>
      <c r="H178" s="51" t="e">
        <f>IF(AND($B178&lt;=$C$4,C$7="Y"),0,IF(AND(C$7="N",C$4&gt;0,B178&lt;=C$4),0,(D177-L178+N178)*C$2/12/(1-(1/(1+C$2/12))^(C$3+C$4-B178+1))))</f>
        <v>#DIV/0!</v>
      </c>
      <c r="I178" s="52" t="e">
        <f>IF(AND(C$7="Y",$B178&lt;=C$4),0,IF(AND(C$7="Y",$B178&gt;C$4),(1-U178)*C$2*D177/12,IF(AND($C$7="N",C$4&gt;0),(1-U178)*D177*C$2/12, (1-U178)*D177*C$2/12)))</f>
        <v>#DIV/0!</v>
      </c>
      <c r="J178" s="52" t="e">
        <f>IF(AND($B178&lt;=$C$4,C$7="Y"),0,IF(AND(C$7="N",C$4&gt;0,B178&lt;=C$4),0,H178-I178))</f>
        <v>#DIV/0!</v>
      </c>
      <c r="K178" s="51" t="e">
        <f>IF(AND(C$7="Y",$B178&lt;=$C$4),0,IF(AND(C$7="N",C$4&gt;0,B178&lt;=C$4),0,S178*(C178-J178)))</f>
        <v>#DIV/0!</v>
      </c>
      <c r="L178" s="49" t="e">
        <f>IF(AND(C$7="Y",$B178&lt;=$C$4),0,IF(AND(C$7="N",C$4&gt;0,B178&lt;=C$4),0,U178*D177))</f>
        <v>#DIV/0!</v>
      </c>
      <c r="M178" s="49">
        <f t="shared" si="41"/>
        <v>0</v>
      </c>
      <c r="N178" s="49">
        <f t="shared" si="40"/>
        <v>0</v>
      </c>
      <c r="O178" s="48" t="e">
        <f>K178+I178+J178-L178+N178+G178</f>
        <v>#DIV/0!</v>
      </c>
      <c r="P178" s="38" t="e">
        <f>O178*(1/((1+P$12)^(B178/12)))</f>
        <v>#DIV/0!</v>
      </c>
      <c r="Q178" s="53"/>
      <c r="R178" s="53">
        <f t="shared" si="35"/>
        <v>0</v>
      </c>
      <c r="S178" s="53">
        <f t="shared" si="36"/>
        <v>0</v>
      </c>
      <c r="T178" s="53">
        <f t="shared" si="37"/>
        <v>0.05</v>
      </c>
      <c r="U178" s="53">
        <f t="shared" si="38"/>
        <v>4.2653187775606449E-3</v>
      </c>
    </row>
    <row r="179" spans="1:21" x14ac:dyDescent="0.2">
      <c r="A179" s="62" t="e">
        <f t="shared" si="31"/>
        <v>#DIV/0!</v>
      </c>
      <c r="B179" s="45">
        <f t="shared" si="32"/>
        <v>165</v>
      </c>
      <c r="C179" s="51" t="e">
        <f>IF(B179&lt;C$4,C$1,D178-L179+N179)</f>
        <v>#DIV/0!</v>
      </c>
      <c r="D179" s="47" t="e" cm="1">
        <f t="array" ref="D179">_xlfn.IFS(AND($C$7="Y",B179&lt;C$4),C179,AND($C$7="Y",B179=C$4),D178+F179-J179-K179-L179+N179,AND($C$7="Y",B179&gt;$C$4),D178-J179-K179-L179+N179, TRUE, D178-J179-K179-L179+N179)</f>
        <v>#DIV/0!</v>
      </c>
      <c r="E179" s="48">
        <f t="shared" si="33"/>
        <v>0</v>
      </c>
      <c r="F179" s="50">
        <f t="shared" si="34"/>
        <v>0</v>
      </c>
      <c r="G179" s="50">
        <f t="shared" si="39"/>
        <v>0</v>
      </c>
      <c r="H179" s="51" t="e">
        <f>IF(AND($B179&lt;=$C$4,C$7="Y"),0,IF(AND(C$7="N",C$4&gt;0,B179&lt;=C$4),0,(D178-L179+N179)*C$2/12/(1-(1/(1+C$2/12))^(C$3+C$4-B179+1))))</f>
        <v>#DIV/0!</v>
      </c>
      <c r="I179" s="52" t="e">
        <f>IF(AND(C$7="Y",$B179&lt;=C$4),0,IF(AND(C$7="Y",$B179&gt;C$4),(1-U179)*C$2*D178/12,IF(AND($C$7="N",C$4&gt;0),(1-U179)*D178*C$2/12, (1-U179)*D178*C$2/12)))</f>
        <v>#DIV/0!</v>
      </c>
      <c r="J179" s="52" t="e">
        <f>IF(AND($B179&lt;=$C$4,C$7="Y"),0,IF(AND(C$7="N",C$4&gt;0,B179&lt;=C$4),0,H179-I179))</f>
        <v>#DIV/0!</v>
      </c>
      <c r="K179" s="51" t="e">
        <f>IF(AND(C$7="Y",$B179&lt;=$C$4),0,IF(AND(C$7="N",C$4&gt;0,B179&lt;=C$4),0,S179*(C179-J179)))</f>
        <v>#DIV/0!</v>
      </c>
      <c r="L179" s="49" t="e">
        <f>IF(AND(C$7="Y",$B179&lt;=$C$4),0,IF(AND(C$7="N",C$4&gt;0,B179&lt;=C$4),0,U179*D178))</f>
        <v>#DIV/0!</v>
      </c>
      <c r="M179" s="49">
        <f t="shared" si="41"/>
        <v>0</v>
      </c>
      <c r="N179" s="49">
        <f t="shared" si="40"/>
        <v>0</v>
      </c>
      <c r="O179" s="48" t="e">
        <f>K179+I179+J179-L179+N179+G179</f>
        <v>#DIV/0!</v>
      </c>
      <c r="P179" s="38" t="e">
        <f>O179*(1/((1+P$12)^(B179/12)))</f>
        <v>#DIV/0!</v>
      </c>
      <c r="Q179" s="53"/>
      <c r="R179" s="53">
        <f t="shared" si="35"/>
        <v>0</v>
      </c>
      <c r="S179" s="53">
        <f t="shared" si="36"/>
        <v>0</v>
      </c>
      <c r="T179" s="53">
        <f t="shared" si="37"/>
        <v>0.05</v>
      </c>
      <c r="U179" s="53">
        <f t="shared" si="38"/>
        <v>4.2653187775606449E-3</v>
      </c>
    </row>
    <row r="180" spans="1:21" x14ac:dyDescent="0.2">
      <c r="A180" s="62" t="e">
        <f t="shared" si="31"/>
        <v>#DIV/0!</v>
      </c>
      <c r="B180" s="45">
        <f t="shared" si="32"/>
        <v>166</v>
      </c>
      <c r="C180" s="51" t="e">
        <f>IF(B180&lt;C$4,C$1,D179-L180+N180)</f>
        <v>#DIV/0!</v>
      </c>
      <c r="D180" s="47" t="e" cm="1">
        <f t="array" ref="D180">_xlfn.IFS(AND($C$7="Y",B180&lt;C$4),C180,AND($C$7="Y",B180=C$4),D179+F180-J180-K180-L180+N180,AND($C$7="Y",B180&gt;$C$4),D179-J180-K180-L180+N180, TRUE, D179-J180-K180-L180+N180)</f>
        <v>#DIV/0!</v>
      </c>
      <c r="E180" s="48">
        <f t="shared" si="33"/>
        <v>0</v>
      </c>
      <c r="F180" s="50">
        <f t="shared" si="34"/>
        <v>0</v>
      </c>
      <c r="G180" s="50">
        <f t="shared" si="39"/>
        <v>0</v>
      </c>
      <c r="H180" s="51" t="e">
        <f>IF(AND($B180&lt;=$C$4,C$7="Y"),0,IF(AND(C$7="N",C$4&gt;0,B180&lt;=C$4),0,(D179-L180+N180)*C$2/12/(1-(1/(1+C$2/12))^(C$3+C$4-B180+1))))</f>
        <v>#DIV/0!</v>
      </c>
      <c r="I180" s="52" t="e">
        <f>IF(AND(C$7="Y",$B180&lt;=C$4),0,IF(AND(C$7="Y",$B180&gt;C$4),(1-U180)*C$2*D179/12,IF(AND($C$7="N",C$4&gt;0),(1-U180)*D179*C$2/12, (1-U180)*D179*C$2/12)))</f>
        <v>#DIV/0!</v>
      </c>
      <c r="J180" s="52" t="e">
        <f>IF(AND($B180&lt;=$C$4,C$7="Y"),0,IF(AND(C$7="N",C$4&gt;0,B180&lt;=C$4),0,H180-I180))</f>
        <v>#DIV/0!</v>
      </c>
      <c r="K180" s="51" t="e">
        <f>IF(AND(C$7="Y",$B180&lt;=$C$4),0,IF(AND(C$7="N",C$4&gt;0,B180&lt;=C$4),0,S180*(C180-J180)))</f>
        <v>#DIV/0!</v>
      </c>
      <c r="L180" s="49" t="e">
        <f>IF(AND(C$7="Y",$B180&lt;=$C$4),0,IF(AND(C$7="N",C$4&gt;0,B180&lt;=C$4),0,U180*D179))</f>
        <v>#DIV/0!</v>
      </c>
      <c r="M180" s="49">
        <f t="shared" si="41"/>
        <v>0</v>
      </c>
      <c r="N180" s="49">
        <f t="shared" si="40"/>
        <v>0</v>
      </c>
      <c r="O180" s="48" t="e">
        <f>K180+I180+J180-L180+N180+G180</f>
        <v>#DIV/0!</v>
      </c>
      <c r="P180" s="38" t="e">
        <f>O180*(1/((1+P$12)^(B180/12)))</f>
        <v>#DIV/0!</v>
      </c>
      <c r="Q180" s="53"/>
      <c r="R180" s="53">
        <f t="shared" si="35"/>
        <v>0</v>
      </c>
      <c r="S180" s="53">
        <f t="shared" si="36"/>
        <v>0</v>
      </c>
      <c r="T180" s="53">
        <f t="shared" si="37"/>
        <v>0.05</v>
      </c>
      <c r="U180" s="53">
        <f t="shared" si="38"/>
        <v>4.2653187775606449E-3</v>
      </c>
    </row>
    <row r="181" spans="1:21" x14ac:dyDescent="0.2">
      <c r="A181" s="62" t="e">
        <f t="shared" si="31"/>
        <v>#DIV/0!</v>
      </c>
      <c r="B181" s="45">
        <f t="shared" si="32"/>
        <v>167</v>
      </c>
      <c r="C181" s="51" t="e">
        <f>IF(B181&lt;C$4,C$1,D180-L181+N181)</f>
        <v>#DIV/0!</v>
      </c>
      <c r="D181" s="47" t="e" cm="1">
        <f t="array" ref="D181">_xlfn.IFS(AND($C$7="Y",B181&lt;C$4),C181,AND($C$7="Y",B181=C$4),D180+F181-J181-K181-L181+N181,AND($C$7="Y",B181&gt;$C$4),D180-J181-K181-L181+N181, TRUE, D180-J181-K181-L181+N181)</f>
        <v>#DIV/0!</v>
      </c>
      <c r="E181" s="48">
        <f t="shared" si="33"/>
        <v>0</v>
      </c>
      <c r="F181" s="50">
        <f t="shared" si="34"/>
        <v>0</v>
      </c>
      <c r="G181" s="50">
        <f t="shared" si="39"/>
        <v>0</v>
      </c>
      <c r="H181" s="51" t="e">
        <f>IF(AND($B181&lt;=$C$4,C$7="Y"),0,IF(AND(C$7="N",C$4&gt;0,B181&lt;=C$4),0,(D180-L181+N181)*C$2/12/(1-(1/(1+C$2/12))^(C$3+C$4-B181+1))))</f>
        <v>#DIV/0!</v>
      </c>
      <c r="I181" s="52" t="e">
        <f>IF(AND(C$7="Y",$B181&lt;=C$4),0,IF(AND(C$7="Y",$B181&gt;C$4),(1-U181)*C$2*D180/12,IF(AND($C$7="N",C$4&gt;0),(1-U181)*D180*C$2/12, (1-U181)*D180*C$2/12)))</f>
        <v>#DIV/0!</v>
      </c>
      <c r="J181" s="52" t="e">
        <f>IF(AND($B181&lt;=$C$4,C$7="Y"),0,IF(AND(C$7="N",C$4&gt;0,B181&lt;=C$4),0,H181-I181))</f>
        <v>#DIV/0!</v>
      </c>
      <c r="K181" s="51" t="e">
        <f>IF(AND(C$7="Y",$B181&lt;=$C$4),0,IF(AND(C$7="N",C$4&gt;0,B181&lt;=C$4),0,S181*(C181-J181)))</f>
        <v>#DIV/0!</v>
      </c>
      <c r="L181" s="49" t="e">
        <f>IF(AND(C$7="Y",$B181&lt;=$C$4),0,IF(AND(C$7="N",C$4&gt;0,B181&lt;=C$4),0,U181*D180))</f>
        <v>#DIV/0!</v>
      </c>
      <c r="M181" s="49">
        <f t="shared" si="41"/>
        <v>0</v>
      </c>
      <c r="N181" s="49">
        <f t="shared" si="40"/>
        <v>0</v>
      </c>
      <c r="O181" s="48" t="e">
        <f>K181+I181+J181-L181+N181+G181</f>
        <v>#DIV/0!</v>
      </c>
      <c r="P181" s="38" t="e">
        <f>O181*(1/((1+P$12)^(B181/12)))</f>
        <v>#DIV/0!</v>
      </c>
      <c r="Q181" s="53"/>
      <c r="R181" s="53">
        <f t="shared" si="35"/>
        <v>0</v>
      </c>
      <c r="S181" s="53">
        <f t="shared" si="36"/>
        <v>0</v>
      </c>
      <c r="T181" s="53">
        <f t="shared" si="37"/>
        <v>0.05</v>
      </c>
      <c r="U181" s="53">
        <f t="shared" si="38"/>
        <v>4.2653187775606449E-3</v>
      </c>
    </row>
    <row r="182" spans="1:21" x14ac:dyDescent="0.2">
      <c r="A182" s="62" t="e">
        <f t="shared" si="31"/>
        <v>#DIV/0!</v>
      </c>
      <c r="B182" s="45">
        <f t="shared" si="32"/>
        <v>168</v>
      </c>
      <c r="C182" s="51" t="e">
        <f>IF(B182&lt;C$4,C$1,D181-L182+N182)</f>
        <v>#DIV/0!</v>
      </c>
      <c r="D182" s="47" t="e" cm="1">
        <f t="array" ref="D182">_xlfn.IFS(AND($C$7="Y",B182&lt;C$4),C182,AND($C$7="Y",B182=C$4),D181+F182-J182-K182-L182+N182,AND($C$7="Y",B182&gt;$C$4),D181-J182-K182-L182+N182, TRUE, D181-J182-K182-L182+N182)</f>
        <v>#DIV/0!</v>
      </c>
      <c r="E182" s="48">
        <f t="shared" si="33"/>
        <v>0</v>
      </c>
      <c r="F182" s="50">
        <f t="shared" si="34"/>
        <v>0</v>
      </c>
      <c r="G182" s="50">
        <f t="shared" si="39"/>
        <v>0</v>
      </c>
      <c r="H182" s="51" t="e">
        <f>IF(AND($B182&lt;=$C$4,C$7="Y"),0,IF(AND(C$7="N",C$4&gt;0,B182&lt;=C$4),0,(D181-L182+N182)*C$2/12/(1-(1/(1+C$2/12))^(C$3+C$4-B182+1))))</f>
        <v>#DIV/0!</v>
      </c>
      <c r="I182" s="52" t="e">
        <f>IF(AND(C$7="Y",$B182&lt;=C$4),0,IF(AND(C$7="Y",$B182&gt;C$4),(1-U182)*C$2*D181/12,IF(AND($C$7="N",C$4&gt;0),(1-U182)*D181*C$2/12, (1-U182)*D181*C$2/12)))</f>
        <v>#DIV/0!</v>
      </c>
      <c r="J182" s="52" t="e">
        <f>IF(AND($B182&lt;=$C$4,C$7="Y"),0,IF(AND(C$7="N",C$4&gt;0,B182&lt;=C$4),0,H182-I182))</f>
        <v>#DIV/0!</v>
      </c>
      <c r="K182" s="51" t="e">
        <f>IF(AND(C$7="Y",$B182&lt;=$C$4),0,IF(AND(C$7="N",C$4&gt;0,B182&lt;=C$4),0,S182*(C182-J182)))</f>
        <v>#DIV/0!</v>
      </c>
      <c r="L182" s="49" t="e">
        <f>IF(AND(C$7="Y",$B182&lt;=$C$4),0,IF(AND(C$7="N",C$4&gt;0,B182&lt;=C$4),0,U182*D181))</f>
        <v>#DIV/0!</v>
      </c>
      <c r="M182" s="49">
        <f t="shared" si="41"/>
        <v>0</v>
      </c>
      <c r="N182" s="49">
        <f t="shared" si="40"/>
        <v>0</v>
      </c>
      <c r="O182" s="48" t="e">
        <f>K182+I182+J182-L182+N182+G182</f>
        <v>#DIV/0!</v>
      </c>
      <c r="P182" s="38" t="e">
        <f>O182*(1/((1+P$12)^(B182/12)))</f>
        <v>#DIV/0!</v>
      </c>
      <c r="Q182" s="53"/>
      <c r="R182" s="53">
        <f t="shared" si="35"/>
        <v>0</v>
      </c>
      <c r="S182" s="53">
        <f t="shared" si="36"/>
        <v>0</v>
      </c>
      <c r="T182" s="53">
        <f t="shared" si="37"/>
        <v>0.05</v>
      </c>
      <c r="U182" s="53">
        <f t="shared" si="38"/>
        <v>4.2653187775606449E-3</v>
      </c>
    </row>
    <row r="183" spans="1:21" x14ac:dyDescent="0.2">
      <c r="A183" s="62" t="e">
        <f t="shared" si="31"/>
        <v>#DIV/0!</v>
      </c>
      <c r="B183" s="45">
        <f t="shared" si="32"/>
        <v>169</v>
      </c>
      <c r="C183" s="51" t="e">
        <f>IF(B183&lt;C$4,C$1,D182-L183+N183)</f>
        <v>#DIV/0!</v>
      </c>
      <c r="D183" s="47" t="e" cm="1">
        <f t="array" ref="D183">_xlfn.IFS(AND($C$7="Y",B183&lt;C$4),C183,AND($C$7="Y",B183=C$4),D182+F183-J183-K183-L183+N183,AND($C$7="Y",B183&gt;$C$4),D182-J183-K183-L183+N183, TRUE, D182-J183-K183-L183+N183)</f>
        <v>#DIV/0!</v>
      </c>
      <c r="E183" s="48">
        <f t="shared" si="33"/>
        <v>0</v>
      </c>
      <c r="F183" s="50">
        <f t="shared" si="34"/>
        <v>0</v>
      </c>
      <c r="G183" s="50">
        <f t="shared" si="39"/>
        <v>0</v>
      </c>
      <c r="H183" s="51" t="e">
        <f>IF(AND($B183&lt;=$C$4,C$7="Y"),0,IF(AND(C$7="N",C$4&gt;0,B183&lt;=C$4),0,(D182-L183+N183)*C$2/12/(1-(1/(1+C$2/12))^(C$3+C$4-B183+1))))</f>
        <v>#DIV/0!</v>
      </c>
      <c r="I183" s="52" t="e">
        <f>IF(AND(C$7="Y",$B183&lt;=C$4),0,IF(AND(C$7="Y",$B183&gt;C$4),(1-U183)*C$2*D182/12,IF(AND($C$7="N",C$4&gt;0),(1-U183)*D182*C$2/12, (1-U183)*D182*C$2/12)))</f>
        <v>#DIV/0!</v>
      </c>
      <c r="J183" s="52" t="e">
        <f>IF(AND($B183&lt;=$C$4,C$7="Y"),0,IF(AND(C$7="N",C$4&gt;0,B183&lt;=C$4),0,H183-I183))</f>
        <v>#DIV/0!</v>
      </c>
      <c r="K183" s="51" t="e">
        <f>IF(AND(C$7="Y",$B183&lt;=$C$4),0,IF(AND(C$7="N",C$4&gt;0,B183&lt;=C$4),0,S183*(C183-J183)))</f>
        <v>#DIV/0!</v>
      </c>
      <c r="L183" s="49" t="e">
        <f>IF(AND(C$7="Y",$B183&lt;=$C$4),0,IF(AND(C$7="N",C$4&gt;0,B183&lt;=C$4),0,U183*D182))</f>
        <v>#DIV/0!</v>
      </c>
      <c r="M183" s="49">
        <f t="shared" si="41"/>
        <v>0</v>
      </c>
      <c r="N183" s="49">
        <f t="shared" si="40"/>
        <v>0</v>
      </c>
      <c r="O183" s="48" t="e">
        <f>K183+I183+J183-L183+N183+G183</f>
        <v>#DIV/0!</v>
      </c>
      <c r="P183" s="38" t="e">
        <f>O183*(1/((1+P$12)^(B183/12)))</f>
        <v>#DIV/0!</v>
      </c>
      <c r="Q183" s="53"/>
      <c r="R183" s="53">
        <f t="shared" si="35"/>
        <v>0</v>
      </c>
      <c r="S183" s="53">
        <f t="shared" si="36"/>
        <v>0</v>
      </c>
      <c r="T183" s="53">
        <f t="shared" si="37"/>
        <v>0.05</v>
      </c>
      <c r="U183" s="53">
        <f t="shared" si="38"/>
        <v>4.2653187775606449E-3</v>
      </c>
    </row>
    <row r="184" spans="1:21" x14ac:dyDescent="0.2">
      <c r="A184" s="62" t="e">
        <f t="shared" si="31"/>
        <v>#DIV/0!</v>
      </c>
      <c r="B184" s="45">
        <f t="shared" si="32"/>
        <v>170</v>
      </c>
      <c r="C184" s="51" t="e">
        <f>IF(B184&lt;C$4,C$1,D183-L184+N184)</f>
        <v>#DIV/0!</v>
      </c>
      <c r="D184" s="47" t="e" cm="1">
        <f t="array" ref="D184">_xlfn.IFS(AND($C$7="Y",B184&lt;C$4),C184,AND($C$7="Y",B184=C$4),D183+F184-J184-K184-L184+N184,AND($C$7="Y",B184&gt;$C$4),D183-J184-K184-L184+N184, TRUE, D183-J184-K184-L184+N184)</f>
        <v>#DIV/0!</v>
      </c>
      <c r="E184" s="48">
        <f t="shared" si="33"/>
        <v>0</v>
      </c>
      <c r="F184" s="50">
        <f t="shared" si="34"/>
        <v>0</v>
      </c>
      <c r="G184" s="50">
        <f t="shared" si="39"/>
        <v>0</v>
      </c>
      <c r="H184" s="51" t="e">
        <f>IF(AND($B184&lt;=$C$4,C$7="Y"),0,IF(AND(C$7="N",C$4&gt;0,B184&lt;=C$4),0,(D183-L184+N184)*C$2/12/(1-(1/(1+C$2/12))^(C$3+C$4-B184+1))))</f>
        <v>#DIV/0!</v>
      </c>
      <c r="I184" s="52" t="e">
        <f>IF(AND(C$7="Y",$B184&lt;=C$4),0,IF(AND(C$7="Y",$B184&gt;C$4),(1-U184)*C$2*D183/12,IF(AND($C$7="N",C$4&gt;0),(1-U184)*D183*C$2/12, (1-U184)*D183*C$2/12)))</f>
        <v>#DIV/0!</v>
      </c>
      <c r="J184" s="52" t="e">
        <f>IF(AND($B184&lt;=$C$4,C$7="Y"),0,IF(AND(C$7="N",C$4&gt;0,B184&lt;=C$4),0,H184-I184))</f>
        <v>#DIV/0!</v>
      </c>
      <c r="K184" s="51" t="e">
        <f>IF(AND(C$7="Y",$B184&lt;=$C$4),0,IF(AND(C$7="N",C$4&gt;0,B184&lt;=C$4),0,S184*(C184-J184)))</f>
        <v>#DIV/0!</v>
      </c>
      <c r="L184" s="49" t="e">
        <f>IF(AND(C$7="Y",$B184&lt;=$C$4),0,IF(AND(C$7="N",C$4&gt;0,B184&lt;=C$4),0,U184*D183))</f>
        <v>#DIV/0!</v>
      </c>
      <c r="M184" s="49">
        <f t="shared" si="41"/>
        <v>0</v>
      </c>
      <c r="N184" s="49">
        <f t="shared" si="40"/>
        <v>0</v>
      </c>
      <c r="O184" s="48" t="e">
        <f>K184+I184+J184-L184+N184+G184</f>
        <v>#DIV/0!</v>
      </c>
      <c r="P184" s="38" t="e">
        <f>O184*(1/((1+P$12)^(B184/12)))</f>
        <v>#DIV/0!</v>
      </c>
      <c r="Q184" s="53"/>
      <c r="R184" s="53">
        <f t="shared" si="35"/>
        <v>0</v>
      </c>
      <c r="S184" s="53">
        <f t="shared" si="36"/>
        <v>0</v>
      </c>
      <c r="T184" s="53">
        <f t="shared" si="37"/>
        <v>0.05</v>
      </c>
      <c r="U184" s="53">
        <f t="shared" si="38"/>
        <v>4.2653187775606449E-3</v>
      </c>
    </row>
    <row r="185" spans="1:21" x14ac:dyDescent="0.2">
      <c r="A185" s="62" t="e">
        <f t="shared" si="31"/>
        <v>#DIV/0!</v>
      </c>
      <c r="B185" s="45">
        <f t="shared" si="32"/>
        <v>171</v>
      </c>
      <c r="C185" s="51" t="e">
        <f>IF(B185&lt;C$4,C$1,D184-L185+N185)</f>
        <v>#DIV/0!</v>
      </c>
      <c r="D185" s="47" t="e" cm="1">
        <f t="array" ref="D185">_xlfn.IFS(AND($C$7="Y",B185&lt;C$4),C185,AND($C$7="Y",B185=C$4),D184+F185-J185-K185-L185+N185,AND($C$7="Y",B185&gt;$C$4),D184-J185-K185-L185+N185, TRUE, D184-J185-K185-L185+N185)</f>
        <v>#DIV/0!</v>
      </c>
      <c r="E185" s="48">
        <f t="shared" si="33"/>
        <v>0</v>
      </c>
      <c r="F185" s="50">
        <f t="shared" si="34"/>
        <v>0</v>
      </c>
      <c r="G185" s="50">
        <f t="shared" si="39"/>
        <v>0</v>
      </c>
      <c r="H185" s="51" t="e">
        <f>IF(AND($B185&lt;=$C$4,C$7="Y"),0,IF(AND(C$7="N",C$4&gt;0,B185&lt;=C$4),0,(D184-L185+N185)*C$2/12/(1-(1/(1+C$2/12))^(C$3+C$4-B185+1))))</f>
        <v>#DIV/0!</v>
      </c>
      <c r="I185" s="52" t="e">
        <f>IF(AND(C$7="Y",$B185&lt;=C$4),0,IF(AND(C$7="Y",$B185&gt;C$4),(1-U185)*C$2*D184/12,IF(AND($C$7="N",C$4&gt;0),(1-U185)*D184*C$2/12, (1-U185)*D184*C$2/12)))</f>
        <v>#DIV/0!</v>
      </c>
      <c r="J185" s="52" t="e">
        <f>IF(AND($B185&lt;=$C$4,C$7="Y"),0,IF(AND(C$7="N",C$4&gt;0,B185&lt;=C$4),0,H185-I185))</f>
        <v>#DIV/0!</v>
      </c>
      <c r="K185" s="51" t="e">
        <f>IF(AND(C$7="Y",$B185&lt;=$C$4),0,IF(AND(C$7="N",C$4&gt;0,B185&lt;=C$4),0,S185*(C185-J185)))</f>
        <v>#DIV/0!</v>
      </c>
      <c r="L185" s="49" t="e">
        <f>IF(AND(C$7="Y",$B185&lt;=$C$4),0,IF(AND(C$7="N",C$4&gt;0,B185&lt;=C$4),0,U185*D184))</f>
        <v>#DIV/0!</v>
      </c>
      <c r="M185" s="49">
        <f t="shared" si="41"/>
        <v>0</v>
      </c>
      <c r="N185" s="49">
        <f t="shared" si="40"/>
        <v>0</v>
      </c>
      <c r="O185" s="48" t="e">
        <f>K185+I185+J185-L185+N185+G185</f>
        <v>#DIV/0!</v>
      </c>
      <c r="P185" s="38" t="e">
        <f>O185*(1/((1+P$12)^(B185/12)))</f>
        <v>#DIV/0!</v>
      </c>
      <c r="Q185" s="53"/>
      <c r="R185" s="53">
        <f t="shared" si="35"/>
        <v>0</v>
      </c>
      <c r="S185" s="53">
        <f t="shared" si="36"/>
        <v>0</v>
      </c>
      <c r="T185" s="53">
        <f t="shared" si="37"/>
        <v>0.05</v>
      </c>
      <c r="U185" s="53">
        <f t="shared" si="38"/>
        <v>4.2653187775606449E-3</v>
      </c>
    </row>
    <row r="186" spans="1:21" x14ac:dyDescent="0.2">
      <c r="A186" s="62" t="e">
        <f t="shared" si="31"/>
        <v>#DIV/0!</v>
      </c>
      <c r="B186" s="45">
        <f t="shared" si="32"/>
        <v>172</v>
      </c>
      <c r="C186" s="51" t="e">
        <f>IF(B186&lt;C$4,C$1,D185-L186+N186)</f>
        <v>#DIV/0!</v>
      </c>
      <c r="D186" s="47" t="e" cm="1">
        <f t="array" ref="D186">_xlfn.IFS(AND($C$7="Y",B186&lt;C$4),C186,AND($C$7="Y",B186=C$4),D185+F186-J186-K186-L186+N186,AND($C$7="Y",B186&gt;$C$4),D185-J186-K186-L186+N186, TRUE, D185-J186-K186-L186+N186)</f>
        <v>#DIV/0!</v>
      </c>
      <c r="E186" s="48">
        <f t="shared" si="33"/>
        <v>0</v>
      </c>
      <c r="F186" s="50">
        <f t="shared" si="34"/>
        <v>0</v>
      </c>
      <c r="G186" s="50">
        <f t="shared" si="39"/>
        <v>0</v>
      </c>
      <c r="H186" s="51" t="e">
        <f>IF(AND($B186&lt;=$C$4,C$7="Y"),0,IF(AND(C$7="N",C$4&gt;0,B186&lt;=C$4),0,(D185-L186+N186)*C$2/12/(1-(1/(1+C$2/12))^(C$3+C$4-B186+1))))</f>
        <v>#DIV/0!</v>
      </c>
      <c r="I186" s="52" t="e">
        <f>IF(AND(C$7="Y",$B186&lt;=C$4),0,IF(AND(C$7="Y",$B186&gt;C$4),(1-U186)*C$2*D185/12,IF(AND($C$7="N",C$4&gt;0),(1-U186)*D185*C$2/12, (1-U186)*D185*C$2/12)))</f>
        <v>#DIV/0!</v>
      </c>
      <c r="J186" s="52" t="e">
        <f>IF(AND($B186&lt;=$C$4,C$7="Y"),0,IF(AND(C$7="N",C$4&gt;0,B186&lt;=C$4),0,H186-I186))</f>
        <v>#DIV/0!</v>
      </c>
      <c r="K186" s="51" t="e">
        <f>IF(AND(C$7="Y",$B186&lt;=$C$4),0,IF(AND(C$7="N",C$4&gt;0,B186&lt;=C$4),0,S186*(C186-J186)))</f>
        <v>#DIV/0!</v>
      </c>
      <c r="L186" s="49" t="e">
        <f>IF(AND(C$7="Y",$B186&lt;=$C$4),0,IF(AND(C$7="N",C$4&gt;0,B186&lt;=C$4),0,U186*D185))</f>
        <v>#DIV/0!</v>
      </c>
      <c r="M186" s="49">
        <f t="shared" si="41"/>
        <v>0</v>
      </c>
      <c r="N186" s="49">
        <f t="shared" si="40"/>
        <v>0</v>
      </c>
      <c r="O186" s="48" t="e">
        <f>K186+I186+J186-L186+N186+G186</f>
        <v>#DIV/0!</v>
      </c>
      <c r="P186" s="38" t="e">
        <f>O186*(1/((1+P$12)^(B186/12)))</f>
        <v>#DIV/0!</v>
      </c>
      <c r="Q186" s="53"/>
      <c r="R186" s="53">
        <f t="shared" si="35"/>
        <v>0</v>
      </c>
      <c r="S186" s="53">
        <f t="shared" si="36"/>
        <v>0</v>
      </c>
      <c r="T186" s="53">
        <f t="shared" si="37"/>
        <v>0.05</v>
      </c>
      <c r="U186" s="53">
        <f t="shared" si="38"/>
        <v>4.2653187775606449E-3</v>
      </c>
    </row>
    <row r="187" spans="1:21" x14ac:dyDescent="0.2">
      <c r="A187" s="62" t="e">
        <f t="shared" si="31"/>
        <v>#DIV/0!</v>
      </c>
      <c r="B187" s="45">
        <f t="shared" si="32"/>
        <v>173</v>
      </c>
      <c r="C187" s="51" t="e">
        <f>IF(B187&lt;C$4,C$1,D186-L187+N187)</f>
        <v>#DIV/0!</v>
      </c>
      <c r="D187" s="47" t="e" cm="1">
        <f t="array" ref="D187">_xlfn.IFS(AND($C$7="Y",B187&lt;C$4),C187,AND($C$7="Y",B187=C$4),D186+F187-J187-K187-L187+N187,AND($C$7="Y",B187&gt;$C$4),D186-J187-K187-L187+N187, TRUE, D186-J187-K187-L187+N187)</f>
        <v>#DIV/0!</v>
      </c>
      <c r="E187" s="48">
        <f t="shared" si="33"/>
        <v>0</v>
      </c>
      <c r="F187" s="50">
        <f t="shared" si="34"/>
        <v>0</v>
      </c>
      <c r="G187" s="50">
        <f t="shared" si="39"/>
        <v>0</v>
      </c>
      <c r="H187" s="51" t="e">
        <f>IF(AND($B187&lt;=$C$4,C$7="Y"),0,IF(AND(C$7="N",C$4&gt;0,B187&lt;=C$4),0,(D186-L187+N187)*C$2/12/(1-(1/(1+C$2/12))^(C$3+C$4-B187+1))))</f>
        <v>#DIV/0!</v>
      </c>
      <c r="I187" s="52" t="e">
        <f>IF(AND(C$7="Y",$B187&lt;=C$4),0,IF(AND(C$7="Y",$B187&gt;C$4),(1-U187)*C$2*D186/12,IF(AND($C$7="N",C$4&gt;0),(1-U187)*D186*C$2/12, (1-U187)*D186*C$2/12)))</f>
        <v>#DIV/0!</v>
      </c>
      <c r="J187" s="52" t="e">
        <f>IF(AND($B187&lt;=$C$4,C$7="Y"),0,IF(AND(C$7="N",C$4&gt;0,B187&lt;=C$4),0,H187-I187))</f>
        <v>#DIV/0!</v>
      </c>
      <c r="K187" s="51" t="e">
        <f>IF(AND(C$7="Y",$B187&lt;=$C$4),0,IF(AND(C$7="N",C$4&gt;0,B187&lt;=C$4),0,S187*(C187-J187)))</f>
        <v>#DIV/0!</v>
      </c>
      <c r="L187" s="49" t="e">
        <f>IF(AND(C$7="Y",$B187&lt;=$C$4),0,IF(AND(C$7="N",C$4&gt;0,B187&lt;=C$4),0,U187*D186))</f>
        <v>#DIV/0!</v>
      </c>
      <c r="M187" s="49">
        <f t="shared" si="41"/>
        <v>0</v>
      </c>
      <c r="N187" s="49">
        <f t="shared" si="40"/>
        <v>0</v>
      </c>
      <c r="O187" s="48" t="e">
        <f>K187+I187+J187-L187+N187+G187</f>
        <v>#DIV/0!</v>
      </c>
      <c r="P187" s="38" t="e">
        <f>O187*(1/((1+P$12)^(B187/12)))</f>
        <v>#DIV/0!</v>
      </c>
      <c r="Q187" s="53"/>
      <c r="R187" s="53">
        <f t="shared" si="35"/>
        <v>0</v>
      </c>
      <c r="S187" s="53">
        <f t="shared" si="36"/>
        <v>0</v>
      </c>
      <c r="T187" s="53">
        <f t="shared" si="37"/>
        <v>0.05</v>
      </c>
      <c r="U187" s="53">
        <f t="shared" si="38"/>
        <v>4.2653187775606449E-3</v>
      </c>
    </row>
    <row r="188" spans="1:21" x14ac:dyDescent="0.2">
      <c r="A188" s="62" t="e">
        <f t="shared" si="31"/>
        <v>#DIV/0!</v>
      </c>
      <c r="B188" s="45">
        <f t="shared" si="32"/>
        <v>174</v>
      </c>
      <c r="C188" s="51" t="e">
        <f>IF(B188&lt;C$4,C$1,D187-L188+N188)</f>
        <v>#DIV/0!</v>
      </c>
      <c r="D188" s="47" t="e" cm="1">
        <f t="array" ref="D188">_xlfn.IFS(AND($C$7="Y",B188&lt;C$4),C188,AND($C$7="Y",B188=C$4),D187+F188-J188-K188-L188+N188,AND($C$7="Y",B188&gt;$C$4),D187-J188-K188-L188+N188, TRUE, D187-J188-K188-L188+N188)</f>
        <v>#DIV/0!</v>
      </c>
      <c r="E188" s="48">
        <f t="shared" si="33"/>
        <v>0</v>
      </c>
      <c r="F188" s="50">
        <f t="shared" si="34"/>
        <v>0</v>
      </c>
      <c r="G188" s="50">
        <f t="shared" si="39"/>
        <v>0</v>
      </c>
      <c r="H188" s="51" t="e">
        <f>IF(AND($B188&lt;=$C$4,C$7="Y"),0,IF(AND(C$7="N",C$4&gt;0,B188&lt;=C$4),0,(D187-L188+N188)*C$2/12/(1-(1/(1+C$2/12))^(C$3+C$4-B188+1))))</f>
        <v>#DIV/0!</v>
      </c>
      <c r="I188" s="52" t="e">
        <f>IF(AND(C$7="Y",$B188&lt;=C$4),0,IF(AND(C$7="Y",$B188&gt;C$4),(1-U188)*C$2*D187/12,IF(AND($C$7="N",C$4&gt;0),(1-U188)*D187*C$2/12, (1-U188)*D187*C$2/12)))</f>
        <v>#DIV/0!</v>
      </c>
      <c r="J188" s="52" t="e">
        <f>IF(AND($B188&lt;=$C$4,C$7="Y"),0,IF(AND(C$7="N",C$4&gt;0,B188&lt;=C$4),0,H188-I188))</f>
        <v>#DIV/0!</v>
      </c>
      <c r="K188" s="51" t="e">
        <f>IF(AND(C$7="Y",$B188&lt;=$C$4),0,IF(AND(C$7="N",C$4&gt;0,B188&lt;=C$4),0,S188*(C188-J188)))</f>
        <v>#DIV/0!</v>
      </c>
      <c r="L188" s="49" t="e">
        <f>IF(AND(C$7="Y",$B188&lt;=$C$4),0,IF(AND(C$7="N",C$4&gt;0,B188&lt;=C$4),0,U188*D187))</f>
        <v>#DIV/0!</v>
      </c>
      <c r="M188" s="49">
        <f t="shared" si="41"/>
        <v>0</v>
      </c>
      <c r="N188" s="49">
        <f t="shared" si="40"/>
        <v>0</v>
      </c>
      <c r="O188" s="48" t="e">
        <f>K188+I188+J188-L188+N188+G188</f>
        <v>#DIV/0!</v>
      </c>
      <c r="P188" s="38" t="e">
        <f>O188*(1/((1+P$12)^(B188/12)))</f>
        <v>#DIV/0!</v>
      </c>
      <c r="Q188" s="53"/>
      <c r="R188" s="53">
        <f t="shared" si="35"/>
        <v>0</v>
      </c>
      <c r="S188" s="53">
        <f t="shared" si="36"/>
        <v>0</v>
      </c>
      <c r="T188" s="53">
        <f t="shared" si="37"/>
        <v>0.05</v>
      </c>
      <c r="U188" s="53">
        <f t="shared" si="38"/>
        <v>4.2653187775606449E-3</v>
      </c>
    </row>
    <row r="189" spans="1:21" x14ac:dyDescent="0.2">
      <c r="A189" s="62" t="e">
        <f t="shared" si="31"/>
        <v>#DIV/0!</v>
      </c>
      <c r="B189" s="45">
        <f t="shared" si="32"/>
        <v>175</v>
      </c>
      <c r="C189" s="51" t="e">
        <f>IF(B189&lt;C$4,C$1,D188-L189+N189)</f>
        <v>#DIV/0!</v>
      </c>
      <c r="D189" s="47" t="e" cm="1">
        <f t="array" ref="D189">_xlfn.IFS(AND($C$7="Y",B189&lt;C$4),C189,AND($C$7="Y",B189=C$4),D188+F189-J189-K189-L189+N189,AND($C$7="Y",B189&gt;$C$4),D188-J189-K189-L189+N189, TRUE, D188-J189-K189-L189+N189)</f>
        <v>#DIV/0!</v>
      </c>
      <c r="E189" s="48">
        <f t="shared" si="33"/>
        <v>0</v>
      </c>
      <c r="F189" s="50">
        <f t="shared" si="34"/>
        <v>0</v>
      </c>
      <c r="G189" s="50">
        <f t="shared" si="39"/>
        <v>0</v>
      </c>
      <c r="H189" s="51" t="e">
        <f>IF(AND($B189&lt;=$C$4,C$7="Y"),0,IF(AND(C$7="N",C$4&gt;0,B189&lt;=C$4),0,(D188-L189+N189)*C$2/12/(1-(1/(1+C$2/12))^(C$3+C$4-B189+1))))</f>
        <v>#DIV/0!</v>
      </c>
      <c r="I189" s="52" t="e">
        <f>IF(AND(C$7="Y",$B189&lt;=C$4),0,IF(AND(C$7="Y",$B189&gt;C$4),(1-U189)*C$2*D188/12,IF(AND($C$7="N",C$4&gt;0),(1-U189)*D188*C$2/12, (1-U189)*D188*C$2/12)))</f>
        <v>#DIV/0!</v>
      </c>
      <c r="J189" s="52" t="e">
        <f>IF(AND($B189&lt;=$C$4,C$7="Y"),0,IF(AND(C$7="N",C$4&gt;0,B189&lt;=C$4),0,H189-I189))</f>
        <v>#DIV/0!</v>
      </c>
      <c r="K189" s="51" t="e">
        <f>IF(AND(C$7="Y",$B189&lt;=$C$4),0,IF(AND(C$7="N",C$4&gt;0,B189&lt;=C$4),0,S189*(C189-J189)))</f>
        <v>#DIV/0!</v>
      </c>
      <c r="L189" s="49" t="e">
        <f>IF(AND(C$7="Y",$B189&lt;=$C$4),0,IF(AND(C$7="N",C$4&gt;0,B189&lt;=C$4),0,U189*D188))</f>
        <v>#DIV/0!</v>
      </c>
      <c r="M189" s="49">
        <f t="shared" si="41"/>
        <v>0</v>
      </c>
      <c r="N189" s="49">
        <f t="shared" si="40"/>
        <v>0</v>
      </c>
      <c r="O189" s="48" t="e">
        <f>K189+I189+J189-L189+N189+G189</f>
        <v>#DIV/0!</v>
      </c>
      <c r="P189" s="38" t="e">
        <f>O189*(1/((1+P$12)^(B189/12)))</f>
        <v>#DIV/0!</v>
      </c>
      <c r="Q189" s="53"/>
      <c r="R189" s="53">
        <f t="shared" si="35"/>
        <v>0</v>
      </c>
      <c r="S189" s="53">
        <f t="shared" si="36"/>
        <v>0</v>
      </c>
      <c r="T189" s="53">
        <f t="shared" si="37"/>
        <v>0.05</v>
      </c>
      <c r="U189" s="53">
        <f t="shared" si="38"/>
        <v>4.2653187775606449E-3</v>
      </c>
    </row>
    <row r="190" spans="1:21" x14ac:dyDescent="0.2">
      <c r="A190" s="62" t="e">
        <f t="shared" si="31"/>
        <v>#DIV/0!</v>
      </c>
      <c r="B190" s="45">
        <f t="shared" si="32"/>
        <v>176</v>
      </c>
      <c r="C190" s="51" t="e">
        <f>IF(B190&lt;C$4,C$1,D189-L190+N190)</f>
        <v>#DIV/0!</v>
      </c>
      <c r="D190" s="47" t="e" cm="1">
        <f t="array" ref="D190">_xlfn.IFS(AND($C$7="Y",B190&lt;C$4),C190,AND($C$7="Y",B190=C$4),D189+F190-J190-K190-L190+N190,AND($C$7="Y",B190&gt;$C$4),D189-J190-K190-L190+N190, TRUE, D189-J190-K190-L190+N190)</f>
        <v>#DIV/0!</v>
      </c>
      <c r="E190" s="48">
        <f t="shared" si="33"/>
        <v>0</v>
      </c>
      <c r="F190" s="50">
        <f t="shared" si="34"/>
        <v>0</v>
      </c>
      <c r="G190" s="50">
        <f t="shared" si="39"/>
        <v>0</v>
      </c>
      <c r="H190" s="51" t="e">
        <f>IF(AND($B190&lt;=$C$4,C$7="Y"),0,IF(AND(C$7="N",C$4&gt;0,B190&lt;=C$4),0,(D189-L190+N190)*C$2/12/(1-(1/(1+C$2/12))^(C$3+C$4-B190+1))))</f>
        <v>#DIV/0!</v>
      </c>
      <c r="I190" s="52" t="e">
        <f>IF(AND(C$7="Y",$B190&lt;=C$4),0,IF(AND(C$7="Y",$B190&gt;C$4),(1-U190)*C$2*D189/12,IF(AND($C$7="N",C$4&gt;0),(1-U190)*D189*C$2/12, (1-U190)*D189*C$2/12)))</f>
        <v>#DIV/0!</v>
      </c>
      <c r="J190" s="52" t="e">
        <f>IF(AND($B190&lt;=$C$4,C$7="Y"),0,IF(AND(C$7="N",C$4&gt;0,B190&lt;=C$4),0,H190-I190))</f>
        <v>#DIV/0!</v>
      </c>
      <c r="K190" s="51" t="e">
        <f>IF(AND(C$7="Y",$B190&lt;=$C$4),0,IF(AND(C$7="N",C$4&gt;0,B190&lt;=C$4),0,S190*(C190-J190)))</f>
        <v>#DIV/0!</v>
      </c>
      <c r="L190" s="49" t="e">
        <f>IF(AND(C$7="Y",$B190&lt;=$C$4),0,IF(AND(C$7="N",C$4&gt;0,B190&lt;=C$4),0,U190*D189))</f>
        <v>#DIV/0!</v>
      </c>
      <c r="M190" s="49">
        <f t="shared" si="41"/>
        <v>0</v>
      </c>
      <c r="N190" s="49">
        <f t="shared" si="40"/>
        <v>0</v>
      </c>
      <c r="O190" s="48" t="e">
        <f>K190+I190+J190-L190+N190+G190</f>
        <v>#DIV/0!</v>
      </c>
      <c r="P190" s="38" t="e">
        <f>O190*(1/((1+P$12)^(B190/12)))</f>
        <v>#DIV/0!</v>
      </c>
      <c r="Q190" s="53"/>
      <c r="R190" s="53">
        <f t="shared" si="35"/>
        <v>0</v>
      </c>
      <c r="S190" s="53">
        <f t="shared" si="36"/>
        <v>0</v>
      </c>
      <c r="T190" s="53">
        <f t="shared" si="37"/>
        <v>0.05</v>
      </c>
      <c r="U190" s="53">
        <f t="shared" si="38"/>
        <v>4.2653187775606449E-3</v>
      </c>
    </row>
    <row r="191" spans="1:21" x14ac:dyDescent="0.2">
      <c r="A191" s="62" t="e">
        <f t="shared" si="31"/>
        <v>#DIV/0!</v>
      </c>
      <c r="B191" s="45">
        <f t="shared" si="32"/>
        <v>177</v>
      </c>
      <c r="C191" s="51" t="e">
        <f>IF(B191&lt;C$4,C$1,D190-L191+N191)</f>
        <v>#DIV/0!</v>
      </c>
      <c r="D191" s="47" t="e" cm="1">
        <f t="array" ref="D191">_xlfn.IFS(AND($C$7="Y",B191&lt;C$4),C191,AND($C$7="Y",B191=C$4),D190+F191-J191-K191-L191+N191,AND($C$7="Y",B191&gt;$C$4),D190-J191-K191-L191+N191, TRUE, D190-J191-K191-L191+N191)</f>
        <v>#DIV/0!</v>
      </c>
      <c r="E191" s="48">
        <f t="shared" si="33"/>
        <v>0</v>
      </c>
      <c r="F191" s="50">
        <f t="shared" si="34"/>
        <v>0</v>
      </c>
      <c r="G191" s="50">
        <f t="shared" si="39"/>
        <v>0</v>
      </c>
      <c r="H191" s="51" t="e">
        <f>IF(AND($B191&lt;=$C$4,C$7="Y"),0,IF(AND(C$7="N",C$4&gt;0,B191&lt;=C$4),0,(D190-L191+N191)*C$2/12/(1-(1/(1+C$2/12))^(C$3+C$4-B191+1))))</f>
        <v>#DIV/0!</v>
      </c>
      <c r="I191" s="52" t="e">
        <f>IF(AND(C$7="Y",$B191&lt;=C$4),0,IF(AND(C$7="Y",$B191&gt;C$4),(1-U191)*C$2*D190/12,IF(AND($C$7="N",C$4&gt;0),(1-U191)*D190*C$2/12, (1-U191)*D190*C$2/12)))</f>
        <v>#DIV/0!</v>
      </c>
      <c r="J191" s="52" t="e">
        <f>IF(AND($B191&lt;=$C$4,C$7="Y"),0,IF(AND(C$7="N",C$4&gt;0,B191&lt;=C$4),0,H191-I191))</f>
        <v>#DIV/0!</v>
      </c>
      <c r="K191" s="51" t="e">
        <f>IF(AND(C$7="Y",$B191&lt;=$C$4),0,IF(AND(C$7="N",C$4&gt;0,B191&lt;=C$4),0,S191*(C191-J191)))</f>
        <v>#DIV/0!</v>
      </c>
      <c r="L191" s="49" t="e">
        <f>IF(AND(C$7="Y",$B191&lt;=$C$4),0,IF(AND(C$7="N",C$4&gt;0,B191&lt;=C$4),0,U191*D190))</f>
        <v>#DIV/0!</v>
      </c>
      <c r="M191" s="49">
        <f t="shared" si="41"/>
        <v>0</v>
      </c>
      <c r="N191" s="49">
        <f t="shared" si="40"/>
        <v>0</v>
      </c>
      <c r="O191" s="48" t="e">
        <f>K191+I191+J191-L191+N191+G191</f>
        <v>#DIV/0!</v>
      </c>
      <c r="P191" s="38" t="e">
        <f>O191*(1/((1+P$12)^(B191/12)))</f>
        <v>#DIV/0!</v>
      </c>
      <c r="Q191" s="53"/>
      <c r="R191" s="53">
        <f t="shared" si="35"/>
        <v>0</v>
      </c>
      <c r="S191" s="53">
        <f t="shared" si="36"/>
        <v>0</v>
      </c>
      <c r="T191" s="53">
        <f t="shared" si="37"/>
        <v>0.05</v>
      </c>
      <c r="U191" s="53">
        <f t="shared" si="38"/>
        <v>4.2653187775606449E-3</v>
      </c>
    </row>
    <row r="192" spans="1:21" x14ac:dyDescent="0.2">
      <c r="A192" s="62" t="e">
        <f t="shared" si="31"/>
        <v>#DIV/0!</v>
      </c>
      <c r="B192" s="45">
        <f t="shared" si="32"/>
        <v>178</v>
      </c>
      <c r="C192" s="51" t="e">
        <f>IF(B192&lt;C$4,C$1,D191-L192+N192)</f>
        <v>#DIV/0!</v>
      </c>
      <c r="D192" s="47" t="e" cm="1">
        <f t="array" ref="D192">_xlfn.IFS(AND($C$7="Y",B192&lt;C$4),C192,AND($C$7="Y",B192=C$4),D191+F192-J192-K192-L192+N192,AND($C$7="Y",B192&gt;$C$4),D191-J192-K192-L192+N192, TRUE, D191-J192-K192-L192+N192)</f>
        <v>#DIV/0!</v>
      </c>
      <c r="E192" s="48">
        <f t="shared" si="33"/>
        <v>0</v>
      </c>
      <c r="F192" s="50">
        <f t="shared" si="34"/>
        <v>0</v>
      </c>
      <c r="G192" s="50">
        <f t="shared" si="39"/>
        <v>0</v>
      </c>
      <c r="H192" s="51" t="e">
        <f>IF(AND($B192&lt;=$C$4,C$7="Y"),0,IF(AND(C$7="N",C$4&gt;0,B192&lt;=C$4),0,(D191-L192+N192)*C$2/12/(1-(1/(1+C$2/12))^(C$3+C$4-B192+1))))</f>
        <v>#DIV/0!</v>
      </c>
      <c r="I192" s="52" t="e">
        <f>IF(AND(C$7="Y",$B192&lt;=C$4),0,IF(AND(C$7="Y",$B192&gt;C$4),(1-U192)*C$2*D191/12,IF(AND($C$7="N",C$4&gt;0),(1-U192)*D191*C$2/12, (1-U192)*D191*C$2/12)))</f>
        <v>#DIV/0!</v>
      </c>
      <c r="J192" s="52" t="e">
        <f>IF(AND($B192&lt;=$C$4,C$7="Y"),0,IF(AND(C$7="N",C$4&gt;0,B192&lt;=C$4),0,H192-I192))</f>
        <v>#DIV/0!</v>
      </c>
      <c r="K192" s="51" t="e">
        <f>IF(AND(C$7="Y",$B192&lt;=$C$4),0,IF(AND(C$7="N",C$4&gt;0,B192&lt;=C$4),0,S192*(C192-J192)))</f>
        <v>#DIV/0!</v>
      </c>
      <c r="L192" s="49" t="e">
        <f>IF(AND(C$7="Y",$B192&lt;=$C$4),0,IF(AND(C$7="N",C$4&gt;0,B192&lt;=C$4),0,U192*D191))</f>
        <v>#DIV/0!</v>
      </c>
      <c r="M192" s="49">
        <f t="shared" si="41"/>
        <v>0</v>
      </c>
      <c r="N192" s="49">
        <f t="shared" si="40"/>
        <v>0</v>
      </c>
      <c r="O192" s="48" t="e">
        <f>K192+I192+J192-L192+N192+G192</f>
        <v>#DIV/0!</v>
      </c>
      <c r="P192" s="38" t="e">
        <f>O192*(1/((1+P$12)^(B192/12)))</f>
        <v>#DIV/0!</v>
      </c>
      <c r="Q192" s="53"/>
      <c r="R192" s="53">
        <f t="shared" si="35"/>
        <v>0</v>
      </c>
      <c r="S192" s="53">
        <f t="shared" si="36"/>
        <v>0</v>
      </c>
      <c r="T192" s="53">
        <f t="shared" si="37"/>
        <v>0.05</v>
      </c>
      <c r="U192" s="53">
        <f t="shared" si="38"/>
        <v>4.2653187775606449E-3</v>
      </c>
    </row>
    <row r="193" spans="1:21" x14ac:dyDescent="0.2">
      <c r="A193" s="62" t="e">
        <f t="shared" si="31"/>
        <v>#DIV/0!</v>
      </c>
      <c r="B193" s="45">
        <f t="shared" si="32"/>
        <v>179</v>
      </c>
      <c r="C193" s="51" t="e">
        <f>IF(B193&lt;C$4,C$1,D192-L193+N193)</f>
        <v>#DIV/0!</v>
      </c>
      <c r="D193" s="47" t="e" cm="1">
        <f t="array" ref="D193">_xlfn.IFS(AND($C$7="Y",B193&lt;C$4),C193,AND($C$7="Y",B193=C$4),D192+F193-J193-K193-L193+N193,AND($C$7="Y",B193&gt;$C$4),D192-J193-K193-L193+N193, TRUE, D192-J193-K193-L193+N193)</f>
        <v>#DIV/0!</v>
      </c>
      <c r="E193" s="48">
        <f t="shared" si="33"/>
        <v>0</v>
      </c>
      <c r="F193" s="50">
        <f t="shared" si="34"/>
        <v>0</v>
      </c>
      <c r="G193" s="50">
        <f t="shared" si="39"/>
        <v>0</v>
      </c>
      <c r="H193" s="51" t="e">
        <f>IF(AND($B193&lt;=$C$4,C$7="Y"),0,IF(AND(C$7="N",C$4&gt;0,B193&lt;=C$4),0,(D192-L193+N193)*C$2/12/(1-(1/(1+C$2/12))^(C$3+C$4-B193+1))))</f>
        <v>#DIV/0!</v>
      </c>
      <c r="I193" s="52" t="e">
        <f>IF(AND(C$7="Y",$B193&lt;=C$4),0,IF(AND(C$7="Y",$B193&gt;C$4),(1-U193)*C$2*D192/12,IF(AND($C$7="N",C$4&gt;0),(1-U193)*D192*C$2/12, (1-U193)*D192*C$2/12)))</f>
        <v>#DIV/0!</v>
      </c>
      <c r="J193" s="52" t="e">
        <f>IF(AND($B193&lt;=$C$4,C$7="Y"),0,IF(AND(C$7="N",C$4&gt;0,B193&lt;=C$4),0,H193-I193))</f>
        <v>#DIV/0!</v>
      </c>
      <c r="K193" s="51" t="e">
        <f>IF(AND(C$7="Y",$B193&lt;=$C$4),0,IF(AND(C$7="N",C$4&gt;0,B193&lt;=C$4),0,S193*(C193-J193)))</f>
        <v>#DIV/0!</v>
      </c>
      <c r="L193" s="49" t="e">
        <f>IF(AND(C$7="Y",$B193&lt;=$C$4),0,IF(AND(C$7="N",C$4&gt;0,B193&lt;=C$4),0,U193*D192))</f>
        <v>#DIV/0!</v>
      </c>
      <c r="M193" s="49">
        <f t="shared" si="41"/>
        <v>0</v>
      </c>
      <c r="N193" s="49">
        <f t="shared" si="40"/>
        <v>0</v>
      </c>
      <c r="O193" s="48" t="e">
        <f>K193+I193+J193-L193+N193+G193</f>
        <v>#DIV/0!</v>
      </c>
      <c r="P193" s="38" t="e">
        <f>O193*(1/((1+P$12)^(B193/12)))</f>
        <v>#DIV/0!</v>
      </c>
      <c r="Q193" s="53"/>
      <c r="R193" s="53">
        <f t="shared" si="35"/>
        <v>0</v>
      </c>
      <c r="S193" s="53">
        <f t="shared" si="36"/>
        <v>0</v>
      </c>
      <c r="T193" s="53">
        <f t="shared" si="37"/>
        <v>0.05</v>
      </c>
      <c r="U193" s="53">
        <f t="shared" si="38"/>
        <v>4.2653187775606449E-3</v>
      </c>
    </row>
    <row r="194" spans="1:21" x14ac:dyDescent="0.2">
      <c r="A194" s="62" t="e">
        <f t="shared" si="31"/>
        <v>#DIV/0!</v>
      </c>
      <c r="B194" s="45">
        <f t="shared" si="32"/>
        <v>180</v>
      </c>
      <c r="C194" s="51" t="e">
        <f>IF(B194&lt;C$4,C$1,D193-L194+N194)</f>
        <v>#DIV/0!</v>
      </c>
      <c r="D194" s="47" t="e" cm="1">
        <f t="array" ref="D194">_xlfn.IFS(AND($C$7="Y",B194&lt;C$4),C194,AND($C$7="Y",B194=C$4),D193+F194-J194-K194-L194+N194,AND($C$7="Y",B194&gt;$C$4),D193-J194-K194-L194+N194, TRUE, D193-J194-K194-L194+N194)</f>
        <v>#DIV/0!</v>
      </c>
      <c r="E194" s="48">
        <f t="shared" si="33"/>
        <v>0</v>
      </c>
      <c r="F194" s="50">
        <f t="shared" si="34"/>
        <v>0</v>
      </c>
      <c r="G194" s="50">
        <f t="shared" si="39"/>
        <v>0</v>
      </c>
      <c r="H194" s="51" t="e">
        <f>IF(AND($B194&lt;=$C$4,C$7="Y"),0,IF(AND(C$7="N",C$4&gt;0,B194&lt;=C$4),0,(D193-L194+N194)*C$2/12/(1-(1/(1+C$2/12))^(C$3+C$4-B194+1))))</f>
        <v>#DIV/0!</v>
      </c>
      <c r="I194" s="52" t="e">
        <f>IF(AND(C$7="Y",$B194&lt;=C$4),0,IF(AND(C$7="Y",$B194&gt;C$4),(1-U194)*C$2*D193/12,IF(AND($C$7="N",C$4&gt;0),(1-U194)*D193*C$2/12, (1-U194)*D193*C$2/12)))</f>
        <v>#DIV/0!</v>
      </c>
      <c r="J194" s="52" t="e">
        <f>IF(AND($B194&lt;=$C$4,C$7="Y"),0,IF(AND(C$7="N",C$4&gt;0,B194&lt;=C$4),0,H194-I194))</f>
        <v>#DIV/0!</v>
      </c>
      <c r="K194" s="51" t="e">
        <f>IF(AND(C$7="Y",$B194&lt;=$C$4),0,IF(AND(C$7="N",C$4&gt;0,B194&lt;=C$4),0,S194*(C194-J194)))</f>
        <v>#DIV/0!</v>
      </c>
      <c r="L194" s="49" t="e">
        <f>IF(AND(C$7="Y",$B194&lt;=$C$4),0,IF(AND(C$7="N",C$4&gt;0,B194&lt;=C$4),0,U194*D193))</f>
        <v>#DIV/0!</v>
      </c>
      <c r="M194" s="49">
        <f t="shared" si="41"/>
        <v>0</v>
      </c>
      <c r="N194" s="49">
        <f t="shared" si="40"/>
        <v>0</v>
      </c>
      <c r="O194" s="48" t="e">
        <f>K194+I194+J194-L194+N194+G194</f>
        <v>#DIV/0!</v>
      </c>
      <c r="P194" s="38" t="e">
        <f>O194*(1/((1+P$12)^(B194/12)))</f>
        <v>#DIV/0!</v>
      </c>
      <c r="Q194" s="53"/>
      <c r="R194" s="53">
        <f t="shared" si="35"/>
        <v>0</v>
      </c>
      <c r="S194" s="53">
        <f t="shared" si="36"/>
        <v>0</v>
      </c>
      <c r="T194" s="53">
        <f t="shared" si="37"/>
        <v>0.05</v>
      </c>
      <c r="U194" s="53">
        <f t="shared" si="38"/>
        <v>4.2653187775606449E-3</v>
      </c>
    </row>
    <row r="195" spans="1:21" x14ac:dyDescent="0.2">
      <c r="A195" s="62" t="e">
        <f t="shared" si="31"/>
        <v>#DIV/0!</v>
      </c>
      <c r="B195" s="45">
        <f t="shared" si="32"/>
        <v>181</v>
      </c>
      <c r="C195" s="51" t="e">
        <f>IF(B195&lt;C$4,C$1,D194-L195+N195)</f>
        <v>#DIV/0!</v>
      </c>
      <c r="D195" s="47" t="e" cm="1">
        <f t="array" ref="D195">_xlfn.IFS(AND($C$7="Y",B195&lt;C$4),C195,AND($C$7="Y",B195=C$4),D194+F195-J195-K195-L195+N195,AND($C$7="Y",B195&gt;$C$4),D194-J195-K195-L195+N195, TRUE, D194-J195-K195-L195+N195)</f>
        <v>#DIV/0!</v>
      </c>
      <c r="E195" s="48">
        <f t="shared" si="33"/>
        <v>0</v>
      </c>
      <c r="F195" s="50">
        <f t="shared" si="34"/>
        <v>0</v>
      </c>
      <c r="G195" s="50">
        <f t="shared" si="39"/>
        <v>0</v>
      </c>
      <c r="H195" s="51" t="e">
        <f>IF(AND($B195&lt;=$C$4,C$7="Y"),0,IF(AND(C$7="N",C$4&gt;0,B195&lt;=C$4),0,(D194-L195+N195)*C$2/12/(1-(1/(1+C$2/12))^(C$3+C$4-B195+1))))</f>
        <v>#DIV/0!</v>
      </c>
      <c r="I195" s="52" t="e">
        <f>IF(AND(C$7="Y",$B195&lt;=C$4),0,IF(AND(C$7="Y",$B195&gt;C$4),(1-U195)*C$2*D194/12,IF(AND($C$7="N",C$4&gt;0),(1-U195)*D194*C$2/12, (1-U195)*D194*C$2/12)))</f>
        <v>#DIV/0!</v>
      </c>
      <c r="J195" s="52" t="e">
        <f>IF(AND($B195&lt;=$C$4,C$7="Y"),0,IF(AND(C$7="N",C$4&gt;0,B195&lt;=C$4),0,H195-I195))</f>
        <v>#DIV/0!</v>
      </c>
      <c r="K195" s="51" t="e">
        <f>IF(AND(C$7="Y",$B195&lt;=$C$4),0,IF(AND(C$7="N",C$4&gt;0,B195&lt;=C$4),0,S195*(C195-J195)))</f>
        <v>#DIV/0!</v>
      </c>
      <c r="L195" s="49" t="e">
        <f>IF(AND(C$7="Y",$B195&lt;=$C$4),0,IF(AND(C$7="N",C$4&gt;0,B195&lt;=C$4),0,U195*D194))</f>
        <v>#DIV/0!</v>
      </c>
      <c r="M195" s="49">
        <f t="shared" si="41"/>
        <v>0</v>
      </c>
      <c r="N195" s="49">
        <f t="shared" si="40"/>
        <v>0</v>
      </c>
      <c r="O195" s="48" t="e">
        <f>K195+I195+J195-L195+N195+G195</f>
        <v>#DIV/0!</v>
      </c>
      <c r="P195" s="38" t="e">
        <f>O195*(1/((1+P$12)^(B195/12)))</f>
        <v>#DIV/0!</v>
      </c>
      <c r="Q195" s="53"/>
      <c r="R195" s="53">
        <f t="shared" si="35"/>
        <v>0</v>
      </c>
      <c r="S195" s="53">
        <f t="shared" si="36"/>
        <v>0</v>
      </c>
      <c r="T195" s="53">
        <f t="shared" si="37"/>
        <v>0.05</v>
      </c>
      <c r="U195" s="53">
        <f t="shared" si="38"/>
        <v>4.2653187775606449E-3</v>
      </c>
    </row>
    <row r="196" spans="1:21" x14ac:dyDescent="0.2">
      <c r="A196" s="62" t="e">
        <f t="shared" si="31"/>
        <v>#DIV/0!</v>
      </c>
      <c r="B196" s="45">
        <f t="shared" si="32"/>
        <v>182</v>
      </c>
      <c r="C196" s="51" t="e">
        <f>IF(B196&lt;C$4,C$1,D195-L196+N196)</f>
        <v>#DIV/0!</v>
      </c>
      <c r="D196" s="47" t="e" cm="1">
        <f t="array" ref="D196">_xlfn.IFS(AND($C$7="Y",B196&lt;C$4),C196,AND($C$7="Y",B196=C$4),D195+F196-J196-K196-L196+N196,AND($C$7="Y",B196&gt;$C$4),D195-J196-K196-L196+N196, TRUE, D195-J196-K196-L196+N196)</f>
        <v>#DIV/0!</v>
      </c>
      <c r="E196" s="48">
        <f t="shared" si="33"/>
        <v>0</v>
      </c>
      <c r="F196" s="50">
        <f t="shared" si="34"/>
        <v>0</v>
      </c>
      <c r="G196" s="50">
        <f t="shared" si="39"/>
        <v>0</v>
      </c>
      <c r="H196" s="51" t="e">
        <f>IF(AND($B196&lt;=$C$4,C$7="Y"),0,IF(AND(C$7="N",C$4&gt;0,B196&lt;=C$4),0,(D195-L196+N196)*C$2/12/(1-(1/(1+C$2/12))^(C$3+C$4-B196+1))))</f>
        <v>#DIV/0!</v>
      </c>
      <c r="I196" s="52" t="e">
        <f>IF(AND(C$7="Y",$B196&lt;=C$4),0,IF(AND(C$7="Y",$B196&gt;C$4),(1-U196)*C$2*D195/12,IF(AND($C$7="N",C$4&gt;0),(1-U196)*D195*C$2/12, (1-U196)*D195*C$2/12)))</f>
        <v>#DIV/0!</v>
      </c>
      <c r="J196" s="52" t="e">
        <f>IF(AND($B196&lt;=$C$4,C$7="Y"),0,IF(AND(C$7="N",C$4&gt;0,B196&lt;=C$4),0,H196-I196))</f>
        <v>#DIV/0!</v>
      </c>
      <c r="K196" s="51" t="e">
        <f>IF(AND(C$7="Y",$B196&lt;=$C$4),0,IF(AND(C$7="N",C$4&gt;0,B196&lt;=C$4),0,S196*(C196-J196)))</f>
        <v>#DIV/0!</v>
      </c>
      <c r="L196" s="49" t="e">
        <f>IF(AND(C$7="Y",$B196&lt;=$C$4),0,IF(AND(C$7="N",C$4&gt;0,B196&lt;=C$4),0,U196*D195))</f>
        <v>#DIV/0!</v>
      </c>
      <c r="M196" s="49">
        <f t="shared" si="41"/>
        <v>0</v>
      </c>
      <c r="N196" s="49">
        <f t="shared" si="40"/>
        <v>0</v>
      </c>
      <c r="O196" s="48" t="e">
        <f>K196+I196+J196-L196+N196+G196</f>
        <v>#DIV/0!</v>
      </c>
      <c r="P196" s="38" t="e">
        <f>O196*(1/((1+P$12)^(B196/12)))</f>
        <v>#DIV/0!</v>
      </c>
      <c r="Q196" s="53"/>
      <c r="R196" s="53">
        <f t="shared" si="35"/>
        <v>0</v>
      </c>
      <c r="S196" s="53">
        <f t="shared" si="36"/>
        <v>0</v>
      </c>
      <c r="T196" s="53">
        <f t="shared" si="37"/>
        <v>0.05</v>
      </c>
      <c r="U196" s="53">
        <f t="shared" si="38"/>
        <v>4.2653187775606449E-3</v>
      </c>
    </row>
    <row r="197" spans="1:21" x14ac:dyDescent="0.2">
      <c r="A197" s="62" t="e">
        <f t="shared" si="31"/>
        <v>#DIV/0!</v>
      </c>
      <c r="B197" s="45">
        <f t="shared" si="32"/>
        <v>183</v>
      </c>
      <c r="C197" s="51" t="e">
        <f>IF(B197&lt;C$4,C$1,D196-L197+N197)</f>
        <v>#DIV/0!</v>
      </c>
      <c r="D197" s="47" t="e" cm="1">
        <f t="array" ref="D197">_xlfn.IFS(AND($C$7="Y",B197&lt;C$4),C197,AND($C$7="Y",B197=C$4),D196+F197-J197-K197-L197+N197,AND($C$7="Y",B197&gt;$C$4),D196-J197-K197-L197+N197, TRUE, D196-J197-K197-L197+N197)</f>
        <v>#DIV/0!</v>
      </c>
      <c r="E197" s="48">
        <f t="shared" si="33"/>
        <v>0</v>
      </c>
      <c r="F197" s="50">
        <f t="shared" si="34"/>
        <v>0</v>
      </c>
      <c r="G197" s="50">
        <f t="shared" si="39"/>
        <v>0</v>
      </c>
      <c r="H197" s="51" t="e">
        <f>IF(AND($B197&lt;=$C$4,C$7="Y"),0,IF(AND(C$7="N",C$4&gt;0,B197&lt;=C$4),0,(D196-L197+N197)*C$2/12/(1-(1/(1+C$2/12))^(C$3+C$4-B197+1))))</f>
        <v>#DIV/0!</v>
      </c>
      <c r="I197" s="52" t="e">
        <f>IF(AND(C$7="Y",$B197&lt;=C$4),0,IF(AND(C$7="Y",$B197&gt;C$4),(1-U197)*C$2*D196/12,IF(AND($C$7="N",C$4&gt;0),(1-U197)*D196*C$2/12, (1-U197)*D196*C$2/12)))</f>
        <v>#DIV/0!</v>
      </c>
      <c r="J197" s="52" t="e">
        <f>IF(AND($B197&lt;=$C$4,C$7="Y"),0,IF(AND(C$7="N",C$4&gt;0,B197&lt;=C$4),0,H197-I197))</f>
        <v>#DIV/0!</v>
      </c>
      <c r="K197" s="51" t="e">
        <f>IF(AND(C$7="Y",$B197&lt;=$C$4),0,IF(AND(C$7="N",C$4&gt;0,B197&lt;=C$4),0,S197*(C197-J197)))</f>
        <v>#DIV/0!</v>
      </c>
      <c r="L197" s="49" t="e">
        <f>IF(AND(C$7="Y",$B197&lt;=$C$4),0,IF(AND(C$7="N",C$4&gt;0,B197&lt;=C$4),0,U197*D196))</f>
        <v>#DIV/0!</v>
      </c>
      <c r="M197" s="49">
        <f t="shared" si="41"/>
        <v>0</v>
      </c>
      <c r="N197" s="49">
        <f t="shared" si="40"/>
        <v>0</v>
      </c>
      <c r="O197" s="48" t="e">
        <f>K197+I197+J197-L197+N197+G197</f>
        <v>#DIV/0!</v>
      </c>
      <c r="P197" s="38" t="e">
        <f>O197*(1/((1+P$12)^(B197/12)))</f>
        <v>#DIV/0!</v>
      </c>
      <c r="Q197" s="53"/>
      <c r="R197" s="53">
        <f t="shared" si="35"/>
        <v>0</v>
      </c>
      <c r="S197" s="53">
        <f t="shared" si="36"/>
        <v>0</v>
      </c>
      <c r="T197" s="53">
        <f t="shared" si="37"/>
        <v>0.05</v>
      </c>
      <c r="U197" s="53">
        <f t="shared" si="38"/>
        <v>4.2653187775606449E-3</v>
      </c>
    </row>
    <row r="198" spans="1:21" x14ac:dyDescent="0.2">
      <c r="A198" s="62" t="e">
        <f t="shared" si="31"/>
        <v>#DIV/0!</v>
      </c>
      <c r="B198" s="45">
        <f t="shared" si="32"/>
        <v>184</v>
      </c>
      <c r="C198" s="51" t="e">
        <f>IF(B198&lt;C$4,C$1,D197-L198+N198)</f>
        <v>#DIV/0!</v>
      </c>
      <c r="D198" s="47" t="e" cm="1">
        <f t="array" ref="D198">_xlfn.IFS(AND($C$7="Y",B198&lt;C$4),C198,AND($C$7="Y",B198=C$4),D197+F198-J198-K198-L198+N198,AND($C$7="Y",B198&gt;$C$4),D197-J198-K198-L198+N198, TRUE, D197-J198-K198-L198+N198)</f>
        <v>#DIV/0!</v>
      </c>
      <c r="E198" s="48">
        <f t="shared" si="33"/>
        <v>0</v>
      </c>
      <c r="F198" s="50">
        <f t="shared" si="34"/>
        <v>0</v>
      </c>
      <c r="G198" s="50">
        <f t="shared" si="39"/>
        <v>0</v>
      </c>
      <c r="H198" s="51" t="e">
        <f>IF(AND($B198&lt;=$C$4,C$7="Y"),0,IF(AND(C$7="N",C$4&gt;0,B198&lt;=C$4),0,(D197-L198+N198)*C$2/12/(1-(1/(1+C$2/12))^(C$3+C$4-B198+1))))</f>
        <v>#DIV/0!</v>
      </c>
      <c r="I198" s="52" t="e">
        <f>IF(AND(C$7="Y",$B198&lt;=C$4),0,IF(AND(C$7="Y",$B198&gt;C$4),(1-U198)*C$2*D197/12,IF(AND($C$7="N",C$4&gt;0),(1-U198)*D197*C$2/12, (1-U198)*D197*C$2/12)))</f>
        <v>#DIV/0!</v>
      </c>
      <c r="J198" s="52" t="e">
        <f>IF(AND($B198&lt;=$C$4,C$7="Y"),0,IF(AND(C$7="N",C$4&gt;0,B198&lt;=C$4),0,H198-I198))</f>
        <v>#DIV/0!</v>
      </c>
      <c r="K198" s="51" t="e">
        <f>IF(AND(C$7="Y",$B198&lt;=$C$4),0,IF(AND(C$7="N",C$4&gt;0,B198&lt;=C$4),0,S198*(C198-J198)))</f>
        <v>#DIV/0!</v>
      </c>
      <c r="L198" s="49" t="e">
        <f>IF(AND(C$7="Y",$B198&lt;=$C$4),0,IF(AND(C$7="N",C$4&gt;0,B198&lt;=C$4),0,U198*D197))</f>
        <v>#DIV/0!</v>
      </c>
      <c r="M198" s="49">
        <f t="shared" si="41"/>
        <v>0</v>
      </c>
      <c r="N198" s="49">
        <f t="shared" si="40"/>
        <v>0</v>
      </c>
      <c r="O198" s="48" t="e">
        <f>K198+I198+J198-L198+N198+G198</f>
        <v>#DIV/0!</v>
      </c>
      <c r="P198" s="38" t="e">
        <f>O198*(1/((1+P$12)^(B198/12)))</f>
        <v>#DIV/0!</v>
      </c>
      <c r="Q198" s="53"/>
      <c r="R198" s="53">
        <f t="shared" si="35"/>
        <v>0</v>
      </c>
      <c r="S198" s="53">
        <f t="shared" si="36"/>
        <v>0</v>
      </c>
      <c r="T198" s="53">
        <f t="shared" si="37"/>
        <v>0.05</v>
      </c>
      <c r="U198" s="53">
        <f t="shared" si="38"/>
        <v>4.2653187775606449E-3</v>
      </c>
    </row>
    <row r="199" spans="1:21" x14ac:dyDescent="0.2">
      <c r="A199" s="62" t="e">
        <f t="shared" si="31"/>
        <v>#DIV/0!</v>
      </c>
      <c r="B199" s="45">
        <f t="shared" si="32"/>
        <v>185</v>
      </c>
      <c r="C199" s="51" t="e">
        <f>IF(B199&lt;C$4,C$1,D198-L199+N199)</f>
        <v>#DIV/0!</v>
      </c>
      <c r="D199" s="47" t="e" cm="1">
        <f t="array" ref="D199">_xlfn.IFS(AND($C$7="Y",B199&lt;C$4),C199,AND($C$7="Y",B199=C$4),D198+F199-J199-K199-L199+N199,AND($C$7="Y",B199&gt;$C$4),D198-J199-K199-L199+N199, TRUE, D198-J199-K199-L199+N199)</f>
        <v>#DIV/0!</v>
      </c>
      <c r="E199" s="48">
        <f t="shared" si="33"/>
        <v>0</v>
      </c>
      <c r="F199" s="50">
        <f t="shared" si="34"/>
        <v>0</v>
      </c>
      <c r="G199" s="50">
        <f t="shared" si="39"/>
        <v>0</v>
      </c>
      <c r="H199" s="51" t="e">
        <f>IF(AND($B199&lt;=$C$4,C$7="Y"),0,IF(AND(C$7="N",C$4&gt;0,B199&lt;=C$4),0,(D198-L199+N199)*C$2/12/(1-(1/(1+C$2/12))^(C$3+C$4-B199+1))))</f>
        <v>#DIV/0!</v>
      </c>
      <c r="I199" s="52" t="e">
        <f>IF(AND(C$7="Y",$B199&lt;=C$4),0,IF(AND(C$7="Y",$B199&gt;C$4),(1-U199)*C$2*D198/12,IF(AND($C$7="N",C$4&gt;0),(1-U199)*D198*C$2/12, (1-U199)*D198*C$2/12)))</f>
        <v>#DIV/0!</v>
      </c>
      <c r="J199" s="52" t="e">
        <f>IF(AND($B199&lt;=$C$4,C$7="Y"),0,IF(AND(C$7="N",C$4&gt;0,B199&lt;=C$4),0,H199-I199))</f>
        <v>#DIV/0!</v>
      </c>
      <c r="K199" s="51" t="e">
        <f>IF(AND(C$7="Y",$B199&lt;=$C$4),0,IF(AND(C$7="N",C$4&gt;0,B199&lt;=C$4),0,S199*(C199-J199)))</f>
        <v>#DIV/0!</v>
      </c>
      <c r="L199" s="49" t="e">
        <f>IF(AND(C$7="Y",$B199&lt;=$C$4),0,IF(AND(C$7="N",C$4&gt;0,B199&lt;=C$4),0,U199*D198))</f>
        <v>#DIV/0!</v>
      </c>
      <c r="M199" s="49">
        <f t="shared" si="41"/>
        <v>0</v>
      </c>
      <c r="N199" s="49">
        <f t="shared" si="40"/>
        <v>0</v>
      </c>
      <c r="O199" s="48" t="e">
        <f>K199+I199+J199-L199+N199+G199</f>
        <v>#DIV/0!</v>
      </c>
      <c r="P199" s="38" t="e">
        <f>O199*(1/((1+P$12)^(B199/12)))</f>
        <v>#DIV/0!</v>
      </c>
      <c r="Q199" s="53"/>
      <c r="R199" s="53">
        <f t="shared" si="35"/>
        <v>0</v>
      </c>
      <c r="S199" s="53">
        <f t="shared" si="36"/>
        <v>0</v>
      </c>
      <c r="T199" s="53">
        <f t="shared" si="37"/>
        <v>0.05</v>
      </c>
      <c r="U199" s="53">
        <f t="shared" si="38"/>
        <v>4.2653187775606449E-3</v>
      </c>
    </row>
    <row r="200" spans="1:21" x14ac:dyDescent="0.2">
      <c r="A200" s="62" t="e">
        <f t="shared" si="31"/>
        <v>#DIV/0!</v>
      </c>
      <c r="B200" s="45">
        <f t="shared" si="32"/>
        <v>186</v>
      </c>
      <c r="C200" s="51" t="e">
        <f>IF(B200&lt;C$4,C$1,D199-L200+N200)</f>
        <v>#DIV/0!</v>
      </c>
      <c r="D200" s="47" t="e" cm="1">
        <f t="array" ref="D200">_xlfn.IFS(AND($C$7="Y",B200&lt;C$4),C200,AND($C$7="Y",B200=C$4),D199+F200-J200-K200-L200+N200,AND($C$7="Y",B200&gt;$C$4),D199-J200-K200-L200+N200, TRUE, D199-J200-K200-L200+N200)</f>
        <v>#DIV/0!</v>
      </c>
      <c r="E200" s="48">
        <f t="shared" si="33"/>
        <v>0</v>
      </c>
      <c r="F200" s="50">
        <f t="shared" si="34"/>
        <v>0</v>
      </c>
      <c r="G200" s="50">
        <f t="shared" si="39"/>
        <v>0</v>
      </c>
      <c r="H200" s="51" t="e">
        <f>IF(AND($B200&lt;=$C$4,C$7="Y"),0,IF(AND(C$7="N",C$4&gt;0,B200&lt;=C$4),0,(D199-L200+N200)*C$2/12/(1-(1/(1+C$2/12))^(C$3+C$4-B200+1))))</f>
        <v>#DIV/0!</v>
      </c>
      <c r="I200" s="52" t="e">
        <f>IF(AND(C$7="Y",$B200&lt;=C$4),0,IF(AND(C$7="Y",$B200&gt;C$4),(1-U200)*C$2*D199/12,IF(AND($C$7="N",C$4&gt;0),(1-U200)*D199*C$2/12, (1-U200)*D199*C$2/12)))</f>
        <v>#DIV/0!</v>
      </c>
      <c r="J200" s="52" t="e">
        <f>IF(AND($B200&lt;=$C$4,C$7="Y"),0,IF(AND(C$7="N",C$4&gt;0,B200&lt;=C$4),0,H200-I200))</f>
        <v>#DIV/0!</v>
      </c>
      <c r="K200" s="51" t="e">
        <f>IF(AND(C$7="Y",$B200&lt;=$C$4),0,IF(AND(C$7="N",C$4&gt;0,B200&lt;=C$4),0,S200*(C200-J200)))</f>
        <v>#DIV/0!</v>
      </c>
      <c r="L200" s="49" t="e">
        <f>IF(AND(C$7="Y",$B200&lt;=$C$4),0,IF(AND(C$7="N",C$4&gt;0,B200&lt;=C$4),0,U200*D199))</f>
        <v>#DIV/0!</v>
      </c>
      <c r="M200" s="49">
        <f t="shared" si="41"/>
        <v>0</v>
      </c>
      <c r="N200" s="49">
        <f t="shared" si="40"/>
        <v>0</v>
      </c>
      <c r="O200" s="48" t="e">
        <f>K200+I200+J200-L200+N200+G200</f>
        <v>#DIV/0!</v>
      </c>
      <c r="P200" s="38" t="e">
        <f>O200*(1/((1+P$12)^(B200/12)))</f>
        <v>#DIV/0!</v>
      </c>
      <c r="Q200" s="53"/>
      <c r="R200" s="53">
        <f t="shared" si="35"/>
        <v>0</v>
      </c>
      <c r="S200" s="53">
        <f t="shared" si="36"/>
        <v>0</v>
      </c>
      <c r="T200" s="53">
        <f t="shared" si="37"/>
        <v>0.05</v>
      </c>
      <c r="U200" s="53">
        <f t="shared" si="38"/>
        <v>4.2653187775606449E-3</v>
      </c>
    </row>
    <row r="201" spans="1:21" x14ac:dyDescent="0.2">
      <c r="A201" s="62" t="e">
        <f t="shared" si="31"/>
        <v>#DIV/0!</v>
      </c>
      <c r="B201" s="45">
        <f t="shared" si="32"/>
        <v>187</v>
      </c>
      <c r="C201" s="51" t="e">
        <f>IF(B201&lt;C$4,C$1,D200-L201+N201)</f>
        <v>#DIV/0!</v>
      </c>
      <c r="D201" s="47" t="e" cm="1">
        <f t="array" ref="D201">_xlfn.IFS(AND($C$7="Y",B201&lt;C$4),C201,AND($C$7="Y",B201=C$4),D200+F201-J201-K201-L201+N201,AND($C$7="Y",B201&gt;$C$4),D200-J201-K201-L201+N201, TRUE, D200-J201-K201-L201+N201)</f>
        <v>#DIV/0!</v>
      </c>
      <c r="E201" s="48">
        <f t="shared" si="33"/>
        <v>0</v>
      </c>
      <c r="F201" s="50">
        <f t="shared" si="34"/>
        <v>0</v>
      </c>
      <c r="G201" s="50">
        <f t="shared" si="39"/>
        <v>0</v>
      </c>
      <c r="H201" s="51" t="e">
        <f>IF(AND($B201&lt;=$C$4,C$7="Y"),0,IF(AND(C$7="N",C$4&gt;0,B201&lt;=C$4),0,(D200-L201+N201)*C$2/12/(1-(1/(1+C$2/12))^(C$3+C$4-B201+1))))</f>
        <v>#DIV/0!</v>
      </c>
      <c r="I201" s="52" t="e">
        <f>IF(AND(C$7="Y",$B201&lt;=C$4),0,IF(AND(C$7="Y",$B201&gt;C$4),(1-U201)*C$2*D200/12,IF(AND($C$7="N",C$4&gt;0),(1-U201)*D200*C$2/12, (1-U201)*D200*C$2/12)))</f>
        <v>#DIV/0!</v>
      </c>
      <c r="J201" s="52" t="e">
        <f>IF(AND($B201&lt;=$C$4,C$7="Y"),0,IF(AND(C$7="N",C$4&gt;0,B201&lt;=C$4),0,H201-I201))</f>
        <v>#DIV/0!</v>
      </c>
      <c r="K201" s="51" t="e">
        <f>IF(AND(C$7="Y",$B201&lt;=$C$4),0,IF(AND(C$7="N",C$4&gt;0,B201&lt;=C$4),0,S201*(C201-J201)))</f>
        <v>#DIV/0!</v>
      </c>
      <c r="L201" s="49" t="e">
        <f>IF(AND(C$7="Y",$B201&lt;=$C$4),0,IF(AND(C$7="N",C$4&gt;0,B201&lt;=C$4),0,U201*D200))</f>
        <v>#DIV/0!</v>
      </c>
      <c r="M201" s="49">
        <f t="shared" si="41"/>
        <v>0</v>
      </c>
      <c r="N201" s="49">
        <f t="shared" si="40"/>
        <v>0</v>
      </c>
      <c r="O201" s="48" t="e">
        <f>K201+I201+J201-L201+N201+G201</f>
        <v>#DIV/0!</v>
      </c>
      <c r="P201" s="38" t="e">
        <f>O201*(1/((1+P$12)^(B201/12)))</f>
        <v>#DIV/0!</v>
      </c>
      <c r="Q201" s="53"/>
      <c r="R201" s="53">
        <f t="shared" si="35"/>
        <v>0</v>
      </c>
      <c r="S201" s="53">
        <f t="shared" si="36"/>
        <v>0</v>
      </c>
      <c r="T201" s="53">
        <f t="shared" si="37"/>
        <v>0.05</v>
      </c>
      <c r="U201" s="53">
        <f t="shared" si="38"/>
        <v>4.2653187775606449E-3</v>
      </c>
    </row>
    <row r="202" spans="1:21" x14ac:dyDescent="0.2">
      <c r="A202" s="62" t="e">
        <f t="shared" si="31"/>
        <v>#DIV/0!</v>
      </c>
      <c r="B202" s="45">
        <f t="shared" si="32"/>
        <v>188</v>
      </c>
      <c r="C202" s="51" t="e">
        <f>IF(B202&lt;C$4,C$1,D201-L202+N202)</f>
        <v>#DIV/0!</v>
      </c>
      <c r="D202" s="47" t="e" cm="1">
        <f t="array" ref="D202">_xlfn.IFS(AND($C$7="Y",B202&lt;C$4),C202,AND($C$7="Y",B202=C$4),D201+F202-J202-K202-L202+N202,AND($C$7="Y",B202&gt;$C$4),D201-J202-K202-L202+N202, TRUE, D201-J202-K202-L202+N202)</f>
        <v>#DIV/0!</v>
      </c>
      <c r="E202" s="48">
        <f t="shared" si="33"/>
        <v>0</v>
      </c>
      <c r="F202" s="50">
        <f t="shared" si="34"/>
        <v>0</v>
      </c>
      <c r="G202" s="50">
        <f t="shared" si="39"/>
        <v>0</v>
      </c>
      <c r="H202" s="51" t="e">
        <f>IF(AND($B202&lt;=$C$4,C$7="Y"),0,IF(AND(C$7="N",C$4&gt;0,B202&lt;=C$4),0,(D201-L202+N202)*C$2/12/(1-(1/(1+C$2/12))^(C$3+C$4-B202+1))))</f>
        <v>#DIV/0!</v>
      </c>
      <c r="I202" s="52" t="e">
        <f>IF(AND(C$7="Y",$B202&lt;=C$4),0,IF(AND(C$7="Y",$B202&gt;C$4),(1-U202)*C$2*D201/12,IF(AND($C$7="N",C$4&gt;0),(1-U202)*D201*C$2/12, (1-U202)*D201*C$2/12)))</f>
        <v>#DIV/0!</v>
      </c>
      <c r="J202" s="52" t="e">
        <f>IF(AND($B202&lt;=$C$4,C$7="Y"),0,IF(AND(C$7="N",C$4&gt;0,B202&lt;=C$4),0,H202-I202))</f>
        <v>#DIV/0!</v>
      </c>
      <c r="K202" s="51" t="e">
        <f>IF(AND(C$7="Y",$B202&lt;=$C$4),0,IF(AND(C$7="N",C$4&gt;0,B202&lt;=C$4),0,S202*(C202-J202)))</f>
        <v>#DIV/0!</v>
      </c>
      <c r="L202" s="49" t="e">
        <f>IF(AND(C$7="Y",$B202&lt;=$C$4),0,IF(AND(C$7="N",C$4&gt;0,B202&lt;=C$4),0,U202*D201))</f>
        <v>#DIV/0!</v>
      </c>
      <c r="M202" s="49">
        <f t="shared" si="41"/>
        <v>0</v>
      </c>
      <c r="N202" s="49">
        <f t="shared" si="40"/>
        <v>0</v>
      </c>
      <c r="O202" s="48" t="e">
        <f>K202+I202+J202-L202+N202+G202</f>
        <v>#DIV/0!</v>
      </c>
      <c r="P202" s="38" t="e">
        <f>O202*(1/((1+P$12)^(B202/12)))</f>
        <v>#DIV/0!</v>
      </c>
      <c r="Q202" s="53"/>
      <c r="R202" s="53">
        <f t="shared" si="35"/>
        <v>0</v>
      </c>
      <c r="S202" s="53">
        <f t="shared" si="36"/>
        <v>0</v>
      </c>
      <c r="T202" s="53">
        <f t="shared" si="37"/>
        <v>0.05</v>
      </c>
      <c r="U202" s="53">
        <f t="shared" si="38"/>
        <v>4.2653187775606449E-3</v>
      </c>
    </row>
    <row r="203" spans="1:21" x14ac:dyDescent="0.2">
      <c r="A203" s="62" t="e">
        <f t="shared" si="31"/>
        <v>#DIV/0!</v>
      </c>
      <c r="B203" s="45">
        <f t="shared" si="32"/>
        <v>189</v>
      </c>
      <c r="C203" s="51" t="e">
        <f>IF(B203&lt;C$4,C$1,D202-L203+N203)</f>
        <v>#DIV/0!</v>
      </c>
      <c r="D203" s="47" t="e" cm="1">
        <f t="array" ref="D203">_xlfn.IFS(AND($C$7="Y",B203&lt;C$4),C203,AND($C$7="Y",B203=C$4),D202+F203-J203-K203-L203+N203,AND($C$7="Y",B203&gt;$C$4),D202-J203-K203-L203+N203, TRUE, D202-J203-K203-L203+N203)</f>
        <v>#DIV/0!</v>
      </c>
      <c r="E203" s="48">
        <f t="shared" si="33"/>
        <v>0</v>
      </c>
      <c r="F203" s="50">
        <f t="shared" si="34"/>
        <v>0</v>
      </c>
      <c r="G203" s="50">
        <f t="shared" si="39"/>
        <v>0</v>
      </c>
      <c r="H203" s="51" t="e">
        <f>IF(AND($B203&lt;=$C$4,C$7="Y"),0,IF(AND(C$7="N",C$4&gt;0,B203&lt;=C$4),0,(D202-L203+N203)*C$2/12/(1-(1/(1+C$2/12))^(C$3+C$4-B203+1))))</f>
        <v>#DIV/0!</v>
      </c>
      <c r="I203" s="52" t="e">
        <f>IF(AND(C$7="Y",$B203&lt;=C$4),0,IF(AND(C$7="Y",$B203&gt;C$4),(1-U203)*C$2*D202/12,IF(AND($C$7="N",C$4&gt;0),(1-U203)*D202*C$2/12, (1-U203)*D202*C$2/12)))</f>
        <v>#DIV/0!</v>
      </c>
      <c r="J203" s="52" t="e">
        <f>IF(AND($B203&lt;=$C$4,C$7="Y"),0,IF(AND(C$7="N",C$4&gt;0,B203&lt;=C$4),0,H203-I203))</f>
        <v>#DIV/0!</v>
      </c>
      <c r="K203" s="51" t="e">
        <f>IF(AND(C$7="Y",$B203&lt;=$C$4),0,IF(AND(C$7="N",C$4&gt;0,B203&lt;=C$4),0,S203*(C203-J203)))</f>
        <v>#DIV/0!</v>
      </c>
      <c r="L203" s="49" t="e">
        <f>IF(AND(C$7="Y",$B203&lt;=$C$4),0,IF(AND(C$7="N",C$4&gt;0,B203&lt;=C$4),0,U203*D202))</f>
        <v>#DIV/0!</v>
      </c>
      <c r="M203" s="49">
        <f t="shared" si="41"/>
        <v>0</v>
      </c>
      <c r="N203" s="49">
        <f t="shared" si="40"/>
        <v>0</v>
      </c>
      <c r="O203" s="48" t="e">
        <f>K203+I203+J203-L203+N203+G203</f>
        <v>#DIV/0!</v>
      </c>
      <c r="P203" s="38" t="e">
        <f>O203*(1/((1+P$12)^(B203/12)))</f>
        <v>#DIV/0!</v>
      </c>
      <c r="Q203" s="53"/>
      <c r="R203" s="53">
        <f t="shared" si="35"/>
        <v>0</v>
      </c>
      <c r="S203" s="53">
        <f t="shared" si="36"/>
        <v>0</v>
      </c>
      <c r="T203" s="53">
        <f t="shared" si="37"/>
        <v>0.05</v>
      </c>
      <c r="U203" s="53">
        <f t="shared" si="38"/>
        <v>4.2653187775606449E-3</v>
      </c>
    </row>
    <row r="204" spans="1:21" x14ac:dyDescent="0.2">
      <c r="A204" s="62" t="e">
        <f t="shared" si="31"/>
        <v>#DIV/0!</v>
      </c>
      <c r="B204" s="45">
        <f t="shared" si="32"/>
        <v>190</v>
      </c>
      <c r="C204" s="51" t="e">
        <f>IF(B204&lt;C$4,C$1,D203-L204+N204)</f>
        <v>#DIV/0!</v>
      </c>
      <c r="D204" s="47" t="e" cm="1">
        <f t="array" ref="D204">_xlfn.IFS(AND($C$7="Y",B204&lt;C$4),C204,AND($C$7="Y",B204=C$4),D203+F204-J204-K204-L204+N204,AND($C$7="Y",B204&gt;$C$4),D203-J204-K204-L204+N204, TRUE, D203-J204-K204-L204+N204)</f>
        <v>#DIV/0!</v>
      </c>
      <c r="E204" s="48">
        <f t="shared" si="33"/>
        <v>0</v>
      </c>
      <c r="F204" s="50">
        <f t="shared" si="34"/>
        <v>0</v>
      </c>
      <c r="G204" s="50">
        <f t="shared" si="39"/>
        <v>0</v>
      </c>
      <c r="H204" s="51" t="e">
        <f>IF(AND($B204&lt;=$C$4,C$7="Y"),0,IF(AND(C$7="N",C$4&gt;0,B204&lt;=C$4),0,(D203-L204+N204)*C$2/12/(1-(1/(1+C$2/12))^(C$3+C$4-B204+1))))</f>
        <v>#DIV/0!</v>
      </c>
      <c r="I204" s="52" t="e">
        <f>IF(AND(C$7="Y",$B204&lt;=C$4),0,IF(AND(C$7="Y",$B204&gt;C$4),(1-U204)*C$2*D203/12,IF(AND($C$7="N",C$4&gt;0),(1-U204)*D203*C$2/12, (1-U204)*D203*C$2/12)))</f>
        <v>#DIV/0!</v>
      </c>
      <c r="J204" s="52" t="e">
        <f>IF(AND($B204&lt;=$C$4,C$7="Y"),0,IF(AND(C$7="N",C$4&gt;0,B204&lt;=C$4),0,H204-I204))</f>
        <v>#DIV/0!</v>
      </c>
      <c r="K204" s="51" t="e">
        <f>IF(AND(C$7="Y",$B204&lt;=$C$4),0,IF(AND(C$7="N",C$4&gt;0,B204&lt;=C$4),0,S204*(C204-J204)))</f>
        <v>#DIV/0!</v>
      </c>
      <c r="L204" s="49" t="e">
        <f>IF(AND(C$7="Y",$B204&lt;=$C$4),0,IF(AND(C$7="N",C$4&gt;0,B204&lt;=C$4),0,U204*D203))</f>
        <v>#DIV/0!</v>
      </c>
      <c r="M204" s="49">
        <f t="shared" si="41"/>
        <v>0</v>
      </c>
      <c r="N204" s="49">
        <f t="shared" si="40"/>
        <v>0</v>
      </c>
      <c r="O204" s="48" t="e">
        <f>K204+I204+J204-L204+N204+G204</f>
        <v>#DIV/0!</v>
      </c>
      <c r="P204" s="38" t="e">
        <f>O204*(1/((1+P$12)^(B204/12)))</f>
        <v>#DIV/0!</v>
      </c>
      <c r="Q204" s="53"/>
      <c r="R204" s="53">
        <f t="shared" si="35"/>
        <v>0</v>
      </c>
      <c r="S204" s="53">
        <f t="shared" si="36"/>
        <v>0</v>
      </c>
      <c r="T204" s="53">
        <f t="shared" si="37"/>
        <v>0.05</v>
      </c>
      <c r="U204" s="53">
        <f t="shared" si="38"/>
        <v>4.2653187775606449E-3</v>
      </c>
    </row>
    <row r="205" spans="1:21" x14ac:dyDescent="0.2">
      <c r="A205" s="62" t="e">
        <f t="shared" si="31"/>
        <v>#DIV/0!</v>
      </c>
      <c r="B205" s="45">
        <f t="shared" si="32"/>
        <v>191</v>
      </c>
      <c r="C205" s="51" t="e">
        <f>IF(B205&lt;C$4,C$1,D204-L205+N205)</f>
        <v>#DIV/0!</v>
      </c>
      <c r="D205" s="47" t="e" cm="1">
        <f t="array" ref="D205">_xlfn.IFS(AND($C$7="Y",B205&lt;C$4),C205,AND($C$7="Y",B205=C$4),D204+F205-J205-K205-L205+N205,AND($C$7="Y",B205&gt;$C$4),D204-J205-K205-L205+N205, TRUE, D204-J205-K205-L205+N205)</f>
        <v>#DIV/0!</v>
      </c>
      <c r="E205" s="48">
        <f t="shared" si="33"/>
        <v>0</v>
      </c>
      <c r="F205" s="50">
        <f t="shared" si="34"/>
        <v>0</v>
      </c>
      <c r="G205" s="50">
        <f t="shared" si="39"/>
        <v>0</v>
      </c>
      <c r="H205" s="51" t="e">
        <f>IF(AND($B205&lt;=$C$4,C$7="Y"),0,IF(AND(C$7="N",C$4&gt;0,B205&lt;=C$4),0,(D204-L205+N205)*C$2/12/(1-(1/(1+C$2/12))^(C$3+C$4-B205+1))))</f>
        <v>#DIV/0!</v>
      </c>
      <c r="I205" s="52" t="e">
        <f>IF(AND(C$7="Y",$B205&lt;=C$4),0,IF(AND(C$7="Y",$B205&gt;C$4),(1-U205)*C$2*D204/12,IF(AND($C$7="N",C$4&gt;0),(1-U205)*D204*C$2/12, (1-U205)*D204*C$2/12)))</f>
        <v>#DIV/0!</v>
      </c>
      <c r="J205" s="52" t="e">
        <f>IF(AND($B205&lt;=$C$4,C$7="Y"),0,IF(AND(C$7="N",C$4&gt;0,B205&lt;=C$4),0,H205-I205))</f>
        <v>#DIV/0!</v>
      </c>
      <c r="K205" s="51" t="e">
        <f>IF(AND(C$7="Y",$B205&lt;=$C$4),0,IF(AND(C$7="N",C$4&gt;0,B205&lt;=C$4),0,S205*(C205-J205)))</f>
        <v>#DIV/0!</v>
      </c>
      <c r="L205" s="49" t="e">
        <f>IF(AND(C$7="Y",$B205&lt;=$C$4),0,IF(AND(C$7="N",C$4&gt;0,B205&lt;=C$4),0,U205*D204))</f>
        <v>#DIV/0!</v>
      </c>
      <c r="M205" s="49">
        <f t="shared" si="41"/>
        <v>0</v>
      </c>
      <c r="N205" s="49">
        <f t="shared" si="40"/>
        <v>0</v>
      </c>
      <c r="O205" s="48" t="e">
        <f>K205+I205+J205-L205+N205+G205</f>
        <v>#DIV/0!</v>
      </c>
      <c r="P205" s="38" t="e">
        <f>O205*(1/((1+P$12)^(B205/12)))</f>
        <v>#DIV/0!</v>
      </c>
      <c r="Q205" s="53"/>
      <c r="R205" s="53">
        <f t="shared" si="35"/>
        <v>0</v>
      </c>
      <c r="S205" s="53">
        <f t="shared" si="36"/>
        <v>0</v>
      </c>
      <c r="T205" s="53">
        <f t="shared" si="37"/>
        <v>0.05</v>
      </c>
      <c r="U205" s="53">
        <f t="shared" si="38"/>
        <v>4.2653187775606449E-3</v>
      </c>
    </row>
    <row r="206" spans="1:21" x14ac:dyDescent="0.2">
      <c r="A206" s="62" t="e">
        <f t="shared" si="31"/>
        <v>#DIV/0!</v>
      </c>
      <c r="B206" s="45">
        <f t="shared" si="32"/>
        <v>192</v>
      </c>
      <c r="C206" s="51" t="e">
        <f>IF(B206&lt;C$4,C$1,D205-L206+N206)</f>
        <v>#DIV/0!</v>
      </c>
      <c r="D206" s="47" t="e" cm="1">
        <f t="array" ref="D206">_xlfn.IFS(AND($C$7="Y",B206&lt;C$4),C206,AND($C$7="Y",B206=C$4),D205+F206-J206-K206-L206+N206,AND($C$7="Y",B206&gt;$C$4),D205-J206-K206-L206+N206, TRUE, D205-J206-K206-L206+N206)</f>
        <v>#DIV/0!</v>
      </c>
      <c r="E206" s="48">
        <f t="shared" si="33"/>
        <v>0</v>
      </c>
      <c r="F206" s="50">
        <f t="shared" si="34"/>
        <v>0</v>
      </c>
      <c r="G206" s="50">
        <f t="shared" si="39"/>
        <v>0</v>
      </c>
      <c r="H206" s="51" t="e">
        <f>IF(AND($B206&lt;=$C$4,C$7="Y"),0,IF(AND(C$7="N",C$4&gt;0,B206&lt;=C$4),0,(D205-L206+N206)*C$2/12/(1-(1/(1+C$2/12))^(C$3+C$4-B206+1))))</f>
        <v>#DIV/0!</v>
      </c>
      <c r="I206" s="52" t="e">
        <f>IF(AND(C$7="Y",$B206&lt;=C$4),0,IF(AND(C$7="Y",$B206&gt;C$4),(1-U206)*C$2*D205/12,IF(AND($C$7="N",C$4&gt;0),(1-U206)*D205*C$2/12, (1-U206)*D205*C$2/12)))</f>
        <v>#DIV/0!</v>
      </c>
      <c r="J206" s="52" t="e">
        <f>IF(AND($B206&lt;=$C$4,C$7="Y"),0,IF(AND(C$7="N",C$4&gt;0,B206&lt;=C$4),0,H206-I206))</f>
        <v>#DIV/0!</v>
      </c>
      <c r="K206" s="51" t="e">
        <f>IF(AND(C$7="Y",$B206&lt;=$C$4),0,IF(AND(C$7="N",C$4&gt;0,B206&lt;=C$4),0,S206*(C206-J206)))</f>
        <v>#DIV/0!</v>
      </c>
      <c r="L206" s="49" t="e">
        <f>IF(AND(C$7="Y",$B206&lt;=$C$4),0,IF(AND(C$7="N",C$4&gt;0,B206&lt;=C$4),0,U206*D205))</f>
        <v>#DIV/0!</v>
      </c>
      <c r="M206" s="49">
        <f t="shared" si="41"/>
        <v>0</v>
      </c>
      <c r="N206" s="49">
        <f t="shared" si="40"/>
        <v>0</v>
      </c>
      <c r="O206" s="48" t="e">
        <f>K206+I206+J206-L206+N206+G206</f>
        <v>#DIV/0!</v>
      </c>
      <c r="P206" s="38" t="e">
        <f>O206*(1/((1+P$12)^(B206/12)))</f>
        <v>#DIV/0!</v>
      </c>
      <c r="Q206" s="53"/>
      <c r="R206" s="53">
        <f t="shared" si="35"/>
        <v>0</v>
      </c>
      <c r="S206" s="53">
        <f t="shared" si="36"/>
        <v>0</v>
      </c>
      <c r="T206" s="53">
        <f t="shared" si="37"/>
        <v>0.05</v>
      </c>
      <c r="U206" s="53">
        <f t="shared" si="38"/>
        <v>4.2653187775606449E-3</v>
      </c>
    </row>
    <row r="207" spans="1:21" x14ac:dyDescent="0.2">
      <c r="A207" s="62" t="e">
        <f t="shared" ref="A207:A235" si="42">D207/C$1</f>
        <v>#DIV/0!</v>
      </c>
      <c r="B207" s="45">
        <f t="shared" si="32"/>
        <v>193</v>
      </c>
      <c r="C207" s="51" t="e">
        <f>IF(B207&lt;C$4,C$1,D206-L207+N207)</f>
        <v>#DIV/0!</v>
      </c>
      <c r="D207" s="47" t="e" cm="1">
        <f t="array" ref="D207">_xlfn.IFS(AND($C$7="Y",B207&lt;C$4),C207,AND($C$7="Y",B207=C$4),D206+F207-J207-K207-L207+N207,AND($C$7="Y",B207&gt;$C$4),D206-J207-K207-L207+N207, TRUE, D206-J207-K207-L207+N207)</f>
        <v>#DIV/0!</v>
      </c>
      <c r="E207" s="48">
        <f t="shared" si="33"/>
        <v>0</v>
      </c>
      <c r="F207" s="50">
        <f t="shared" si="34"/>
        <v>0</v>
      </c>
      <c r="G207" s="50">
        <f t="shared" si="39"/>
        <v>0</v>
      </c>
      <c r="H207" s="51" t="e">
        <f>IF(AND($B207&lt;=$C$4,C$7="Y"),0,IF(AND(C$7="N",C$4&gt;0,B207&lt;=C$4),0,(D206-L207+N207)*C$2/12/(1-(1/(1+C$2/12))^(C$3+C$4-B207+1))))</f>
        <v>#DIV/0!</v>
      </c>
      <c r="I207" s="52" t="e">
        <f>IF(AND(C$7="Y",$B207&lt;=C$4),0,IF(AND(C$7="Y",$B207&gt;C$4),(1-U207)*C$2*D206/12,IF(AND($C$7="N",C$4&gt;0),(1-U207)*D206*C$2/12, (1-U207)*D206*C$2/12)))</f>
        <v>#DIV/0!</v>
      </c>
      <c r="J207" s="52" t="e">
        <f>IF(AND($B207&lt;=$C$4,C$7="Y"),0,IF(AND(C$7="N",C$4&gt;0,B207&lt;=C$4),0,H207-I207))</f>
        <v>#DIV/0!</v>
      </c>
      <c r="K207" s="51" t="e">
        <f>IF(AND(C$7="Y",$B207&lt;=$C$4),0,IF(AND(C$7="N",C$4&gt;0,B207&lt;=C$4),0,S207*(C207-J207)))</f>
        <v>#DIV/0!</v>
      </c>
      <c r="L207" s="49" t="e">
        <f>IF(AND(C$7="Y",$B207&lt;=$C$4),0,IF(AND(C$7="N",C$4&gt;0,B207&lt;=C$4),0,U207*D206))</f>
        <v>#DIV/0!</v>
      </c>
      <c r="M207" s="49">
        <f t="shared" si="41"/>
        <v>0</v>
      </c>
      <c r="N207" s="49">
        <f t="shared" si="40"/>
        <v>0</v>
      </c>
      <c r="O207" s="48" t="e">
        <f>K207+I207+J207-L207+N207+G207</f>
        <v>#DIV/0!</v>
      </c>
      <c r="P207" s="38" t="e">
        <f>O207*(1/((1+P$12)^(B207/12)))</f>
        <v>#DIV/0!</v>
      </c>
      <c r="Q207" s="53"/>
      <c r="R207" s="53">
        <f t="shared" si="35"/>
        <v>0</v>
      </c>
      <c r="S207" s="53">
        <f t="shared" si="36"/>
        <v>0</v>
      </c>
      <c r="T207" s="53">
        <f t="shared" si="37"/>
        <v>0.05</v>
      </c>
      <c r="U207" s="53">
        <f t="shared" si="38"/>
        <v>4.2653187775606449E-3</v>
      </c>
    </row>
    <row r="208" spans="1:21" x14ac:dyDescent="0.2">
      <c r="A208" s="62" t="e">
        <f t="shared" si="42"/>
        <v>#DIV/0!</v>
      </c>
      <c r="B208" s="45">
        <f t="shared" ref="B208:B223" si="43">B207+1</f>
        <v>194</v>
      </c>
      <c r="C208" s="51" t="e">
        <f>IF(B208&lt;C$4,C$1,D207-L208+N208)</f>
        <v>#DIV/0!</v>
      </c>
      <c r="D208" s="47" t="e" cm="1">
        <f t="array" ref="D208">_xlfn.IFS(AND($C$7="Y",B208&lt;C$4),C208,AND($C$7="Y",B208=C$4),D207+F208-J208-K208-L208+N208,AND($C$7="Y",B208&gt;$C$4),D207-J208-K208-L208+N208, TRUE, D207-J208-K208-L208+N208)</f>
        <v>#DIV/0!</v>
      </c>
      <c r="E208" s="48">
        <f t="shared" ref="E208:E219" si="44">IF(AND($C$7="Y",B208&lt;=$C$4),D207*C$2/12-G208,0)</f>
        <v>0</v>
      </c>
      <c r="F208" s="50">
        <f t="shared" ref="F208:F219" si="45">IF(AND($C$7="Y",B208&lt;=C$4),E208+F207,0)</f>
        <v>0</v>
      </c>
      <c r="G208" s="50">
        <f t="shared" si="39"/>
        <v>0</v>
      </c>
      <c r="H208" s="51" t="e">
        <f>IF(AND($B208&lt;=$C$4,C$7="Y"),0,IF(AND(C$7="N",C$4&gt;0,B208&lt;=C$4),0,(D207-L208+N208)*C$2/12/(1-(1/(1+C$2/12))^(C$3+C$4-B208+1))))</f>
        <v>#DIV/0!</v>
      </c>
      <c r="I208" s="52" t="e">
        <f>IF(AND(C$7="Y",$B208&lt;=C$4),0,IF(AND(C$7="Y",$B208&gt;C$4),(1-U208)*C$2*D207/12,IF(AND($C$7="N",C$4&gt;0),(1-U208)*D207*C$2/12, (1-U208)*D207*C$2/12)))</f>
        <v>#DIV/0!</v>
      </c>
      <c r="J208" s="52" t="e">
        <f>IF(AND($B208&lt;=$C$4,C$7="Y"),0,IF(AND(C$7="N",C$4&gt;0,B208&lt;=C$4),0,H208-I208))</f>
        <v>#DIV/0!</v>
      </c>
      <c r="K208" s="51" t="e">
        <f>IF(AND(C$7="Y",$B208&lt;=$C$4),0,IF(AND(C$7="N",C$4&gt;0,B208&lt;=C$4),0,S208*(C208-J208)))</f>
        <v>#DIV/0!</v>
      </c>
      <c r="L208" s="49" t="e">
        <f>IF(AND(C$7="Y",$B208&lt;=$C$4),0,IF(AND(C$7="N",C$4&gt;0,B208&lt;=C$4),0,U208*D207))</f>
        <v>#DIV/0!</v>
      </c>
      <c r="M208" s="49">
        <f t="shared" si="41"/>
        <v>0</v>
      </c>
      <c r="N208" s="49">
        <f t="shared" si="40"/>
        <v>0</v>
      </c>
      <c r="O208" s="48" t="e">
        <f>K208+I208+J208-L208+N208+G208</f>
        <v>#DIV/0!</v>
      </c>
      <c r="P208" s="38" t="e">
        <f>O208*(1/((1+P$12)^(B208/12)))</f>
        <v>#DIV/0!</v>
      </c>
      <c r="Q208" s="53"/>
      <c r="R208" s="53">
        <f t="shared" ref="R208:R219" si="46">R$12</f>
        <v>0</v>
      </c>
      <c r="S208" s="53">
        <f t="shared" ref="S208:S219" si="47">1-(1-R208)^(1/12)</f>
        <v>0</v>
      </c>
      <c r="T208" s="53">
        <f t="shared" ref="T208:T219" si="48">T$12</f>
        <v>0.05</v>
      </c>
      <c r="U208" s="53">
        <f t="shared" si="38"/>
        <v>4.2653187775606449E-3</v>
      </c>
    </row>
    <row r="209" spans="1:21" x14ac:dyDescent="0.2">
      <c r="A209" s="62" t="e">
        <f t="shared" si="42"/>
        <v>#DIV/0!</v>
      </c>
      <c r="B209" s="45">
        <f t="shared" si="43"/>
        <v>195</v>
      </c>
      <c r="C209" s="51" t="e">
        <f>IF(B209&lt;C$4,C$1,D208-L209+N209)</f>
        <v>#DIV/0!</v>
      </c>
      <c r="D209" s="47" t="e" cm="1">
        <f t="array" ref="D209">_xlfn.IFS(AND($C$7="Y",B209&lt;C$4),C209,AND($C$7="Y",B209=C$4),D208+F209-J209-K209-L209+N209,AND($C$7="Y",B209&gt;$C$4),D208-J209-K209-L209+N209, TRUE, D208-J209-K209-L209+N209)</f>
        <v>#DIV/0!</v>
      </c>
      <c r="E209" s="48">
        <f t="shared" si="44"/>
        <v>0</v>
      </c>
      <c r="F209" s="50">
        <f t="shared" si="45"/>
        <v>0</v>
      </c>
      <c r="G209" s="50">
        <f t="shared" si="39"/>
        <v>0</v>
      </c>
      <c r="H209" s="51" t="e">
        <f>IF(AND($B209&lt;=$C$4,C$7="Y"),0,IF(AND(C$7="N",C$4&gt;0,B209&lt;=C$4),0,(D208-L209+N209)*C$2/12/(1-(1/(1+C$2/12))^(C$3+C$4-B209+1))))</f>
        <v>#DIV/0!</v>
      </c>
      <c r="I209" s="52" t="e">
        <f>IF(AND(C$7="Y",$B209&lt;=C$4),0,IF(AND(C$7="Y",$B209&gt;C$4),(1-U209)*C$2*D208/12,IF(AND($C$7="N",C$4&gt;0),(1-U209)*D208*C$2/12, (1-U209)*D208*C$2/12)))</f>
        <v>#DIV/0!</v>
      </c>
      <c r="J209" s="52" t="e">
        <f>IF(AND($B209&lt;=$C$4,C$7="Y"),0,IF(AND(C$7="N",C$4&gt;0,B209&lt;=C$4),0,H209-I209))</f>
        <v>#DIV/0!</v>
      </c>
      <c r="K209" s="51" t="e">
        <f>IF(AND(C$7="Y",$B209&lt;=$C$4),0,IF(AND(C$7="N",C$4&gt;0,B209&lt;=C$4),0,S209*(C209-J209)))</f>
        <v>#DIV/0!</v>
      </c>
      <c r="L209" s="49" t="e">
        <f>IF(AND(C$7="Y",$B209&lt;=$C$4),0,IF(AND(C$7="N",C$4&gt;0,B209&lt;=C$4),0,U209*D208))</f>
        <v>#DIV/0!</v>
      </c>
      <c r="M209" s="49">
        <f t="shared" si="41"/>
        <v>0</v>
      </c>
      <c r="N209" s="49">
        <f t="shared" si="40"/>
        <v>0</v>
      </c>
      <c r="O209" s="48" t="e">
        <f>K209+I209+J209-L209+N209+G209</f>
        <v>#DIV/0!</v>
      </c>
      <c r="P209" s="38" t="e">
        <f>O209*(1/((1+P$12)^(B209/12)))</f>
        <v>#DIV/0!</v>
      </c>
      <c r="Q209" s="53"/>
      <c r="R209" s="53">
        <f t="shared" si="46"/>
        <v>0</v>
      </c>
      <c r="S209" s="53">
        <f t="shared" si="47"/>
        <v>0</v>
      </c>
      <c r="T209" s="53">
        <f t="shared" si="48"/>
        <v>0.05</v>
      </c>
      <c r="U209" s="53">
        <f t="shared" ref="U209:U219" si="49">1-(1-T209)^(1/12)</f>
        <v>4.2653187775606449E-3</v>
      </c>
    </row>
    <row r="210" spans="1:21" x14ac:dyDescent="0.2">
      <c r="A210" s="62" t="e">
        <f t="shared" si="42"/>
        <v>#DIV/0!</v>
      </c>
      <c r="B210" s="45">
        <f t="shared" si="43"/>
        <v>196</v>
      </c>
      <c r="C210" s="51" t="e">
        <f>IF(B210&lt;C$4,C$1,D209-L210+N210)</f>
        <v>#DIV/0!</v>
      </c>
      <c r="D210" s="47" t="e" cm="1">
        <f t="array" ref="D210">_xlfn.IFS(AND($C$7="Y",B210&lt;C$4),C210,AND($C$7="Y",B210=C$4),D209+F210-J210-K210-L210+N210,AND($C$7="Y",B210&gt;$C$4),D209-J210-K210-L210+N210, TRUE, D209-J210-K210-L210+N210)</f>
        <v>#DIV/0!</v>
      </c>
      <c r="E210" s="48">
        <f t="shared" si="44"/>
        <v>0</v>
      </c>
      <c r="F210" s="50">
        <f t="shared" si="45"/>
        <v>0</v>
      </c>
      <c r="G210" s="50">
        <f t="shared" ref="G210:G219" si="50">IF($B210&lt;=$C$4,C$6,0)</f>
        <v>0</v>
      </c>
      <c r="H210" s="51" t="e">
        <f>IF(AND($B210&lt;=$C$4,C$7="Y"),0,IF(AND(C$7="N",C$4&gt;0,B210&lt;=C$4),0,(D209-L210+N210)*C$2/12/(1-(1/(1+C$2/12))^(C$3+C$4-B210+1))))</f>
        <v>#DIV/0!</v>
      </c>
      <c r="I210" s="52" t="e">
        <f>IF(AND(C$7="Y",$B210&lt;=C$4),0,IF(AND(C$7="Y",$B210&gt;C$4),(1-U210)*C$2*D209/12,IF(AND($C$7="N",C$4&gt;0),(1-U210)*D209*C$2/12, (1-U210)*D209*C$2/12)))</f>
        <v>#DIV/0!</v>
      </c>
      <c r="J210" s="52" t="e">
        <f>IF(AND($B210&lt;=$C$4,C$7="Y"),0,IF(AND(C$7="N",C$4&gt;0,B210&lt;=C$4),0,H210-I210))</f>
        <v>#DIV/0!</v>
      </c>
      <c r="K210" s="51" t="e">
        <f>IF(AND(C$7="Y",$B210&lt;=$C$4),0,IF(AND(C$7="N",C$4&gt;0,B210&lt;=C$4),0,S210*(C210-J210)))</f>
        <v>#DIV/0!</v>
      </c>
      <c r="L210" s="49" t="e">
        <f>IF(AND(C$7="Y",$B210&lt;=$C$4),0,IF(AND(C$7="N",C$4&gt;0,B210&lt;=C$4),0,U210*D209))</f>
        <v>#DIV/0!</v>
      </c>
      <c r="M210" s="49">
        <f t="shared" si="41"/>
        <v>0</v>
      </c>
      <c r="N210" s="49">
        <f t="shared" si="40"/>
        <v>0</v>
      </c>
      <c r="O210" s="48" t="e">
        <f>K210+I210+J210-L210+N210+G210</f>
        <v>#DIV/0!</v>
      </c>
      <c r="P210" s="38" t="e">
        <f>O210*(1/((1+P$12)^(B210/12)))</f>
        <v>#DIV/0!</v>
      </c>
      <c r="Q210" s="53"/>
      <c r="R210" s="53">
        <f t="shared" si="46"/>
        <v>0</v>
      </c>
      <c r="S210" s="53">
        <f t="shared" si="47"/>
        <v>0</v>
      </c>
      <c r="T210" s="53">
        <f t="shared" si="48"/>
        <v>0.05</v>
      </c>
      <c r="U210" s="53">
        <f t="shared" si="49"/>
        <v>4.2653187775606449E-3</v>
      </c>
    </row>
    <row r="211" spans="1:21" x14ac:dyDescent="0.2">
      <c r="A211" s="62" t="e">
        <f t="shared" si="42"/>
        <v>#DIV/0!</v>
      </c>
      <c r="B211" s="45">
        <f t="shared" si="43"/>
        <v>197</v>
      </c>
      <c r="C211" s="51" t="e">
        <f>IF(B211&lt;C$4,C$1,D210-L211+N211)</f>
        <v>#DIV/0!</v>
      </c>
      <c r="D211" s="47" t="e" cm="1">
        <f t="array" ref="D211">_xlfn.IFS(AND($C$7="Y",B211&lt;C$4),C211,AND($C$7="Y",B211=C$4),D210+F211-J211-K211-L211+N211,AND($C$7="Y",B211&gt;$C$4),D210-J211-K211-L211+N211, TRUE, D210-J211-K211-L211+N211)</f>
        <v>#DIV/0!</v>
      </c>
      <c r="E211" s="48">
        <f t="shared" si="44"/>
        <v>0</v>
      </c>
      <c r="F211" s="50">
        <f t="shared" si="45"/>
        <v>0</v>
      </c>
      <c r="G211" s="50">
        <f t="shared" si="50"/>
        <v>0</v>
      </c>
      <c r="H211" s="51" t="e">
        <f>IF(AND($B211&lt;=$C$4,C$7="Y"),0,IF(AND(C$7="N",C$4&gt;0,B211&lt;=C$4),0,(D210-L211+N211)*C$2/12/(1-(1/(1+C$2/12))^(C$3+C$4-B211+1))))</f>
        <v>#DIV/0!</v>
      </c>
      <c r="I211" s="52" t="e">
        <f>IF(AND(C$7="Y",$B211&lt;=C$4),0,IF(AND(C$7="Y",$B211&gt;C$4),(1-U211)*C$2*D210/12,IF(AND($C$7="N",C$4&gt;0),(1-U211)*D210*C$2/12, (1-U211)*D210*C$2/12)))</f>
        <v>#DIV/0!</v>
      </c>
      <c r="J211" s="52" t="e">
        <f>IF(AND($B211&lt;=$C$4,C$7="Y"),0,IF(AND(C$7="N",C$4&gt;0,B211&lt;=C$4),0,H211-I211))</f>
        <v>#DIV/0!</v>
      </c>
      <c r="K211" s="51" t="e">
        <f>IF(AND(C$7="Y",$B211&lt;=$C$4),0,IF(AND(C$7="N",C$4&gt;0,B211&lt;=C$4),0,S211*(C211-J211)))</f>
        <v>#DIV/0!</v>
      </c>
      <c r="L211" s="49" t="e">
        <f>IF(AND(C$7="Y",$B211&lt;=$C$4),0,IF(AND(C$7="N",C$4&gt;0,B211&lt;=C$4),0,U211*D210))</f>
        <v>#DIV/0!</v>
      </c>
      <c r="M211" s="49">
        <f t="shared" si="41"/>
        <v>0</v>
      </c>
      <c r="N211" s="49">
        <f t="shared" si="40"/>
        <v>0</v>
      </c>
      <c r="O211" s="48" t="e">
        <f>K211+I211+J211-L211+N211+G211</f>
        <v>#DIV/0!</v>
      </c>
      <c r="P211" s="38" t="e">
        <f>O211*(1/((1+P$12)^(B211/12)))</f>
        <v>#DIV/0!</v>
      </c>
      <c r="Q211" s="53"/>
      <c r="R211" s="53">
        <f t="shared" si="46"/>
        <v>0</v>
      </c>
      <c r="S211" s="53">
        <f t="shared" si="47"/>
        <v>0</v>
      </c>
      <c r="T211" s="53">
        <f t="shared" si="48"/>
        <v>0.05</v>
      </c>
      <c r="U211" s="53">
        <f t="shared" si="49"/>
        <v>4.2653187775606449E-3</v>
      </c>
    </row>
    <row r="212" spans="1:21" x14ac:dyDescent="0.2">
      <c r="A212" s="62" t="e">
        <f t="shared" si="42"/>
        <v>#DIV/0!</v>
      </c>
      <c r="B212" s="45">
        <f t="shared" si="43"/>
        <v>198</v>
      </c>
      <c r="C212" s="51" t="e">
        <f>IF(B212&lt;C$4,C$1,D211-L212+N212)</f>
        <v>#DIV/0!</v>
      </c>
      <c r="D212" s="47" t="e" cm="1">
        <f t="array" ref="D212">_xlfn.IFS(AND($C$7="Y",B212&lt;C$4),C212,AND($C$7="Y",B212=C$4),D211+F212-J212-K212-L212+N212,AND($C$7="Y",B212&gt;$C$4),D211-J212-K212-L212+N212, TRUE, D211-J212-K212-L212+N212)</f>
        <v>#DIV/0!</v>
      </c>
      <c r="E212" s="48">
        <f t="shared" si="44"/>
        <v>0</v>
      </c>
      <c r="F212" s="50">
        <f t="shared" si="45"/>
        <v>0</v>
      </c>
      <c r="G212" s="50">
        <f t="shared" si="50"/>
        <v>0</v>
      </c>
      <c r="H212" s="51" t="e">
        <f>IF(AND($B212&lt;=$C$4,C$7="Y"),0,IF(AND(C$7="N",C$4&gt;0,B212&lt;=C$4),0,(D211-L212+N212)*C$2/12/(1-(1/(1+C$2/12))^(C$3+C$4-B212+1))))</f>
        <v>#DIV/0!</v>
      </c>
      <c r="I212" s="52" t="e">
        <f>IF(AND(C$7="Y",$B212&lt;=C$4),0,IF(AND(C$7="Y",$B212&gt;C$4),(1-U212)*C$2*D211/12,IF(AND($C$7="N",C$4&gt;0),(1-U212)*D211*C$2/12, (1-U212)*D211*C$2/12)))</f>
        <v>#DIV/0!</v>
      </c>
      <c r="J212" s="52" t="e">
        <f>IF(AND($B212&lt;=$C$4,C$7="Y"),0,IF(AND(C$7="N",C$4&gt;0,B212&lt;=C$4),0,H212-I212))</f>
        <v>#DIV/0!</v>
      </c>
      <c r="K212" s="51" t="e">
        <f>IF(AND(C$7="Y",$B212&lt;=$C$4),0,IF(AND(C$7="N",C$4&gt;0,B212&lt;=C$4),0,S212*(C212-J212)))</f>
        <v>#DIV/0!</v>
      </c>
      <c r="L212" s="49" t="e">
        <f>IF(AND(C$7="Y",$B212&lt;=$C$4),0,IF(AND(C$7="N",C$4&gt;0,B212&lt;=C$4),0,U212*D211))</f>
        <v>#DIV/0!</v>
      </c>
      <c r="M212" s="49">
        <f t="shared" si="41"/>
        <v>0</v>
      </c>
      <c r="N212" s="49">
        <f t="shared" si="40"/>
        <v>0</v>
      </c>
      <c r="O212" s="48" t="e">
        <f>K212+I212+J212-L212+N212+G212</f>
        <v>#DIV/0!</v>
      </c>
      <c r="P212" s="38" t="e">
        <f>O212*(1/((1+P$12)^(B212/12)))</f>
        <v>#DIV/0!</v>
      </c>
      <c r="Q212" s="53"/>
      <c r="R212" s="53">
        <f t="shared" si="46"/>
        <v>0</v>
      </c>
      <c r="S212" s="53">
        <f t="shared" si="47"/>
        <v>0</v>
      </c>
      <c r="T212" s="53">
        <f t="shared" si="48"/>
        <v>0.05</v>
      </c>
      <c r="U212" s="53">
        <f t="shared" si="49"/>
        <v>4.2653187775606449E-3</v>
      </c>
    </row>
    <row r="213" spans="1:21" x14ac:dyDescent="0.2">
      <c r="A213" s="62" t="e">
        <f t="shared" si="42"/>
        <v>#DIV/0!</v>
      </c>
      <c r="B213" s="45">
        <f t="shared" si="43"/>
        <v>199</v>
      </c>
      <c r="C213" s="51" t="e">
        <f>IF(B213&lt;C$4,C$1,D212-L213+N213)</f>
        <v>#DIV/0!</v>
      </c>
      <c r="D213" s="47" t="e" cm="1">
        <f t="array" ref="D213">_xlfn.IFS(AND($C$7="Y",B213&lt;C$4),C213,AND($C$7="Y",B213=C$4),D212+F213-J213-K213-L213+N213,AND($C$7="Y",B213&gt;$C$4),D212-J213-K213-L213+N213, TRUE, D212-J213-K213-L213+N213)</f>
        <v>#DIV/0!</v>
      </c>
      <c r="E213" s="48">
        <f t="shared" si="44"/>
        <v>0</v>
      </c>
      <c r="F213" s="50">
        <f t="shared" si="45"/>
        <v>0</v>
      </c>
      <c r="G213" s="50">
        <f t="shared" si="50"/>
        <v>0</v>
      </c>
      <c r="H213" s="51" t="e">
        <f>IF(AND($B213&lt;=$C$4,C$7="Y"),0,IF(AND(C$7="N",C$4&gt;0,B213&lt;=C$4),0,(D212-L213+N213)*C$2/12/(1-(1/(1+C$2/12))^(C$3+C$4-B213+1))))</f>
        <v>#DIV/0!</v>
      </c>
      <c r="I213" s="52" t="e">
        <f>IF(AND(C$7="Y",$B213&lt;=C$4),0,IF(AND(C$7="Y",$B213&gt;C$4),(1-U213)*C$2*D212/12,IF(AND($C$7="N",C$4&gt;0),(1-U213)*D212*C$2/12, (1-U213)*D212*C$2/12)))</f>
        <v>#DIV/0!</v>
      </c>
      <c r="J213" s="52" t="e">
        <f>IF(AND($B213&lt;=$C$4,C$7="Y"),0,IF(AND(C$7="N",C$4&gt;0,B213&lt;=C$4),0,H213-I213))</f>
        <v>#DIV/0!</v>
      </c>
      <c r="K213" s="51" t="e">
        <f>IF(AND(C$7="Y",$B213&lt;=$C$4),0,IF(AND(C$7="N",C$4&gt;0,B213&lt;=C$4),0,S213*(C213-J213)))</f>
        <v>#DIV/0!</v>
      </c>
      <c r="L213" s="49" t="e">
        <f>IF(AND(C$7="Y",$B213&lt;=$C$4),0,IF(AND(C$7="N",C$4&gt;0,B213&lt;=C$4),0,U213*D212))</f>
        <v>#DIV/0!</v>
      </c>
      <c r="M213" s="49">
        <f t="shared" si="41"/>
        <v>0</v>
      </c>
      <c r="N213" s="49">
        <f t="shared" si="40"/>
        <v>0</v>
      </c>
      <c r="O213" s="48" t="e">
        <f>K213+I213+J213-L213+N213+G213</f>
        <v>#DIV/0!</v>
      </c>
      <c r="P213" s="38" t="e">
        <f>O213*(1/((1+P$12)^(B213/12)))</f>
        <v>#DIV/0!</v>
      </c>
      <c r="Q213" s="53"/>
      <c r="R213" s="53">
        <f t="shared" si="46"/>
        <v>0</v>
      </c>
      <c r="S213" s="53">
        <f t="shared" si="47"/>
        <v>0</v>
      </c>
      <c r="T213" s="53">
        <f t="shared" si="48"/>
        <v>0.05</v>
      </c>
      <c r="U213" s="53">
        <f t="shared" si="49"/>
        <v>4.2653187775606449E-3</v>
      </c>
    </row>
    <row r="214" spans="1:21" x14ac:dyDescent="0.2">
      <c r="A214" s="62" t="e">
        <f t="shared" si="42"/>
        <v>#DIV/0!</v>
      </c>
      <c r="B214" s="45">
        <f t="shared" si="43"/>
        <v>200</v>
      </c>
      <c r="C214" s="51" t="e">
        <f>IF(B214&lt;C$4,C$1,D213-L214+N214)</f>
        <v>#DIV/0!</v>
      </c>
      <c r="D214" s="47" t="e" cm="1">
        <f t="array" ref="D214">_xlfn.IFS(AND($C$7="Y",B214&lt;C$4),C214,AND($C$7="Y",B214=C$4),D213+F214-J214-K214-L214+N214,AND($C$7="Y",B214&gt;$C$4),D213-J214-K214-L214+N214, TRUE, D213-J214-K214-L214+N214)</f>
        <v>#DIV/0!</v>
      </c>
      <c r="E214" s="48">
        <f t="shared" si="44"/>
        <v>0</v>
      </c>
      <c r="F214" s="50">
        <f t="shared" si="45"/>
        <v>0</v>
      </c>
      <c r="G214" s="50">
        <f t="shared" si="50"/>
        <v>0</v>
      </c>
      <c r="H214" s="51" t="e">
        <f>IF(AND($B214&lt;=$C$4,C$7="Y"),0,IF(AND(C$7="N",C$4&gt;0,B214&lt;=C$4),0,(D213-L214+N214)*C$2/12/(1-(1/(1+C$2/12))^(C$3+C$4-B214+1))))</f>
        <v>#DIV/0!</v>
      </c>
      <c r="I214" s="52" t="e">
        <f>IF(AND(C$7="Y",$B214&lt;=C$4),0,IF(AND(C$7="Y",$B214&gt;C$4),(1-U214)*C$2*D213/12,IF(AND($C$7="N",C$4&gt;0),(1-U214)*D213*C$2/12, (1-U214)*D213*C$2/12)))</f>
        <v>#DIV/0!</v>
      </c>
      <c r="J214" s="52" t="e">
        <f>IF(AND($B214&lt;=$C$4,C$7="Y"),0,IF(AND(C$7="N",C$4&gt;0,B214&lt;=C$4),0,H214-I214))</f>
        <v>#DIV/0!</v>
      </c>
      <c r="K214" s="51" t="e">
        <f>IF(AND(C$7="Y",$B214&lt;=$C$4),0,IF(AND(C$7="N",C$4&gt;0,B214&lt;=C$4),0,S214*(C214-J214)))</f>
        <v>#DIV/0!</v>
      </c>
      <c r="L214" s="49" t="e">
        <f>IF(AND(C$7="Y",$B214&lt;=$C$4),0,IF(AND(C$7="N",C$4&gt;0,B214&lt;=C$4),0,U214*D213))</f>
        <v>#DIV/0!</v>
      </c>
      <c r="M214" s="49">
        <f t="shared" si="41"/>
        <v>0</v>
      </c>
      <c r="N214" s="49">
        <f t="shared" si="40"/>
        <v>0</v>
      </c>
      <c r="O214" s="48" t="e">
        <f>K214+I214+J214-L214+N214+G214</f>
        <v>#DIV/0!</v>
      </c>
      <c r="P214" s="38" t="e">
        <f>O214*(1/((1+P$12)^(B214/12)))</f>
        <v>#DIV/0!</v>
      </c>
      <c r="Q214" s="53"/>
      <c r="R214" s="53">
        <f t="shared" si="46"/>
        <v>0</v>
      </c>
      <c r="S214" s="53">
        <f t="shared" si="47"/>
        <v>0</v>
      </c>
      <c r="T214" s="53">
        <f t="shared" si="48"/>
        <v>0.05</v>
      </c>
      <c r="U214" s="53">
        <f t="shared" si="49"/>
        <v>4.2653187775606449E-3</v>
      </c>
    </row>
    <row r="215" spans="1:21" x14ac:dyDescent="0.2">
      <c r="A215" s="62" t="e">
        <f t="shared" si="42"/>
        <v>#DIV/0!</v>
      </c>
      <c r="B215" s="45">
        <f t="shared" si="43"/>
        <v>201</v>
      </c>
      <c r="C215" s="51" t="e">
        <f>IF(B215&lt;C$4,C$1,D214-L215+N215)</f>
        <v>#DIV/0!</v>
      </c>
      <c r="D215" s="47" t="e" cm="1">
        <f t="array" ref="D215">_xlfn.IFS(AND($C$7="Y",B215&lt;C$4),C215,AND($C$7="Y",B215=C$4),D214+F215-J215-K215-L215+N215,AND($C$7="Y",B215&gt;$C$4),D214-J215-K215-L215+N215, TRUE, D214-J215-K215-L215+N215)</f>
        <v>#DIV/0!</v>
      </c>
      <c r="E215" s="48">
        <f t="shared" si="44"/>
        <v>0</v>
      </c>
      <c r="F215" s="50">
        <f t="shared" si="45"/>
        <v>0</v>
      </c>
      <c r="G215" s="50">
        <f t="shared" si="50"/>
        <v>0</v>
      </c>
      <c r="H215" s="51" t="e">
        <f>IF(AND($B215&lt;=$C$4,C$7="Y"),0,IF(AND(C$7="N",C$4&gt;0,B215&lt;=C$4),0,(D214-L215+N215)*C$2/12/(1-(1/(1+C$2/12))^(C$3+C$4-B215+1))))</f>
        <v>#DIV/0!</v>
      </c>
      <c r="I215" s="52" t="e">
        <f>IF(AND(C$7="Y",$B215&lt;=C$4),0,IF(AND(C$7="Y",$B215&gt;C$4),(1-U215)*C$2*D214/12,IF(AND($C$7="N",C$4&gt;0),(1-U215)*D214*C$2/12, (1-U215)*D214*C$2/12)))</f>
        <v>#DIV/0!</v>
      </c>
      <c r="J215" s="52" t="e">
        <f>IF(AND($B215&lt;=$C$4,C$7="Y"),0,IF(AND(C$7="N",C$4&gt;0,B215&lt;=C$4),0,H215-I215))</f>
        <v>#DIV/0!</v>
      </c>
      <c r="K215" s="51" t="e">
        <f>IF(AND(C$7="Y",$B215&lt;=$C$4),0,IF(AND(C$7="N",C$4&gt;0,B215&lt;=C$4),0,S215*(C215-J215)))</f>
        <v>#DIV/0!</v>
      </c>
      <c r="L215" s="49" t="e">
        <f>IF(AND(C$7="Y",$B215&lt;=$C$4),0,IF(AND(C$7="N",C$4&gt;0,B215&lt;=C$4),0,U215*D214))</f>
        <v>#DIV/0!</v>
      </c>
      <c r="M215" s="49">
        <f t="shared" si="41"/>
        <v>0</v>
      </c>
      <c r="N215" s="49">
        <f t="shared" si="40"/>
        <v>0</v>
      </c>
      <c r="O215" s="48" t="e">
        <f>K215+I215+J215-L215+N215+G215</f>
        <v>#DIV/0!</v>
      </c>
      <c r="P215" s="38" t="e">
        <f>O215*(1/((1+P$12)^(B215/12)))</f>
        <v>#DIV/0!</v>
      </c>
      <c r="Q215" s="53"/>
      <c r="R215" s="53">
        <f t="shared" si="46"/>
        <v>0</v>
      </c>
      <c r="S215" s="53">
        <f t="shared" si="47"/>
        <v>0</v>
      </c>
      <c r="T215" s="53">
        <f t="shared" si="48"/>
        <v>0.05</v>
      </c>
      <c r="U215" s="53">
        <f t="shared" si="49"/>
        <v>4.2653187775606449E-3</v>
      </c>
    </row>
    <row r="216" spans="1:21" x14ac:dyDescent="0.2">
      <c r="A216" s="62" t="e">
        <f t="shared" si="42"/>
        <v>#DIV/0!</v>
      </c>
      <c r="B216" s="45">
        <f t="shared" si="43"/>
        <v>202</v>
      </c>
      <c r="C216" s="51" t="e">
        <f>IF(B216&lt;C$4,C$1,D215-L216+N216)</f>
        <v>#DIV/0!</v>
      </c>
      <c r="D216" s="47" t="e" cm="1">
        <f t="array" ref="D216">_xlfn.IFS(AND($C$7="Y",B216&lt;C$4),C216,AND($C$7="Y",B216=C$4),D215+F216-J216-K216-L216+N216,AND($C$7="Y",B216&gt;$C$4),D215-J216-K216-L216+N216, TRUE, D215-J216-K216-L216+N216)</f>
        <v>#DIV/0!</v>
      </c>
      <c r="E216" s="48">
        <f t="shared" si="44"/>
        <v>0</v>
      </c>
      <c r="F216" s="50">
        <f t="shared" si="45"/>
        <v>0</v>
      </c>
      <c r="G216" s="50">
        <f t="shared" si="50"/>
        <v>0</v>
      </c>
      <c r="H216" s="51" t="e">
        <f>IF(AND($B216&lt;=$C$4,C$7="Y"),0,IF(AND(C$7="N",C$4&gt;0,B216&lt;=C$4),0,(D215-L216+N216)*C$2/12/(1-(1/(1+C$2/12))^(C$3+C$4-B216+1))))</f>
        <v>#DIV/0!</v>
      </c>
      <c r="I216" s="52" t="e">
        <f>IF(AND(C$7="Y",$B216&lt;=C$4),0,IF(AND(C$7="Y",$B216&gt;C$4),(1-U216)*C$2*D215/12,IF(AND($C$7="N",C$4&gt;0),(1-U216)*D215*C$2/12, (1-U216)*D215*C$2/12)))</f>
        <v>#DIV/0!</v>
      </c>
      <c r="J216" s="52" t="e">
        <f>IF(AND($B216&lt;=$C$4,C$7="Y"),0,IF(AND(C$7="N",C$4&gt;0,B216&lt;=C$4),0,H216-I216))</f>
        <v>#DIV/0!</v>
      </c>
      <c r="K216" s="51" t="e">
        <f>IF(AND(C$7="Y",$B216&lt;=$C$4),0,IF(AND(C$7="N",C$4&gt;0,B216&lt;=C$4),0,S216*(C216-J216)))</f>
        <v>#DIV/0!</v>
      </c>
      <c r="L216" s="49" t="e">
        <f>IF(AND(C$7="Y",$B216&lt;=$C$4),0,IF(AND(C$7="N",C$4&gt;0,B216&lt;=C$4),0,U216*D215))</f>
        <v>#DIV/0!</v>
      </c>
      <c r="M216" s="49">
        <f t="shared" si="41"/>
        <v>0</v>
      </c>
      <c r="N216" s="49">
        <f t="shared" si="40"/>
        <v>0</v>
      </c>
      <c r="O216" s="48" t="e">
        <f>K216+I216+J216-L216+N216+G216</f>
        <v>#DIV/0!</v>
      </c>
      <c r="P216" s="38" t="e">
        <f>O216*(1/((1+P$12)^(B216/12)))</f>
        <v>#DIV/0!</v>
      </c>
      <c r="Q216" s="53"/>
      <c r="R216" s="53">
        <f t="shared" si="46"/>
        <v>0</v>
      </c>
      <c r="S216" s="53">
        <f t="shared" si="47"/>
        <v>0</v>
      </c>
      <c r="T216" s="53">
        <f t="shared" si="48"/>
        <v>0.05</v>
      </c>
      <c r="U216" s="53">
        <f t="shared" si="49"/>
        <v>4.2653187775606449E-3</v>
      </c>
    </row>
    <row r="217" spans="1:21" x14ac:dyDescent="0.2">
      <c r="A217" s="62" t="e">
        <f t="shared" si="42"/>
        <v>#DIV/0!</v>
      </c>
      <c r="B217" s="45">
        <f t="shared" si="43"/>
        <v>203</v>
      </c>
      <c r="C217" s="51" t="e">
        <f>IF(B217&lt;C$4,C$1,D216-L217+N217)</f>
        <v>#DIV/0!</v>
      </c>
      <c r="D217" s="47" t="e" cm="1">
        <f t="array" ref="D217">_xlfn.IFS(AND($C$7="Y",B217&lt;C$4),C217,AND($C$7="Y",B217=C$4),D216+F217-J217-K217-L217+N217,AND($C$7="Y",B217&gt;$C$4),D216-J217-K217-L217+N217, TRUE, D216-J217-K217-L217+N217)</f>
        <v>#DIV/0!</v>
      </c>
      <c r="E217" s="48">
        <f t="shared" si="44"/>
        <v>0</v>
      </c>
      <c r="F217" s="50">
        <f t="shared" si="45"/>
        <v>0</v>
      </c>
      <c r="G217" s="50">
        <f t="shared" si="50"/>
        <v>0</v>
      </c>
      <c r="H217" s="51" t="e">
        <f>IF(AND($B217&lt;=$C$4,C$7="Y"),0,IF(AND(C$7="N",C$4&gt;0,B217&lt;=C$4),0,(D216-L217+N217)*C$2/12/(1-(1/(1+C$2/12))^(C$3+C$4-B217+1))))</f>
        <v>#DIV/0!</v>
      </c>
      <c r="I217" s="52" t="e">
        <f>IF(AND(C$7="Y",$B217&lt;=C$4),0,IF(AND(C$7="Y",$B217&gt;C$4),(1-U217)*C$2*D216/12,IF(AND($C$7="N",C$4&gt;0),(1-U217)*D216*C$2/12, (1-U217)*D216*C$2/12)))</f>
        <v>#DIV/0!</v>
      </c>
      <c r="J217" s="52" t="e">
        <f>IF(AND($B217&lt;=$C$4,C$7="Y"),0,IF(AND(C$7="N",C$4&gt;0,B217&lt;=C$4),0,H217-I217))</f>
        <v>#DIV/0!</v>
      </c>
      <c r="K217" s="51" t="e">
        <f>IF(AND(C$7="Y",$B217&lt;=$C$4),0,IF(AND(C$7="N",C$4&gt;0,B217&lt;=C$4),0,S217*(C217-J217)))</f>
        <v>#DIV/0!</v>
      </c>
      <c r="L217" s="49" t="e">
        <f>IF(AND(C$7="Y",$B217&lt;=$C$4),0,IF(AND(C$7="N",C$4&gt;0,B217&lt;=C$4),0,U217*D216))</f>
        <v>#DIV/0!</v>
      </c>
      <c r="M217" s="49">
        <f t="shared" si="41"/>
        <v>0</v>
      </c>
      <c r="N217" s="49">
        <f t="shared" si="40"/>
        <v>0</v>
      </c>
      <c r="O217" s="48" t="e">
        <f>K217+I217+J217-L217+N217+G217</f>
        <v>#DIV/0!</v>
      </c>
      <c r="P217" s="38" t="e">
        <f>O217*(1/((1+P$12)^(B217/12)))</f>
        <v>#DIV/0!</v>
      </c>
      <c r="Q217" s="53"/>
      <c r="R217" s="53">
        <f t="shared" si="46"/>
        <v>0</v>
      </c>
      <c r="S217" s="53">
        <f t="shared" si="47"/>
        <v>0</v>
      </c>
      <c r="T217" s="53">
        <f t="shared" si="48"/>
        <v>0.05</v>
      </c>
      <c r="U217" s="53">
        <f t="shared" si="49"/>
        <v>4.2653187775606449E-3</v>
      </c>
    </row>
    <row r="218" spans="1:21" x14ac:dyDescent="0.2">
      <c r="A218" s="62" t="e">
        <f t="shared" si="42"/>
        <v>#DIV/0!</v>
      </c>
      <c r="B218" s="45">
        <f t="shared" si="43"/>
        <v>204</v>
      </c>
      <c r="C218" s="51" t="e">
        <f>IF(B218&lt;C$4,C$1,D217-L218+N218)</f>
        <v>#DIV/0!</v>
      </c>
      <c r="D218" s="47" t="e" cm="1">
        <f t="array" ref="D218">_xlfn.IFS(AND($C$7="Y",B218&lt;C$4),C218,AND($C$7="Y",B218=C$4),D217+F218-J218-K218-L218+N218,AND($C$7="Y",B218&gt;$C$4),D217-J218-K218-L218+N218, TRUE, D217-J218-K218-L218+N218)</f>
        <v>#DIV/0!</v>
      </c>
      <c r="E218" s="48">
        <f t="shared" si="44"/>
        <v>0</v>
      </c>
      <c r="F218" s="50">
        <f t="shared" si="45"/>
        <v>0</v>
      </c>
      <c r="G218" s="50">
        <f t="shared" si="50"/>
        <v>0</v>
      </c>
      <c r="H218" s="51" t="e">
        <f>IF(AND($B218&lt;=$C$4,C$7="Y"),0,IF(AND(C$7="N",C$4&gt;0,B218&lt;=C$4),0,(D217-L218+N218)*C$2/12/(1-(1/(1+C$2/12))^(C$3+C$4-B218+1))))</f>
        <v>#DIV/0!</v>
      </c>
      <c r="I218" s="52" t="e">
        <f>IF(AND(C$7="Y",$B218&lt;=C$4),0,IF(AND(C$7="Y",$B218&gt;C$4),(1-U218)*C$2*D217/12,IF(AND($C$7="N",C$4&gt;0),(1-U218)*D217*C$2/12, (1-U218)*D217*C$2/12)))</f>
        <v>#DIV/0!</v>
      </c>
      <c r="J218" s="52" t="e">
        <f>IF(AND($B218&lt;=$C$4,C$7="Y"),0,IF(AND(C$7="N",C$4&gt;0,B218&lt;=C$4),0,H218-I218))</f>
        <v>#DIV/0!</v>
      </c>
      <c r="K218" s="51" t="e">
        <f>IF(AND(C$7="Y",$B218&lt;=$C$4),0,IF(AND(C$7="N",C$4&gt;0,B218&lt;=C$4),0,S218*(C218-J218)))</f>
        <v>#DIV/0!</v>
      </c>
      <c r="L218" s="49" t="e">
        <f>IF(AND(C$7="Y",$B218&lt;=$C$4),0,IF(AND(C$7="N",C$4&gt;0,B218&lt;=C$4),0,U218*D217))</f>
        <v>#DIV/0!</v>
      </c>
      <c r="M218" s="49">
        <f t="shared" si="41"/>
        <v>0</v>
      </c>
      <c r="N218" s="49">
        <f t="shared" si="40"/>
        <v>0</v>
      </c>
      <c r="O218" s="48" t="e">
        <f>K218+I218+J218-L218+N218+G218</f>
        <v>#DIV/0!</v>
      </c>
      <c r="P218" s="38" t="e">
        <f>O218*(1/((1+P$12)^(B218/12)))</f>
        <v>#DIV/0!</v>
      </c>
      <c r="Q218" s="53"/>
      <c r="R218" s="53">
        <f t="shared" si="46"/>
        <v>0</v>
      </c>
      <c r="S218" s="53">
        <f t="shared" si="47"/>
        <v>0</v>
      </c>
      <c r="T218" s="53">
        <f t="shared" si="48"/>
        <v>0.05</v>
      </c>
      <c r="U218" s="53">
        <f t="shared" si="49"/>
        <v>4.2653187775606449E-3</v>
      </c>
    </row>
    <row r="219" spans="1:21" x14ac:dyDescent="0.2">
      <c r="A219" s="62" t="e">
        <f t="shared" si="42"/>
        <v>#DIV/0!</v>
      </c>
      <c r="B219" s="45">
        <f t="shared" si="43"/>
        <v>205</v>
      </c>
      <c r="C219" s="51" t="e">
        <f>IF(B219&lt;C$4,C$1,D218-L219+N219)</f>
        <v>#DIV/0!</v>
      </c>
      <c r="D219" s="47" t="e" cm="1">
        <f t="array" ref="D219">_xlfn.IFS(AND($C$7="Y",B219&lt;C$4),C219,AND($C$7="Y",B219=C$4),D218+F219-J219-K219-L219+N219,AND($C$7="Y",B219&gt;$C$4),D218-J219-K219-L219+N219, TRUE, D218-J219-K219-L219+N219)</f>
        <v>#DIV/0!</v>
      </c>
      <c r="E219" s="48">
        <f t="shared" si="44"/>
        <v>0</v>
      </c>
      <c r="F219" s="50">
        <f t="shared" si="45"/>
        <v>0</v>
      </c>
      <c r="G219" s="50">
        <f t="shared" si="50"/>
        <v>0</v>
      </c>
      <c r="H219" s="51" t="e">
        <f>IF(AND($B219&lt;=$C$4,C$7="Y"),0,IF(AND(C$7="N",C$4&gt;0,B219&lt;=C$4),0,(D218-L219+N219)*C$2/12/(1-(1/(1+C$2/12))^(C$3+C$4-B219+1))))</f>
        <v>#DIV/0!</v>
      </c>
      <c r="I219" s="52" t="e">
        <f>IF(AND(C$7="Y",$B219&lt;=C$4),0,IF(AND(C$7="Y",$B219&gt;C$4),(1-U219)*C$2*D218/12,IF(AND($C$7="N",C$4&gt;0),(1-U219)*D218*C$2/12, (1-U219)*D218*C$2/12)))</f>
        <v>#DIV/0!</v>
      </c>
      <c r="J219" s="52" t="e">
        <f>IF(AND($B219&lt;=$C$4,C$7="Y"),0,IF(AND(C$7="N",C$4&gt;0,B219&lt;=C$4),0,H219-I219))</f>
        <v>#DIV/0!</v>
      </c>
      <c r="K219" s="51" t="e">
        <f>IF(AND(C$7="Y",$B219&lt;=$C$4),0,IF(AND(C$7="N",C$4&gt;0,B219&lt;=C$4),0,S219*(C219-J219)))</f>
        <v>#DIV/0!</v>
      </c>
      <c r="L219" s="49" t="e">
        <f>IF(AND(C$7="Y",$B219&lt;=$C$4),0,IF(AND(C$7="N",C$4&gt;0,B219&lt;=C$4),0,U219*D218))</f>
        <v>#DIV/0!</v>
      </c>
      <c r="M219" s="49">
        <f t="shared" si="41"/>
        <v>0</v>
      </c>
      <c r="N219" s="49">
        <f t="shared" si="40"/>
        <v>0</v>
      </c>
      <c r="O219" s="48" t="e">
        <f>K219+I219+J219-L219+N219+G219</f>
        <v>#DIV/0!</v>
      </c>
      <c r="P219" s="38" t="e">
        <f>O219*(1/((1+P$12)^(B219/12)))</f>
        <v>#DIV/0!</v>
      </c>
      <c r="Q219" s="53"/>
      <c r="R219" s="53">
        <f t="shared" si="46"/>
        <v>0</v>
      </c>
      <c r="S219" s="53">
        <f t="shared" si="47"/>
        <v>0</v>
      </c>
      <c r="T219" s="53">
        <f t="shared" si="48"/>
        <v>0.05</v>
      </c>
      <c r="U219" s="53">
        <f t="shared" si="49"/>
        <v>4.2653187775606449E-3</v>
      </c>
    </row>
    <row r="220" spans="1:21" x14ac:dyDescent="0.2">
      <c r="A220" s="62">
        <f t="shared" si="42"/>
        <v>0</v>
      </c>
      <c r="B220" s="45">
        <f t="shared" si="43"/>
        <v>206</v>
      </c>
      <c r="C220" s="49"/>
      <c r="D220" s="46"/>
      <c r="E220" s="61"/>
      <c r="F220" s="50"/>
      <c r="G220" s="50"/>
      <c r="H220" s="51"/>
      <c r="I220" s="51"/>
      <c r="J220" s="51"/>
      <c r="K220" s="51">
        <f>IF(AND(C$7="Y",$B220&lt;=$C$4),0,IF(AND(C$7="N",C$4&gt;0,B220&lt;=C$4),0,S220*(C220-J220)))</f>
        <v>0</v>
      </c>
      <c r="L220" s="49" t="e">
        <f>IF(AND(C$7="Y",$B220&lt;=$C$4),0,IF(AND(C$7="N",C$4&gt;0,B220&lt;=C$4),0,U220*D219))</f>
        <v>#DIV/0!</v>
      </c>
      <c r="M220" s="49">
        <f t="shared" si="41"/>
        <v>0</v>
      </c>
      <c r="N220" s="49">
        <f t="shared" si="40"/>
        <v>0</v>
      </c>
      <c r="O220" s="48" t="e">
        <f>K220+I220+J220-L220+N220+G220</f>
        <v>#DIV/0!</v>
      </c>
      <c r="P220" s="38" t="e">
        <f>O220*(1/((1+P$12)^(B220/12)))</f>
        <v>#DIV/0!</v>
      </c>
      <c r="Q220" s="53"/>
      <c r="R220" s="53"/>
      <c r="S220" s="53"/>
    </row>
    <row r="221" spans="1:21" x14ac:dyDescent="0.2">
      <c r="A221" s="62">
        <f t="shared" si="42"/>
        <v>0</v>
      </c>
      <c r="B221" s="45">
        <f t="shared" si="43"/>
        <v>207</v>
      </c>
      <c r="C221" s="49"/>
      <c r="D221" s="46"/>
      <c r="E221" s="61"/>
      <c r="F221" s="50"/>
      <c r="G221" s="56"/>
      <c r="H221" s="51"/>
      <c r="I221" s="51">
        <f>IF($B220&lt;=25,0,C$2*D220/12)</f>
        <v>0</v>
      </c>
      <c r="J221" s="51">
        <f>H221-I221</f>
        <v>0</v>
      </c>
      <c r="K221" s="51" t="e">
        <f>IF(AND(C$7="Y",$B221&lt;=$C$4),0,IF(AND(C$7="N",C$4&gt;0,B221&lt;=C$4),0,S221*(C221-J221)))</f>
        <v>#REF!</v>
      </c>
      <c r="L221" s="49">
        <f>IF(AND(C$7="Y",$B221&lt;=$C$4),0,IF(AND(C$7="N",C$4&gt;0,B221&lt;=C$4),0,U221*D220))</f>
        <v>0</v>
      </c>
      <c r="M221" s="49">
        <f t="shared" si="41"/>
        <v>0</v>
      </c>
      <c r="N221" s="49">
        <f t="shared" si="40"/>
        <v>0</v>
      </c>
      <c r="O221" s="48" t="e">
        <f>K221+I221+J221-L221+N221+G221</f>
        <v>#REF!</v>
      </c>
      <c r="P221" s="38" t="e">
        <f>O221*(1/((1+P$12)^(B221/12)))</f>
        <v>#REF!</v>
      </c>
      <c r="Q221" s="53"/>
      <c r="R221" s="53" t="e">
        <f>INDEX(#REF!,MATCH(#REF!,#REF!,0),MATCH(ActiveCDR,#REF!,0))%</f>
        <v>#REF!</v>
      </c>
      <c r="S221" s="53" t="e">
        <f>1-(1-R221)^(1/12)</f>
        <v>#REF!</v>
      </c>
    </row>
    <row r="222" spans="1:21" x14ac:dyDescent="0.2">
      <c r="A222" s="62">
        <f t="shared" si="42"/>
        <v>0</v>
      </c>
      <c r="B222" s="45">
        <f t="shared" si="43"/>
        <v>208</v>
      </c>
      <c r="C222" s="49"/>
      <c r="D222" s="46"/>
      <c r="E222" s="61"/>
      <c r="F222" s="50"/>
      <c r="G222" s="56"/>
      <c r="H222" s="51"/>
      <c r="I222" s="51">
        <f>IF($B221&lt;=25,0,C$2*D221/12)</f>
        <v>0</v>
      </c>
      <c r="J222" s="51">
        <f>H222-I222</f>
        <v>0</v>
      </c>
      <c r="K222" s="51" t="e">
        <f>IF(AND(C$7="Y",$B222&lt;=$C$4),0,IF(AND(C$7="N",C$4&gt;0,B222&lt;=C$4),0,S222*(C222-J222)))</f>
        <v>#REF!</v>
      </c>
      <c r="L222" s="49">
        <f>IF(AND(C$7="Y",$B222&lt;=$C$4),0,IF(AND(C$7="N",C$4&gt;0,B222&lt;=C$4),0,U222*D221))</f>
        <v>0</v>
      </c>
      <c r="M222" s="49">
        <f t="shared" si="41"/>
        <v>0</v>
      </c>
      <c r="N222" s="49">
        <f t="shared" si="40"/>
        <v>0</v>
      </c>
      <c r="O222" s="48" t="e">
        <f>K222+I222+J222-L222+N222+G222</f>
        <v>#REF!</v>
      </c>
      <c r="P222" s="38" t="e">
        <f>O222*(1/((1+P$12)^(B222/12)))</f>
        <v>#REF!</v>
      </c>
      <c r="Q222" s="53"/>
      <c r="R222" s="53" t="e">
        <f>INDEX(#REF!,MATCH(#REF!,#REF!,0),MATCH(ActiveCDR,#REF!,0))%</f>
        <v>#REF!</v>
      </c>
      <c r="S222" s="53" t="e">
        <f t="shared" ref="S222:S224" si="51">1-(1-R222)^(1/12)</f>
        <v>#REF!</v>
      </c>
    </row>
    <row r="223" spans="1:21" x14ac:dyDescent="0.2">
      <c r="A223" s="62">
        <f t="shared" si="42"/>
        <v>0</v>
      </c>
      <c r="B223" s="45">
        <f t="shared" si="43"/>
        <v>209</v>
      </c>
      <c r="C223" s="49"/>
      <c r="D223" s="46"/>
      <c r="E223" s="61"/>
      <c r="F223" s="50"/>
      <c r="G223" s="56"/>
      <c r="H223" s="51"/>
      <c r="I223" s="51">
        <f>IF($B222&lt;=25,0,C$2*D222/12)</f>
        <v>0</v>
      </c>
      <c r="J223" s="51">
        <f>H223-I223</f>
        <v>0</v>
      </c>
      <c r="K223" s="51" t="e">
        <f>IF(AND(C$7="Y",$B223&lt;=$C$4),0,IF(AND(C$7="N",C$4&gt;0,B223&lt;=C$4),0,S223*(C223-J223)))</f>
        <v>#REF!</v>
      </c>
      <c r="L223" s="49">
        <f>IF(AND(C$7="Y",$B223&lt;=$C$4),0,IF(AND(C$7="N",C$4&gt;0,B223&lt;=C$4),0,U223*D222))</f>
        <v>0</v>
      </c>
      <c r="M223" s="49">
        <f t="shared" si="41"/>
        <v>0</v>
      </c>
      <c r="N223" s="49">
        <f t="shared" si="40"/>
        <v>0</v>
      </c>
      <c r="O223" s="48" t="e">
        <f>K223+I223+J223-L223+N223+G223</f>
        <v>#REF!</v>
      </c>
      <c r="P223" s="38" t="e">
        <f>O223*(1/((1+P$12)^(B223/12)))</f>
        <v>#REF!</v>
      </c>
      <c r="Q223" s="53"/>
      <c r="R223" s="53" t="e">
        <f>INDEX(#REF!,MATCH(#REF!,#REF!,0),MATCH(ActiveCDR,#REF!,0))%</f>
        <v>#REF!</v>
      </c>
      <c r="S223" s="53" t="e">
        <f t="shared" si="51"/>
        <v>#REF!</v>
      </c>
    </row>
    <row r="224" spans="1:21" x14ac:dyDescent="0.2">
      <c r="A224" s="62">
        <f t="shared" si="42"/>
        <v>0</v>
      </c>
      <c r="B224" s="45"/>
      <c r="C224" s="49"/>
      <c r="D224" s="46"/>
      <c r="E224" s="61"/>
      <c r="F224" s="50"/>
      <c r="G224" s="56"/>
      <c r="H224" s="51"/>
      <c r="I224" s="51">
        <f>IF($B223&lt;=25,0,C$2*D223/12)</f>
        <v>0</v>
      </c>
      <c r="J224" s="51">
        <f>H224-I224</f>
        <v>0</v>
      </c>
      <c r="K224" s="51" t="e">
        <f>IF(AND(C$7="Y",$B224&lt;=$C$4),0,IF(AND(C$7="N",C$4&gt;0,B224&lt;=C$4),0,S224*(C224-J224)))</f>
        <v>#REF!</v>
      </c>
      <c r="L224" s="49">
        <f>IF(AND(C$7="Y",$B224&lt;=$C$4),0,IF(AND(C$7="N",C$4&gt;0,B224&lt;=C$4),0,U224*D223))</f>
        <v>0</v>
      </c>
      <c r="M224" s="49">
        <f t="shared" si="41"/>
        <v>0</v>
      </c>
      <c r="N224" s="49">
        <f t="shared" si="40"/>
        <v>0</v>
      </c>
      <c r="O224" s="48" t="e">
        <f>K224+I224+J224-L224+N224+G224</f>
        <v>#REF!</v>
      </c>
      <c r="P224" s="38" t="e">
        <f>O224*(1/((1+P$12)^(B224/12)))</f>
        <v>#REF!</v>
      </c>
      <c r="Q224" s="53"/>
      <c r="R224" s="53" t="e">
        <f>INDEX(#REF!,MATCH(#REF!,#REF!,0),MATCH(ActiveCDR,#REF!,0))%</f>
        <v>#REF!</v>
      </c>
      <c r="S224" s="53" t="e">
        <f t="shared" si="51"/>
        <v>#REF!</v>
      </c>
    </row>
    <row r="225" spans="1:19" x14ac:dyDescent="0.2">
      <c r="A225" s="62">
        <f t="shared" si="42"/>
        <v>0</v>
      </c>
      <c r="B225" s="45"/>
      <c r="C225" s="49"/>
      <c r="D225" s="46"/>
      <c r="E225" s="61"/>
      <c r="F225" s="50"/>
      <c r="G225" s="56"/>
      <c r="H225" s="51"/>
      <c r="I225" s="51">
        <f>IF($B224&lt;=25,0,C$2*D224/12)</f>
        <v>0</v>
      </c>
      <c r="J225" s="51">
        <f>H225-I225</f>
        <v>0</v>
      </c>
      <c r="K225" s="51">
        <f>IF(AND(C$7="Y",$B225&lt;=$C$4),0,IF(AND(C$7="N",C$4&gt;0,B225&lt;=C$4),0,S225*(C225-J225)))</f>
        <v>0</v>
      </c>
      <c r="L225" s="49">
        <f>IF(AND(C$7="Y",$B225&lt;=$C$4),0,IF(AND(C$7="N",C$4&gt;0,B225&lt;=C$4),0,U225*D224))</f>
        <v>0</v>
      </c>
      <c r="M225" s="49">
        <f t="shared" si="41"/>
        <v>0</v>
      </c>
      <c r="N225" s="49">
        <f t="shared" si="40"/>
        <v>0</v>
      </c>
      <c r="O225" s="48">
        <f>K225+I225+J225-L225+N225+G225</f>
        <v>0</v>
      </c>
      <c r="P225" s="38">
        <f>O225*(1/((1+P$12)^(B225/12)))</f>
        <v>0</v>
      </c>
      <c r="Q225" s="53"/>
      <c r="R225" s="53"/>
      <c r="S225" s="53"/>
    </row>
    <row r="226" spans="1:19" x14ac:dyDescent="0.2">
      <c r="A226" s="62">
        <f t="shared" si="42"/>
        <v>0</v>
      </c>
      <c r="B226" s="45"/>
      <c r="C226" s="49"/>
      <c r="D226" s="46"/>
      <c r="E226" s="61"/>
      <c r="F226" s="50"/>
      <c r="G226" s="56"/>
      <c r="H226" s="51"/>
      <c r="I226" s="51">
        <f>IF($B225&lt;=25,0,C$2*D225/12)</f>
        <v>0</v>
      </c>
      <c r="J226" s="51">
        <f>H226-I226</f>
        <v>0</v>
      </c>
      <c r="K226" s="51">
        <f>IF(AND(C$7="Y",$B226&lt;=$C$4),0,IF(AND(C$7="N",C$4&gt;0,B226&lt;=C$4),0,S226*(C226-J226)))</f>
        <v>0</v>
      </c>
      <c r="L226" s="49">
        <f>IF(AND(C$7="Y",$B226&lt;=$C$4),0,IF(AND(C$7="N",C$4&gt;0,B226&lt;=C$4),0,U226*D225))</f>
        <v>0</v>
      </c>
      <c r="M226" s="49">
        <f t="shared" si="41"/>
        <v>0</v>
      </c>
      <c r="N226" s="49">
        <f t="shared" si="40"/>
        <v>0</v>
      </c>
      <c r="O226" s="48">
        <f>K226+I226+J226-L226+N226+G226</f>
        <v>0</v>
      </c>
      <c r="P226" s="38">
        <f>O226*(1/((1+P$12)^(B226/12)))</f>
        <v>0</v>
      </c>
      <c r="Q226" s="53"/>
      <c r="R226" s="53"/>
      <c r="S226" s="53"/>
    </row>
    <row r="227" spans="1:19" x14ac:dyDescent="0.2">
      <c r="A227" s="62">
        <f t="shared" si="42"/>
        <v>0</v>
      </c>
      <c r="B227" s="45"/>
      <c r="C227" s="49"/>
      <c r="D227" s="46"/>
      <c r="E227" s="61"/>
      <c r="F227" s="50"/>
      <c r="G227" s="56"/>
      <c r="H227" s="51"/>
      <c r="I227" s="51">
        <f>IF($B226&lt;=25,0,C$2*D226/12)</f>
        <v>0</v>
      </c>
      <c r="J227" s="51">
        <f>H227-I227</f>
        <v>0</v>
      </c>
      <c r="K227" s="51">
        <f>IF(AND(C$7="Y",$B227&lt;=$C$4),0,IF(AND(C$7="N",C$4&gt;0,B227&lt;=C$4),0,S227*(C227-J227)))</f>
        <v>0</v>
      </c>
      <c r="L227" s="49">
        <f>IF(AND(C$7="Y",$B227&lt;=$C$4),0,IF(AND(C$7="N",C$4&gt;0,B227&lt;=C$4),0,U227*D226))</f>
        <v>0</v>
      </c>
      <c r="M227" s="49">
        <f t="shared" si="41"/>
        <v>0</v>
      </c>
      <c r="N227" s="49">
        <f t="shared" ref="N227:N235" si="52">IFERROR((1-$N$12)*L223,0)</f>
        <v>0</v>
      </c>
      <c r="O227" s="48">
        <f>K227+I227+J227-L227+N227+G227</f>
        <v>0</v>
      </c>
      <c r="P227" s="38">
        <f>O227*(1/((1+P$12)^(B227/12)))</f>
        <v>0</v>
      </c>
      <c r="Q227" s="53"/>
      <c r="R227" s="53"/>
      <c r="S227" s="53"/>
    </row>
    <row r="228" spans="1:19" x14ac:dyDescent="0.2">
      <c r="A228" s="62">
        <f t="shared" si="42"/>
        <v>0</v>
      </c>
      <c r="B228" s="45"/>
      <c r="C228" s="49"/>
      <c r="D228" s="46"/>
      <c r="E228" s="61"/>
      <c r="F228" s="50"/>
      <c r="G228" s="56"/>
      <c r="H228" s="51"/>
      <c r="I228" s="51">
        <f>IF($B227&lt;=25,0,C$2*D227/12)</f>
        <v>0</v>
      </c>
      <c r="J228" s="51">
        <f>H228-I228</f>
        <v>0</v>
      </c>
      <c r="K228" s="51">
        <f>IF(AND(C$7="Y",$B228&lt;=$C$4),0,IF(AND(C$7="N",C$4&gt;0,B228&lt;=C$4),0,S228*(C228-J228)))</f>
        <v>0</v>
      </c>
      <c r="L228" s="49">
        <f>IF(AND(C$7="Y",$B228&lt;=$C$4),0,IF(AND(C$7="N",C$4&gt;0,B228&lt;=C$4),0,U228*D227))</f>
        <v>0</v>
      </c>
      <c r="M228" s="49">
        <f t="shared" si="41"/>
        <v>0</v>
      </c>
      <c r="N228" s="49">
        <f t="shared" si="52"/>
        <v>0</v>
      </c>
      <c r="O228" s="48">
        <f>K228+I228+J228-L228+N228+G228</f>
        <v>0</v>
      </c>
      <c r="P228" s="38">
        <f>O228*(1/((1+P$12)^(B228/12)))</f>
        <v>0</v>
      </c>
      <c r="Q228" s="53"/>
      <c r="R228" s="53"/>
      <c r="S228" s="53"/>
    </row>
    <row r="229" spans="1:19" x14ac:dyDescent="0.2">
      <c r="A229" s="62">
        <f t="shared" si="42"/>
        <v>0</v>
      </c>
      <c r="B229" s="45"/>
      <c r="C229" s="49"/>
      <c r="D229" s="46"/>
      <c r="E229" s="61"/>
      <c r="F229" s="50"/>
      <c r="G229" s="56"/>
      <c r="H229" s="51"/>
      <c r="I229" s="51">
        <f>IF($B228&lt;=25,0,C$2*D228/12)</f>
        <v>0</v>
      </c>
      <c r="J229" s="51">
        <f>H229-I229</f>
        <v>0</v>
      </c>
      <c r="K229" s="51">
        <f>IF(AND(C$7="Y",$B229&lt;=$C$4),0,IF(AND(C$7="N",C$4&gt;0,B229&lt;=C$4),0,S229*(C229-J229)))</f>
        <v>0</v>
      </c>
      <c r="L229" s="49">
        <f>IF(AND(C$7="Y",$B229&lt;=$C$4),0,IF(AND(C$7="N",C$4&gt;0,B229&lt;=C$4),0,U229*D228))</f>
        <v>0</v>
      </c>
      <c r="M229" s="49">
        <f t="shared" si="41"/>
        <v>0</v>
      </c>
      <c r="N229" s="49">
        <f t="shared" si="52"/>
        <v>0</v>
      </c>
      <c r="O229" s="48">
        <f>K229+I229+J229-L229+N229+G229</f>
        <v>0</v>
      </c>
      <c r="P229" s="38">
        <f>O229*(1/((1+P$12)^(B229/12)))</f>
        <v>0</v>
      </c>
      <c r="Q229" s="53"/>
      <c r="R229" s="53"/>
      <c r="S229" s="53"/>
    </row>
    <row r="230" spans="1:19" x14ac:dyDescent="0.2">
      <c r="A230" s="62">
        <f t="shared" si="42"/>
        <v>0</v>
      </c>
      <c r="B230" s="45"/>
      <c r="C230" s="49"/>
      <c r="D230" s="46"/>
      <c r="E230" s="61"/>
      <c r="F230" s="50"/>
      <c r="G230" s="56"/>
      <c r="H230" s="51"/>
      <c r="I230" s="51">
        <f>IF($B229&lt;=25,0,C$2*D229/12)</f>
        <v>0</v>
      </c>
      <c r="J230" s="51">
        <f>H230-I230</f>
        <v>0</v>
      </c>
      <c r="K230" s="51">
        <f>IF(AND(C$7="Y",$B230&lt;=$C$4),0,IF(AND(C$7="N",C$4&gt;0,B230&lt;=C$4),0,S230*(C230-J230)))</f>
        <v>0</v>
      </c>
      <c r="L230" s="49">
        <f>IF(AND(C$7="Y",$B230&lt;=$C$4),0,IF(AND(C$7="N",C$4&gt;0,B230&lt;=C$4),0,U230*D229))</f>
        <v>0</v>
      </c>
      <c r="M230" s="49">
        <f t="shared" si="41"/>
        <v>0</v>
      </c>
      <c r="N230" s="49">
        <f t="shared" si="52"/>
        <v>0</v>
      </c>
      <c r="O230" s="48">
        <f>K230+I230+J230-L230+N230+G230</f>
        <v>0</v>
      </c>
      <c r="P230" s="38">
        <f>O230*(1/((1+P$12)^(B230/12)))</f>
        <v>0</v>
      </c>
      <c r="Q230" s="53"/>
      <c r="R230" s="53"/>
      <c r="S230" s="53"/>
    </row>
    <row r="231" spans="1:19" x14ac:dyDescent="0.2">
      <c r="A231" s="62">
        <f t="shared" si="42"/>
        <v>0</v>
      </c>
      <c r="B231" s="45"/>
      <c r="C231" s="49"/>
      <c r="D231" s="46"/>
      <c r="E231" s="61"/>
      <c r="F231" s="50"/>
      <c r="G231" s="56"/>
      <c r="H231" s="51"/>
      <c r="I231" s="51">
        <f>IF($B230&lt;=25,0,C$2*D230/12)</f>
        <v>0</v>
      </c>
      <c r="J231" s="51">
        <f>H231-I231</f>
        <v>0</v>
      </c>
      <c r="K231" s="51">
        <f>IF(AND(C$7="Y",$B231&lt;=$C$4),0,IF(AND(C$7="N",C$4&gt;0,B231&lt;=C$4),0,S231*(C231-J231)))</f>
        <v>0</v>
      </c>
      <c r="L231" s="49">
        <f>IF(AND(C$7="Y",$B231&lt;=$C$4),0,IF(AND(C$7="N",C$4&gt;0,B231&lt;=C$4),0,U231*D230))</f>
        <v>0</v>
      </c>
      <c r="M231" s="49">
        <f t="shared" si="41"/>
        <v>0</v>
      </c>
      <c r="N231" s="49">
        <f t="shared" si="52"/>
        <v>0</v>
      </c>
      <c r="O231" s="48">
        <f>K231+I231+J231-L231+N231+G231</f>
        <v>0</v>
      </c>
      <c r="P231" s="38">
        <f>O231*(1/((1+P$12)^(B231/12)))</f>
        <v>0</v>
      </c>
      <c r="Q231" s="53"/>
      <c r="R231" s="53"/>
      <c r="S231" s="53"/>
    </row>
    <row r="232" spans="1:19" x14ac:dyDescent="0.2">
      <c r="A232" s="62">
        <f t="shared" si="42"/>
        <v>0</v>
      </c>
      <c r="B232" s="45"/>
      <c r="C232" s="49"/>
      <c r="D232" s="46"/>
      <c r="E232" s="61"/>
      <c r="F232" s="50"/>
      <c r="G232" s="56"/>
      <c r="H232" s="51"/>
      <c r="I232" s="51">
        <f>IF($B231&lt;=25,0,C$2*D231/12)</f>
        <v>0</v>
      </c>
      <c r="J232" s="51">
        <f>H232-I232</f>
        <v>0</v>
      </c>
      <c r="K232" s="51">
        <f>IF(AND(C$7="Y",$B232&lt;=$C$4),0,IF(AND(C$7="N",C$4&gt;0,B232&lt;=C$4),0,S232*(C232-J232)))</f>
        <v>0</v>
      </c>
      <c r="L232" s="49">
        <f>IF(AND(C$7="Y",$B232&lt;=$C$4),0,IF(AND(C$7="N",C$4&gt;0,B232&lt;=C$4),0,U232*D231))</f>
        <v>0</v>
      </c>
      <c r="M232" s="49">
        <f t="shared" si="41"/>
        <v>0</v>
      </c>
      <c r="N232" s="49">
        <f t="shared" si="52"/>
        <v>0</v>
      </c>
      <c r="O232" s="48">
        <f>K232+I232+J232-L232+N232+G232</f>
        <v>0</v>
      </c>
      <c r="P232" s="38">
        <f>O232*(1/((1+P$12)^(B232/12)))</f>
        <v>0</v>
      </c>
      <c r="Q232" s="53"/>
      <c r="R232" s="53"/>
      <c r="S232" s="53"/>
    </row>
    <row r="233" spans="1:19" x14ac:dyDescent="0.2">
      <c r="A233" s="62">
        <f t="shared" si="42"/>
        <v>0</v>
      </c>
      <c r="B233" s="45"/>
      <c r="C233" s="49"/>
      <c r="D233" s="46"/>
      <c r="E233" s="61"/>
      <c r="F233" s="50"/>
      <c r="G233" s="56"/>
      <c r="H233" s="51"/>
      <c r="I233" s="51">
        <f>IF($B232&lt;=25,0,C$2*D232/12)</f>
        <v>0</v>
      </c>
      <c r="J233" s="51">
        <f>H233-I233</f>
        <v>0</v>
      </c>
      <c r="K233" s="51">
        <f>IF(AND(C$7="Y",$B233&lt;=$C$4),0,IF(AND(C$7="N",C$4&gt;0,B233&lt;=C$4),0,S233*(C233-J233)))</f>
        <v>0</v>
      </c>
      <c r="L233" s="49">
        <f>IF(AND(C$7="Y",$B233&lt;=$C$4),0,IF(AND(C$7="N",C$4&gt;0,B233&lt;=C$4),0,U233*D232))</f>
        <v>0</v>
      </c>
      <c r="M233" s="49">
        <f t="shared" si="41"/>
        <v>0</v>
      </c>
      <c r="N233" s="49">
        <f t="shared" si="52"/>
        <v>0</v>
      </c>
      <c r="O233" s="48">
        <f>K233+I233+J233-L233+N233+G233</f>
        <v>0</v>
      </c>
      <c r="P233" s="38">
        <f>O233*(1/((1+P$12)^(B233/12)))</f>
        <v>0</v>
      </c>
      <c r="Q233" s="53"/>
      <c r="R233" s="53"/>
      <c r="S233" s="53"/>
    </row>
    <row r="234" spans="1:19" x14ac:dyDescent="0.2">
      <c r="A234" s="62">
        <f t="shared" si="42"/>
        <v>0</v>
      </c>
      <c r="B234" s="45"/>
      <c r="C234" s="49"/>
      <c r="D234" s="46"/>
      <c r="E234" s="61"/>
      <c r="F234" s="50"/>
      <c r="G234" s="56"/>
      <c r="H234" s="51"/>
      <c r="I234" s="51">
        <f>IF($B233&lt;=25,0,C$2*D233/12)</f>
        <v>0</v>
      </c>
      <c r="J234" s="51">
        <f>H234-I234</f>
        <v>0</v>
      </c>
      <c r="K234" s="51">
        <f>IF(AND(C$7="Y",$B234&lt;=$C$4),0,IF(AND(C$7="N",C$4&gt;0,B234&lt;=C$4),0,S234*(C234-J234)))</f>
        <v>0</v>
      </c>
      <c r="L234" s="49">
        <f>IF(AND(C$7="Y",$B234&lt;=$C$4),0,IF(AND(C$7="N",C$4&gt;0,B234&lt;=C$4),0,U234*D233))</f>
        <v>0</v>
      </c>
      <c r="M234" s="49">
        <f t="shared" si="41"/>
        <v>0</v>
      </c>
      <c r="N234" s="49">
        <f t="shared" si="52"/>
        <v>0</v>
      </c>
      <c r="O234" s="48">
        <f>K234+I234+J234-L234+N234+G234</f>
        <v>0</v>
      </c>
      <c r="P234" s="38">
        <f>O234*(1/((1+P$12)^(B234/12)))</f>
        <v>0</v>
      </c>
      <c r="Q234" s="53"/>
      <c r="R234" s="53"/>
      <c r="S234" s="53"/>
    </row>
    <row r="235" spans="1:19" x14ac:dyDescent="0.2">
      <c r="A235" s="62">
        <f t="shared" si="42"/>
        <v>0</v>
      </c>
      <c r="B235" s="45"/>
      <c r="C235" s="49"/>
      <c r="D235" s="46"/>
      <c r="E235" s="61"/>
      <c r="F235" s="50"/>
      <c r="G235" s="56"/>
      <c r="H235" s="51"/>
      <c r="I235" s="51">
        <f>IF($B234&lt;=25,0,C$2*D234/12)</f>
        <v>0</v>
      </c>
      <c r="J235" s="51">
        <f>H235-I235</f>
        <v>0</v>
      </c>
      <c r="K235" s="51">
        <f>IF(AND(C$7="Y",$B235&lt;=$C$4),0,IF(AND(C$7="N",C$4&gt;0,B235&lt;=C$4),0,S235*(C235-J235)))</f>
        <v>0</v>
      </c>
      <c r="L235" s="49">
        <f>IF(AND(C$7="Y",$B235&lt;=$C$4),0,IF(AND(C$7="N",C$4&gt;0,B235&lt;=C$4),0,U235*D234))</f>
        <v>0</v>
      </c>
      <c r="M235" s="49">
        <f t="shared" si="41"/>
        <v>0</v>
      </c>
      <c r="N235" s="49">
        <f t="shared" si="52"/>
        <v>0</v>
      </c>
      <c r="O235" s="48">
        <f>K235+I235+J235-L235+N235+G235</f>
        <v>0</v>
      </c>
      <c r="P235" s="38">
        <f>O235*(1/((1+P$12)^(B235/12)))</f>
        <v>0</v>
      </c>
      <c r="Q235" s="53"/>
      <c r="R235" s="53"/>
      <c r="S235" s="53"/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78FB2-8789-4C69-A933-A16C69D56F9A}">
  <sheetPr codeName="Sheet13"/>
  <dimension ref="A1:W232"/>
  <sheetViews>
    <sheetView showGridLines="0" tabSelected="1" zoomScaleNormal="100" workbookViewId="0">
      <selection activeCell="I43" sqref="I43"/>
    </sheetView>
  </sheetViews>
  <sheetFormatPr defaultColWidth="9.1796875" defaultRowHeight="10" x14ac:dyDescent="0.2"/>
  <cols>
    <col min="1" max="1" width="12.54296875" style="7" customWidth="1"/>
    <col min="2" max="2" width="15.453125" style="7" customWidth="1"/>
    <col min="3" max="3" width="15.7265625" style="7" customWidth="1"/>
    <col min="4" max="4" width="15.81640625" style="7" customWidth="1"/>
    <col min="5" max="5" width="13.1796875" style="7" customWidth="1"/>
    <col min="6" max="6" width="15.26953125" style="7" customWidth="1"/>
    <col min="7" max="7" width="17" style="7" customWidth="1"/>
    <col min="8" max="8" width="18" style="7" customWidth="1"/>
    <col min="9" max="15" width="17" style="7" customWidth="1"/>
    <col min="16" max="16" width="15.81640625" style="7" customWidth="1"/>
    <col min="17" max="19" width="9.1796875" style="7"/>
    <col min="20" max="20" width="11.1796875" style="7" bestFit="1" customWidth="1"/>
    <col min="21" max="21" width="12.90625" style="7" customWidth="1"/>
    <col min="22" max="22" width="11.453125" style="7" bestFit="1" customWidth="1"/>
    <col min="23" max="23" width="12.6328125" style="7" bestFit="1" customWidth="1"/>
    <col min="24" max="16384" width="9.1796875" style="7"/>
  </cols>
  <sheetData>
    <row r="1" spans="1:23" ht="11.5" x14ac:dyDescent="0.25">
      <c r="A1" s="1"/>
      <c r="B1" s="2" t="s">
        <v>0</v>
      </c>
      <c r="C1" s="3">
        <v>100000000</v>
      </c>
      <c r="D1" s="4" t="s">
        <v>1</v>
      </c>
      <c r="E1" s="5" t="s">
        <v>2</v>
      </c>
      <c r="F1" s="6"/>
      <c r="H1" s="8" t="s">
        <v>3</v>
      </c>
      <c r="I1" s="9">
        <f>T8*(-1)/C1</f>
        <v>0</v>
      </c>
      <c r="N1" s="10">
        <f>M8*0.9/C1</f>
        <v>0</v>
      </c>
    </row>
    <row r="2" spans="1:23" ht="11.5" x14ac:dyDescent="0.25">
      <c r="A2" s="11"/>
      <c r="B2" s="12" t="s">
        <v>4</v>
      </c>
      <c r="C2" s="13">
        <v>0.05</v>
      </c>
      <c r="D2" s="14"/>
      <c r="E2" s="15" t="s">
        <v>5</v>
      </c>
      <c r="F2" s="16"/>
      <c r="H2" s="17" t="s">
        <v>6</v>
      </c>
      <c r="I2" s="18">
        <v>0.05</v>
      </c>
      <c r="M2" s="19">
        <f>(M8+N8)/C1</f>
        <v>0</v>
      </c>
    </row>
    <row r="3" spans="1:23" ht="11.5" x14ac:dyDescent="0.25">
      <c r="A3" s="11"/>
      <c r="B3" s="12" t="s">
        <v>7</v>
      </c>
      <c r="C3" s="20">
        <v>60</v>
      </c>
      <c r="E3" s="17" t="s">
        <v>8</v>
      </c>
      <c r="F3" s="21"/>
      <c r="H3" s="17" t="s">
        <v>9</v>
      </c>
      <c r="I3" s="22">
        <f>T9</f>
        <v>0.05</v>
      </c>
      <c r="K3" s="46">
        <v>419512.21</v>
      </c>
      <c r="L3" s="49">
        <f>K3/U13</f>
        <v>98354245.456870854</v>
      </c>
      <c r="T3" s="46">
        <v>2339837.2599999998</v>
      </c>
      <c r="U3" s="46">
        <v>3564282.02</v>
      </c>
      <c r="V3" s="46"/>
    </row>
    <row r="4" spans="1:23" ht="11.5" x14ac:dyDescent="0.25">
      <c r="B4" s="105" t="s">
        <v>10</v>
      </c>
      <c r="C4" s="20">
        <v>0</v>
      </c>
      <c r="E4" s="17" t="s">
        <v>11</v>
      </c>
      <c r="F4" s="23"/>
      <c r="H4" s="17"/>
      <c r="I4" s="24"/>
      <c r="L4" s="38">
        <f>L3-D12</f>
        <v>1289004.8557276279</v>
      </c>
    </row>
    <row r="5" spans="1:23" ht="11.5" x14ac:dyDescent="0.25">
      <c r="B5" s="106" t="s">
        <v>12</v>
      </c>
      <c r="C5" s="25">
        <v>0</v>
      </c>
      <c r="E5" s="17" t="s">
        <v>13</v>
      </c>
      <c r="F5" s="26"/>
      <c r="H5" s="17"/>
      <c r="I5" s="24"/>
      <c r="J5" s="38">
        <f>H12-I12</f>
        <v>1472233.9138917553</v>
      </c>
      <c r="T5" s="46"/>
      <c r="U5" s="46"/>
    </row>
    <row r="6" spans="1:23" ht="11.5" x14ac:dyDescent="0.25">
      <c r="B6" s="106" t="s">
        <v>14</v>
      </c>
      <c r="C6" s="25">
        <v>0</v>
      </c>
      <c r="E6" s="17" t="s">
        <v>15</v>
      </c>
      <c r="F6" s="27"/>
      <c r="H6" s="17"/>
      <c r="I6" s="24"/>
      <c r="V6" s="46"/>
    </row>
    <row r="7" spans="1:23" ht="10.5" x14ac:dyDescent="0.25">
      <c r="B7" s="106" t="s">
        <v>16</v>
      </c>
      <c r="C7" s="28" t="s">
        <v>38</v>
      </c>
      <c r="E7" s="17" t="s">
        <v>17</v>
      </c>
      <c r="F7" s="26"/>
      <c r="H7" s="29"/>
      <c r="I7" s="30"/>
      <c r="J7" s="31"/>
      <c r="T7" s="86"/>
    </row>
    <row r="8" spans="1:23" ht="11" thickBot="1" x14ac:dyDescent="0.3">
      <c r="B8" s="32" t="s">
        <v>18</v>
      </c>
      <c r="C8" s="33">
        <v>0.12</v>
      </c>
      <c r="E8" s="34"/>
      <c r="F8" s="35"/>
      <c r="H8" s="36"/>
      <c r="I8" s="37"/>
      <c r="J8" s="31">
        <f t="shared" ref="J8:Q8" si="0">_xlfn.AGGREGATE(9, 6, J11:J300)</f>
        <v>65258177.045948848</v>
      </c>
      <c r="K8" s="38"/>
      <c r="L8" s="31"/>
      <c r="M8" s="31"/>
      <c r="N8" s="31"/>
      <c r="O8" s="31"/>
      <c r="P8" s="31"/>
      <c r="Q8" s="31"/>
      <c r="T8" s="86"/>
      <c r="V8" s="46"/>
      <c r="W8" s="46"/>
    </row>
    <row r="9" spans="1:23" ht="41" customHeight="1" x14ac:dyDescent="0.25">
      <c r="B9" s="87"/>
      <c r="C9" s="38"/>
      <c r="D9" s="88"/>
      <c r="E9" s="38"/>
      <c r="F9" s="55"/>
      <c r="G9" s="38"/>
      <c r="H9" s="46"/>
      <c r="I9" s="38"/>
      <c r="J9" s="109"/>
      <c r="K9" s="38"/>
      <c r="L9" s="38"/>
      <c r="N9" s="39">
        <v>0.9</v>
      </c>
      <c r="O9" s="11"/>
      <c r="P9" s="40"/>
      <c r="Q9" s="11"/>
      <c r="R9" s="40">
        <v>0.12</v>
      </c>
      <c r="S9" s="11"/>
      <c r="T9" s="41">
        <v>0.05</v>
      </c>
      <c r="U9" s="11"/>
      <c r="V9" s="49"/>
    </row>
    <row r="10" spans="1:23" ht="22.5" customHeight="1" x14ac:dyDescent="0.25">
      <c r="B10" s="42" t="s">
        <v>19</v>
      </c>
      <c r="C10" s="43" t="s">
        <v>20</v>
      </c>
      <c r="D10" s="43" t="s">
        <v>21</v>
      </c>
      <c r="E10" s="44" t="s">
        <v>22</v>
      </c>
      <c r="F10" s="44" t="s">
        <v>23</v>
      </c>
      <c r="G10" s="44" t="s">
        <v>24</v>
      </c>
      <c r="H10" s="43" t="s">
        <v>25</v>
      </c>
      <c r="I10" s="43" t="s">
        <v>26</v>
      </c>
      <c r="J10" s="43" t="s">
        <v>27</v>
      </c>
      <c r="K10" s="43" t="s">
        <v>88</v>
      </c>
      <c r="L10" s="43" t="s">
        <v>29</v>
      </c>
      <c r="M10" s="43" t="s">
        <v>30</v>
      </c>
      <c r="N10" s="43" t="s">
        <v>31</v>
      </c>
      <c r="O10" s="43" t="s">
        <v>32</v>
      </c>
      <c r="P10" s="43" t="s">
        <v>33</v>
      </c>
      <c r="Q10" s="43"/>
      <c r="R10" s="43" t="s">
        <v>34</v>
      </c>
      <c r="S10" s="43" t="s">
        <v>35</v>
      </c>
      <c r="T10" s="43" t="s">
        <v>36</v>
      </c>
      <c r="U10" s="43" t="s">
        <v>37</v>
      </c>
      <c r="V10" s="38"/>
      <c r="W10" s="38"/>
    </row>
    <row r="11" spans="1:23" x14ac:dyDescent="0.2">
      <c r="A11" s="62"/>
      <c r="B11" s="45">
        <v>0</v>
      </c>
      <c r="C11" s="46">
        <f>C1</f>
        <v>100000000</v>
      </c>
      <c r="D11" s="47">
        <f>C1</f>
        <v>100000000</v>
      </c>
      <c r="E11" s="38">
        <f>C5</f>
        <v>0</v>
      </c>
      <c r="F11" s="38">
        <f>C$5</f>
        <v>0</v>
      </c>
      <c r="O11" s="48">
        <f>K11+I11+J11+M11+N11+G11</f>
        <v>0</v>
      </c>
      <c r="P11" s="38">
        <f>O11*(1/((1+P$9)^(B11/12)))</f>
        <v>0</v>
      </c>
    </row>
    <row r="12" spans="1:23" x14ac:dyDescent="0.2">
      <c r="A12" s="62"/>
      <c r="B12" s="45">
        <f>B11+1</f>
        <v>1</v>
      </c>
      <c r="C12" s="49">
        <f>IF(B12&lt;C$4,C$1,D11)</f>
        <v>100000000</v>
      </c>
      <c r="D12" s="47">
        <f>(D11-J12)*(1-S12-U12)</f>
        <v>97065240.601143226</v>
      </c>
      <c r="E12" s="48">
        <f>IF(AND($C$7="Y",B12&lt;=$C$4),D11*C$2/12-G12,0)</f>
        <v>0</v>
      </c>
      <c r="F12" s="50">
        <f>IF(AND($C$7="Y",B12&lt;=C$4),E12+F11,0)</f>
        <v>0</v>
      </c>
      <c r="G12" s="50">
        <f>IF(AND(C$7="Y",$B12&lt;=$C$4),C$6,0)</f>
        <v>0</v>
      </c>
      <c r="H12" s="51">
        <f>IF(AND($B12&lt;=$C$4,C$7="Y"),0,IF(AND(C$7="N",C$4&gt;0,B12&lt;=C$4),0,(D11)*C$2/12/(1-(1/(1+C$2/12))^(C$3+C$4-B12+1))))</f>
        <v>1887123.3644011051</v>
      </c>
      <c r="I12" s="52">
        <f>IF(AND(C$7="Y",$B12&lt;=C$4),0,IF(AND(C$7="Y",$B12&gt;C$4),(1-U12)*C$2*D11/12,IF(AND($C$7="N",C$4&gt;0),(1-U12)*D11*C$2/12, (1-U12)*D11*C$2/12)))</f>
        <v>414889.45050934976</v>
      </c>
      <c r="J12" s="57">
        <f>IF(AND($B12&lt;=$C$4,C$7="Y"),0,IF(AND(C$7="N",C$4&gt;0,B12&lt;=C$4),0,H12-I12-D11*U12*C$2/12))</f>
        <v>1470456.6977344383</v>
      </c>
      <c r="K12" s="51">
        <f>(D11-D12)-L12+L12*(1-N$9)</f>
        <v>2550880.708876316</v>
      </c>
      <c r="L12" s="49">
        <f>IF(AND(C$7="Y",$B12&lt;=$C$4),0,IF(AND(C$7="N",C$4&gt;0,B12&lt;=C$4),0,U12*C11))</f>
        <v>426531.87775606447</v>
      </c>
      <c r="M12" s="49">
        <f>IFERROR(#REF!*-1,0)</f>
        <v>0</v>
      </c>
      <c r="N12" s="49">
        <f>IFERROR((1-$N$9)*#REF!,0)</f>
        <v>0</v>
      </c>
      <c r="O12" s="48">
        <f>I12+K12</f>
        <v>2965770.1593856658</v>
      </c>
      <c r="P12" s="38">
        <f>O12*(1/((1+P$9)^(B12/12)))</f>
        <v>2965770.1593856658</v>
      </c>
      <c r="Q12" s="53"/>
      <c r="R12" s="53">
        <f>R$9</f>
        <v>0.12</v>
      </c>
      <c r="S12" s="53">
        <f>1-(1-R12)^(1/12)</f>
        <v>1.0596241035318976E-2</v>
      </c>
      <c r="T12" s="53">
        <f>T$9</f>
        <v>0.05</v>
      </c>
      <c r="U12" s="53">
        <f>1-(1-T12)^(1/12)</f>
        <v>4.2653187775606449E-3</v>
      </c>
      <c r="V12" s="38">
        <f>J12+K12</f>
        <v>4021337.4066107543</v>
      </c>
      <c r="W12" s="89">
        <f>S12*D11</f>
        <v>1059624.1035318975</v>
      </c>
    </row>
    <row r="13" spans="1:23" s="59" customFormat="1" x14ac:dyDescent="0.2">
      <c r="A13" s="96"/>
      <c r="B13" s="54">
        <f t="shared" ref="B13:B76" si="1">B12+1</f>
        <v>2</v>
      </c>
      <c r="C13" s="51">
        <f>IF(B13&lt;C$4,C$1,D12-L13+N13)</f>
        <v>96651226.407758728</v>
      </c>
      <c r="D13" s="47">
        <f t="shared" ref="D13:D76" si="2">(D12-J13)*(1-S13-U13)</f>
        <v>94189678.665500849</v>
      </c>
      <c r="E13" s="97">
        <f t="shared" ref="E13:E76" si="3">IF(AND($C$7="Y",B13&lt;=$C$4),D12*C$2/12-G13,0)</f>
        <v>0</v>
      </c>
      <c r="F13" s="56">
        <f t="shared" ref="F13:F76" si="4">IF(AND($C$7="Y",B13&lt;=C$4),E13+F12,0)</f>
        <v>0</v>
      </c>
      <c r="G13" s="56">
        <f>IF(AND(C$7="Y",$B13&lt;=$C$4),C$6,0)</f>
        <v>0</v>
      </c>
      <c r="H13" s="51">
        <f t="shared" ref="H13:H76" si="5">IF(AND($B13&lt;=$C$4,C$7="Y"),0,IF(AND(C$7="N",C$4&gt;0,B13&lt;=C$4),0,(D12)*C$2/12/(1-(1/(1+C$2/12))^(C$3+C$4-B13+1))))</f>
        <v>1859077.7676467746</v>
      </c>
      <c r="I13" s="52">
        <f>IF(AND(C$7="Y",$B13&lt;=C$4),0,IF(AND(C$7="Y",$B13&gt;C$4),(1-U13)*C$2*D12/12,IF(AND($C$7="N",C$4&gt;0),(1-U13)*D12*C$2/12, (1-U13)*D12*C$2/12)))</f>
        <v>402713.44336566137</v>
      </c>
      <c r="J13" s="57">
        <f t="shared" ref="J13:J76" si="6">IF(AND($B13&lt;=$C$4,C$7="Y"),0,IF(AND(C$7="N",C$4&gt;0,B13&lt;=C$4),0,H13-I13-D12*U13*C$2/12))</f>
        <v>1454639.2651420112</v>
      </c>
      <c r="K13" s="51">
        <f t="shared" ref="K13:K76" si="7">(D12-D13)-L13+L13*(1-N$9)</f>
        <v>2502949.161596328</v>
      </c>
      <c r="L13" s="51">
        <f>IF(AND(C$7="Y",$B13&lt;=$C$4),0,IF(AND(C$7="N",C$4&gt;0,B13&lt;=C$4),0,U13*D12))</f>
        <v>414014.19338449812</v>
      </c>
      <c r="M13" s="55">
        <f>IFERROR(L9*-1,0)</f>
        <v>0</v>
      </c>
      <c r="N13" s="55">
        <f>IFERROR((1-$N$9)*K8,0)</f>
        <v>0</v>
      </c>
      <c r="O13" s="48">
        <f t="shared" ref="O13:O76" si="8">I13+K13</f>
        <v>2905662.6049619894</v>
      </c>
      <c r="P13" s="58">
        <f>O13*(1/((1+P$9)^(B13/12)))</f>
        <v>2905662.6049619894</v>
      </c>
      <c r="Q13" s="98"/>
      <c r="R13" s="98">
        <f t="shared" ref="R13:R76" si="9">R$9</f>
        <v>0.12</v>
      </c>
      <c r="S13" s="99">
        <f t="shared" ref="S13:S76" si="10">1-(1-R13)^(1/12)</f>
        <v>1.0596241035318976E-2</v>
      </c>
      <c r="T13" s="98">
        <f t="shared" ref="T13:T76" si="11">T$9</f>
        <v>0.05</v>
      </c>
      <c r="U13" s="99">
        <f>1-(1-T13)^(1/12)</f>
        <v>4.2653187775606449E-3</v>
      </c>
      <c r="V13" s="38">
        <f>J13+K13</f>
        <v>3957588.4267383395</v>
      </c>
      <c r="W13" s="55">
        <f>V13/U13</f>
        <v>927852906.92896402</v>
      </c>
    </row>
    <row r="14" spans="1:23" x14ac:dyDescent="0.2">
      <c r="A14" s="62"/>
      <c r="B14" s="45">
        <f t="shared" si="1"/>
        <v>3</v>
      </c>
      <c r="C14" s="51">
        <f>IF(B14&lt;C$4,C$1,D13-L14+N14)</f>
        <v>93787929.660436481</v>
      </c>
      <c r="D14" s="47">
        <f t="shared" si="2"/>
        <v>91372266.809838921</v>
      </c>
      <c r="E14" s="48">
        <f t="shared" si="3"/>
        <v>0</v>
      </c>
      <c r="F14" s="50">
        <f t="shared" si="4"/>
        <v>0</v>
      </c>
      <c r="G14" s="50">
        <f>IF(AND(C$7="Y",$B14&lt;=$C$4),C$6,0)</f>
        <v>0</v>
      </c>
      <c r="H14" s="51">
        <f t="shared" si="5"/>
        <v>1831448.9722060971</v>
      </c>
      <c r="I14" s="52">
        <f>IF(AND(C$7="Y",$B14&lt;=C$4),0,IF(AND(C$7="Y",$B14&gt;C$4),(1-U14)*C$2*D13/12,IF(AND($C$7="N",C$4&gt;0),(1-U14)*D13*C$2/12, (1-U14)*D13*C$2/12)))</f>
        <v>390783.04025181872</v>
      </c>
      <c r="J14" s="57">
        <f t="shared" si="6"/>
        <v>1438991.9777665101</v>
      </c>
      <c r="K14" s="51">
        <f t="shared" si="7"/>
        <v>2455837.751104001</v>
      </c>
      <c r="L14" s="49">
        <f>IF(AND(C$7="Y",$B14&lt;=$C$4),0,IF(AND(C$7="N",C$4&gt;0,B14&lt;=C$4),0,U14*D13))</f>
        <v>401749.00506436406</v>
      </c>
      <c r="M14" s="55">
        <f t="shared" ref="M14" si="12">IFERROR(L10*-1,0)</f>
        <v>0</v>
      </c>
      <c r="N14" s="49">
        <f>IFERROR((1-$N$9)*L10,0)</f>
        <v>0</v>
      </c>
      <c r="O14" s="48">
        <f t="shared" si="8"/>
        <v>2846620.7913558194</v>
      </c>
      <c r="P14" s="38">
        <f>O14*(1/((1+P$9)^(B14/12)))</f>
        <v>2846620.7913558194</v>
      </c>
      <c r="Q14" s="53"/>
      <c r="R14" s="53">
        <f t="shared" si="9"/>
        <v>0.12</v>
      </c>
      <c r="S14" s="53">
        <f t="shared" si="10"/>
        <v>1.0596241035318976E-2</v>
      </c>
      <c r="T14" s="53">
        <f t="shared" si="11"/>
        <v>0.05</v>
      </c>
      <c r="U14" s="53">
        <f t="shared" ref="U14:U77" si="13">1-(1-T14)^(1/12)</f>
        <v>4.2653187775606449E-3</v>
      </c>
      <c r="V14" s="38">
        <f t="shared" ref="V14:V54" si="14">J14+K14</f>
        <v>3894829.7288705111</v>
      </c>
    </row>
    <row r="15" spans="1:23" s="119" customFormat="1" x14ac:dyDescent="0.2">
      <c r="A15" s="111"/>
      <c r="B15" s="112">
        <f t="shared" si="1"/>
        <v>4</v>
      </c>
      <c r="C15" s="113">
        <f>IF(B15&lt;C$4,C$1,D14-L15+N15)</f>
        <v>90982534.964466631</v>
      </c>
      <c r="D15" s="47">
        <f t="shared" si="2"/>
        <v>88611975.019692972</v>
      </c>
      <c r="E15" s="115">
        <f t="shared" si="3"/>
        <v>0</v>
      </c>
      <c r="F15" s="116">
        <f t="shared" si="4"/>
        <v>0</v>
      </c>
      <c r="G15" s="116">
        <f t="shared" ref="G15:G78" si="15">IF($B15&lt;=$C$4,C$6,0)</f>
        <v>0</v>
      </c>
      <c r="H15" s="51">
        <f t="shared" si="5"/>
        <v>1804230.7837614191</v>
      </c>
      <c r="I15" s="117">
        <f>IF(AND(C$7="Y",$B15&lt;=C$4),0,IF(AND(C$7="Y",$B15&gt;C$4),(1-U15)*C$2*D14/12,IF(AND($C$7="N",C$4&gt;0),(1-U15)*D14*C$2/12, (1-U15)*D14*C$2/12)))</f>
        <v>379093.89568527765</v>
      </c>
      <c r="J15" s="57">
        <f t="shared" si="6"/>
        <v>1423513.0053870904</v>
      </c>
      <c r="K15" s="51">
        <f t="shared" si="7"/>
        <v>2409533.1293108901</v>
      </c>
      <c r="L15" s="113">
        <f>IF(AND(C$7="Y",$B15&lt;=$C$4),0,IF(AND(C$7="N",C$4&gt;0,B15&lt;=C$4),0,U15*D14))</f>
        <v>389731.84537228721</v>
      </c>
      <c r="M15" s="113">
        <f>IFERROR(L11*-1,0)</f>
        <v>0</v>
      </c>
      <c r="N15" s="113">
        <f>IFERROR((1-$N$9)*L11,0)</f>
        <v>0</v>
      </c>
      <c r="O15" s="48">
        <f t="shared" si="8"/>
        <v>2788627.024996168</v>
      </c>
      <c r="P15" s="109">
        <f>O15*(1/((1+P$9)^(B15/12)))</f>
        <v>2788627.024996168</v>
      </c>
      <c r="Q15" s="118"/>
      <c r="R15" s="118">
        <f t="shared" si="9"/>
        <v>0.12</v>
      </c>
      <c r="S15" s="118">
        <f t="shared" si="10"/>
        <v>1.0596241035318976E-2</v>
      </c>
      <c r="T15" s="118">
        <f t="shared" si="11"/>
        <v>0.05</v>
      </c>
      <c r="U15" s="118">
        <f t="shared" si="13"/>
        <v>4.2653187775606449E-3</v>
      </c>
      <c r="V15" s="38">
        <f t="shared" si="14"/>
        <v>3833046.1346979802</v>
      </c>
    </row>
    <row r="16" spans="1:23" x14ac:dyDescent="0.2">
      <c r="A16" s="62"/>
      <c r="B16" s="45">
        <f t="shared" si="1"/>
        <v>5</v>
      </c>
      <c r="C16" s="51">
        <f>IF(B16&lt;C$4,C$1,D15-L16+N16)</f>
        <v>88276669.886500359</v>
      </c>
      <c r="D16" s="47">
        <f t="shared" si="2"/>
        <v>85907790.371846303</v>
      </c>
      <c r="E16" s="48">
        <f t="shared" si="3"/>
        <v>0</v>
      </c>
      <c r="F16" s="50">
        <f t="shared" si="4"/>
        <v>0</v>
      </c>
      <c r="G16" s="50">
        <f t="shared" si="15"/>
        <v>0</v>
      </c>
      <c r="H16" s="51">
        <f t="shared" si="5"/>
        <v>1777417.1000523095</v>
      </c>
      <c r="I16" s="52">
        <f>IF(AND(C$7="Y",$B16&lt;=C$4),0,IF(AND(C$7="Y",$B16&gt;C$4),(1-U16)*C$2*D15/12,IF(AND($C$7="N",C$4&gt;0),(1-U16)*D15*C$2/12, (1-U16)*D15*C$2/12)))</f>
        <v>367641.73624468647</v>
      </c>
      <c r="J16" s="57">
        <f t="shared" si="6"/>
        <v>1408200.5374702555</v>
      </c>
      <c r="K16" s="51">
        <f t="shared" si="7"/>
        <v>2364022.1589752608</v>
      </c>
      <c r="L16" s="49">
        <f>IF(AND(C$7="Y",$B16&lt;=$C$4),0,IF(AND(C$7="N",C$4&gt;0,B16&lt;=C$4),0,U16*D15))</f>
        <v>377958.32096823124</v>
      </c>
      <c r="M16" s="49">
        <f>IFERROR(L12*-1,0)</f>
        <v>-426531.87775606447</v>
      </c>
      <c r="N16" s="49">
        <f>IFERROR((1-$N$9)*L12,0)</f>
        <v>42653.187775606435</v>
      </c>
      <c r="O16" s="48">
        <f t="shared" si="8"/>
        <v>2731663.8952199472</v>
      </c>
      <c r="P16" s="38">
        <f>O16*(1/((1+P$9)^(B16/12)))</f>
        <v>2731663.8952199472</v>
      </c>
      <c r="Q16" s="53"/>
      <c r="R16" s="53">
        <f t="shared" si="9"/>
        <v>0.12</v>
      </c>
      <c r="S16" s="53">
        <f t="shared" si="10"/>
        <v>1.0596241035318976E-2</v>
      </c>
      <c r="T16" s="53">
        <f t="shared" si="11"/>
        <v>0.05</v>
      </c>
      <c r="U16" s="53">
        <f t="shared" si="13"/>
        <v>4.2653187775606449E-3</v>
      </c>
      <c r="V16" s="38">
        <f t="shared" si="14"/>
        <v>3772222.6964455163</v>
      </c>
    </row>
    <row r="17" spans="1:22" x14ac:dyDescent="0.2">
      <c r="A17" s="62"/>
      <c r="B17" s="45">
        <f t="shared" si="1"/>
        <v>6</v>
      </c>
      <c r="C17" s="51">
        <f>IF(B17&lt;C$4,C$1,D16-L17+N17)</f>
        <v>85582767.679772973</v>
      </c>
      <c r="D17" s="47">
        <f t="shared" si="2"/>
        <v>83258716.761141121</v>
      </c>
      <c r="E17" s="48">
        <f t="shared" si="3"/>
        <v>0</v>
      </c>
      <c r="F17" s="50">
        <f t="shared" si="4"/>
        <v>0</v>
      </c>
      <c r="G17" s="50">
        <f t="shared" si="15"/>
        <v>0</v>
      </c>
      <c r="H17" s="51">
        <f t="shared" si="5"/>
        <v>1751001.9095074465</v>
      </c>
      <c r="I17" s="52">
        <f>IF(AND(C$7="Y",$B17&lt;=C$4),0,IF(AND(C$7="Y",$B17&gt;C$4),(1-U17)*C$2*D16/12,IF(AND($C$7="N",C$4&gt;0),(1-U17)*D16*C$2/12, (1-U17)*D16*C$2/12)))</f>
        <v>356422.35941847716</v>
      </c>
      <c r="J17" s="57">
        <f t="shared" si="6"/>
        <v>1393052.7829580868</v>
      </c>
      <c r="K17" s="51">
        <f t="shared" si="7"/>
        <v>2319291.9104345804</v>
      </c>
      <c r="L17" s="49">
        <f>IF(AND(C$7="Y",$B17&lt;=$C$4),0,IF(AND(C$7="N",C$4&gt;0,B17&lt;=C$4),0,U17*D16))</f>
        <v>366424.1114117796</v>
      </c>
      <c r="M17" s="49">
        <f t="shared" ref="M17:M20" si="16">IFERROR(L13*-1,0)</f>
        <v>-414014.19338449812</v>
      </c>
      <c r="N17" s="49">
        <f>IFERROR((1-$N$9)*L13,0)</f>
        <v>41401.419338449807</v>
      </c>
      <c r="O17" s="48">
        <f t="shared" si="8"/>
        <v>2675714.2698530573</v>
      </c>
      <c r="P17" s="38">
        <f>O17*(1/((1+P$9)^(B17/12)))</f>
        <v>2675714.2698530573</v>
      </c>
      <c r="Q17" s="53"/>
      <c r="R17" s="53">
        <f t="shared" si="9"/>
        <v>0.12</v>
      </c>
      <c r="S17" s="53">
        <f t="shared" si="10"/>
        <v>1.0596241035318976E-2</v>
      </c>
      <c r="T17" s="53">
        <f t="shared" si="11"/>
        <v>0.05</v>
      </c>
      <c r="U17" s="53">
        <f t="shared" si="13"/>
        <v>4.2653187775606449E-3</v>
      </c>
      <c r="V17" s="38">
        <f t="shared" si="14"/>
        <v>3712344.693392667</v>
      </c>
    </row>
    <row r="18" spans="1:22" x14ac:dyDescent="0.2">
      <c r="A18" s="62"/>
      <c r="B18" s="45">
        <f t="shared" si="1"/>
        <v>7</v>
      </c>
      <c r="C18" s="51">
        <f>IF(B18&lt;C$4,C$1,D17-L18+N18)</f>
        <v>82943766.693650663</v>
      </c>
      <c r="D18" s="47">
        <f t="shared" si="2"/>
        <v>80663774.631556302</v>
      </c>
      <c r="E18" s="48">
        <f t="shared" si="3"/>
        <v>0</v>
      </c>
      <c r="F18" s="50">
        <f t="shared" si="4"/>
        <v>0</v>
      </c>
      <c r="G18" s="50">
        <f t="shared" si="15"/>
        <v>0</v>
      </c>
      <c r="H18" s="51">
        <f t="shared" si="5"/>
        <v>1724979.2898968356</v>
      </c>
      <c r="I18" s="52">
        <f>IF(AND(C$7="Y",$B18&lt;=C$4),0,IF(AND(C$7="Y",$B18&gt;C$4),(1-U18)*C$2*D17/12,IF(AND($C$7="N",C$4&gt;0),(1-U18)*D17*C$2/12, (1-U18)*D17*C$2/12)))</f>
        <v>345431.63247143431</v>
      </c>
      <c r="J18" s="57">
        <f t="shared" si="6"/>
        <v>1378067.9700587476</v>
      </c>
      <c r="K18" s="51">
        <f t="shared" si="7"/>
        <v>2275329.6583876102</v>
      </c>
      <c r="L18" s="49">
        <f>IF(AND(C$7="Y",$B18&lt;=$C$4),0,IF(AND(C$7="N",C$4&gt;0,B18&lt;=C$4),0,U18*D17))</f>
        <v>355124.9679968984</v>
      </c>
      <c r="M18" s="49">
        <f>IFERROR(L14*-1,0)</f>
        <v>-401749.00506436406</v>
      </c>
      <c r="N18" s="49">
        <f t="shared" ref="N18:N25" si="17">IFERROR((1-$N$9)*L14,0)</f>
        <v>40174.900506436396</v>
      </c>
      <c r="O18" s="48">
        <f t="shared" si="8"/>
        <v>2620761.2908590445</v>
      </c>
      <c r="P18" s="38">
        <f>O18*(1/((1+P$9)^(B18/12)))</f>
        <v>2620761.2908590445</v>
      </c>
      <c r="Q18" s="53"/>
      <c r="R18" s="53">
        <f t="shared" si="9"/>
        <v>0.12</v>
      </c>
      <c r="S18" s="53">
        <f t="shared" si="10"/>
        <v>1.0596241035318976E-2</v>
      </c>
      <c r="T18" s="53">
        <f t="shared" si="11"/>
        <v>0.05</v>
      </c>
      <c r="U18" s="53">
        <f t="shared" si="13"/>
        <v>4.2653187775606449E-3</v>
      </c>
      <c r="V18" s="38">
        <f t="shared" si="14"/>
        <v>3653397.6284463578</v>
      </c>
    </row>
    <row r="19" spans="1:22" x14ac:dyDescent="0.2">
      <c r="A19" s="62"/>
      <c r="B19" s="45">
        <f t="shared" si="1"/>
        <v>8</v>
      </c>
      <c r="C19" s="51">
        <f>IF(B19&lt;C$4,C$1,D18-L19+N19)</f>
        <v>80358691.103488639</v>
      </c>
      <c r="D19" s="47">
        <f t="shared" si="2"/>
        <v>78122000.711485788</v>
      </c>
      <c r="E19" s="48">
        <f t="shared" si="3"/>
        <v>0</v>
      </c>
      <c r="F19" s="50">
        <f t="shared" si="4"/>
        <v>0</v>
      </c>
      <c r="G19" s="50">
        <f t="shared" si="15"/>
        <v>0</v>
      </c>
      <c r="H19" s="51">
        <f t="shared" si="5"/>
        <v>1699343.4070040549</v>
      </c>
      <c r="I19" s="52">
        <f>IF(AND(C$7="Y",$B19&lt;=C$4),0,IF(AND(C$7="Y",$B19&gt;C$4),(1-U19)*C$2*D18/12,IF(AND($C$7="N",C$4&gt;0),(1-U19)*D18*C$2/12, (1-U19)*D18*C$2/12)))</f>
        <v>334665.49132896418</v>
      </c>
      <c r="J19" s="57">
        <f t="shared" si="6"/>
        <v>1363244.346039237</v>
      </c>
      <c r="K19" s="51">
        <f t="shared" si="7"/>
        <v>2232122.8787261066</v>
      </c>
      <c r="L19" s="49">
        <f>IF(AND(C$7="Y",$B19&lt;=$C$4),0,IF(AND(C$7="N",C$4&gt;0,B19&lt;=C$4),0,U19*D18))</f>
        <v>344056.7126048971</v>
      </c>
      <c r="M19" s="49">
        <f t="shared" ref="M19:M22" si="18">IFERROR(L15*-1,0)</f>
        <v>-389731.84537228721</v>
      </c>
      <c r="N19" s="49">
        <f t="shared" si="17"/>
        <v>38973.184537228713</v>
      </c>
      <c r="O19" s="48">
        <f t="shared" si="8"/>
        <v>2566788.3700550706</v>
      </c>
      <c r="P19" s="38">
        <f>O19*(1/((1+P$9)^(B19/12)))</f>
        <v>2566788.3700550706</v>
      </c>
      <c r="Q19" s="53"/>
      <c r="R19" s="53">
        <f t="shared" si="9"/>
        <v>0.12</v>
      </c>
      <c r="S19" s="53">
        <f t="shared" si="10"/>
        <v>1.0596241035318976E-2</v>
      </c>
      <c r="T19" s="53">
        <f t="shared" si="11"/>
        <v>0.05</v>
      </c>
      <c r="U19" s="53">
        <f t="shared" si="13"/>
        <v>4.2653187775606449E-3</v>
      </c>
      <c r="V19" s="38">
        <f t="shared" si="14"/>
        <v>3595367.2247653436</v>
      </c>
    </row>
    <row r="20" spans="1:22" x14ac:dyDescent="0.2">
      <c r="A20" s="62"/>
      <c r="B20" s="45">
        <f t="shared" si="1"/>
        <v>9</v>
      </c>
      <c r="C20" s="51">
        <f>IF(B20&lt;C$4,C$1,D19-L20+N20)</f>
        <v>77826581.307007313</v>
      </c>
      <c r="D20" s="47">
        <f t="shared" si="2"/>
        <v>75632447.753153086</v>
      </c>
      <c r="E20" s="48">
        <f t="shared" si="3"/>
        <v>0</v>
      </c>
      <c r="F20" s="50">
        <f t="shared" si="4"/>
        <v>0</v>
      </c>
      <c r="G20" s="50">
        <f t="shared" si="15"/>
        <v>0</v>
      </c>
      <c r="H20" s="51">
        <f t="shared" si="5"/>
        <v>1674088.5133182402</v>
      </c>
      <c r="I20" s="52">
        <f>IF(AND(C$7="Y",$B20&lt;=C$4),0,IF(AND(C$7="Y",$B20&gt;C$4),(1-U20)*C$2*D19/12,IF(AND($C$7="N",C$4&gt;0),(1-U20)*D19*C$2/12, (1-U20)*D19*C$2/12)))</f>
        <v>324119.93947879371</v>
      </c>
      <c r="J20" s="57">
        <f t="shared" si="6"/>
        <v>1348580.1770203828</v>
      </c>
      <c r="K20" s="51">
        <f t="shared" si="7"/>
        <v>2189659.2454149267</v>
      </c>
      <c r="L20" s="49">
        <f>IF(AND(C$7="Y",$B20&lt;=$C$4),0,IF(AND(C$7="N",C$4&gt;0,B20&lt;=C$4),0,U20*D19))</f>
        <v>333215.23657530639</v>
      </c>
      <c r="M20" s="49">
        <f t="shared" si="18"/>
        <v>-377958.32096823124</v>
      </c>
      <c r="N20" s="49">
        <f t="shared" si="17"/>
        <v>37795.832096823113</v>
      </c>
      <c r="O20" s="48">
        <f t="shared" si="8"/>
        <v>2513779.1848937203</v>
      </c>
      <c r="P20" s="38">
        <f>O20*(1/((1+P$9)^(B20/12)))</f>
        <v>2513779.1848937203</v>
      </c>
      <c r="Q20" s="53"/>
      <c r="R20" s="53">
        <f t="shared" si="9"/>
        <v>0.12</v>
      </c>
      <c r="S20" s="53">
        <f t="shared" si="10"/>
        <v>1.0596241035318976E-2</v>
      </c>
      <c r="T20" s="53">
        <f t="shared" si="11"/>
        <v>0.05</v>
      </c>
      <c r="U20" s="53">
        <f t="shared" si="13"/>
        <v>4.2653187775606449E-3</v>
      </c>
      <c r="V20" s="38">
        <f t="shared" si="14"/>
        <v>3538239.4224353097</v>
      </c>
    </row>
    <row r="21" spans="1:22" x14ac:dyDescent="0.2">
      <c r="A21" s="62"/>
      <c r="B21" s="45">
        <f t="shared" si="1"/>
        <v>10</v>
      </c>
      <c r="C21" s="51">
        <f>IF(B21&lt;C$4,C$1,D20-L21+N21)</f>
        <v>75346493.664699852</v>
      </c>
      <c r="D21" s="47">
        <f t="shared" si="2"/>
        <v>73194184.276098415</v>
      </c>
      <c r="E21" s="48">
        <f t="shared" si="3"/>
        <v>0</v>
      </c>
      <c r="F21" s="50">
        <f t="shared" si="4"/>
        <v>0</v>
      </c>
      <c r="G21" s="50">
        <f t="shared" si="15"/>
        <v>0</v>
      </c>
      <c r="H21" s="51">
        <f t="shared" si="5"/>
        <v>1649208.9467455067</v>
      </c>
      <c r="I21" s="52">
        <f>IF(AND(C$7="Y",$B21&lt;=C$4),0,IF(AND(C$7="Y",$B21&gt;C$4),(1-U21)*C$2*D20/12,IF(AND($C$7="N",C$4&gt;0),(1-U21)*D20*C$2/12, (1-U21)*D20*C$2/12)))</f>
        <v>313791.04688982788</v>
      </c>
      <c r="J21" s="57">
        <f t="shared" si="6"/>
        <v>1334073.7477740357</v>
      </c>
      <c r="K21" s="51">
        <f t="shared" si="7"/>
        <v>2147926.627419712</v>
      </c>
      <c r="L21" s="49">
        <f>IF(AND(C$7="Y",$B21&lt;=$C$4),0,IF(AND(C$7="N",C$4&gt;0,B21&lt;=C$4),0,U21*D20))</f>
        <v>322596.49959439825</v>
      </c>
      <c r="M21" s="49">
        <f>IFERROR(L17*-1,0)</f>
        <v>-366424.1114117796</v>
      </c>
      <c r="N21" s="49">
        <f t="shared" si="17"/>
        <v>36642.411141177952</v>
      </c>
      <c r="O21" s="48">
        <f t="shared" si="8"/>
        <v>2461717.6743095401</v>
      </c>
      <c r="P21" s="38">
        <f>O21*(1/((1+P$9)^(B21/12)))</f>
        <v>2461717.6743095401</v>
      </c>
      <c r="Q21" s="53"/>
      <c r="R21" s="53">
        <f t="shared" si="9"/>
        <v>0.12</v>
      </c>
      <c r="S21" s="53">
        <f t="shared" si="10"/>
        <v>1.0596241035318976E-2</v>
      </c>
      <c r="T21" s="53">
        <f t="shared" si="11"/>
        <v>0.05</v>
      </c>
      <c r="U21" s="53">
        <f t="shared" si="13"/>
        <v>4.2653187775606449E-3</v>
      </c>
      <c r="V21" s="38">
        <f t="shared" si="14"/>
        <v>3482000.3751937477</v>
      </c>
    </row>
    <row r="22" spans="1:22" x14ac:dyDescent="0.2">
      <c r="A22" s="62"/>
      <c r="B22" s="45">
        <f t="shared" si="1"/>
        <v>11</v>
      </c>
      <c r="C22" s="51">
        <f>IF(B22&lt;C$4,C$1,D21-L22+N22)</f>
        <v>72917500.244297028</v>
      </c>
      <c r="D22" s="47">
        <f t="shared" si="2"/>
        <v>70806294.314675525</v>
      </c>
      <c r="E22" s="48">
        <f t="shared" si="3"/>
        <v>0</v>
      </c>
      <c r="F22" s="50">
        <f t="shared" si="4"/>
        <v>0</v>
      </c>
      <c r="G22" s="50">
        <f t="shared" si="15"/>
        <v>0</v>
      </c>
      <c r="H22" s="51">
        <f t="shared" si="5"/>
        <v>1624699.1293395122</v>
      </c>
      <c r="I22" s="52">
        <f>IF(AND(C$7="Y",$B22&lt;=C$4),0,IF(AND(C$7="Y",$B22&gt;C$4),(1-U22)*C$2*D21/12,IF(AND($C$7="N",C$4&gt;0),(1-U22)*D21*C$2/12, (1-U22)*D21*C$2/12)))</f>
        <v>303674.94894790556</v>
      </c>
      <c r="J22" s="57">
        <f t="shared" si="6"/>
        <v>1319723.3615224354</v>
      </c>
      <c r="K22" s="51">
        <f t="shared" si="7"/>
        <v>2106913.0856819213</v>
      </c>
      <c r="L22" s="49">
        <f>IF(AND(C$7="Y",$B22&lt;=$C$4),0,IF(AND(C$7="N",C$4&gt;0,B22&lt;=C$4),0,U22*D21))</f>
        <v>312196.52860107669</v>
      </c>
      <c r="M22" s="49">
        <f t="shared" ref="M22:M25" si="19">IFERROR(L18*-1,0)</f>
        <v>-355124.9679968984</v>
      </c>
      <c r="N22" s="49">
        <f>IFERROR((1-$N$9)*L18,0)</f>
        <v>35512.496799689834</v>
      </c>
      <c r="O22" s="48">
        <f t="shared" si="8"/>
        <v>2410588.0346298269</v>
      </c>
      <c r="P22" s="38">
        <f>O22*(1/((1+P$9)^(B22/12)))</f>
        <v>2410588.0346298269</v>
      </c>
      <c r="Q22" s="53"/>
      <c r="R22" s="53">
        <f t="shared" si="9"/>
        <v>0.12</v>
      </c>
      <c r="S22" s="53">
        <f t="shared" si="10"/>
        <v>1.0596241035318976E-2</v>
      </c>
      <c r="T22" s="53">
        <f t="shared" si="11"/>
        <v>0.05</v>
      </c>
      <c r="U22" s="53">
        <f t="shared" si="13"/>
        <v>4.2653187775606449E-3</v>
      </c>
      <c r="V22" s="38">
        <f t="shared" si="14"/>
        <v>3426636.447204357</v>
      </c>
    </row>
    <row r="23" spans="1:22" x14ac:dyDescent="0.2">
      <c r="A23" s="62"/>
      <c r="B23" s="45">
        <f t="shared" si="1"/>
        <v>12</v>
      </c>
      <c r="C23" s="51">
        <f>IF(B23&lt;C$4,C$1,D22-L23+N23)</f>
        <v>70538688.569226146</v>
      </c>
      <c r="D23" s="47">
        <f t="shared" si="2"/>
        <v>68467877.16949676</v>
      </c>
      <c r="E23" s="48">
        <f t="shared" si="3"/>
        <v>0</v>
      </c>
      <c r="F23" s="50">
        <f t="shared" si="4"/>
        <v>0</v>
      </c>
      <c r="G23" s="50">
        <f t="shared" si="15"/>
        <v>0</v>
      </c>
      <c r="H23" s="51">
        <f t="shared" si="5"/>
        <v>1600553.5660508994</v>
      </c>
      <c r="I23" s="52">
        <f>IF(AND(C$7="Y",$B23&lt;=C$4),0,IF(AND(C$7="Y",$B23&gt;C$4),(1-U23)*C$2*D22/12,IF(AND($C$7="N",C$4&gt;0),(1-U23)*D22*C$2/12, (1-U23)*D22*C$2/12)))</f>
        <v>293767.84540819022</v>
      </c>
      <c r="J23" s="57">
        <f t="shared" si="6"/>
        <v>1305527.3397397513</v>
      </c>
      <c r="K23" s="51">
        <f t="shared" si="7"/>
        <v>2066606.870139881</v>
      </c>
      <c r="L23" s="49">
        <f>IF(AND(C$7="Y",$B23&lt;=$C$4),0,IF(AND(C$7="N",C$4&gt;0,B23&lt;=C$4),0,U23*D22))</f>
        <v>302011.41670987103</v>
      </c>
      <c r="M23" s="49">
        <f t="shared" si="19"/>
        <v>-344056.7126048971</v>
      </c>
      <c r="N23" s="49">
        <f t="shared" ref="N23:N30" si="20">IFERROR((1-$N$9)*L19,0)</f>
        <v>34405.671260489704</v>
      </c>
      <c r="O23" s="48">
        <f t="shared" si="8"/>
        <v>2360374.7155480711</v>
      </c>
      <c r="P23" s="38">
        <f>O23*(1/((1+P$9)^(B23/12)))</f>
        <v>2360374.7155480711</v>
      </c>
      <c r="Q23" s="53"/>
      <c r="R23" s="53">
        <f t="shared" si="9"/>
        <v>0.12</v>
      </c>
      <c r="S23" s="53">
        <f t="shared" si="10"/>
        <v>1.0596241035318976E-2</v>
      </c>
      <c r="T23" s="53">
        <f t="shared" si="11"/>
        <v>0.05</v>
      </c>
      <c r="U23" s="53">
        <f t="shared" si="13"/>
        <v>4.2653187775606449E-3</v>
      </c>
      <c r="V23" s="38">
        <f t="shared" si="14"/>
        <v>3372134.2098796321</v>
      </c>
    </row>
    <row r="24" spans="1:22" x14ac:dyDescent="0.2">
      <c r="A24" s="62"/>
      <c r="B24" s="45">
        <f t="shared" si="1"/>
        <v>13</v>
      </c>
      <c r="C24" s="51">
        <f>IF(B24&lt;C$4,C$1,D23-L24+N24)</f>
        <v>68209161.371003523</v>
      </c>
      <c r="D24" s="47">
        <f t="shared" si="2"/>
        <v>66178047.162765317</v>
      </c>
      <c r="E24" s="48">
        <f t="shared" si="3"/>
        <v>0</v>
      </c>
      <c r="F24" s="50">
        <f t="shared" si="4"/>
        <v>0</v>
      </c>
      <c r="G24" s="50">
        <f t="shared" si="15"/>
        <v>0</v>
      </c>
      <c r="H24" s="51">
        <f t="shared" si="5"/>
        <v>1576766.8434953156</v>
      </c>
      <c r="I24" s="52">
        <f>IF(AND(C$7="Y",$B24&lt;=C$4),0,IF(AND(C$7="Y",$B24&gt;C$4),(1-U24)*C$2*D23/12,IF(AND($C$7="N",C$4&gt;0),(1-U24)*D23*C$2/12, (1-U24)*D23*C$2/12)))</f>
        <v>284065.99936394166</v>
      </c>
      <c r="J24" s="57">
        <f t="shared" si="6"/>
        <v>1291484.0219557458</v>
      </c>
      <c r="K24" s="51">
        <f t="shared" si="7"/>
        <v>2026996.4167957497</v>
      </c>
      <c r="L24" s="49">
        <f>IF(AND(C$7="Y",$B24&lt;=$C$4),0,IF(AND(C$7="N",C$4&gt;0,B24&lt;=C$4),0,U24*D23))</f>
        <v>292037.32215077028</v>
      </c>
      <c r="M24" s="49">
        <f t="shared" si="19"/>
        <v>-333215.23657530639</v>
      </c>
      <c r="N24" s="49">
        <f t="shared" si="20"/>
        <v>33321.523657530633</v>
      </c>
      <c r="O24" s="48">
        <f t="shared" si="8"/>
        <v>2311062.4161596913</v>
      </c>
      <c r="P24" s="38">
        <f>O24*(1/((1+P$9)^(B24/12)))</f>
        <v>2311062.4161596913</v>
      </c>
      <c r="Q24" s="53"/>
      <c r="R24" s="53">
        <f t="shared" si="9"/>
        <v>0.12</v>
      </c>
      <c r="S24" s="53">
        <f t="shared" si="10"/>
        <v>1.0596241035318976E-2</v>
      </c>
      <c r="T24" s="53">
        <f t="shared" si="11"/>
        <v>0.05</v>
      </c>
      <c r="U24" s="53">
        <f t="shared" si="13"/>
        <v>4.2653187775606449E-3</v>
      </c>
      <c r="V24" s="38">
        <f t="shared" si="14"/>
        <v>3318480.4387514954</v>
      </c>
    </row>
    <row r="25" spans="1:22" x14ac:dyDescent="0.2">
      <c r="A25" s="62"/>
      <c r="B25" s="45">
        <f t="shared" si="1"/>
        <v>14</v>
      </c>
      <c r="C25" s="51">
        <f>IF(B25&lt;C$4,C$1,D24-L25+N25)</f>
        <v>65928036.345499121</v>
      </c>
      <c r="D25" s="47">
        <f t="shared" si="2"/>
        <v>63935933.397435091</v>
      </c>
      <c r="E25" s="48">
        <f t="shared" si="3"/>
        <v>0</v>
      </c>
      <c r="F25" s="50">
        <f t="shared" si="4"/>
        <v>0</v>
      </c>
      <c r="G25" s="50">
        <f t="shared" si="15"/>
        <v>0</v>
      </c>
      <c r="H25" s="51">
        <f t="shared" si="5"/>
        <v>1553333.6287397447</v>
      </c>
      <c r="I25" s="52">
        <f>IF(AND(C$7="Y",$B25&lt;=C$4),0,IF(AND(C$7="Y",$B25&gt;C$4),(1-U25)*C$2*D24/12,IF(AND($C$7="N",C$4&gt;0),(1-U25)*D24*C$2/12, (1-U25)*D24*C$2/12)))</f>
        <v>274565.73623141536</v>
      </c>
      <c r="J25" s="57">
        <f t="shared" si="6"/>
        <v>1277591.765561556</v>
      </c>
      <c r="K25" s="51">
        <f t="shared" si="7"/>
        <v>1988070.3448271521</v>
      </c>
      <c r="L25" s="49">
        <f>IF(AND(C$7="Y",$B25&lt;=$C$4),0,IF(AND(C$7="N",C$4&gt;0,B25&lt;=C$4),0,U25*D24))</f>
        <v>282270.46722563688</v>
      </c>
      <c r="M25" s="49">
        <f t="shared" si="19"/>
        <v>-322596.49959439825</v>
      </c>
      <c r="N25" s="49">
        <f t="shared" si="20"/>
        <v>32259.649959439819</v>
      </c>
      <c r="O25" s="48">
        <f t="shared" si="8"/>
        <v>2262636.0810585674</v>
      </c>
      <c r="P25" s="38">
        <f>O25*(1/((1+P$9)^(B25/12)))</f>
        <v>2262636.0810585674</v>
      </c>
      <c r="Q25" s="53"/>
      <c r="R25" s="53">
        <f t="shared" si="9"/>
        <v>0.12</v>
      </c>
      <c r="S25" s="53">
        <f t="shared" si="10"/>
        <v>1.0596241035318976E-2</v>
      </c>
      <c r="T25" s="53">
        <f t="shared" si="11"/>
        <v>0.05</v>
      </c>
      <c r="U25" s="53">
        <f t="shared" si="13"/>
        <v>4.2653187775606449E-3</v>
      </c>
      <c r="V25" s="38">
        <f t="shared" si="14"/>
        <v>3265662.1103887083</v>
      </c>
    </row>
    <row r="26" spans="1:22" x14ac:dyDescent="0.2">
      <c r="A26" s="62"/>
      <c r="B26" s="45">
        <f t="shared" si="1"/>
        <v>15</v>
      </c>
      <c r="C26" s="51">
        <f>IF(B26&lt;C$4,C$1,D25-L26+N26)</f>
        <v>63694445.913014248</v>
      </c>
      <c r="D26" s="47">
        <f t="shared" si="2"/>
        <v>61740679.520139009</v>
      </c>
      <c r="E26" s="48">
        <f t="shared" si="3"/>
        <v>0</v>
      </c>
      <c r="F26" s="50">
        <f t="shared" si="4"/>
        <v>0</v>
      </c>
      <c r="G26" s="50">
        <f t="shared" si="15"/>
        <v>0</v>
      </c>
      <c r="H26" s="51">
        <f t="shared" si="5"/>
        <v>1530248.6681068714</v>
      </c>
      <c r="I26" s="52">
        <f>IF(AND(C$7="Y",$B26&lt;=C$4),0,IF(AND(C$7="Y",$B26&gt;C$4),(1-U26)*C$2*D25/12,IF(AND($C$7="N",C$4&gt;0),(1-U26)*D25*C$2/12, (1-U26)*D25*C$2/12)))</f>
        <v>265263.44275064225</v>
      </c>
      <c r="J26" s="57">
        <f t="shared" si="6"/>
        <v>1263848.9456175584</v>
      </c>
      <c r="K26" s="51">
        <f t="shared" si="7"/>
        <v>1949817.4537432308</v>
      </c>
      <c r="L26" s="51">
        <f>IF(AND(C$7="Y",$B26&lt;=$C$4),0,IF(AND(C$7="N",C$4&gt;0,B26&lt;=C$4),0,U26*D25))</f>
        <v>272707.13728094666</v>
      </c>
      <c r="M26" s="51">
        <f>IFERROR(L22*-1,0)</f>
        <v>-312196.52860107669</v>
      </c>
      <c r="N26" s="51">
        <f t="shared" si="20"/>
        <v>31219.652860107661</v>
      </c>
      <c r="O26" s="48">
        <f t="shared" si="8"/>
        <v>2215080.8964938731</v>
      </c>
      <c r="P26" s="38">
        <f>O26*(1/((1+P$9)^(B26/12)))</f>
        <v>2215080.8964938731</v>
      </c>
      <c r="Q26" s="53"/>
      <c r="R26" s="53">
        <f t="shared" si="9"/>
        <v>0.12</v>
      </c>
      <c r="S26" s="53">
        <f t="shared" si="10"/>
        <v>1.0596241035318976E-2</v>
      </c>
      <c r="T26" s="53">
        <f t="shared" si="11"/>
        <v>0.05</v>
      </c>
      <c r="U26" s="53">
        <f t="shared" si="13"/>
        <v>4.2653187775606449E-3</v>
      </c>
      <c r="V26" s="38">
        <f t="shared" si="14"/>
        <v>3213666.399360789</v>
      </c>
    </row>
    <row r="27" spans="1:22" x14ac:dyDescent="0.2">
      <c r="A27" s="62"/>
      <c r="B27" s="45">
        <f t="shared" si="1"/>
        <v>16</v>
      </c>
      <c r="C27" s="51">
        <f>IF(B27&lt;C$4,C$1,D26-L27+N27)</f>
        <v>61507536.982113391</v>
      </c>
      <c r="D27" s="47">
        <f t="shared" si="2"/>
        <v>59591443.487827845</v>
      </c>
      <c r="E27" s="48">
        <f t="shared" si="3"/>
        <v>0</v>
      </c>
      <c r="F27" s="50">
        <f t="shared" si="4"/>
        <v>0</v>
      </c>
      <c r="G27" s="50">
        <f t="shared" si="15"/>
        <v>0</v>
      </c>
      <c r="H27" s="51">
        <f t="shared" si="5"/>
        <v>1507506.7859972219</v>
      </c>
      <c r="I27" s="52">
        <f>IF(AND(C$7="Y",$B27&lt;=C$4),0,IF(AND(C$7="Y",$B27&gt;C$4),(1-U27)*C$2*D26/12,IF(AND($C$7="N",C$4&gt;0),(1-U27)*D26*C$2/12, (1-U27)*D26*C$2/12)))</f>
        <v>256155.56600184334</v>
      </c>
      <c r="J27" s="57">
        <f t="shared" si="6"/>
        <v>1250253.9546633093</v>
      </c>
      <c r="K27" s="51">
        <f t="shared" si="7"/>
        <v>1912226.7205842214</v>
      </c>
      <c r="L27" s="49">
        <f>IF(AND(C$7="Y",$B27&lt;=$C$4),0,IF(AND(C$7="N",C$4&gt;0,B27&lt;=C$4),0,U27*D26))</f>
        <v>263343.67969660286</v>
      </c>
      <c r="M27" s="49">
        <f t="shared" ref="M27:M40" si="21">IFERROR(L23*-1,0)</f>
        <v>-302011.41670987103</v>
      </c>
      <c r="N27" s="49">
        <f t="shared" si="20"/>
        <v>30201.141670987097</v>
      </c>
      <c r="O27" s="48">
        <f t="shared" si="8"/>
        <v>2168382.2865860648</v>
      </c>
      <c r="P27" s="38">
        <f>O27*(1/((1+P$9)^(B27/12)))</f>
        <v>2168382.2865860648</v>
      </c>
      <c r="Q27" s="53"/>
      <c r="R27" s="53">
        <f t="shared" si="9"/>
        <v>0.12</v>
      </c>
      <c r="S27" s="53">
        <f t="shared" si="10"/>
        <v>1.0596241035318976E-2</v>
      </c>
      <c r="T27" s="53">
        <f t="shared" si="11"/>
        <v>0.05</v>
      </c>
      <c r="U27" s="53">
        <f t="shared" si="13"/>
        <v>4.2653187775606449E-3</v>
      </c>
      <c r="V27" s="38">
        <f t="shared" si="14"/>
        <v>3162480.6752475305</v>
      </c>
    </row>
    <row r="28" spans="1:22" x14ac:dyDescent="0.2">
      <c r="A28" s="62"/>
      <c r="B28" s="45">
        <f t="shared" si="1"/>
        <v>17</v>
      </c>
      <c r="C28" s="51">
        <f>IF(B28&lt;C$4,C$1,D27-L28+N28)</f>
        <v>59366470.717152342</v>
      </c>
      <c r="D28" s="47">
        <f t="shared" si="2"/>
        <v>57487397.338062406</v>
      </c>
      <c r="E28" s="48">
        <f t="shared" si="3"/>
        <v>0</v>
      </c>
      <c r="F28" s="50">
        <f t="shared" si="4"/>
        <v>0</v>
      </c>
      <c r="G28" s="50">
        <f t="shared" si="15"/>
        <v>0</v>
      </c>
      <c r="H28" s="51">
        <f t="shared" si="5"/>
        <v>1485102.8837288024</v>
      </c>
      <c r="I28" s="52">
        <f>IF(AND(C$7="Y",$B28&lt;=C$4),0,IF(AND(C$7="Y",$B28&gt;C$4),(1-U28)*C$2*D27/12,IF(AND($C$7="N",C$4&gt;0),(1-U28)*D27*C$2/12, (1-U28)*D27*C$2/12)))</f>
        <v>247238.6124372386</v>
      </c>
      <c r="J28" s="57">
        <f t="shared" si="6"/>
        <v>1236805.2025295198</v>
      </c>
      <c r="K28" s="51">
        <f t="shared" si="7"/>
        <v>1875287.2971639207</v>
      </c>
      <c r="L28" s="49">
        <f>IF(AND(C$7="Y",$B28&lt;=$C$4),0,IF(AND(C$7="N",C$4&gt;0,B28&lt;=C$4),0,U28*D27))</f>
        <v>254176.50289057611</v>
      </c>
      <c r="M28" s="49">
        <f t="shared" si="21"/>
        <v>-292037.32215077028</v>
      </c>
      <c r="N28" s="49">
        <f t="shared" si="20"/>
        <v>29203.732215077023</v>
      </c>
      <c r="O28" s="48">
        <f t="shared" si="8"/>
        <v>2122525.9096011594</v>
      </c>
      <c r="P28" s="38">
        <f>O28*(1/((1+P$9)^(B28/12)))</f>
        <v>2122525.9096011594</v>
      </c>
      <c r="Q28" s="53"/>
      <c r="R28" s="53">
        <f t="shared" si="9"/>
        <v>0.12</v>
      </c>
      <c r="S28" s="53">
        <f t="shared" si="10"/>
        <v>1.0596241035318976E-2</v>
      </c>
      <c r="T28" s="53">
        <f t="shared" si="11"/>
        <v>0.05</v>
      </c>
      <c r="U28" s="53">
        <f t="shared" si="13"/>
        <v>4.2653187775606449E-3</v>
      </c>
      <c r="V28" s="38">
        <f t="shared" si="14"/>
        <v>3112092.4996934403</v>
      </c>
    </row>
    <row r="29" spans="1:22" x14ac:dyDescent="0.2">
      <c r="A29" s="62"/>
      <c r="B29" s="45">
        <f t="shared" si="1"/>
        <v>18</v>
      </c>
      <c r="C29" s="51">
        <f>IF(B29&lt;C$4,C$1,D28-L29+N29)</f>
        <v>57270422.309445836</v>
      </c>
      <c r="D29" s="47">
        <f t="shared" si="2"/>
        <v>55427726.962902769</v>
      </c>
      <c r="E29" s="48">
        <f t="shared" si="3"/>
        <v>0</v>
      </c>
      <c r="F29" s="50">
        <f t="shared" si="4"/>
        <v>0</v>
      </c>
      <c r="G29" s="50">
        <f t="shared" si="15"/>
        <v>0</v>
      </c>
      <c r="H29" s="51">
        <f t="shared" si="5"/>
        <v>1463031.9383939861</v>
      </c>
      <c r="I29" s="52">
        <f>IF(AND(C$7="Y",$B29&lt;=C$4),0,IF(AND(C$7="Y",$B29&gt;C$4),(1-U29)*C$2*D28/12,IF(AND($C$7="N",C$4&gt;0),(1-U29)*D28*C$2/12, (1-U29)*D28*C$2/12)))</f>
        <v>238509.14692801365</v>
      </c>
      <c r="J29" s="57">
        <f t="shared" si="6"/>
        <v>1223501.1161520595</v>
      </c>
      <c r="K29" s="51">
        <f t="shared" si="7"/>
        <v>1838988.5073544215</v>
      </c>
      <c r="L29" s="49">
        <f>IF(AND(C$7="Y",$B29&lt;=$C$4),0,IF(AND(C$7="N",C$4&gt;0,B29&lt;=C$4),0,U29*D28))</f>
        <v>245202.07533912742</v>
      </c>
      <c r="M29" s="49">
        <f t="shared" si="21"/>
        <v>-282270.46722563688</v>
      </c>
      <c r="N29" s="49">
        <f t="shared" si="20"/>
        <v>28227.046722563682</v>
      </c>
      <c r="O29" s="48">
        <f t="shared" si="8"/>
        <v>2077497.6542824353</v>
      </c>
      <c r="P29" s="38">
        <f>O29*(1/((1+P$9)^(B29/12)))</f>
        <v>2077497.6542824353</v>
      </c>
      <c r="Q29" s="53"/>
      <c r="R29" s="53">
        <f t="shared" si="9"/>
        <v>0.12</v>
      </c>
      <c r="S29" s="53">
        <f t="shared" si="10"/>
        <v>1.0596241035318976E-2</v>
      </c>
      <c r="T29" s="53">
        <f t="shared" si="11"/>
        <v>0.05</v>
      </c>
      <c r="U29" s="53">
        <f t="shared" si="13"/>
        <v>4.2653187775606449E-3</v>
      </c>
      <c r="V29" s="38">
        <f t="shared" si="14"/>
        <v>3062489.6235064808</v>
      </c>
    </row>
    <row r="30" spans="1:22" x14ac:dyDescent="0.2">
      <c r="A30" s="62"/>
      <c r="B30" s="45">
        <f t="shared" si="1"/>
        <v>19</v>
      </c>
      <c r="C30" s="51">
        <f>IF(B30&lt;C$4,C$1,D29-L30+N30)</f>
        <v>55218580.752018489</v>
      </c>
      <c r="D30" s="47">
        <f t="shared" si="2"/>
        <v>53411631.886339106</v>
      </c>
      <c r="E30" s="48">
        <f t="shared" si="3"/>
        <v>0</v>
      </c>
      <c r="F30" s="50">
        <f t="shared" si="4"/>
        <v>0</v>
      </c>
      <c r="G30" s="50">
        <f t="shared" si="15"/>
        <v>0</v>
      </c>
      <c r="H30" s="51">
        <f t="shared" si="5"/>
        <v>1441289.0017333904</v>
      </c>
      <c r="I30" s="52">
        <f>IF(AND(C$7="Y",$B30&lt;=C$4),0,IF(AND(C$7="Y",$B30&gt;C$4),(1-U30)*C$2*D29/12,IF(AND($C$7="N",C$4&gt;0),(1-U30)*D29*C$2/12, (1-U30)*D29*C$2/12)))</f>
        <v>229963.79182620998</v>
      </c>
      <c r="J30" s="57">
        <f t="shared" si="6"/>
        <v>1210340.1393879622</v>
      </c>
      <c r="K30" s="51">
        <f t="shared" si="7"/>
        <v>1803319.8444125275</v>
      </c>
      <c r="L30" s="49">
        <f>IF(AND(C$7="Y",$B30&lt;=$C$4),0,IF(AND(C$7="N",C$4&gt;0,B30&lt;=C$4),0,U30*D29))</f>
        <v>236416.92461237364</v>
      </c>
      <c r="M30" s="49">
        <f t="shared" si="21"/>
        <v>-272707.13728094666</v>
      </c>
      <c r="N30" s="49">
        <f t="shared" si="20"/>
        <v>27270.713728094659</v>
      </c>
      <c r="O30" s="48">
        <f t="shared" si="8"/>
        <v>2033283.6362387375</v>
      </c>
      <c r="P30" s="38">
        <f>O30*(1/((1+P$9)^(B30/12)))</f>
        <v>2033283.6362387375</v>
      </c>
      <c r="Q30" s="53"/>
      <c r="R30" s="53">
        <f t="shared" si="9"/>
        <v>0.12</v>
      </c>
      <c r="S30" s="53">
        <f t="shared" si="10"/>
        <v>1.0596241035318976E-2</v>
      </c>
      <c r="T30" s="53">
        <f t="shared" si="11"/>
        <v>0.05</v>
      </c>
      <c r="U30" s="53">
        <f t="shared" si="13"/>
        <v>4.2653187775606449E-3</v>
      </c>
      <c r="V30" s="38">
        <f t="shared" si="14"/>
        <v>3013659.9838004895</v>
      </c>
    </row>
    <row r="31" spans="1:22" x14ac:dyDescent="0.2">
      <c r="A31" s="62"/>
      <c r="B31" s="45">
        <f t="shared" si="1"/>
        <v>20</v>
      </c>
      <c r="C31" s="51">
        <f>IF(B31&lt;C$4,C$1,D30-L31+N31)</f>
        <v>53210148.617883809</v>
      </c>
      <c r="D31" s="47">
        <f t="shared" si="2"/>
        <v>51438325.045209564</v>
      </c>
      <c r="E31" s="48">
        <f t="shared" si="3"/>
        <v>0</v>
      </c>
      <c r="F31" s="50">
        <f t="shared" si="4"/>
        <v>0</v>
      </c>
      <c r="G31" s="50">
        <f t="shared" si="15"/>
        <v>0</v>
      </c>
      <c r="H31" s="51">
        <f t="shared" si="5"/>
        <v>1419869.1990264838</v>
      </c>
      <c r="I31" s="52">
        <f>IF(AND(C$7="Y",$B31&lt;=C$4),0,IF(AND(C$7="Y",$B31&gt;C$4),(1-U31)*C$2*D30/12,IF(AND($C$7="N",C$4&gt;0),(1-U31)*D30*C$2/12, (1-U31)*D30*C$2/12)))</f>
        <v>221599.22604130895</v>
      </c>
      <c r="J31" s="57">
        <f t="shared" si="6"/>
        <v>1197320.7328334043</v>
      </c>
      <c r="K31" s="51">
        <f t="shared" si="7"/>
        <v>1768270.9683470782</v>
      </c>
      <c r="L31" s="49">
        <f>IF(AND(C$7="Y",$B31&lt;=$C$4),0,IF(AND(C$7="N",C$4&gt;0,B31&lt;=C$4),0,U31*D30))</f>
        <v>227817.63642495908</v>
      </c>
      <c r="M31" s="49">
        <f t="shared" si="21"/>
        <v>-263343.67969660286</v>
      </c>
      <c r="N31" s="49">
        <f>IFERROR((1-$N$9)*L27,0)</f>
        <v>26334.367969660281</v>
      </c>
      <c r="O31" s="48">
        <f t="shared" si="8"/>
        <v>1989870.1943883873</v>
      </c>
      <c r="P31" s="38">
        <f>O31*(1/((1+P$9)^(B31/12)))</f>
        <v>1989870.1943883873</v>
      </c>
      <c r="Q31" s="53"/>
      <c r="R31" s="53">
        <f t="shared" si="9"/>
        <v>0.12</v>
      </c>
      <c r="S31" s="53">
        <f t="shared" si="10"/>
        <v>1.0596241035318976E-2</v>
      </c>
      <c r="T31" s="53">
        <f t="shared" si="11"/>
        <v>0.05</v>
      </c>
      <c r="U31" s="53">
        <f t="shared" si="13"/>
        <v>4.2653187775606449E-3</v>
      </c>
      <c r="V31" s="38">
        <f t="shared" si="14"/>
        <v>2965591.7011804823</v>
      </c>
    </row>
    <row r="32" spans="1:22" x14ac:dyDescent="0.2">
      <c r="A32" s="62"/>
      <c r="B32" s="45">
        <f t="shared" si="1"/>
        <v>21</v>
      </c>
      <c r="C32" s="51">
        <f>IF(B32&lt;C$4,C$1,D31-L32+N32)</f>
        <v>51244341.841797024</v>
      </c>
      <c r="D32" s="47">
        <f t="shared" si="2"/>
        <v>49507032.573551446</v>
      </c>
      <c r="E32" s="48">
        <f t="shared" si="3"/>
        <v>0</v>
      </c>
      <c r="F32" s="50">
        <f t="shared" si="4"/>
        <v>0</v>
      </c>
      <c r="G32" s="50">
        <f t="shared" si="15"/>
        <v>0</v>
      </c>
      <c r="H32" s="51">
        <f t="shared" si="5"/>
        <v>1398767.7279986858</v>
      </c>
      <c r="I32" s="52">
        <f>IF(AND(C$7="Y",$B32&lt;=C$4),0,IF(AND(C$7="Y",$B32&gt;C$4),(1-U32)*C$2*D31/12,IF(AND($C$7="N",C$4&gt;0),(1-U32)*D31*C$2/12, (1-U32)*D31*C$2/12)))</f>
        <v>213412.1841312832</v>
      </c>
      <c r="J32" s="57">
        <f t="shared" si="6"/>
        <v>1184441.373643646</v>
      </c>
      <c r="K32" s="51">
        <f t="shared" si="7"/>
        <v>1733831.7033266777</v>
      </c>
      <c r="L32" s="49">
        <f>IF(AND(C$7="Y",$B32&lt;=$C$4),0,IF(AND(C$7="N",C$4&gt;0,B32&lt;=C$4),0,U32*D31))</f>
        <v>219400.85370160037</v>
      </c>
      <c r="M32" s="49">
        <f t="shared" si="21"/>
        <v>-254176.50289057611</v>
      </c>
      <c r="N32" s="49">
        <f t="shared" ref="N32:N95" si="22">IFERROR((1-$N$9)*L28,0)</f>
        <v>25417.650289057605</v>
      </c>
      <c r="O32" s="48">
        <f t="shared" si="8"/>
        <v>1947243.8874579608</v>
      </c>
      <c r="P32" s="38">
        <f>O32*(1/((1+P$9)^(B32/12)))</f>
        <v>1947243.8874579608</v>
      </c>
      <c r="Q32" s="53"/>
      <c r="R32" s="53">
        <f t="shared" si="9"/>
        <v>0.12</v>
      </c>
      <c r="S32" s="53">
        <f t="shared" si="10"/>
        <v>1.0596241035318976E-2</v>
      </c>
      <c r="T32" s="53">
        <f t="shared" si="11"/>
        <v>0.05</v>
      </c>
      <c r="U32" s="53">
        <f t="shared" si="13"/>
        <v>4.2653187775606449E-3</v>
      </c>
      <c r="V32" s="38">
        <f t="shared" si="14"/>
        <v>2918273.0769703239</v>
      </c>
    </row>
    <row r="33" spans="1:23" x14ac:dyDescent="0.2">
      <c r="A33" s="62"/>
      <c r="B33" s="45">
        <f t="shared" si="1"/>
        <v>22</v>
      </c>
      <c r="C33" s="51">
        <f>IF(B33&lt;C$4,C$1,D32-L33+N33)</f>
        <v>49320389.505428083</v>
      </c>
      <c r="D33" s="47">
        <f t="shared" si="2"/>
        <v>47616993.590332717</v>
      </c>
      <c r="E33" s="48">
        <f t="shared" si="3"/>
        <v>0</v>
      </c>
      <c r="F33" s="50">
        <f t="shared" si="4"/>
        <v>0</v>
      </c>
      <c r="G33" s="50">
        <f t="shared" si="15"/>
        <v>0</v>
      </c>
      <c r="H33" s="51">
        <f t="shared" si="5"/>
        <v>1377979.8577447077</v>
      </c>
      <c r="I33" s="52">
        <f>IF(AND(C$7="Y",$B33&lt;=C$4),0,IF(AND(C$7="Y",$B33&gt;C$4),(1-U33)*C$2*D32/12,IF(AND($C$7="N",C$4&gt;0),(1-U33)*D32*C$2/12, (1-U33)*D32*C$2/12)))</f>
        <v>205399.45540789238</v>
      </c>
      <c r="J33" s="57">
        <f t="shared" si="6"/>
        <v>1171700.55535491</v>
      </c>
      <c r="K33" s="51">
        <f t="shared" si="7"/>
        <v>1699992.0351271816</v>
      </c>
      <c r="L33" s="49">
        <f>IF(AND(C$7="Y",$B33&lt;=$C$4),0,IF(AND(C$7="N",C$4&gt;0,B33&lt;=C$4),0,U33*D32))</f>
        <v>211163.27565727549</v>
      </c>
      <c r="M33" s="49">
        <f t="shared" si="21"/>
        <v>-245202.07533912742</v>
      </c>
      <c r="N33" s="49">
        <f t="shared" si="22"/>
        <v>24520.207533912737</v>
      </c>
      <c r="O33" s="48">
        <f t="shared" si="8"/>
        <v>1905391.4905350739</v>
      </c>
      <c r="P33" s="38">
        <f>O33*(1/((1+P$9)^(B33/12)))</f>
        <v>1905391.4905350739</v>
      </c>
      <c r="Q33" s="53"/>
      <c r="R33" s="53">
        <f t="shared" si="9"/>
        <v>0.12</v>
      </c>
      <c r="S33" s="53">
        <f t="shared" si="10"/>
        <v>1.0596241035318976E-2</v>
      </c>
      <c r="T33" s="53">
        <f t="shared" si="11"/>
        <v>0.05</v>
      </c>
      <c r="U33" s="53">
        <f t="shared" si="13"/>
        <v>4.2653187775606449E-3</v>
      </c>
      <c r="V33" s="38">
        <f t="shared" si="14"/>
        <v>2871692.5904820915</v>
      </c>
      <c r="W33" s="49"/>
    </row>
    <row r="34" spans="1:23" x14ac:dyDescent="0.2">
      <c r="A34" s="62"/>
      <c r="B34" s="45">
        <f t="shared" si="1"/>
        <v>23</v>
      </c>
      <c r="C34" s="51">
        <f>IF(B34&lt;C$4,C$1,D33-L34+N34)</f>
        <v>47437533.625902124</v>
      </c>
      <c r="D34" s="47">
        <f t="shared" si="2"/>
        <v>45767459.990511753</v>
      </c>
      <c r="E34" s="48">
        <f t="shared" si="3"/>
        <v>0</v>
      </c>
      <c r="F34" s="50">
        <f t="shared" si="4"/>
        <v>0</v>
      </c>
      <c r="G34" s="50">
        <f t="shared" si="15"/>
        <v>0</v>
      </c>
      <c r="H34" s="51">
        <f t="shared" si="5"/>
        <v>1357500.9276678904</v>
      </c>
      <c r="I34" s="52">
        <f>IF(AND(C$7="Y",$B34&lt;=C$4),0,IF(AND(C$7="Y",$B34&gt;C$4),(1-U34)*C$2*D33/12,IF(AND($C$7="N",C$4&gt;0),(1-U34)*D33*C$2/12, (1-U34)*D33*C$2/12)))</f>
        <v>197557.88305600372</v>
      </c>
      <c r="J34" s="57">
        <f t="shared" si="6"/>
        <v>1159096.7877081707</v>
      </c>
      <c r="K34" s="51">
        <f t="shared" si="7"/>
        <v>1666742.1086183162</v>
      </c>
      <c r="L34" s="49">
        <f>IF(AND(C$7="Y",$B34&lt;=$C$4),0,IF(AND(C$7="N",C$4&gt;0,B34&lt;=C$4),0,U34*D33))</f>
        <v>203101.65689183102</v>
      </c>
      <c r="M34" s="49">
        <f t="shared" si="21"/>
        <v>-236416.92461237364</v>
      </c>
      <c r="N34" s="49">
        <f t="shared" si="22"/>
        <v>23641.692461237359</v>
      </c>
      <c r="O34" s="48">
        <f t="shared" si="8"/>
        <v>1864299.9916743198</v>
      </c>
      <c r="P34" s="38">
        <f>O34*(1/((1+P$9)^(B34/12)))</f>
        <v>1864299.9916743198</v>
      </c>
      <c r="Q34" s="53"/>
      <c r="R34" s="53">
        <f t="shared" si="9"/>
        <v>0.12</v>
      </c>
      <c r="S34" s="53">
        <f t="shared" si="10"/>
        <v>1.0596241035318976E-2</v>
      </c>
      <c r="T34" s="53">
        <f t="shared" si="11"/>
        <v>0.05</v>
      </c>
      <c r="U34" s="53">
        <f t="shared" si="13"/>
        <v>4.2653187775606449E-3</v>
      </c>
      <c r="V34" s="38">
        <f t="shared" si="14"/>
        <v>2825838.896326487</v>
      </c>
    </row>
    <row r="35" spans="1:23" x14ac:dyDescent="0.2">
      <c r="A35" s="62"/>
      <c r="B35" s="45">
        <f t="shared" si="1"/>
        <v>24</v>
      </c>
      <c r="C35" s="51">
        <f>IF(B35&lt;C$4,C$1,D34-L35+N35)</f>
        <v>45595028.947655462</v>
      </c>
      <c r="D35" s="47">
        <f t="shared" si="2"/>
        <v>43957696.239374004</v>
      </c>
      <c r="E35" s="48">
        <f t="shared" si="3"/>
        <v>0</v>
      </c>
      <c r="F35" s="50">
        <f t="shared" si="4"/>
        <v>0</v>
      </c>
      <c r="G35" s="50">
        <f t="shared" si="15"/>
        <v>0</v>
      </c>
      <c r="H35" s="51">
        <f t="shared" si="5"/>
        <v>1337326.3464353147</v>
      </c>
      <c r="I35" s="52">
        <f>IF(AND(C$7="Y",$B35&lt;=C$4),0,IF(AND(C$7="Y",$B35&gt;C$4),(1-U35)*C$2*D34/12,IF(AND($C$7="N",C$4&gt;0),(1-U35)*D34*C$2/12, (1-U35)*D34*C$2/12)))</f>
        <v>189884.3632667207</v>
      </c>
      <c r="J35" s="57">
        <f t="shared" si="6"/>
        <v>1146628.5964748492</v>
      </c>
      <c r="K35" s="51">
        <f t="shared" si="7"/>
        <v>1634072.2252888416</v>
      </c>
      <c r="L35" s="49">
        <f>IF(AND(C$7="Y",$B35&lt;=$C$4),0,IF(AND(C$7="N",C$4&gt;0,B35&lt;=C$4),0,U35*D34))</f>
        <v>195212.80649878533</v>
      </c>
      <c r="M35" s="49">
        <f t="shared" si="21"/>
        <v>-227817.63642495908</v>
      </c>
      <c r="N35" s="49">
        <f t="shared" si="22"/>
        <v>22781.763642495902</v>
      </c>
      <c r="O35" s="48">
        <f t="shared" si="8"/>
        <v>1823956.5885555623</v>
      </c>
      <c r="P35" s="38">
        <f>O35*(1/((1+P$9)^(B35/12)))</f>
        <v>1823956.5885555623</v>
      </c>
      <c r="Q35" s="53"/>
      <c r="R35" s="53">
        <f t="shared" si="9"/>
        <v>0.12</v>
      </c>
      <c r="S35" s="53">
        <f t="shared" si="10"/>
        <v>1.0596241035318976E-2</v>
      </c>
      <c r="T35" s="53">
        <f t="shared" si="11"/>
        <v>0.05</v>
      </c>
      <c r="U35" s="53">
        <f t="shared" si="13"/>
        <v>4.2653187775606449E-3</v>
      </c>
      <c r="V35" s="38">
        <f t="shared" si="14"/>
        <v>2780700.8217636906</v>
      </c>
    </row>
    <row r="36" spans="1:23" s="59" customFormat="1" x14ac:dyDescent="0.2">
      <c r="A36" s="62"/>
      <c r="B36" s="54">
        <f t="shared" si="1"/>
        <v>25</v>
      </c>
      <c r="C36" s="51">
        <f>IF(B36&lt;C$4,C$1,D35-L36+N36)</f>
        <v>43792142.737556055</v>
      </c>
      <c r="D36" s="47">
        <f t="shared" si="2"/>
        <v>42186979.170094997</v>
      </c>
      <c r="E36" s="48">
        <f t="shared" si="3"/>
        <v>0</v>
      </c>
      <c r="F36" s="50">
        <f t="shared" si="4"/>
        <v>0</v>
      </c>
      <c r="G36" s="56">
        <f t="shared" si="15"/>
        <v>0</v>
      </c>
      <c r="H36" s="51">
        <f t="shared" si="5"/>
        <v>1317451.5909484262</v>
      </c>
      <c r="I36" s="52">
        <f>IF(AND(C$7="Y",$B36&lt;=C$4),0,IF(AND(C$7="Y",$B36&gt;C$4),(1-U36)*C$2*D35/12,IF(AND($C$7="N",C$4&gt;0),(1-U36)*D35*C$2/12, (1-U36)*D35*C$2/12)))</f>
        <v>182375.84438410788</v>
      </c>
      <c r="J36" s="57">
        <f t="shared" si="6"/>
        <v>1134294.5232843678</v>
      </c>
      <c r="K36" s="51">
        <f t="shared" si="7"/>
        <v>1601972.8408097096</v>
      </c>
      <c r="L36" s="55">
        <f>IF(AND(C$7="Y",$B36&lt;=$C$4),0,IF(AND(C$7="N",C$4&gt;0,B36&lt;=C$4),0,U36*D35))</f>
        <v>187493.58718810888</v>
      </c>
      <c r="M36" s="55">
        <f t="shared" si="21"/>
        <v>-219400.85370160037</v>
      </c>
      <c r="N36" s="55">
        <f t="shared" si="22"/>
        <v>21940.085370160032</v>
      </c>
      <c r="O36" s="48">
        <f t="shared" si="8"/>
        <v>1784348.6851938176</v>
      </c>
      <c r="P36" s="58">
        <f>O36*(1/((1+P$9)^(B36/12)))</f>
        <v>1784348.6851938176</v>
      </c>
      <c r="Q36" s="53"/>
      <c r="R36" s="53">
        <f t="shared" si="9"/>
        <v>0.12</v>
      </c>
      <c r="S36" s="53">
        <f t="shared" si="10"/>
        <v>1.0596241035318976E-2</v>
      </c>
      <c r="T36" s="53">
        <f t="shared" si="11"/>
        <v>0.05</v>
      </c>
      <c r="U36" s="53">
        <f t="shared" si="13"/>
        <v>4.2653187775606449E-3</v>
      </c>
      <c r="V36" s="38">
        <f t="shared" si="14"/>
        <v>2736267.3640940776</v>
      </c>
    </row>
    <row r="37" spans="1:23" x14ac:dyDescent="0.2">
      <c r="A37" s="62"/>
      <c r="B37" s="45">
        <f t="shared" si="1"/>
        <v>26</v>
      </c>
      <c r="C37" s="51">
        <f>IF(B37&lt;C$4,C$1,D36-L37+N37)</f>
        <v>42028154.583237961</v>
      </c>
      <c r="D37" s="47">
        <f t="shared" si="2"/>
        <v>40454597.784479894</v>
      </c>
      <c r="E37" s="48">
        <f t="shared" si="3"/>
        <v>0</v>
      </c>
      <c r="F37" s="50">
        <f t="shared" si="4"/>
        <v>0</v>
      </c>
      <c r="G37" s="50">
        <f t="shared" si="15"/>
        <v>0</v>
      </c>
      <c r="H37" s="51">
        <f t="shared" si="5"/>
        <v>1297872.2053289725</v>
      </c>
      <c r="I37" s="52">
        <f>IF(AND(C$7="Y",$B37&lt;=C$4),0,IF(AND(C$7="Y",$B37&gt;C$4),(1-U37)*C$2*D36/12,IF(AND($C$7="N",C$4&gt;0),(1-U37)*D36*C$2/12, (1-U37)*D36*C$2/12)))</f>
        <v>175029.32606530096</v>
      </c>
      <c r="J37" s="57">
        <f t="shared" si="6"/>
        <v>1122093.1254535767</v>
      </c>
      <c r="K37" s="51">
        <f t="shared" si="7"/>
        <v>1570434.5626346134</v>
      </c>
      <c r="L37" s="49">
        <f>IF(AND(C$7="Y",$B37&lt;=$C$4),0,IF(AND(C$7="N",C$4&gt;0,B37&lt;=C$4),0,U37*D36))</f>
        <v>179940.91442276599</v>
      </c>
      <c r="M37" s="49">
        <f t="shared" si="21"/>
        <v>-211163.27565727549</v>
      </c>
      <c r="N37" s="49">
        <f t="shared" si="22"/>
        <v>21116.327565727544</v>
      </c>
      <c r="O37" s="48">
        <f t="shared" si="8"/>
        <v>1745463.8886999143</v>
      </c>
      <c r="P37" s="38">
        <f>O37*(1/((1+P$9)^(B37/12)))</f>
        <v>1745463.8886999143</v>
      </c>
      <c r="Q37" s="53"/>
      <c r="R37" s="53">
        <f t="shared" si="9"/>
        <v>0.12</v>
      </c>
      <c r="S37" s="53">
        <f t="shared" si="10"/>
        <v>1.0596241035318976E-2</v>
      </c>
      <c r="T37" s="53">
        <f t="shared" si="11"/>
        <v>0.05</v>
      </c>
      <c r="U37" s="53">
        <f t="shared" si="13"/>
        <v>4.2653187775606449E-3</v>
      </c>
      <c r="V37" s="38">
        <f t="shared" si="14"/>
        <v>2692527.6880881898</v>
      </c>
    </row>
    <row r="38" spans="1:23" x14ac:dyDescent="0.2">
      <c r="A38" s="62"/>
      <c r="B38" s="45">
        <f t="shared" si="1"/>
        <v>27</v>
      </c>
      <c r="C38" s="51">
        <f>IF(B38&lt;C$4,C$1,D37-L38+N38)</f>
        <v>40302356.194600277</v>
      </c>
      <c r="D38" s="47">
        <f t="shared" si="2"/>
        <v>38759853.056830645</v>
      </c>
      <c r="E38" s="48">
        <f t="shared" si="3"/>
        <v>0</v>
      </c>
      <c r="F38" s="50">
        <f t="shared" si="4"/>
        <v>0</v>
      </c>
      <c r="G38" s="50">
        <f t="shared" si="15"/>
        <v>0</v>
      </c>
      <c r="H38" s="51">
        <f t="shared" si="5"/>
        <v>1278583.7999200011</v>
      </c>
      <c r="I38" s="52">
        <f>IF(AND(C$7="Y",$B38&lt;=C$4),0,IF(AND(C$7="Y",$B38&gt;C$4),(1-U38)*C$2*D37/12,IF(AND($C$7="N",C$4&gt;0),(1-U38)*D37*C$2/12, (1-U38)*D37*C$2/12)))</f>
        <v>167841.85845379622</v>
      </c>
      <c r="J38" s="57">
        <f t="shared" si="6"/>
        <v>1110022.9758180014</v>
      </c>
      <c r="K38" s="51">
        <f t="shared" si="7"/>
        <v>1539448.1476373242</v>
      </c>
      <c r="L38" s="49">
        <f>IF(AND(C$7="Y",$B38&lt;=$C$4),0,IF(AND(C$7="N",C$4&gt;0,B38&lt;=C$4),0,U38*D37))</f>
        <v>172551.75556880535</v>
      </c>
      <c r="M38" s="49">
        <f t="shared" si="21"/>
        <v>-203101.65689183102</v>
      </c>
      <c r="N38" s="49">
        <f t="shared" si="22"/>
        <v>20310.165689183097</v>
      </c>
      <c r="O38" s="48">
        <f t="shared" si="8"/>
        <v>1707290.0060911204</v>
      </c>
      <c r="P38" s="38">
        <f>O38*(1/((1+P$9)^(B38/12)))</f>
        <v>1707290.0060911204</v>
      </c>
      <c r="Q38" s="53"/>
      <c r="R38" s="53">
        <f t="shared" si="9"/>
        <v>0.12</v>
      </c>
      <c r="S38" s="53">
        <f t="shared" si="10"/>
        <v>1.0596241035318976E-2</v>
      </c>
      <c r="T38" s="53">
        <f t="shared" si="11"/>
        <v>0.05</v>
      </c>
      <c r="U38" s="53">
        <f t="shared" si="13"/>
        <v>4.2653187775606449E-3</v>
      </c>
      <c r="V38" s="38">
        <f t="shared" si="14"/>
        <v>2649471.1234553256</v>
      </c>
    </row>
    <row r="39" spans="1:23" x14ac:dyDescent="0.2">
      <c r="A39" s="62"/>
      <c r="B39" s="45">
        <f t="shared" si="1"/>
        <v>28</v>
      </c>
      <c r="C39" s="51">
        <f>IF(B39&lt;C$4,C$1,D38-L39+N39)</f>
        <v>38614051.20842173</v>
      </c>
      <c r="D39" s="47">
        <f t="shared" si="2"/>
        <v>37102057.74089241</v>
      </c>
      <c r="E39" s="48">
        <f t="shared" si="3"/>
        <v>0</v>
      </c>
      <c r="F39" s="50">
        <f t="shared" si="4"/>
        <v>0</v>
      </c>
      <c r="G39" s="50">
        <f t="shared" si="15"/>
        <v>0</v>
      </c>
      <c r="H39" s="51">
        <f t="shared" si="5"/>
        <v>1259582.050301712</v>
      </c>
      <c r="I39" s="52">
        <f>IF(AND(C$7="Y",$B39&lt;=C$4),0,IF(AND(C$7="Y",$B39&gt;C$4),(1-U39)*C$2*D38/12,IF(AND($C$7="N",C$4&gt;0),(1-U39)*D38*C$2/12, (1-U39)*D38*C$2/12)))</f>
        <v>160810.54136571605</v>
      </c>
      <c r="J39" s="57">
        <f t="shared" si="6"/>
        <v>1098082.6625649175</v>
      </c>
      <c r="K39" s="51">
        <f t="shared" si="7"/>
        <v>1509004.4997853222</v>
      </c>
      <c r="L39" s="49">
        <f>IF(AND(C$7="Y",$B39&lt;=$C$4),0,IF(AND(C$7="N",C$4&gt;0,B39&lt;=C$4),0,U39*D38))</f>
        <v>165323.12905879112</v>
      </c>
      <c r="M39" s="49">
        <f t="shared" si="21"/>
        <v>-195212.80649878533</v>
      </c>
      <c r="N39" s="49">
        <f t="shared" si="22"/>
        <v>19521.280649878528</v>
      </c>
      <c r="O39" s="48">
        <f t="shared" si="8"/>
        <v>1669815.0411510384</v>
      </c>
      <c r="P39" s="38">
        <f>O39*(1/((1+P$9)^(B39/12)))</f>
        <v>1669815.0411510384</v>
      </c>
      <c r="Q39" s="53"/>
      <c r="R39" s="53">
        <f t="shared" si="9"/>
        <v>0.12</v>
      </c>
      <c r="S39" s="53">
        <f t="shared" si="10"/>
        <v>1.0596241035318976E-2</v>
      </c>
      <c r="T39" s="53">
        <f t="shared" si="11"/>
        <v>0.05</v>
      </c>
      <c r="U39" s="53">
        <f t="shared" si="13"/>
        <v>4.2653187775606449E-3</v>
      </c>
      <c r="V39" s="38">
        <f t="shared" si="14"/>
        <v>2607087.1623502397</v>
      </c>
    </row>
    <row r="40" spans="1:23" x14ac:dyDescent="0.2">
      <c r="A40" s="62"/>
      <c r="B40" s="45">
        <f t="shared" si="1"/>
        <v>29</v>
      </c>
      <c r="C40" s="51">
        <f>IF(B40&lt;C$4,C$1,D39-L40+N40)</f>
        <v>36962554.996042855</v>
      </c>
      <c r="D40" s="47">
        <f t="shared" si="2"/>
        <v>35480536.179831736</v>
      </c>
      <c r="E40" s="48">
        <f t="shared" si="3"/>
        <v>0</v>
      </c>
      <c r="F40" s="50">
        <f t="shared" si="4"/>
        <v>0</v>
      </c>
      <c r="G40" s="50">
        <f t="shared" si="15"/>
        <v>0</v>
      </c>
      <c r="H40" s="51">
        <f t="shared" si="5"/>
        <v>1240862.6963219228</v>
      </c>
      <c r="I40" s="52">
        <f>IF(AND(C$7="Y",$B40&lt;=C$4),0,IF(AND(C$7="Y",$B40&gt;C$4),(1-U40)*C$2*D39/12,IF(AND($C$7="N",C$4&gt;0),(1-U40)*D39*C$2/12, (1-U40)*D39*C$2/12)))</f>
        <v>153932.52348885019</v>
      </c>
      <c r="J40" s="57">
        <f t="shared" si="6"/>
        <v>1086270.7890682046</v>
      </c>
      <c r="K40" s="51">
        <f t="shared" si="7"/>
        <v>1479094.6678491435</v>
      </c>
      <c r="L40" s="49">
        <f>IF(AND(C$7="Y",$B40&lt;=$C$4),0,IF(AND(C$7="N",C$4&gt;0,B40&lt;=C$4),0,U40*D39))</f>
        <v>158252.10356836769</v>
      </c>
      <c r="M40" s="49">
        <f t="shared" si="21"/>
        <v>-187493.58718810888</v>
      </c>
      <c r="N40" s="49">
        <f t="shared" si="22"/>
        <v>18749.358718810883</v>
      </c>
      <c r="O40" s="48">
        <f t="shared" si="8"/>
        <v>1633027.1913379936</v>
      </c>
      <c r="P40" s="38">
        <f>O40*(1/((1+P$9)^(B40/12)))</f>
        <v>1633027.1913379936</v>
      </c>
      <c r="Q40" s="53"/>
      <c r="R40" s="53">
        <f t="shared" si="9"/>
        <v>0.12</v>
      </c>
      <c r="S40" s="53">
        <f t="shared" si="10"/>
        <v>1.0596241035318976E-2</v>
      </c>
      <c r="T40" s="53">
        <f t="shared" si="11"/>
        <v>0.05</v>
      </c>
      <c r="U40" s="53">
        <f t="shared" si="13"/>
        <v>4.2653187775606449E-3</v>
      </c>
      <c r="V40" s="38">
        <f t="shared" si="14"/>
        <v>2565365.4569173483</v>
      </c>
    </row>
    <row r="41" spans="1:23" x14ac:dyDescent="0.2">
      <c r="A41" s="62"/>
      <c r="B41" s="54">
        <f t="shared" si="1"/>
        <v>30</v>
      </c>
      <c r="C41" s="51">
        <f>IF(B41&lt;C$4,C$1,D40-L41+N41)</f>
        <v>35347194.474068262</v>
      </c>
      <c r="D41" s="47">
        <f t="shared" si="2"/>
        <v>33894624.119199723</v>
      </c>
      <c r="E41" s="48">
        <f t="shared" si="3"/>
        <v>0</v>
      </c>
      <c r="F41" s="50">
        <f t="shared" si="4"/>
        <v>0</v>
      </c>
      <c r="G41" s="50">
        <f t="shared" si="15"/>
        <v>0</v>
      </c>
      <c r="H41" s="51">
        <f t="shared" si="5"/>
        <v>1222421.5411409638</v>
      </c>
      <c r="I41" s="52">
        <f>IF(AND(C$7="Y",$B41&lt;=C$4),0,IF(AND(C$7="Y",$B41&gt;C$4),(1-U41)*C$2*D40/12,IF(AND($C$7="N",C$4&gt;0),(1-U41)*D40*C$2/12, (1-U41)*D40*C$2/12)))</f>
        <v>147205.00159427492</v>
      </c>
      <c r="J41" s="57">
        <f t="shared" si="6"/>
        <v>1074585.9737249981</v>
      </c>
      <c r="K41" s="51">
        <f t="shared" si="7"/>
        <v>1449709.8431468322</v>
      </c>
      <c r="L41" s="49">
        <f>IF(AND(C$7="Y",$B41&lt;=$C$4),0,IF(AND(C$7="N",C$4&gt;0,B41&lt;=C$4),0,U41*D40))</f>
        <v>151335.79720575613</v>
      </c>
      <c r="M41" s="49">
        <f>IFERROR(L37*-1,0)</f>
        <v>-179940.91442276599</v>
      </c>
      <c r="N41" s="49">
        <f t="shared" si="22"/>
        <v>17994.091442276596</v>
      </c>
      <c r="O41" s="48">
        <f t="shared" si="8"/>
        <v>1596914.8447411072</v>
      </c>
      <c r="P41" s="38">
        <f>O41*(1/((1+P$9)^(B41/12)))</f>
        <v>1596914.8447411072</v>
      </c>
      <c r="Q41" s="53"/>
      <c r="R41" s="53">
        <f t="shared" si="9"/>
        <v>0.12</v>
      </c>
      <c r="S41" s="53">
        <f t="shared" si="10"/>
        <v>1.0596241035318976E-2</v>
      </c>
      <c r="T41" s="53">
        <f t="shared" si="11"/>
        <v>0.05</v>
      </c>
      <c r="U41" s="53">
        <f t="shared" si="13"/>
        <v>4.2653187775606449E-3</v>
      </c>
      <c r="V41" s="38">
        <f t="shared" si="14"/>
        <v>2524295.8168718303</v>
      </c>
    </row>
    <row r="42" spans="1:23" x14ac:dyDescent="0.2">
      <c r="A42" s="62"/>
      <c r="B42" s="54">
        <f t="shared" si="1"/>
        <v>31</v>
      </c>
      <c r="C42" s="51">
        <f>IF(B42&lt;C$4,C$1,D41-L42+N42)</f>
        <v>33767307.918042623</v>
      </c>
      <c r="D42" s="47">
        <f t="shared" si="2"/>
        <v>32343668.522833996</v>
      </c>
      <c r="E42" s="48">
        <f t="shared" si="3"/>
        <v>0</v>
      </c>
      <c r="F42" s="50">
        <f t="shared" si="4"/>
        <v>0</v>
      </c>
      <c r="G42" s="50">
        <f t="shared" si="15"/>
        <v>0</v>
      </c>
      <c r="H42" s="51">
        <f t="shared" si="5"/>
        <v>1204254.4502907444</v>
      </c>
      <c r="I42" s="52">
        <f>IF(AND(C$7="Y",$B42&lt;=C$4),0,IF(AND(C$7="Y",$B42&gt;C$4),(1-U42)*C$2*D41/12,IF(AND($C$7="N",C$4&gt;0),(1-U42)*D41*C$2/12, (1-U42)*D41*C$2/12)))</f>
        <v>140625.21976035726</v>
      </c>
      <c r="J42" s="57">
        <f t="shared" si="6"/>
        <v>1063026.8497940791</v>
      </c>
      <c r="K42" s="51">
        <f t="shared" si="7"/>
        <v>1420841.3573231432</v>
      </c>
      <c r="L42" s="49">
        <f>IF(AND(C$7="Y",$B42&lt;=$C$4),0,IF(AND(C$7="N",C$4&gt;0,B42&lt;=C$4),0,U42*D41))</f>
        <v>144571.37671398252</v>
      </c>
      <c r="M42" s="49">
        <f t="shared" ref="M42:M105" si="23">IFERROR(L38*-1,0)</f>
        <v>-172551.75556880535</v>
      </c>
      <c r="N42" s="49">
        <f t="shared" si="22"/>
        <v>17255.175556880531</v>
      </c>
      <c r="O42" s="48">
        <f t="shared" si="8"/>
        <v>1561466.5770835003</v>
      </c>
      <c r="P42" s="38">
        <f>O42*(1/((1+P$9)^(B42/12)))</f>
        <v>1561466.5770835003</v>
      </c>
      <c r="Q42" s="53"/>
      <c r="R42" s="53">
        <f t="shared" si="9"/>
        <v>0.12</v>
      </c>
      <c r="S42" s="53">
        <f t="shared" si="10"/>
        <v>1.0596241035318976E-2</v>
      </c>
      <c r="T42" s="53">
        <f t="shared" si="11"/>
        <v>0.05</v>
      </c>
      <c r="U42" s="53">
        <f t="shared" si="13"/>
        <v>4.2653187775606449E-3</v>
      </c>
      <c r="V42" s="38">
        <f t="shared" si="14"/>
        <v>2483868.2071172222</v>
      </c>
    </row>
    <row r="43" spans="1:23" x14ac:dyDescent="0.2">
      <c r="A43" s="62"/>
      <c r="B43" s="45">
        <f t="shared" si="1"/>
        <v>32</v>
      </c>
      <c r="C43" s="51">
        <f>IF(B43&lt;C$4,C$1,D42-L43+N43)</f>
        <v>32222244.779054232</v>
      </c>
      <c r="D43" s="47">
        <f t="shared" si="2"/>
        <v>30827027.391654186</v>
      </c>
      <c r="E43" s="48">
        <f t="shared" si="3"/>
        <v>0</v>
      </c>
      <c r="F43" s="50">
        <f t="shared" si="4"/>
        <v>0</v>
      </c>
      <c r="G43" s="50">
        <f t="shared" si="15"/>
        <v>0</v>
      </c>
      <c r="H43" s="51">
        <f t="shared" si="5"/>
        <v>1186357.3507478219</v>
      </c>
      <c r="I43" s="52">
        <f>IF(AND(C$7="Y",$B43&lt;=C$4),0,IF(AND(C$7="Y",$B43&gt;C$4),(1-U43)*C$2*D42/12,IF(AND($C$7="N",C$4&gt;0),(1-U43)*D42*C$2/12, (1-U43)*D42*C$2/12)))</f>
        <v>134190.46860895149</v>
      </c>
      <c r="J43" s="57">
        <f t="shared" si="6"/>
        <v>1051592.0652360136</v>
      </c>
      <c r="K43" s="51">
        <f t="shared" si="7"/>
        <v>1392480.6801627327</v>
      </c>
      <c r="L43" s="49">
        <f>IF(AND(C$7="Y",$B43&lt;=$C$4),0,IF(AND(C$7="N",C$4&gt;0,B43&lt;=C$4),0,U43*D42))</f>
        <v>137956.056685641</v>
      </c>
      <c r="M43" s="49">
        <f t="shared" si="23"/>
        <v>-165323.12905879112</v>
      </c>
      <c r="N43" s="49">
        <f t="shared" si="22"/>
        <v>16532.312905879109</v>
      </c>
      <c r="O43" s="48">
        <f t="shared" si="8"/>
        <v>1526671.1487716842</v>
      </c>
      <c r="P43" s="38">
        <f>O43*(1/((1+P$9)^(B43/12)))</f>
        <v>1526671.1487716842</v>
      </c>
      <c r="Q43" s="53"/>
      <c r="R43" s="53">
        <f t="shared" si="9"/>
        <v>0.12</v>
      </c>
      <c r="S43" s="53">
        <f t="shared" si="10"/>
        <v>1.0596241035318976E-2</v>
      </c>
      <c r="T43" s="53">
        <f t="shared" si="11"/>
        <v>0.05</v>
      </c>
      <c r="U43" s="53">
        <f t="shared" si="13"/>
        <v>4.2653187775606449E-3</v>
      </c>
      <c r="V43" s="38">
        <f t="shared" si="14"/>
        <v>2444072.7453987463</v>
      </c>
    </row>
    <row r="44" spans="1:23" x14ac:dyDescent="0.2">
      <c r="A44" s="62"/>
      <c r="B44" s="45">
        <f t="shared" si="1"/>
        <v>33</v>
      </c>
      <c r="C44" s="51">
        <f>IF(B44&lt;C$4,C$1,D43-L44+N44)</f>
        <v>30711365.503221024</v>
      </c>
      <c r="D44" s="47">
        <f t="shared" si="2"/>
        <v>29344069.585306179</v>
      </c>
      <c r="E44" s="48">
        <f t="shared" si="3"/>
        <v>0</v>
      </c>
      <c r="F44" s="50">
        <f t="shared" si="4"/>
        <v>0</v>
      </c>
      <c r="G44" s="50">
        <f t="shared" si="15"/>
        <v>0</v>
      </c>
      <c r="H44" s="51">
        <f t="shared" si="5"/>
        <v>1168726.2300202341</v>
      </c>
      <c r="I44" s="52">
        <f>IF(AND(C$7="Y",$B44&lt;=C$4),0,IF(AND(C$7="Y",$B44&gt;C$4),(1-U44)*C$2*D43/12,IF(AND($C$7="N",C$4&gt;0),(1-U44)*D43*C$2/12, (1-U44)*D43*C$2/12)))</f>
        <v>127898.0845536008</v>
      </c>
      <c r="J44" s="57">
        <f t="shared" si="6"/>
        <v>1040280.2825550084</v>
      </c>
      <c r="K44" s="51">
        <f t="shared" si="7"/>
        <v>1364619.4174370081</v>
      </c>
      <c r="L44" s="49">
        <f>IF(AND(C$7="Y",$B44&lt;=$C$4),0,IF(AND(C$7="N",C$4&gt;0,B44&lt;=C$4),0,U44*D43))</f>
        <v>131487.09878999894</v>
      </c>
      <c r="M44" s="49">
        <f t="shared" si="23"/>
        <v>-158252.10356836769</v>
      </c>
      <c r="N44" s="49">
        <f t="shared" si="22"/>
        <v>15825.210356836766</v>
      </c>
      <c r="O44" s="48">
        <f t="shared" si="8"/>
        <v>1492517.5019906089</v>
      </c>
      <c r="P44" s="38">
        <f>O44*(1/((1+P$9)^(B44/12)))</f>
        <v>1492517.5019906089</v>
      </c>
      <c r="Q44" s="53"/>
      <c r="R44" s="53">
        <f t="shared" si="9"/>
        <v>0.12</v>
      </c>
      <c r="S44" s="53">
        <f t="shared" si="10"/>
        <v>1.0596241035318976E-2</v>
      </c>
      <c r="T44" s="53">
        <f t="shared" si="11"/>
        <v>0.05</v>
      </c>
      <c r="U44" s="53">
        <f t="shared" si="13"/>
        <v>4.2653187775606449E-3</v>
      </c>
      <c r="V44" s="38">
        <f t="shared" si="14"/>
        <v>2404899.6999920164</v>
      </c>
    </row>
    <row r="45" spans="1:23" x14ac:dyDescent="0.2">
      <c r="A45" s="62"/>
      <c r="B45" s="45">
        <f t="shared" si="1"/>
        <v>34</v>
      </c>
      <c r="C45" s="51">
        <f>IF(B45&lt;C$4,C$1,D44-L45+N45)</f>
        <v>29234041.354014501</v>
      </c>
      <c r="D45" s="47">
        <f t="shared" si="2"/>
        <v>27894174.646611128</v>
      </c>
      <c r="E45" s="48">
        <f t="shared" si="3"/>
        <v>0</v>
      </c>
      <c r="F45" s="50">
        <f t="shared" si="4"/>
        <v>0</v>
      </c>
      <c r="G45" s="50">
        <f t="shared" si="15"/>
        <v>0</v>
      </c>
      <c r="H45" s="51">
        <f t="shared" si="5"/>
        <v>1151357.1352479062</v>
      </c>
      <c r="I45" s="52">
        <f>IF(AND(C$7="Y",$B45&lt;=C$4),0,IF(AND(C$7="Y",$B45&gt;C$4),(1-U45)*C$2*D44/12,IF(AND($C$7="N",C$4&gt;0),(1-U45)*D44*C$2/12, (1-U45)*D44*C$2/12)))</f>
        <v>121745.44905955803</v>
      </c>
      <c r="J45" s="57">
        <f t="shared" si="6"/>
        <v>1029090.1786424639</v>
      </c>
      <c r="K45" s="51">
        <f t="shared" si="7"/>
        <v>1337249.3087840234</v>
      </c>
      <c r="L45" s="49">
        <f>IF(AND(C$7="Y",$B45&lt;=$C$4),0,IF(AND(C$7="N",C$4&gt;0,B45&lt;=C$4),0,U45*D44))</f>
        <v>125161.81101225266</v>
      </c>
      <c r="M45" s="49">
        <f t="shared" si="23"/>
        <v>-151335.79720575613</v>
      </c>
      <c r="N45" s="49">
        <f t="shared" si="22"/>
        <v>15133.57972057561</v>
      </c>
      <c r="O45" s="48">
        <f t="shared" si="8"/>
        <v>1458994.7578435815</v>
      </c>
      <c r="P45" s="38">
        <f>O45*(1/((1+P$9)^(B45/12)))</f>
        <v>1458994.7578435815</v>
      </c>
      <c r="Q45" s="53"/>
      <c r="R45" s="53">
        <f t="shared" si="9"/>
        <v>0.12</v>
      </c>
      <c r="S45" s="53">
        <f t="shared" si="10"/>
        <v>1.0596241035318976E-2</v>
      </c>
      <c r="T45" s="53">
        <f t="shared" si="11"/>
        <v>0.05</v>
      </c>
      <c r="U45" s="53">
        <f t="shared" si="13"/>
        <v>4.2653187775606449E-3</v>
      </c>
      <c r="V45" s="38">
        <f t="shared" si="14"/>
        <v>2366339.4874264873</v>
      </c>
    </row>
    <row r="46" spans="1:23" x14ac:dyDescent="0.2">
      <c r="A46" s="62"/>
      <c r="B46" s="45">
        <f t="shared" si="1"/>
        <v>35</v>
      </c>
      <c r="C46" s="51">
        <f>IF(B46&lt;C$4,C$1,D45-L46+N46)</f>
        <v>27789654.237377781</v>
      </c>
      <c r="D46" s="47">
        <f t="shared" si="2"/>
        <v>26476732.628775872</v>
      </c>
      <c r="E46" s="48">
        <f t="shared" si="3"/>
        <v>0</v>
      </c>
      <c r="F46" s="50">
        <f t="shared" si="4"/>
        <v>0</v>
      </c>
      <c r="G46" s="50">
        <f t="shared" si="15"/>
        <v>0</v>
      </c>
      <c r="H46" s="51">
        <f t="shared" si="5"/>
        <v>1134246.1723164336</v>
      </c>
      <c r="I46" s="52">
        <f>IF(AND(C$7="Y",$B46&lt;=C$4),0,IF(AND(C$7="Y",$B46&gt;C$4),(1-U46)*C$2*D45/12,IF(AND($C$7="N",C$4&gt;0),(1-U46)*D45*C$2/12, (1-U46)*D45*C$2/12)))</f>
        <v>115729.98791544326</v>
      </c>
      <c r="J46" s="57">
        <f t="shared" si="6"/>
        <v>1018020.4446222206</v>
      </c>
      <c r="K46" s="51">
        <f t="shared" si="7"/>
        <v>1310362.2256209839</v>
      </c>
      <c r="L46" s="49">
        <f>IF(AND(C$7="Y",$B46&lt;=$C$4),0,IF(AND(C$7="N",C$4&gt;0,B46&lt;=C$4),0,U46*D45))</f>
        <v>118977.54690474652</v>
      </c>
      <c r="M46" s="49">
        <f t="shared" si="23"/>
        <v>-144571.37671398252</v>
      </c>
      <c r="N46" s="49">
        <f t="shared" si="22"/>
        <v>14457.137671398248</v>
      </c>
      <c r="O46" s="48">
        <f t="shared" si="8"/>
        <v>1426092.2135364271</v>
      </c>
      <c r="P46" s="38">
        <f>O46*(1/((1+P$9)^(B46/12)))</f>
        <v>1426092.2135364271</v>
      </c>
      <c r="Q46" s="53"/>
      <c r="R46" s="53">
        <f t="shared" si="9"/>
        <v>0.12</v>
      </c>
      <c r="S46" s="53">
        <f t="shared" si="10"/>
        <v>1.0596241035318976E-2</v>
      </c>
      <c r="T46" s="53">
        <f t="shared" si="11"/>
        <v>0.05</v>
      </c>
      <c r="U46" s="53">
        <f t="shared" si="13"/>
        <v>4.2653187775606449E-3</v>
      </c>
      <c r="V46" s="38">
        <f t="shared" si="14"/>
        <v>2328382.6702432046</v>
      </c>
    </row>
    <row r="47" spans="1:23" x14ac:dyDescent="0.2">
      <c r="A47" s="62"/>
      <c r="B47" s="45">
        <f t="shared" si="1"/>
        <v>36</v>
      </c>
      <c r="C47" s="51">
        <f>IF(B47&lt;C$4,C$1,D46-L47+N47)</f>
        <v>26377596.529594466</v>
      </c>
      <c r="D47" s="47">
        <f t="shared" si="2"/>
        <v>25091143.925322127</v>
      </c>
      <c r="E47" s="48">
        <f t="shared" si="3"/>
        <v>0</v>
      </c>
      <c r="F47" s="50">
        <f t="shared" si="4"/>
        <v>0</v>
      </c>
      <c r="G47" s="50">
        <f t="shared" si="15"/>
        <v>0</v>
      </c>
      <c r="H47" s="51">
        <f t="shared" si="5"/>
        <v>1117389.5049840221</v>
      </c>
      <c r="I47" s="52">
        <f>IF(AND(C$7="Y",$B47&lt;=C$4),0,IF(AND(C$7="Y",$B47&gt;C$4),(1-U47)*C$2*D46/12,IF(AND($C$7="N",C$4&gt;0),(1-U47)*D46*C$2/12, (1-U47)*D46*C$2/12)))</f>
        <v>109849.17051635793</v>
      </c>
      <c r="J47" s="57">
        <f t="shared" si="6"/>
        <v>1007069.7856974559</v>
      </c>
      <c r="K47" s="51">
        <f t="shared" si="7"/>
        <v>1283950.1690887725</v>
      </c>
      <c r="L47" s="49">
        <f>IF(AND(C$7="Y",$B47&lt;=$C$4),0,IF(AND(C$7="N",C$4&gt;0,B47&lt;=C$4),0,U47*D46))</f>
        <v>112931.70484997034</v>
      </c>
      <c r="M47" s="49">
        <f t="shared" si="23"/>
        <v>-137956.056685641</v>
      </c>
      <c r="N47" s="49">
        <f t="shared" si="22"/>
        <v>13795.605668564098</v>
      </c>
      <c r="O47" s="48">
        <f t="shared" si="8"/>
        <v>1393799.3396051305</v>
      </c>
      <c r="P47" s="38">
        <f>O47*(1/((1+P$9)^(B47/12)))</f>
        <v>1393799.3396051305</v>
      </c>
      <c r="Q47" s="53"/>
      <c r="R47" s="53">
        <f t="shared" si="9"/>
        <v>0.12</v>
      </c>
      <c r="S47" s="53">
        <f t="shared" si="10"/>
        <v>1.0596241035318976E-2</v>
      </c>
      <c r="T47" s="53">
        <f t="shared" si="11"/>
        <v>0.05</v>
      </c>
      <c r="U47" s="53">
        <f t="shared" si="13"/>
        <v>4.2653187775606449E-3</v>
      </c>
      <c r="V47" s="38">
        <f t="shared" si="14"/>
        <v>2291019.9547862285</v>
      </c>
    </row>
    <row r="48" spans="1:23" x14ac:dyDescent="0.2">
      <c r="A48" s="62"/>
      <c r="B48" s="45">
        <f t="shared" si="1"/>
        <v>37</v>
      </c>
      <c r="C48" s="51">
        <f>IF(B48&lt;C$4,C$1,D47-L48+N48)</f>
        <v>24997270.907865971</v>
      </c>
      <c r="D48" s="47">
        <f t="shared" si="2"/>
        <v>23736819.102692366</v>
      </c>
      <c r="E48" s="48">
        <f t="shared" si="3"/>
        <v>0</v>
      </c>
      <c r="F48" s="50">
        <f t="shared" si="4"/>
        <v>0</v>
      </c>
      <c r="G48" s="50">
        <f t="shared" si="15"/>
        <v>0</v>
      </c>
      <c r="H48" s="51">
        <f t="shared" si="5"/>
        <v>1100783.3540214179</v>
      </c>
      <c r="I48" s="52">
        <f>IF(AND(C$7="Y",$B48&lt;=C$4),0,IF(AND(C$7="Y",$B48&gt;C$4),(1-U48)*C$2*D47/12,IF(AND($C$7="N",C$4&gt;0),(1-U48)*D47*C$2/12, (1-U48)*D47*C$2/12)))</f>
        <v>104100.50915827905</v>
      </c>
      <c r="J48" s="57">
        <f t="shared" si="6"/>
        <v>996236.92099924234</v>
      </c>
      <c r="K48" s="51">
        <f t="shared" si="7"/>
        <v>1258005.2680281231</v>
      </c>
      <c r="L48" s="49">
        <f>IF(AND(C$7="Y",$B48&lt;=$C$4),0,IF(AND(C$7="N",C$4&gt;0,B48&lt;=C$4),0,U48*D47))</f>
        <v>107021.72733515318</v>
      </c>
      <c r="M48" s="49">
        <f t="shared" si="23"/>
        <v>-131487.09878999894</v>
      </c>
      <c r="N48" s="49">
        <f t="shared" si="22"/>
        <v>13148.709878999891</v>
      </c>
      <c r="O48" s="48">
        <f t="shared" si="8"/>
        <v>1362105.7771864021</v>
      </c>
      <c r="P48" s="38">
        <f>O48*(1/((1+P$9)^(B48/12)))</f>
        <v>1362105.7771864021</v>
      </c>
      <c r="Q48" s="53"/>
      <c r="R48" s="53">
        <f t="shared" si="9"/>
        <v>0.12</v>
      </c>
      <c r="S48" s="53">
        <f t="shared" si="10"/>
        <v>1.0596241035318976E-2</v>
      </c>
      <c r="T48" s="53">
        <f t="shared" si="11"/>
        <v>0.05</v>
      </c>
      <c r="U48" s="53">
        <f t="shared" si="13"/>
        <v>4.2653187775606449E-3</v>
      </c>
      <c r="V48" s="38">
        <f t="shared" si="14"/>
        <v>2254242.1890273653</v>
      </c>
    </row>
    <row r="49" spans="1:22" x14ac:dyDescent="0.2">
      <c r="A49" s="62"/>
      <c r="B49" s="45">
        <f t="shared" si="1"/>
        <v>38</v>
      </c>
      <c r="C49" s="51">
        <f>IF(B49&lt;C$4,C$1,D48-L49+N49)</f>
        <v>23648090.183555316</v>
      </c>
      <c r="D49" s="47">
        <f t="shared" si="2"/>
        <v>22413178.735491049</v>
      </c>
      <c r="E49" s="48">
        <f t="shared" si="3"/>
        <v>0</v>
      </c>
      <c r="F49" s="50">
        <f t="shared" si="4"/>
        <v>0</v>
      </c>
      <c r="G49" s="50">
        <f t="shared" si="15"/>
        <v>0</v>
      </c>
      <c r="H49" s="51">
        <f t="shared" si="5"/>
        <v>1084423.9963646054</v>
      </c>
      <c r="I49" s="52">
        <f>IF(AND(C$7="Y",$B49&lt;=C$4),0,IF(AND(C$7="Y",$B49&gt;C$4),(1-U49)*C$2*D48/12,IF(AND($C$7="N",C$4&gt;0),(1-U49)*D48*C$2/12, (1-U49)*D48*C$2/12)))</f>
        <v>98481.558343558703</v>
      </c>
      <c r="J49" s="57">
        <f t="shared" si="6"/>
        <v>985520.58343672054</v>
      </c>
      <c r="K49" s="51">
        <f t="shared" si="7"/>
        <v>1232519.7769868707</v>
      </c>
      <c r="L49" s="49">
        <f>IF(AND(C$7="Y",$B49&lt;=$C$4),0,IF(AND(C$7="N",C$4&gt;0,B49&lt;=C$4),0,U49*D48))</f>
        <v>101245.10023827397</v>
      </c>
      <c r="M49" s="49">
        <f t="shared" si="23"/>
        <v>-125161.81101225266</v>
      </c>
      <c r="N49" s="49">
        <f t="shared" si="22"/>
        <v>12516.181101225262</v>
      </c>
      <c r="O49" s="48">
        <f t="shared" si="8"/>
        <v>1331001.3353304295</v>
      </c>
      <c r="P49" s="38">
        <f>O49*(1/((1+P$9)^(B49/12)))</f>
        <v>1331001.3353304295</v>
      </c>
      <c r="Q49" s="53"/>
      <c r="R49" s="53">
        <f t="shared" si="9"/>
        <v>0.12</v>
      </c>
      <c r="S49" s="53">
        <f t="shared" si="10"/>
        <v>1.0596241035318976E-2</v>
      </c>
      <c r="T49" s="53">
        <f t="shared" si="11"/>
        <v>0.05</v>
      </c>
      <c r="U49" s="53">
        <f t="shared" si="13"/>
        <v>4.2653187775606449E-3</v>
      </c>
      <c r="V49" s="38">
        <f t="shared" si="14"/>
        <v>2218040.360423591</v>
      </c>
    </row>
    <row r="50" spans="1:22" x14ac:dyDescent="0.2">
      <c r="A50" s="62"/>
      <c r="B50" s="45">
        <f t="shared" si="1"/>
        <v>39</v>
      </c>
      <c r="C50" s="51">
        <f>IF(B50&lt;C$4,C$1,D49-L50+N50)</f>
        <v>22329477.138056211</v>
      </c>
      <c r="D50" s="47">
        <f t="shared" si="2"/>
        <v>21119653.244320408</v>
      </c>
      <c r="E50" s="48">
        <f t="shared" si="3"/>
        <v>0</v>
      </c>
      <c r="F50" s="50">
        <f t="shared" si="4"/>
        <v>0</v>
      </c>
      <c r="G50" s="50">
        <f t="shared" si="15"/>
        <v>0</v>
      </c>
      <c r="H50" s="51">
        <f t="shared" si="5"/>
        <v>1068307.7642801115</v>
      </c>
      <c r="I50" s="52">
        <f>IF(AND(C$7="Y",$B50&lt;=C$4),0,IF(AND(C$7="Y",$B50&gt;C$4),(1-U50)*C$2*D49/12,IF(AND($C$7="N",C$4&gt;0),(1-U50)*D49*C$2/12, (1-U50)*D49*C$2/12)))</f>
        <v>92989.914097357236</v>
      </c>
      <c r="J50" s="57">
        <f t="shared" si="6"/>
        <v>974919.51954889891</v>
      </c>
      <c r="K50" s="51">
        <f t="shared" si="7"/>
        <v>1207486.0742578595</v>
      </c>
      <c r="L50" s="49">
        <f>IF(AND(C$7="Y",$B50&lt;=$C$4),0,IF(AND(C$7="N",C$4&gt;0,B50&lt;=C$4),0,U50*D49))</f>
        <v>95599.352125312915</v>
      </c>
      <c r="M50" s="49">
        <f t="shared" si="23"/>
        <v>-118977.54690474652</v>
      </c>
      <c r="N50" s="49">
        <f t="shared" si="22"/>
        <v>11897.754690474649</v>
      </c>
      <c r="O50" s="48">
        <f t="shared" si="8"/>
        <v>1300475.9883552168</v>
      </c>
      <c r="P50" s="38">
        <f>O50*(1/((1+P$9)^(B50/12)))</f>
        <v>1300475.9883552168</v>
      </c>
      <c r="Q50" s="53"/>
      <c r="R50" s="53">
        <f t="shared" si="9"/>
        <v>0.12</v>
      </c>
      <c r="S50" s="53">
        <f t="shared" si="10"/>
        <v>1.0596241035318976E-2</v>
      </c>
      <c r="T50" s="53">
        <f t="shared" si="11"/>
        <v>0.05</v>
      </c>
      <c r="U50" s="53">
        <f t="shared" si="13"/>
        <v>4.2653187775606449E-3</v>
      </c>
      <c r="V50" s="38">
        <f t="shared" si="14"/>
        <v>2182405.5938067585</v>
      </c>
    </row>
    <row r="51" spans="1:22" x14ac:dyDescent="0.2">
      <c r="A51" s="62"/>
      <c r="B51" s="45">
        <f t="shared" si="1"/>
        <v>40</v>
      </c>
      <c r="C51" s="51">
        <f>IF(B51&lt;C$4,C$1,D50-L51+N51)</f>
        <v>21040864.361246835</v>
      </c>
      <c r="D51" s="47">
        <f t="shared" si="2"/>
        <v>19855682.736170713</v>
      </c>
      <c r="E51" s="48">
        <f t="shared" si="3"/>
        <v>0</v>
      </c>
      <c r="F51" s="50">
        <f t="shared" si="4"/>
        <v>0</v>
      </c>
      <c r="G51" s="50">
        <f t="shared" si="15"/>
        <v>0</v>
      </c>
      <c r="H51" s="51">
        <f t="shared" si="5"/>
        <v>1052431.0445426987</v>
      </c>
      <c r="I51" s="52">
        <f>IF(AND(C$7="Y",$B51&lt;=C$4),0,IF(AND(C$7="Y",$B51&gt;C$4),(1-U51)*C$2*D50/12,IF(AND($C$7="N",C$4&gt;0),(1-U51)*D50*C$2/12, (1-U51)*D50*C$2/12)))</f>
        <v>87623.213294841</v>
      </c>
      <c r="J51" s="57">
        <f t="shared" si="6"/>
        <v>964432.48935803026</v>
      </c>
      <c r="K51" s="51">
        <f t="shared" si="7"/>
        <v>1182896.6599469823</v>
      </c>
      <c r="L51" s="49">
        <f>IF(AND(C$7="Y",$B51&lt;=$C$4),0,IF(AND(C$7="N",C$4&gt;0,B51&lt;=C$4),0,U51*D50))</f>
        <v>90082.053558569431</v>
      </c>
      <c r="M51" s="49">
        <f t="shared" si="23"/>
        <v>-112931.70484997034</v>
      </c>
      <c r="N51" s="49">
        <f t="shared" si="22"/>
        <v>11293.170484997032</v>
      </c>
      <c r="O51" s="48">
        <f t="shared" si="8"/>
        <v>1270519.8732418232</v>
      </c>
      <c r="P51" s="38">
        <f>O51*(1/((1+P$9)^(B51/12)))</f>
        <v>1270519.8732418232</v>
      </c>
      <c r="Q51" s="53"/>
      <c r="R51" s="53">
        <f t="shared" si="9"/>
        <v>0.12</v>
      </c>
      <c r="S51" s="53">
        <f t="shared" si="10"/>
        <v>1.0596241035318976E-2</v>
      </c>
      <c r="T51" s="53">
        <f t="shared" si="11"/>
        <v>0.05</v>
      </c>
      <c r="U51" s="53">
        <f t="shared" si="13"/>
        <v>4.2653187775606449E-3</v>
      </c>
      <c r="V51" s="38">
        <f t="shared" si="14"/>
        <v>2147329.1493050125</v>
      </c>
    </row>
    <row r="52" spans="1:22" x14ac:dyDescent="0.2">
      <c r="A52" s="62"/>
      <c r="B52" s="45">
        <f t="shared" si="1"/>
        <v>41</v>
      </c>
      <c r="C52" s="51">
        <f>IF(B52&lt;C$4,C$1,D51-L52+N52)</f>
        <v>19781694.092488352</v>
      </c>
      <c r="D52" s="47">
        <f t="shared" si="2"/>
        <v>18620716.847325437</v>
      </c>
      <c r="E52" s="48">
        <f t="shared" si="3"/>
        <v>0</v>
      </c>
      <c r="F52" s="50">
        <f t="shared" si="4"/>
        <v>0</v>
      </c>
      <c r="G52" s="50">
        <f t="shared" si="15"/>
        <v>0</v>
      </c>
      <c r="H52" s="51">
        <f t="shared" si="5"/>
        <v>1036790.2776252944</v>
      </c>
      <c r="I52" s="52">
        <f>IF(AND(C$7="Y",$B52&lt;=C$4),0,IF(AND(C$7="Y",$B52&gt;C$4),(1-U52)*C$2*D51/12,IF(AND($C$7="N",C$4&gt;0),(1-U52)*D51*C$2/12, (1-U52)*D51*C$2/12)))</f>
        <v>82379.132998978486</v>
      </c>
      <c r="J52" s="57">
        <f t="shared" si="6"/>
        <v>954058.26622458315</v>
      </c>
      <c r="K52" s="51">
        <f t="shared" si="7"/>
        <v>1158744.1540709881</v>
      </c>
      <c r="L52" s="49">
        <f>IF(AND(C$7="Y",$B52&lt;=$C$4),0,IF(AND(C$7="N",C$4&gt;0,B52&lt;=C$4),0,U52*D51))</f>
        <v>84690.81641587567</v>
      </c>
      <c r="M52" s="49">
        <f t="shared" si="23"/>
        <v>-107021.72733515318</v>
      </c>
      <c r="N52" s="49">
        <f t="shared" si="22"/>
        <v>10702.172733515315</v>
      </c>
      <c r="O52" s="48">
        <f t="shared" si="8"/>
        <v>1241123.2870699666</v>
      </c>
      <c r="P52" s="38">
        <f>O52*(1/((1+P$9)^(B52/12)))</f>
        <v>1241123.2870699666</v>
      </c>
      <c r="Q52" s="53"/>
      <c r="R52" s="53">
        <f t="shared" si="9"/>
        <v>0.12</v>
      </c>
      <c r="S52" s="53">
        <f t="shared" si="10"/>
        <v>1.0596241035318976E-2</v>
      </c>
      <c r="T52" s="53">
        <f t="shared" si="11"/>
        <v>0.05</v>
      </c>
      <c r="U52" s="53">
        <f t="shared" si="13"/>
        <v>4.2653187775606449E-3</v>
      </c>
      <c r="V52" s="38">
        <f t="shared" si="14"/>
        <v>2112802.420295571</v>
      </c>
    </row>
    <row r="53" spans="1:22" x14ac:dyDescent="0.2">
      <c r="A53" s="62"/>
      <c r="B53" s="45">
        <f t="shared" si="1"/>
        <v>42</v>
      </c>
      <c r="C53" s="51">
        <f>IF(B53&lt;C$4,C$1,D52-L53+N53)</f>
        <v>18551418.064128727</v>
      </c>
      <c r="D53" s="47">
        <f t="shared" si="2"/>
        <v>17414214.588742457</v>
      </c>
      <c r="E53" s="48">
        <f t="shared" si="3"/>
        <v>0</v>
      </c>
      <c r="F53" s="50">
        <f t="shared" si="4"/>
        <v>0</v>
      </c>
      <c r="G53" s="50">
        <f t="shared" si="15"/>
        <v>0</v>
      </c>
      <c r="H53" s="51">
        <f t="shared" si="5"/>
        <v>1021381.9569009549</v>
      </c>
      <c r="I53" s="52">
        <f>IF(AND(C$7="Y",$B53&lt;=C$4),0,IF(AND(C$7="Y",$B53&gt;C$4),(1-U53)*C$2*D52/12,IF(AND($C$7="N",C$4&gt;0),(1-U53)*D52*C$2/12, (1-U53)*D52*C$2/12)))</f>
        <v>77255.389808770415</v>
      </c>
      <c r="J53" s="57">
        <f t="shared" si="6"/>
        <v>943795.6367037656</v>
      </c>
      <c r="K53" s="51">
        <f t="shared" si="7"/>
        <v>1135021.2946844962</v>
      </c>
      <c r="L53" s="49">
        <f>IF(AND(C$7="Y",$B53&lt;=$C$4),0,IF(AND(C$7="N",C$4&gt;0,B53&lt;=C$4),0,U53*D52))</f>
        <v>79423.293220537045</v>
      </c>
      <c r="M53" s="49">
        <f t="shared" si="23"/>
        <v>-101245.10023827397</v>
      </c>
      <c r="N53" s="49">
        <f t="shared" si="22"/>
        <v>10124.510023827395</v>
      </c>
      <c r="O53" s="48">
        <f t="shared" si="8"/>
        <v>1212276.6844932667</v>
      </c>
      <c r="P53" s="38">
        <f>O53*(1/((1+P$9)^(B53/12)))</f>
        <v>1212276.6844932667</v>
      </c>
      <c r="Q53" s="53"/>
      <c r="R53" s="53">
        <f t="shared" si="9"/>
        <v>0.12</v>
      </c>
      <c r="S53" s="53">
        <f t="shared" si="10"/>
        <v>1.0596241035318976E-2</v>
      </c>
      <c r="T53" s="53">
        <f t="shared" si="11"/>
        <v>0.05</v>
      </c>
      <c r="U53" s="53">
        <f t="shared" si="13"/>
        <v>4.2653187775606449E-3</v>
      </c>
      <c r="V53" s="38">
        <f t="shared" si="14"/>
        <v>2078816.9313882617</v>
      </c>
    </row>
    <row r="54" spans="1:22" x14ac:dyDescent="0.2">
      <c r="A54" s="62"/>
      <c r="B54" s="45">
        <f t="shared" si="1"/>
        <v>43</v>
      </c>
      <c r="C54" s="51">
        <f>IF(B54&lt;C$4,C$1,D53-L54+N54)</f>
        <v>17349497.347473152</v>
      </c>
      <c r="D54" s="47">
        <f t="shared" si="2"/>
        <v>16235644.193872957</v>
      </c>
      <c r="E54" s="48">
        <f t="shared" si="3"/>
        <v>0</v>
      </c>
      <c r="F54" s="50">
        <f t="shared" si="4"/>
        <v>0</v>
      </c>
      <c r="G54" s="50">
        <f t="shared" si="15"/>
        <v>0</v>
      </c>
      <c r="H54" s="51">
        <f t="shared" si="5"/>
        <v>1006202.6278566752</v>
      </c>
      <c r="I54" s="52">
        <f>IF(AND(C$7="Y",$B54&lt;=C$4),0,IF(AND(C$7="Y",$B54&gt;C$4),(1-U54)*C$2*D53/12,IF(AND($C$7="N",C$4&gt;0),(1-U54)*D53*C$2/12, (1-U54)*D53*C$2/12)))</f>
        <v>72249.739217752591</v>
      </c>
      <c r="J54" s="57">
        <f t="shared" si="6"/>
        <v>933643.40040358168</v>
      </c>
      <c r="K54" s="51">
        <f t="shared" si="7"/>
        <v>1111720.9360358506</v>
      </c>
      <c r="L54" s="49">
        <f>IF(AND(C$7="Y",$B54&lt;=$C$4),0,IF(AND(C$7="N",C$4&gt;0,B54&lt;=C$4),0,U54*D53))</f>
        <v>74277.176481833725</v>
      </c>
      <c r="M54" s="49">
        <f t="shared" si="23"/>
        <v>-95599.352125312915</v>
      </c>
      <c r="N54" s="49">
        <f t="shared" si="22"/>
        <v>9559.9352125312889</v>
      </c>
      <c r="O54" s="48">
        <f t="shared" si="8"/>
        <v>1183970.6752536031</v>
      </c>
      <c r="P54" s="38">
        <f>O54*(1/((1+P$9)^(B54/12)))</f>
        <v>1183970.6752536031</v>
      </c>
      <c r="Q54" s="53"/>
      <c r="R54" s="53">
        <f t="shared" si="9"/>
        <v>0.12</v>
      </c>
      <c r="S54" s="53">
        <f t="shared" si="10"/>
        <v>1.0596241035318976E-2</v>
      </c>
      <c r="T54" s="53">
        <f t="shared" si="11"/>
        <v>0.05</v>
      </c>
      <c r="U54" s="53">
        <f t="shared" si="13"/>
        <v>4.2653187775606449E-3</v>
      </c>
      <c r="V54" s="38">
        <f t="shared" si="14"/>
        <v>2045364.3364394321</v>
      </c>
    </row>
    <row r="55" spans="1:22" x14ac:dyDescent="0.2">
      <c r="A55" s="62"/>
      <c r="B55" s="45">
        <f t="shared" si="1"/>
        <v>44</v>
      </c>
      <c r="C55" s="51">
        <f>IF(B55&lt;C$4,C$1,D54-L55+N55)</f>
        <v>16175402.201182893</v>
      </c>
      <c r="D55" s="47">
        <f t="shared" si="2"/>
        <v>15084482.968880288</v>
      </c>
      <c r="E55" s="48">
        <f t="shared" si="3"/>
        <v>0</v>
      </c>
      <c r="F55" s="50">
        <f t="shared" si="4"/>
        <v>0</v>
      </c>
      <c r="G55" s="50">
        <f t="shared" si="15"/>
        <v>0</v>
      </c>
      <c r="H55" s="51">
        <f t="shared" si="5"/>
        <v>991248.88731890498</v>
      </c>
      <c r="I55" s="52">
        <f>IF(AND(C$7="Y",$B55&lt;=C$4),0,IF(AND(C$7="Y",$B55&gt;C$4),(1-U55)*C$2*D54/12,IF(AND($C$7="N",C$4&gt;0),(1-U55)*D54*C$2/12, (1-U55)*D54*C$2/12)))</f>
        <v>67359.97498261265</v>
      </c>
      <c r="J55" s="57">
        <f t="shared" si="6"/>
        <v>923600.36984443432</v>
      </c>
      <c r="K55" s="51">
        <f t="shared" si="7"/>
        <v>1088836.0467513404</v>
      </c>
      <c r="L55" s="49">
        <f>IF(AND(C$7="Y",$B55&lt;=$C$4),0,IF(AND(C$7="N",C$4&gt;0,B55&lt;=C$4),0,U55*D54))</f>
        <v>69250.19804591978</v>
      </c>
      <c r="M55" s="49">
        <f t="shared" si="23"/>
        <v>-90082.053558569431</v>
      </c>
      <c r="N55" s="49">
        <f t="shared" si="22"/>
        <v>9008.2053558569405</v>
      </c>
      <c r="O55" s="48">
        <f t="shared" si="8"/>
        <v>1156196.0217339532</v>
      </c>
      <c r="P55" s="38">
        <f>O55*(1/((1+P$9)^(B55/12)))</f>
        <v>1156196.0217339532</v>
      </c>
      <c r="Q55" s="53"/>
      <c r="R55" s="53">
        <f t="shared" si="9"/>
        <v>0.12</v>
      </c>
      <c r="S55" s="53">
        <f t="shared" si="10"/>
        <v>1.0596241035318976E-2</v>
      </c>
      <c r="T55" s="53">
        <f t="shared" si="11"/>
        <v>0.05</v>
      </c>
      <c r="U55" s="53">
        <f t="shared" si="13"/>
        <v>4.2653187775606449E-3</v>
      </c>
    </row>
    <row r="56" spans="1:22" x14ac:dyDescent="0.2">
      <c r="A56" s="62"/>
      <c r="B56" s="45">
        <f t="shared" si="1"/>
        <v>45</v>
      </c>
      <c r="C56" s="51">
        <f>IF(B56&lt;C$4,C$1,D55-L56+N56)</f>
        <v>15028611.922064917</v>
      </c>
      <c r="D56" s="47">
        <f t="shared" si="2"/>
        <v>13960217.145221651</v>
      </c>
      <c r="E56" s="48">
        <f t="shared" si="3"/>
        <v>0</v>
      </c>
      <c r="F56" s="50">
        <f t="shared" si="4"/>
        <v>0</v>
      </c>
      <c r="G56" s="50">
        <f t="shared" si="15"/>
        <v>0</v>
      </c>
      <c r="H56" s="51">
        <f t="shared" si="5"/>
        <v>976517.38269056485</v>
      </c>
      <c r="I56" s="52">
        <f>IF(AND(C$7="Y",$B56&lt;=C$4),0,IF(AND(C$7="Y",$B56&gt;C$4),(1-U56)*C$2*D55/12,IF(AND($C$7="N",C$4&gt;0),(1-U56)*D55*C$2/12, (1-U56)*D55*C$2/12)))</f>
        <v>62583.928501763876</v>
      </c>
      <c r="J56" s="57">
        <f t="shared" si="6"/>
        <v>913665.37032023037</v>
      </c>
      <c r="K56" s="51">
        <f t="shared" si="7"/>
        <v>1066359.7080473749</v>
      </c>
      <c r="L56" s="49">
        <f>IF(AND(C$7="Y",$B56&lt;=$C$4),0,IF(AND(C$7="N",C$4&gt;0,B56&lt;=C$4),0,U56*D55))</f>
        <v>64340.128456958839</v>
      </c>
      <c r="M56" s="49">
        <f t="shared" si="23"/>
        <v>-84690.81641587567</v>
      </c>
      <c r="N56" s="49">
        <f t="shared" si="22"/>
        <v>8469.0816415875652</v>
      </c>
      <c r="O56" s="48">
        <f t="shared" si="8"/>
        <v>1128943.6365491387</v>
      </c>
      <c r="P56" s="38">
        <f>O56*(1/((1+P$9)^(B56/12)))</f>
        <v>1128943.6365491387</v>
      </c>
      <c r="Q56" s="53"/>
      <c r="R56" s="53">
        <f t="shared" si="9"/>
        <v>0.12</v>
      </c>
      <c r="S56" s="53">
        <f t="shared" si="10"/>
        <v>1.0596241035318976E-2</v>
      </c>
      <c r="T56" s="53">
        <f t="shared" si="11"/>
        <v>0.05</v>
      </c>
      <c r="U56" s="53">
        <f t="shared" si="13"/>
        <v>4.2653187775606449E-3</v>
      </c>
    </row>
    <row r="57" spans="1:22" x14ac:dyDescent="0.2">
      <c r="A57" s="62"/>
      <c r="B57" s="45">
        <f t="shared" si="1"/>
        <v>46</v>
      </c>
      <c r="C57" s="51">
        <f>IF(B57&lt;C$4,C$1,D56-L57+N57)</f>
        <v>13908614.698215365</v>
      </c>
      <c r="D57" s="47">
        <f t="shared" si="2"/>
        <v>12862341.734555999</v>
      </c>
      <c r="E57" s="48">
        <f t="shared" si="3"/>
        <v>0</v>
      </c>
      <c r="F57" s="50">
        <f t="shared" si="4"/>
        <v>0</v>
      </c>
      <c r="G57" s="50">
        <f t="shared" si="15"/>
        <v>0</v>
      </c>
      <c r="H57" s="51">
        <f t="shared" si="5"/>
        <v>962004.81119939184</v>
      </c>
      <c r="I57" s="52">
        <f>IF(AND(C$7="Y",$B57&lt;=C$4),0,IF(AND(C$7="Y",$B57&gt;C$4),(1-U57)*C$2*D56/12,IF(AND($C$7="N",C$4&gt;0),(1-U57)*D56*C$2/12, (1-U57)*D56*C$2/12)))</f>
        <v>57919.468203722143</v>
      </c>
      <c r="J57" s="57">
        <f t="shared" si="6"/>
        <v>903837.23976096825</v>
      </c>
      <c r="K57" s="51">
        <f t="shared" si="7"/>
        <v>1044285.1119701476</v>
      </c>
      <c r="L57" s="49">
        <f>IF(AND(C$7="Y",$B57&lt;=$C$4),0,IF(AND(C$7="N",C$4&gt;0,B57&lt;=C$4),0,U57*D56))</f>
        <v>59544.776328337968</v>
      </c>
      <c r="M57" s="49">
        <f t="shared" si="23"/>
        <v>-79423.293220537045</v>
      </c>
      <c r="N57" s="49">
        <f t="shared" si="22"/>
        <v>7942.3293220537025</v>
      </c>
      <c r="O57" s="48">
        <f t="shared" si="8"/>
        <v>1102204.5801738696</v>
      </c>
      <c r="P57" s="38">
        <f>O57*(1/((1+P$9)^(B57/12)))</f>
        <v>1102204.5801738696</v>
      </c>
      <c r="Q57" s="53"/>
      <c r="R57" s="53">
        <f t="shared" si="9"/>
        <v>0.12</v>
      </c>
      <c r="S57" s="53">
        <f t="shared" si="10"/>
        <v>1.0596241035318976E-2</v>
      </c>
      <c r="T57" s="53">
        <f t="shared" si="11"/>
        <v>0.05</v>
      </c>
      <c r="U57" s="53">
        <f t="shared" si="13"/>
        <v>4.2653187775606449E-3</v>
      </c>
    </row>
    <row r="58" spans="1:22" x14ac:dyDescent="0.2">
      <c r="A58" s="62"/>
      <c r="B58" s="45">
        <f t="shared" si="1"/>
        <v>47</v>
      </c>
      <c r="C58" s="51">
        <f>IF(B58&lt;C$4,C$1,D57-L58+N58)</f>
        <v>12814907.46448038</v>
      </c>
      <c r="D58" s="47">
        <f t="shared" si="2"/>
        <v>11790360.385942148</v>
      </c>
      <c r="E58" s="48">
        <f t="shared" si="3"/>
        <v>0</v>
      </c>
      <c r="F58" s="50">
        <f t="shared" si="4"/>
        <v>0</v>
      </c>
      <c r="G58" s="50">
        <f t="shared" si="15"/>
        <v>0</v>
      </c>
      <c r="H58" s="51">
        <f t="shared" si="5"/>
        <v>947707.91915747349</v>
      </c>
      <c r="I58" s="52">
        <f>IF(AND(C$7="Y",$B58&lt;=C$4),0,IF(AND(C$7="Y",$B58&gt;C$4),(1-U58)*C$2*D57/12,IF(AND($C$7="N",C$4&gt;0),(1-U58)*D57*C$2/12, (1-U58)*D57*C$2/12)))</f>
        <v>53364.498945134146</v>
      </c>
      <c r="J58" s="57">
        <f t="shared" si="6"/>
        <v>894114.8285968235</v>
      </c>
      <c r="K58" s="51">
        <f t="shared" si="7"/>
        <v>1022605.5596624275</v>
      </c>
      <c r="L58" s="49">
        <f>IF(AND(C$7="Y",$B58&lt;=$C$4),0,IF(AND(C$7="N",C$4&gt;0,B58&lt;=C$4),0,U58*D57))</f>
        <v>54861.987723803657</v>
      </c>
      <c r="M58" s="49">
        <f t="shared" si="23"/>
        <v>-74277.176481833725</v>
      </c>
      <c r="N58" s="49">
        <f t="shared" si="22"/>
        <v>7427.7176481833712</v>
      </c>
      <c r="O58" s="48">
        <f t="shared" si="8"/>
        <v>1075970.0586075617</v>
      </c>
      <c r="P58" s="38">
        <f>O58*(1/((1+P$9)^(B58/12)))</f>
        <v>1075970.0586075617</v>
      </c>
      <c r="Q58" s="53"/>
      <c r="R58" s="53">
        <f t="shared" si="9"/>
        <v>0.12</v>
      </c>
      <c r="S58" s="53">
        <f t="shared" si="10"/>
        <v>1.0596241035318976E-2</v>
      </c>
      <c r="T58" s="53">
        <f t="shared" si="11"/>
        <v>0.05</v>
      </c>
      <c r="U58" s="53">
        <f t="shared" si="13"/>
        <v>4.2653187775606449E-3</v>
      </c>
    </row>
    <row r="59" spans="1:22" x14ac:dyDescent="0.2">
      <c r="A59" s="62"/>
      <c r="B59" s="45">
        <f t="shared" si="1"/>
        <v>48</v>
      </c>
      <c r="C59" s="51">
        <f>IF(B59&lt;C$4,C$1,D58-L59+N59)</f>
        <v>11746995.760198373</v>
      </c>
      <c r="D59" s="47">
        <f t="shared" si="2"/>
        <v>10743785.245291598</v>
      </c>
      <c r="E59" s="48">
        <f t="shared" si="3"/>
        <v>0</v>
      </c>
      <c r="F59" s="50">
        <f t="shared" si="4"/>
        <v>0</v>
      </c>
      <c r="G59" s="50">
        <f t="shared" si="15"/>
        <v>0</v>
      </c>
      <c r="H59" s="51">
        <f t="shared" si="5"/>
        <v>933623.50123177585</v>
      </c>
      <c r="I59" s="52">
        <f>IF(AND(C$7="Y",$B59&lt;=C$4),0,IF(AND(C$7="Y",$B59&gt;C$4),(1-U59)*C$2*D58/12,IF(AND($C$7="N",C$4&gt;0),(1-U59)*D58*C$2/12, (1-U59)*D58*C$2/12)))</f>
        <v>48916.961418307423</v>
      </c>
      <c r="J59" s="57">
        <f t="shared" si="6"/>
        <v>884496.99962368363</v>
      </c>
      <c r="K59" s="51">
        <f t="shared" si="7"/>
        <v>1001314.4596570203</v>
      </c>
      <c r="L59" s="49">
        <f>IF(AND(C$7="Y",$B59&lt;=$C$4),0,IF(AND(C$7="N",C$4&gt;0,B59&lt;=C$4),0,U59*D58))</f>
        <v>50289.645548366214</v>
      </c>
      <c r="M59" s="49">
        <f t="shared" si="23"/>
        <v>-69250.19804591978</v>
      </c>
      <c r="N59" s="49">
        <f t="shared" si="22"/>
        <v>6925.0198045919769</v>
      </c>
      <c r="O59" s="48">
        <f t="shared" si="8"/>
        <v>1050231.4210753278</v>
      </c>
      <c r="P59" s="38">
        <f>O59*(1/((1+P$9)^(B59/12)))</f>
        <v>1050231.4210753278</v>
      </c>
      <c r="Q59" s="53"/>
      <c r="R59" s="53">
        <f t="shared" si="9"/>
        <v>0.12</v>
      </c>
      <c r="S59" s="53">
        <f t="shared" si="10"/>
        <v>1.0596241035318976E-2</v>
      </c>
      <c r="T59" s="53">
        <f t="shared" si="11"/>
        <v>0.05</v>
      </c>
      <c r="U59" s="53">
        <f t="shared" si="13"/>
        <v>4.2653187775606449E-3</v>
      </c>
    </row>
    <row r="60" spans="1:22" x14ac:dyDescent="0.2">
      <c r="A60" s="62"/>
      <c r="B60" s="45">
        <f t="shared" si="1"/>
        <v>49</v>
      </c>
      <c r="C60" s="51">
        <f>IF(B60&lt;C$4,C$1,D59-L60+N60)</f>
        <v>10704393.589188471</v>
      </c>
      <c r="D60" s="47">
        <f t="shared" si="2"/>
        <v>9722136.8170411587</v>
      </c>
      <c r="E60" s="48">
        <f t="shared" si="3"/>
        <v>0</v>
      </c>
      <c r="F60" s="50">
        <f t="shared" si="4"/>
        <v>0</v>
      </c>
      <c r="G60" s="50">
        <f t="shared" si="15"/>
        <v>0</v>
      </c>
      <c r="H60" s="51">
        <f t="shared" si="5"/>
        <v>919748.39972550923</v>
      </c>
      <c r="I60" s="52">
        <f>IF(AND(C$7="Y",$B60&lt;=C$4),0,IF(AND(C$7="Y",$B60&gt;C$4),(1-U60)*C$2*D59/12,IF(AND($C$7="N",C$4&gt;0),(1-U60)*D59*C$2/12, (1-U60)*D59*C$2/12)))</f>
        <v>44574.831568094902</v>
      </c>
      <c r="J60" s="57">
        <f t="shared" si="6"/>
        <v>874982.62787012756</v>
      </c>
      <c r="K60" s="51">
        <f t="shared" si="7"/>
        <v>980405.32619650033</v>
      </c>
      <c r="L60" s="49">
        <f>IF(AND(C$7="Y",$B60&lt;=$C$4),0,IF(AND(C$7="N",C$4&gt;0,B60&lt;=C$4),0,U60*D59))</f>
        <v>45825.668948821251</v>
      </c>
      <c r="M60" s="49">
        <f t="shared" si="23"/>
        <v>-64340.128456958839</v>
      </c>
      <c r="N60" s="49">
        <f t="shared" si="22"/>
        <v>6434.0128456958828</v>
      </c>
      <c r="O60" s="48">
        <f t="shared" si="8"/>
        <v>1024980.1577645952</v>
      </c>
      <c r="P60" s="38">
        <f>O60*(1/((1+P$9)^(B60/12)))</f>
        <v>1024980.1577645952</v>
      </c>
      <c r="Q60" s="53"/>
      <c r="R60" s="53">
        <f t="shared" si="9"/>
        <v>0.12</v>
      </c>
      <c r="S60" s="53">
        <f t="shared" si="10"/>
        <v>1.0596241035318976E-2</v>
      </c>
      <c r="T60" s="53">
        <f t="shared" si="11"/>
        <v>0.05</v>
      </c>
      <c r="U60" s="53">
        <f t="shared" si="13"/>
        <v>4.2653187775606449E-3</v>
      </c>
    </row>
    <row r="61" spans="1:22" x14ac:dyDescent="0.2">
      <c r="A61" s="62"/>
      <c r="B61" s="45">
        <f t="shared" si="1"/>
        <v>50</v>
      </c>
      <c r="C61" s="51">
        <f>IF(B61&lt;C$4,C$1,D60-L61+N61)</f>
        <v>9686623.2819502521</v>
      </c>
      <c r="D61" s="47">
        <f t="shared" si="2"/>
        <v>8724943.8280109465</v>
      </c>
      <c r="E61" s="48">
        <f t="shared" si="3"/>
        <v>0</v>
      </c>
      <c r="F61" s="50">
        <f t="shared" si="4"/>
        <v>0</v>
      </c>
      <c r="G61" s="50">
        <f t="shared" si="15"/>
        <v>0</v>
      </c>
      <c r="H61" s="51">
        <f t="shared" si="5"/>
        <v>906079.5038701864</v>
      </c>
      <c r="I61" s="52">
        <f>IF(AND(C$7="Y",$B61&lt;=C$4),0,IF(AND(C$7="Y",$B61&gt;C$4),(1-U61)*C$2*D60/12,IF(AND($C$7="N",C$4&gt;0),(1-U61)*D60*C$2/12, (1-U61)*D60*C$2/12)))</f>
        <v>40336.120017989248</v>
      </c>
      <c r="J61" s="57">
        <f t="shared" si="6"/>
        <v>865570.60046584823</v>
      </c>
      <c r="K61" s="51">
        <f t="shared" si="7"/>
        <v>959871.77757884667</v>
      </c>
      <c r="L61" s="49">
        <f>IF(AND(C$7="Y",$B61&lt;=$C$4),0,IF(AND(C$7="N",C$4&gt;0,B61&lt;=C$4),0,U61*D60))</f>
        <v>41468.012723739332</v>
      </c>
      <c r="M61" s="49">
        <f t="shared" si="23"/>
        <v>-59544.776328337968</v>
      </c>
      <c r="N61" s="49">
        <f t="shared" si="22"/>
        <v>5954.4776328337957</v>
      </c>
      <c r="O61" s="48">
        <f t="shared" si="8"/>
        <v>1000207.8975968359</v>
      </c>
      <c r="P61" s="38">
        <f>O61*(1/((1+P$9)^(B61/12)))</f>
        <v>1000207.8975968359</v>
      </c>
      <c r="Q61" s="53"/>
      <c r="R61" s="53">
        <f t="shared" si="9"/>
        <v>0.12</v>
      </c>
      <c r="S61" s="53">
        <f t="shared" si="10"/>
        <v>1.0596241035318976E-2</v>
      </c>
      <c r="T61" s="53">
        <f t="shared" si="11"/>
        <v>0.05</v>
      </c>
      <c r="U61" s="53">
        <f t="shared" si="13"/>
        <v>4.2653187775606449E-3</v>
      </c>
    </row>
    <row r="62" spans="1:22" x14ac:dyDescent="0.2">
      <c r="A62" s="62"/>
      <c r="B62" s="45">
        <f t="shared" si="1"/>
        <v>51</v>
      </c>
      <c r="C62" s="51">
        <f>IF(B62&lt;C$4,C$1,D61-L62+N62)</f>
        <v>8693215.3600405492</v>
      </c>
      <c r="D62" s="47">
        <f t="shared" si="2"/>
        <v>7751743.0934139136</v>
      </c>
      <c r="E62" s="48">
        <f t="shared" si="3"/>
        <v>0</v>
      </c>
      <c r="F62" s="50">
        <f t="shared" si="4"/>
        <v>0</v>
      </c>
      <c r="G62" s="50">
        <f t="shared" si="15"/>
        <v>0</v>
      </c>
      <c r="H62" s="51">
        <f t="shared" si="5"/>
        <v>892613.74912819569</v>
      </c>
      <c r="I62" s="52">
        <f>IF(AND(C$7="Y",$B62&lt;=C$4),0,IF(AND(C$7="Y",$B62&gt;C$4),(1-U62)*C$2*D61/12,IF(AND($C$7="N",C$4&gt;0),(1-U62)*D61*C$2/12, (1-U62)*D61*C$2/12)))</f>
        <v>36198.871505284042</v>
      </c>
      <c r="J62" s="57">
        <f t="shared" si="6"/>
        <v>856259.81651148351</v>
      </c>
      <c r="K62" s="51">
        <f t="shared" si="7"/>
        <v>939707.53452853358</v>
      </c>
      <c r="L62" s="49">
        <f>IF(AND(C$7="Y",$B62&lt;=$C$4),0,IF(AND(C$7="N",C$4&gt;0,B62&lt;=C$4),0,U62*D61))</f>
        <v>37214.666742776943</v>
      </c>
      <c r="M62" s="49">
        <f t="shared" si="23"/>
        <v>-54861.987723803657</v>
      </c>
      <c r="N62" s="49">
        <f t="shared" si="22"/>
        <v>5486.1987723803641</v>
      </c>
      <c r="O62" s="48">
        <f t="shared" si="8"/>
        <v>975906.40603381768</v>
      </c>
      <c r="P62" s="38">
        <f>O62*(1/((1+P$9)^(B62/12)))</f>
        <v>975906.40603381768</v>
      </c>
      <c r="Q62" s="53"/>
      <c r="R62" s="53">
        <f t="shared" si="9"/>
        <v>0.12</v>
      </c>
      <c r="S62" s="53">
        <f t="shared" si="10"/>
        <v>1.0596241035318976E-2</v>
      </c>
      <c r="T62" s="53">
        <f t="shared" si="11"/>
        <v>0.05</v>
      </c>
      <c r="U62" s="53">
        <f t="shared" si="13"/>
        <v>4.2653187775606449E-3</v>
      </c>
    </row>
    <row r="63" spans="1:22" x14ac:dyDescent="0.2">
      <c r="A63" s="62"/>
      <c r="B63" s="45">
        <f t="shared" si="1"/>
        <v>52</v>
      </c>
      <c r="C63" s="51">
        <f>IF(B63&lt;C$4,C$1,D62-L63+N63)</f>
        <v>7723708.4025935866</v>
      </c>
      <c r="D63" s="47">
        <f t="shared" si="2"/>
        <v>6802079.3849835377</v>
      </c>
      <c r="E63" s="48">
        <f t="shared" si="3"/>
        <v>0</v>
      </c>
      <c r="F63" s="50">
        <f t="shared" si="4"/>
        <v>0</v>
      </c>
      <c r="G63" s="50">
        <f t="shared" si="15"/>
        <v>0</v>
      </c>
      <c r="H63" s="51">
        <f t="shared" si="5"/>
        <v>879348.11650572554</v>
      </c>
      <c r="I63" s="52">
        <f>IF(AND(C$7="Y",$B63&lt;=C$4),0,IF(AND(C$7="Y",$B63&gt;C$4),(1-U63)*C$2*D62/12,IF(AND($C$7="N",C$4&gt;0),(1-U63)*D62*C$2/12, (1-U63)*D62*C$2/12)))</f>
        <v>32161.164325161459</v>
      </c>
      <c r="J63" s="57">
        <f t="shared" si="6"/>
        <v>847049.18694983423</v>
      </c>
      <c r="K63" s="51">
        <f t="shared" si="7"/>
        <v>919906.41859272786</v>
      </c>
      <c r="L63" s="49">
        <f>IF(AND(C$7="Y",$B63&lt;=$C$4),0,IF(AND(C$7="N",C$4&gt;0,B63&lt;=C$4),0,U63*D62))</f>
        <v>33063.65537516441</v>
      </c>
      <c r="M63" s="49">
        <f t="shared" si="23"/>
        <v>-50289.645548366214</v>
      </c>
      <c r="N63" s="49">
        <f t="shared" si="22"/>
        <v>5028.9645548366207</v>
      </c>
      <c r="O63" s="48">
        <f t="shared" si="8"/>
        <v>952067.58291788935</v>
      </c>
      <c r="P63" s="38">
        <f>O63*(1/((1+P$9)^(B63/12)))</f>
        <v>952067.58291788935</v>
      </c>
      <c r="Q63" s="53"/>
      <c r="R63" s="53">
        <f t="shared" si="9"/>
        <v>0.12</v>
      </c>
      <c r="S63" s="53">
        <f t="shared" si="10"/>
        <v>1.0596241035318976E-2</v>
      </c>
      <c r="T63" s="53">
        <f t="shared" si="11"/>
        <v>0.05</v>
      </c>
      <c r="U63" s="53">
        <f t="shared" si="13"/>
        <v>4.2653187775606449E-3</v>
      </c>
    </row>
    <row r="64" spans="1:22" x14ac:dyDescent="0.2">
      <c r="A64" s="62"/>
      <c r="B64" s="45">
        <f t="shared" si="1"/>
        <v>53</v>
      </c>
      <c r="C64" s="51">
        <f>IF(B64&lt;C$4,C$1,D63-L64+N64)</f>
        <v>6777648.9149511913</v>
      </c>
      <c r="D64" s="47">
        <f t="shared" si="2"/>
        <v>5875505.3011868186</v>
      </c>
      <c r="E64" s="48">
        <f t="shared" si="3"/>
        <v>0</v>
      </c>
      <c r="F64" s="50">
        <f t="shared" si="4"/>
        <v>0</v>
      </c>
      <c r="G64" s="50">
        <f t="shared" si="15"/>
        <v>0</v>
      </c>
      <c r="H64" s="51">
        <f t="shared" si="5"/>
        <v>866279.63187593338</v>
      </c>
      <c r="I64" s="52">
        <f>IF(AND(C$7="Y",$B64&lt;=C$4),0,IF(AND(C$7="Y",$B64&gt;C$4),(1-U64)*C$2*D63/12,IF(AND($C$7="N",C$4&gt;0),(1-U64)*D63*C$2/12, (1-U64)*D63*C$2/12)))</f>
        <v>28221.109783567954</v>
      </c>
      <c r="J64" s="57">
        <f t="shared" si="6"/>
        <v>837937.63443850202</v>
      </c>
      <c r="K64" s="51">
        <f t="shared" si="7"/>
        <v>900462.35056221345</v>
      </c>
      <c r="L64" s="49">
        <f>IF(AND(C$7="Y",$B64&lt;=$C$4),0,IF(AND(C$7="N",C$4&gt;0,B64&lt;=C$4),0,U64*D63))</f>
        <v>29013.036927228448</v>
      </c>
      <c r="M64" s="49">
        <f t="shared" si="23"/>
        <v>-45825.668948821251</v>
      </c>
      <c r="N64" s="49">
        <f t="shared" si="22"/>
        <v>4582.566894882124</v>
      </c>
      <c r="O64" s="48">
        <f t="shared" si="8"/>
        <v>928683.46034578141</v>
      </c>
      <c r="P64" s="38">
        <f>O64*(1/((1+P$9)^(B64/12)))</f>
        <v>928683.46034578141</v>
      </c>
      <c r="Q64" s="53"/>
      <c r="R64" s="53">
        <f t="shared" si="9"/>
        <v>0.12</v>
      </c>
      <c r="S64" s="53">
        <f t="shared" si="10"/>
        <v>1.0596241035318976E-2</v>
      </c>
      <c r="T64" s="53">
        <f t="shared" si="11"/>
        <v>0.05</v>
      </c>
      <c r="U64" s="53">
        <f t="shared" si="13"/>
        <v>4.2653187775606449E-3</v>
      </c>
    </row>
    <row r="65" spans="1:21" x14ac:dyDescent="0.2">
      <c r="A65" s="62"/>
      <c r="B65" s="45">
        <f t="shared" si="1"/>
        <v>54</v>
      </c>
      <c r="C65" s="51">
        <f>IF(B65&lt;C$4,C$1,D64-L65+N65)</f>
        <v>5854591.1993703833</v>
      </c>
      <c r="D65" s="47">
        <f t="shared" si="2"/>
        <v>4971581.1394902738</v>
      </c>
      <c r="E65" s="48">
        <f t="shared" si="3"/>
        <v>0</v>
      </c>
      <c r="F65" s="50">
        <f t="shared" si="4"/>
        <v>0</v>
      </c>
      <c r="G65" s="50">
        <f t="shared" si="15"/>
        <v>0</v>
      </c>
      <c r="H65" s="51">
        <f t="shared" si="5"/>
        <v>853405.36531212821</v>
      </c>
      <c r="I65" s="52">
        <f>IF(AND(C$7="Y",$B65&lt;=C$4),0,IF(AND(C$7="Y",$B65&gt;C$4),(1-U65)*C$2*D64/12,IF(AND($C$7="N",C$4&gt;0),(1-U65)*D64*C$2/12, (1-U65)*D64*C$2/12)))</f>
        <v>24376.851658741707</v>
      </c>
      <c r="J65" s="57">
        <f t="shared" si="6"/>
        <v>828924.09322384978</v>
      </c>
      <c r="K65" s="51">
        <f t="shared" si="7"/>
        <v>881369.34891661652</v>
      </c>
      <c r="L65" s="49">
        <f>IF(AND(C$7="Y",$B65&lt;=$C$4),0,IF(AND(C$7="N",C$4&gt;0,B65&lt;=C$4),0,U65*D64))</f>
        <v>25060.903088809249</v>
      </c>
      <c r="M65" s="49">
        <f t="shared" si="23"/>
        <v>-41468.012723739332</v>
      </c>
      <c r="N65" s="49">
        <f t="shared" si="22"/>
        <v>4146.8012723739321</v>
      </c>
      <c r="O65" s="48">
        <f t="shared" si="8"/>
        <v>905746.20057535823</v>
      </c>
      <c r="P65" s="38">
        <f>O65*(1/((1+P$9)^(B65/12)))</f>
        <v>905746.20057535823</v>
      </c>
      <c r="Q65" s="53"/>
      <c r="R65" s="53">
        <f t="shared" si="9"/>
        <v>0.12</v>
      </c>
      <c r="S65" s="53">
        <f t="shared" si="10"/>
        <v>1.0596241035318976E-2</v>
      </c>
      <c r="T65" s="53">
        <f t="shared" si="11"/>
        <v>0.05</v>
      </c>
      <c r="U65" s="53">
        <f t="shared" si="13"/>
        <v>4.2653187775606449E-3</v>
      </c>
    </row>
    <row r="66" spans="1:21" x14ac:dyDescent="0.2">
      <c r="A66" s="62"/>
      <c r="B66" s="45">
        <f t="shared" si="1"/>
        <v>55</v>
      </c>
      <c r="C66" s="51">
        <f>IF(B66&lt;C$4,C$1,D65-L66+N66)</f>
        <v>4954097.2277761167</v>
      </c>
      <c r="D66" s="47">
        <f t="shared" si="2"/>
        <v>4089874.7706470448</v>
      </c>
      <c r="E66" s="48">
        <f t="shared" si="3"/>
        <v>0</v>
      </c>
      <c r="F66" s="50">
        <f t="shared" si="4"/>
        <v>0</v>
      </c>
      <c r="G66" s="50">
        <f t="shared" si="15"/>
        <v>0</v>
      </c>
      <c r="H66" s="51">
        <f t="shared" si="5"/>
        <v>840722.43043090985</v>
      </c>
      <c r="I66" s="52">
        <f>IF(AND(C$7="Y",$B66&lt;=C$4),0,IF(AND(C$7="Y",$B66&gt;C$4),(1-U66)*C$2*D65/12,IF(AND($C$7="N",C$4&gt;0),(1-U66)*D65*C$2/12, (1-U66)*D65*C$2/12)))</f>
        <v>20626.565671257664</v>
      </c>
      <c r="J66" s="57">
        <f t="shared" si="6"/>
        <v>820007.50901636702</v>
      </c>
      <c r="K66" s="51">
        <f t="shared" si="7"/>
        <v>862621.52829363826</v>
      </c>
      <c r="L66" s="49">
        <f>IF(AND(C$7="Y",$B66&lt;=$C$4),0,IF(AND(C$7="N",C$4&gt;0,B66&lt;=C$4),0,U66*D65))</f>
        <v>21205.378388434212</v>
      </c>
      <c r="M66" s="49">
        <f t="shared" si="23"/>
        <v>-37214.666742776943</v>
      </c>
      <c r="N66" s="49">
        <f t="shared" si="22"/>
        <v>3721.4666742776935</v>
      </c>
      <c r="O66" s="48">
        <f t="shared" si="8"/>
        <v>883248.09396489593</v>
      </c>
      <c r="P66" s="38">
        <f>O66*(1/((1+P$9)^(B66/12)))</f>
        <v>883248.09396489593</v>
      </c>
      <c r="Q66" s="53"/>
      <c r="R66" s="53">
        <f t="shared" si="9"/>
        <v>0.12</v>
      </c>
      <c r="S66" s="53">
        <f t="shared" si="10"/>
        <v>1.0596241035318976E-2</v>
      </c>
      <c r="T66" s="53">
        <f t="shared" si="11"/>
        <v>0.05</v>
      </c>
      <c r="U66" s="53">
        <f t="shared" si="13"/>
        <v>4.2653187775606449E-3</v>
      </c>
    </row>
    <row r="67" spans="1:21" x14ac:dyDescent="0.2">
      <c r="A67" s="62"/>
      <c r="B67" s="45">
        <f t="shared" si="1"/>
        <v>56</v>
      </c>
      <c r="C67" s="51">
        <f>IF(B67&lt;C$4,C$1,D66-L67+N67)</f>
        <v>4075736.5165274488</v>
      </c>
      <c r="D67" s="47">
        <f t="shared" si="2"/>
        <v>3229961.5149737997</v>
      </c>
      <c r="E67" s="48">
        <f t="shared" si="3"/>
        <v>0</v>
      </c>
      <c r="F67" s="50">
        <f t="shared" si="4"/>
        <v>0</v>
      </c>
      <c r="G67" s="50">
        <f t="shared" si="15"/>
        <v>0</v>
      </c>
      <c r="H67" s="51">
        <f t="shared" si="5"/>
        <v>828227.98374503024</v>
      </c>
      <c r="I67" s="52">
        <f>IF(AND(C$7="Y",$B67&lt;=C$4),0,IF(AND(C$7="Y",$B67&gt;C$4),(1-U67)*C$2*D66/12,IF(AND($C$7="N",C$4&gt;0),(1-U67)*D66*C$2/12, (1-U67)*D66*C$2/12)))</f>
        <v>16968.458962458051</v>
      </c>
      <c r="J67" s="57">
        <f t="shared" si="6"/>
        <v>811186.83886733418</v>
      </c>
      <c r="K67" s="51">
        <f t="shared" si="7"/>
        <v>844213.09798184386</v>
      </c>
      <c r="L67" s="49">
        <f>IF(AND(C$7="Y",$B67&lt;=$C$4),0,IF(AND(C$7="N",C$4&gt;0,B67&lt;=C$4),0,U67*D66))</f>
        <v>17444.619657112376</v>
      </c>
      <c r="M67" s="49">
        <f t="shared" si="23"/>
        <v>-33063.65537516441</v>
      </c>
      <c r="N67" s="49">
        <f t="shared" si="22"/>
        <v>3306.3655375164403</v>
      </c>
      <c r="O67" s="48">
        <f t="shared" si="8"/>
        <v>861181.55694430193</v>
      </c>
      <c r="P67" s="38">
        <f>O67*(1/((1+P$9)^(B67/12)))</f>
        <v>861181.55694430193</v>
      </c>
      <c r="Q67" s="53"/>
      <c r="R67" s="53">
        <f t="shared" si="9"/>
        <v>0.12</v>
      </c>
      <c r="S67" s="53">
        <f t="shared" si="10"/>
        <v>1.0596241035318976E-2</v>
      </c>
      <c r="T67" s="53">
        <f t="shared" si="11"/>
        <v>0.05</v>
      </c>
      <c r="U67" s="53">
        <f t="shared" si="13"/>
        <v>4.2653187775606449E-3</v>
      </c>
    </row>
    <row r="68" spans="1:21" x14ac:dyDescent="0.2">
      <c r="A68" s="62"/>
      <c r="B68" s="45">
        <f t="shared" si="1"/>
        <v>57</v>
      </c>
      <c r="C68" s="51">
        <f>IF(B68&lt;C$4,C$1,D67-L68+N68)</f>
        <v>3219086.0031659063</v>
      </c>
      <c r="D68" s="47">
        <f t="shared" si="2"/>
        <v>2391424.0205865125</v>
      </c>
      <c r="E68" s="48">
        <f t="shared" si="3"/>
        <v>0</v>
      </c>
      <c r="F68" s="50">
        <f t="shared" si="4"/>
        <v>0</v>
      </c>
      <c r="G68" s="50">
        <f t="shared" si="15"/>
        <v>0</v>
      </c>
      <c r="H68" s="51">
        <f t="shared" si="5"/>
        <v>815919.22402590094</v>
      </c>
      <c r="I68" s="52">
        <f>IF(AND(C$7="Y",$B68&lt;=C$4),0,IF(AND(C$7="Y",$B68&gt;C$4),(1-U68)*C$2*D67/12,IF(AND($C$7="N",C$4&gt;0),(1-U68)*D67*C$2/12, (1-U68)*D67*C$2/12)))</f>
        <v>13400.769581138265</v>
      </c>
      <c r="J68" s="57">
        <f t="shared" si="6"/>
        <v>802461.05104684341</v>
      </c>
      <c r="K68" s="51">
        <f t="shared" si="7"/>
        <v>826138.36043673276</v>
      </c>
      <c r="L68" s="49">
        <f>IF(AND(C$7="Y",$B68&lt;=$C$4),0,IF(AND(C$7="N",C$4&gt;0,B68&lt;=C$4),0,U68*D67))</f>
        <v>13776.815500615976</v>
      </c>
      <c r="M68" s="49">
        <f t="shared" si="23"/>
        <v>-29013.036927228448</v>
      </c>
      <c r="N68" s="49">
        <f t="shared" si="22"/>
        <v>2901.3036927228441</v>
      </c>
      <c r="O68" s="48">
        <f t="shared" si="8"/>
        <v>839539.13001787104</v>
      </c>
      <c r="P68" s="38">
        <f>O68*(1/((1+P$9)^(B68/12)))</f>
        <v>839539.13001787104</v>
      </c>
      <c r="Q68" s="53"/>
      <c r="R68" s="53">
        <f t="shared" si="9"/>
        <v>0.12</v>
      </c>
      <c r="S68" s="53">
        <f t="shared" si="10"/>
        <v>1.0596241035318976E-2</v>
      </c>
      <c r="T68" s="53">
        <f t="shared" si="11"/>
        <v>0.05</v>
      </c>
      <c r="U68" s="53">
        <f t="shared" si="13"/>
        <v>4.2653187775606449E-3</v>
      </c>
    </row>
    <row r="69" spans="1:21" x14ac:dyDescent="0.2">
      <c r="A69" s="62"/>
      <c r="B69" s="45">
        <f t="shared" si="1"/>
        <v>58</v>
      </c>
      <c r="C69" s="51">
        <f>IF(B69&lt;C$4,C$1,D68-L69+N69)</f>
        <v>2383729.9251152761</v>
      </c>
      <c r="D69" s="47">
        <f t="shared" si="2"/>
        <v>1573852.1435647439</v>
      </c>
      <c r="E69" s="48">
        <f t="shared" si="3"/>
        <v>0</v>
      </c>
      <c r="F69" s="50">
        <f t="shared" si="4"/>
        <v>0</v>
      </c>
      <c r="G69" s="50">
        <f t="shared" si="15"/>
        <v>0</v>
      </c>
      <c r="H69" s="51">
        <f t="shared" si="5"/>
        <v>803793.39167555957</v>
      </c>
      <c r="I69" s="52">
        <f>IF(AND(C$7="Y",$B69&lt;=C$4),0,IF(AND(C$7="Y",$B69&gt;C$4),(1-U69)*C$2*D68/12,IF(AND($C$7="N",C$4&gt;0),(1-U69)*D68*C$2/12, (1-U69)*D68*C$2/12)))</f>
        <v>9921.7659783599811</v>
      </c>
      <c r="J69" s="57">
        <f t="shared" si="6"/>
        <v>793829.12492311583</v>
      </c>
      <c r="K69" s="51">
        <f t="shared" si="7"/>
        <v>808391.7098196632</v>
      </c>
      <c r="L69" s="49">
        <f>IF(AND(C$7="Y",$B69&lt;=$C$4),0,IF(AND(C$7="N",C$4&gt;0,B69&lt;=C$4),0,U69*D68))</f>
        <v>10200.185780117226</v>
      </c>
      <c r="M69" s="49">
        <f t="shared" si="23"/>
        <v>-25060.903088809249</v>
      </c>
      <c r="N69" s="49">
        <f t="shared" si="22"/>
        <v>2506.0903088809246</v>
      </c>
      <c r="O69" s="48">
        <f t="shared" si="8"/>
        <v>818313.47579802317</v>
      </c>
      <c r="P69" s="38">
        <f>O69*(1/((1+P$9)^(B69/12)))</f>
        <v>818313.47579802317</v>
      </c>
      <c r="Q69" s="53"/>
      <c r="R69" s="53">
        <f t="shared" si="9"/>
        <v>0.12</v>
      </c>
      <c r="S69" s="53">
        <f t="shared" si="10"/>
        <v>1.0596241035318976E-2</v>
      </c>
      <c r="T69" s="53">
        <f t="shared" si="11"/>
        <v>0.05</v>
      </c>
      <c r="U69" s="53">
        <f t="shared" si="13"/>
        <v>4.2653187775606449E-3</v>
      </c>
    </row>
    <row r="70" spans="1:21" x14ac:dyDescent="0.2">
      <c r="A70" s="62"/>
      <c r="B70" s="45">
        <f t="shared" si="1"/>
        <v>59</v>
      </c>
      <c r="C70" s="51">
        <f>IF(B70&lt;C$4,C$1,D69-L70+N70)</f>
        <v>1569259.7003025366</v>
      </c>
      <c r="D70" s="47">
        <f t="shared" si="2"/>
        <v>776842.83001447329</v>
      </c>
      <c r="E70" s="48">
        <f t="shared" si="3"/>
        <v>0</v>
      </c>
      <c r="F70" s="50">
        <f t="shared" si="4"/>
        <v>0</v>
      </c>
      <c r="G70" s="50">
        <f t="shared" si="15"/>
        <v>0</v>
      </c>
      <c r="H70" s="51">
        <f t="shared" si="5"/>
        <v>791847.76810797176</v>
      </c>
      <c r="I70" s="52">
        <f>IF(AND(C$7="Y",$B70&lt;=C$4),0,IF(AND(C$7="Y",$B70&gt;C$4),(1-U70)*C$2*D69/12,IF(AND($C$7="N",C$4&gt;0),(1-U70)*D69*C$2/12, (1-U70)*D69*C$2/12)))</f>
        <v>6529.7465102653887</v>
      </c>
      <c r="J70" s="57">
        <f t="shared" si="6"/>
        <v>785290.05084311869</v>
      </c>
      <c r="K70" s="51">
        <f t="shared" si="7"/>
        <v>790967.63055932499</v>
      </c>
      <c r="L70" s="49">
        <f>IF(AND(C$7="Y",$B70&lt;=$C$4),0,IF(AND(C$7="N",C$4&gt;0,B70&lt;=C$4),0,U70*D69))</f>
        <v>6712.9811010507738</v>
      </c>
      <c r="M70" s="49">
        <f t="shared" si="23"/>
        <v>-21205.378388434212</v>
      </c>
      <c r="N70" s="49">
        <f t="shared" si="22"/>
        <v>2120.5378388434206</v>
      </c>
      <c r="O70" s="48">
        <f t="shared" si="8"/>
        <v>797497.37706959038</v>
      </c>
      <c r="P70" s="38">
        <f>O70*(1/((1+P$9)^(B70/12)))</f>
        <v>797497.37706959038</v>
      </c>
      <c r="Q70" s="53"/>
      <c r="R70" s="53">
        <f t="shared" si="9"/>
        <v>0.12</v>
      </c>
      <c r="S70" s="53">
        <f t="shared" si="10"/>
        <v>1.0596241035318976E-2</v>
      </c>
      <c r="T70" s="53">
        <f t="shared" si="11"/>
        <v>0.05</v>
      </c>
      <c r="U70" s="53">
        <f t="shared" si="13"/>
        <v>4.2653187775606449E-3</v>
      </c>
    </row>
    <row r="71" spans="1:21" x14ac:dyDescent="0.2">
      <c r="A71" s="62"/>
      <c r="B71" s="45">
        <f t="shared" si="1"/>
        <v>60</v>
      </c>
      <c r="C71" s="51">
        <f>IF(B71&lt;C$4,C$1,D70-L71+N71)</f>
        <v>775273.80967011047</v>
      </c>
      <c r="D71" s="47">
        <f t="shared" si="2"/>
        <v>-2.7524450054032364E-9</v>
      </c>
      <c r="E71" s="48">
        <f t="shared" si="3"/>
        <v>0</v>
      </c>
      <c r="F71" s="50">
        <f t="shared" si="4"/>
        <v>0</v>
      </c>
      <c r="G71" s="50">
        <f t="shared" si="15"/>
        <v>0</v>
      </c>
      <c r="H71" s="51">
        <f t="shared" si="5"/>
        <v>780079.67513953638</v>
      </c>
      <c r="I71" s="52">
        <f>IF(AND(C$7="Y",$B71&lt;=C$4),0,IF(AND(C$7="Y",$B71&gt;C$4),(1-U71)*C$2*D70/12,IF(AND($C$7="N",C$4&gt;0),(1-U71)*D70*C$2/12, (1-U71)*D70*C$2/12)))</f>
        <v>3223.0389487683301</v>
      </c>
      <c r="J71" s="57">
        <f t="shared" si="6"/>
        <v>776842.83001447609</v>
      </c>
      <c r="K71" s="51">
        <f t="shared" si="7"/>
        <v>773860.69593540952</v>
      </c>
      <c r="L71" s="49">
        <f>IF(AND(C$7="Y",$B71&lt;=$C$4),0,IF(AND(C$7="N",C$4&gt;0,B71&lt;=C$4),0,U71*D70))</f>
        <v>3313.482310074085</v>
      </c>
      <c r="M71" s="49">
        <f t="shared" si="23"/>
        <v>-17444.619657112376</v>
      </c>
      <c r="N71" s="49">
        <f t="shared" si="22"/>
        <v>1744.4619657112373</v>
      </c>
      <c r="O71" s="48">
        <f t="shared" si="8"/>
        <v>777083.7348841778</v>
      </c>
      <c r="P71" s="38">
        <f>O71*(1/((1+P$9)^(B71/12)))</f>
        <v>777083.7348841778</v>
      </c>
      <c r="Q71" s="53"/>
      <c r="R71" s="53">
        <f t="shared" si="9"/>
        <v>0.12</v>
      </c>
      <c r="S71" s="53">
        <f t="shared" si="10"/>
        <v>1.0596241035318976E-2</v>
      </c>
      <c r="T71" s="53">
        <f t="shared" si="11"/>
        <v>0.05</v>
      </c>
      <c r="U71" s="53">
        <f t="shared" si="13"/>
        <v>4.2653187775606449E-3</v>
      </c>
    </row>
    <row r="72" spans="1:21" x14ac:dyDescent="0.2">
      <c r="A72" s="62"/>
      <c r="B72" s="45">
        <f t="shared" si="1"/>
        <v>61</v>
      </c>
      <c r="C72" s="51">
        <f>IF(B72&lt;C$4,C$1,D71-L72+N72)</f>
        <v>1377.6815500588566</v>
      </c>
      <c r="D72" s="47" t="e">
        <f t="shared" si="2"/>
        <v>#DIV/0!</v>
      </c>
      <c r="E72" s="48">
        <f t="shared" si="3"/>
        <v>0</v>
      </c>
      <c r="F72" s="50">
        <f t="shared" si="4"/>
        <v>0</v>
      </c>
      <c r="G72" s="50">
        <f t="shared" si="15"/>
        <v>0</v>
      </c>
      <c r="H72" s="51" t="e">
        <f t="shared" si="5"/>
        <v>#DIV/0!</v>
      </c>
      <c r="I72" s="52">
        <f>IF(AND(C$7="Y",$B72&lt;=C$4),0,IF(AND(C$7="Y",$B72&gt;C$4),(1-U72)*C$2*D71/12,IF(AND($C$7="N",C$4&gt;0),(1-U72)*D71*C$2/12, (1-U72)*D71*C$2/12)))</f>
        <v>-1.1419603958489528E-11</v>
      </c>
      <c r="J72" s="57" t="e">
        <f t="shared" si="6"/>
        <v>#DIV/0!</v>
      </c>
      <c r="K72" s="51" t="e">
        <f t="shared" si="7"/>
        <v>#DIV/0!</v>
      </c>
      <c r="L72" s="49">
        <f>IF(AND(C$7="Y",$B72&lt;=$C$4),0,IF(AND(C$7="N",C$4&gt;0,B72&lt;=C$4),0,U72*D71))</f>
        <v>-1.1740055365749436E-11</v>
      </c>
      <c r="M72" s="49">
        <f t="shared" si="23"/>
        <v>-13776.815500615976</v>
      </c>
      <c r="N72" s="49">
        <f t="shared" si="22"/>
        <v>1377.6815500615974</v>
      </c>
      <c r="O72" s="48" t="e">
        <f t="shared" si="8"/>
        <v>#DIV/0!</v>
      </c>
      <c r="P72" s="38" t="e">
        <f>O72*(1/((1+P$9)^(B72/12)))</f>
        <v>#DIV/0!</v>
      </c>
      <c r="Q72" s="53"/>
      <c r="R72" s="53">
        <f t="shared" si="9"/>
        <v>0.12</v>
      </c>
      <c r="S72" s="53">
        <f t="shared" si="10"/>
        <v>1.0596241035318976E-2</v>
      </c>
      <c r="T72" s="53">
        <f t="shared" si="11"/>
        <v>0.05</v>
      </c>
      <c r="U72" s="53">
        <f t="shared" si="13"/>
        <v>4.2653187775606449E-3</v>
      </c>
    </row>
    <row r="73" spans="1:21" x14ac:dyDescent="0.2">
      <c r="A73" s="62"/>
      <c r="B73" s="45">
        <f t="shared" si="1"/>
        <v>62</v>
      </c>
      <c r="C73" s="51" t="e">
        <f>IF(B73&lt;C$4,C$1,D72-L73+N73)</f>
        <v>#DIV/0!</v>
      </c>
      <c r="D73" s="47" t="e">
        <f t="shared" si="2"/>
        <v>#DIV/0!</v>
      </c>
      <c r="E73" s="48">
        <f t="shared" si="3"/>
        <v>0</v>
      </c>
      <c r="F73" s="50">
        <f t="shared" si="4"/>
        <v>0</v>
      </c>
      <c r="G73" s="50">
        <f t="shared" si="15"/>
        <v>0</v>
      </c>
      <c r="H73" s="51" t="e">
        <f t="shared" si="5"/>
        <v>#DIV/0!</v>
      </c>
      <c r="I73" s="52" t="e">
        <f>IF(AND(C$7="Y",$B73&lt;=C$4),0,IF(AND(C$7="Y",$B73&gt;C$4),(1-U73)*C$2*D72/12,IF(AND($C$7="N",C$4&gt;0),(1-U73)*D72*C$2/12, (1-U73)*D72*C$2/12)))</f>
        <v>#DIV/0!</v>
      </c>
      <c r="J73" s="57" t="e">
        <f t="shared" si="6"/>
        <v>#DIV/0!</v>
      </c>
      <c r="K73" s="51" t="e">
        <f t="shared" si="7"/>
        <v>#DIV/0!</v>
      </c>
      <c r="L73" s="49" t="e">
        <f>IF(AND(C$7="Y",$B73&lt;=$C$4),0,IF(AND(C$7="N",C$4&gt;0,B73&lt;=C$4),0,U73*D72))</f>
        <v>#DIV/0!</v>
      </c>
      <c r="M73" s="49">
        <f t="shared" si="23"/>
        <v>-10200.185780117226</v>
      </c>
      <c r="N73" s="49">
        <f t="shared" si="22"/>
        <v>1020.0185780117224</v>
      </c>
      <c r="O73" s="48" t="e">
        <f t="shared" si="8"/>
        <v>#DIV/0!</v>
      </c>
      <c r="P73" s="38" t="e">
        <f>O73*(1/((1+P$9)^(B73/12)))</f>
        <v>#DIV/0!</v>
      </c>
      <c r="Q73" s="53"/>
      <c r="R73" s="53">
        <f t="shared" si="9"/>
        <v>0.12</v>
      </c>
      <c r="S73" s="53">
        <f t="shared" si="10"/>
        <v>1.0596241035318976E-2</v>
      </c>
      <c r="T73" s="53">
        <f t="shared" si="11"/>
        <v>0.05</v>
      </c>
      <c r="U73" s="53">
        <f t="shared" si="13"/>
        <v>4.2653187775606449E-3</v>
      </c>
    </row>
    <row r="74" spans="1:21" x14ac:dyDescent="0.2">
      <c r="A74" s="62"/>
      <c r="B74" s="45">
        <f t="shared" si="1"/>
        <v>63</v>
      </c>
      <c r="C74" s="51" t="e">
        <f>IF(B74&lt;C$4,C$1,D73-L74+N74)</f>
        <v>#DIV/0!</v>
      </c>
      <c r="D74" s="47" t="e">
        <f t="shared" si="2"/>
        <v>#DIV/0!</v>
      </c>
      <c r="E74" s="48">
        <f t="shared" si="3"/>
        <v>0</v>
      </c>
      <c r="F74" s="50">
        <f t="shared" si="4"/>
        <v>0</v>
      </c>
      <c r="G74" s="50">
        <f t="shared" si="15"/>
        <v>0</v>
      </c>
      <c r="H74" s="51" t="e">
        <f t="shared" si="5"/>
        <v>#DIV/0!</v>
      </c>
      <c r="I74" s="52" t="e">
        <f>IF(AND(C$7="Y",$B74&lt;=C$4),0,IF(AND(C$7="Y",$B74&gt;C$4),(1-U74)*C$2*D73/12,IF(AND($C$7="N",C$4&gt;0),(1-U74)*D73*C$2/12, (1-U74)*D73*C$2/12)))</f>
        <v>#DIV/0!</v>
      </c>
      <c r="J74" s="57" t="e">
        <f t="shared" si="6"/>
        <v>#DIV/0!</v>
      </c>
      <c r="K74" s="51" t="e">
        <f t="shared" si="7"/>
        <v>#DIV/0!</v>
      </c>
      <c r="L74" s="49" t="e">
        <f>IF(AND(C$7="Y",$B74&lt;=$C$4),0,IF(AND(C$7="N",C$4&gt;0,B74&lt;=C$4),0,U74*D73))</f>
        <v>#DIV/0!</v>
      </c>
      <c r="M74" s="49">
        <f t="shared" si="23"/>
        <v>-6712.9811010507738</v>
      </c>
      <c r="N74" s="49">
        <f t="shared" si="22"/>
        <v>671.29811010507717</v>
      </c>
      <c r="O74" s="48" t="e">
        <f t="shared" si="8"/>
        <v>#DIV/0!</v>
      </c>
      <c r="P74" s="38" t="e">
        <f>O74*(1/((1+P$9)^(B74/12)))</f>
        <v>#DIV/0!</v>
      </c>
      <c r="Q74" s="53"/>
      <c r="R74" s="53">
        <f t="shared" si="9"/>
        <v>0.12</v>
      </c>
      <c r="S74" s="53">
        <f t="shared" si="10"/>
        <v>1.0596241035318976E-2</v>
      </c>
      <c r="T74" s="53">
        <f t="shared" si="11"/>
        <v>0.05</v>
      </c>
      <c r="U74" s="53">
        <f t="shared" si="13"/>
        <v>4.2653187775606449E-3</v>
      </c>
    </row>
    <row r="75" spans="1:21" x14ac:dyDescent="0.2">
      <c r="A75" s="62"/>
      <c r="B75" s="45">
        <f t="shared" si="1"/>
        <v>64</v>
      </c>
      <c r="C75" s="51" t="e">
        <f>IF(B75&lt;C$4,C$1,D74-L75+N75)</f>
        <v>#DIV/0!</v>
      </c>
      <c r="D75" s="47" t="e">
        <f t="shared" si="2"/>
        <v>#DIV/0!</v>
      </c>
      <c r="E75" s="48">
        <f t="shared" si="3"/>
        <v>0</v>
      </c>
      <c r="F75" s="50">
        <f t="shared" si="4"/>
        <v>0</v>
      </c>
      <c r="G75" s="50">
        <f t="shared" si="15"/>
        <v>0</v>
      </c>
      <c r="H75" s="51" t="e">
        <f t="shared" si="5"/>
        <v>#DIV/0!</v>
      </c>
      <c r="I75" s="52" t="e">
        <f>IF(AND(C$7="Y",$B75&lt;=C$4),0,IF(AND(C$7="Y",$B75&gt;C$4),(1-U75)*C$2*D74/12,IF(AND($C$7="N",C$4&gt;0),(1-U75)*D74*C$2/12, (1-U75)*D74*C$2/12)))</f>
        <v>#DIV/0!</v>
      </c>
      <c r="J75" s="57" t="e">
        <f t="shared" si="6"/>
        <v>#DIV/0!</v>
      </c>
      <c r="K75" s="51" t="e">
        <f t="shared" si="7"/>
        <v>#DIV/0!</v>
      </c>
      <c r="L75" s="49" t="e">
        <f>IF(AND(C$7="Y",$B75&lt;=$C$4),0,IF(AND(C$7="N",C$4&gt;0,B75&lt;=C$4),0,U75*D74))</f>
        <v>#DIV/0!</v>
      </c>
      <c r="M75" s="49">
        <f t="shared" si="23"/>
        <v>-3313.482310074085</v>
      </c>
      <c r="N75" s="49">
        <f t="shared" si="22"/>
        <v>331.34823100740846</v>
      </c>
      <c r="O75" s="48" t="e">
        <f t="shared" si="8"/>
        <v>#DIV/0!</v>
      </c>
      <c r="P75" s="38" t="e">
        <f>O75*(1/((1+P$9)^(B75/12)))</f>
        <v>#DIV/0!</v>
      </c>
      <c r="Q75" s="53"/>
      <c r="R75" s="53">
        <f t="shared" si="9"/>
        <v>0.12</v>
      </c>
      <c r="S75" s="53">
        <f t="shared" si="10"/>
        <v>1.0596241035318976E-2</v>
      </c>
      <c r="T75" s="53">
        <f t="shared" si="11"/>
        <v>0.05</v>
      </c>
      <c r="U75" s="53">
        <f t="shared" si="13"/>
        <v>4.2653187775606449E-3</v>
      </c>
    </row>
    <row r="76" spans="1:21" x14ac:dyDescent="0.2">
      <c r="A76" s="62"/>
      <c r="B76" s="45">
        <f t="shared" si="1"/>
        <v>65</v>
      </c>
      <c r="C76" s="51" t="e">
        <f>IF(B76&lt;C$4,C$1,D75-L76+N76)</f>
        <v>#DIV/0!</v>
      </c>
      <c r="D76" s="47" t="e">
        <f t="shared" si="2"/>
        <v>#DIV/0!</v>
      </c>
      <c r="E76" s="48">
        <f t="shared" si="3"/>
        <v>0</v>
      </c>
      <c r="F76" s="50">
        <f t="shared" si="4"/>
        <v>0</v>
      </c>
      <c r="G76" s="50">
        <f t="shared" si="15"/>
        <v>0</v>
      </c>
      <c r="H76" s="51" t="e">
        <f t="shared" si="5"/>
        <v>#DIV/0!</v>
      </c>
      <c r="I76" s="52" t="e">
        <f>IF(AND(C$7="Y",$B76&lt;=C$4),0,IF(AND(C$7="Y",$B76&gt;C$4),(1-U76)*C$2*D75/12,IF(AND($C$7="N",C$4&gt;0),(1-U76)*D75*C$2/12, (1-U76)*D75*C$2/12)))</f>
        <v>#DIV/0!</v>
      </c>
      <c r="J76" s="57" t="e">
        <f t="shared" si="6"/>
        <v>#DIV/0!</v>
      </c>
      <c r="K76" s="51" t="e">
        <f t="shared" si="7"/>
        <v>#DIV/0!</v>
      </c>
      <c r="L76" s="49" t="e">
        <f>IF(AND(C$7="Y",$B76&lt;=$C$4),0,IF(AND(C$7="N",C$4&gt;0,B76&lt;=C$4),0,U76*D75))</f>
        <v>#DIV/0!</v>
      </c>
      <c r="M76" s="49">
        <f t="shared" si="23"/>
        <v>1.1740055365749436E-11</v>
      </c>
      <c r="N76" s="49">
        <f t="shared" si="22"/>
        <v>-1.1740055365749433E-12</v>
      </c>
      <c r="O76" s="48" t="e">
        <f t="shared" si="8"/>
        <v>#DIV/0!</v>
      </c>
      <c r="P76" s="38" t="e">
        <f>O76*(1/((1+P$9)^(B76/12)))</f>
        <v>#DIV/0!</v>
      </c>
      <c r="Q76" s="53"/>
      <c r="R76" s="53">
        <f t="shared" si="9"/>
        <v>0.12</v>
      </c>
      <c r="S76" s="53">
        <f t="shared" si="10"/>
        <v>1.0596241035318976E-2</v>
      </c>
      <c r="T76" s="53">
        <f t="shared" si="11"/>
        <v>0.05</v>
      </c>
      <c r="U76" s="53">
        <f t="shared" si="13"/>
        <v>4.2653187775606449E-3</v>
      </c>
    </row>
    <row r="77" spans="1:21" x14ac:dyDescent="0.2">
      <c r="A77" s="62"/>
      <c r="B77" s="45">
        <f t="shared" ref="B77:B140" si="24">B76+1</f>
        <v>66</v>
      </c>
      <c r="C77" s="51" t="e">
        <f>IF(B77&lt;C$4,C$1,D76-L77+N77)</f>
        <v>#DIV/0!</v>
      </c>
      <c r="D77" s="47" t="e">
        <f t="shared" ref="D77:D140" si="25">(D76-J77)*(1-S77-U77)</f>
        <v>#DIV/0!</v>
      </c>
      <c r="E77" s="48">
        <f t="shared" ref="E77:E140" si="26">IF(AND($C$7="Y",B77&lt;=$C$4),D76*C$2/12-G77,0)</f>
        <v>0</v>
      </c>
      <c r="F77" s="50">
        <f t="shared" ref="F77:F140" si="27">IF(AND($C$7="Y",B77&lt;=C$4),E77+F76,0)</f>
        <v>0</v>
      </c>
      <c r="G77" s="50">
        <f t="shared" si="15"/>
        <v>0</v>
      </c>
      <c r="H77" s="51" t="e">
        <f t="shared" ref="H77:H140" si="28">IF(AND($B77&lt;=$C$4,C$7="Y"),0,IF(AND(C$7="N",C$4&gt;0,B77&lt;=C$4),0,(D76)*C$2/12/(1-(1/(1+C$2/12))^(C$3+C$4-B77+1))))</f>
        <v>#DIV/0!</v>
      </c>
      <c r="I77" s="52" t="e">
        <f>IF(AND(C$7="Y",$B77&lt;=C$4),0,IF(AND(C$7="Y",$B77&gt;C$4),(1-U77)*C$2*D76/12,IF(AND($C$7="N",C$4&gt;0),(1-U77)*D76*C$2/12, (1-U77)*D76*C$2/12)))</f>
        <v>#DIV/0!</v>
      </c>
      <c r="J77" s="57" t="e">
        <f t="shared" ref="J77:J140" si="29">IF(AND($B77&lt;=$C$4,C$7="Y"),0,IF(AND(C$7="N",C$4&gt;0,B77&lt;=C$4),0,H77-I77-D76*U77*C$2/12))</f>
        <v>#DIV/0!</v>
      </c>
      <c r="K77" s="51" t="e">
        <f t="shared" ref="K77:K140" si="30">(D76-D77)-L77+L77*(1-N$9)</f>
        <v>#DIV/0!</v>
      </c>
      <c r="L77" s="49" t="e">
        <f>IF(AND(C$7="Y",$B77&lt;=$C$4),0,IF(AND(C$7="N",C$4&gt;0,B77&lt;=C$4),0,U77*D76))</f>
        <v>#DIV/0!</v>
      </c>
      <c r="M77" s="49">
        <f t="shared" si="23"/>
        <v>0</v>
      </c>
      <c r="N77" s="49">
        <f t="shared" si="22"/>
        <v>0</v>
      </c>
      <c r="O77" s="48" t="e">
        <f t="shared" ref="O77:O140" si="31">I77+K77</f>
        <v>#DIV/0!</v>
      </c>
      <c r="P77" s="38" t="e">
        <f>O77*(1/((1+P$9)^(B77/12)))</f>
        <v>#DIV/0!</v>
      </c>
      <c r="Q77" s="53"/>
      <c r="R77" s="53">
        <f t="shared" ref="R77:R140" si="32">R$9</f>
        <v>0.12</v>
      </c>
      <c r="S77" s="53">
        <f t="shared" ref="S77:S140" si="33">1-(1-R77)^(1/12)</f>
        <v>1.0596241035318976E-2</v>
      </c>
      <c r="T77" s="53">
        <f t="shared" ref="T77:T140" si="34">T$9</f>
        <v>0.05</v>
      </c>
      <c r="U77" s="53">
        <f t="shared" si="13"/>
        <v>4.2653187775606449E-3</v>
      </c>
    </row>
    <row r="78" spans="1:21" x14ac:dyDescent="0.2">
      <c r="A78" s="62"/>
      <c r="B78" s="45">
        <f t="shared" si="24"/>
        <v>67</v>
      </c>
      <c r="C78" s="51" t="e">
        <f>IF(B78&lt;C$4,C$1,D77-L78+N78)</f>
        <v>#DIV/0!</v>
      </c>
      <c r="D78" s="47" t="e">
        <f t="shared" si="25"/>
        <v>#DIV/0!</v>
      </c>
      <c r="E78" s="48">
        <f t="shared" si="26"/>
        <v>0</v>
      </c>
      <c r="F78" s="50">
        <f t="shared" si="27"/>
        <v>0</v>
      </c>
      <c r="G78" s="50">
        <f t="shared" si="15"/>
        <v>0</v>
      </c>
      <c r="H78" s="51" t="e">
        <f t="shared" si="28"/>
        <v>#DIV/0!</v>
      </c>
      <c r="I78" s="52" t="e">
        <f>IF(AND(C$7="Y",$B78&lt;=C$4),0,IF(AND(C$7="Y",$B78&gt;C$4),(1-U78)*C$2*D77/12,IF(AND($C$7="N",C$4&gt;0),(1-U78)*D77*C$2/12, (1-U78)*D77*C$2/12)))</f>
        <v>#DIV/0!</v>
      </c>
      <c r="J78" s="57" t="e">
        <f t="shared" si="29"/>
        <v>#DIV/0!</v>
      </c>
      <c r="K78" s="51" t="e">
        <f t="shared" si="30"/>
        <v>#DIV/0!</v>
      </c>
      <c r="L78" s="49" t="e">
        <f>IF(AND(C$7="Y",$B78&lt;=$C$4),0,IF(AND(C$7="N",C$4&gt;0,B78&lt;=C$4),0,U78*D77))</f>
        <v>#DIV/0!</v>
      </c>
      <c r="M78" s="49">
        <f t="shared" si="23"/>
        <v>0</v>
      </c>
      <c r="N78" s="49">
        <f t="shared" si="22"/>
        <v>0</v>
      </c>
      <c r="O78" s="48" t="e">
        <f t="shared" si="31"/>
        <v>#DIV/0!</v>
      </c>
      <c r="P78" s="38" t="e">
        <f>O78*(1/((1+P$9)^(B78/12)))</f>
        <v>#DIV/0!</v>
      </c>
      <c r="Q78" s="53"/>
      <c r="R78" s="53">
        <f t="shared" si="32"/>
        <v>0.12</v>
      </c>
      <c r="S78" s="53">
        <f t="shared" si="33"/>
        <v>1.0596241035318976E-2</v>
      </c>
      <c r="T78" s="53">
        <f t="shared" si="34"/>
        <v>0.05</v>
      </c>
      <c r="U78" s="53">
        <f t="shared" ref="U78:U141" si="35">1-(1-T78)^(1/12)</f>
        <v>4.2653187775606449E-3</v>
      </c>
    </row>
    <row r="79" spans="1:21" x14ac:dyDescent="0.2">
      <c r="A79" s="62"/>
      <c r="B79" s="45">
        <f t="shared" si="24"/>
        <v>68</v>
      </c>
      <c r="C79" s="51" t="e">
        <f>IF(B79&lt;C$4,C$1,D78-L79+N79)</f>
        <v>#DIV/0!</v>
      </c>
      <c r="D79" s="47" t="e">
        <f t="shared" si="25"/>
        <v>#DIV/0!</v>
      </c>
      <c r="E79" s="48">
        <f t="shared" si="26"/>
        <v>0</v>
      </c>
      <c r="F79" s="50">
        <f t="shared" si="27"/>
        <v>0</v>
      </c>
      <c r="G79" s="50">
        <f t="shared" ref="G79:G142" si="36">IF($B79&lt;=$C$4,C$6,0)</f>
        <v>0</v>
      </c>
      <c r="H79" s="51" t="e">
        <f t="shared" si="28"/>
        <v>#DIV/0!</v>
      </c>
      <c r="I79" s="52" t="e">
        <f>IF(AND(C$7="Y",$B79&lt;=C$4),0,IF(AND(C$7="Y",$B79&gt;C$4),(1-U79)*C$2*D78/12,IF(AND($C$7="N",C$4&gt;0),(1-U79)*D78*C$2/12, (1-U79)*D78*C$2/12)))</f>
        <v>#DIV/0!</v>
      </c>
      <c r="J79" s="57" t="e">
        <f t="shared" si="29"/>
        <v>#DIV/0!</v>
      </c>
      <c r="K79" s="51" t="e">
        <f t="shared" si="30"/>
        <v>#DIV/0!</v>
      </c>
      <c r="L79" s="49" t="e">
        <f>IF(AND(C$7="Y",$B79&lt;=$C$4),0,IF(AND(C$7="N",C$4&gt;0,B79&lt;=C$4),0,U79*D78))</f>
        <v>#DIV/0!</v>
      </c>
      <c r="M79" s="49">
        <f t="shared" si="23"/>
        <v>0</v>
      </c>
      <c r="N79" s="49">
        <f t="shared" si="22"/>
        <v>0</v>
      </c>
      <c r="O79" s="48" t="e">
        <f t="shared" si="31"/>
        <v>#DIV/0!</v>
      </c>
      <c r="P79" s="38" t="e">
        <f>O79*(1/((1+P$9)^(B79/12)))</f>
        <v>#DIV/0!</v>
      </c>
      <c r="Q79" s="53"/>
      <c r="R79" s="53">
        <f t="shared" si="32"/>
        <v>0.12</v>
      </c>
      <c r="S79" s="53">
        <f t="shared" si="33"/>
        <v>1.0596241035318976E-2</v>
      </c>
      <c r="T79" s="53">
        <f t="shared" si="34"/>
        <v>0.05</v>
      </c>
      <c r="U79" s="53">
        <f t="shared" si="35"/>
        <v>4.2653187775606449E-3</v>
      </c>
    </row>
    <row r="80" spans="1:21" x14ac:dyDescent="0.2">
      <c r="A80" s="62"/>
      <c r="B80" s="45">
        <f t="shared" si="24"/>
        <v>69</v>
      </c>
      <c r="C80" s="51" t="e">
        <f>IF(B80&lt;C$4,C$1,D79-L80+N80)</f>
        <v>#DIV/0!</v>
      </c>
      <c r="D80" s="47" t="e">
        <f t="shared" si="25"/>
        <v>#DIV/0!</v>
      </c>
      <c r="E80" s="48">
        <f t="shared" si="26"/>
        <v>0</v>
      </c>
      <c r="F80" s="50">
        <f t="shared" si="27"/>
        <v>0</v>
      </c>
      <c r="G80" s="50">
        <f t="shared" si="36"/>
        <v>0</v>
      </c>
      <c r="H80" s="51" t="e">
        <f t="shared" si="28"/>
        <v>#DIV/0!</v>
      </c>
      <c r="I80" s="52" t="e">
        <f>IF(AND(C$7="Y",$B80&lt;=C$4),0,IF(AND(C$7="Y",$B80&gt;C$4),(1-U80)*C$2*D79/12,IF(AND($C$7="N",C$4&gt;0),(1-U80)*D79*C$2/12, (1-U80)*D79*C$2/12)))</f>
        <v>#DIV/0!</v>
      </c>
      <c r="J80" s="57" t="e">
        <f t="shared" si="29"/>
        <v>#DIV/0!</v>
      </c>
      <c r="K80" s="51" t="e">
        <f t="shared" si="30"/>
        <v>#DIV/0!</v>
      </c>
      <c r="L80" s="49" t="e">
        <f>IF(AND(C$7="Y",$B80&lt;=$C$4),0,IF(AND(C$7="N",C$4&gt;0,B80&lt;=C$4),0,U80*D79))</f>
        <v>#DIV/0!</v>
      </c>
      <c r="M80" s="49">
        <f t="shared" si="23"/>
        <v>0</v>
      </c>
      <c r="N80" s="49">
        <f t="shared" si="22"/>
        <v>0</v>
      </c>
      <c r="O80" s="48" t="e">
        <f t="shared" si="31"/>
        <v>#DIV/0!</v>
      </c>
      <c r="P80" s="38" t="e">
        <f>O80*(1/((1+P$9)^(B80/12)))</f>
        <v>#DIV/0!</v>
      </c>
      <c r="Q80" s="53"/>
      <c r="R80" s="53">
        <f t="shared" si="32"/>
        <v>0.12</v>
      </c>
      <c r="S80" s="53">
        <f t="shared" si="33"/>
        <v>1.0596241035318976E-2</v>
      </c>
      <c r="T80" s="53">
        <f t="shared" si="34"/>
        <v>0.05</v>
      </c>
      <c r="U80" s="53">
        <f t="shared" si="35"/>
        <v>4.2653187775606449E-3</v>
      </c>
    </row>
    <row r="81" spans="1:21" x14ac:dyDescent="0.2">
      <c r="A81" s="62"/>
      <c r="B81" s="45">
        <f t="shared" si="24"/>
        <v>70</v>
      </c>
      <c r="C81" s="51" t="e">
        <f>IF(B81&lt;C$4,C$1,D80-L81+N81)</f>
        <v>#DIV/0!</v>
      </c>
      <c r="D81" s="47" t="e">
        <f t="shared" si="25"/>
        <v>#DIV/0!</v>
      </c>
      <c r="E81" s="48">
        <f t="shared" si="26"/>
        <v>0</v>
      </c>
      <c r="F81" s="50">
        <f t="shared" si="27"/>
        <v>0</v>
      </c>
      <c r="G81" s="50">
        <f t="shared" si="36"/>
        <v>0</v>
      </c>
      <c r="H81" s="51" t="e">
        <f t="shared" si="28"/>
        <v>#DIV/0!</v>
      </c>
      <c r="I81" s="52" t="e">
        <f>IF(AND(C$7="Y",$B81&lt;=C$4),0,IF(AND(C$7="Y",$B81&gt;C$4),(1-U81)*C$2*D80/12,IF(AND($C$7="N",C$4&gt;0),(1-U81)*D80*C$2/12, (1-U81)*D80*C$2/12)))</f>
        <v>#DIV/0!</v>
      </c>
      <c r="J81" s="57" t="e">
        <f t="shared" si="29"/>
        <v>#DIV/0!</v>
      </c>
      <c r="K81" s="51" t="e">
        <f t="shared" si="30"/>
        <v>#DIV/0!</v>
      </c>
      <c r="L81" s="49" t="e">
        <f>IF(AND(C$7="Y",$B81&lt;=$C$4),0,IF(AND(C$7="N",C$4&gt;0,B81&lt;=C$4),0,U81*D80))</f>
        <v>#DIV/0!</v>
      </c>
      <c r="M81" s="49">
        <f t="shared" si="23"/>
        <v>0</v>
      </c>
      <c r="N81" s="49">
        <f t="shared" si="22"/>
        <v>0</v>
      </c>
      <c r="O81" s="48" t="e">
        <f t="shared" si="31"/>
        <v>#DIV/0!</v>
      </c>
      <c r="P81" s="38" t="e">
        <f>O81*(1/((1+P$9)^(B81/12)))</f>
        <v>#DIV/0!</v>
      </c>
      <c r="Q81" s="53"/>
      <c r="R81" s="53">
        <f t="shared" si="32"/>
        <v>0.12</v>
      </c>
      <c r="S81" s="53">
        <f t="shared" si="33"/>
        <v>1.0596241035318976E-2</v>
      </c>
      <c r="T81" s="53">
        <f t="shared" si="34"/>
        <v>0.05</v>
      </c>
      <c r="U81" s="53">
        <f t="shared" si="35"/>
        <v>4.2653187775606449E-3</v>
      </c>
    </row>
    <row r="82" spans="1:21" x14ac:dyDescent="0.2">
      <c r="A82" s="62"/>
      <c r="B82" s="45">
        <f t="shared" si="24"/>
        <v>71</v>
      </c>
      <c r="C82" s="51" t="e">
        <f>IF(B82&lt;C$4,C$1,D81-L82+N82)</f>
        <v>#DIV/0!</v>
      </c>
      <c r="D82" s="47" t="e">
        <f t="shared" si="25"/>
        <v>#DIV/0!</v>
      </c>
      <c r="E82" s="48">
        <f t="shared" si="26"/>
        <v>0</v>
      </c>
      <c r="F82" s="50">
        <f t="shared" si="27"/>
        <v>0</v>
      </c>
      <c r="G82" s="50">
        <f t="shared" si="36"/>
        <v>0</v>
      </c>
      <c r="H82" s="51" t="e">
        <f t="shared" si="28"/>
        <v>#DIV/0!</v>
      </c>
      <c r="I82" s="52" t="e">
        <f>IF(AND(C$7="Y",$B82&lt;=C$4),0,IF(AND(C$7="Y",$B82&gt;C$4),(1-U82)*C$2*D81/12,IF(AND($C$7="N",C$4&gt;0),(1-U82)*D81*C$2/12, (1-U82)*D81*C$2/12)))</f>
        <v>#DIV/0!</v>
      </c>
      <c r="J82" s="57" t="e">
        <f t="shared" si="29"/>
        <v>#DIV/0!</v>
      </c>
      <c r="K82" s="51" t="e">
        <f t="shared" si="30"/>
        <v>#DIV/0!</v>
      </c>
      <c r="L82" s="49" t="e">
        <f>IF(AND(C$7="Y",$B82&lt;=$C$4),0,IF(AND(C$7="N",C$4&gt;0,B82&lt;=C$4),0,U82*D81))</f>
        <v>#DIV/0!</v>
      </c>
      <c r="M82" s="49">
        <f t="shared" si="23"/>
        <v>0</v>
      </c>
      <c r="N82" s="49">
        <f t="shared" si="22"/>
        <v>0</v>
      </c>
      <c r="O82" s="48" t="e">
        <f t="shared" si="31"/>
        <v>#DIV/0!</v>
      </c>
      <c r="P82" s="38" t="e">
        <f>O82*(1/((1+P$9)^(B82/12)))</f>
        <v>#DIV/0!</v>
      </c>
      <c r="Q82" s="53"/>
      <c r="R82" s="53">
        <f t="shared" si="32"/>
        <v>0.12</v>
      </c>
      <c r="S82" s="53">
        <f t="shared" si="33"/>
        <v>1.0596241035318976E-2</v>
      </c>
      <c r="T82" s="53">
        <f t="shared" si="34"/>
        <v>0.05</v>
      </c>
      <c r="U82" s="53">
        <f t="shared" si="35"/>
        <v>4.2653187775606449E-3</v>
      </c>
    </row>
    <row r="83" spans="1:21" x14ac:dyDescent="0.2">
      <c r="A83" s="62"/>
      <c r="B83" s="45">
        <f t="shared" si="24"/>
        <v>72</v>
      </c>
      <c r="C83" s="51" t="e">
        <f>IF(B83&lt;C$4,C$1,D82-L83+N83)</f>
        <v>#DIV/0!</v>
      </c>
      <c r="D83" s="47" t="e">
        <f t="shared" si="25"/>
        <v>#DIV/0!</v>
      </c>
      <c r="E83" s="48">
        <f t="shared" si="26"/>
        <v>0</v>
      </c>
      <c r="F83" s="50">
        <f t="shared" si="27"/>
        <v>0</v>
      </c>
      <c r="G83" s="50">
        <f t="shared" si="36"/>
        <v>0</v>
      </c>
      <c r="H83" s="51" t="e">
        <f t="shared" si="28"/>
        <v>#DIV/0!</v>
      </c>
      <c r="I83" s="52" t="e">
        <f>IF(AND(C$7="Y",$B83&lt;=C$4),0,IF(AND(C$7="Y",$B83&gt;C$4),(1-U83)*C$2*D82/12,IF(AND($C$7="N",C$4&gt;0),(1-U83)*D82*C$2/12, (1-U83)*D82*C$2/12)))</f>
        <v>#DIV/0!</v>
      </c>
      <c r="J83" s="57" t="e">
        <f t="shared" si="29"/>
        <v>#DIV/0!</v>
      </c>
      <c r="K83" s="51" t="e">
        <f t="shared" si="30"/>
        <v>#DIV/0!</v>
      </c>
      <c r="L83" s="49" t="e">
        <f>IF(AND(C$7="Y",$B83&lt;=$C$4),0,IF(AND(C$7="N",C$4&gt;0,B83&lt;=C$4),0,U83*D82))</f>
        <v>#DIV/0!</v>
      </c>
      <c r="M83" s="49">
        <f t="shared" si="23"/>
        <v>0</v>
      </c>
      <c r="N83" s="49">
        <f t="shared" si="22"/>
        <v>0</v>
      </c>
      <c r="O83" s="48" t="e">
        <f t="shared" si="31"/>
        <v>#DIV/0!</v>
      </c>
      <c r="P83" s="38" t="e">
        <f>O83*(1/((1+P$9)^(B83/12)))</f>
        <v>#DIV/0!</v>
      </c>
      <c r="Q83" s="53"/>
      <c r="R83" s="53">
        <f t="shared" si="32"/>
        <v>0.12</v>
      </c>
      <c r="S83" s="53">
        <f t="shared" si="33"/>
        <v>1.0596241035318976E-2</v>
      </c>
      <c r="T83" s="53">
        <f t="shared" si="34"/>
        <v>0.05</v>
      </c>
      <c r="U83" s="53">
        <f t="shared" si="35"/>
        <v>4.2653187775606449E-3</v>
      </c>
    </row>
    <row r="84" spans="1:21" x14ac:dyDescent="0.2">
      <c r="A84" s="62"/>
      <c r="B84" s="45">
        <f t="shared" si="24"/>
        <v>73</v>
      </c>
      <c r="C84" s="51" t="e">
        <f>IF(B84&lt;C$4,C$1,D83-L84+N84)</f>
        <v>#DIV/0!</v>
      </c>
      <c r="D84" s="47" t="e">
        <f t="shared" si="25"/>
        <v>#DIV/0!</v>
      </c>
      <c r="E84" s="48">
        <f t="shared" si="26"/>
        <v>0</v>
      </c>
      <c r="F84" s="50">
        <f t="shared" si="27"/>
        <v>0</v>
      </c>
      <c r="G84" s="50">
        <f t="shared" si="36"/>
        <v>0</v>
      </c>
      <c r="H84" s="51" t="e">
        <f t="shared" si="28"/>
        <v>#DIV/0!</v>
      </c>
      <c r="I84" s="52" t="e">
        <f>IF(AND(C$7="Y",$B84&lt;=C$4),0,IF(AND(C$7="Y",$B84&gt;C$4),(1-U84)*C$2*D83/12,IF(AND($C$7="N",C$4&gt;0),(1-U84)*D83*C$2/12, (1-U84)*D83*C$2/12)))</f>
        <v>#DIV/0!</v>
      </c>
      <c r="J84" s="57" t="e">
        <f t="shared" si="29"/>
        <v>#DIV/0!</v>
      </c>
      <c r="K84" s="51" t="e">
        <f t="shared" si="30"/>
        <v>#DIV/0!</v>
      </c>
      <c r="L84" s="49" t="e">
        <f>IF(AND(C$7="Y",$B84&lt;=$C$4),0,IF(AND(C$7="N",C$4&gt;0,B84&lt;=C$4),0,U84*D83))</f>
        <v>#DIV/0!</v>
      </c>
      <c r="M84" s="49">
        <f t="shared" si="23"/>
        <v>0</v>
      </c>
      <c r="N84" s="49">
        <f t="shared" si="22"/>
        <v>0</v>
      </c>
      <c r="O84" s="48" t="e">
        <f t="shared" si="31"/>
        <v>#DIV/0!</v>
      </c>
      <c r="P84" s="38" t="e">
        <f>O84*(1/((1+P$9)^(B84/12)))</f>
        <v>#DIV/0!</v>
      </c>
      <c r="Q84" s="53"/>
      <c r="R84" s="53">
        <f t="shared" si="32"/>
        <v>0.12</v>
      </c>
      <c r="S84" s="53">
        <f t="shared" si="33"/>
        <v>1.0596241035318976E-2</v>
      </c>
      <c r="T84" s="53">
        <f t="shared" si="34"/>
        <v>0.05</v>
      </c>
      <c r="U84" s="53">
        <f t="shared" si="35"/>
        <v>4.2653187775606449E-3</v>
      </c>
    </row>
    <row r="85" spans="1:21" x14ac:dyDescent="0.2">
      <c r="A85" s="62"/>
      <c r="B85" s="45">
        <f t="shared" si="24"/>
        <v>74</v>
      </c>
      <c r="C85" s="51" t="e">
        <f>IF(B85&lt;C$4,C$1,D84-L85+N85)</f>
        <v>#DIV/0!</v>
      </c>
      <c r="D85" s="47" t="e">
        <f t="shared" si="25"/>
        <v>#DIV/0!</v>
      </c>
      <c r="E85" s="48">
        <f t="shared" si="26"/>
        <v>0</v>
      </c>
      <c r="F85" s="50">
        <f t="shared" si="27"/>
        <v>0</v>
      </c>
      <c r="G85" s="50">
        <f t="shared" si="36"/>
        <v>0</v>
      </c>
      <c r="H85" s="51" t="e">
        <f t="shared" si="28"/>
        <v>#DIV/0!</v>
      </c>
      <c r="I85" s="52" t="e">
        <f>IF(AND(C$7="Y",$B85&lt;=C$4),0,IF(AND(C$7="Y",$B85&gt;C$4),(1-U85)*C$2*D84/12,IF(AND($C$7="N",C$4&gt;0),(1-U85)*D84*C$2/12, (1-U85)*D84*C$2/12)))</f>
        <v>#DIV/0!</v>
      </c>
      <c r="J85" s="57" t="e">
        <f t="shared" si="29"/>
        <v>#DIV/0!</v>
      </c>
      <c r="K85" s="51" t="e">
        <f t="shared" si="30"/>
        <v>#DIV/0!</v>
      </c>
      <c r="L85" s="49" t="e">
        <f>IF(AND(C$7="Y",$B85&lt;=$C$4),0,IF(AND(C$7="N",C$4&gt;0,B85&lt;=C$4),0,U85*D84))</f>
        <v>#DIV/0!</v>
      </c>
      <c r="M85" s="49">
        <f t="shared" si="23"/>
        <v>0</v>
      </c>
      <c r="N85" s="49">
        <f t="shared" si="22"/>
        <v>0</v>
      </c>
      <c r="O85" s="48" t="e">
        <f t="shared" si="31"/>
        <v>#DIV/0!</v>
      </c>
      <c r="P85" s="38" t="e">
        <f>O85*(1/((1+P$9)^(B85/12)))</f>
        <v>#DIV/0!</v>
      </c>
      <c r="Q85" s="53"/>
      <c r="R85" s="53">
        <f t="shared" si="32"/>
        <v>0.12</v>
      </c>
      <c r="S85" s="53">
        <f t="shared" si="33"/>
        <v>1.0596241035318976E-2</v>
      </c>
      <c r="T85" s="53">
        <f t="shared" si="34"/>
        <v>0.05</v>
      </c>
      <c r="U85" s="53">
        <f t="shared" si="35"/>
        <v>4.2653187775606449E-3</v>
      </c>
    </row>
    <row r="86" spans="1:21" x14ac:dyDescent="0.2">
      <c r="A86" s="62"/>
      <c r="B86" s="45">
        <f t="shared" si="24"/>
        <v>75</v>
      </c>
      <c r="C86" s="51" t="e">
        <f>IF(B86&lt;C$4,C$1,D85-L86+N86)</f>
        <v>#DIV/0!</v>
      </c>
      <c r="D86" s="47" t="e">
        <f t="shared" si="25"/>
        <v>#DIV/0!</v>
      </c>
      <c r="E86" s="48">
        <f t="shared" si="26"/>
        <v>0</v>
      </c>
      <c r="F86" s="50">
        <f t="shared" si="27"/>
        <v>0</v>
      </c>
      <c r="G86" s="50">
        <f t="shared" si="36"/>
        <v>0</v>
      </c>
      <c r="H86" s="51" t="e">
        <f t="shared" si="28"/>
        <v>#DIV/0!</v>
      </c>
      <c r="I86" s="52" t="e">
        <f>IF(AND(C$7="Y",$B86&lt;=C$4),0,IF(AND(C$7="Y",$B86&gt;C$4),(1-U86)*C$2*D85/12,IF(AND($C$7="N",C$4&gt;0),(1-U86)*D85*C$2/12, (1-U86)*D85*C$2/12)))</f>
        <v>#DIV/0!</v>
      </c>
      <c r="J86" s="57" t="e">
        <f t="shared" si="29"/>
        <v>#DIV/0!</v>
      </c>
      <c r="K86" s="51" t="e">
        <f t="shared" si="30"/>
        <v>#DIV/0!</v>
      </c>
      <c r="L86" s="49" t="e">
        <f>IF(AND(C$7="Y",$B86&lt;=$C$4),0,IF(AND(C$7="N",C$4&gt;0,B86&lt;=C$4),0,U86*D85))</f>
        <v>#DIV/0!</v>
      </c>
      <c r="M86" s="49">
        <f t="shared" si="23"/>
        <v>0</v>
      </c>
      <c r="N86" s="49">
        <f t="shared" si="22"/>
        <v>0</v>
      </c>
      <c r="O86" s="48" t="e">
        <f t="shared" si="31"/>
        <v>#DIV/0!</v>
      </c>
      <c r="P86" s="38" t="e">
        <f>O86*(1/((1+P$9)^(B86/12)))</f>
        <v>#DIV/0!</v>
      </c>
      <c r="Q86" s="53"/>
      <c r="R86" s="53">
        <f t="shared" si="32"/>
        <v>0.12</v>
      </c>
      <c r="S86" s="53">
        <f t="shared" si="33"/>
        <v>1.0596241035318976E-2</v>
      </c>
      <c r="T86" s="53">
        <f t="shared" si="34"/>
        <v>0.05</v>
      </c>
      <c r="U86" s="53">
        <f t="shared" si="35"/>
        <v>4.2653187775606449E-3</v>
      </c>
    </row>
    <row r="87" spans="1:21" x14ac:dyDescent="0.2">
      <c r="A87" s="62"/>
      <c r="B87" s="45">
        <f t="shared" si="24"/>
        <v>76</v>
      </c>
      <c r="C87" s="51" t="e">
        <f>IF(B87&lt;C$4,C$1,D86-L87+N87)</f>
        <v>#DIV/0!</v>
      </c>
      <c r="D87" s="47" t="e">
        <f t="shared" si="25"/>
        <v>#DIV/0!</v>
      </c>
      <c r="E87" s="48">
        <f t="shared" si="26"/>
        <v>0</v>
      </c>
      <c r="F87" s="50">
        <f t="shared" si="27"/>
        <v>0</v>
      </c>
      <c r="G87" s="50">
        <f t="shared" si="36"/>
        <v>0</v>
      </c>
      <c r="H87" s="51" t="e">
        <f t="shared" si="28"/>
        <v>#DIV/0!</v>
      </c>
      <c r="I87" s="52" t="e">
        <f>IF(AND(C$7="Y",$B87&lt;=C$4),0,IF(AND(C$7="Y",$B87&gt;C$4),(1-U87)*C$2*D86/12,IF(AND($C$7="N",C$4&gt;0),(1-U87)*D86*C$2/12, (1-U87)*D86*C$2/12)))</f>
        <v>#DIV/0!</v>
      </c>
      <c r="J87" s="57" t="e">
        <f t="shared" si="29"/>
        <v>#DIV/0!</v>
      </c>
      <c r="K87" s="51" t="e">
        <f t="shared" si="30"/>
        <v>#DIV/0!</v>
      </c>
      <c r="L87" s="49" t="e">
        <f>IF(AND(C$7="Y",$B87&lt;=$C$4),0,IF(AND(C$7="N",C$4&gt;0,B87&lt;=C$4),0,U87*D86))</f>
        <v>#DIV/0!</v>
      </c>
      <c r="M87" s="49">
        <f t="shared" si="23"/>
        <v>0</v>
      </c>
      <c r="N87" s="49">
        <f t="shared" si="22"/>
        <v>0</v>
      </c>
      <c r="O87" s="48" t="e">
        <f t="shared" si="31"/>
        <v>#DIV/0!</v>
      </c>
      <c r="P87" s="38" t="e">
        <f>O87*(1/((1+P$9)^(B87/12)))</f>
        <v>#DIV/0!</v>
      </c>
      <c r="Q87" s="53"/>
      <c r="R87" s="53">
        <f t="shared" si="32"/>
        <v>0.12</v>
      </c>
      <c r="S87" s="53">
        <f t="shared" si="33"/>
        <v>1.0596241035318976E-2</v>
      </c>
      <c r="T87" s="53">
        <f t="shared" si="34"/>
        <v>0.05</v>
      </c>
      <c r="U87" s="53">
        <f t="shared" si="35"/>
        <v>4.2653187775606449E-3</v>
      </c>
    </row>
    <row r="88" spans="1:21" x14ac:dyDescent="0.2">
      <c r="A88" s="62"/>
      <c r="B88" s="45">
        <f t="shared" si="24"/>
        <v>77</v>
      </c>
      <c r="C88" s="51" t="e">
        <f>IF(B88&lt;C$4,C$1,D87-L88+N88)</f>
        <v>#DIV/0!</v>
      </c>
      <c r="D88" s="47" t="e">
        <f t="shared" si="25"/>
        <v>#DIV/0!</v>
      </c>
      <c r="E88" s="48">
        <f t="shared" si="26"/>
        <v>0</v>
      </c>
      <c r="F88" s="50">
        <f t="shared" si="27"/>
        <v>0</v>
      </c>
      <c r="G88" s="50">
        <f t="shared" si="36"/>
        <v>0</v>
      </c>
      <c r="H88" s="51" t="e">
        <f t="shared" si="28"/>
        <v>#DIV/0!</v>
      </c>
      <c r="I88" s="52" t="e">
        <f>IF(AND(C$7="Y",$B88&lt;=C$4),0,IF(AND(C$7="Y",$B88&gt;C$4),(1-U88)*C$2*D87/12,IF(AND($C$7="N",C$4&gt;0),(1-U88)*D87*C$2/12, (1-U88)*D87*C$2/12)))</f>
        <v>#DIV/0!</v>
      </c>
      <c r="J88" s="57" t="e">
        <f t="shared" si="29"/>
        <v>#DIV/0!</v>
      </c>
      <c r="K88" s="51" t="e">
        <f t="shared" si="30"/>
        <v>#DIV/0!</v>
      </c>
      <c r="L88" s="49" t="e">
        <f>IF(AND(C$7="Y",$B88&lt;=$C$4),0,IF(AND(C$7="N",C$4&gt;0,B88&lt;=C$4),0,U88*D87))</f>
        <v>#DIV/0!</v>
      </c>
      <c r="M88" s="49">
        <f t="shared" si="23"/>
        <v>0</v>
      </c>
      <c r="N88" s="49">
        <f t="shared" si="22"/>
        <v>0</v>
      </c>
      <c r="O88" s="48" t="e">
        <f t="shared" si="31"/>
        <v>#DIV/0!</v>
      </c>
      <c r="P88" s="38" t="e">
        <f>O88*(1/((1+P$9)^(B88/12)))</f>
        <v>#DIV/0!</v>
      </c>
      <c r="Q88" s="53"/>
      <c r="R88" s="53">
        <f t="shared" si="32"/>
        <v>0.12</v>
      </c>
      <c r="S88" s="53">
        <f t="shared" si="33"/>
        <v>1.0596241035318976E-2</v>
      </c>
      <c r="T88" s="53">
        <f t="shared" si="34"/>
        <v>0.05</v>
      </c>
      <c r="U88" s="53">
        <f t="shared" si="35"/>
        <v>4.2653187775606449E-3</v>
      </c>
    </row>
    <row r="89" spans="1:21" x14ac:dyDescent="0.2">
      <c r="A89" s="62"/>
      <c r="B89" s="45">
        <f t="shared" si="24"/>
        <v>78</v>
      </c>
      <c r="C89" s="51" t="e">
        <f>IF(B89&lt;C$4,C$1,D88-L89+N89)</f>
        <v>#DIV/0!</v>
      </c>
      <c r="D89" s="47" t="e">
        <f t="shared" si="25"/>
        <v>#DIV/0!</v>
      </c>
      <c r="E89" s="48">
        <f t="shared" si="26"/>
        <v>0</v>
      </c>
      <c r="F89" s="50">
        <f t="shared" si="27"/>
        <v>0</v>
      </c>
      <c r="G89" s="50">
        <f t="shared" si="36"/>
        <v>0</v>
      </c>
      <c r="H89" s="51" t="e">
        <f t="shared" si="28"/>
        <v>#DIV/0!</v>
      </c>
      <c r="I89" s="52" t="e">
        <f>IF(AND(C$7="Y",$B89&lt;=C$4),0,IF(AND(C$7="Y",$B89&gt;C$4),(1-U89)*C$2*D88/12,IF(AND($C$7="N",C$4&gt;0),(1-U89)*D88*C$2/12, (1-U89)*D88*C$2/12)))</f>
        <v>#DIV/0!</v>
      </c>
      <c r="J89" s="57" t="e">
        <f t="shared" si="29"/>
        <v>#DIV/0!</v>
      </c>
      <c r="K89" s="51" t="e">
        <f t="shared" si="30"/>
        <v>#DIV/0!</v>
      </c>
      <c r="L89" s="49" t="e">
        <f>IF(AND(C$7="Y",$B89&lt;=$C$4),0,IF(AND(C$7="N",C$4&gt;0,B89&lt;=C$4),0,U89*D88))</f>
        <v>#DIV/0!</v>
      </c>
      <c r="M89" s="49">
        <f t="shared" si="23"/>
        <v>0</v>
      </c>
      <c r="N89" s="49">
        <f t="shared" si="22"/>
        <v>0</v>
      </c>
      <c r="O89" s="48" t="e">
        <f t="shared" si="31"/>
        <v>#DIV/0!</v>
      </c>
      <c r="P89" s="38" t="e">
        <f>O89*(1/((1+P$9)^(B89/12)))</f>
        <v>#DIV/0!</v>
      </c>
      <c r="Q89" s="53"/>
      <c r="R89" s="53">
        <f t="shared" si="32"/>
        <v>0.12</v>
      </c>
      <c r="S89" s="53">
        <f t="shared" si="33"/>
        <v>1.0596241035318976E-2</v>
      </c>
      <c r="T89" s="53">
        <f t="shared" si="34"/>
        <v>0.05</v>
      </c>
      <c r="U89" s="53">
        <f t="shared" si="35"/>
        <v>4.2653187775606449E-3</v>
      </c>
    </row>
    <row r="90" spans="1:21" x14ac:dyDescent="0.2">
      <c r="A90" s="62"/>
      <c r="B90" s="45">
        <f t="shared" si="24"/>
        <v>79</v>
      </c>
      <c r="C90" s="51" t="e">
        <f>IF(B90&lt;C$4,C$1,D89-L90+N90)</f>
        <v>#DIV/0!</v>
      </c>
      <c r="D90" s="47" t="e">
        <f t="shared" si="25"/>
        <v>#DIV/0!</v>
      </c>
      <c r="E90" s="48">
        <f t="shared" si="26"/>
        <v>0</v>
      </c>
      <c r="F90" s="50">
        <f t="shared" si="27"/>
        <v>0</v>
      </c>
      <c r="G90" s="50">
        <f t="shared" si="36"/>
        <v>0</v>
      </c>
      <c r="H90" s="51" t="e">
        <f t="shared" si="28"/>
        <v>#DIV/0!</v>
      </c>
      <c r="I90" s="52" t="e">
        <f>IF(AND(C$7="Y",$B90&lt;=C$4),0,IF(AND(C$7="Y",$B90&gt;C$4),(1-U90)*C$2*D89/12,IF(AND($C$7="N",C$4&gt;0),(1-U90)*D89*C$2/12, (1-U90)*D89*C$2/12)))</f>
        <v>#DIV/0!</v>
      </c>
      <c r="J90" s="57" t="e">
        <f t="shared" si="29"/>
        <v>#DIV/0!</v>
      </c>
      <c r="K90" s="51" t="e">
        <f t="shared" si="30"/>
        <v>#DIV/0!</v>
      </c>
      <c r="L90" s="49" t="e">
        <f>IF(AND(C$7="Y",$B90&lt;=$C$4),0,IF(AND(C$7="N",C$4&gt;0,B90&lt;=C$4),0,U90*D89))</f>
        <v>#DIV/0!</v>
      </c>
      <c r="M90" s="49">
        <f t="shared" si="23"/>
        <v>0</v>
      </c>
      <c r="N90" s="49">
        <f t="shared" si="22"/>
        <v>0</v>
      </c>
      <c r="O90" s="48" t="e">
        <f t="shared" si="31"/>
        <v>#DIV/0!</v>
      </c>
      <c r="P90" s="38" t="e">
        <f>O90*(1/((1+P$9)^(B90/12)))</f>
        <v>#DIV/0!</v>
      </c>
      <c r="Q90" s="53"/>
      <c r="R90" s="53">
        <f t="shared" si="32"/>
        <v>0.12</v>
      </c>
      <c r="S90" s="53">
        <f t="shared" si="33"/>
        <v>1.0596241035318976E-2</v>
      </c>
      <c r="T90" s="53">
        <f t="shared" si="34"/>
        <v>0.05</v>
      </c>
      <c r="U90" s="53">
        <f t="shared" si="35"/>
        <v>4.2653187775606449E-3</v>
      </c>
    </row>
    <row r="91" spans="1:21" x14ac:dyDescent="0.2">
      <c r="A91" s="62"/>
      <c r="B91" s="45">
        <f t="shared" si="24"/>
        <v>80</v>
      </c>
      <c r="C91" s="51" t="e">
        <f>IF(B91&lt;C$4,C$1,D90-L91+N91)</f>
        <v>#DIV/0!</v>
      </c>
      <c r="D91" s="47" t="e">
        <f t="shared" si="25"/>
        <v>#DIV/0!</v>
      </c>
      <c r="E91" s="48">
        <f t="shared" si="26"/>
        <v>0</v>
      </c>
      <c r="F91" s="50">
        <f t="shared" si="27"/>
        <v>0</v>
      </c>
      <c r="G91" s="50">
        <f t="shared" si="36"/>
        <v>0</v>
      </c>
      <c r="H91" s="51" t="e">
        <f t="shared" si="28"/>
        <v>#DIV/0!</v>
      </c>
      <c r="I91" s="52" t="e">
        <f>IF(AND(C$7="Y",$B91&lt;=C$4),0,IF(AND(C$7="Y",$B91&gt;C$4),(1-U91)*C$2*D90/12,IF(AND($C$7="N",C$4&gt;0),(1-U91)*D90*C$2/12, (1-U91)*D90*C$2/12)))</f>
        <v>#DIV/0!</v>
      </c>
      <c r="J91" s="57" t="e">
        <f t="shared" si="29"/>
        <v>#DIV/0!</v>
      </c>
      <c r="K91" s="51" t="e">
        <f t="shared" si="30"/>
        <v>#DIV/0!</v>
      </c>
      <c r="L91" s="49" t="e">
        <f>IF(AND(C$7="Y",$B91&lt;=$C$4),0,IF(AND(C$7="N",C$4&gt;0,B91&lt;=C$4),0,U91*D90))</f>
        <v>#DIV/0!</v>
      </c>
      <c r="M91" s="49">
        <f t="shared" si="23"/>
        <v>0</v>
      </c>
      <c r="N91" s="49">
        <f t="shared" si="22"/>
        <v>0</v>
      </c>
      <c r="O91" s="48" t="e">
        <f t="shared" si="31"/>
        <v>#DIV/0!</v>
      </c>
      <c r="P91" s="38" t="e">
        <f>O91*(1/((1+P$9)^(B91/12)))</f>
        <v>#DIV/0!</v>
      </c>
      <c r="Q91" s="53"/>
      <c r="R91" s="53">
        <f t="shared" si="32"/>
        <v>0.12</v>
      </c>
      <c r="S91" s="53">
        <f t="shared" si="33"/>
        <v>1.0596241035318976E-2</v>
      </c>
      <c r="T91" s="53">
        <f t="shared" si="34"/>
        <v>0.05</v>
      </c>
      <c r="U91" s="53">
        <f t="shared" si="35"/>
        <v>4.2653187775606449E-3</v>
      </c>
    </row>
    <row r="92" spans="1:21" x14ac:dyDescent="0.2">
      <c r="A92" s="62"/>
      <c r="B92" s="45">
        <f t="shared" si="24"/>
        <v>81</v>
      </c>
      <c r="C92" s="51" t="e">
        <f>IF(B92&lt;C$4,C$1,D91-L92+N92)</f>
        <v>#DIV/0!</v>
      </c>
      <c r="D92" s="47" t="e">
        <f t="shared" si="25"/>
        <v>#DIV/0!</v>
      </c>
      <c r="E92" s="48">
        <f t="shared" si="26"/>
        <v>0</v>
      </c>
      <c r="F92" s="50">
        <f t="shared" si="27"/>
        <v>0</v>
      </c>
      <c r="G92" s="50">
        <f t="shared" si="36"/>
        <v>0</v>
      </c>
      <c r="H92" s="51" t="e">
        <f t="shared" si="28"/>
        <v>#DIV/0!</v>
      </c>
      <c r="I92" s="52" t="e">
        <f>IF(AND(C$7="Y",$B92&lt;=C$4),0,IF(AND(C$7="Y",$B92&gt;C$4),(1-U92)*C$2*D91/12,IF(AND($C$7="N",C$4&gt;0),(1-U92)*D91*C$2/12, (1-U92)*D91*C$2/12)))</f>
        <v>#DIV/0!</v>
      </c>
      <c r="J92" s="57" t="e">
        <f t="shared" si="29"/>
        <v>#DIV/0!</v>
      </c>
      <c r="K92" s="51" t="e">
        <f t="shared" si="30"/>
        <v>#DIV/0!</v>
      </c>
      <c r="L92" s="49" t="e">
        <f>IF(AND(C$7="Y",$B92&lt;=$C$4),0,IF(AND(C$7="N",C$4&gt;0,B92&lt;=C$4),0,U92*D91))</f>
        <v>#DIV/0!</v>
      </c>
      <c r="M92" s="49">
        <f t="shared" si="23"/>
        <v>0</v>
      </c>
      <c r="N92" s="49">
        <f t="shared" si="22"/>
        <v>0</v>
      </c>
      <c r="O92" s="48" t="e">
        <f t="shared" si="31"/>
        <v>#DIV/0!</v>
      </c>
      <c r="P92" s="38" t="e">
        <f>O92*(1/((1+P$9)^(B92/12)))</f>
        <v>#DIV/0!</v>
      </c>
      <c r="Q92" s="53"/>
      <c r="R92" s="53">
        <f t="shared" si="32"/>
        <v>0.12</v>
      </c>
      <c r="S92" s="53">
        <f t="shared" si="33"/>
        <v>1.0596241035318976E-2</v>
      </c>
      <c r="T92" s="53">
        <f t="shared" si="34"/>
        <v>0.05</v>
      </c>
      <c r="U92" s="53">
        <f t="shared" si="35"/>
        <v>4.2653187775606449E-3</v>
      </c>
    </row>
    <row r="93" spans="1:21" x14ac:dyDescent="0.2">
      <c r="A93" s="62"/>
      <c r="B93" s="45">
        <f t="shared" si="24"/>
        <v>82</v>
      </c>
      <c r="C93" s="51" t="e">
        <f>IF(B93&lt;C$4,C$1,D92-L93+N93)</f>
        <v>#DIV/0!</v>
      </c>
      <c r="D93" s="47" t="e">
        <f t="shared" si="25"/>
        <v>#DIV/0!</v>
      </c>
      <c r="E93" s="48">
        <f t="shared" si="26"/>
        <v>0</v>
      </c>
      <c r="F93" s="50">
        <f t="shared" si="27"/>
        <v>0</v>
      </c>
      <c r="G93" s="50">
        <f t="shared" si="36"/>
        <v>0</v>
      </c>
      <c r="H93" s="51" t="e">
        <f t="shared" si="28"/>
        <v>#DIV/0!</v>
      </c>
      <c r="I93" s="52" t="e">
        <f>IF(AND(C$7="Y",$B93&lt;=C$4),0,IF(AND(C$7="Y",$B93&gt;C$4),(1-U93)*C$2*D92/12,IF(AND($C$7="N",C$4&gt;0),(1-U93)*D92*C$2/12, (1-U93)*D92*C$2/12)))</f>
        <v>#DIV/0!</v>
      </c>
      <c r="J93" s="57" t="e">
        <f t="shared" si="29"/>
        <v>#DIV/0!</v>
      </c>
      <c r="K93" s="51" t="e">
        <f t="shared" si="30"/>
        <v>#DIV/0!</v>
      </c>
      <c r="L93" s="49" t="e">
        <f>IF(AND(C$7="Y",$B93&lt;=$C$4),0,IF(AND(C$7="N",C$4&gt;0,B93&lt;=C$4),0,U93*D92))</f>
        <v>#DIV/0!</v>
      </c>
      <c r="M93" s="49">
        <f t="shared" si="23"/>
        <v>0</v>
      </c>
      <c r="N93" s="49">
        <f t="shared" si="22"/>
        <v>0</v>
      </c>
      <c r="O93" s="48" t="e">
        <f t="shared" si="31"/>
        <v>#DIV/0!</v>
      </c>
      <c r="P93" s="38" t="e">
        <f>O93*(1/((1+P$9)^(B93/12)))</f>
        <v>#DIV/0!</v>
      </c>
      <c r="Q93" s="53"/>
      <c r="R93" s="53">
        <f t="shared" si="32"/>
        <v>0.12</v>
      </c>
      <c r="S93" s="53">
        <f t="shared" si="33"/>
        <v>1.0596241035318976E-2</v>
      </c>
      <c r="T93" s="53">
        <f t="shared" si="34"/>
        <v>0.05</v>
      </c>
      <c r="U93" s="53">
        <f t="shared" si="35"/>
        <v>4.2653187775606449E-3</v>
      </c>
    </row>
    <row r="94" spans="1:21" x14ac:dyDescent="0.2">
      <c r="A94" s="62"/>
      <c r="B94" s="45">
        <f t="shared" si="24"/>
        <v>83</v>
      </c>
      <c r="C94" s="51" t="e">
        <f>IF(B94&lt;C$4,C$1,D93-L94+N94)</f>
        <v>#DIV/0!</v>
      </c>
      <c r="D94" s="47" t="e">
        <f t="shared" si="25"/>
        <v>#DIV/0!</v>
      </c>
      <c r="E94" s="48">
        <f t="shared" si="26"/>
        <v>0</v>
      </c>
      <c r="F94" s="50">
        <f t="shared" si="27"/>
        <v>0</v>
      </c>
      <c r="G94" s="50">
        <f t="shared" si="36"/>
        <v>0</v>
      </c>
      <c r="H94" s="51" t="e">
        <f t="shared" si="28"/>
        <v>#DIV/0!</v>
      </c>
      <c r="I94" s="52" t="e">
        <f>IF(AND(C$7="Y",$B94&lt;=C$4),0,IF(AND(C$7="Y",$B94&gt;C$4),(1-U94)*C$2*D93/12,IF(AND($C$7="N",C$4&gt;0),(1-U94)*D93*C$2/12, (1-U94)*D93*C$2/12)))</f>
        <v>#DIV/0!</v>
      </c>
      <c r="J94" s="57" t="e">
        <f t="shared" si="29"/>
        <v>#DIV/0!</v>
      </c>
      <c r="K94" s="51" t="e">
        <f t="shared" si="30"/>
        <v>#DIV/0!</v>
      </c>
      <c r="L94" s="49" t="e">
        <f>IF(AND(C$7="Y",$B94&lt;=$C$4),0,IF(AND(C$7="N",C$4&gt;0,B94&lt;=C$4),0,U94*D93))</f>
        <v>#DIV/0!</v>
      </c>
      <c r="M94" s="49">
        <f t="shared" si="23"/>
        <v>0</v>
      </c>
      <c r="N94" s="49">
        <f t="shared" si="22"/>
        <v>0</v>
      </c>
      <c r="O94" s="48" t="e">
        <f t="shared" si="31"/>
        <v>#DIV/0!</v>
      </c>
      <c r="P94" s="38" t="e">
        <f>O94*(1/((1+P$9)^(B94/12)))</f>
        <v>#DIV/0!</v>
      </c>
      <c r="Q94" s="53"/>
      <c r="R94" s="53">
        <f t="shared" si="32"/>
        <v>0.12</v>
      </c>
      <c r="S94" s="53">
        <f t="shared" si="33"/>
        <v>1.0596241035318976E-2</v>
      </c>
      <c r="T94" s="53">
        <f t="shared" si="34"/>
        <v>0.05</v>
      </c>
      <c r="U94" s="53">
        <f t="shared" si="35"/>
        <v>4.2653187775606449E-3</v>
      </c>
    </row>
    <row r="95" spans="1:21" x14ac:dyDescent="0.2">
      <c r="A95" s="62"/>
      <c r="B95" s="45">
        <f t="shared" si="24"/>
        <v>84</v>
      </c>
      <c r="C95" s="51" t="e">
        <f>IF(B95&lt;C$4,C$1,D94-L95+N95)</f>
        <v>#DIV/0!</v>
      </c>
      <c r="D95" s="47" t="e">
        <f t="shared" si="25"/>
        <v>#DIV/0!</v>
      </c>
      <c r="E95" s="48">
        <f t="shared" si="26"/>
        <v>0</v>
      </c>
      <c r="F95" s="50">
        <f t="shared" si="27"/>
        <v>0</v>
      </c>
      <c r="G95" s="50">
        <f t="shared" si="36"/>
        <v>0</v>
      </c>
      <c r="H95" s="51" t="e">
        <f t="shared" si="28"/>
        <v>#DIV/0!</v>
      </c>
      <c r="I95" s="52" t="e">
        <f>IF(AND(C$7="Y",$B95&lt;=C$4),0,IF(AND(C$7="Y",$B95&gt;C$4),(1-U95)*C$2*D94/12,IF(AND($C$7="N",C$4&gt;0),(1-U95)*D94*C$2/12, (1-U95)*D94*C$2/12)))</f>
        <v>#DIV/0!</v>
      </c>
      <c r="J95" s="57" t="e">
        <f t="shared" si="29"/>
        <v>#DIV/0!</v>
      </c>
      <c r="K95" s="51" t="e">
        <f t="shared" si="30"/>
        <v>#DIV/0!</v>
      </c>
      <c r="L95" s="49" t="e">
        <f>IF(AND(C$7="Y",$B95&lt;=$C$4),0,IF(AND(C$7="N",C$4&gt;0,B95&lt;=C$4),0,U95*D94))</f>
        <v>#DIV/0!</v>
      </c>
      <c r="M95" s="49">
        <f t="shared" si="23"/>
        <v>0</v>
      </c>
      <c r="N95" s="49">
        <f t="shared" si="22"/>
        <v>0</v>
      </c>
      <c r="O95" s="48" t="e">
        <f t="shared" si="31"/>
        <v>#DIV/0!</v>
      </c>
      <c r="P95" s="38" t="e">
        <f>O95*(1/((1+P$9)^(B95/12)))</f>
        <v>#DIV/0!</v>
      </c>
      <c r="Q95" s="53"/>
      <c r="R95" s="53">
        <f t="shared" si="32"/>
        <v>0.12</v>
      </c>
      <c r="S95" s="53">
        <f t="shared" si="33"/>
        <v>1.0596241035318976E-2</v>
      </c>
      <c r="T95" s="53">
        <f t="shared" si="34"/>
        <v>0.05</v>
      </c>
      <c r="U95" s="53">
        <f t="shared" si="35"/>
        <v>4.2653187775606449E-3</v>
      </c>
    </row>
    <row r="96" spans="1:21" x14ac:dyDescent="0.2">
      <c r="A96" s="62"/>
      <c r="B96" s="45">
        <f t="shared" si="24"/>
        <v>85</v>
      </c>
      <c r="C96" s="51" t="e">
        <f>IF(B96&lt;C$4,C$1,D95-L96+N96)</f>
        <v>#DIV/0!</v>
      </c>
      <c r="D96" s="47" t="e">
        <f t="shared" si="25"/>
        <v>#DIV/0!</v>
      </c>
      <c r="E96" s="48">
        <f t="shared" si="26"/>
        <v>0</v>
      </c>
      <c r="F96" s="50">
        <f t="shared" si="27"/>
        <v>0</v>
      </c>
      <c r="G96" s="50">
        <f t="shared" si="36"/>
        <v>0</v>
      </c>
      <c r="H96" s="51" t="e">
        <f t="shared" si="28"/>
        <v>#DIV/0!</v>
      </c>
      <c r="I96" s="52" t="e">
        <f>IF(AND(C$7="Y",$B96&lt;=C$4),0,IF(AND(C$7="Y",$B96&gt;C$4),(1-U96)*C$2*D95/12,IF(AND($C$7="N",C$4&gt;0),(1-U96)*D95*C$2/12, (1-U96)*D95*C$2/12)))</f>
        <v>#DIV/0!</v>
      </c>
      <c r="J96" s="57" t="e">
        <f t="shared" si="29"/>
        <v>#DIV/0!</v>
      </c>
      <c r="K96" s="51" t="e">
        <f t="shared" si="30"/>
        <v>#DIV/0!</v>
      </c>
      <c r="L96" s="49" t="e">
        <f>IF(AND(C$7="Y",$B96&lt;=$C$4),0,IF(AND(C$7="N",C$4&gt;0,B96&lt;=C$4),0,U96*D95))</f>
        <v>#DIV/0!</v>
      </c>
      <c r="M96" s="49">
        <f t="shared" si="23"/>
        <v>0</v>
      </c>
      <c r="N96" s="49">
        <f t="shared" ref="N96:N159" si="37">IFERROR((1-$N$9)*L92,0)</f>
        <v>0</v>
      </c>
      <c r="O96" s="48" t="e">
        <f t="shared" si="31"/>
        <v>#DIV/0!</v>
      </c>
      <c r="P96" s="38" t="e">
        <f>O96*(1/((1+P$9)^(B96/12)))</f>
        <v>#DIV/0!</v>
      </c>
      <c r="Q96" s="53"/>
      <c r="R96" s="53">
        <f t="shared" si="32"/>
        <v>0.12</v>
      </c>
      <c r="S96" s="53">
        <f t="shared" si="33"/>
        <v>1.0596241035318976E-2</v>
      </c>
      <c r="T96" s="53">
        <f t="shared" si="34"/>
        <v>0.05</v>
      </c>
      <c r="U96" s="53">
        <f t="shared" si="35"/>
        <v>4.2653187775606449E-3</v>
      </c>
    </row>
    <row r="97" spans="1:21" x14ac:dyDescent="0.2">
      <c r="A97" s="62"/>
      <c r="B97" s="45">
        <f t="shared" si="24"/>
        <v>86</v>
      </c>
      <c r="C97" s="51" t="e">
        <f>IF(B97&lt;C$4,C$1,D96-L97+N97)</f>
        <v>#DIV/0!</v>
      </c>
      <c r="D97" s="47" t="e">
        <f t="shared" si="25"/>
        <v>#DIV/0!</v>
      </c>
      <c r="E97" s="48">
        <f t="shared" si="26"/>
        <v>0</v>
      </c>
      <c r="F97" s="50">
        <f t="shared" si="27"/>
        <v>0</v>
      </c>
      <c r="G97" s="50">
        <f t="shared" si="36"/>
        <v>0</v>
      </c>
      <c r="H97" s="51" t="e">
        <f t="shared" si="28"/>
        <v>#DIV/0!</v>
      </c>
      <c r="I97" s="52" t="e">
        <f>IF(AND(C$7="Y",$B97&lt;=C$4),0,IF(AND(C$7="Y",$B97&gt;C$4),(1-U97)*C$2*D96/12,IF(AND($C$7="N",C$4&gt;0),(1-U97)*D96*C$2/12, (1-U97)*D96*C$2/12)))</f>
        <v>#DIV/0!</v>
      </c>
      <c r="J97" s="57" t="e">
        <f t="shared" si="29"/>
        <v>#DIV/0!</v>
      </c>
      <c r="K97" s="51" t="e">
        <f t="shared" si="30"/>
        <v>#DIV/0!</v>
      </c>
      <c r="L97" s="49" t="e">
        <f>IF(AND(C$7="Y",$B97&lt;=$C$4),0,IF(AND(C$7="N",C$4&gt;0,B97&lt;=C$4),0,U97*D96))</f>
        <v>#DIV/0!</v>
      </c>
      <c r="M97" s="49">
        <f t="shared" si="23"/>
        <v>0</v>
      </c>
      <c r="N97" s="49">
        <f t="shared" si="37"/>
        <v>0</v>
      </c>
      <c r="O97" s="48" t="e">
        <f t="shared" si="31"/>
        <v>#DIV/0!</v>
      </c>
      <c r="P97" s="38" t="e">
        <f>O97*(1/((1+P$9)^(B97/12)))</f>
        <v>#DIV/0!</v>
      </c>
      <c r="Q97" s="53"/>
      <c r="R97" s="53">
        <f t="shared" si="32"/>
        <v>0.12</v>
      </c>
      <c r="S97" s="53">
        <f t="shared" si="33"/>
        <v>1.0596241035318976E-2</v>
      </c>
      <c r="T97" s="53">
        <f t="shared" si="34"/>
        <v>0.05</v>
      </c>
      <c r="U97" s="53">
        <f t="shared" si="35"/>
        <v>4.2653187775606449E-3</v>
      </c>
    </row>
    <row r="98" spans="1:21" x14ac:dyDescent="0.2">
      <c r="A98" s="62"/>
      <c r="B98" s="45">
        <f t="shared" si="24"/>
        <v>87</v>
      </c>
      <c r="C98" s="51" t="e">
        <f>IF(B98&lt;C$4,C$1,D97-L98+N98)</f>
        <v>#DIV/0!</v>
      </c>
      <c r="D98" s="47" t="e">
        <f t="shared" si="25"/>
        <v>#DIV/0!</v>
      </c>
      <c r="E98" s="48">
        <f t="shared" si="26"/>
        <v>0</v>
      </c>
      <c r="F98" s="50">
        <f t="shared" si="27"/>
        <v>0</v>
      </c>
      <c r="G98" s="50">
        <f t="shared" si="36"/>
        <v>0</v>
      </c>
      <c r="H98" s="51" t="e">
        <f t="shared" si="28"/>
        <v>#DIV/0!</v>
      </c>
      <c r="I98" s="52" t="e">
        <f>IF(AND(C$7="Y",$B98&lt;=C$4),0,IF(AND(C$7="Y",$B98&gt;C$4),(1-U98)*C$2*D97/12,IF(AND($C$7="N",C$4&gt;0),(1-U98)*D97*C$2/12, (1-U98)*D97*C$2/12)))</f>
        <v>#DIV/0!</v>
      </c>
      <c r="J98" s="57" t="e">
        <f t="shared" si="29"/>
        <v>#DIV/0!</v>
      </c>
      <c r="K98" s="51" t="e">
        <f t="shared" si="30"/>
        <v>#DIV/0!</v>
      </c>
      <c r="L98" s="49" t="e">
        <f>IF(AND(C$7="Y",$B98&lt;=$C$4),0,IF(AND(C$7="N",C$4&gt;0,B98&lt;=C$4),0,U98*D97))</f>
        <v>#DIV/0!</v>
      </c>
      <c r="M98" s="49">
        <f t="shared" si="23"/>
        <v>0</v>
      </c>
      <c r="N98" s="49">
        <f t="shared" si="37"/>
        <v>0</v>
      </c>
      <c r="O98" s="48" t="e">
        <f t="shared" si="31"/>
        <v>#DIV/0!</v>
      </c>
      <c r="P98" s="38" t="e">
        <f>O98*(1/((1+P$9)^(B98/12)))</f>
        <v>#DIV/0!</v>
      </c>
      <c r="Q98" s="53"/>
      <c r="R98" s="53">
        <f t="shared" si="32"/>
        <v>0.12</v>
      </c>
      <c r="S98" s="53">
        <f t="shared" si="33"/>
        <v>1.0596241035318976E-2</v>
      </c>
      <c r="T98" s="53">
        <f t="shared" si="34"/>
        <v>0.05</v>
      </c>
      <c r="U98" s="53">
        <f t="shared" si="35"/>
        <v>4.2653187775606449E-3</v>
      </c>
    </row>
    <row r="99" spans="1:21" x14ac:dyDescent="0.2">
      <c r="A99" s="62"/>
      <c r="B99" s="45">
        <f t="shared" si="24"/>
        <v>88</v>
      </c>
      <c r="C99" s="51" t="e">
        <f>IF(B99&lt;C$4,C$1,D98-L99+N99)</f>
        <v>#DIV/0!</v>
      </c>
      <c r="D99" s="47" t="e">
        <f t="shared" si="25"/>
        <v>#DIV/0!</v>
      </c>
      <c r="E99" s="48">
        <f t="shared" si="26"/>
        <v>0</v>
      </c>
      <c r="F99" s="50">
        <f t="shared" si="27"/>
        <v>0</v>
      </c>
      <c r="G99" s="50">
        <f t="shared" si="36"/>
        <v>0</v>
      </c>
      <c r="H99" s="51" t="e">
        <f t="shared" si="28"/>
        <v>#DIV/0!</v>
      </c>
      <c r="I99" s="52" t="e">
        <f>IF(AND(C$7="Y",$B99&lt;=C$4),0,IF(AND(C$7="Y",$B99&gt;C$4),(1-U99)*C$2*D98/12,IF(AND($C$7="N",C$4&gt;0),(1-U99)*D98*C$2/12, (1-U99)*D98*C$2/12)))</f>
        <v>#DIV/0!</v>
      </c>
      <c r="J99" s="57" t="e">
        <f t="shared" si="29"/>
        <v>#DIV/0!</v>
      </c>
      <c r="K99" s="51" t="e">
        <f t="shared" si="30"/>
        <v>#DIV/0!</v>
      </c>
      <c r="L99" s="49" t="e">
        <f>IF(AND(C$7="Y",$B99&lt;=$C$4),0,IF(AND(C$7="N",C$4&gt;0,B99&lt;=C$4),0,U99*D98))</f>
        <v>#DIV/0!</v>
      </c>
      <c r="M99" s="49">
        <f t="shared" si="23"/>
        <v>0</v>
      </c>
      <c r="N99" s="49">
        <f t="shared" si="37"/>
        <v>0</v>
      </c>
      <c r="O99" s="48" t="e">
        <f t="shared" si="31"/>
        <v>#DIV/0!</v>
      </c>
      <c r="P99" s="38" t="e">
        <f>O99*(1/((1+P$9)^(B99/12)))</f>
        <v>#DIV/0!</v>
      </c>
      <c r="Q99" s="53"/>
      <c r="R99" s="53">
        <f t="shared" si="32"/>
        <v>0.12</v>
      </c>
      <c r="S99" s="53">
        <f t="shared" si="33"/>
        <v>1.0596241035318976E-2</v>
      </c>
      <c r="T99" s="53">
        <f t="shared" si="34"/>
        <v>0.05</v>
      </c>
      <c r="U99" s="53">
        <f t="shared" si="35"/>
        <v>4.2653187775606449E-3</v>
      </c>
    </row>
    <row r="100" spans="1:21" x14ac:dyDescent="0.2">
      <c r="A100" s="62"/>
      <c r="B100" s="45">
        <f t="shared" si="24"/>
        <v>89</v>
      </c>
      <c r="C100" s="51" t="e">
        <f>IF(B100&lt;C$4,C$1,D99-L100+N100)</f>
        <v>#DIV/0!</v>
      </c>
      <c r="D100" s="47" t="e">
        <f t="shared" si="25"/>
        <v>#DIV/0!</v>
      </c>
      <c r="E100" s="48">
        <f t="shared" si="26"/>
        <v>0</v>
      </c>
      <c r="F100" s="50">
        <f t="shared" si="27"/>
        <v>0</v>
      </c>
      <c r="G100" s="50">
        <f t="shared" si="36"/>
        <v>0</v>
      </c>
      <c r="H100" s="51" t="e">
        <f t="shared" si="28"/>
        <v>#DIV/0!</v>
      </c>
      <c r="I100" s="52" t="e">
        <f>IF(AND(C$7="Y",$B100&lt;=C$4),0,IF(AND(C$7="Y",$B100&gt;C$4),(1-U100)*C$2*D99/12,IF(AND($C$7="N",C$4&gt;0),(1-U100)*D99*C$2/12, (1-U100)*D99*C$2/12)))</f>
        <v>#DIV/0!</v>
      </c>
      <c r="J100" s="57" t="e">
        <f t="shared" si="29"/>
        <v>#DIV/0!</v>
      </c>
      <c r="K100" s="51" t="e">
        <f t="shared" si="30"/>
        <v>#DIV/0!</v>
      </c>
      <c r="L100" s="49" t="e">
        <f>IF(AND(C$7="Y",$B100&lt;=$C$4),0,IF(AND(C$7="N",C$4&gt;0,B100&lt;=C$4),0,U100*D99))</f>
        <v>#DIV/0!</v>
      </c>
      <c r="M100" s="49">
        <f t="shared" si="23"/>
        <v>0</v>
      </c>
      <c r="N100" s="49">
        <f t="shared" si="37"/>
        <v>0</v>
      </c>
      <c r="O100" s="48" t="e">
        <f t="shared" si="31"/>
        <v>#DIV/0!</v>
      </c>
      <c r="P100" s="38" t="e">
        <f>O100*(1/((1+P$9)^(B100/12)))</f>
        <v>#DIV/0!</v>
      </c>
      <c r="Q100" s="53"/>
      <c r="R100" s="53">
        <f t="shared" si="32"/>
        <v>0.12</v>
      </c>
      <c r="S100" s="53">
        <f t="shared" si="33"/>
        <v>1.0596241035318976E-2</v>
      </c>
      <c r="T100" s="53">
        <f t="shared" si="34"/>
        <v>0.05</v>
      </c>
      <c r="U100" s="53">
        <f t="shared" si="35"/>
        <v>4.2653187775606449E-3</v>
      </c>
    </row>
    <row r="101" spans="1:21" x14ac:dyDescent="0.2">
      <c r="A101" s="62"/>
      <c r="B101" s="45">
        <f t="shared" si="24"/>
        <v>90</v>
      </c>
      <c r="C101" s="51" t="e">
        <f>IF(B101&lt;C$4,C$1,D100-L101+N101)</f>
        <v>#DIV/0!</v>
      </c>
      <c r="D101" s="47" t="e">
        <f t="shared" si="25"/>
        <v>#DIV/0!</v>
      </c>
      <c r="E101" s="48">
        <f t="shared" si="26"/>
        <v>0</v>
      </c>
      <c r="F101" s="50">
        <f t="shared" si="27"/>
        <v>0</v>
      </c>
      <c r="G101" s="50">
        <f t="shared" si="36"/>
        <v>0</v>
      </c>
      <c r="H101" s="51" t="e">
        <f t="shared" si="28"/>
        <v>#DIV/0!</v>
      </c>
      <c r="I101" s="52" t="e">
        <f>IF(AND(C$7="Y",$B101&lt;=C$4),0,IF(AND(C$7="Y",$B101&gt;C$4),(1-U101)*C$2*D100/12,IF(AND($C$7="N",C$4&gt;0),(1-U101)*D100*C$2/12, (1-U101)*D100*C$2/12)))</f>
        <v>#DIV/0!</v>
      </c>
      <c r="J101" s="57" t="e">
        <f t="shared" si="29"/>
        <v>#DIV/0!</v>
      </c>
      <c r="K101" s="51" t="e">
        <f t="shared" si="30"/>
        <v>#DIV/0!</v>
      </c>
      <c r="L101" s="49" t="e">
        <f>IF(AND(C$7="Y",$B101&lt;=$C$4),0,IF(AND(C$7="N",C$4&gt;0,B101&lt;=C$4),0,U101*D100))</f>
        <v>#DIV/0!</v>
      </c>
      <c r="M101" s="49">
        <f t="shared" si="23"/>
        <v>0</v>
      </c>
      <c r="N101" s="49">
        <f t="shared" si="37"/>
        <v>0</v>
      </c>
      <c r="O101" s="48" t="e">
        <f t="shared" si="31"/>
        <v>#DIV/0!</v>
      </c>
      <c r="P101" s="38" t="e">
        <f>O101*(1/((1+P$9)^(B101/12)))</f>
        <v>#DIV/0!</v>
      </c>
      <c r="Q101" s="53"/>
      <c r="R101" s="53">
        <f t="shared" si="32"/>
        <v>0.12</v>
      </c>
      <c r="S101" s="53">
        <f t="shared" si="33"/>
        <v>1.0596241035318976E-2</v>
      </c>
      <c r="T101" s="53">
        <f t="shared" si="34"/>
        <v>0.05</v>
      </c>
      <c r="U101" s="53">
        <f t="shared" si="35"/>
        <v>4.2653187775606449E-3</v>
      </c>
    </row>
    <row r="102" spans="1:21" x14ac:dyDescent="0.2">
      <c r="A102" s="62"/>
      <c r="B102" s="45">
        <f t="shared" si="24"/>
        <v>91</v>
      </c>
      <c r="C102" s="51" t="e">
        <f>IF(B102&lt;C$4,C$1,D101-L102+N102)</f>
        <v>#DIV/0!</v>
      </c>
      <c r="D102" s="47" t="e">
        <f t="shared" si="25"/>
        <v>#DIV/0!</v>
      </c>
      <c r="E102" s="48">
        <f t="shared" si="26"/>
        <v>0</v>
      </c>
      <c r="F102" s="50">
        <f t="shared" si="27"/>
        <v>0</v>
      </c>
      <c r="G102" s="50">
        <f t="shared" si="36"/>
        <v>0</v>
      </c>
      <c r="H102" s="51" t="e">
        <f t="shared" si="28"/>
        <v>#DIV/0!</v>
      </c>
      <c r="I102" s="52" t="e">
        <f>IF(AND(C$7="Y",$B102&lt;=C$4),0,IF(AND(C$7="Y",$B102&gt;C$4),(1-U102)*C$2*D101/12,IF(AND($C$7="N",C$4&gt;0),(1-U102)*D101*C$2/12, (1-U102)*D101*C$2/12)))</f>
        <v>#DIV/0!</v>
      </c>
      <c r="J102" s="57" t="e">
        <f t="shared" si="29"/>
        <v>#DIV/0!</v>
      </c>
      <c r="K102" s="51" t="e">
        <f t="shared" si="30"/>
        <v>#DIV/0!</v>
      </c>
      <c r="L102" s="49" t="e">
        <f>IF(AND(C$7="Y",$B102&lt;=$C$4),0,IF(AND(C$7="N",C$4&gt;0,B102&lt;=C$4),0,U102*D101))</f>
        <v>#DIV/0!</v>
      </c>
      <c r="M102" s="49">
        <f t="shared" si="23"/>
        <v>0</v>
      </c>
      <c r="N102" s="49">
        <f t="shared" si="37"/>
        <v>0</v>
      </c>
      <c r="O102" s="48" t="e">
        <f t="shared" si="31"/>
        <v>#DIV/0!</v>
      </c>
      <c r="P102" s="38" t="e">
        <f>O102*(1/((1+P$9)^(B102/12)))</f>
        <v>#DIV/0!</v>
      </c>
      <c r="Q102" s="53"/>
      <c r="R102" s="53">
        <f t="shared" si="32"/>
        <v>0.12</v>
      </c>
      <c r="S102" s="53">
        <f t="shared" si="33"/>
        <v>1.0596241035318976E-2</v>
      </c>
      <c r="T102" s="53">
        <f t="shared" si="34"/>
        <v>0.05</v>
      </c>
      <c r="U102" s="53">
        <f t="shared" si="35"/>
        <v>4.2653187775606449E-3</v>
      </c>
    </row>
    <row r="103" spans="1:21" x14ac:dyDescent="0.2">
      <c r="A103" s="62"/>
      <c r="B103" s="45">
        <f t="shared" si="24"/>
        <v>92</v>
      </c>
      <c r="C103" s="51" t="e">
        <f>IF(B103&lt;C$4,C$1,D102-L103+N103)</f>
        <v>#DIV/0!</v>
      </c>
      <c r="D103" s="47" t="e">
        <f t="shared" si="25"/>
        <v>#DIV/0!</v>
      </c>
      <c r="E103" s="48">
        <f t="shared" si="26"/>
        <v>0</v>
      </c>
      <c r="F103" s="50">
        <f t="shared" si="27"/>
        <v>0</v>
      </c>
      <c r="G103" s="50">
        <f t="shared" si="36"/>
        <v>0</v>
      </c>
      <c r="H103" s="51" t="e">
        <f t="shared" si="28"/>
        <v>#DIV/0!</v>
      </c>
      <c r="I103" s="52" t="e">
        <f>IF(AND(C$7="Y",$B103&lt;=C$4),0,IF(AND(C$7="Y",$B103&gt;C$4),(1-U103)*C$2*D102/12,IF(AND($C$7="N",C$4&gt;0),(1-U103)*D102*C$2/12, (1-U103)*D102*C$2/12)))</f>
        <v>#DIV/0!</v>
      </c>
      <c r="J103" s="57" t="e">
        <f t="shared" si="29"/>
        <v>#DIV/0!</v>
      </c>
      <c r="K103" s="51" t="e">
        <f t="shared" si="30"/>
        <v>#DIV/0!</v>
      </c>
      <c r="L103" s="49" t="e">
        <f>IF(AND(C$7="Y",$B103&lt;=$C$4),0,IF(AND(C$7="N",C$4&gt;0,B103&lt;=C$4),0,U103*D102))</f>
        <v>#DIV/0!</v>
      </c>
      <c r="M103" s="49">
        <f t="shared" si="23"/>
        <v>0</v>
      </c>
      <c r="N103" s="49">
        <f t="shared" si="37"/>
        <v>0</v>
      </c>
      <c r="O103" s="48" t="e">
        <f t="shared" si="31"/>
        <v>#DIV/0!</v>
      </c>
      <c r="P103" s="38" t="e">
        <f>O103*(1/((1+P$9)^(B103/12)))</f>
        <v>#DIV/0!</v>
      </c>
      <c r="Q103" s="53"/>
      <c r="R103" s="53">
        <f t="shared" si="32"/>
        <v>0.12</v>
      </c>
      <c r="S103" s="53">
        <f t="shared" si="33"/>
        <v>1.0596241035318976E-2</v>
      </c>
      <c r="T103" s="53">
        <f t="shared" si="34"/>
        <v>0.05</v>
      </c>
      <c r="U103" s="53">
        <f t="shared" si="35"/>
        <v>4.2653187775606449E-3</v>
      </c>
    </row>
    <row r="104" spans="1:21" x14ac:dyDescent="0.2">
      <c r="A104" s="62"/>
      <c r="B104" s="45">
        <f t="shared" si="24"/>
        <v>93</v>
      </c>
      <c r="C104" s="51" t="e">
        <f>IF(B104&lt;C$4,C$1,D103-L104+N104)</f>
        <v>#DIV/0!</v>
      </c>
      <c r="D104" s="47" t="e">
        <f t="shared" si="25"/>
        <v>#DIV/0!</v>
      </c>
      <c r="E104" s="48">
        <f t="shared" si="26"/>
        <v>0</v>
      </c>
      <c r="F104" s="50">
        <f t="shared" si="27"/>
        <v>0</v>
      </c>
      <c r="G104" s="50">
        <f t="shared" si="36"/>
        <v>0</v>
      </c>
      <c r="H104" s="51" t="e">
        <f t="shared" si="28"/>
        <v>#DIV/0!</v>
      </c>
      <c r="I104" s="52" t="e">
        <f>IF(AND(C$7="Y",$B104&lt;=C$4),0,IF(AND(C$7="Y",$B104&gt;C$4),(1-U104)*C$2*D103/12,IF(AND($C$7="N",C$4&gt;0),(1-U104)*D103*C$2/12, (1-U104)*D103*C$2/12)))</f>
        <v>#DIV/0!</v>
      </c>
      <c r="J104" s="57" t="e">
        <f t="shared" si="29"/>
        <v>#DIV/0!</v>
      </c>
      <c r="K104" s="51" t="e">
        <f t="shared" si="30"/>
        <v>#DIV/0!</v>
      </c>
      <c r="L104" s="49" t="e">
        <f>IF(AND(C$7="Y",$B104&lt;=$C$4),0,IF(AND(C$7="N",C$4&gt;0,B104&lt;=C$4),0,U104*D103))</f>
        <v>#DIV/0!</v>
      </c>
      <c r="M104" s="49">
        <f t="shared" si="23"/>
        <v>0</v>
      </c>
      <c r="N104" s="49">
        <f t="shared" si="37"/>
        <v>0</v>
      </c>
      <c r="O104" s="48" t="e">
        <f t="shared" si="31"/>
        <v>#DIV/0!</v>
      </c>
      <c r="P104" s="38" t="e">
        <f>O104*(1/((1+P$9)^(B104/12)))</f>
        <v>#DIV/0!</v>
      </c>
      <c r="Q104" s="53"/>
      <c r="R104" s="53">
        <f t="shared" si="32"/>
        <v>0.12</v>
      </c>
      <c r="S104" s="53">
        <f t="shared" si="33"/>
        <v>1.0596241035318976E-2</v>
      </c>
      <c r="T104" s="53">
        <f t="shared" si="34"/>
        <v>0.05</v>
      </c>
      <c r="U104" s="53">
        <f t="shared" si="35"/>
        <v>4.2653187775606449E-3</v>
      </c>
    </row>
    <row r="105" spans="1:21" x14ac:dyDescent="0.2">
      <c r="A105" s="62"/>
      <c r="B105" s="45">
        <f t="shared" si="24"/>
        <v>94</v>
      </c>
      <c r="C105" s="51" t="e">
        <f>IF(B105&lt;C$4,C$1,D104-L105+N105)</f>
        <v>#DIV/0!</v>
      </c>
      <c r="D105" s="47" t="e">
        <f t="shared" si="25"/>
        <v>#DIV/0!</v>
      </c>
      <c r="E105" s="48">
        <f t="shared" si="26"/>
        <v>0</v>
      </c>
      <c r="F105" s="50">
        <f t="shared" si="27"/>
        <v>0</v>
      </c>
      <c r="G105" s="50">
        <f t="shared" si="36"/>
        <v>0</v>
      </c>
      <c r="H105" s="51" t="e">
        <f t="shared" si="28"/>
        <v>#DIV/0!</v>
      </c>
      <c r="I105" s="52" t="e">
        <f>IF(AND(C$7="Y",$B105&lt;=C$4),0,IF(AND(C$7="Y",$B105&gt;C$4),(1-U105)*C$2*D104/12,IF(AND($C$7="N",C$4&gt;0),(1-U105)*D104*C$2/12, (1-U105)*D104*C$2/12)))</f>
        <v>#DIV/0!</v>
      </c>
      <c r="J105" s="57" t="e">
        <f t="shared" si="29"/>
        <v>#DIV/0!</v>
      </c>
      <c r="K105" s="51" t="e">
        <f t="shared" si="30"/>
        <v>#DIV/0!</v>
      </c>
      <c r="L105" s="49" t="e">
        <f>IF(AND(C$7="Y",$B105&lt;=$C$4),0,IF(AND(C$7="N",C$4&gt;0,B105&lt;=C$4),0,U105*D104))</f>
        <v>#DIV/0!</v>
      </c>
      <c r="M105" s="49">
        <f t="shared" si="23"/>
        <v>0</v>
      </c>
      <c r="N105" s="49">
        <f t="shared" si="37"/>
        <v>0</v>
      </c>
      <c r="O105" s="48" t="e">
        <f t="shared" si="31"/>
        <v>#DIV/0!</v>
      </c>
      <c r="P105" s="38" t="e">
        <f>O105*(1/((1+P$9)^(B105/12)))</f>
        <v>#DIV/0!</v>
      </c>
      <c r="Q105" s="53"/>
      <c r="R105" s="53">
        <f t="shared" si="32"/>
        <v>0.12</v>
      </c>
      <c r="S105" s="53">
        <f t="shared" si="33"/>
        <v>1.0596241035318976E-2</v>
      </c>
      <c r="T105" s="53">
        <f t="shared" si="34"/>
        <v>0.05</v>
      </c>
      <c r="U105" s="53">
        <f t="shared" si="35"/>
        <v>4.2653187775606449E-3</v>
      </c>
    </row>
    <row r="106" spans="1:21" x14ac:dyDescent="0.2">
      <c r="A106" s="62"/>
      <c r="B106" s="45">
        <f t="shared" si="24"/>
        <v>95</v>
      </c>
      <c r="C106" s="51" t="e">
        <f>IF(B106&lt;C$4,C$1,D105-L106+N106)</f>
        <v>#DIV/0!</v>
      </c>
      <c r="D106" s="47" t="e">
        <f t="shared" si="25"/>
        <v>#DIV/0!</v>
      </c>
      <c r="E106" s="48">
        <f t="shared" si="26"/>
        <v>0</v>
      </c>
      <c r="F106" s="50">
        <f t="shared" si="27"/>
        <v>0</v>
      </c>
      <c r="G106" s="50">
        <f t="shared" si="36"/>
        <v>0</v>
      </c>
      <c r="H106" s="51" t="e">
        <f t="shared" si="28"/>
        <v>#DIV/0!</v>
      </c>
      <c r="I106" s="52" t="e">
        <f>IF(AND(C$7="Y",$B106&lt;=C$4),0,IF(AND(C$7="Y",$B106&gt;C$4),(1-U106)*C$2*D105/12,IF(AND($C$7="N",C$4&gt;0),(1-U106)*D105*C$2/12, (1-U106)*D105*C$2/12)))</f>
        <v>#DIV/0!</v>
      </c>
      <c r="J106" s="57" t="e">
        <f t="shared" si="29"/>
        <v>#DIV/0!</v>
      </c>
      <c r="K106" s="51" t="e">
        <f t="shared" si="30"/>
        <v>#DIV/0!</v>
      </c>
      <c r="L106" s="49" t="e">
        <f>IF(AND(C$7="Y",$B106&lt;=$C$4),0,IF(AND(C$7="N",C$4&gt;0,B106&lt;=C$4),0,U106*D105))</f>
        <v>#DIV/0!</v>
      </c>
      <c r="M106" s="49">
        <f t="shared" ref="M106:M169" si="38">IFERROR(L102*-1,0)</f>
        <v>0</v>
      </c>
      <c r="N106" s="49">
        <f t="shared" si="37"/>
        <v>0</v>
      </c>
      <c r="O106" s="48" t="e">
        <f t="shared" si="31"/>
        <v>#DIV/0!</v>
      </c>
      <c r="P106" s="38" t="e">
        <f>O106*(1/((1+P$9)^(B106/12)))</f>
        <v>#DIV/0!</v>
      </c>
      <c r="Q106" s="53"/>
      <c r="R106" s="53">
        <f t="shared" si="32"/>
        <v>0.12</v>
      </c>
      <c r="S106" s="53">
        <f t="shared" si="33"/>
        <v>1.0596241035318976E-2</v>
      </c>
      <c r="T106" s="53">
        <f t="shared" si="34"/>
        <v>0.05</v>
      </c>
      <c r="U106" s="53">
        <f t="shared" si="35"/>
        <v>4.2653187775606449E-3</v>
      </c>
    </row>
    <row r="107" spans="1:21" x14ac:dyDescent="0.2">
      <c r="A107" s="62"/>
      <c r="B107" s="45">
        <f t="shared" si="24"/>
        <v>96</v>
      </c>
      <c r="C107" s="51" t="e">
        <f>IF(B107&lt;C$4,C$1,D106-L107+N107)</f>
        <v>#DIV/0!</v>
      </c>
      <c r="D107" s="47" t="e">
        <f t="shared" si="25"/>
        <v>#DIV/0!</v>
      </c>
      <c r="E107" s="48">
        <f t="shared" si="26"/>
        <v>0</v>
      </c>
      <c r="F107" s="50">
        <f t="shared" si="27"/>
        <v>0</v>
      </c>
      <c r="G107" s="50">
        <f t="shared" si="36"/>
        <v>0</v>
      </c>
      <c r="H107" s="51" t="e">
        <f t="shared" si="28"/>
        <v>#DIV/0!</v>
      </c>
      <c r="I107" s="52" t="e">
        <f>IF(AND(C$7="Y",$B107&lt;=C$4),0,IF(AND(C$7="Y",$B107&gt;C$4),(1-U107)*C$2*D106/12,IF(AND($C$7="N",C$4&gt;0),(1-U107)*D106*C$2/12, (1-U107)*D106*C$2/12)))</f>
        <v>#DIV/0!</v>
      </c>
      <c r="J107" s="57" t="e">
        <f t="shared" si="29"/>
        <v>#DIV/0!</v>
      </c>
      <c r="K107" s="51" t="e">
        <f t="shared" si="30"/>
        <v>#DIV/0!</v>
      </c>
      <c r="L107" s="49" t="e">
        <f>IF(AND(C$7="Y",$B107&lt;=$C$4),0,IF(AND(C$7="N",C$4&gt;0,B107&lt;=C$4),0,U107*D106))</f>
        <v>#DIV/0!</v>
      </c>
      <c r="M107" s="49">
        <f t="shared" si="38"/>
        <v>0</v>
      </c>
      <c r="N107" s="49">
        <f t="shared" si="37"/>
        <v>0</v>
      </c>
      <c r="O107" s="48" t="e">
        <f t="shared" si="31"/>
        <v>#DIV/0!</v>
      </c>
      <c r="P107" s="38" t="e">
        <f>O107*(1/((1+P$9)^(B107/12)))</f>
        <v>#DIV/0!</v>
      </c>
      <c r="Q107" s="53"/>
      <c r="R107" s="53">
        <f t="shared" si="32"/>
        <v>0.12</v>
      </c>
      <c r="S107" s="53">
        <f t="shared" si="33"/>
        <v>1.0596241035318976E-2</v>
      </c>
      <c r="T107" s="53">
        <f t="shared" si="34"/>
        <v>0.05</v>
      </c>
      <c r="U107" s="53">
        <f t="shared" si="35"/>
        <v>4.2653187775606449E-3</v>
      </c>
    </row>
    <row r="108" spans="1:21" x14ac:dyDescent="0.2">
      <c r="A108" s="62"/>
      <c r="B108" s="45">
        <f t="shared" si="24"/>
        <v>97</v>
      </c>
      <c r="C108" s="51" t="e">
        <f>IF(B108&lt;C$4,C$1,D107-L108+N108)</f>
        <v>#DIV/0!</v>
      </c>
      <c r="D108" s="47" t="e">
        <f t="shared" si="25"/>
        <v>#DIV/0!</v>
      </c>
      <c r="E108" s="48">
        <f t="shared" si="26"/>
        <v>0</v>
      </c>
      <c r="F108" s="50">
        <f t="shared" si="27"/>
        <v>0</v>
      </c>
      <c r="G108" s="50">
        <f t="shared" si="36"/>
        <v>0</v>
      </c>
      <c r="H108" s="51" t="e">
        <f t="shared" si="28"/>
        <v>#DIV/0!</v>
      </c>
      <c r="I108" s="52" t="e">
        <f>IF(AND(C$7="Y",$B108&lt;=C$4),0,IF(AND(C$7="Y",$B108&gt;C$4),(1-U108)*C$2*D107/12,IF(AND($C$7="N",C$4&gt;0),(1-U108)*D107*C$2/12, (1-U108)*D107*C$2/12)))</f>
        <v>#DIV/0!</v>
      </c>
      <c r="J108" s="57" t="e">
        <f t="shared" si="29"/>
        <v>#DIV/0!</v>
      </c>
      <c r="K108" s="51" t="e">
        <f t="shared" si="30"/>
        <v>#DIV/0!</v>
      </c>
      <c r="L108" s="49" t="e">
        <f>IF(AND(C$7="Y",$B108&lt;=$C$4),0,IF(AND(C$7="N",C$4&gt;0,B108&lt;=C$4),0,U108*D107))</f>
        <v>#DIV/0!</v>
      </c>
      <c r="M108" s="49">
        <f t="shared" si="38"/>
        <v>0</v>
      </c>
      <c r="N108" s="49">
        <f t="shared" si="37"/>
        <v>0</v>
      </c>
      <c r="O108" s="48" t="e">
        <f t="shared" si="31"/>
        <v>#DIV/0!</v>
      </c>
      <c r="P108" s="38" t="e">
        <f>O108*(1/((1+P$9)^(B108/12)))</f>
        <v>#DIV/0!</v>
      </c>
      <c r="Q108" s="53"/>
      <c r="R108" s="53">
        <f t="shared" si="32"/>
        <v>0.12</v>
      </c>
      <c r="S108" s="53">
        <f t="shared" si="33"/>
        <v>1.0596241035318976E-2</v>
      </c>
      <c r="T108" s="53">
        <f t="shared" si="34"/>
        <v>0.05</v>
      </c>
      <c r="U108" s="53">
        <f t="shared" si="35"/>
        <v>4.2653187775606449E-3</v>
      </c>
    </row>
    <row r="109" spans="1:21" x14ac:dyDescent="0.2">
      <c r="A109" s="62"/>
      <c r="B109" s="45">
        <f t="shared" si="24"/>
        <v>98</v>
      </c>
      <c r="C109" s="51" t="e">
        <f>IF(B109&lt;C$4,C$1,D108-L109+N109)</f>
        <v>#DIV/0!</v>
      </c>
      <c r="D109" s="47" t="e">
        <f t="shared" si="25"/>
        <v>#DIV/0!</v>
      </c>
      <c r="E109" s="48">
        <f t="shared" si="26"/>
        <v>0</v>
      </c>
      <c r="F109" s="50">
        <f t="shared" si="27"/>
        <v>0</v>
      </c>
      <c r="G109" s="50">
        <f t="shared" si="36"/>
        <v>0</v>
      </c>
      <c r="H109" s="51" t="e">
        <f t="shared" si="28"/>
        <v>#DIV/0!</v>
      </c>
      <c r="I109" s="52" t="e">
        <f>IF(AND(C$7="Y",$B109&lt;=C$4),0,IF(AND(C$7="Y",$B109&gt;C$4),(1-U109)*C$2*D108/12,IF(AND($C$7="N",C$4&gt;0),(1-U109)*D108*C$2/12, (1-U109)*D108*C$2/12)))</f>
        <v>#DIV/0!</v>
      </c>
      <c r="J109" s="57" t="e">
        <f t="shared" si="29"/>
        <v>#DIV/0!</v>
      </c>
      <c r="K109" s="51" t="e">
        <f t="shared" si="30"/>
        <v>#DIV/0!</v>
      </c>
      <c r="L109" s="49" t="e">
        <f>IF(AND(C$7="Y",$B109&lt;=$C$4),0,IF(AND(C$7="N",C$4&gt;0,B109&lt;=C$4),0,U109*D108))</f>
        <v>#DIV/0!</v>
      </c>
      <c r="M109" s="49">
        <f t="shared" si="38"/>
        <v>0</v>
      </c>
      <c r="N109" s="49">
        <f t="shared" si="37"/>
        <v>0</v>
      </c>
      <c r="O109" s="48" t="e">
        <f t="shared" si="31"/>
        <v>#DIV/0!</v>
      </c>
      <c r="P109" s="38" t="e">
        <f>O109*(1/((1+P$9)^(B109/12)))</f>
        <v>#DIV/0!</v>
      </c>
      <c r="Q109" s="53"/>
      <c r="R109" s="53">
        <f t="shared" si="32"/>
        <v>0.12</v>
      </c>
      <c r="S109" s="53">
        <f t="shared" si="33"/>
        <v>1.0596241035318976E-2</v>
      </c>
      <c r="T109" s="53">
        <f t="shared" si="34"/>
        <v>0.05</v>
      </c>
      <c r="U109" s="53">
        <f t="shared" si="35"/>
        <v>4.2653187775606449E-3</v>
      </c>
    </row>
    <row r="110" spans="1:21" x14ac:dyDescent="0.2">
      <c r="A110" s="62"/>
      <c r="B110" s="45">
        <f t="shared" si="24"/>
        <v>99</v>
      </c>
      <c r="C110" s="51" t="e">
        <f>IF(B110&lt;C$4,C$1,D109-L110+N110)</f>
        <v>#DIV/0!</v>
      </c>
      <c r="D110" s="47" t="e">
        <f t="shared" si="25"/>
        <v>#DIV/0!</v>
      </c>
      <c r="E110" s="48">
        <f t="shared" si="26"/>
        <v>0</v>
      </c>
      <c r="F110" s="50">
        <f t="shared" si="27"/>
        <v>0</v>
      </c>
      <c r="G110" s="50">
        <f t="shared" si="36"/>
        <v>0</v>
      </c>
      <c r="H110" s="51" t="e">
        <f t="shared" si="28"/>
        <v>#DIV/0!</v>
      </c>
      <c r="I110" s="52" t="e">
        <f>IF(AND(C$7="Y",$B110&lt;=C$4),0,IF(AND(C$7="Y",$B110&gt;C$4),(1-U110)*C$2*D109/12,IF(AND($C$7="N",C$4&gt;0),(1-U110)*D109*C$2/12, (1-U110)*D109*C$2/12)))</f>
        <v>#DIV/0!</v>
      </c>
      <c r="J110" s="57" t="e">
        <f t="shared" si="29"/>
        <v>#DIV/0!</v>
      </c>
      <c r="K110" s="51" t="e">
        <f t="shared" si="30"/>
        <v>#DIV/0!</v>
      </c>
      <c r="L110" s="49" t="e">
        <f>IF(AND(C$7="Y",$B110&lt;=$C$4),0,IF(AND(C$7="N",C$4&gt;0,B110&lt;=C$4),0,U110*D109))</f>
        <v>#DIV/0!</v>
      </c>
      <c r="M110" s="49">
        <f t="shared" si="38"/>
        <v>0</v>
      </c>
      <c r="N110" s="49">
        <f t="shared" si="37"/>
        <v>0</v>
      </c>
      <c r="O110" s="48" t="e">
        <f t="shared" si="31"/>
        <v>#DIV/0!</v>
      </c>
      <c r="P110" s="38" t="e">
        <f>O110*(1/((1+P$9)^(B110/12)))</f>
        <v>#DIV/0!</v>
      </c>
      <c r="Q110" s="53"/>
      <c r="R110" s="53">
        <f t="shared" si="32"/>
        <v>0.12</v>
      </c>
      <c r="S110" s="53">
        <f t="shared" si="33"/>
        <v>1.0596241035318976E-2</v>
      </c>
      <c r="T110" s="53">
        <f t="shared" si="34"/>
        <v>0.05</v>
      </c>
      <c r="U110" s="53">
        <f t="shared" si="35"/>
        <v>4.2653187775606449E-3</v>
      </c>
    </row>
    <row r="111" spans="1:21" x14ac:dyDescent="0.2">
      <c r="A111" s="62"/>
      <c r="B111" s="45">
        <f t="shared" si="24"/>
        <v>100</v>
      </c>
      <c r="C111" s="51" t="e">
        <f>IF(B111&lt;C$4,C$1,D110-L111+N111)</f>
        <v>#DIV/0!</v>
      </c>
      <c r="D111" s="47" t="e">
        <f t="shared" si="25"/>
        <v>#DIV/0!</v>
      </c>
      <c r="E111" s="48">
        <f t="shared" si="26"/>
        <v>0</v>
      </c>
      <c r="F111" s="50">
        <f t="shared" si="27"/>
        <v>0</v>
      </c>
      <c r="G111" s="50">
        <f t="shared" si="36"/>
        <v>0</v>
      </c>
      <c r="H111" s="51" t="e">
        <f t="shared" si="28"/>
        <v>#DIV/0!</v>
      </c>
      <c r="I111" s="52" t="e">
        <f>IF(AND(C$7="Y",$B111&lt;=C$4),0,IF(AND(C$7="Y",$B111&gt;C$4),(1-U111)*C$2*D110/12,IF(AND($C$7="N",C$4&gt;0),(1-U111)*D110*C$2/12, (1-U111)*D110*C$2/12)))</f>
        <v>#DIV/0!</v>
      </c>
      <c r="J111" s="57" t="e">
        <f t="shared" si="29"/>
        <v>#DIV/0!</v>
      </c>
      <c r="K111" s="51" t="e">
        <f t="shared" si="30"/>
        <v>#DIV/0!</v>
      </c>
      <c r="L111" s="49" t="e">
        <f>IF(AND(C$7="Y",$B111&lt;=$C$4),0,IF(AND(C$7="N",C$4&gt;0,B111&lt;=C$4),0,U111*D110))</f>
        <v>#DIV/0!</v>
      </c>
      <c r="M111" s="49">
        <f t="shared" si="38"/>
        <v>0</v>
      </c>
      <c r="N111" s="49">
        <f t="shared" si="37"/>
        <v>0</v>
      </c>
      <c r="O111" s="48" t="e">
        <f t="shared" si="31"/>
        <v>#DIV/0!</v>
      </c>
      <c r="P111" s="38" t="e">
        <f>O111*(1/((1+P$9)^(B111/12)))</f>
        <v>#DIV/0!</v>
      </c>
      <c r="Q111" s="53"/>
      <c r="R111" s="53">
        <f t="shared" si="32"/>
        <v>0.12</v>
      </c>
      <c r="S111" s="53">
        <f t="shared" si="33"/>
        <v>1.0596241035318976E-2</v>
      </c>
      <c r="T111" s="53">
        <f t="shared" si="34"/>
        <v>0.05</v>
      </c>
      <c r="U111" s="53">
        <f t="shared" si="35"/>
        <v>4.2653187775606449E-3</v>
      </c>
    </row>
    <row r="112" spans="1:21" x14ac:dyDescent="0.2">
      <c r="A112" s="62"/>
      <c r="B112" s="45">
        <f t="shared" si="24"/>
        <v>101</v>
      </c>
      <c r="C112" s="51" t="e">
        <f>IF(B112&lt;C$4,C$1,D111-L112+N112)</f>
        <v>#DIV/0!</v>
      </c>
      <c r="D112" s="47" t="e">
        <f t="shared" si="25"/>
        <v>#DIV/0!</v>
      </c>
      <c r="E112" s="48">
        <f t="shared" si="26"/>
        <v>0</v>
      </c>
      <c r="F112" s="50">
        <f t="shared" si="27"/>
        <v>0</v>
      </c>
      <c r="G112" s="50">
        <f t="shared" si="36"/>
        <v>0</v>
      </c>
      <c r="H112" s="51" t="e">
        <f t="shared" si="28"/>
        <v>#DIV/0!</v>
      </c>
      <c r="I112" s="52" t="e">
        <f>IF(AND(C$7="Y",$B112&lt;=C$4),0,IF(AND(C$7="Y",$B112&gt;C$4),(1-U112)*C$2*D111/12,IF(AND($C$7="N",C$4&gt;0),(1-U112)*D111*C$2/12, (1-U112)*D111*C$2/12)))</f>
        <v>#DIV/0!</v>
      </c>
      <c r="J112" s="57" t="e">
        <f t="shared" si="29"/>
        <v>#DIV/0!</v>
      </c>
      <c r="K112" s="51" t="e">
        <f t="shared" si="30"/>
        <v>#DIV/0!</v>
      </c>
      <c r="L112" s="49" t="e">
        <f>IF(AND(C$7="Y",$B112&lt;=$C$4),0,IF(AND(C$7="N",C$4&gt;0,B112&lt;=C$4),0,U112*D111))</f>
        <v>#DIV/0!</v>
      </c>
      <c r="M112" s="49">
        <f t="shared" si="38"/>
        <v>0</v>
      </c>
      <c r="N112" s="49">
        <f t="shared" si="37"/>
        <v>0</v>
      </c>
      <c r="O112" s="48" t="e">
        <f t="shared" si="31"/>
        <v>#DIV/0!</v>
      </c>
      <c r="P112" s="38" t="e">
        <f>O112*(1/((1+P$9)^(B112/12)))</f>
        <v>#DIV/0!</v>
      </c>
      <c r="Q112" s="53"/>
      <c r="R112" s="53">
        <f t="shared" si="32"/>
        <v>0.12</v>
      </c>
      <c r="S112" s="53">
        <f t="shared" si="33"/>
        <v>1.0596241035318976E-2</v>
      </c>
      <c r="T112" s="53">
        <f t="shared" si="34"/>
        <v>0.05</v>
      </c>
      <c r="U112" s="53">
        <f t="shared" si="35"/>
        <v>4.2653187775606449E-3</v>
      </c>
    </row>
    <row r="113" spans="1:21" x14ac:dyDescent="0.2">
      <c r="A113" s="62"/>
      <c r="B113" s="45">
        <f t="shared" si="24"/>
        <v>102</v>
      </c>
      <c r="C113" s="51" t="e">
        <f>IF(B113&lt;C$4,C$1,D112-L113+N113)</f>
        <v>#DIV/0!</v>
      </c>
      <c r="D113" s="47" t="e">
        <f t="shared" si="25"/>
        <v>#DIV/0!</v>
      </c>
      <c r="E113" s="48">
        <f t="shared" si="26"/>
        <v>0</v>
      </c>
      <c r="F113" s="50">
        <f t="shared" si="27"/>
        <v>0</v>
      </c>
      <c r="G113" s="50">
        <f t="shared" si="36"/>
        <v>0</v>
      </c>
      <c r="H113" s="51" t="e">
        <f t="shared" si="28"/>
        <v>#DIV/0!</v>
      </c>
      <c r="I113" s="52" t="e">
        <f>IF(AND(C$7="Y",$B113&lt;=C$4),0,IF(AND(C$7="Y",$B113&gt;C$4),(1-U113)*C$2*D112/12,IF(AND($C$7="N",C$4&gt;0),(1-U113)*D112*C$2/12, (1-U113)*D112*C$2/12)))</f>
        <v>#DIV/0!</v>
      </c>
      <c r="J113" s="57" t="e">
        <f t="shared" si="29"/>
        <v>#DIV/0!</v>
      </c>
      <c r="K113" s="51" t="e">
        <f t="shared" si="30"/>
        <v>#DIV/0!</v>
      </c>
      <c r="L113" s="49" t="e">
        <f>IF(AND(C$7="Y",$B113&lt;=$C$4),0,IF(AND(C$7="N",C$4&gt;0,B113&lt;=C$4),0,U113*D112))</f>
        <v>#DIV/0!</v>
      </c>
      <c r="M113" s="49">
        <f t="shared" si="38"/>
        <v>0</v>
      </c>
      <c r="N113" s="49">
        <f t="shared" si="37"/>
        <v>0</v>
      </c>
      <c r="O113" s="48" t="e">
        <f t="shared" si="31"/>
        <v>#DIV/0!</v>
      </c>
      <c r="P113" s="38" t="e">
        <f>O113*(1/((1+P$9)^(B113/12)))</f>
        <v>#DIV/0!</v>
      </c>
      <c r="Q113" s="53"/>
      <c r="R113" s="53">
        <f t="shared" si="32"/>
        <v>0.12</v>
      </c>
      <c r="S113" s="53">
        <f t="shared" si="33"/>
        <v>1.0596241035318976E-2</v>
      </c>
      <c r="T113" s="53">
        <f t="shared" si="34"/>
        <v>0.05</v>
      </c>
      <c r="U113" s="53">
        <f t="shared" si="35"/>
        <v>4.2653187775606449E-3</v>
      </c>
    </row>
    <row r="114" spans="1:21" x14ac:dyDescent="0.2">
      <c r="A114" s="62"/>
      <c r="B114" s="45">
        <f t="shared" si="24"/>
        <v>103</v>
      </c>
      <c r="C114" s="51" t="e">
        <f>IF(B114&lt;C$4,C$1,D113-L114+N114)</f>
        <v>#DIV/0!</v>
      </c>
      <c r="D114" s="47" t="e">
        <f t="shared" si="25"/>
        <v>#DIV/0!</v>
      </c>
      <c r="E114" s="48">
        <f t="shared" si="26"/>
        <v>0</v>
      </c>
      <c r="F114" s="50">
        <f t="shared" si="27"/>
        <v>0</v>
      </c>
      <c r="G114" s="50">
        <f t="shared" si="36"/>
        <v>0</v>
      </c>
      <c r="H114" s="51" t="e">
        <f t="shared" si="28"/>
        <v>#DIV/0!</v>
      </c>
      <c r="I114" s="52" t="e">
        <f>IF(AND(C$7="Y",$B114&lt;=C$4),0,IF(AND(C$7="Y",$B114&gt;C$4),(1-U114)*C$2*D113/12,IF(AND($C$7="N",C$4&gt;0),(1-U114)*D113*C$2/12, (1-U114)*D113*C$2/12)))</f>
        <v>#DIV/0!</v>
      </c>
      <c r="J114" s="57" t="e">
        <f t="shared" si="29"/>
        <v>#DIV/0!</v>
      </c>
      <c r="K114" s="51" t="e">
        <f t="shared" si="30"/>
        <v>#DIV/0!</v>
      </c>
      <c r="L114" s="49" t="e">
        <f>IF(AND(C$7="Y",$B114&lt;=$C$4),0,IF(AND(C$7="N",C$4&gt;0,B114&lt;=C$4),0,U114*D113))</f>
        <v>#DIV/0!</v>
      </c>
      <c r="M114" s="49">
        <f t="shared" si="38"/>
        <v>0</v>
      </c>
      <c r="N114" s="49">
        <f t="shared" si="37"/>
        <v>0</v>
      </c>
      <c r="O114" s="48" t="e">
        <f t="shared" si="31"/>
        <v>#DIV/0!</v>
      </c>
      <c r="P114" s="38" t="e">
        <f>O114*(1/((1+P$9)^(B114/12)))</f>
        <v>#DIV/0!</v>
      </c>
      <c r="Q114" s="53"/>
      <c r="R114" s="53">
        <f t="shared" si="32"/>
        <v>0.12</v>
      </c>
      <c r="S114" s="53">
        <f t="shared" si="33"/>
        <v>1.0596241035318976E-2</v>
      </c>
      <c r="T114" s="53">
        <f t="shared" si="34"/>
        <v>0.05</v>
      </c>
      <c r="U114" s="53">
        <f t="shared" si="35"/>
        <v>4.2653187775606449E-3</v>
      </c>
    </row>
    <row r="115" spans="1:21" x14ac:dyDescent="0.2">
      <c r="A115" s="62"/>
      <c r="B115" s="45">
        <f t="shared" si="24"/>
        <v>104</v>
      </c>
      <c r="C115" s="51" t="e">
        <f>IF(B115&lt;C$4,C$1,D114-L115+N115)</f>
        <v>#DIV/0!</v>
      </c>
      <c r="D115" s="47" t="e">
        <f t="shared" si="25"/>
        <v>#DIV/0!</v>
      </c>
      <c r="E115" s="48">
        <f t="shared" si="26"/>
        <v>0</v>
      </c>
      <c r="F115" s="50">
        <f t="shared" si="27"/>
        <v>0</v>
      </c>
      <c r="G115" s="50">
        <f t="shared" si="36"/>
        <v>0</v>
      </c>
      <c r="H115" s="51" t="e">
        <f t="shared" si="28"/>
        <v>#DIV/0!</v>
      </c>
      <c r="I115" s="52" t="e">
        <f>IF(AND(C$7="Y",$B115&lt;=C$4),0,IF(AND(C$7="Y",$B115&gt;C$4),(1-U115)*C$2*D114/12,IF(AND($C$7="N",C$4&gt;0),(1-U115)*D114*C$2/12, (1-U115)*D114*C$2/12)))</f>
        <v>#DIV/0!</v>
      </c>
      <c r="J115" s="57" t="e">
        <f t="shared" si="29"/>
        <v>#DIV/0!</v>
      </c>
      <c r="K115" s="51" t="e">
        <f t="shared" si="30"/>
        <v>#DIV/0!</v>
      </c>
      <c r="L115" s="49" t="e">
        <f>IF(AND(C$7="Y",$B115&lt;=$C$4),0,IF(AND(C$7="N",C$4&gt;0,B115&lt;=C$4),0,U115*D114))</f>
        <v>#DIV/0!</v>
      </c>
      <c r="M115" s="49">
        <f t="shared" si="38"/>
        <v>0</v>
      </c>
      <c r="N115" s="49">
        <f t="shared" si="37"/>
        <v>0</v>
      </c>
      <c r="O115" s="48" t="e">
        <f t="shared" si="31"/>
        <v>#DIV/0!</v>
      </c>
      <c r="P115" s="38" t="e">
        <f>O115*(1/((1+P$9)^(B115/12)))</f>
        <v>#DIV/0!</v>
      </c>
      <c r="Q115" s="53"/>
      <c r="R115" s="53">
        <f t="shared" si="32"/>
        <v>0.12</v>
      </c>
      <c r="S115" s="53">
        <f t="shared" si="33"/>
        <v>1.0596241035318976E-2</v>
      </c>
      <c r="T115" s="53">
        <f t="shared" si="34"/>
        <v>0.05</v>
      </c>
      <c r="U115" s="53">
        <f t="shared" si="35"/>
        <v>4.2653187775606449E-3</v>
      </c>
    </row>
    <row r="116" spans="1:21" x14ac:dyDescent="0.2">
      <c r="A116" s="62"/>
      <c r="B116" s="45">
        <f t="shared" si="24"/>
        <v>105</v>
      </c>
      <c r="C116" s="51" t="e">
        <f>IF(B116&lt;C$4,C$1,D115-L116+N116)</f>
        <v>#DIV/0!</v>
      </c>
      <c r="D116" s="47" t="e">
        <f t="shared" si="25"/>
        <v>#DIV/0!</v>
      </c>
      <c r="E116" s="48">
        <f t="shared" si="26"/>
        <v>0</v>
      </c>
      <c r="F116" s="50">
        <f t="shared" si="27"/>
        <v>0</v>
      </c>
      <c r="G116" s="50">
        <f t="shared" si="36"/>
        <v>0</v>
      </c>
      <c r="H116" s="51" t="e">
        <f t="shared" si="28"/>
        <v>#DIV/0!</v>
      </c>
      <c r="I116" s="52" t="e">
        <f>IF(AND(C$7="Y",$B116&lt;=C$4),0,IF(AND(C$7="Y",$B116&gt;C$4),(1-U116)*C$2*D115/12,IF(AND($C$7="N",C$4&gt;0),(1-U116)*D115*C$2/12, (1-U116)*D115*C$2/12)))</f>
        <v>#DIV/0!</v>
      </c>
      <c r="J116" s="57" t="e">
        <f t="shared" si="29"/>
        <v>#DIV/0!</v>
      </c>
      <c r="K116" s="51" t="e">
        <f t="shared" si="30"/>
        <v>#DIV/0!</v>
      </c>
      <c r="L116" s="49" t="e">
        <f>IF(AND(C$7="Y",$B116&lt;=$C$4),0,IF(AND(C$7="N",C$4&gt;0,B116&lt;=C$4),0,U116*D115))</f>
        <v>#DIV/0!</v>
      </c>
      <c r="M116" s="49">
        <f t="shared" si="38"/>
        <v>0</v>
      </c>
      <c r="N116" s="49">
        <f t="shared" si="37"/>
        <v>0</v>
      </c>
      <c r="O116" s="48" t="e">
        <f t="shared" si="31"/>
        <v>#DIV/0!</v>
      </c>
      <c r="P116" s="38" t="e">
        <f>O116*(1/((1+P$9)^(B116/12)))</f>
        <v>#DIV/0!</v>
      </c>
      <c r="Q116" s="53"/>
      <c r="R116" s="53">
        <f t="shared" si="32"/>
        <v>0.12</v>
      </c>
      <c r="S116" s="53">
        <f t="shared" si="33"/>
        <v>1.0596241035318976E-2</v>
      </c>
      <c r="T116" s="53">
        <f t="shared" si="34"/>
        <v>0.05</v>
      </c>
      <c r="U116" s="53">
        <f t="shared" si="35"/>
        <v>4.2653187775606449E-3</v>
      </c>
    </row>
    <row r="117" spans="1:21" x14ac:dyDescent="0.2">
      <c r="A117" s="62"/>
      <c r="B117" s="45">
        <f t="shared" si="24"/>
        <v>106</v>
      </c>
      <c r="C117" s="51" t="e">
        <f>IF(B117&lt;C$4,C$1,D116-L117+N117)</f>
        <v>#DIV/0!</v>
      </c>
      <c r="D117" s="47" t="e">
        <f t="shared" si="25"/>
        <v>#DIV/0!</v>
      </c>
      <c r="E117" s="48">
        <f t="shared" si="26"/>
        <v>0</v>
      </c>
      <c r="F117" s="50">
        <f t="shared" si="27"/>
        <v>0</v>
      </c>
      <c r="G117" s="50">
        <f t="shared" si="36"/>
        <v>0</v>
      </c>
      <c r="H117" s="51" t="e">
        <f t="shared" si="28"/>
        <v>#DIV/0!</v>
      </c>
      <c r="I117" s="52" t="e">
        <f>IF(AND(C$7="Y",$B117&lt;=C$4),0,IF(AND(C$7="Y",$B117&gt;C$4),(1-U117)*C$2*D116/12,IF(AND($C$7="N",C$4&gt;0),(1-U117)*D116*C$2/12, (1-U117)*D116*C$2/12)))</f>
        <v>#DIV/0!</v>
      </c>
      <c r="J117" s="57" t="e">
        <f t="shared" si="29"/>
        <v>#DIV/0!</v>
      </c>
      <c r="K117" s="51" t="e">
        <f t="shared" si="30"/>
        <v>#DIV/0!</v>
      </c>
      <c r="L117" s="49" t="e">
        <f>IF(AND(C$7="Y",$B117&lt;=$C$4),0,IF(AND(C$7="N",C$4&gt;0,B117&lt;=C$4),0,U117*D116))</f>
        <v>#DIV/0!</v>
      </c>
      <c r="M117" s="49">
        <f t="shared" si="38"/>
        <v>0</v>
      </c>
      <c r="N117" s="49">
        <f t="shared" si="37"/>
        <v>0</v>
      </c>
      <c r="O117" s="48" t="e">
        <f t="shared" si="31"/>
        <v>#DIV/0!</v>
      </c>
      <c r="P117" s="38" t="e">
        <f>O117*(1/((1+P$9)^(B117/12)))</f>
        <v>#DIV/0!</v>
      </c>
      <c r="Q117" s="53"/>
      <c r="R117" s="53">
        <f t="shared" si="32"/>
        <v>0.12</v>
      </c>
      <c r="S117" s="53">
        <f t="shared" si="33"/>
        <v>1.0596241035318976E-2</v>
      </c>
      <c r="T117" s="53">
        <f t="shared" si="34"/>
        <v>0.05</v>
      </c>
      <c r="U117" s="53">
        <f t="shared" si="35"/>
        <v>4.2653187775606449E-3</v>
      </c>
    </row>
    <row r="118" spans="1:21" x14ac:dyDescent="0.2">
      <c r="A118" s="62"/>
      <c r="B118" s="45">
        <f t="shared" si="24"/>
        <v>107</v>
      </c>
      <c r="C118" s="51" t="e">
        <f>IF(B118&lt;C$4,C$1,D117-L118+N118)</f>
        <v>#DIV/0!</v>
      </c>
      <c r="D118" s="47" t="e">
        <f t="shared" si="25"/>
        <v>#DIV/0!</v>
      </c>
      <c r="E118" s="48">
        <f t="shared" si="26"/>
        <v>0</v>
      </c>
      <c r="F118" s="50">
        <f t="shared" si="27"/>
        <v>0</v>
      </c>
      <c r="G118" s="50">
        <f t="shared" si="36"/>
        <v>0</v>
      </c>
      <c r="H118" s="51" t="e">
        <f t="shared" si="28"/>
        <v>#DIV/0!</v>
      </c>
      <c r="I118" s="52" t="e">
        <f>IF(AND(C$7="Y",$B118&lt;=C$4),0,IF(AND(C$7="Y",$B118&gt;C$4),(1-U118)*C$2*D117/12,IF(AND($C$7="N",C$4&gt;0),(1-U118)*D117*C$2/12, (1-U118)*D117*C$2/12)))</f>
        <v>#DIV/0!</v>
      </c>
      <c r="J118" s="57" t="e">
        <f t="shared" si="29"/>
        <v>#DIV/0!</v>
      </c>
      <c r="K118" s="51" t="e">
        <f t="shared" si="30"/>
        <v>#DIV/0!</v>
      </c>
      <c r="L118" s="49" t="e">
        <f>IF(AND(C$7="Y",$B118&lt;=$C$4),0,IF(AND(C$7="N",C$4&gt;0,B118&lt;=C$4),0,U118*D117))</f>
        <v>#DIV/0!</v>
      </c>
      <c r="M118" s="49">
        <f t="shared" si="38"/>
        <v>0</v>
      </c>
      <c r="N118" s="49">
        <f t="shared" si="37"/>
        <v>0</v>
      </c>
      <c r="O118" s="48" t="e">
        <f t="shared" si="31"/>
        <v>#DIV/0!</v>
      </c>
      <c r="P118" s="38" t="e">
        <f>O118*(1/((1+P$9)^(B118/12)))</f>
        <v>#DIV/0!</v>
      </c>
      <c r="Q118" s="53"/>
      <c r="R118" s="53">
        <f t="shared" si="32"/>
        <v>0.12</v>
      </c>
      <c r="S118" s="53">
        <f t="shared" si="33"/>
        <v>1.0596241035318976E-2</v>
      </c>
      <c r="T118" s="53">
        <f t="shared" si="34"/>
        <v>0.05</v>
      </c>
      <c r="U118" s="53">
        <f t="shared" si="35"/>
        <v>4.2653187775606449E-3</v>
      </c>
    </row>
    <row r="119" spans="1:21" x14ac:dyDescent="0.2">
      <c r="A119" s="62"/>
      <c r="B119" s="45">
        <f t="shared" si="24"/>
        <v>108</v>
      </c>
      <c r="C119" s="51" t="e">
        <f>IF(B119&lt;C$4,C$1,D118-L119+N119)</f>
        <v>#DIV/0!</v>
      </c>
      <c r="D119" s="47" t="e">
        <f t="shared" si="25"/>
        <v>#DIV/0!</v>
      </c>
      <c r="E119" s="48">
        <f t="shared" si="26"/>
        <v>0</v>
      </c>
      <c r="F119" s="50">
        <f t="shared" si="27"/>
        <v>0</v>
      </c>
      <c r="G119" s="50">
        <f t="shared" si="36"/>
        <v>0</v>
      </c>
      <c r="H119" s="51" t="e">
        <f t="shared" si="28"/>
        <v>#DIV/0!</v>
      </c>
      <c r="I119" s="52" t="e">
        <f>IF(AND(C$7="Y",$B119&lt;=C$4),0,IF(AND(C$7="Y",$B119&gt;C$4),(1-U119)*C$2*D118/12,IF(AND($C$7="N",C$4&gt;0),(1-U119)*D118*C$2/12, (1-U119)*D118*C$2/12)))</f>
        <v>#DIV/0!</v>
      </c>
      <c r="J119" s="57" t="e">
        <f t="shared" si="29"/>
        <v>#DIV/0!</v>
      </c>
      <c r="K119" s="51" t="e">
        <f t="shared" si="30"/>
        <v>#DIV/0!</v>
      </c>
      <c r="L119" s="49" t="e">
        <f>IF(AND(C$7="Y",$B119&lt;=$C$4),0,IF(AND(C$7="N",C$4&gt;0,B119&lt;=C$4),0,U119*D118))</f>
        <v>#DIV/0!</v>
      </c>
      <c r="M119" s="49">
        <f t="shared" si="38"/>
        <v>0</v>
      </c>
      <c r="N119" s="49">
        <f t="shared" si="37"/>
        <v>0</v>
      </c>
      <c r="O119" s="48" t="e">
        <f t="shared" si="31"/>
        <v>#DIV/0!</v>
      </c>
      <c r="P119" s="38" t="e">
        <f>O119*(1/((1+P$9)^(B119/12)))</f>
        <v>#DIV/0!</v>
      </c>
      <c r="Q119" s="53"/>
      <c r="R119" s="53">
        <f t="shared" si="32"/>
        <v>0.12</v>
      </c>
      <c r="S119" s="53">
        <f t="shared" si="33"/>
        <v>1.0596241035318976E-2</v>
      </c>
      <c r="T119" s="53">
        <f t="shared" si="34"/>
        <v>0.05</v>
      </c>
      <c r="U119" s="53">
        <f t="shared" si="35"/>
        <v>4.2653187775606449E-3</v>
      </c>
    </row>
    <row r="120" spans="1:21" x14ac:dyDescent="0.2">
      <c r="A120" s="62"/>
      <c r="B120" s="45">
        <f t="shared" si="24"/>
        <v>109</v>
      </c>
      <c r="C120" s="51" t="e">
        <f>IF(B120&lt;C$4,C$1,D119-L120+N120)</f>
        <v>#DIV/0!</v>
      </c>
      <c r="D120" s="47" t="e">
        <f t="shared" si="25"/>
        <v>#DIV/0!</v>
      </c>
      <c r="E120" s="48">
        <f t="shared" si="26"/>
        <v>0</v>
      </c>
      <c r="F120" s="50">
        <f t="shared" si="27"/>
        <v>0</v>
      </c>
      <c r="G120" s="50">
        <f t="shared" si="36"/>
        <v>0</v>
      </c>
      <c r="H120" s="51" t="e">
        <f t="shared" si="28"/>
        <v>#DIV/0!</v>
      </c>
      <c r="I120" s="52" t="e">
        <f>IF(AND(C$7="Y",$B120&lt;=C$4),0,IF(AND(C$7="Y",$B120&gt;C$4),(1-U120)*C$2*D119/12,IF(AND($C$7="N",C$4&gt;0),(1-U120)*D119*C$2/12, (1-U120)*D119*C$2/12)))</f>
        <v>#DIV/0!</v>
      </c>
      <c r="J120" s="57" t="e">
        <f t="shared" si="29"/>
        <v>#DIV/0!</v>
      </c>
      <c r="K120" s="51" t="e">
        <f t="shared" si="30"/>
        <v>#DIV/0!</v>
      </c>
      <c r="L120" s="49" t="e">
        <f>IF(AND(C$7="Y",$B120&lt;=$C$4),0,IF(AND(C$7="N",C$4&gt;0,B120&lt;=C$4),0,U120*D119))</f>
        <v>#DIV/0!</v>
      </c>
      <c r="M120" s="49">
        <f t="shared" si="38"/>
        <v>0</v>
      </c>
      <c r="N120" s="49">
        <f t="shared" si="37"/>
        <v>0</v>
      </c>
      <c r="O120" s="48" t="e">
        <f t="shared" si="31"/>
        <v>#DIV/0!</v>
      </c>
      <c r="P120" s="38" t="e">
        <f>O120*(1/((1+P$9)^(B120/12)))</f>
        <v>#DIV/0!</v>
      </c>
      <c r="Q120" s="53"/>
      <c r="R120" s="53">
        <f t="shared" si="32"/>
        <v>0.12</v>
      </c>
      <c r="S120" s="53">
        <f t="shared" si="33"/>
        <v>1.0596241035318976E-2</v>
      </c>
      <c r="T120" s="53">
        <f t="shared" si="34"/>
        <v>0.05</v>
      </c>
      <c r="U120" s="53">
        <f t="shared" si="35"/>
        <v>4.2653187775606449E-3</v>
      </c>
    </row>
    <row r="121" spans="1:21" x14ac:dyDescent="0.2">
      <c r="A121" s="62"/>
      <c r="B121" s="45">
        <f t="shared" si="24"/>
        <v>110</v>
      </c>
      <c r="C121" s="51" t="e">
        <f>IF(B121&lt;C$4,C$1,D120-L121+N121)</f>
        <v>#DIV/0!</v>
      </c>
      <c r="D121" s="47" t="e">
        <f t="shared" si="25"/>
        <v>#DIV/0!</v>
      </c>
      <c r="E121" s="48">
        <f t="shared" si="26"/>
        <v>0</v>
      </c>
      <c r="F121" s="50">
        <f t="shared" si="27"/>
        <v>0</v>
      </c>
      <c r="G121" s="50">
        <f t="shared" si="36"/>
        <v>0</v>
      </c>
      <c r="H121" s="51" t="e">
        <f t="shared" si="28"/>
        <v>#DIV/0!</v>
      </c>
      <c r="I121" s="52" t="e">
        <f>IF(AND(C$7="Y",$B121&lt;=C$4),0,IF(AND(C$7="Y",$B121&gt;C$4),(1-U121)*C$2*D120/12,IF(AND($C$7="N",C$4&gt;0),(1-U121)*D120*C$2/12, (1-U121)*D120*C$2/12)))</f>
        <v>#DIV/0!</v>
      </c>
      <c r="J121" s="57" t="e">
        <f t="shared" si="29"/>
        <v>#DIV/0!</v>
      </c>
      <c r="K121" s="51" t="e">
        <f t="shared" si="30"/>
        <v>#DIV/0!</v>
      </c>
      <c r="L121" s="49" t="e">
        <f>IF(AND(C$7="Y",$B121&lt;=$C$4),0,IF(AND(C$7="N",C$4&gt;0,B121&lt;=C$4),0,U121*D120))</f>
        <v>#DIV/0!</v>
      </c>
      <c r="M121" s="49">
        <f t="shared" si="38"/>
        <v>0</v>
      </c>
      <c r="N121" s="49">
        <f t="shared" si="37"/>
        <v>0</v>
      </c>
      <c r="O121" s="48" t="e">
        <f t="shared" si="31"/>
        <v>#DIV/0!</v>
      </c>
      <c r="P121" s="38" t="e">
        <f>O121*(1/((1+P$9)^(B121/12)))</f>
        <v>#DIV/0!</v>
      </c>
      <c r="Q121" s="53"/>
      <c r="R121" s="53">
        <f t="shared" si="32"/>
        <v>0.12</v>
      </c>
      <c r="S121" s="53">
        <f t="shared" si="33"/>
        <v>1.0596241035318976E-2</v>
      </c>
      <c r="T121" s="53">
        <f t="shared" si="34"/>
        <v>0.05</v>
      </c>
      <c r="U121" s="53">
        <f t="shared" si="35"/>
        <v>4.2653187775606449E-3</v>
      </c>
    </row>
    <row r="122" spans="1:21" x14ac:dyDescent="0.2">
      <c r="A122" s="62"/>
      <c r="B122" s="45">
        <f t="shared" si="24"/>
        <v>111</v>
      </c>
      <c r="C122" s="51" t="e">
        <f>IF(B122&lt;C$4,C$1,D121-L122+N122)</f>
        <v>#DIV/0!</v>
      </c>
      <c r="D122" s="47" t="e">
        <f t="shared" si="25"/>
        <v>#DIV/0!</v>
      </c>
      <c r="E122" s="48">
        <f t="shared" si="26"/>
        <v>0</v>
      </c>
      <c r="F122" s="50">
        <f t="shared" si="27"/>
        <v>0</v>
      </c>
      <c r="G122" s="50">
        <f t="shared" si="36"/>
        <v>0</v>
      </c>
      <c r="H122" s="51" t="e">
        <f t="shared" si="28"/>
        <v>#DIV/0!</v>
      </c>
      <c r="I122" s="52" t="e">
        <f>IF(AND(C$7="Y",$B122&lt;=C$4),0,IF(AND(C$7="Y",$B122&gt;C$4),(1-U122)*C$2*D121/12,IF(AND($C$7="N",C$4&gt;0),(1-U122)*D121*C$2/12, (1-U122)*D121*C$2/12)))</f>
        <v>#DIV/0!</v>
      </c>
      <c r="J122" s="57" t="e">
        <f t="shared" si="29"/>
        <v>#DIV/0!</v>
      </c>
      <c r="K122" s="51" t="e">
        <f t="shared" si="30"/>
        <v>#DIV/0!</v>
      </c>
      <c r="L122" s="49" t="e">
        <f>IF(AND(C$7="Y",$B122&lt;=$C$4),0,IF(AND(C$7="N",C$4&gt;0,B122&lt;=C$4),0,U122*D121))</f>
        <v>#DIV/0!</v>
      </c>
      <c r="M122" s="49">
        <f t="shared" si="38"/>
        <v>0</v>
      </c>
      <c r="N122" s="49">
        <f t="shared" si="37"/>
        <v>0</v>
      </c>
      <c r="O122" s="48" t="e">
        <f t="shared" si="31"/>
        <v>#DIV/0!</v>
      </c>
      <c r="P122" s="38" t="e">
        <f>O122*(1/((1+P$9)^(B122/12)))</f>
        <v>#DIV/0!</v>
      </c>
      <c r="Q122" s="53"/>
      <c r="R122" s="53">
        <f t="shared" si="32"/>
        <v>0.12</v>
      </c>
      <c r="S122" s="53">
        <f t="shared" si="33"/>
        <v>1.0596241035318976E-2</v>
      </c>
      <c r="T122" s="53">
        <f t="shared" si="34"/>
        <v>0.05</v>
      </c>
      <c r="U122" s="53">
        <f t="shared" si="35"/>
        <v>4.2653187775606449E-3</v>
      </c>
    </row>
    <row r="123" spans="1:21" x14ac:dyDescent="0.2">
      <c r="A123" s="62"/>
      <c r="B123" s="45">
        <f t="shared" si="24"/>
        <v>112</v>
      </c>
      <c r="C123" s="51" t="e">
        <f>IF(B123&lt;C$4,C$1,D122-L123+N123)</f>
        <v>#DIV/0!</v>
      </c>
      <c r="D123" s="47" t="e">
        <f t="shared" si="25"/>
        <v>#DIV/0!</v>
      </c>
      <c r="E123" s="48">
        <f t="shared" si="26"/>
        <v>0</v>
      </c>
      <c r="F123" s="50">
        <f t="shared" si="27"/>
        <v>0</v>
      </c>
      <c r="G123" s="50">
        <f t="shared" si="36"/>
        <v>0</v>
      </c>
      <c r="H123" s="51" t="e">
        <f t="shared" si="28"/>
        <v>#DIV/0!</v>
      </c>
      <c r="I123" s="52" t="e">
        <f>IF(AND(C$7="Y",$B123&lt;=C$4),0,IF(AND(C$7="Y",$B123&gt;C$4),(1-U123)*C$2*D122/12,IF(AND($C$7="N",C$4&gt;0),(1-U123)*D122*C$2/12, (1-U123)*D122*C$2/12)))</f>
        <v>#DIV/0!</v>
      </c>
      <c r="J123" s="57" t="e">
        <f t="shared" si="29"/>
        <v>#DIV/0!</v>
      </c>
      <c r="K123" s="51" t="e">
        <f t="shared" si="30"/>
        <v>#DIV/0!</v>
      </c>
      <c r="L123" s="49" t="e">
        <f>IF(AND(C$7="Y",$B123&lt;=$C$4),0,IF(AND(C$7="N",C$4&gt;0,B123&lt;=C$4),0,U123*D122))</f>
        <v>#DIV/0!</v>
      </c>
      <c r="M123" s="49">
        <f t="shared" si="38"/>
        <v>0</v>
      </c>
      <c r="N123" s="49">
        <f t="shared" si="37"/>
        <v>0</v>
      </c>
      <c r="O123" s="48" t="e">
        <f t="shared" si="31"/>
        <v>#DIV/0!</v>
      </c>
      <c r="P123" s="38" t="e">
        <f>O123*(1/((1+P$9)^(B123/12)))</f>
        <v>#DIV/0!</v>
      </c>
      <c r="Q123" s="53"/>
      <c r="R123" s="53">
        <f t="shared" si="32"/>
        <v>0.12</v>
      </c>
      <c r="S123" s="53">
        <f t="shared" si="33"/>
        <v>1.0596241035318976E-2</v>
      </c>
      <c r="T123" s="53">
        <f t="shared" si="34"/>
        <v>0.05</v>
      </c>
      <c r="U123" s="53">
        <f t="shared" si="35"/>
        <v>4.2653187775606449E-3</v>
      </c>
    </row>
    <row r="124" spans="1:21" x14ac:dyDescent="0.2">
      <c r="A124" s="62"/>
      <c r="B124" s="45">
        <f t="shared" si="24"/>
        <v>113</v>
      </c>
      <c r="C124" s="51" t="e">
        <f>IF(B124&lt;C$4,C$1,D123-L124+N124)</f>
        <v>#DIV/0!</v>
      </c>
      <c r="D124" s="47" t="e">
        <f t="shared" si="25"/>
        <v>#DIV/0!</v>
      </c>
      <c r="E124" s="48">
        <f t="shared" si="26"/>
        <v>0</v>
      </c>
      <c r="F124" s="50">
        <f t="shared" si="27"/>
        <v>0</v>
      </c>
      <c r="G124" s="50">
        <f t="shared" si="36"/>
        <v>0</v>
      </c>
      <c r="H124" s="51" t="e">
        <f t="shared" si="28"/>
        <v>#DIV/0!</v>
      </c>
      <c r="I124" s="52" t="e">
        <f>IF(AND(C$7="Y",$B124&lt;=C$4),0,IF(AND(C$7="Y",$B124&gt;C$4),(1-U124)*C$2*D123/12,IF(AND($C$7="N",C$4&gt;0),(1-U124)*D123*C$2/12, (1-U124)*D123*C$2/12)))</f>
        <v>#DIV/0!</v>
      </c>
      <c r="J124" s="57" t="e">
        <f t="shared" si="29"/>
        <v>#DIV/0!</v>
      </c>
      <c r="K124" s="51" t="e">
        <f t="shared" si="30"/>
        <v>#DIV/0!</v>
      </c>
      <c r="L124" s="49" t="e">
        <f>IF(AND(C$7="Y",$B124&lt;=$C$4),0,IF(AND(C$7="N",C$4&gt;0,B124&lt;=C$4),0,U124*D123))</f>
        <v>#DIV/0!</v>
      </c>
      <c r="M124" s="49">
        <f t="shared" si="38"/>
        <v>0</v>
      </c>
      <c r="N124" s="49">
        <f t="shared" si="37"/>
        <v>0</v>
      </c>
      <c r="O124" s="48" t="e">
        <f t="shared" si="31"/>
        <v>#DIV/0!</v>
      </c>
      <c r="P124" s="38" t="e">
        <f>O124*(1/((1+P$9)^(B124/12)))</f>
        <v>#DIV/0!</v>
      </c>
      <c r="Q124" s="53"/>
      <c r="R124" s="53">
        <f t="shared" si="32"/>
        <v>0.12</v>
      </c>
      <c r="S124" s="53">
        <f t="shared" si="33"/>
        <v>1.0596241035318976E-2</v>
      </c>
      <c r="T124" s="53">
        <f t="shared" si="34"/>
        <v>0.05</v>
      </c>
      <c r="U124" s="53">
        <f t="shared" si="35"/>
        <v>4.2653187775606449E-3</v>
      </c>
    </row>
    <row r="125" spans="1:21" x14ac:dyDescent="0.2">
      <c r="A125" s="62"/>
      <c r="B125" s="45">
        <f t="shared" si="24"/>
        <v>114</v>
      </c>
      <c r="C125" s="51" t="e">
        <f>IF(B125&lt;C$4,C$1,D124-L125+N125)</f>
        <v>#DIV/0!</v>
      </c>
      <c r="D125" s="47" t="e">
        <f t="shared" si="25"/>
        <v>#DIV/0!</v>
      </c>
      <c r="E125" s="48">
        <f t="shared" si="26"/>
        <v>0</v>
      </c>
      <c r="F125" s="50">
        <f t="shared" si="27"/>
        <v>0</v>
      </c>
      <c r="G125" s="50">
        <f t="shared" si="36"/>
        <v>0</v>
      </c>
      <c r="H125" s="51" t="e">
        <f t="shared" si="28"/>
        <v>#DIV/0!</v>
      </c>
      <c r="I125" s="52" t="e">
        <f>IF(AND(C$7="Y",$B125&lt;=C$4),0,IF(AND(C$7="Y",$B125&gt;C$4),(1-U125)*C$2*D124/12,IF(AND($C$7="N",C$4&gt;0),(1-U125)*D124*C$2/12, (1-U125)*D124*C$2/12)))</f>
        <v>#DIV/0!</v>
      </c>
      <c r="J125" s="57" t="e">
        <f t="shared" si="29"/>
        <v>#DIV/0!</v>
      </c>
      <c r="K125" s="51" t="e">
        <f t="shared" si="30"/>
        <v>#DIV/0!</v>
      </c>
      <c r="L125" s="49" t="e">
        <f>IF(AND(C$7="Y",$B125&lt;=$C$4),0,IF(AND(C$7="N",C$4&gt;0,B125&lt;=C$4),0,U125*D124))</f>
        <v>#DIV/0!</v>
      </c>
      <c r="M125" s="49">
        <f t="shared" si="38"/>
        <v>0</v>
      </c>
      <c r="N125" s="49">
        <f t="shared" si="37"/>
        <v>0</v>
      </c>
      <c r="O125" s="48" t="e">
        <f t="shared" si="31"/>
        <v>#DIV/0!</v>
      </c>
      <c r="P125" s="38" t="e">
        <f>O125*(1/((1+P$9)^(B125/12)))</f>
        <v>#DIV/0!</v>
      </c>
      <c r="Q125" s="53"/>
      <c r="R125" s="53">
        <f t="shared" si="32"/>
        <v>0.12</v>
      </c>
      <c r="S125" s="53">
        <f t="shared" si="33"/>
        <v>1.0596241035318976E-2</v>
      </c>
      <c r="T125" s="53">
        <f t="shared" si="34"/>
        <v>0.05</v>
      </c>
      <c r="U125" s="53">
        <f t="shared" si="35"/>
        <v>4.2653187775606449E-3</v>
      </c>
    </row>
    <row r="126" spans="1:21" x14ac:dyDescent="0.2">
      <c r="A126" s="62"/>
      <c r="B126" s="45">
        <f t="shared" si="24"/>
        <v>115</v>
      </c>
      <c r="C126" s="51" t="e">
        <f>IF(B126&lt;C$4,C$1,D125-L126+N126)</f>
        <v>#DIV/0!</v>
      </c>
      <c r="D126" s="47" t="e">
        <f t="shared" si="25"/>
        <v>#DIV/0!</v>
      </c>
      <c r="E126" s="48">
        <f t="shared" si="26"/>
        <v>0</v>
      </c>
      <c r="F126" s="50">
        <f t="shared" si="27"/>
        <v>0</v>
      </c>
      <c r="G126" s="50">
        <f t="shared" si="36"/>
        <v>0</v>
      </c>
      <c r="H126" s="51" t="e">
        <f t="shared" si="28"/>
        <v>#DIV/0!</v>
      </c>
      <c r="I126" s="52" t="e">
        <f>IF(AND(C$7="Y",$B126&lt;=C$4),0,IF(AND(C$7="Y",$B126&gt;C$4),(1-U126)*C$2*D125/12,IF(AND($C$7="N",C$4&gt;0),(1-U126)*D125*C$2/12, (1-U126)*D125*C$2/12)))</f>
        <v>#DIV/0!</v>
      </c>
      <c r="J126" s="57" t="e">
        <f t="shared" si="29"/>
        <v>#DIV/0!</v>
      </c>
      <c r="K126" s="51" t="e">
        <f t="shared" si="30"/>
        <v>#DIV/0!</v>
      </c>
      <c r="L126" s="49" t="e">
        <f>IF(AND(C$7="Y",$B126&lt;=$C$4),0,IF(AND(C$7="N",C$4&gt;0,B126&lt;=C$4),0,U126*D125))</f>
        <v>#DIV/0!</v>
      </c>
      <c r="M126" s="49">
        <f t="shared" si="38"/>
        <v>0</v>
      </c>
      <c r="N126" s="49">
        <f t="shared" si="37"/>
        <v>0</v>
      </c>
      <c r="O126" s="48" t="e">
        <f t="shared" si="31"/>
        <v>#DIV/0!</v>
      </c>
      <c r="P126" s="38" t="e">
        <f>O126*(1/((1+P$9)^(B126/12)))</f>
        <v>#DIV/0!</v>
      </c>
      <c r="Q126" s="53"/>
      <c r="R126" s="53">
        <f t="shared" si="32"/>
        <v>0.12</v>
      </c>
      <c r="S126" s="53">
        <f t="shared" si="33"/>
        <v>1.0596241035318976E-2</v>
      </c>
      <c r="T126" s="53">
        <f t="shared" si="34"/>
        <v>0.05</v>
      </c>
      <c r="U126" s="53">
        <f t="shared" si="35"/>
        <v>4.2653187775606449E-3</v>
      </c>
    </row>
    <row r="127" spans="1:21" x14ac:dyDescent="0.2">
      <c r="A127" s="62"/>
      <c r="B127" s="45">
        <f t="shared" si="24"/>
        <v>116</v>
      </c>
      <c r="C127" s="51" t="e">
        <f>IF(B127&lt;C$4,C$1,D126-L127+N127)</f>
        <v>#DIV/0!</v>
      </c>
      <c r="D127" s="47" t="e">
        <f t="shared" si="25"/>
        <v>#DIV/0!</v>
      </c>
      <c r="E127" s="48">
        <f t="shared" si="26"/>
        <v>0</v>
      </c>
      <c r="F127" s="50">
        <f t="shared" si="27"/>
        <v>0</v>
      </c>
      <c r="G127" s="50">
        <f t="shared" si="36"/>
        <v>0</v>
      </c>
      <c r="H127" s="51" t="e">
        <f t="shared" si="28"/>
        <v>#DIV/0!</v>
      </c>
      <c r="I127" s="52" t="e">
        <f>IF(AND(C$7="Y",$B127&lt;=C$4),0,IF(AND(C$7="Y",$B127&gt;C$4),(1-U127)*C$2*D126/12,IF(AND($C$7="N",C$4&gt;0),(1-U127)*D126*C$2/12, (1-U127)*D126*C$2/12)))</f>
        <v>#DIV/0!</v>
      </c>
      <c r="J127" s="57" t="e">
        <f t="shared" si="29"/>
        <v>#DIV/0!</v>
      </c>
      <c r="K127" s="51" t="e">
        <f t="shared" si="30"/>
        <v>#DIV/0!</v>
      </c>
      <c r="L127" s="49" t="e">
        <f>IF(AND(C$7="Y",$B127&lt;=$C$4),0,IF(AND(C$7="N",C$4&gt;0,B127&lt;=C$4),0,U127*D126))</f>
        <v>#DIV/0!</v>
      </c>
      <c r="M127" s="49">
        <f t="shared" si="38"/>
        <v>0</v>
      </c>
      <c r="N127" s="49">
        <f t="shared" si="37"/>
        <v>0</v>
      </c>
      <c r="O127" s="48" t="e">
        <f t="shared" si="31"/>
        <v>#DIV/0!</v>
      </c>
      <c r="P127" s="38" t="e">
        <f>O127*(1/((1+P$9)^(B127/12)))</f>
        <v>#DIV/0!</v>
      </c>
      <c r="Q127" s="53"/>
      <c r="R127" s="53">
        <f t="shared" si="32"/>
        <v>0.12</v>
      </c>
      <c r="S127" s="53">
        <f t="shared" si="33"/>
        <v>1.0596241035318976E-2</v>
      </c>
      <c r="T127" s="53">
        <f t="shared" si="34"/>
        <v>0.05</v>
      </c>
      <c r="U127" s="53">
        <f t="shared" si="35"/>
        <v>4.2653187775606449E-3</v>
      </c>
    </row>
    <row r="128" spans="1:21" x14ac:dyDescent="0.2">
      <c r="A128" s="62"/>
      <c r="B128" s="45">
        <f t="shared" si="24"/>
        <v>117</v>
      </c>
      <c r="C128" s="51" t="e">
        <f>IF(B128&lt;C$4,C$1,D127-L128+N128)</f>
        <v>#DIV/0!</v>
      </c>
      <c r="D128" s="47" t="e">
        <f t="shared" si="25"/>
        <v>#DIV/0!</v>
      </c>
      <c r="E128" s="48">
        <f t="shared" si="26"/>
        <v>0</v>
      </c>
      <c r="F128" s="50">
        <f t="shared" si="27"/>
        <v>0</v>
      </c>
      <c r="G128" s="50">
        <f t="shared" si="36"/>
        <v>0</v>
      </c>
      <c r="H128" s="51" t="e">
        <f t="shared" si="28"/>
        <v>#DIV/0!</v>
      </c>
      <c r="I128" s="52" t="e">
        <f>IF(AND(C$7="Y",$B128&lt;=C$4),0,IF(AND(C$7="Y",$B128&gt;C$4),(1-U128)*C$2*D127/12,IF(AND($C$7="N",C$4&gt;0),(1-U128)*D127*C$2/12, (1-U128)*D127*C$2/12)))</f>
        <v>#DIV/0!</v>
      </c>
      <c r="J128" s="57" t="e">
        <f t="shared" si="29"/>
        <v>#DIV/0!</v>
      </c>
      <c r="K128" s="51" t="e">
        <f t="shared" si="30"/>
        <v>#DIV/0!</v>
      </c>
      <c r="L128" s="49" t="e">
        <f>IF(AND(C$7="Y",$B128&lt;=$C$4),0,IF(AND(C$7="N",C$4&gt;0,B128&lt;=C$4),0,U128*D127))</f>
        <v>#DIV/0!</v>
      </c>
      <c r="M128" s="49">
        <f t="shared" si="38"/>
        <v>0</v>
      </c>
      <c r="N128" s="49">
        <f t="shared" si="37"/>
        <v>0</v>
      </c>
      <c r="O128" s="48" t="e">
        <f t="shared" si="31"/>
        <v>#DIV/0!</v>
      </c>
      <c r="P128" s="38" t="e">
        <f>O128*(1/((1+P$9)^(B128/12)))</f>
        <v>#DIV/0!</v>
      </c>
      <c r="Q128" s="53"/>
      <c r="R128" s="53">
        <f t="shared" si="32"/>
        <v>0.12</v>
      </c>
      <c r="S128" s="53">
        <f t="shared" si="33"/>
        <v>1.0596241035318976E-2</v>
      </c>
      <c r="T128" s="53">
        <f t="shared" si="34"/>
        <v>0.05</v>
      </c>
      <c r="U128" s="53">
        <f t="shared" si="35"/>
        <v>4.2653187775606449E-3</v>
      </c>
    </row>
    <row r="129" spans="1:21" x14ac:dyDescent="0.2">
      <c r="A129" s="62"/>
      <c r="B129" s="45">
        <f t="shared" si="24"/>
        <v>118</v>
      </c>
      <c r="C129" s="51" t="e">
        <f>IF(B129&lt;C$4,C$1,D128-L129+N129)</f>
        <v>#DIV/0!</v>
      </c>
      <c r="D129" s="47" t="e">
        <f t="shared" si="25"/>
        <v>#DIV/0!</v>
      </c>
      <c r="E129" s="48">
        <f t="shared" si="26"/>
        <v>0</v>
      </c>
      <c r="F129" s="50">
        <f t="shared" si="27"/>
        <v>0</v>
      </c>
      <c r="G129" s="50">
        <f t="shared" si="36"/>
        <v>0</v>
      </c>
      <c r="H129" s="51" t="e">
        <f t="shared" si="28"/>
        <v>#DIV/0!</v>
      </c>
      <c r="I129" s="52" t="e">
        <f>IF(AND(C$7="Y",$B129&lt;=C$4),0,IF(AND(C$7="Y",$B129&gt;C$4),(1-U129)*C$2*D128/12,IF(AND($C$7="N",C$4&gt;0),(1-U129)*D128*C$2/12, (1-U129)*D128*C$2/12)))</f>
        <v>#DIV/0!</v>
      </c>
      <c r="J129" s="57" t="e">
        <f t="shared" si="29"/>
        <v>#DIV/0!</v>
      </c>
      <c r="K129" s="51" t="e">
        <f t="shared" si="30"/>
        <v>#DIV/0!</v>
      </c>
      <c r="L129" s="49" t="e">
        <f>IF(AND(C$7="Y",$B129&lt;=$C$4),0,IF(AND(C$7="N",C$4&gt;0,B129&lt;=C$4),0,U129*D128))</f>
        <v>#DIV/0!</v>
      </c>
      <c r="M129" s="49">
        <f t="shared" si="38"/>
        <v>0</v>
      </c>
      <c r="N129" s="49">
        <f t="shared" si="37"/>
        <v>0</v>
      </c>
      <c r="O129" s="48" t="e">
        <f t="shared" si="31"/>
        <v>#DIV/0!</v>
      </c>
      <c r="P129" s="38" t="e">
        <f>O129*(1/((1+P$9)^(B129/12)))</f>
        <v>#DIV/0!</v>
      </c>
      <c r="Q129" s="53"/>
      <c r="R129" s="53">
        <f t="shared" si="32"/>
        <v>0.12</v>
      </c>
      <c r="S129" s="53">
        <f t="shared" si="33"/>
        <v>1.0596241035318976E-2</v>
      </c>
      <c r="T129" s="53">
        <f t="shared" si="34"/>
        <v>0.05</v>
      </c>
      <c r="U129" s="53">
        <f t="shared" si="35"/>
        <v>4.2653187775606449E-3</v>
      </c>
    </row>
    <row r="130" spans="1:21" x14ac:dyDescent="0.2">
      <c r="A130" s="62"/>
      <c r="B130" s="45">
        <f t="shared" si="24"/>
        <v>119</v>
      </c>
      <c r="C130" s="51" t="e">
        <f>IF(B130&lt;C$4,C$1,D129-L130+N130)</f>
        <v>#DIV/0!</v>
      </c>
      <c r="D130" s="47" t="e">
        <f t="shared" si="25"/>
        <v>#DIV/0!</v>
      </c>
      <c r="E130" s="48">
        <f t="shared" si="26"/>
        <v>0</v>
      </c>
      <c r="F130" s="50">
        <f t="shared" si="27"/>
        <v>0</v>
      </c>
      <c r="G130" s="50">
        <f t="shared" si="36"/>
        <v>0</v>
      </c>
      <c r="H130" s="51" t="e">
        <f t="shared" si="28"/>
        <v>#DIV/0!</v>
      </c>
      <c r="I130" s="52" t="e">
        <f>IF(AND(C$7="Y",$B130&lt;=C$4),0,IF(AND(C$7="Y",$B130&gt;C$4),(1-U130)*C$2*D129/12,IF(AND($C$7="N",C$4&gt;0),(1-U130)*D129*C$2/12, (1-U130)*D129*C$2/12)))</f>
        <v>#DIV/0!</v>
      </c>
      <c r="J130" s="57" t="e">
        <f t="shared" si="29"/>
        <v>#DIV/0!</v>
      </c>
      <c r="K130" s="51" t="e">
        <f t="shared" si="30"/>
        <v>#DIV/0!</v>
      </c>
      <c r="L130" s="49" t="e">
        <f>IF(AND(C$7="Y",$B130&lt;=$C$4),0,IF(AND(C$7="N",C$4&gt;0,B130&lt;=C$4),0,U130*D129))</f>
        <v>#DIV/0!</v>
      </c>
      <c r="M130" s="49">
        <f t="shared" si="38"/>
        <v>0</v>
      </c>
      <c r="N130" s="49">
        <f t="shared" si="37"/>
        <v>0</v>
      </c>
      <c r="O130" s="48" t="e">
        <f t="shared" si="31"/>
        <v>#DIV/0!</v>
      </c>
      <c r="P130" s="38" t="e">
        <f>O130*(1/((1+P$9)^(B130/12)))</f>
        <v>#DIV/0!</v>
      </c>
      <c r="Q130" s="53"/>
      <c r="R130" s="53">
        <f t="shared" si="32"/>
        <v>0.12</v>
      </c>
      <c r="S130" s="53">
        <f t="shared" si="33"/>
        <v>1.0596241035318976E-2</v>
      </c>
      <c r="T130" s="53">
        <f t="shared" si="34"/>
        <v>0.05</v>
      </c>
      <c r="U130" s="53">
        <f t="shared" si="35"/>
        <v>4.2653187775606449E-3</v>
      </c>
    </row>
    <row r="131" spans="1:21" x14ac:dyDescent="0.2">
      <c r="A131" s="62"/>
      <c r="B131" s="45">
        <f t="shared" si="24"/>
        <v>120</v>
      </c>
      <c r="C131" s="51" t="e">
        <f>IF(B131&lt;C$4,C$1,D130-L131+N131)</f>
        <v>#DIV/0!</v>
      </c>
      <c r="D131" s="47" t="e">
        <f t="shared" si="25"/>
        <v>#DIV/0!</v>
      </c>
      <c r="E131" s="48">
        <f t="shared" si="26"/>
        <v>0</v>
      </c>
      <c r="F131" s="50">
        <f t="shared" si="27"/>
        <v>0</v>
      </c>
      <c r="G131" s="50">
        <f t="shared" si="36"/>
        <v>0</v>
      </c>
      <c r="H131" s="51" t="e">
        <f t="shared" si="28"/>
        <v>#DIV/0!</v>
      </c>
      <c r="I131" s="52" t="e">
        <f>IF(AND(C$7="Y",$B131&lt;=C$4),0,IF(AND(C$7="Y",$B131&gt;C$4),(1-U131)*C$2*D130/12,IF(AND($C$7="N",C$4&gt;0),(1-U131)*D130*C$2/12, (1-U131)*D130*C$2/12)))</f>
        <v>#DIV/0!</v>
      </c>
      <c r="J131" s="57" t="e">
        <f t="shared" si="29"/>
        <v>#DIV/0!</v>
      </c>
      <c r="K131" s="51" t="e">
        <f t="shared" si="30"/>
        <v>#DIV/0!</v>
      </c>
      <c r="L131" s="49" t="e">
        <f>IF(AND(C$7="Y",$B131&lt;=$C$4),0,IF(AND(C$7="N",C$4&gt;0,B131&lt;=C$4),0,U131*D130))</f>
        <v>#DIV/0!</v>
      </c>
      <c r="M131" s="49">
        <f t="shared" si="38"/>
        <v>0</v>
      </c>
      <c r="N131" s="49">
        <f t="shared" si="37"/>
        <v>0</v>
      </c>
      <c r="O131" s="48" t="e">
        <f t="shared" si="31"/>
        <v>#DIV/0!</v>
      </c>
      <c r="P131" s="38" t="e">
        <f>O131*(1/((1+P$9)^(B131/12)))</f>
        <v>#DIV/0!</v>
      </c>
      <c r="Q131" s="53"/>
      <c r="R131" s="53">
        <f t="shared" si="32"/>
        <v>0.12</v>
      </c>
      <c r="S131" s="53">
        <f t="shared" si="33"/>
        <v>1.0596241035318976E-2</v>
      </c>
      <c r="T131" s="53">
        <f t="shared" si="34"/>
        <v>0.05</v>
      </c>
      <c r="U131" s="53">
        <f t="shared" si="35"/>
        <v>4.2653187775606449E-3</v>
      </c>
    </row>
    <row r="132" spans="1:21" x14ac:dyDescent="0.2">
      <c r="A132" s="62"/>
      <c r="B132" s="45">
        <f t="shared" si="24"/>
        <v>121</v>
      </c>
      <c r="C132" s="51" t="e">
        <f>IF(B132&lt;C$4,C$1,D131-L132+N132)</f>
        <v>#DIV/0!</v>
      </c>
      <c r="D132" s="47" t="e">
        <f t="shared" si="25"/>
        <v>#DIV/0!</v>
      </c>
      <c r="E132" s="48">
        <f t="shared" si="26"/>
        <v>0</v>
      </c>
      <c r="F132" s="50">
        <f t="shared" si="27"/>
        <v>0</v>
      </c>
      <c r="G132" s="50">
        <f t="shared" si="36"/>
        <v>0</v>
      </c>
      <c r="H132" s="51" t="e">
        <f t="shared" si="28"/>
        <v>#DIV/0!</v>
      </c>
      <c r="I132" s="52" t="e">
        <f>IF(AND(C$7="Y",$B132&lt;=C$4),0,IF(AND(C$7="Y",$B132&gt;C$4),(1-U132)*C$2*D131/12,IF(AND($C$7="N",C$4&gt;0),(1-U132)*D131*C$2/12, (1-U132)*D131*C$2/12)))</f>
        <v>#DIV/0!</v>
      </c>
      <c r="J132" s="57" t="e">
        <f t="shared" si="29"/>
        <v>#DIV/0!</v>
      </c>
      <c r="K132" s="51" t="e">
        <f t="shared" si="30"/>
        <v>#DIV/0!</v>
      </c>
      <c r="L132" s="49" t="e">
        <f>IF(AND(C$7="Y",$B132&lt;=$C$4),0,IF(AND(C$7="N",C$4&gt;0,B132&lt;=C$4),0,U132*D131))</f>
        <v>#DIV/0!</v>
      </c>
      <c r="M132" s="49">
        <f t="shared" si="38"/>
        <v>0</v>
      </c>
      <c r="N132" s="49">
        <f t="shared" si="37"/>
        <v>0</v>
      </c>
      <c r="O132" s="48" t="e">
        <f t="shared" si="31"/>
        <v>#DIV/0!</v>
      </c>
      <c r="P132" s="38" t="e">
        <f>O132*(1/((1+P$9)^(B132/12)))</f>
        <v>#DIV/0!</v>
      </c>
      <c r="Q132" s="53"/>
      <c r="R132" s="53">
        <f t="shared" si="32"/>
        <v>0.12</v>
      </c>
      <c r="S132" s="53">
        <f t="shared" si="33"/>
        <v>1.0596241035318976E-2</v>
      </c>
      <c r="T132" s="53">
        <f t="shared" si="34"/>
        <v>0.05</v>
      </c>
      <c r="U132" s="53">
        <f t="shared" si="35"/>
        <v>4.2653187775606449E-3</v>
      </c>
    </row>
    <row r="133" spans="1:21" x14ac:dyDescent="0.2">
      <c r="A133" s="62"/>
      <c r="B133" s="45">
        <f t="shared" si="24"/>
        <v>122</v>
      </c>
      <c r="C133" s="51" t="e">
        <f>IF(B133&lt;C$4,C$1,D132-L133+N133)</f>
        <v>#DIV/0!</v>
      </c>
      <c r="D133" s="47" t="e">
        <f t="shared" si="25"/>
        <v>#DIV/0!</v>
      </c>
      <c r="E133" s="48">
        <f t="shared" si="26"/>
        <v>0</v>
      </c>
      <c r="F133" s="50">
        <f t="shared" si="27"/>
        <v>0</v>
      </c>
      <c r="G133" s="50">
        <f t="shared" si="36"/>
        <v>0</v>
      </c>
      <c r="H133" s="51" t="e">
        <f t="shared" si="28"/>
        <v>#DIV/0!</v>
      </c>
      <c r="I133" s="52" t="e">
        <f>IF(AND(C$7="Y",$B133&lt;=C$4),0,IF(AND(C$7="Y",$B133&gt;C$4),(1-U133)*C$2*D132/12,IF(AND($C$7="N",C$4&gt;0),(1-U133)*D132*C$2/12, (1-U133)*D132*C$2/12)))</f>
        <v>#DIV/0!</v>
      </c>
      <c r="J133" s="57" t="e">
        <f t="shared" si="29"/>
        <v>#DIV/0!</v>
      </c>
      <c r="K133" s="51" t="e">
        <f t="shared" si="30"/>
        <v>#DIV/0!</v>
      </c>
      <c r="L133" s="49" t="e">
        <f>IF(AND(C$7="Y",$B133&lt;=$C$4),0,IF(AND(C$7="N",C$4&gt;0,B133&lt;=C$4),0,U133*D132))</f>
        <v>#DIV/0!</v>
      </c>
      <c r="M133" s="49">
        <f t="shared" si="38"/>
        <v>0</v>
      </c>
      <c r="N133" s="49">
        <f t="shared" si="37"/>
        <v>0</v>
      </c>
      <c r="O133" s="48" t="e">
        <f t="shared" si="31"/>
        <v>#DIV/0!</v>
      </c>
      <c r="P133" s="38" t="e">
        <f>O133*(1/((1+P$9)^(B133/12)))</f>
        <v>#DIV/0!</v>
      </c>
      <c r="Q133" s="53"/>
      <c r="R133" s="53">
        <f t="shared" si="32"/>
        <v>0.12</v>
      </c>
      <c r="S133" s="53">
        <f t="shared" si="33"/>
        <v>1.0596241035318976E-2</v>
      </c>
      <c r="T133" s="53">
        <f t="shared" si="34"/>
        <v>0.05</v>
      </c>
      <c r="U133" s="53">
        <f t="shared" si="35"/>
        <v>4.2653187775606449E-3</v>
      </c>
    </row>
    <row r="134" spans="1:21" x14ac:dyDescent="0.2">
      <c r="A134" s="62"/>
      <c r="B134" s="45">
        <f t="shared" si="24"/>
        <v>123</v>
      </c>
      <c r="C134" s="51" t="e">
        <f>IF(B134&lt;C$4,C$1,D133-L134+N134)</f>
        <v>#DIV/0!</v>
      </c>
      <c r="D134" s="47" t="e">
        <f t="shared" si="25"/>
        <v>#DIV/0!</v>
      </c>
      <c r="E134" s="48">
        <f t="shared" si="26"/>
        <v>0</v>
      </c>
      <c r="F134" s="50">
        <f t="shared" si="27"/>
        <v>0</v>
      </c>
      <c r="G134" s="50">
        <f t="shared" si="36"/>
        <v>0</v>
      </c>
      <c r="H134" s="51" t="e">
        <f t="shared" si="28"/>
        <v>#DIV/0!</v>
      </c>
      <c r="I134" s="52" t="e">
        <f>IF(AND(C$7="Y",$B134&lt;=C$4),0,IF(AND(C$7="Y",$B134&gt;C$4),(1-U134)*C$2*D133/12,IF(AND($C$7="N",C$4&gt;0),(1-U134)*D133*C$2/12, (1-U134)*D133*C$2/12)))</f>
        <v>#DIV/0!</v>
      </c>
      <c r="J134" s="57" t="e">
        <f t="shared" si="29"/>
        <v>#DIV/0!</v>
      </c>
      <c r="K134" s="51" t="e">
        <f t="shared" si="30"/>
        <v>#DIV/0!</v>
      </c>
      <c r="L134" s="49" t="e">
        <f>IF(AND(C$7="Y",$B134&lt;=$C$4),0,IF(AND(C$7="N",C$4&gt;0,B134&lt;=C$4),0,U134*D133))</f>
        <v>#DIV/0!</v>
      </c>
      <c r="M134" s="49">
        <f t="shared" si="38"/>
        <v>0</v>
      </c>
      <c r="N134" s="49">
        <f t="shared" si="37"/>
        <v>0</v>
      </c>
      <c r="O134" s="48" t="e">
        <f t="shared" si="31"/>
        <v>#DIV/0!</v>
      </c>
      <c r="P134" s="38" t="e">
        <f>O134*(1/((1+P$9)^(B134/12)))</f>
        <v>#DIV/0!</v>
      </c>
      <c r="Q134" s="53"/>
      <c r="R134" s="53">
        <f t="shared" si="32"/>
        <v>0.12</v>
      </c>
      <c r="S134" s="53">
        <f t="shared" si="33"/>
        <v>1.0596241035318976E-2</v>
      </c>
      <c r="T134" s="53">
        <f t="shared" si="34"/>
        <v>0.05</v>
      </c>
      <c r="U134" s="53">
        <f t="shared" si="35"/>
        <v>4.2653187775606449E-3</v>
      </c>
    </row>
    <row r="135" spans="1:21" x14ac:dyDescent="0.2">
      <c r="A135" s="62"/>
      <c r="B135" s="45">
        <f t="shared" si="24"/>
        <v>124</v>
      </c>
      <c r="C135" s="51" t="e">
        <f>IF(B135&lt;C$4,C$1,D134-L135+N135)</f>
        <v>#DIV/0!</v>
      </c>
      <c r="D135" s="47" t="e">
        <f t="shared" si="25"/>
        <v>#DIV/0!</v>
      </c>
      <c r="E135" s="48">
        <f t="shared" si="26"/>
        <v>0</v>
      </c>
      <c r="F135" s="50">
        <f t="shared" si="27"/>
        <v>0</v>
      </c>
      <c r="G135" s="50">
        <f t="shared" si="36"/>
        <v>0</v>
      </c>
      <c r="H135" s="51" t="e">
        <f t="shared" si="28"/>
        <v>#DIV/0!</v>
      </c>
      <c r="I135" s="52" t="e">
        <f>IF(AND(C$7="Y",$B135&lt;=C$4),0,IF(AND(C$7="Y",$B135&gt;C$4),(1-U135)*C$2*D134/12,IF(AND($C$7="N",C$4&gt;0),(1-U135)*D134*C$2/12, (1-U135)*D134*C$2/12)))</f>
        <v>#DIV/0!</v>
      </c>
      <c r="J135" s="57" t="e">
        <f t="shared" si="29"/>
        <v>#DIV/0!</v>
      </c>
      <c r="K135" s="51" t="e">
        <f t="shared" si="30"/>
        <v>#DIV/0!</v>
      </c>
      <c r="L135" s="49" t="e">
        <f>IF(AND(C$7="Y",$B135&lt;=$C$4),0,IF(AND(C$7="N",C$4&gt;0,B135&lt;=C$4),0,U135*D134))</f>
        <v>#DIV/0!</v>
      </c>
      <c r="M135" s="49">
        <f t="shared" si="38"/>
        <v>0</v>
      </c>
      <c r="N135" s="49">
        <f t="shared" si="37"/>
        <v>0</v>
      </c>
      <c r="O135" s="48" t="e">
        <f t="shared" si="31"/>
        <v>#DIV/0!</v>
      </c>
      <c r="P135" s="38" t="e">
        <f>O135*(1/((1+P$9)^(B135/12)))</f>
        <v>#DIV/0!</v>
      </c>
      <c r="Q135" s="53"/>
      <c r="R135" s="53">
        <f t="shared" si="32"/>
        <v>0.12</v>
      </c>
      <c r="S135" s="53">
        <f t="shared" si="33"/>
        <v>1.0596241035318976E-2</v>
      </c>
      <c r="T135" s="53">
        <f t="shared" si="34"/>
        <v>0.05</v>
      </c>
      <c r="U135" s="53">
        <f t="shared" si="35"/>
        <v>4.2653187775606449E-3</v>
      </c>
    </row>
    <row r="136" spans="1:21" x14ac:dyDescent="0.2">
      <c r="A136" s="62"/>
      <c r="B136" s="45">
        <f t="shared" si="24"/>
        <v>125</v>
      </c>
      <c r="C136" s="51" t="e">
        <f>IF(B136&lt;C$4,C$1,D135-L136+N136)</f>
        <v>#DIV/0!</v>
      </c>
      <c r="D136" s="47" t="e">
        <f t="shared" si="25"/>
        <v>#DIV/0!</v>
      </c>
      <c r="E136" s="48">
        <f t="shared" si="26"/>
        <v>0</v>
      </c>
      <c r="F136" s="50">
        <f t="shared" si="27"/>
        <v>0</v>
      </c>
      <c r="G136" s="50">
        <f t="shared" si="36"/>
        <v>0</v>
      </c>
      <c r="H136" s="51" t="e">
        <f t="shared" si="28"/>
        <v>#DIV/0!</v>
      </c>
      <c r="I136" s="52" t="e">
        <f>IF(AND(C$7="Y",$B136&lt;=C$4),0,IF(AND(C$7="Y",$B136&gt;C$4),(1-U136)*C$2*D135/12,IF(AND($C$7="N",C$4&gt;0),(1-U136)*D135*C$2/12, (1-U136)*D135*C$2/12)))</f>
        <v>#DIV/0!</v>
      </c>
      <c r="J136" s="57" t="e">
        <f t="shared" si="29"/>
        <v>#DIV/0!</v>
      </c>
      <c r="K136" s="51" t="e">
        <f t="shared" si="30"/>
        <v>#DIV/0!</v>
      </c>
      <c r="L136" s="49" t="e">
        <f>IF(AND(C$7="Y",$B136&lt;=$C$4),0,IF(AND(C$7="N",C$4&gt;0,B136&lt;=C$4),0,U136*D135))</f>
        <v>#DIV/0!</v>
      </c>
      <c r="M136" s="49">
        <f t="shared" si="38"/>
        <v>0</v>
      </c>
      <c r="N136" s="49">
        <f t="shared" si="37"/>
        <v>0</v>
      </c>
      <c r="O136" s="48" t="e">
        <f t="shared" si="31"/>
        <v>#DIV/0!</v>
      </c>
      <c r="P136" s="38" t="e">
        <f>O136*(1/((1+P$9)^(B136/12)))</f>
        <v>#DIV/0!</v>
      </c>
      <c r="Q136" s="53"/>
      <c r="R136" s="53">
        <f t="shared" si="32"/>
        <v>0.12</v>
      </c>
      <c r="S136" s="53">
        <f t="shared" si="33"/>
        <v>1.0596241035318976E-2</v>
      </c>
      <c r="T136" s="53">
        <f t="shared" si="34"/>
        <v>0.05</v>
      </c>
      <c r="U136" s="53">
        <f t="shared" si="35"/>
        <v>4.2653187775606449E-3</v>
      </c>
    </row>
    <row r="137" spans="1:21" x14ac:dyDescent="0.2">
      <c r="A137" s="62"/>
      <c r="B137" s="45">
        <f t="shared" si="24"/>
        <v>126</v>
      </c>
      <c r="C137" s="51" t="e">
        <f>IF(B137&lt;C$4,C$1,D136-L137+N137)</f>
        <v>#DIV/0!</v>
      </c>
      <c r="D137" s="47" t="e">
        <f t="shared" si="25"/>
        <v>#DIV/0!</v>
      </c>
      <c r="E137" s="48">
        <f t="shared" si="26"/>
        <v>0</v>
      </c>
      <c r="F137" s="50">
        <f t="shared" si="27"/>
        <v>0</v>
      </c>
      <c r="G137" s="50">
        <f t="shared" si="36"/>
        <v>0</v>
      </c>
      <c r="H137" s="51" t="e">
        <f t="shared" si="28"/>
        <v>#DIV/0!</v>
      </c>
      <c r="I137" s="52" t="e">
        <f>IF(AND(C$7="Y",$B137&lt;=C$4),0,IF(AND(C$7="Y",$B137&gt;C$4),(1-U137)*C$2*D136/12,IF(AND($C$7="N",C$4&gt;0),(1-U137)*D136*C$2/12, (1-U137)*D136*C$2/12)))</f>
        <v>#DIV/0!</v>
      </c>
      <c r="J137" s="57" t="e">
        <f t="shared" si="29"/>
        <v>#DIV/0!</v>
      </c>
      <c r="K137" s="51" t="e">
        <f t="shared" si="30"/>
        <v>#DIV/0!</v>
      </c>
      <c r="L137" s="49" t="e">
        <f>IF(AND(C$7="Y",$B137&lt;=$C$4),0,IF(AND(C$7="N",C$4&gt;0,B137&lt;=C$4),0,U137*D136))</f>
        <v>#DIV/0!</v>
      </c>
      <c r="M137" s="49">
        <f t="shared" si="38"/>
        <v>0</v>
      </c>
      <c r="N137" s="49">
        <f t="shared" si="37"/>
        <v>0</v>
      </c>
      <c r="O137" s="48" t="e">
        <f t="shared" si="31"/>
        <v>#DIV/0!</v>
      </c>
      <c r="P137" s="38" t="e">
        <f>O137*(1/((1+P$9)^(B137/12)))</f>
        <v>#DIV/0!</v>
      </c>
      <c r="Q137" s="53"/>
      <c r="R137" s="53">
        <f t="shared" si="32"/>
        <v>0.12</v>
      </c>
      <c r="S137" s="53">
        <f t="shared" si="33"/>
        <v>1.0596241035318976E-2</v>
      </c>
      <c r="T137" s="53">
        <f t="shared" si="34"/>
        <v>0.05</v>
      </c>
      <c r="U137" s="53">
        <f t="shared" si="35"/>
        <v>4.2653187775606449E-3</v>
      </c>
    </row>
    <row r="138" spans="1:21" x14ac:dyDescent="0.2">
      <c r="A138" s="62"/>
      <c r="B138" s="45">
        <f t="shared" si="24"/>
        <v>127</v>
      </c>
      <c r="C138" s="51" t="e">
        <f>IF(B138&lt;C$4,C$1,D137-L138+N138)</f>
        <v>#DIV/0!</v>
      </c>
      <c r="D138" s="47" t="e">
        <f t="shared" si="25"/>
        <v>#DIV/0!</v>
      </c>
      <c r="E138" s="48">
        <f t="shared" si="26"/>
        <v>0</v>
      </c>
      <c r="F138" s="50">
        <f t="shared" si="27"/>
        <v>0</v>
      </c>
      <c r="G138" s="50">
        <f t="shared" si="36"/>
        <v>0</v>
      </c>
      <c r="H138" s="51" t="e">
        <f t="shared" si="28"/>
        <v>#DIV/0!</v>
      </c>
      <c r="I138" s="52" t="e">
        <f>IF(AND(C$7="Y",$B138&lt;=C$4),0,IF(AND(C$7="Y",$B138&gt;C$4),(1-U138)*C$2*D137/12,IF(AND($C$7="N",C$4&gt;0),(1-U138)*D137*C$2/12, (1-U138)*D137*C$2/12)))</f>
        <v>#DIV/0!</v>
      </c>
      <c r="J138" s="57" t="e">
        <f t="shared" si="29"/>
        <v>#DIV/0!</v>
      </c>
      <c r="K138" s="51" t="e">
        <f t="shared" si="30"/>
        <v>#DIV/0!</v>
      </c>
      <c r="L138" s="49" t="e">
        <f>IF(AND(C$7="Y",$B138&lt;=$C$4),0,IF(AND(C$7="N",C$4&gt;0,B138&lt;=C$4),0,U138*D137))</f>
        <v>#DIV/0!</v>
      </c>
      <c r="M138" s="49">
        <f t="shared" si="38"/>
        <v>0</v>
      </c>
      <c r="N138" s="49">
        <f t="shared" si="37"/>
        <v>0</v>
      </c>
      <c r="O138" s="48" t="e">
        <f t="shared" si="31"/>
        <v>#DIV/0!</v>
      </c>
      <c r="P138" s="38" t="e">
        <f>O138*(1/((1+P$9)^(B138/12)))</f>
        <v>#DIV/0!</v>
      </c>
      <c r="Q138" s="53"/>
      <c r="R138" s="53">
        <f t="shared" si="32"/>
        <v>0.12</v>
      </c>
      <c r="S138" s="53">
        <f t="shared" si="33"/>
        <v>1.0596241035318976E-2</v>
      </c>
      <c r="T138" s="53">
        <f t="shared" si="34"/>
        <v>0.05</v>
      </c>
      <c r="U138" s="53">
        <f t="shared" si="35"/>
        <v>4.2653187775606449E-3</v>
      </c>
    </row>
    <row r="139" spans="1:21" x14ac:dyDescent="0.2">
      <c r="A139" s="62"/>
      <c r="B139" s="45">
        <f t="shared" si="24"/>
        <v>128</v>
      </c>
      <c r="C139" s="51" t="e">
        <f>IF(B139&lt;C$4,C$1,D138-L139+N139)</f>
        <v>#DIV/0!</v>
      </c>
      <c r="D139" s="47" t="e">
        <f t="shared" si="25"/>
        <v>#DIV/0!</v>
      </c>
      <c r="E139" s="48">
        <f t="shared" si="26"/>
        <v>0</v>
      </c>
      <c r="F139" s="50">
        <f t="shared" si="27"/>
        <v>0</v>
      </c>
      <c r="G139" s="50">
        <f t="shared" si="36"/>
        <v>0</v>
      </c>
      <c r="H139" s="51" t="e">
        <f t="shared" si="28"/>
        <v>#DIV/0!</v>
      </c>
      <c r="I139" s="52" t="e">
        <f>IF(AND(C$7="Y",$B139&lt;=C$4),0,IF(AND(C$7="Y",$B139&gt;C$4),(1-U139)*C$2*D138/12,IF(AND($C$7="N",C$4&gt;0),(1-U139)*D138*C$2/12, (1-U139)*D138*C$2/12)))</f>
        <v>#DIV/0!</v>
      </c>
      <c r="J139" s="57" t="e">
        <f t="shared" si="29"/>
        <v>#DIV/0!</v>
      </c>
      <c r="K139" s="51" t="e">
        <f t="shared" si="30"/>
        <v>#DIV/0!</v>
      </c>
      <c r="L139" s="49" t="e">
        <f>IF(AND(C$7="Y",$B139&lt;=$C$4),0,IF(AND(C$7="N",C$4&gt;0,B139&lt;=C$4),0,U139*D138))</f>
        <v>#DIV/0!</v>
      </c>
      <c r="M139" s="49">
        <f t="shared" si="38"/>
        <v>0</v>
      </c>
      <c r="N139" s="49">
        <f t="shared" si="37"/>
        <v>0</v>
      </c>
      <c r="O139" s="48" t="e">
        <f t="shared" si="31"/>
        <v>#DIV/0!</v>
      </c>
      <c r="P139" s="38" t="e">
        <f>O139*(1/((1+P$9)^(B139/12)))</f>
        <v>#DIV/0!</v>
      </c>
      <c r="Q139" s="53"/>
      <c r="R139" s="53">
        <f t="shared" si="32"/>
        <v>0.12</v>
      </c>
      <c r="S139" s="53">
        <f t="shared" si="33"/>
        <v>1.0596241035318976E-2</v>
      </c>
      <c r="T139" s="53">
        <f t="shared" si="34"/>
        <v>0.05</v>
      </c>
      <c r="U139" s="53">
        <f t="shared" si="35"/>
        <v>4.2653187775606449E-3</v>
      </c>
    </row>
    <row r="140" spans="1:21" x14ac:dyDescent="0.2">
      <c r="A140" s="62"/>
      <c r="B140" s="45">
        <f t="shared" si="24"/>
        <v>129</v>
      </c>
      <c r="C140" s="51" t="e">
        <f>IF(B140&lt;C$4,C$1,D139-L140+N140)</f>
        <v>#DIV/0!</v>
      </c>
      <c r="D140" s="47" t="e">
        <f t="shared" si="25"/>
        <v>#DIV/0!</v>
      </c>
      <c r="E140" s="48">
        <f t="shared" si="26"/>
        <v>0</v>
      </c>
      <c r="F140" s="50">
        <f t="shared" si="27"/>
        <v>0</v>
      </c>
      <c r="G140" s="50">
        <f t="shared" si="36"/>
        <v>0</v>
      </c>
      <c r="H140" s="51" t="e">
        <f t="shared" si="28"/>
        <v>#DIV/0!</v>
      </c>
      <c r="I140" s="52" t="e">
        <f>IF(AND(C$7="Y",$B140&lt;=C$4),0,IF(AND(C$7="Y",$B140&gt;C$4),(1-U140)*C$2*D139/12,IF(AND($C$7="N",C$4&gt;0),(1-U140)*D139*C$2/12, (1-U140)*D139*C$2/12)))</f>
        <v>#DIV/0!</v>
      </c>
      <c r="J140" s="57" t="e">
        <f t="shared" si="29"/>
        <v>#DIV/0!</v>
      </c>
      <c r="K140" s="51" t="e">
        <f t="shared" si="30"/>
        <v>#DIV/0!</v>
      </c>
      <c r="L140" s="49" t="e">
        <f>IF(AND(C$7="Y",$B140&lt;=$C$4),0,IF(AND(C$7="N",C$4&gt;0,B140&lt;=C$4),0,U140*D139))</f>
        <v>#DIV/0!</v>
      </c>
      <c r="M140" s="49">
        <f t="shared" si="38"/>
        <v>0</v>
      </c>
      <c r="N140" s="49">
        <f t="shared" si="37"/>
        <v>0</v>
      </c>
      <c r="O140" s="48" t="e">
        <f t="shared" si="31"/>
        <v>#DIV/0!</v>
      </c>
      <c r="P140" s="38" t="e">
        <f>O140*(1/((1+P$9)^(B140/12)))</f>
        <v>#DIV/0!</v>
      </c>
      <c r="Q140" s="53"/>
      <c r="R140" s="53">
        <f t="shared" si="32"/>
        <v>0.12</v>
      </c>
      <c r="S140" s="53">
        <f t="shared" si="33"/>
        <v>1.0596241035318976E-2</v>
      </c>
      <c r="T140" s="53">
        <f t="shared" si="34"/>
        <v>0.05</v>
      </c>
      <c r="U140" s="53">
        <f t="shared" si="35"/>
        <v>4.2653187775606449E-3</v>
      </c>
    </row>
    <row r="141" spans="1:21" x14ac:dyDescent="0.2">
      <c r="A141" s="62"/>
      <c r="B141" s="45">
        <f t="shared" ref="B141:B204" si="39">B140+1</f>
        <v>130</v>
      </c>
      <c r="C141" s="51" t="e">
        <f>IF(B141&lt;C$4,C$1,D140-L141+N141)</f>
        <v>#DIV/0!</v>
      </c>
      <c r="D141" s="47" t="e">
        <f t="shared" ref="D141:D204" si="40">(D140-J141)*(1-S141-U141)</f>
        <v>#DIV/0!</v>
      </c>
      <c r="E141" s="48">
        <f t="shared" ref="E141:E204" si="41">IF(AND($C$7="Y",B141&lt;=$C$4),D140*C$2/12-G141,0)</f>
        <v>0</v>
      </c>
      <c r="F141" s="50">
        <f t="shared" ref="F141:F204" si="42">IF(AND($C$7="Y",B141&lt;=C$4),E141+F140,0)</f>
        <v>0</v>
      </c>
      <c r="G141" s="50">
        <f t="shared" si="36"/>
        <v>0</v>
      </c>
      <c r="H141" s="51" t="e">
        <f t="shared" ref="H141:H204" si="43">IF(AND($B141&lt;=$C$4,C$7="Y"),0,IF(AND(C$7="N",C$4&gt;0,B141&lt;=C$4),0,(D140)*C$2/12/(1-(1/(1+C$2/12))^(C$3+C$4-B141+1))))</f>
        <v>#DIV/0!</v>
      </c>
      <c r="I141" s="52" t="e">
        <f>IF(AND(C$7="Y",$B141&lt;=C$4),0,IF(AND(C$7="Y",$B141&gt;C$4),(1-U141)*C$2*D140/12,IF(AND($C$7="N",C$4&gt;0),(1-U141)*D140*C$2/12, (1-U141)*D140*C$2/12)))</f>
        <v>#DIV/0!</v>
      </c>
      <c r="J141" s="57" t="e">
        <f t="shared" ref="J141:J204" si="44">IF(AND($B141&lt;=$C$4,C$7="Y"),0,IF(AND(C$7="N",C$4&gt;0,B141&lt;=C$4),0,H141-I141-D140*U141*C$2/12))</f>
        <v>#DIV/0!</v>
      </c>
      <c r="K141" s="51" t="e">
        <f t="shared" ref="K141:K204" si="45">(D140-D141)-L141+L141*(1-N$9)</f>
        <v>#DIV/0!</v>
      </c>
      <c r="L141" s="49" t="e">
        <f>IF(AND(C$7="Y",$B141&lt;=$C$4),0,IF(AND(C$7="N",C$4&gt;0,B141&lt;=C$4),0,U141*D140))</f>
        <v>#DIV/0!</v>
      </c>
      <c r="M141" s="49">
        <f t="shared" si="38"/>
        <v>0</v>
      </c>
      <c r="N141" s="49">
        <f t="shared" si="37"/>
        <v>0</v>
      </c>
      <c r="O141" s="48" t="e">
        <f t="shared" ref="O141:O204" si="46">I141+K141</f>
        <v>#DIV/0!</v>
      </c>
      <c r="P141" s="38" t="e">
        <f>O141*(1/((1+P$9)^(B141/12)))</f>
        <v>#DIV/0!</v>
      </c>
      <c r="Q141" s="53"/>
      <c r="R141" s="53">
        <f t="shared" ref="R141:R204" si="47">R$9</f>
        <v>0.12</v>
      </c>
      <c r="S141" s="53">
        <f t="shared" ref="S141:S204" si="48">1-(1-R141)^(1/12)</f>
        <v>1.0596241035318976E-2</v>
      </c>
      <c r="T141" s="53">
        <f t="shared" ref="T141:T204" si="49">T$9</f>
        <v>0.05</v>
      </c>
      <c r="U141" s="53">
        <f t="shared" si="35"/>
        <v>4.2653187775606449E-3</v>
      </c>
    </row>
    <row r="142" spans="1:21" x14ac:dyDescent="0.2">
      <c r="A142" s="62"/>
      <c r="B142" s="45">
        <f t="shared" si="39"/>
        <v>131</v>
      </c>
      <c r="C142" s="51" t="e">
        <f>IF(B142&lt;C$4,C$1,D141-L142+N142)</f>
        <v>#DIV/0!</v>
      </c>
      <c r="D142" s="47" t="e">
        <f t="shared" si="40"/>
        <v>#DIV/0!</v>
      </c>
      <c r="E142" s="48">
        <f t="shared" si="41"/>
        <v>0</v>
      </c>
      <c r="F142" s="50">
        <f t="shared" si="42"/>
        <v>0</v>
      </c>
      <c r="G142" s="50">
        <f t="shared" si="36"/>
        <v>0</v>
      </c>
      <c r="H142" s="51" t="e">
        <f t="shared" si="43"/>
        <v>#DIV/0!</v>
      </c>
      <c r="I142" s="52" t="e">
        <f>IF(AND(C$7="Y",$B142&lt;=C$4),0,IF(AND(C$7="Y",$B142&gt;C$4),(1-U142)*C$2*D141/12,IF(AND($C$7="N",C$4&gt;0),(1-U142)*D141*C$2/12, (1-U142)*D141*C$2/12)))</f>
        <v>#DIV/0!</v>
      </c>
      <c r="J142" s="57" t="e">
        <f t="shared" si="44"/>
        <v>#DIV/0!</v>
      </c>
      <c r="K142" s="51" t="e">
        <f t="shared" si="45"/>
        <v>#DIV/0!</v>
      </c>
      <c r="L142" s="49" t="e">
        <f>IF(AND(C$7="Y",$B142&lt;=$C$4),0,IF(AND(C$7="N",C$4&gt;0,B142&lt;=C$4),0,U142*D141))</f>
        <v>#DIV/0!</v>
      </c>
      <c r="M142" s="49">
        <f t="shared" si="38"/>
        <v>0</v>
      </c>
      <c r="N142" s="49">
        <f t="shared" si="37"/>
        <v>0</v>
      </c>
      <c r="O142" s="48" t="e">
        <f t="shared" si="46"/>
        <v>#DIV/0!</v>
      </c>
      <c r="P142" s="38" t="e">
        <f>O142*(1/((1+P$9)^(B142/12)))</f>
        <v>#DIV/0!</v>
      </c>
      <c r="Q142" s="53"/>
      <c r="R142" s="53">
        <f t="shared" si="47"/>
        <v>0.12</v>
      </c>
      <c r="S142" s="53">
        <f t="shared" si="48"/>
        <v>1.0596241035318976E-2</v>
      </c>
      <c r="T142" s="53">
        <f t="shared" si="49"/>
        <v>0.05</v>
      </c>
      <c r="U142" s="53">
        <f t="shared" ref="U142:U205" si="50">1-(1-T142)^(1/12)</f>
        <v>4.2653187775606449E-3</v>
      </c>
    </row>
    <row r="143" spans="1:21" x14ac:dyDescent="0.2">
      <c r="A143" s="62"/>
      <c r="B143" s="45">
        <f t="shared" si="39"/>
        <v>132</v>
      </c>
      <c r="C143" s="51" t="e">
        <f>IF(B143&lt;C$4,C$1,D142-L143+N143)</f>
        <v>#DIV/0!</v>
      </c>
      <c r="D143" s="47" t="e">
        <f t="shared" si="40"/>
        <v>#DIV/0!</v>
      </c>
      <c r="E143" s="48">
        <f t="shared" si="41"/>
        <v>0</v>
      </c>
      <c r="F143" s="50">
        <f t="shared" si="42"/>
        <v>0</v>
      </c>
      <c r="G143" s="50">
        <f t="shared" ref="G143:G206" si="51">IF($B143&lt;=$C$4,C$6,0)</f>
        <v>0</v>
      </c>
      <c r="H143" s="51" t="e">
        <f t="shared" si="43"/>
        <v>#DIV/0!</v>
      </c>
      <c r="I143" s="52" t="e">
        <f>IF(AND(C$7="Y",$B143&lt;=C$4),0,IF(AND(C$7="Y",$B143&gt;C$4),(1-U143)*C$2*D142/12,IF(AND($C$7="N",C$4&gt;0),(1-U143)*D142*C$2/12, (1-U143)*D142*C$2/12)))</f>
        <v>#DIV/0!</v>
      </c>
      <c r="J143" s="57" t="e">
        <f t="shared" si="44"/>
        <v>#DIV/0!</v>
      </c>
      <c r="K143" s="51" t="e">
        <f t="shared" si="45"/>
        <v>#DIV/0!</v>
      </c>
      <c r="L143" s="49" t="e">
        <f>IF(AND(C$7="Y",$B143&lt;=$C$4),0,IF(AND(C$7="N",C$4&gt;0,B143&lt;=C$4),0,U143*D142))</f>
        <v>#DIV/0!</v>
      </c>
      <c r="M143" s="49">
        <f t="shared" si="38"/>
        <v>0</v>
      </c>
      <c r="N143" s="49">
        <f t="shared" si="37"/>
        <v>0</v>
      </c>
      <c r="O143" s="48" t="e">
        <f t="shared" si="46"/>
        <v>#DIV/0!</v>
      </c>
      <c r="P143" s="38" t="e">
        <f>O143*(1/((1+P$9)^(B143/12)))</f>
        <v>#DIV/0!</v>
      </c>
      <c r="Q143" s="53"/>
      <c r="R143" s="53">
        <f t="shared" si="47"/>
        <v>0.12</v>
      </c>
      <c r="S143" s="53">
        <f t="shared" si="48"/>
        <v>1.0596241035318976E-2</v>
      </c>
      <c r="T143" s="53">
        <f t="shared" si="49"/>
        <v>0.05</v>
      </c>
      <c r="U143" s="53">
        <f t="shared" si="50"/>
        <v>4.2653187775606449E-3</v>
      </c>
    </row>
    <row r="144" spans="1:21" x14ac:dyDescent="0.2">
      <c r="A144" s="62"/>
      <c r="B144" s="45">
        <f t="shared" si="39"/>
        <v>133</v>
      </c>
      <c r="C144" s="51" t="e">
        <f>IF(B144&lt;C$4,C$1,D143-L144+N144)</f>
        <v>#DIV/0!</v>
      </c>
      <c r="D144" s="47" t="e">
        <f t="shared" si="40"/>
        <v>#DIV/0!</v>
      </c>
      <c r="E144" s="48">
        <f t="shared" si="41"/>
        <v>0</v>
      </c>
      <c r="F144" s="50">
        <f t="shared" si="42"/>
        <v>0</v>
      </c>
      <c r="G144" s="50">
        <f t="shared" si="51"/>
        <v>0</v>
      </c>
      <c r="H144" s="51" t="e">
        <f t="shared" si="43"/>
        <v>#DIV/0!</v>
      </c>
      <c r="I144" s="52" t="e">
        <f>IF(AND(C$7="Y",$B144&lt;=C$4),0,IF(AND(C$7="Y",$B144&gt;C$4),(1-U144)*C$2*D143/12,IF(AND($C$7="N",C$4&gt;0),(1-U144)*D143*C$2/12, (1-U144)*D143*C$2/12)))</f>
        <v>#DIV/0!</v>
      </c>
      <c r="J144" s="57" t="e">
        <f t="shared" si="44"/>
        <v>#DIV/0!</v>
      </c>
      <c r="K144" s="51" t="e">
        <f t="shared" si="45"/>
        <v>#DIV/0!</v>
      </c>
      <c r="L144" s="49" t="e">
        <f>IF(AND(C$7="Y",$B144&lt;=$C$4),0,IF(AND(C$7="N",C$4&gt;0,B144&lt;=C$4),0,U144*D143))</f>
        <v>#DIV/0!</v>
      </c>
      <c r="M144" s="49">
        <f t="shared" si="38"/>
        <v>0</v>
      </c>
      <c r="N144" s="49">
        <f t="shared" si="37"/>
        <v>0</v>
      </c>
      <c r="O144" s="48" t="e">
        <f t="shared" si="46"/>
        <v>#DIV/0!</v>
      </c>
      <c r="P144" s="38" t="e">
        <f>O144*(1/((1+P$9)^(B144/12)))</f>
        <v>#DIV/0!</v>
      </c>
      <c r="Q144" s="53"/>
      <c r="R144" s="53">
        <f t="shared" si="47"/>
        <v>0.12</v>
      </c>
      <c r="S144" s="53">
        <f t="shared" si="48"/>
        <v>1.0596241035318976E-2</v>
      </c>
      <c r="T144" s="53">
        <f t="shared" si="49"/>
        <v>0.05</v>
      </c>
      <c r="U144" s="53">
        <f t="shared" si="50"/>
        <v>4.2653187775606449E-3</v>
      </c>
    </row>
    <row r="145" spans="1:21" x14ac:dyDescent="0.2">
      <c r="A145" s="62"/>
      <c r="B145" s="45">
        <f t="shared" si="39"/>
        <v>134</v>
      </c>
      <c r="C145" s="51" t="e">
        <f>IF(B145&lt;C$4,C$1,D144-L145+N145)</f>
        <v>#DIV/0!</v>
      </c>
      <c r="D145" s="47" t="e">
        <f t="shared" si="40"/>
        <v>#DIV/0!</v>
      </c>
      <c r="E145" s="48">
        <f t="shared" si="41"/>
        <v>0</v>
      </c>
      <c r="F145" s="50">
        <f t="shared" si="42"/>
        <v>0</v>
      </c>
      <c r="G145" s="50">
        <f t="shared" si="51"/>
        <v>0</v>
      </c>
      <c r="H145" s="51" t="e">
        <f t="shared" si="43"/>
        <v>#DIV/0!</v>
      </c>
      <c r="I145" s="52" t="e">
        <f>IF(AND(C$7="Y",$B145&lt;=C$4),0,IF(AND(C$7="Y",$B145&gt;C$4),(1-U145)*C$2*D144/12,IF(AND($C$7="N",C$4&gt;0),(1-U145)*D144*C$2/12, (1-U145)*D144*C$2/12)))</f>
        <v>#DIV/0!</v>
      </c>
      <c r="J145" s="57" t="e">
        <f t="shared" si="44"/>
        <v>#DIV/0!</v>
      </c>
      <c r="K145" s="51" t="e">
        <f t="shared" si="45"/>
        <v>#DIV/0!</v>
      </c>
      <c r="L145" s="49" t="e">
        <f>IF(AND(C$7="Y",$B145&lt;=$C$4),0,IF(AND(C$7="N",C$4&gt;0,B145&lt;=C$4),0,U145*D144))</f>
        <v>#DIV/0!</v>
      </c>
      <c r="M145" s="49">
        <f t="shared" si="38"/>
        <v>0</v>
      </c>
      <c r="N145" s="49">
        <f t="shared" si="37"/>
        <v>0</v>
      </c>
      <c r="O145" s="48" t="e">
        <f t="shared" si="46"/>
        <v>#DIV/0!</v>
      </c>
      <c r="P145" s="38" t="e">
        <f>O145*(1/((1+P$9)^(B145/12)))</f>
        <v>#DIV/0!</v>
      </c>
      <c r="Q145" s="53"/>
      <c r="R145" s="53">
        <f t="shared" si="47"/>
        <v>0.12</v>
      </c>
      <c r="S145" s="53">
        <f t="shared" si="48"/>
        <v>1.0596241035318976E-2</v>
      </c>
      <c r="T145" s="53">
        <f t="shared" si="49"/>
        <v>0.05</v>
      </c>
      <c r="U145" s="53">
        <f t="shared" si="50"/>
        <v>4.2653187775606449E-3</v>
      </c>
    </row>
    <row r="146" spans="1:21" x14ac:dyDescent="0.2">
      <c r="A146" s="62"/>
      <c r="B146" s="45">
        <f t="shared" si="39"/>
        <v>135</v>
      </c>
      <c r="C146" s="51" t="e">
        <f>IF(B146&lt;C$4,C$1,D145-L146+N146)</f>
        <v>#DIV/0!</v>
      </c>
      <c r="D146" s="47" t="e">
        <f t="shared" si="40"/>
        <v>#DIV/0!</v>
      </c>
      <c r="E146" s="48">
        <f t="shared" si="41"/>
        <v>0</v>
      </c>
      <c r="F146" s="50">
        <f t="shared" si="42"/>
        <v>0</v>
      </c>
      <c r="G146" s="50">
        <f t="shared" si="51"/>
        <v>0</v>
      </c>
      <c r="H146" s="51" t="e">
        <f t="shared" si="43"/>
        <v>#DIV/0!</v>
      </c>
      <c r="I146" s="52" t="e">
        <f>IF(AND(C$7="Y",$B146&lt;=C$4),0,IF(AND(C$7="Y",$B146&gt;C$4),(1-U146)*C$2*D145/12,IF(AND($C$7="N",C$4&gt;0),(1-U146)*D145*C$2/12, (1-U146)*D145*C$2/12)))</f>
        <v>#DIV/0!</v>
      </c>
      <c r="J146" s="57" t="e">
        <f t="shared" si="44"/>
        <v>#DIV/0!</v>
      </c>
      <c r="K146" s="51" t="e">
        <f t="shared" si="45"/>
        <v>#DIV/0!</v>
      </c>
      <c r="L146" s="49" t="e">
        <f>IF(AND(C$7="Y",$B146&lt;=$C$4),0,IF(AND(C$7="N",C$4&gt;0,B146&lt;=C$4),0,U146*D145))</f>
        <v>#DIV/0!</v>
      </c>
      <c r="M146" s="49">
        <f t="shared" si="38"/>
        <v>0</v>
      </c>
      <c r="N146" s="49">
        <f t="shared" si="37"/>
        <v>0</v>
      </c>
      <c r="O146" s="48" t="e">
        <f t="shared" si="46"/>
        <v>#DIV/0!</v>
      </c>
      <c r="P146" s="38" t="e">
        <f>O146*(1/((1+P$9)^(B146/12)))</f>
        <v>#DIV/0!</v>
      </c>
      <c r="Q146" s="53"/>
      <c r="R146" s="53">
        <f t="shared" si="47"/>
        <v>0.12</v>
      </c>
      <c r="S146" s="53">
        <f t="shared" si="48"/>
        <v>1.0596241035318976E-2</v>
      </c>
      <c r="T146" s="53">
        <f t="shared" si="49"/>
        <v>0.05</v>
      </c>
      <c r="U146" s="53">
        <f t="shared" si="50"/>
        <v>4.2653187775606449E-3</v>
      </c>
    </row>
    <row r="147" spans="1:21" x14ac:dyDescent="0.2">
      <c r="A147" s="62"/>
      <c r="B147" s="45">
        <f t="shared" si="39"/>
        <v>136</v>
      </c>
      <c r="C147" s="51" t="e">
        <f>IF(B147&lt;C$4,C$1,D146-L147+N147)</f>
        <v>#DIV/0!</v>
      </c>
      <c r="D147" s="47" t="e">
        <f t="shared" si="40"/>
        <v>#DIV/0!</v>
      </c>
      <c r="E147" s="48">
        <f t="shared" si="41"/>
        <v>0</v>
      </c>
      <c r="F147" s="50">
        <f t="shared" si="42"/>
        <v>0</v>
      </c>
      <c r="G147" s="50">
        <f t="shared" si="51"/>
        <v>0</v>
      </c>
      <c r="H147" s="51" t="e">
        <f t="shared" si="43"/>
        <v>#DIV/0!</v>
      </c>
      <c r="I147" s="52" t="e">
        <f>IF(AND(C$7="Y",$B147&lt;=C$4),0,IF(AND(C$7="Y",$B147&gt;C$4),(1-U147)*C$2*D146/12,IF(AND($C$7="N",C$4&gt;0),(1-U147)*D146*C$2/12, (1-U147)*D146*C$2/12)))</f>
        <v>#DIV/0!</v>
      </c>
      <c r="J147" s="57" t="e">
        <f t="shared" si="44"/>
        <v>#DIV/0!</v>
      </c>
      <c r="K147" s="51" t="e">
        <f t="shared" si="45"/>
        <v>#DIV/0!</v>
      </c>
      <c r="L147" s="49" t="e">
        <f>IF(AND(C$7="Y",$B147&lt;=$C$4),0,IF(AND(C$7="N",C$4&gt;0,B147&lt;=C$4),0,U147*D146))</f>
        <v>#DIV/0!</v>
      </c>
      <c r="M147" s="49">
        <f t="shared" si="38"/>
        <v>0</v>
      </c>
      <c r="N147" s="49">
        <f t="shared" si="37"/>
        <v>0</v>
      </c>
      <c r="O147" s="48" t="e">
        <f t="shared" si="46"/>
        <v>#DIV/0!</v>
      </c>
      <c r="P147" s="38" t="e">
        <f>O147*(1/((1+P$9)^(B147/12)))</f>
        <v>#DIV/0!</v>
      </c>
      <c r="Q147" s="53"/>
      <c r="R147" s="53">
        <f t="shared" si="47"/>
        <v>0.12</v>
      </c>
      <c r="S147" s="53">
        <f t="shared" si="48"/>
        <v>1.0596241035318976E-2</v>
      </c>
      <c r="T147" s="53">
        <f t="shared" si="49"/>
        <v>0.05</v>
      </c>
      <c r="U147" s="53">
        <f t="shared" si="50"/>
        <v>4.2653187775606449E-3</v>
      </c>
    </row>
    <row r="148" spans="1:21" x14ac:dyDescent="0.2">
      <c r="A148" s="62"/>
      <c r="B148" s="45">
        <f t="shared" si="39"/>
        <v>137</v>
      </c>
      <c r="C148" s="51" t="e">
        <f>IF(B148&lt;C$4,C$1,D147-L148+N148)</f>
        <v>#DIV/0!</v>
      </c>
      <c r="D148" s="47" t="e">
        <f t="shared" si="40"/>
        <v>#DIV/0!</v>
      </c>
      <c r="E148" s="48">
        <f t="shared" si="41"/>
        <v>0</v>
      </c>
      <c r="F148" s="50">
        <f t="shared" si="42"/>
        <v>0</v>
      </c>
      <c r="G148" s="50">
        <f t="shared" si="51"/>
        <v>0</v>
      </c>
      <c r="H148" s="51" t="e">
        <f t="shared" si="43"/>
        <v>#DIV/0!</v>
      </c>
      <c r="I148" s="52" t="e">
        <f>IF(AND(C$7="Y",$B148&lt;=C$4),0,IF(AND(C$7="Y",$B148&gt;C$4),(1-U148)*C$2*D147/12,IF(AND($C$7="N",C$4&gt;0),(1-U148)*D147*C$2/12, (1-U148)*D147*C$2/12)))</f>
        <v>#DIV/0!</v>
      </c>
      <c r="J148" s="57" t="e">
        <f t="shared" si="44"/>
        <v>#DIV/0!</v>
      </c>
      <c r="K148" s="51" t="e">
        <f t="shared" si="45"/>
        <v>#DIV/0!</v>
      </c>
      <c r="L148" s="49" t="e">
        <f>IF(AND(C$7="Y",$B148&lt;=$C$4),0,IF(AND(C$7="N",C$4&gt;0,B148&lt;=C$4),0,U148*D147))</f>
        <v>#DIV/0!</v>
      </c>
      <c r="M148" s="49">
        <f t="shared" si="38"/>
        <v>0</v>
      </c>
      <c r="N148" s="49">
        <f t="shared" si="37"/>
        <v>0</v>
      </c>
      <c r="O148" s="48" t="e">
        <f t="shared" si="46"/>
        <v>#DIV/0!</v>
      </c>
      <c r="P148" s="38" t="e">
        <f>O148*(1/((1+P$9)^(B148/12)))</f>
        <v>#DIV/0!</v>
      </c>
      <c r="Q148" s="53"/>
      <c r="R148" s="53">
        <f t="shared" si="47"/>
        <v>0.12</v>
      </c>
      <c r="S148" s="53">
        <f t="shared" si="48"/>
        <v>1.0596241035318976E-2</v>
      </c>
      <c r="T148" s="53">
        <f t="shared" si="49"/>
        <v>0.05</v>
      </c>
      <c r="U148" s="53">
        <f t="shared" si="50"/>
        <v>4.2653187775606449E-3</v>
      </c>
    </row>
    <row r="149" spans="1:21" x14ac:dyDescent="0.2">
      <c r="A149" s="62"/>
      <c r="B149" s="45">
        <f t="shared" si="39"/>
        <v>138</v>
      </c>
      <c r="C149" s="51" t="e">
        <f>IF(B149&lt;C$4,C$1,D148-L149+N149)</f>
        <v>#DIV/0!</v>
      </c>
      <c r="D149" s="47" t="e">
        <f t="shared" si="40"/>
        <v>#DIV/0!</v>
      </c>
      <c r="E149" s="48">
        <f t="shared" si="41"/>
        <v>0</v>
      </c>
      <c r="F149" s="50">
        <f t="shared" si="42"/>
        <v>0</v>
      </c>
      <c r="G149" s="50">
        <f t="shared" si="51"/>
        <v>0</v>
      </c>
      <c r="H149" s="51" t="e">
        <f t="shared" si="43"/>
        <v>#DIV/0!</v>
      </c>
      <c r="I149" s="52" t="e">
        <f>IF(AND(C$7="Y",$B149&lt;=C$4),0,IF(AND(C$7="Y",$B149&gt;C$4),(1-U149)*C$2*D148/12,IF(AND($C$7="N",C$4&gt;0),(1-U149)*D148*C$2/12, (1-U149)*D148*C$2/12)))</f>
        <v>#DIV/0!</v>
      </c>
      <c r="J149" s="57" t="e">
        <f t="shared" si="44"/>
        <v>#DIV/0!</v>
      </c>
      <c r="K149" s="51" t="e">
        <f t="shared" si="45"/>
        <v>#DIV/0!</v>
      </c>
      <c r="L149" s="49" t="e">
        <f>IF(AND(C$7="Y",$B149&lt;=$C$4),0,IF(AND(C$7="N",C$4&gt;0,B149&lt;=C$4),0,U149*D148))</f>
        <v>#DIV/0!</v>
      </c>
      <c r="M149" s="49">
        <f t="shared" si="38"/>
        <v>0</v>
      </c>
      <c r="N149" s="49">
        <f t="shared" si="37"/>
        <v>0</v>
      </c>
      <c r="O149" s="48" t="e">
        <f t="shared" si="46"/>
        <v>#DIV/0!</v>
      </c>
      <c r="P149" s="38" t="e">
        <f>O149*(1/((1+P$9)^(B149/12)))</f>
        <v>#DIV/0!</v>
      </c>
      <c r="Q149" s="53"/>
      <c r="R149" s="53">
        <f t="shared" si="47"/>
        <v>0.12</v>
      </c>
      <c r="S149" s="53">
        <f t="shared" si="48"/>
        <v>1.0596241035318976E-2</v>
      </c>
      <c r="T149" s="53">
        <f t="shared" si="49"/>
        <v>0.05</v>
      </c>
      <c r="U149" s="53">
        <f t="shared" si="50"/>
        <v>4.2653187775606449E-3</v>
      </c>
    </row>
    <row r="150" spans="1:21" x14ac:dyDescent="0.2">
      <c r="A150" s="62"/>
      <c r="B150" s="45">
        <f t="shared" si="39"/>
        <v>139</v>
      </c>
      <c r="C150" s="51" t="e">
        <f>IF(B150&lt;C$4,C$1,D149-L150+N150)</f>
        <v>#DIV/0!</v>
      </c>
      <c r="D150" s="47" t="e">
        <f t="shared" si="40"/>
        <v>#DIV/0!</v>
      </c>
      <c r="E150" s="48">
        <f t="shared" si="41"/>
        <v>0</v>
      </c>
      <c r="F150" s="50">
        <f t="shared" si="42"/>
        <v>0</v>
      </c>
      <c r="G150" s="50">
        <f t="shared" si="51"/>
        <v>0</v>
      </c>
      <c r="H150" s="51" t="e">
        <f t="shared" si="43"/>
        <v>#DIV/0!</v>
      </c>
      <c r="I150" s="52" t="e">
        <f>IF(AND(C$7="Y",$B150&lt;=C$4),0,IF(AND(C$7="Y",$B150&gt;C$4),(1-U150)*C$2*D149/12,IF(AND($C$7="N",C$4&gt;0),(1-U150)*D149*C$2/12, (1-U150)*D149*C$2/12)))</f>
        <v>#DIV/0!</v>
      </c>
      <c r="J150" s="57" t="e">
        <f t="shared" si="44"/>
        <v>#DIV/0!</v>
      </c>
      <c r="K150" s="51" t="e">
        <f t="shared" si="45"/>
        <v>#DIV/0!</v>
      </c>
      <c r="L150" s="49" t="e">
        <f>IF(AND(C$7="Y",$B150&lt;=$C$4),0,IF(AND(C$7="N",C$4&gt;0,B150&lt;=C$4),0,U150*D149))</f>
        <v>#DIV/0!</v>
      </c>
      <c r="M150" s="49">
        <f t="shared" si="38"/>
        <v>0</v>
      </c>
      <c r="N150" s="49">
        <f t="shared" si="37"/>
        <v>0</v>
      </c>
      <c r="O150" s="48" t="e">
        <f t="shared" si="46"/>
        <v>#DIV/0!</v>
      </c>
      <c r="P150" s="38" t="e">
        <f>O150*(1/((1+P$9)^(B150/12)))</f>
        <v>#DIV/0!</v>
      </c>
      <c r="Q150" s="53"/>
      <c r="R150" s="53">
        <f t="shared" si="47"/>
        <v>0.12</v>
      </c>
      <c r="S150" s="53">
        <f t="shared" si="48"/>
        <v>1.0596241035318976E-2</v>
      </c>
      <c r="T150" s="53">
        <f t="shared" si="49"/>
        <v>0.05</v>
      </c>
      <c r="U150" s="53">
        <f t="shared" si="50"/>
        <v>4.2653187775606449E-3</v>
      </c>
    </row>
    <row r="151" spans="1:21" x14ac:dyDescent="0.2">
      <c r="A151" s="62"/>
      <c r="B151" s="45">
        <f t="shared" si="39"/>
        <v>140</v>
      </c>
      <c r="C151" s="51" t="e">
        <f>IF(B151&lt;C$4,C$1,D150-L151+N151)</f>
        <v>#DIV/0!</v>
      </c>
      <c r="D151" s="47" t="e">
        <f t="shared" si="40"/>
        <v>#DIV/0!</v>
      </c>
      <c r="E151" s="48">
        <f t="shared" si="41"/>
        <v>0</v>
      </c>
      <c r="F151" s="50">
        <f t="shared" si="42"/>
        <v>0</v>
      </c>
      <c r="G151" s="50">
        <f t="shared" si="51"/>
        <v>0</v>
      </c>
      <c r="H151" s="51" t="e">
        <f t="shared" si="43"/>
        <v>#DIV/0!</v>
      </c>
      <c r="I151" s="52" t="e">
        <f>IF(AND(C$7="Y",$B151&lt;=C$4),0,IF(AND(C$7="Y",$B151&gt;C$4),(1-U151)*C$2*D150/12,IF(AND($C$7="N",C$4&gt;0),(1-U151)*D150*C$2/12, (1-U151)*D150*C$2/12)))</f>
        <v>#DIV/0!</v>
      </c>
      <c r="J151" s="57" t="e">
        <f t="shared" si="44"/>
        <v>#DIV/0!</v>
      </c>
      <c r="K151" s="51" t="e">
        <f t="shared" si="45"/>
        <v>#DIV/0!</v>
      </c>
      <c r="L151" s="49" t="e">
        <f>IF(AND(C$7="Y",$B151&lt;=$C$4),0,IF(AND(C$7="N",C$4&gt;0,B151&lt;=C$4),0,U151*D150))</f>
        <v>#DIV/0!</v>
      </c>
      <c r="M151" s="49">
        <f t="shared" si="38"/>
        <v>0</v>
      </c>
      <c r="N151" s="49">
        <f t="shared" si="37"/>
        <v>0</v>
      </c>
      <c r="O151" s="48" t="e">
        <f t="shared" si="46"/>
        <v>#DIV/0!</v>
      </c>
      <c r="P151" s="38" t="e">
        <f>O151*(1/((1+P$9)^(B151/12)))</f>
        <v>#DIV/0!</v>
      </c>
      <c r="Q151" s="53"/>
      <c r="R151" s="53">
        <f t="shared" si="47"/>
        <v>0.12</v>
      </c>
      <c r="S151" s="53">
        <f t="shared" si="48"/>
        <v>1.0596241035318976E-2</v>
      </c>
      <c r="T151" s="53">
        <f t="shared" si="49"/>
        <v>0.05</v>
      </c>
      <c r="U151" s="53">
        <f t="shared" si="50"/>
        <v>4.2653187775606449E-3</v>
      </c>
    </row>
    <row r="152" spans="1:21" x14ac:dyDescent="0.2">
      <c r="A152" s="62"/>
      <c r="B152" s="45">
        <f t="shared" si="39"/>
        <v>141</v>
      </c>
      <c r="C152" s="51" t="e">
        <f>IF(B152&lt;C$4,C$1,D151-L152+N152)</f>
        <v>#DIV/0!</v>
      </c>
      <c r="D152" s="47" t="e">
        <f t="shared" si="40"/>
        <v>#DIV/0!</v>
      </c>
      <c r="E152" s="48">
        <f t="shared" si="41"/>
        <v>0</v>
      </c>
      <c r="F152" s="50">
        <f t="shared" si="42"/>
        <v>0</v>
      </c>
      <c r="G152" s="50">
        <f t="shared" si="51"/>
        <v>0</v>
      </c>
      <c r="H152" s="51" t="e">
        <f t="shared" si="43"/>
        <v>#DIV/0!</v>
      </c>
      <c r="I152" s="52" t="e">
        <f>IF(AND(C$7="Y",$B152&lt;=C$4),0,IF(AND(C$7="Y",$B152&gt;C$4),(1-U152)*C$2*D151/12,IF(AND($C$7="N",C$4&gt;0),(1-U152)*D151*C$2/12, (1-U152)*D151*C$2/12)))</f>
        <v>#DIV/0!</v>
      </c>
      <c r="J152" s="57" t="e">
        <f t="shared" si="44"/>
        <v>#DIV/0!</v>
      </c>
      <c r="K152" s="51" t="e">
        <f t="shared" si="45"/>
        <v>#DIV/0!</v>
      </c>
      <c r="L152" s="49" t="e">
        <f>IF(AND(C$7="Y",$B152&lt;=$C$4),0,IF(AND(C$7="N",C$4&gt;0,B152&lt;=C$4),0,U152*D151))</f>
        <v>#DIV/0!</v>
      </c>
      <c r="M152" s="49">
        <f t="shared" si="38"/>
        <v>0</v>
      </c>
      <c r="N152" s="49">
        <f t="shared" si="37"/>
        <v>0</v>
      </c>
      <c r="O152" s="48" t="e">
        <f t="shared" si="46"/>
        <v>#DIV/0!</v>
      </c>
      <c r="P152" s="38" t="e">
        <f>O152*(1/((1+P$9)^(B152/12)))</f>
        <v>#DIV/0!</v>
      </c>
      <c r="Q152" s="53"/>
      <c r="R152" s="53">
        <f t="shared" si="47"/>
        <v>0.12</v>
      </c>
      <c r="S152" s="53">
        <f t="shared" si="48"/>
        <v>1.0596241035318976E-2</v>
      </c>
      <c r="T152" s="53">
        <f t="shared" si="49"/>
        <v>0.05</v>
      </c>
      <c r="U152" s="53">
        <f t="shared" si="50"/>
        <v>4.2653187775606449E-3</v>
      </c>
    </row>
    <row r="153" spans="1:21" x14ac:dyDescent="0.2">
      <c r="A153" s="62"/>
      <c r="B153" s="45">
        <f t="shared" si="39"/>
        <v>142</v>
      </c>
      <c r="C153" s="51" t="e">
        <f>IF(B153&lt;C$4,C$1,D152-L153+N153)</f>
        <v>#DIV/0!</v>
      </c>
      <c r="D153" s="47" t="e">
        <f t="shared" si="40"/>
        <v>#DIV/0!</v>
      </c>
      <c r="E153" s="48">
        <f t="shared" si="41"/>
        <v>0</v>
      </c>
      <c r="F153" s="50">
        <f t="shared" si="42"/>
        <v>0</v>
      </c>
      <c r="G153" s="50">
        <f t="shared" si="51"/>
        <v>0</v>
      </c>
      <c r="H153" s="51" t="e">
        <f t="shared" si="43"/>
        <v>#DIV/0!</v>
      </c>
      <c r="I153" s="52" t="e">
        <f>IF(AND(C$7="Y",$B153&lt;=C$4),0,IF(AND(C$7="Y",$B153&gt;C$4),(1-U153)*C$2*D152/12,IF(AND($C$7="N",C$4&gt;0),(1-U153)*D152*C$2/12, (1-U153)*D152*C$2/12)))</f>
        <v>#DIV/0!</v>
      </c>
      <c r="J153" s="57" t="e">
        <f t="shared" si="44"/>
        <v>#DIV/0!</v>
      </c>
      <c r="K153" s="51" t="e">
        <f t="shared" si="45"/>
        <v>#DIV/0!</v>
      </c>
      <c r="L153" s="49" t="e">
        <f>IF(AND(C$7="Y",$B153&lt;=$C$4),0,IF(AND(C$7="N",C$4&gt;0,B153&lt;=C$4),0,U153*D152))</f>
        <v>#DIV/0!</v>
      </c>
      <c r="M153" s="49">
        <f t="shared" si="38"/>
        <v>0</v>
      </c>
      <c r="N153" s="49">
        <f t="shared" si="37"/>
        <v>0</v>
      </c>
      <c r="O153" s="48" t="e">
        <f t="shared" si="46"/>
        <v>#DIV/0!</v>
      </c>
      <c r="P153" s="38" t="e">
        <f>O153*(1/((1+P$9)^(B153/12)))</f>
        <v>#DIV/0!</v>
      </c>
      <c r="Q153" s="53"/>
      <c r="R153" s="53">
        <f t="shared" si="47"/>
        <v>0.12</v>
      </c>
      <c r="S153" s="53">
        <f t="shared" si="48"/>
        <v>1.0596241035318976E-2</v>
      </c>
      <c r="T153" s="53">
        <f t="shared" si="49"/>
        <v>0.05</v>
      </c>
      <c r="U153" s="53">
        <f t="shared" si="50"/>
        <v>4.2653187775606449E-3</v>
      </c>
    </row>
    <row r="154" spans="1:21" x14ac:dyDescent="0.2">
      <c r="A154" s="62"/>
      <c r="B154" s="45">
        <f t="shared" si="39"/>
        <v>143</v>
      </c>
      <c r="C154" s="51" t="e">
        <f>IF(B154&lt;C$4,C$1,D153-L154+N154)</f>
        <v>#DIV/0!</v>
      </c>
      <c r="D154" s="47" t="e">
        <f t="shared" si="40"/>
        <v>#DIV/0!</v>
      </c>
      <c r="E154" s="48">
        <f t="shared" si="41"/>
        <v>0</v>
      </c>
      <c r="F154" s="50">
        <f t="shared" si="42"/>
        <v>0</v>
      </c>
      <c r="G154" s="50">
        <f t="shared" si="51"/>
        <v>0</v>
      </c>
      <c r="H154" s="51" t="e">
        <f t="shared" si="43"/>
        <v>#DIV/0!</v>
      </c>
      <c r="I154" s="52" t="e">
        <f>IF(AND(C$7="Y",$B154&lt;=C$4),0,IF(AND(C$7="Y",$B154&gt;C$4),(1-U154)*C$2*D153/12,IF(AND($C$7="N",C$4&gt;0),(1-U154)*D153*C$2/12, (1-U154)*D153*C$2/12)))</f>
        <v>#DIV/0!</v>
      </c>
      <c r="J154" s="57" t="e">
        <f t="shared" si="44"/>
        <v>#DIV/0!</v>
      </c>
      <c r="K154" s="51" t="e">
        <f t="shared" si="45"/>
        <v>#DIV/0!</v>
      </c>
      <c r="L154" s="49" t="e">
        <f>IF(AND(C$7="Y",$B154&lt;=$C$4),0,IF(AND(C$7="N",C$4&gt;0,B154&lt;=C$4),0,U154*D153))</f>
        <v>#DIV/0!</v>
      </c>
      <c r="M154" s="49">
        <f t="shared" si="38"/>
        <v>0</v>
      </c>
      <c r="N154" s="49">
        <f t="shared" si="37"/>
        <v>0</v>
      </c>
      <c r="O154" s="48" t="e">
        <f t="shared" si="46"/>
        <v>#DIV/0!</v>
      </c>
      <c r="P154" s="38" t="e">
        <f>O154*(1/((1+P$9)^(B154/12)))</f>
        <v>#DIV/0!</v>
      </c>
      <c r="Q154" s="53"/>
      <c r="R154" s="53">
        <f t="shared" si="47"/>
        <v>0.12</v>
      </c>
      <c r="S154" s="53">
        <f t="shared" si="48"/>
        <v>1.0596241035318976E-2</v>
      </c>
      <c r="T154" s="53">
        <f t="shared" si="49"/>
        <v>0.05</v>
      </c>
      <c r="U154" s="53">
        <f t="shared" si="50"/>
        <v>4.2653187775606449E-3</v>
      </c>
    </row>
    <row r="155" spans="1:21" x14ac:dyDescent="0.2">
      <c r="A155" s="62"/>
      <c r="B155" s="45">
        <f t="shared" si="39"/>
        <v>144</v>
      </c>
      <c r="C155" s="51" t="e">
        <f>IF(B155&lt;C$4,C$1,D154-L155+N155)</f>
        <v>#DIV/0!</v>
      </c>
      <c r="D155" s="47" t="e">
        <f t="shared" si="40"/>
        <v>#DIV/0!</v>
      </c>
      <c r="E155" s="48">
        <f t="shared" si="41"/>
        <v>0</v>
      </c>
      <c r="F155" s="50">
        <f t="shared" si="42"/>
        <v>0</v>
      </c>
      <c r="G155" s="50">
        <f t="shared" si="51"/>
        <v>0</v>
      </c>
      <c r="H155" s="51" t="e">
        <f t="shared" si="43"/>
        <v>#DIV/0!</v>
      </c>
      <c r="I155" s="52" t="e">
        <f>IF(AND(C$7="Y",$B155&lt;=C$4),0,IF(AND(C$7="Y",$B155&gt;C$4),(1-U155)*C$2*D154/12,IF(AND($C$7="N",C$4&gt;0),(1-U155)*D154*C$2/12, (1-U155)*D154*C$2/12)))</f>
        <v>#DIV/0!</v>
      </c>
      <c r="J155" s="57" t="e">
        <f t="shared" si="44"/>
        <v>#DIV/0!</v>
      </c>
      <c r="K155" s="51" t="e">
        <f t="shared" si="45"/>
        <v>#DIV/0!</v>
      </c>
      <c r="L155" s="49" t="e">
        <f>IF(AND(C$7="Y",$B155&lt;=$C$4),0,IF(AND(C$7="N",C$4&gt;0,B155&lt;=C$4),0,U155*D154))</f>
        <v>#DIV/0!</v>
      </c>
      <c r="M155" s="49">
        <f t="shared" si="38"/>
        <v>0</v>
      </c>
      <c r="N155" s="49">
        <f t="shared" si="37"/>
        <v>0</v>
      </c>
      <c r="O155" s="48" t="e">
        <f t="shared" si="46"/>
        <v>#DIV/0!</v>
      </c>
      <c r="P155" s="38" t="e">
        <f>O155*(1/((1+P$9)^(B155/12)))</f>
        <v>#DIV/0!</v>
      </c>
      <c r="Q155" s="53"/>
      <c r="R155" s="53">
        <f t="shared" si="47"/>
        <v>0.12</v>
      </c>
      <c r="S155" s="53">
        <f t="shared" si="48"/>
        <v>1.0596241035318976E-2</v>
      </c>
      <c r="T155" s="53">
        <f t="shared" si="49"/>
        <v>0.05</v>
      </c>
      <c r="U155" s="53">
        <f t="shared" si="50"/>
        <v>4.2653187775606449E-3</v>
      </c>
    </row>
    <row r="156" spans="1:21" x14ac:dyDescent="0.2">
      <c r="A156" s="62"/>
      <c r="B156" s="45">
        <f t="shared" si="39"/>
        <v>145</v>
      </c>
      <c r="C156" s="51" t="e">
        <f>IF(B156&lt;C$4,C$1,D155-L156+N156)</f>
        <v>#DIV/0!</v>
      </c>
      <c r="D156" s="47" t="e">
        <f t="shared" si="40"/>
        <v>#DIV/0!</v>
      </c>
      <c r="E156" s="48">
        <f t="shared" si="41"/>
        <v>0</v>
      </c>
      <c r="F156" s="50">
        <f t="shared" si="42"/>
        <v>0</v>
      </c>
      <c r="G156" s="50">
        <f t="shared" si="51"/>
        <v>0</v>
      </c>
      <c r="H156" s="51" t="e">
        <f t="shared" si="43"/>
        <v>#DIV/0!</v>
      </c>
      <c r="I156" s="52" t="e">
        <f>IF(AND(C$7="Y",$B156&lt;=C$4),0,IF(AND(C$7="Y",$B156&gt;C$4),(1-U156)*C$2*D155/12,IF(AND($C$7="N",C$4&gt;0),(1-U156)*D155*C$2/12, (1-U156)*D155*C$2/12)))</f>
        <v>#DIV/0!</v>
      </c>
      <c r="J156" s="57" t="e">
        <f t="shared" si="44"/>
        <v>#DIV/0!</v>
      </c>
      <c r="K156" s="51" t="e">
        <f t="shared" si="45"/>
        <v>#DIV/0!</v>
      </c>
      <c r="L156" s="49" t="e">
        <f>IF(AND(C$7="Y",$B156&lt;=$C$4),0,IF(AND(C$7="N",C$4&gt;0,B156&lt;=C$4),0,U156*D155))</f>
        <v>#DIV/0!</v>
      </c>
      <c r="M156" s="49">
        <f t="shared" si="38"/>
        <v>0</v>
      </c>
      <c r="N156" s="49">
        <f t="shared" si="37"/>
        <v>0</v>
      </c>
      <c r="O156" s="48" t="e">
        <f t="shared" si="46"/>
        <v>#DIV/0!</v>
      </c>
      <c r="P156" s="38" t="e">
        <f>O156*(1/((1+P$9)^(B156/12)))</f>
        <v>#DIV/0!</v>
      </c>
      <c r="Q156" s="53"/>
      <c r="R156" s="53">
        <f t="shared" si="47"/>
        <v>0.12</v>
      </c>
      <c r="S156" s="53">
        <f t="shared" si="48"/>
        <v>1.0596241035318976E-2</v>
      </c>
      <c r="T156" s="53">
        <f t="shared" si="49"/>
        <v>0.05</v>
      </c>
      <c r="U156" s="53">
        <f t="shared" si="50"/>
        <v>4.2653187775606449E-3</v>
      </c>
    </row>
    <row r="157" spans="1:21" x14ac:dyDescent="0.2">
      <c r="A157" s="62"/>
      <c r="B157" s="45">
        <f t="shared" si="39"/>
        <v>146</v>
      </c>
      <c r="C157" s="51" t="e">
        <f>IF(B157&lt;C$4,C$1,D156-L157+N157)</f>
        <v>#DIV/0!</v>
      </c>
      <c r="D157" s="47" t="e">
        <f t="shared" si="40"/>
        <v>#DIV/0!</v>
      </c>
      <c r="E157" s="48">
        <f t="shared" si="41"/>
        <v>0</v>
      </c>
      <c r="F157" s="50">
        <f t="shared" si="42"/>
        <v>0</v>
      </c>
      <c r="G157" s="50">
        <f t="shared" si="51"/>
        <v>0</v>
      </c>
      <c r="H157" s="51" t="e">
        <f t="shared" si="43"/>
        <v>#DIV/0!</v>
      </c>
      <c r="I157" s="52" t="e">
        <f>IF(AND(C$7="Y",$B157&lt;=C$4),0,IF(AND(C$7="Y",$B157&gt;C$4),(1-U157)*C$2*D156/12,IF(AND($C$7="N",C$4&gt;0),(1-U157)*D156*C$2/12, (1-U157)*D156*C$2/12)))</f>
        <v>#DIV/0!</v>
      </c>
      <c r="J157" s="57" t="e">
        <f t="shared" si="44"/>
        <v>#DIV/0!</v>
      </c>
      <c r="K157" s="51" t="e">
        <f t="shared" si="45"/>
        <v>#DIV/0!</v>
      </c>
      <c r="L157" s="49" t="e">
        <f>IF(AND(C$7="Y",$B157&lt;=$C$4),0,IF(AND(C$7="N",C$4&gt;0,B157&lt;=C$4),0,U157*D156))</f>
        <v>#DIV/0!</v>
      </c>
      <c r="M157" s="49">
        <f t="shared" si="38"/>
        <v>0</v>
      </c>
      <c r="N157" s="49">
        <f t="shared" si="37"/>
        <v>0</v>
      </c>
      <c r="O157" s="48" t="e">
        <f t="shared" si="46"/>
        <v>#DIV/0!</v>
      </c>
      <c r="P157" s="38" t="e">
        <f>O157*(1/((1+P$9)^(B157/12)))</f>
        <v>#DIV/0!</v>
      </c>
      <c r="Q157" s="53"/>
      <c r="R157" s="53">
        <f t="shared" si="47"/>
        <v>0.12</v>
      </c>
      <c r="S157" s="53">
        <f t="shared" si="48"/>
        <v>1.0596241035318976E-2</v>
      </c>
      <c r="T157" s="53">
        <f t="shared" si="49"/>
        <v>0.05</v>
      </c>
      <c r="U157" s="53">
        <f t="shared" si="50"/>
        <v>4.2653187775606449E-3</v>
      </c>
    </row>
    <row r="158" spans="1:21" x14ac:dyDescent="0.2">
      <c r="A158" s="62"/>
      <c r="B158" s="45">
        <f t="shared" si="39"/>
        <v>147</v>
      </c>
      <c r="C158" s="51" t="e">
        <f>IF(B158&lt;C$4,C$1,D157-L158+N158)</f>
        <v>#DIV/0!</v>
      </c>
      <c r="D158" s="47" t="e">
        <f t="shared" si="40"/>
        <v>#DIV/0!</v>
      </c>
      <c r="E158" s="48">
        <f t="shared" si="41"/>
        <v>0</v>
      </c>
      <c r="F158" s="50">
        <f t="shared" si="42"/>
        <v>0</v>
      </c>
      <c r="G158" s="50">
        <f t="shared" si="51"/>
        <v>0</v>
      </c>
      <c r="H158" s="51" t="e">
        <f t="shared" si="43"/>
        <v>#DIV/0!</v>
      </c>
      <c r="I158" s="52" t="e">
        <f>IF(AND(C$7="Y",$B158&lt;=C$4),0,IF(AND(C$7="Y",$B158&gt;C$4),(1-U158)*C$2*D157/12,IF(AND($C$7="N",C$4&gt;0),(1-U158)*D157*C$2/12, (1-U158)*D157*C$2/12)))</f>
        <v>#DIV/0!</v>
      </c>
      <c r="J158" s="57" t="e">
        <f t="shared" si="44"/>
        <v>#DIV/0!</v>
      </c>
      <c r="K158" s="51" t="e">
        <f t="shared" si="45"/>
        <v>#DIV/0!</v>
      </c>
      <c r="L158" s="49" t="e">
        <f>IF(AND(C$7="Y",$B158&lt;=$C$4),0,IF(AND(C$7="N",C$4&gt;0,B158&lt;=C$4),0,U158*D157))</f>
        <v>#DIV/0!</v>
      </c>
      <c r="M158" s="49">
        <f t="shared" si="38"/>
        <v>0</v>
      </c>
      <c r="N158" s="49">
        <f t="shared" si="37"/>
        <v>0</v>
      </c>
      <c r="O158" s="48" t="e">
        <f t="shared" si="46"/>
        <v>#DIV/0!</v>
      </c>
      <c r="P158" s="38" t="e">
        <f>O158*(1/((1+P$9)^(B158/12)))</f>
        <v>#DIV/0!</v>
      </c>
      <c r="Q158" s="53"/>
      <c r="R158" s="53">
        <f t="shared" si="47"/>
        <v>0.12</v>
      </c>
      <c r="S158" s="53">
        <f t="shared" si="48"/>
        <v>1.0596241035318976E-2</v>
      </c>
      <c r="T158" s="53">
        <f t="shared" si="49"/>
        <v>0.05</v>
      </c>
      <c r="U158" s="53">
        <f t="shared" si="50"/>
        <v>4.2653187775606449E-3</v>
      </c>
    </row>
    <row r="159" spans="1:21" x14ac:dyDescent="0.2">
      <c r="A159" s="62"/>
      <c r="B159" s="45">
        <f t="shared" si="39"/>
        <v>148</v>
      </c>
      <c r="C159" s="51" t="e">
        <f>IF(B159&lt;C$4,C$1,D158-L159+N159)</f>
        <v>#DIV/0!</v>
      </c>
      <c r="D159" s="47" t="e">
        <f t="shared" si="40"/>
        <v>#DIV/0!</v>
      </c>
      <c r="E159" s="48">
        <f t="shared" si="41"/>
        <v>0</v>
      </c>
      <c r="F159" s="50">
        <f t="shared" si="42"/>
        <v>0</v>
      </c>
      <c r="G159" s="50">
        <f t="shared" si="51"/>
        <v>0</v>
      </c>
      <c r="H159" s="51" t="e">
        <f t="shared" si="43"/>
        <v>#DIV/0!</v>
      </c>
      <c r="I159" s="52" t="e">
        <f>IF(AND(C$7="Y",$B159&lt;=C$4),0,IF(AND(C$7="Y",$B159&gt;C$4),(1-U159)*C$2*D158/12,IF(AND($C$7="N",C$4&gt;0),(1-U159)*D158*C$2/12, (1-U159)*D158*C$2/12)))</f>
        <v>#DIV/0!</v>
      </c>
      <c r="J159" s="57" t="e">
        <f t="shared" si="44"/>
        <v>#DIV/0!</v>
      </c>
      <c r="K159" s="51" t="e">
        <f t="shared" si="45"/>
        <v>#DIV/0!</v>
      </c>
      <c r="L159" s="49" t="e">
        <f>IF(AND(C$7="Y",$B159&lt;=$C$4),0,IF(AND(C$7="N",C$4&gt;0,B159&lt;=C$4),0,U159*D158))</f>
        <v>#DIV/0!</v>
      </c>
      <c r="M159" s="49">
        <f t="shared" si="38"/>
        <v>0</v>
      </c>
      <c r="N159" s="49">
        <f t="shared" si="37"/>
        <v>0</v>
      </c>
      <c r="O159" s="48" t="e">
        <f t="shared" si="46"/>
        <v>#DIV/0!</v>
      </c>
      <c r="P159" s="38" t="e">
        <f>O159*(1/((1+P$9)^(B159/12)))</f>
        <v>#DIV/0!</v>
      </c>
      <c r="Q159" s="53"/>
      <c r="R159" s="53">
        <f t="shared" si="47"/>
        <v>0.12</v>
      </c>
      <c r="S159" s="53">
        <f t="shared" si="48"/>
        <v>1.0596241035318976E-2</v>
      </c>
      <c r="T159" s="53">
        <f t="shared" si="49"/>
        <v>0.05</v>
      </c>
      <c r="U159" s="53">
        <f t="shared" si="50"/>
        <v>4.2653187775606449E-3</v>
      </c>
    </row>
    <row r="160" spans="1:21" x14ac:dyDescent="0.2">
      <c r="A160" s="62"/>
      <c r="B160" s="45">
        <f t="shared" si="39"/>
        <v>149</v>
      </c>
      <c r="C160" s="51" t="e">
        <f>IF(B160&lt;C$4,C$1,D159-L160+N160)</f>
        <v>#DIV/0!</v>
      </c>
      <c r="D160" s="47" t="e">
        <f t="shared" si="40"/>
        <v>#DIV/0!</v>
      </c>
      <c r="E160" s="48">
        <f t="shared" si="41"/>
        <v>0</v>
      </c>
      <c r="F160" s="50">
        <f t="shared" si="42"/>
        <v>0</v>
      </c>
      <c r="G160" s="50">
        <f t="shared" si="51"/>
        <v>0</v>
      </c>
      <c r="H160" s="51" t="e">
        <f t="shared" si="43"/>
        <v>#DIV/0!</v>
      </c>
      <c r="I160" s="52" t="e">
        <f>IF(AND(C$7="Y",$B160&lt;=C$4),0,IF(AND(C$7="Y",$B160&gt;C$4),(1-U160)*C$2*D159/12,IF(AND($C$7="N",C$4&gt;0),(1-U160)*D159*C$2/12, (1-U160)*D159*C$2/12)))</f>
        <v>#DIV/0!</v>
      </c>
      <c r="J160" s="57" t="e">
        <f t="shared" si="44"/>
        <v>#DIV/0!</v>
      </c>
      <c r="K160" s="51" t="e">
        <f t="shared" si="45"/>
        <v>#DIV/0!</v>
      </c>
      <c r="L160" s="49" t="e">
        <f>IF(AND(C$7="Y",$B160&lt;=$C$4),0,IF(AND(C$7="N",C$4&gt;0,B160&lt;=C$4),0,U160*D159))</f>
        <v>#DIV/0!</v>
      </c>
      <c r="M160" s="49">
        <f t="shared" si="38"/>
        <v>0</v>
      </c>
      <c r="N160" s="49">
        <f t="shared" ref="N160:N223" si="52">IFERROR((1-$N$9)*L156,0)</f>
        <v>0</v>
      </c>
      <c r="O160" s="48" t="e">
        <f t="shared" si="46"/>
        <v>#DIV/0!</v>
      </c>
      <c r="P160" s="38" t="e">
        <f>O160*(1/((1+P$9)^(B160/12)))</f>
        <v>#DIV/0!</v>
      </c>
      <c r="Q160" s="53"/>
      <c r="R160" s="53">
        <f t="shared" si="47"/>
        <v>0.12</v>
      </c>
      <c r="S160" s="53">
        <f t="shared" si="48"/>
        <v>1.0596241035318976E-2</v>
      </c>
      <c r="T160" s="53">
        <f t="shared" si="49"/>
        <v>0.05</v>
      </c>
      <c r="U160" s="53">
        <f t="shared" si="50"/>
        <v>4.2653187775606449E-3</v>
      </c>
    </row>
    <row r="161" spans="1:21" x14ac:dyDescent="0.2">
      <c r="A161" s="62"/>
      <c r="B161" s="45">
        <f t="shared" si="39"/>
        <v>150</v>
      </c>
      <c r="C161" s="51" t="e">
        <f>IF(B161&lt;C$4,C$1,D160-L161+N161)</f>
        <v>#DIV/0!</v>
      </c>
      <c r="D161" s="47" t="e">
        <f t="shared" si="40"/>
        <v>#DIV/0!</v>
      </c>
      <c r="E161" s="48">
        <f t="shared" si="41"/>
        <v>0</v>
      </c>
      <c r="F161" s="50">
        <f t="shared" si="42"/>
        <v>0</v>
      </c>
      <c r="G161" s="50">
        <f t="shared" si="51"/>
        <v>0</v>
      </c>
      <c r="H161" s="51" t="e">
        <f t="shared" si="43"/>
        <v>#DIV/0!</v>
      </c>
      <c r="I161" s="52" t="e">
        <f>IF(AND(C$7="Y",$B161&lt;=C$4),0,IF(AND(C$7="Y",$B161&gt;C$4),(1-U161)*C$2*D160/12,IF(AND($C$7="N",C$4&gt;0),(1-U161)*D160*C$2/12, (1-U161)*D160*C$2/12)))</f>
        <v>#DIV/0!</v>
      </c>
      <c r="J161" s="57" t="e">
        <f t="shared" si="44"/>
        <v>#DIV/0!</v>
      </c>
      <c r="K161" s="51" t="e">
        <f t="shared" si="45"/>
        <v>#DIV/0!</v>
      </c>
      <c r="L161" s="49" t="e">
        <f>IF(AND(C$7="Y",$B161&lt;=$C$4),0,IF(AND(C$7="N",C$4&gt;0,B161&lt;=C$4),0,U161*D160))</f>
        <v>#DIV/0!</v>
      </c>
      <c r="M161" s="49">
        <f t="shared" si="38"/>
        <v>0</v>
      </c>
      <c r="N161" s="49">
        <f t="shared" si="52"/>
        <v>0</v>
      </c>
      <c r="O161" s="48" t="e">
        <f t="shared" si="46"/>
        <v>#DIV/0!</v>
      </c>
      <c r="P161" s="38" t="e">
        <f>O161*(1/((1+P$9)^(B161/12)))</f>
        <v>#DIV/0!</v>
      </c>
      <c r="Q161" s="53"/>
      <c r="R161" s="53">
        <f t="shared" si="47"/>
        <v>0.12</v>
      </c>
      <c r="S161" s="53">
        <f t="shared" si="48"/>
        <v>1.0596241035318976E-2</v>
      </c>
      <c r="T161" s="53">
        <f t="shared" si="49"/>
        <v>0.05</v>
      </c>
      <c r="U161" s="53">
        <f t="shared" si="50"/>
        <v>4.2653187775606449E-3</v>
      </c>
    </row>
    <row r="162" spans="1:21" x14ac:dyDescent="0.2">
      <c r="A162" s="62"/>
      <c r="B162" s="45">
        <f t="shared" si="39"/>
        <v>151</v>
      </c>
      <c r="C162" s="51" t="e">
        <f>IF(B162&lt;C$4,C$1,D161-L162+N162)</f>
        <v>#DIV/0!</v>
      </c>
      <c r="D162" s="47" t="e">
        <f t="shared" si="40"/>
        <v>#DIV/0!</v>
      </c>
      <c r="E162" s="48">
        <f t="shared" si="41"/>
        <v>0</v>
      </c>
      <c r="F162" s="50">
        <f t="shared" si="42"/>
        <v>0</v>
      </c>
      <c r="G162" s="50">
        <f t="shared" si="51"/>
        <v>0</v>
      </c>
      <c r="H162" s="51" t="e">
        <f t="shared" si="43"/>
        <v>#DIV/0!</v>
      </c>
      <c r="I162" s="52" t="e">
        <f>IF(AND(C$7="Y",$B162&lt;=C$4),0,IF(AND(C$7="Y",$B162&gt;C$4),(1-U162)*C$2*D161/12,IF(AND($C$7="N",C$4&gt;0),(1-U162)*D161*C$2/12, (1-U162)*D161*C$2/12)))</f>
        <v>#DIV/0!</v>
      </c>
      <c r="J162" s="57" t="e">
        <f t="shared" si="44"/>
        <v>#DIV/0!</v>
      </c>
      <c r="K162" s="51" t="e">
        <f t="shared" si="45"/>
        <v>#DIV/0!</v>
      </c>
      <c r="L162" s="49" t="e">
        <f>IF(AND(C$7="Y",$B162&lt;=$C$4),0,IF(AND(C$7="N",C$4&gt;0,B162&lt;=C$4),0,U162*D161))</f>
        <v>#DIV/0!</v>
      </c>
      <c r="M162" s="49">
        <f t="shared" si="38"/>
        <v>0</v>
      </c>
      <c r="N162" s="49">
        <f t="shared" si="52"/>
        <v>0</v>
      </c>
      <c r="O162" s="48" t="e">
        <f t="shared" si="46"/>
        <v>#DIV/0!</v>
      </c>
      <c r="P162" s="38" t="e">
        <f>O162*(1/((1+P$9)^(B162/12)))</f>
        <v>#DIV/0!</v>
      </c>
      <c r="Q162" s="53"/>
      <c r="R162" s="53">
        <f t="shared" si="47"/>
        <v>0.12</v>
      </c>
      <c r="S162" s="53">
        <f t="shared" si="48"/>
        <v>1.0596241035318976E-2</v>
      </c>
      <c r="T162" s="53">
        <f t="shared" si="49"/>
        <v>0.05</v>
      </c>
      <c r="U162" s="53">
        <f t="shared" si="50"/>
        <v>4.2653187775606449E-3</v>
      </c>
    </row>
    <row r="163" spans="1:21" x14ac:dyDescent="0.2">
      <c r="A163" s="62"/>
      <c r="B163" s="45">
        <f t="shared" si="39"/>
        <v>152</v>
      </c>
      <c r="C163" s="51" t="e">
        <f>IF(B163&lt;C$4,C$1,D162-L163+N163)</f>
        <v>#DIV/0!</v>
      </c>
      <c r="D163" s="47" t="e">
        <f t="shared" si="40"/>
        <v>#DIV/0!</v>
      </c>
      <c r="E163" s="48">
        <f t="shared" si="41"/>
        <v>0</v>
      </c>
      <c r="F163" s="50">
        <f t="shared" si="42"/>
        <v>0</v>
      </c>
      <c r="G163" s="50">
        <f t="shared" si="51"/>
        <v>0</v>
      </c>
      <c r="H163" s="51" t="e">
        <f t="shared" si="43"/>
        <v>#DIV/0!</v>
      </c>
      <c r="I163" s="52" t="e">
        <f>IF(AND(C$7="Y",$B163&lt;=C$4),0,IF(AND(C$7="Y",$B163&gt;C$4),(1-U163)*C$2*D162/12,IF(AND($C$7="N",C$4&gt;0),(1-U163)*D162*C$2/12, (1-U163)*D162*C$2/12)))</f>
        <v>#DIV/0!</v>
      </c>
      <c r="J163" s="57" t="e">
        <f t="shared" si="44"/>
        <v>#DIV/0!</v>
      </c>
      <c r="K163" s="51" t="e">
        <f t="shared" si="45"/>
        <v>#DIV/0!</v>
      </c>
      <c r="L163" s="49" t="e">
        <f>IF(AND(C$7="Y",$B163&lt;=$C$4),0,IF(AND(C$7="N",C$4&gt;0,B163&lt;=C$4),0,U163*D162))</f>
        <v>#DIV/0!</v>
      </c>
      <c r="M163" s="49">
        <f t="shared" si="38"/>
        <v>0</v>
      </c>
      <c r="N163" s="49">
        <f t="shared" si="52"/>
        <v>0</v>
      </c>
      <c r="O163" s="48" t="e">
        <f t="shared" si="46"/>
        <v>#DIV/0!</v>
      </c>
      <c r="P163" s="38" t="e">
        <f>O163*(1/((1+P$9)^(B163/12)))</f>
        <v>#DIV/0!</v>
      </c>
      <c r="Q163" s="53"/>
      <c r="R163" s="53">
        <f t="shared" si="47"/>
        <v>0.12</v>
      </c>
      <c r="S163" s="53">
        <f t="shared" si="48"/>
        <v>1.0596241035318976E-2</v>
      </c>
      <c r="T163" s="53">
        <f t="shared" si="49"/>
        <v>0.05</v>
      </c>
      <c r="U163" s="53">
        <f t="shared" si="50"/>
        <v>4.2653187775606449E-3</v>
      </c>
    </row>
    <row r="164" spans="1:21" x14ac:dyDescent="0.2">
      <c r="A164" s="62"/>
      <c r="B164" s="45">
        <f t="shared" si="39"/>
        <v>153</v>
      </c>
      <c r="C164" s="51" t="e">
        <f>IF(B164&lt;C$4,C$1,D163-L164+N164)</f>
        <v>#DIV/0!</v>
      </c>
      <c r="D164" s="47" t="e">
        <f t="shared" si="40"/>
        <v>#DIV/0!</v>
      </c>
      <c r="E164" s="48">
        <f t="shared" si="41"/>
        <v>0</v>
      </c>
      <c r="F164" s="50">
        <f t="shared" si="42"/>
        <v>0</v>
      </c>
      <c r="G164" s="50">
        <f t="shared" si="51"/>
        <v>0</v>
      </c>
      <c r="H164" s="51" t="e">
        <f t="shared" si="43"/>
        <v>#DIV/0!</v>
      </c>
      <c r="I164" s="52" t="e">
        <f>IF(AND(C$7="Y",$B164&lt;=C$4),0,IF(AND(C$7="Y",$B164&gt;C$4),(1-U164)*C$2*D163/12,IF(AND($C$7="N",C$4&gt;0),(1-U164)*D163*C$2/12, (1-U164)*D163*C$2/12)))</f>
        <v>#DIV/0!</v>
      </c>
      <c r="J164" s="57" t="e">
        <f t="shared" si="44"/>
        <v>#DIV/0!</v>
      </c>
      <c r="K164" s="51" t="e">
        <f t="shared" si="45"/>
        <v>#DIV/0!</v>
      </c>
      <c r="L164" s="49" t="e">
        <f>IF(AND(C$7="Y",$B164&lt;=$C$4),0,IF(AND(C$7="N",C$4&gt;0,B164&lt;=C$4),0,U164*D163))</f>
        <v>#DIV/0!</v>
      </c>
      <c r="M164" s="49">
        <f t="shared" si="38"/>
        <v>0</v>
      </c>
      <c r="N164" s="49">
        <f t="shared" si="52"/>
        <v>0</v>
      </c>
      <c r="O164" s="48" t="e">
        <f t="shared" si="46"/>
        <v>#DIV/0!</v>
      </c>
      <c r="P164" s="38" t="e">
        <f>O164*(1/((1+P$9)^(B164/12)))</f>
        <v>#DIV/0!</v>
      </c>
      <c r="Q164" s="53"/>
      <c r="R164" s="53">
        <f t="shared" si="47"/>
        <v>0.12</v>
      </c>
      <c r="S164" s="53">
        <f t="shared" si="48"/>
        <v>1.0596241035318976E-2</v>
      </c>
      <c r="T164" s="53">
        <f t="shared" si="49"/>
        <v>0.05</v>
      </c>
      <c r="U164" s="53">
        <f t="shared" si="50"/>
        <v>4.2653187775606449E-3</v>
      </c>
    </row>
    <row r="165" spans="1:21" x14ac:dyDescent="0.2">
      <c r="A165" s="62"/>
      <c r="B165" s="45">
        <f t="shared" si="39"/>
        <v>154</v>
      </c>
      <c r="C165" s="51" t="e">
        <f>IF(B165&lt;C$4,C$1,D164-L165+N165)</f>
        <v>#DIV/0!</v>
      </c>
      <c r="D165" s="47" t="e">
        <f t="shared" si="40"/>
        <v>#DIV/0!</v>
      </c>
      <c r="E165" s="48">
        <f t="shared" si="41"/>
        <v>0</v>
      </c>
      <c r="F165" s="50">
        <f t="shared" si="42"/>
        <v>0</v>
      </c>
      <c r="G165" s="50">
        <f t="shared" si="51"/>
        <v>0</v>
      </c>
      <c r="H165" s="51" t="e">
        <f t="shared" si="43"/>
        <v>#DIV/0!</v>
      </c>
      <c r="I165" s="52" t="e">
        <f>IF(AND(C$7="Y",$B165&lt;=C$4),0,IF(AND(C$7="Y",$B165&gt;C$4),(1-U165)*C$2*D164/12,IF(AND($C$7="N",C$4&gt;0),(1-U165)*D164*C$2/12, (1-U165)*D164*C$2/12)))</f>
        <v>#DIV/0!</v>
      </c>
      <c r="J165" s="57" t="e">
        <f t="shared" si="44"/>
        <v>#DIV/0!</v>
      </c>
      <c r="K165" s="51" t="e">
        <f t="shared" si="45"/>
        <v>#DIV/0!</v>
      </c>
      <c r="L165" s="49" t="e">
        <f>IF(AND(C$7="Y",$B165&lt;=$C$4),0,IF(AND(C$7="N",C$4&gt;0,B165&lt;=C$4),0,U165*D164))</f>
        <v>#DIV/0!</v>
      </c>
      <c r="M165" s="49">
        <f t="shared" si="38"/>
        <v>0</v>
      </c>
      <c r="N165" s="49">
        <f t="shared" si="52"/>
        <v>0</v>
      </c>
      <c r="O165" s="48" t="e">
        <f t="shared" si="46"/>
        <v>#DIV/0!</v>
      </c>
      <c r="P165" s="38" t="e">
        <f>O165*(1/((1+P$9)^(B165/12)))</f>
        <v>#DIV/0!</v>
      </c>
      <c r="Q165" s="53"/>
      <c r="R165" s="53">
        <f t="shared" si="47"/>
        <v>0.12</v>
      </c>
      <c r="S165" s="53">
        <f t="shared" si="48"/>
        <v>1.0596241035318976E-2</v>
      </c>
      <c r="T165" s="53">
        <f t="shared" si="49"/>
        <v>0.05</v>
      </c>
      <c r="U165" s="53">
        <f t="shared" si="50"/>
        <v>4.2653187775606449E-3</v>
      </c>
    </row>
    <row r="166" spans="1:21" x14ac:dyDescent="0.2">
      <c r="A166" s="62"/>
      <c r="B166" s="45">
        <f t="shared" si="39"/>
        <v>155</v>
      </c>
      <c r="C166" s="51" t="e">
        <f>IF(B166&lt;C$4,C$1,D165-L166+N166)</f>
        <v>#DIV/0!</v>
      </c>
      <c r="D166" s="47" t="e">
        <f t="shared" si="40"/>
        <v>#DIV/0!</v>
      </c>
      <c r="E166" s="48">
        <f t="shared" si="41"/>
        <v>0</v>
      </c>
      <c r="F166" s="50">
        <f t="shared" si="42"/>
        <v>0</v>
      </c>
      <c r="G166" s="50">
        <f t="shared" si="51"/>
        <v>0</v>
      </c>
      <c r="H166" s="51" t="e">
        <f t="shared" si="43"/>
        <v>#DIV/0!</v>
      </c>
      <c r="I166" s="52" t="e">
        <f>IF(AND(C$7="Y",$B166&lt;=C$4),0,IF(AND(C$7="Y",$B166&gt;C$4),(1-U166)*C$2*D165/12,IF(AND($C$7="N",C$4&gt;0),(1-U166)*D165*C$2/12, (1-U166)*D165*C$2/12)))</f>
        <v>#DIV/0!</v>
      </c>
      <c r="J166" s="57" t="e">
        <f t="shared" si="44"/>
        <v>#DIV/0!</v>
      </c>
      <c r="K166" s="51" t="e">
        <f t="shared" si="45"/>
        <v>#DIV/0!</v>
      </c>
      <c r="L166" s="49" t="e">
        <f>IF(AND(C$7="Y",$B166&lt;=$C$4),0,IF(AND(C$7="N",C$4&gt;0,B166&lt;=C$4),0,U166*D165))</f>
        <v>#DIV/0!</v>
      </c>
      <c r="M166" s="49">
        <f t="shared" si="38"/>
        <v>0</v>
      </c>
      <c r="N166" s="49">
        <f t="shared" si="52"/>
        <v>0</v>
      </c>
      <c r="O166" s="48" t="e">
        <f t="shared" si="46"/>
        <v>#DIV/0!</v>
      </c>
      <c r="P166" s="38" t="e">
        <f>O166*(1/((1+P$9)^(B166/12)))</f>
        <v>#DIV/0!</v>
      </c>
      <c r="Q166" s="53"/>
      <c r="R166" s="53">
        <f t="shared" si="47"/>
        <v>0.12</v>
      </c>
      <c r="S166" s="53">
        <f t="shared" si="48"/>
        <v>1.0596241035318976E-2</v>
      </c>
      <c r="T166" s="53">
        <f t="shared" si="49"/>
        <v>0.05</v>
      </c>
      <c r="U166" s="53">
        <f t="shared" si="50"/>
        <v>4.2653187775606449E-3</v>
      </c>
    </row>
    <row r="167" spans="1:21" x14ac:dyDescent="0.2">
      <c r="A167" s="62"/>
      <c r="B167" s="45">
        <f t="shared" si="39"/>
        <v>156</v>
      </c>
      <c r="C167" s="51" t="e">
        <f>IF(B167&lt;C$4,C$1,D166-L167+N167)</f>
        <v>#DIV/0!</v>
      </c>
      <c r="D167" s="47" t="e">
        <f t="shared" si="40"/>
        <v>#DIV/0!</v>
      </c>
      <c r="E167" s="48">
        <f t="shared" si="41"/>
        <v>0</v>
      </c>
      <c r="F167" s="50">
        <f t="shared" si="42"/>
        <v>0</v>
      </c>
      <c r="G167" s="50">
        <f t="shared" si="51"/>
        <v>0</v>
      </c>
      <c r="H167" s="51" t="e">
        <f t="shared" si="43"/>
        <v>#DIV/0!</v>
      </c>
      <c r="I167" s="52" t="e">
        <f>IF(AND(C$7="Y",$B167&lt;=C$4),0,IF(AND(C$7="Y",$B167&gt;C$4),(1-U167)*C$2*D166/12,IF(AND($C$7="N",C$4&gt;0),(1-U167)*D166*C$2/12, (1-U167)*D166*C$2/12)))</f>
        <v>#DIV/0!</v>
      </c>
      <c r="J167" s="57" t="e">
        <f t="shared" si="44"/>
        <v>#DIV/0!</v>
      </c>
      <c r="K167" s="51" t="e">
        <f t="shared" si="45"/>
        <v>#DIV/0!</v>
      </c>
      <c r="L167" s="49" t="e">
        <f>IF(AND(C$7="Y",$B167&lt;=$C$4),0,IF(AND(C$7="N",C$4&gt;0,B167&lt;=C$4),0,U167*D166))</f>
        <v>#DIV/0!</v>
      </c>
      <c r="M167" s="49">
        <f t="shared" si="38"/>
        <v>0</v>
      </c>
      <c r="N167" s="49">
        <f t="shared" si="52"/>
        <v>0</v>
      </c>
      <c r="O167" s="48" t="e">
        <f t="shared" si="46"/>
        <v>#DIV/0!</v>
      </c>
      <c r="P167" s="38" t="e">
        <f>O167*(1/((1+P$9)^(B167/12)))</f>
        <v>#DIV/0!</v>
      </c>
      <c r="Q167" s="53"/>
      <c r="R167" s="53">
        <f t="shared" si="47"/>
        <v>0.12</v>
      </c>
      <c r="S167" s="53">
        <f t="shared" si="48"/>
        <v>1.0596241035318976E-2</v>
      </c>
      <c r="T167" s="53">
        <f t="shared" si="49"/>
        <v>0.05</v>
      </c>
      <c r="U167" s="53">
        <f t="shared" si="50"/>
        <v>4.2653187775606449E-3</v>
      </c>
    </row>
    <row r="168" spans="1:21" x14ac:dyDescent="0.2">
      <c r="A168" s="62"/>
      <c r="B168" s="45">
        <f t="shared" si="39"/>
        <v>157</v>
      </c>
      <c r="C168" s="51" t="e">
        <f>IF(B168&lt;C$4,C$1,D167-L168+N168)</f>
        <v>#DIV/0!</v>
      </c>
      <c r="D168" s="47" t="e">
        <f t="shared" si="40"/>
        <v>#DIV/0!</v>
      </c>
      <c r="E168" s="48">
        <f t="shared" si="41"/>
        <v>0</v>
      </c>
      <c r="F168" s="50">
        <f t="shared" si="42"/>
        <v>0</v>
      </c>
      <c r="G168" s="50">
        <f t="shared" si="51"/>
        <v>0</v>
      </c>
      <c r="H168" s="51" t="e">
        <f t="shared" si="43"/>
        <v>#DIV/0!</v>
      </c>
      <c r="I168" s="52" t="e">
        <f>IF(AND(C$7="Y",$B168&lt;=C$4),0,IF(AND(C$7="Y",$B168&gt;C$4),(1-U168)*C$2*D167/12,IF(AND($C$7="N",C$4&gt;0),(1-U168)*D167*C$2/12, (1-U168)*D167*C$2/12)))</f>
        <v>#DIV/0!</v>
      </c>
      <c r="J168" s="57" t="e">
        <f t="shared" si="44"/>
        <v>#DIV/0!</v>
      </c>
      <c r="K168" s="51" t="e">
        <f t="shared" si="45"/>
        <v>#DIV/0!</v>
      </c>
      <c r="L168" s="49" t="e">
        <f>IF(AND(C$7="Y",$B168&lt;=$C$4),0,IF(AND(C$7="N",C$4&gt;0,B168&lt;=C$4),0,U168*D167))</f>
        <v>#DIV/0!</v>
      </c>
      <c r="M168" s="49">
        <f t="shared" si="38"/>
        <v>0</v>
      </c>
      <c r="N168" s="49">
        <f t="shared" si="52"/>
        <v>0</v>
      </c>
      <c r="O168" s="48" t="e">
        <f t="shared" si="46"/>
        <v>#DIV/0!</v>
      </c>
      <c r="P168" s="38" t="e">
        <f>O168*(1/((1+P$9)^(B168/12)))</f>
        <v>#DIV/0!</v>
      </c>
      <c r="Q168" s="53"/>
      <c r="R168" s="53">
        <f t="shared" si="47"/>
        <v>0.12</v>
      </c>
      <c r="S168" s="53">
        <f t="shared" si="48"/>
        <v>1.0596241035318976E-2</v>
      </c>
      <c r="T168" s="53">
        <f t="shared" si="49"/>
        <v>0.05</v>
      </c>
      <c r="U168" s="53">
        <f t="shared" si="50"/>
        <v>4.2653187775606449E-3</v>
      </c>
    </row>
    <row r="169" spans="1:21" x14ac:dyDescent="0.2">
      <c r="A169" s="62"/>
      <c r="B169" s="45">
        <f t="shared" si="39"/>
        <v>158</v>
      </c>
      <c r="C169" s="51" t="e">
        <f>IF(B169&lt;C$4,C$1,D168-L169+N169)</f>
        <v>#DIV/0!</v>
      </c>
      <c r="D169" s="47" t="e">
        <f t="shared" si="40"/>
        <v>#DIV/0!</v>
      </c>
      <c r="E169" s="48">
        <f t="shared" si="41"/>
        <v>0</v>
      </c>
      <c r="F169" s="50">
        <f t="shared" si="42"/>
        <v>0</v>
      </c>
      <c r="G169" s="50">
        <f t="shared" si="51"/>
        <v>0</v>
      </c>
      <c r="H169" s="51" t="e">
        <f t="shared" si="43"/>
        <v>#DIV/0!</v>
      </c>
      <c r="I169" s="52" t="e">
        <f>IF(AND(C$7="Y",$B169&lt;=C$4),0,IF(AND(C$7="Y",$B169&gt;C$4),(1-U169)*C$2*D168/12,IF(AND($C$7="N",C$4&gt;0),(1-U169)*D168*C$2/12, (1-U169)*D168*C$2/12)))</f>
        <v>#DIV/0!</v>
      </c>
      <c r="J169" s="57" t="e">
        <f t="shared" si="44"/>
        <v>#DIV/0!</v>
      </c>
      <c r="K169" s="51" t="e">
        <f t="shared" si="45"/>
        <v>#DIV/0!</v>
      </c>
      <c r="L169" s="49" t="e">
        <f>IF(AND(C$7="Y",$B169&lt;=$C$4),0,IF(AND(C$7="N",C$4&gt;0,B169&lt;=C$4),0,U169*D168))</f>
        <v>#DIV/0!</v>
      </c>
      <c r="M169" s="49">
        <f t="shared" si="38"/>
        <v>0</v>
      </c>
      <c r="N169" s="49">
        <f t="shared" si="52"/>
        <v>0</v>
      </c>
      <c r="O169" s="48" t="e">
        <f t="shared" si="46"/>
        <v>#DIV/0!</v>
      </c>
      <c r="P169" s="38" t="e">
        <f>O169*(1/((1+P$9)^(B169/12)))</f>
        <v>#DIV/0!</v>
      </c>
      <c r="Q169" s="53"/>
      <c r="R169" s="53">
        <f t="shared" si="47"/>
        <v>0.12</v>
      </c>
      <c r="S169" s="53">
        <f t="shared" si="48"/>
        <v>1.0596241035318976E-2</v>
      </c>
      <c r="T169" s="53">
        <f t="shared" si="49"/>
        <v>0.05</v>
      </c>
      <c r="U169" s="53">
        <f t="shared" si="50"/>
        <v>4.2653187775606449E-3</v>
      </c>
    </row>
    <row r="170" spans="1:21" x14ac:dyDescent="0.2">
      <c r="A170" s="62"/>
      <c r="B170" s="45">
        <f t="shared" si="39"/>
        <v>159</v>
      </c>
      <c r="C170" s="51" t="e">
        <f>IF(B170&lt;C$4,C$1,D169-L170+N170)</f>
        <v>#DIV/0!</v>
      </c>
      <c r="D170" s="47" t="e">
        <f t="shared" si="40"/>
        <v>#DIV/0!</v>
      </c>
      <c r="E170" s="48">
        <f t="shared" si="41"/>
        <v>0</v>
      </c>
      <c r="F170" s="50">
        <f t="shared" si="42"/>
        <v>0</v>
      </c>
      <c r="G170" s="50">
        <f t="shared" si="51"/>
        <v>0</v>
      </c>
      <c r="H170" s="51" t="e">
        <f t="shared" si="43"/>
        <v>#DIV/0!</v>
      </c>
      <c r="I170" s="52" t="e">
        <f>IF(AND(C$7="Y",$B170&lt;=C$4),0,IF(AND(C$7="Y",$B170&gt;C$4),(1-U170)*C$2*D169/12,IF(AND($C$7="N",C$4&gt;0),(1-U170)*D169*C$2/12, (1-U170)*D169*C$2/12)))</f>
        <v>#DIV/0!</v>
      </c>
      <c r="J170" s="57" t="e">
        <f t="shared" si="44"/>
        <v>#DIV/0!</v>
      </c>
      <c r="K170" s="51" t="e">
        <f t="shared" si="45"/>
        <v>#DIV/0!</v>
      </c>
      <c r="L170" s="49" t="e">
        <f>IF(AND(C$7="Y",$B170&lt;=$C$4),0,IF(AND(C$7="N",C$4&gt;0,B170&lt;=C$4),0,U170*D169))</f>
        <v>#DIV/0!</v>
      </c>
      <c r="M170" s="49">
        <f t="shared" ref="M170:M232" si="53">IFERROR(L166*-1,0)</f>
        <v>0</v>
      </c>
      <c r="N170" s="49">
        <f t="shared" si="52"/>
        <v>0</v>
      </c>
      <c r="O170" s="48" t="e">
        <f t="shared" si="46"/>
        <v>#DIV/0!</v>
      </c>
      <c r="P170" s="38" t="e">
        <f>O170*(1/((1+P$9)^(B170/12)))</f>
        <v>#DIV/0!</v>
      </c>
      <c r="Q170" s="53"/>
      <c r="R170" s="53">
        <f t="shared" si="47"/>
        <v>0.12</v>
      </c>
      <c r="S170" s="53">
        <f t="shared" si="48"/>
        <v>1.0596241035318976E-2</v>
      </c>
      <c r="T170" s="53">
        <f t="shared" si="49"/>
        <v>0.05</v>
      </c>
      <c r="U170" s="53">
        <f t="shared" si="50"/>
        <v>4.2653187775606449E-3</v>
      </c>
    </row>
    <row r="171" spans="1:21" x14ac:dyDescent="0.2">
      <c r="A171" s="62"/>
      <c r="B171" s="45">
        <f t="shared" si="39"/>
        <v>160</v>
      </c>
      <c r="C171" s="51" t="e">
        <f>IF(B171&lt;C$4,C$1,D170-L171+N171)</f>
        <v>#DIV/0!</v>
      </c>
      <c r="D171" s="47" t="e">
        <f t="shared" si="40"/>
        <v>#DIV/0!</v>
      </c>
      <c r="E171" s="48">
        <f t="shared" si="41"/>
        <v>0</v>
      </c>
      <c r="F171" s="50">
        <f t="shared" si="42"/>
        <v>0</v>
      </c>
      <c r="G171" s="50">
        <f t="shared" si="51"/>
        <v>0</v>
      </c>
      <c r="H171" s="51" t="e">
        <f t="shared" si="43"/>
        <v>#DIV/0!</v>
      </c>
      <c r="I171" s="52" t="e">
        <f>IF(AND(C$7="Y",$B171&lt;=C$4),0,IF(AND(C$7="Y",$B171&gt;C$4),(1-U171)*C$2*D170/12,IF(AND($C$7="N",C$4&gt;0),(1-U171)*D170*C$2/12, (1-U171)*D170*C$2/12)))</f>
        <v>#DIV/0!</v>
      </c>
      <c r="J171" s="57" t="e">
        <f t="shared" si="44"/>
        <v>#DIV/0!</v>
      </c>
      <c r="K171" s="51" t="e">
        <f t="shared" si="45"/>
        <v>#DIV/0!</v>
      </c>
      <c r="L171" s="49" t="e">
        <f>IF(AND(C$7="Y",$B171&lt;=$C$4),0,IF(AND(C$7="N",C$4&gt;0,B171&lt;=C$4),0,U171*D170))</f>
        <v>#DIV/0!</v>
      </c>
      <c r="M171" s="49">
        <f t="shared" si="53"/>
        <v>0</v>
      </c>
      <c r="N171" s="49">
        <f t="shared" si="52"/>
        <v>0</v>
      </c>
      <c r="O171" s="48" t="e">
        <f t="shared" si="46"/>
        <v>#DIV/0!</v>
      </c>
      <c r="P171" s="38" t="e">
        <f>O171*(1/((1+P$9)^(B171/12)))</f>
        <v>#DIV/0!</v>
      </c>
      <c r="Q171" s="53"/>
      <c r="R171" s="53">
        <f t="shared" si="47"/>
        <v>0.12</v>
      </c>
      <c r="S171" s="53">
        <f t="shared" si="48"/>
        <v>1.0596241035318976E-2</v>
      </c>
      <c r="T171" s="53">
        <f t="shared" si="49"/>
        <v>0.05</v>
      </c>
      <c r="U171" s="53">
        <f t="shared" si="50"/>
        <v>4.2653187775606449E-3</v>
      </c>
    </row>
    <row r="172" spans="1:21" x14ac:dyDescent="0.2">
      <c r="A172" s="62"/>
      <c r="B172" s="45">
        <f t="shared" si="39"/>
        <v>161</v>
      </c>
      <c r="C172" s="51" t="e">
        <f>IF(B172&lt;C$4,C$1,D171-L172+N172)</f>
        <v>#DIV/0!</v>
      </c>
      <c r="D172" s="47" t="e">
        <f t="shared" si="40"/>
        <v>#DIV/0!</v>
      </c>
      <c r="E172" s="48">
        <f t="shared" si="41"/>
        <v>0</v>
      </c>
      <c r="F172" s="50">
        <f t="shared" si="42"/>
        <v>0</v>
      </c>
      <c r="G172" s="50">
        <f t="shared" si="51"/>
        <v>0</v>
      </c>
      <c r="H172" s="51" t="e">
        <f t="shared" si="43"/>
        <v>#DIV/0!</v>
      </c>
      <c r="I172" s="52" t="e">
        <f>IF(AND(C$7="Y",$B172&lt;=C$4),0,IF(AND(C$7="Y",$B172&gt;C$4),(1-U172)*C$2*D171/12,IF(AND($C$7="N",C$4&gt;0),(1-U172)*D171*C$2/12, (1-U172)*D171*C$2/12)))</f>
        <v>#DIV/0!</v>
      </c>
      <c r="J172" s="57" t="e">
        <f t="shared" si="44"/>
        <v>#DIV/0!</v>
      </c>
      <c r="K172" s="51" t="e">
        <f t="shared" si="45"/>
        <v>#DIV/0!</v>
      </c>
      <c r="L172" s="49" t="e">
        <f>IF(AND(C$7="Y",$B172&lt;=$C$4),0,IF(AND(C$7="N",C$4&gt;0,B172&lt;=C$4),0,U172*D171))</f>
        <v>#DIV/0!</v>
      </c>
      <c r="M172" s="49">
        <f t="shared" si="53"/>
        <v>0</v>
      </c>
      <c r="N172" s="49">
        <f t="shared" si="52"/>
        <v>0</v>
      </c>
      <c r="O172" s="48" t="e">
        <f t="shared" si="46"/>
        <v>#DIV/0!</v>
      </c>
      <c r="P172" s="38" t="e">
        <f>O172*(1/((1+P$9)^(B172/12)))</f>
        <v>#DIV/0!</v>
      </c>
      <c r="Q172" s="53"/>
      <c r="R172" s="53">
        <f t="shared" si="47"/>
        <v>0.12</v>
      </c>
      <c r="S172" s="53">
        <f t="shared" si="48"/>
        <v>1.0596241035318976E-2</v>
      </c>
      <c r="T172" s="53">
        <f t="shared" si="49"/>
        <v>0.05</v>
      </c>
      <c r="U172" s="53">
        <f t="shared" si="50"/>
        <v>4.2653187775606449E-3</v>
      </c>
    </row>
    <row r="173" spans="1:21" x14ac:dyDescent="0.2">
      <c r="A173" s="62"/>
      <c r="B173" s="45">
        <f t="shared" si="39"/>
        <v>162</v>
      </c>
      <c r="C173" s="51" t="e">
        <f>IF(B173&lt;C$4,C$1,D172-L173+N173)</f>
        <v>#DIV/0!</v>
      </c>
      <c r="D173" s="47" t="e">
        <f t="shared" si="40"/>
        <v>#DIV/0!</v>
      </c>
      <c r="E173" s="48">
        <f t="shared" si="41"/>
        <v>0</v>
      </c>
      <c r="F173" s="50">
        <f t="shared" si="42"/>
        <v>0</v>
      </c>
      <c r="G173" s="50">
        <f t="shared" si="51"/>
        <v>0</v>
      </c>
      <c r="H173" s="51" t="e">
        <f t="shared" si="43"/>
        <v>#DIV/0!</v>
      </c>
      <c r="I173" s="52" t="e">
        <f>IF(AND(C$7="Y",$B173&lt;=C$4),0,IF(AND(C$7="Y",$B173&gt;C$4),(1-U173)*C$2*D172/12,IF(AND($C$7="N",C$4&gt;0),(1-U173)*D172*C$2/12, (1-U173)*D172*C$2/12)))</f>
        <v>#DIV/0!</v>
      </c>
      <c r="J173" s="57" t="e">
        <f t="shared" si="44"/>
        <v>#DIV/0!</v>
      </c>
      <c r="K173" s="51" t="e">
        <f t="shared" si="45"/>
        <v>#DIV/0!</v>
      </c>
      <c r="L173" s="49" t="e">
        <f>IF(AND(C$7="Y",$B173&lt;=$C$4),0,IF(AND(C$7="N",C$4&gt;0,B173&lt;=C$4),0,U173*D172))</f>
        <v>#DIV/0!</v>
      </c>
      <c r="M173" s="49">
        <f t="shared" si="53"/>
        <v>0</v>
      </c>
      <c r="N173" s="49">
        <f t="shared" si="52"/>
        <v>0</v>
      </c>
      <c r="O173" s="48" t="e">
        <f t="shared" si="46"/>
        <v>#DIV/0!</v>
      </c>
      <c r="P173" s="38" t="e">
        <f>O173*(1/((1+P$9)^(B173/12)))</f>
        <v>#DIV/0!</v>
      </c>
      <c r="Q173" s="53"/>
      <c r="R173" s="53">
        <f t="shared" si="47"/>
        <v>0.12</v>
      </c>
      <c r="S173" s="53">
        <f t="shared" si="48"/>
        <v>1.0596241035318976E-2</v>
      </c>
      <c r="T173" s="53">
        <f t="shared" si="49"/>
        <v>0.05</v>
      </c>
      <c r="U173" s="53">
        <f t="shared" si="50"/>
        <v>4.2653187775606449E-3</v>
      </c>
    </row>
    <row r="174" spans="1:21" x14ac:dyDescent="0.2">
      <c r="A174" s="62"/>
      <c r="B174" s="45">
        <f t="shared" si="39"/>
        <v>163</v>
      </c>
      <c r="C174" s="51" t="e">
        <f>IF(B174&lt;C$4,C$1,D173-L174+N174)</f>
        <v>#DIV/0!</v>
      </c>
      <c r="D174" s="47" t="e">
        <f t="shared" si="40"/>
        <v>#DIV/0!</v>
      </c>
      <c r="E174" s="48">
        <f t="shared" si="41"/>
        <v>0</v>
      </c>
      <c r="F174" s="50">
        <f t="shared" si="42"/>
        <v>0</v>
      </c>
      <c r="G174" s="50">
        <f t="shared" si="51"/>
        <v>0</v>
      </c>
      <c r="H174" s="51" t="e">
        <f t="shared" si="43"/>
        <v>#DIV/0!</v>
      </c>
      <c r="I174" s="52" t="e">
        <f>IF(AND(C$7="Y",$B174&lt;=C$4),0,IF(AND(C$7="Y",$B174&gt;C$4),(1-U174)*C$2*D173/12,IF(AND($C$7="N",C$4&gt;0),(1-U174)*D173*C$2/12, (1-U174)*D173*C$2/12)))</f>
        <v>#DIV/0!</v>
      </c>
      <c r="J174" s="57" t="e">
        <f t="shared" si="44"/>
        <v>#DIV/0!</v>
      </c>
      <c r="K174" s="51" t="e">
        <f t="shared" si="45"/>
        <v>#DIV/0!</v>
      </c>
      <c r="L174" s="49" t="e">
        <f>IF(AND(C$7="Y",$B174&lt;=$C$4),0,IF(AND(C$7="N",C$4&gt;0,B174&lt;=C$4),0,U174*D173))</f>
        <v>#DIV/0!</v>
      </c>
      <c r="M174" s="49">
        <f t="shared" si="53"/>
        <v>0</v>
      </c>
      <c r="N174" s="49">
        <f t="shared" si="52"/>
        <v>0</v>
      </c>
      <c r="O174" s="48" t="e">
        <f t="shared" si="46"/>
        <v>#DIV/0!</v>
      </c>
      <c r="P174" s="38" t="e">
        <f>O174*(1/((1+P$9)^(B174/12)))</f>
        <v>#DIV/0!</v>
      </c>
      <c r="Q174" s="53"/>
      <c r="R174" s="53">
        <f t="shared" si="47"/>
        <v>0.12</v>
      </c>
      <c r="S174" s="53">
        <f t="shared" si="48"/>
        <v>1.0596241035318976E-2</v>
      </c>
      <c r="T174" s="53">
        <f t="shared" si="49"/>
        <v>0.05</v>
      </c>
      <c r="U174" s="53">
        <f t="shared" si="50"/>
        <v>4.2653187775606449E-3</v>
      </c>
    </row>
    <row r="175" spans="1:21" x14ac:dyDescent="0.2">
      <c r="A175" s="62"/>
      <c r="B175" s="45">
        <f t="shared" si="39"/>
        <v>164</v>
      </c>
      <c r="C175" s="51" t="e">
        <f>IF(B175&lt;C$4,C$1,D174-L175+N175)</f>
        <v>#DIV/0!</v>
      </c>
      <c r="D175" s="47" t="e">
        <f t="shared" si="40"/>
        <v>#DIV/0!</v>
      </c>
      <c r="E175" s="48">
        <f t="shared" si="41"/>
        <v>0</v>
      </c>
      <c r="F175" s="50">
        <f t="shared" si="42"/>
        <v>0</v>
      </c>
      <c r="G175" s="50">
        <f t="shared" si="51"/>
        <v>0</v>
      </c>
      <c r="H175" s="51" t="e">
        <f t="shared" si="43"/>
        <v>#DIV/0!</v>
      </c>
      <c r="I175" s="52" t="e">
        <f>IF(AND(C$7="Y",$B175&lt;=C$4),0,IF(AND(C$7="Y",$B175&gt;C$4),(1-U175)*C$2*D174/12,IF(AND($C$7="N",C$4&gt;0),(1-U175)*D174*C$2/12, (1-U175)*D174*C$2/12)))</f>
        <v>#DIV/0!</v>
      </c>
      <c r="J175" s="57" t="e">
        <f t="shared" si="44"/>
        <v>#DIV/0!</v>
      </c>
      <c r="K175" s="51" t="e">
        <f t="shared" si="45"/>
        <v>#DIV/0!</v>
      </c>
      <c r="L175" s="49" t="e">
        <f>IF(AND(C$7="Y",$B175&lt;=$C$4),0,IF(AND(C$7="N",C$4&gt;0,B175&lt;=C$4),0,U175*D174))</f>
        <v>#DIV/0!</v>
      </c>
      <c r="M175" s="49">
        <f t="shared" si="53"/>
        <v>0</v>
      </c>
      <c r="N175" s="49">
        <f t="shared" si="52"/>
        <v>0</v>
      </c>
      <c r="O175" s="48" t="e">
        <f t="shared" si="46"/>
        <v>#DIV/0!</v>
      </c>
      <c r="P175" s="38" t="e">
        <f>O175*(1/((1+P$9)^(B175/12)))</f>
        <v>#DIV/0!</v>
      </c>
      <c r="Q175" s="53"/>
      <c r="R175" s="53">
        <f t="shared" si="47"/>
        <v>0.12</v>
      </c>
      <c r="S175" s="53">
        <f t="shared" si="48"/>
        <v>1.0596241035318976E-2</v>
      </c>
      <c r="T175" s="53">
        <f t="shared" si="49"/>
        <v>0.05</v>
      </c>
      <c r="U175" s="53">
        <f t="shared" si="50"/>
        <v>4.2653187775606449E-3</v>
      </c>
    </row>
    <row r="176" spans="1:21" x14ac:dyDescent="0.2">
      <c r="A176" s="62"/>
      <c r="B176" s="45">
        <f t="shared" si="39"/>
        <v>165</v>
      </c>
      <c r="C176" s="51" t="e">
        <f>IF(B176&lt;C$4,C$1,D175-L176+N176)</f>
        <v>#DIV/0!</v>
      </c>
      <c r="D176" s="47" t="e">
        <f t="shared" si="40"/>
        <v>#DIV/0!</v>
      </c>
      <c r="E176" s="48">
        <f t="shared" si="41"/>
        <v>0</v>
      </c>
      <c r="F176" s="50">
        <f t="shared" si="42"/>
        <v>0</v>
      </c>
      <c r="G176" s="50">
        <f t="shared" si="51"/>
        <v>0</v>
      </c>
      <c r="H176" s="51" t="e">
        <f t="shared" si="43"/>
        <v>#DIV/0!</v>
      </c>
      <c r="I176" s="52" t="e">
        <f>IF(AND(C$7="Y",$B176&lt;=C$4),0,IF(AND(C$7="Y",$B176&gt;C$4),(1-U176)*C$2*D175/12,IF(AND($C$7="N",C$4&gt;0),(1-U176)*D175*C$2/12, (1-U176)*D175*C$2/12)))</f>
        <v>#DIV/0!</v>
      </c>
      <c r="J176" s="57" t="e">
        <f t="shared" si="44"/>
        <v>#DIV/0!</v>
      </c>
      <c r="K176" s="51" t="e">
        <f t="shared" si="45"/>
        <v>#DIV/0!</v>
      </c>
      <c r="L176" s="49" t="e">
        <f>IF(AND(C$7="Y",$B176&lt;=$C$4),0,IF(AND(C$7="N",C$4&gt;0,B176&lt;=C$4),0,U176*D175))</f>
        <v>#DIV/0!</v>
      </c>
      <c r="M176" s="49">
        <f t="shared" si="53"/>
        <v>0</v>
      </c>
      <c r="N176" s="49">
        <f t="shared" si="52"/>
        <v>0</v>
      </c>
      <c r="O176" s="48" t="e">
        <f t="shared" si="46"/>
        <v>#DIV/0!</v>
      </c>
      <c r="P176" s="38" t="e">
        <f>O176*(1/((1+P$9)^(B176/12)))</f>
        <v>#DIV/0!</v>
      </c>
      <c r="Q176" s="53"/>
      <c r="R176" s="53">
        <f t="shared" si="47"/>
        <v>0.12</v>
      </c>
      <c r="S176" s="53">
        <f t="shared" si="48"/>
        <v>1.0596241035318976E-2</v>
      </c>
      <c r="T176" s="53">
        <f t="shared" si="49"/>
        <v>0.05</v>
      </c>
      <c r="U176" s="53">
        <f t="shared" si="50"/>
        <v>4.2653187775606449E-3</v>
      </c>
    </row>
    <row r="177" spans="1:21" x14ac:dyDescent="0.2">
      <c r="A177" s="62"/>
      <c r="B177" s="45">
        <f t="shared" si="39"/>
        <v>166</v>
      </c>
      <c r="C177" s="51" t="e">
        <f>IF(B177&lt;C$4,C$1,D176-L177+N177)</f>
        <v>#DIV/0!</v>
      </c>
      <c r="D177" s="47" t="e">
        <f t="shared" si="40"/>
        <v>#DIV/0!</v>
      </c>
      <c r="E177" s="48">
        <f t="shared" si="41"/>
        <v>0</v>
      </c>
      <c r="F177" s="50">
        <f t="shared" si="42"/>
        <v>0</v>
      </c>
      <c r="G177" s="50">
        <f t="shared" si="51"/>
        <v>0</v>
      </c>
      <c r="H177" s="51" t="e">
        <f t="shared" si="43"/>
        <v>#DIV/0!</v>
      </c>
      <c r="I177" s="52" t="e">
        <f>IF(AND(C$7="Y",$B177&lt;=C$4),0,IF(AND(C$7="Y",$B177&gt;C$4),(1-U177)*C$2*D176/12,IF(AND($C$7="N",C$4&gt;0),(1-U177)*D176*C$2/12, (1-U177)*D176*C$2/12)))</f>
        <v>#DIV/0!</v>
      </c>
      <c r="J177" s="57" t="e">
        <f t="shared" si="44"/>
        <v>#DIV/0!</v>
      </c>
      <c r="K177" s="51" t="e">
        <f t="shared" si="45"/>
        <v>#DIV/0!</v>
      </c>
      <c r="L177" s="49" t="e">
        <f>IF(AND(C$7="Y",$B177&lt;=$C$4),0,IF(AND(C$7="N",C$4&gt;0,B177&lt;=C$4),0,U177*D176))</f>
        <v>#DIV/0!</v>
      </c>
      <c r="M177" s="49">
        <f t="shared" si="53"/>
        <v>0</v>
      </c>
      <c r="N177" s="49">
        <f t="shared" si="52"/>
        <v>0</v>
      </c>
      <c r="O177" s="48" t="e">
        <f t="shared" si="46"/>
        <v>#DIV/0!</v>
      </c>
      <c r="P177" s="38" t="e">
        <f>O177*(1/((1+P$9)^(B177/12)))</f>
        <v>#DIV/0!</v>
      </c>
      <c r="Q177" s="53"/>
      <c r="R177" s="53">
        <f t="shared" si="47"/>
        <v>0.12</v>
      </c>
      <c r="S177" s="53">
        <f t="shared" si="48"/>
        <v>1.0596241035318976E-2</v>
      </c>
      <c r="T177" s="53">
        <f t="shared" si="49"/>
        <v>0.05</v>
      </c>
      <c r="U177" s="53">
        <f t="shared" si="50"/>
        <v>4.2653187775606449E-3</v>
      </c>
    </row>
    <row r="178" spans="1:21" x14ac:dyDescent="0.2">
      <c r="A178" s="62"/>
      <c r="B178" s="45">
        <f t="shared" si="39"/>
        <v>167</v>
      </c>
      <c r="C178" s="51" t="e">
        <f>IF(B178&lt;C$4,C$1,D177-L178+N178)</f>
        <v>#DIV/0!</v>
      </c>
      <c r="D178" s="47" t="e">
        <f t="shared" si="40"/>
        <v>#DIV/0!</v>
      </c>
      <c r="E178" s="48">
        <f t="shared" si="41"/>
        <v>0</v>
      </c>
      <c r="F178" s="50">
        <f t="shared" si="42"/>
        <v>0</v>
      </c>
      <c r="G178" s="50">
        <f t="shared" si="51"/>
        <v>0</v>
      </c>
      <c r="H178" s="51" t="e">
        <f t="shared" si="43"/>
        <v>#DIV/0!</v>
      </c>
      <c r="I178" s="52" t="e">
        <f>IF(AND(C$7="Y",$B178&lt;=C$4),0,IF(AND(C$7="Y",$B178&gt;C$4),(1-U178)*C$2*D177/12,IF(AND($C$7="N",C$4&gt;0),(1-U178)*D177*C$2/12, (1-U178)*D177*C$2/12)))</f>
        <v>#DIV/0!</v>
      </c>
      <c r="J178" s="57" t="e">
        <f t="shared" si="44"/>
        <v>#DIV/0!</v>
      </c>
      <c r="K178" s="51" t="e">
        <f t="shared" si="45"/>
        <v>#DIV/0!</v>
      </c>
      <c r="L178" s="49" t="e">
        <f>IF(AND(C$7="Y",$B178&lt;=$C$4),0,IF(AND(C$7="N",C$4&gt;0,B178&lt;=C$4),0,U178*D177))</f>
        <v>#DIV/0!</v>
      </c>
      <c r="M178" s="49">
        <f t="shared" si="53"/>
        <v>0</v>
      </c>
      <c r="N178" s="49">
        <f t="shared" si="52"/>
        <v>0</v>
      </c>
      <c r="O178" s="48" t="e">
        <f t="shared" si="46"/>
        <v>#DIV/0!</v>
      </c>
      <c r="P178" s="38" t="e">
        <f>O178*(1/((1+P$9)^(B178/12)))</f>
        <v>#DIV/0!</v>
      </c>
      <c r="Q178" s="53"/>
      <c r="R178" s="53">
        <f t="shared" si="47"/>
        <v>0.12</v>
      </c>
      <c r="S178" s="53">
        <f t="shared" si="48"/>
        <v>1.0596241035318976E-2</v>
      </c>
      <c r="T178" s="53">
        <f t="shared" si="49"/>
        <v>0.05</v>
      </c>
      <c r="U178" s="53">
        <f t="shared" si="50"/>
        <v>4.2653187775606449E-3</v>
      </c>
    </row>
    <row r="179" spans="1:21" x14ac:dyDescent="0.2">
      <c r="A179" s="62"/>
      <c r="B179" s="45">
        <f t="shared" si="39"/>
        <v>168</v>
      </c>
      <c r="C179" s="51" t="e">
        <f>IF(B179&lt;C$4,C$1,D178-L179+N179)</f>
        <v>#DIV/0!</v>
      </c>
      <c r="D179" s="47" t="e">
        <f t="shared" si="40"/>
        <v>#DIV/0!</v>
      </c>
      <c r="E179" s="48">
        <f t="shared" si="41"/>
        <v>0</v>
      </c>
      <c r="F179" s="50">
        <f t="shared" si="42"/>
        <v>0</v>
      </c>
      <c r="G179" s="50">
        <f t="shared" si="51"/>
        <v>0</v>
      </c>
      <c r="H179" s="51" t="e">
        <f t="shared" si="43"/>
        <v>#DIV/0!</v>
      </c>
      <c r="I179" s="52" t="e">
        <f>IF(AND(C$7="Y",$B179&lt;=C$4),0,IF(AND(C$7="Y",$B179&gt;C$4),(1-U179)*C$2*D178/12,IF(AND($C$7="N",C$4&gt;0),(1-U179)*D178*C$2/12, (1-U179)*D178*C$2/12)))</f>
        <v>#DIV/0!</v>
      </c>
      <c r="J179" s="57" t="e">
        <f t="shared" si="44"/>
        <v>#DIV/0!</v>
      </c>
      <c r="K179" s="51" t="e">
        <f t="shared" si="45"/>
        <v>#DIV/0!</v>
      </c>
      <c r="L179" s="49" t="e">
        <f>IF(AND(C$7="Y",$B179&lt;=$C$4),0,IF(AND(C$7="N",C$4&gt;0,B179&lt;=C$4),0,U179*D178))</f>
        <v>#DIV/0!</v>
      </c>
      <c r="M179" s="49">
        <f t="shared" si="53"/>
        <v>0</v>
      </c>
      <c r="N179" s="49">
        <f t="shared" si="52"/>
        <v>0</v>
      </c>
      <c r="O179" s="48" t="e">
        <f t="shared" si="46"/>
        <v>#DIV/0!</v>
      </c>
      <c r="P179" s="38" t="e">
        <f>O179*(1/((1+P$9)^(B179/12)))</f>
        <v>#DIV/0!</v>
      </c>
      <c r="Q179" s="53"/>
      <c r="R179" s="53">
        <f t="shared" si="47"/>
        <v>0.12</v>
      </c>
      <c r="S179" s="53">
        <f t="shared" si="48"/>
        <v>1.0596241035318976E-2</v>
      </c>
      <c r="T179" s="53">
        <f t="shared" si="49"/>
        <v>0.05</v>
      </c>
      <c r="U179" s="53">
        <f t="shared" si="50"/>
        <v>4.2653187775606449E-3</v>
      </c>
    </row>
    <row r="180" spans="1:21" x14ac:dyDescent="0.2">
      <c r="A180" s="62"/>
      <c r="B180" s="45">
        <f t="shared" si="39"/>
        <v>169</v>
      </c>
      <c r="C180" s="51" t="e">
        <f>IF(B180&lt;C$4,C$1,D179-L180+N180)</f>
        <v>#DIV/0!</v>
      </c>
      <c r="D180" s="47" t="e">
        <f t="shared" si="40"/>
        <v>#DIV/0!</v>
      </c>
      <c r="E180" s="48">
        <f t="shared" si="41"/>
        <v>0</v>
      </c>
      <c r="F180" s="50">
        <f t="shared" si="42"/>
        <v>0</v>
      </c>
      <c r="G180" s="50">
        <f t="shared" si="51"/>
        <v>0</v>
      </c>
      <c r="H180" s="51" t="e">
        <f t="shared" si="43"/>
        <v>#DIV/0!</v>
      </c>
      <c r="I180" s="52" t="e">
        <f>IF(AND(C$7="Y",$B180&lt;=C$4),0,IF(AND(C$7="Y",$B180&gt;C$4),(1-U180)*C$2*D179/12,IF(AND($C$7="N",C$4&gt;0),(1-U180)*D179*C$2/12, (1-U180)*D179*C$2/12)))</f>
        <v>#DIV/0!</v>
      </c>
      <c r="J180" s="57" t="e">
        <f t="shared" si="44"/>
        <v>#DIV/0!</v>
      </c>
      <c r="K180" s="51" t="e">
        <f t="shared" si="45"/>
        <v>#DIV/0!</v>
      </c>
      <c r="L180" s="49" t="e">
        <f>IF(AND(C$7="Y",$B180&lt;=$C$4),0,IF(AND(C$7="N",C$4&gt;0,B180&lt;=C$4),0,U180*D179))</f>
        <v>#DIV/0!</v>
      </c>
      <c r="M180" s="49">
        <f t="shared" si="53"/>
        <v>0</v>
      </c>
      <c r="N180" s="49">
        <f t="shared" si="52"/>
        <v>0</v>
      </c>
      <c r="O180" s="48" t="e">
        <f t="shared" si="46"/>
        <v>#DIV/0!</v>
      </c>
      <c r="P180" s="38" t="e">
        <f>O180*(1/((1+P$9)^(B180/12)))</f>
        <v>#DIV/0!</v>
      </c>
      <c r="Q180" s="53"/>
      <c r="R180" s="53">
        <f t="shared" si="47"/>
        <v>0.12</v>
      </c>
      <c r="S180" s="53">
        <f t="shared" si="48"/>
        <v>1.0596241035318976E-2</v>
      </c>
      <c r="T180" s="53">
        <f t="shared" si="49"/>
        <v>0.05</v>
      </c>
      <c r="U180" s="53">
        <f t="shared" si="50"/>
        <v>4.2653187775606449E-3</v>
      </c>
    </row>
    <row r="181" spans="1:21" x14ac:dyDescent="0.2">
      <c r="A181" s="62"/>
      <c r="B181" s="45">
        <f t="shared" si="39"/>
        <v>170</v>
      </c>
      <c r="C181" s="51" t="e">
        <f>IF(B181&lt;C$4,C$1,D180-L181+N181)</f>
        <v>#DIV/0!</v>
      </c>
      <c r="D181" s="47" t="e">
        <f t="shared" si="40"/>
        <v>#DIV/0!</v>
      </c>
      <c r="E181" s="48">
        <f t="shared" si="41"/>
        <v>0</v>
      </c>
      <c r="F181" s="50">
        <f t="shared" si="42"/>
        <v>0</v>
      </c>
      <c r="G181" s="50">
        <f t="shared" si="51"/>
        <v>0</v>
      </c>
      <c r="H181" s="51" t="e">
        <f t="shared" si="43"/>
        <v>#DIV/0!</v>
      </c>
      <c r="I181" s="52" t="e">
        <f>IF(AND(C$7="Y",$B181&lt;=C$4),0,IF(AND(C$7="Y",$B181&gt;C$4),(1-U181)*C$2*D180/12,IF(AND($C$7="N",C$4&gt;0),(1-U181)*D180*C$2/12, (1-U181)*D180*C$2/12)))</f>
        <v>#DIV/0!</v>
      </c>
      <c r="J181" s="57" t="e">
        <f t="shared" si="44"/>
        <v>#DIV/0!</v>
      </c>
      <c r="K181" s="51" t="e">
        <f t="shared" si="45"/>
        <v>#DIV/0!</v>
      </c>
      <c r="L181" s="49" t="e">
        <f>IF(AND(C$7="Y",$B181&lt;=$C$4),0,IF(AND(C$7="N",C$4&gt;0,B181&lt;=C$4),0,U181*D180))</f>
        <v>#DIV/0!</v>
      </c>
      <c r="M181" s="49">
        <f t="shared" si="53"/>
        <v>0</v>
      </c>
      <c r="N181" s="49">
        <f t="shared" si="52"/>
        <v>0</v>
      </c>
      <c r="O181" s="48" t="e">
        <f t="shared" si="46"/>
        <v>#DIV/0!</v>
      </c>
      <c r="P181" s="38" t="e">
        <f>O181*(1/((1+P$9)^(B181/12)))</f>
        <v>#DIV/0!</v>
      </c>
      <c r="Q181" s="53"/>
      <c r="R181" s="53">
        <f t="shared" si="47"/>
        <v>0.12</v>
      </c>
      <c r="S181" s="53">
        <f t="shared" si="48"/>
        <v>1.0596241035318976E-2</v>
      </c>
      <c r="T181" s="53">
        <f t="shared" si="49"/>
        <v>0.05</v>
      </c>
      <c r="U181" s="53">
        <f t="shared" si="50"/>
        <v>4.2653187775606449E-3</v>
      </c>
    </row>
    <row r="182" spans="1:21" x14ac:dyDescent="0.2">
      <c r="A182" s="62"/>
      <c r="B182" s="45">
        <f t="shared" si="39"/>
        <v>171</v>
      </c>
      <c r="C182" s="51" t="e">
        <f>IF(B182&lt;C$4,C$1,D181-L182+N182)</f>
        <v>#DIV/0!</v>
      </c>
      <c r="D182" s="47" t="e">
        <f t="shared" si="40"/>
        <v>#DIV/0!</v>
      </c>
      <c r="E182" s="48">
        <f t="shared" si="41"/>
        <v>0</v>
      </c>
      <c r="F182" s="50">
        <f t="shared" si="42"/>
        <v>0</v>
      </c>
      <c r="G182" s="50">
        <f t="shared" si="51"/>
        <v>0</v>
      </c>
      <c r="H182" s="51" t="e">
        <f t="shared" si="43"/>
        <v>#DIV/0!</v>
      </c>
      <c r="I182" s="52" t="e">
        <f>IF(AND(C$7="Y",$B182&lt;=C$4),0,IF(AND(C$7="Y",$B182&gt;C$4),(1-U182)*C$2*D181/12,IF(AND($C$7="N",C$4&gt;0),(1-U182)*D181*C$2/12, (1-U182)*D181*C$2/12)))</f>
        <v>#DIV/0!</v>
      </c>
      <c r="J182" s="57" t="e">
        <f t="shared" si="44"/>
        <v>#DIV/0!</v>
      </c>
      <c r="K182" s="51" t="e">
        <f t="shared" si="45"/>
        <v>#DIV/0!</v>
      </c>
      <c r="L182" s="49" t="e">
        <f>IF(AND(C$7="Y",$B182&lt;=$C$4),0,IF(AND(C$7="N",C$4&gt;0,B182&lt;=C$4),0,U182*D181))</f>
        <v>#DIV/0!</v>
      </c>
      <c r="M182" s="49">
        <f t="shared" si="53"/>
        <v>0</v>
      </c>
      <c r="N182" s="49">
        <f t="shared" si="52"/>
        <v>0</v>
      </c>
      <c r="O182" s="48" t="e">
        <f t="shared" si="46"/>
        <v>#DIV/0!</v>
      </c>
      <c r="P182" s="38" t="e">
        <f>O182*(1/((1+P$9)^(B182/12)))</f>
        <v>#DIV/0!</v>
      </c>
      <c r="Q182" s="53"/>
      <c r="R182" s="53">
        <f t="shared" si="47"/>
        <v>0.12</v>
      </c>
      <c r="S182" s="53">
        <f t="shared" si="48"/>
        <v>1.0596241035318976E-2</v>
      </c>
      <c r="T182" s="53">
        <f t="shared" si="49"/>
        <v>0.05</v>
      </c>
      <c r="U182" s="53">
        <f t="shared" si="50"/>
        <v>4.2653187775606449E-3</v>
      </c>
    </row>
    <row r="183" spans="1:21" x14ac:dyDescent="0.2">
      <c r="A183" s="62"/>
      <c r="B183" s="45">
        <f t="shared" si="39"/>
        <v>172</v>
      </c>
      <c r="C183" s="51" t="e">
        <f>IF(B183&lt;C$4,C$1,D182-L183+N183)</f>
        <v>#DIV/0!</v>
      </c>
      <c r="D183" s="47" t="e">
        <f t="shared" si="40"/>
        <v>#DIV/0!</v>
      </c>
      <c r="E183" s="48">
        <f t="shared" si="41"/>
        <v>0</v>
      </c>
      <c r="F183" s="50">
        <f t="shared" si="42"/>
        <v>0</v>
      </c>
      <c r="G183" s="50">
        <f t="shared" si="51"/>
        <v>0</v>
      </c>
      <c r="H183" s="51" t="e">
        <f t="shared" si="43"/>
        <v>#DIV/0!</v>
      </c>
      <c r="I183" s="52" t="e">
        <f>IF(AND(C$7="Y",$B183&lt;=C$4),0,IF(AND(C$7="Y",$B183&gt;C$4),(1-U183)*C$2*D182/12,IF(AND($C$7="N",C$4&gt;0),(1-U183)*D182*C$2/12, (1-U183)*D182*C$2/12)))</f>
        <v>#DIV/0!</v>
      </c>
      <c r="J183" s="57" t="e">
        <f t="shared" si="44"/>
        <v>#DIV/0!</v>
      </c>
      <c r="K183" s="51" t="e">
        <f t="shared" si="45"/>
        <v>#DIV/0!</v>
      </c>
      <c r="L183" s="49" t="e">
        <f>IF(AND(C$7="Y",$B183&lt;=$C$4),0,IF(AND(C$7="N",C$4&gt;0,B183&lt;=C$4),0,U183*D182))</f>
        <v>#DIV/0!</v>
      </c>
      <c r="M183" s="49">
        <f t="shared" si="53"/>
        <v>0</v>
      </c>
      <c r="N183" s="49">
        <f t="shared" si="52"/>
        <v>0</v>
      </c>
      <c r="O183" s="48" t="e">
        <f t="shared" si="46"/>
        <v>#DIV/0!</v>
      </c>
      <c r="P183" s="38" t="e">
        <f>O183*(1/((1+P$9)^(B183/12)))</f>
        <v>#DIV/0!</v>
      </c>
      <c r="Q183" s="53"/>
      <c r="R183" s="53">
        <f t="shared" si="47"/>
        <v>0.12</v>
      </c>
      <c r="S183" s="53">
        <f t="shared" si="48"/>
        <v>1.0596241035318976E-2</v>
      </c>
      <c r="T183" s="53">
        <f t="shared" si="49"/>
        <v>0.05</v>
      </c>
      <c r="U183" s="53">
        <f t="shared" si="50"/>
        <v>4.2653187775606449E-3</v>
      </c>
    </row>
    <row r="184" spans="1:21" x14ac:dyDescent="0.2">
      <c r="A184" s="62"/>
      <c r="B184" s="45">
        <f t="shared" si="39"/>
        <v>173</v>
      </c>
      <c r="C184" s="51" t="e">
        <f>IF(B184&lt;C$4,C$1,D183-L184+N184)</f>
        <v>#DIV/0!</v>
      </c>
      <c r="D184" s="47" t="e">
        <f t="shared" si="40"/>
        <v>#DIV/0!</v>
      </c>
      <c r="E184" s="48">
        <f t="shared" si="41"/>
        <v>0</v>
      </c>
      <c r="F184" s="50">
        <f t="shared" si="42"/>
        <v>0</v>
      </c>
      <c r="G184" s="50">
        <f t="shared" si="51"/>
        <v>0</v>
      </c>
      <c r="H184" s="51" t="e">
        <f t="shared" si="43"/>
        <v>#DIV/0!</v>
      </c>
      <c r="I184" s="52" t="e">
        <f>IF(AND(C$7="Y",$B184&lt;=C$4),0,IF(AND(C$7="Y",$B184&gt;C$4),(1-U184)*C$2*D183/12,IF(AND($C$7="N",C$4&gt;0),(1-U184)*D183*C$2/12, (1-U184)*D183*C$2/12)))</f>
        <v>#DIV/0!</v>
      </c>
      <c r="J184" s="57" t="e">
        <f t="shared" si="44"/>
        <v>#DIV/0!</v>
      </c>
      <c r="K184" s="51" t="e">
        <f t="shared" si="45"/>
        <v>#DIV/0!</v>
      </c>
      <c r="L184" s="49" t="e">
        <f>IF(AND(C$7="Y",$B184&lt;=$C$4),0,IF(AND(C$7="N",C$4&gt;0,B184&lt;=C$4),0,U184*D183))</f>
        <v>#DIV/0!</v>
      </c>
      <c r="M184" s="49">
        <f t="shared" si="53"/>
        <v>0</v>
      </c>
      <c r="N184" s="49">
        <f t="shared" si="52"/>
        <v>0</v>
      </c>
      <c r="O184" s="48" t="e">
        <f t="shared" si="46"/>
        <v>#DIV/0!</v>
      </c>
      <c r="P184" s="38" t="e">
        <f>O184*(1/((1+P$9)^(B184/12)))</f>
        <v>#DIV/0!</v>
      </c>
      <c r="Q184" s="53"/>
      <c r="R184" s="53">
        <f t="shared" si="47"/>
        <v>0.12</v>
      </c>
      <c r="S184" s="53">
        <f t="shared" si="48"/>
        <v>1.0596241035318976E-2</v>
      </c>
      <c r="T184" s="53">
        <f t="shared" si="49"/>
        <v>0.05</v>
      </c>
      <c r="U184" s="53">
        <f t="shared" si="50"/>
        <v>4.2653187775606449E-3</v>
      </c>
    </row>
    <row r="185" spans="1:21" x14ac:dyDescent="0.2">
      <c r="A185" s="62"/>
      <c r="B185" s="45">
        <f t="shared" si="39"/>
        <v>174</v>
      </c>
      <c r="C185" s="51" t="e">
        <f>IF(B185&lt;C$4,C$1,D184-L185+N185)</f>
        <v>#DIV/0!</v>
      </c>
      <c r="D185" s="47" t="e">
        <f t="shared" si="40"/>
        <v>#DIV/0!</v>
      </c>
      <c r="E185" s="48">
        <f t="shared" si="41"/>
        <v>0</v>
      </c>
      <c r="F185" s="50">
        <f t="shared" si="42"/>
        <v>0</v>
      </c>
      <c r="G185" s="50">
        <f t="shared" si="51"/>
        <v>0</v>
      </c>
      <c r="H185" s="51" t="e">
        <f t="shared" si="43"/>
        <v>#DIV/0!</v>
      </c>
      <c r="I185" s="52" t="e">
        <f>IF(AND(C$7="Y",$B185&lt;=C$4),0,IF(AND(C$7="Y",$B185&gt;C$4),(1-U185)*C$2*D184/12,IF(AND($C$7="N",C$4&gt;0),(1-U185)*D184*C$2/12, (1-U185)*D184*C$2/12)))</f>
        <v>#DIV/0!</v>
      </c>
      <c r="J185" s="57" t="e">
        <f t="shared" si="44"/>
        <v>#DIV/0!</v>
      </c>
      <c r="K185" s="51" t="e">
        <f t="shared" si="45"/>
        <v>#DIV/0!</v>
      </c>
      <c r="L185" s="49" t="e">
        <f>IF(AND(C$7="Y",$B185&lt;=$C$4),0,IF(AND(C$7="N",C$4&gt;0,B185&lt;=C$4),0,U185*D184))</f>
        <v>#DIV/0!</v>
      </c>
      <c r="M185" s="49">
        <f t="shared" si="53"/>
        <v>0</v>
      </c>
      <c r="N185" s="49">
        <f t="shared" si="52"/>
        <v>0</v>
      </c>
      <c r="O185" s="48" t="e">
        <f t="shared" si="46"/>
        <v>#DIV/0!</v>
      </c>
      <c r="P185" s="38" t="e">
        <f>O185*(1/((1+P$9)^(B185/12)))</f>
        <v>#DIV/0!</v>
      </c>
      <c r="Q185" s="53"/>
      <c r="R185" s="53">
        <f t="shared" si="47"/>
        <v>0.12</v>
      </c>
      <c r="S185" s="53">
        <f t="shared" si="48"/>
        <v>1.0596241035318976E-2</v>
      </c>
      <c r="T185" s="53">
        <f t="shared" si="49"/>
        <v>0.05</v>
      </c>
      <c r="U185" s="53">
        <f t="shared" si="50"/>
        <v>4.2653187775606449E-3</v>
      </c>
    </row>
    <row r="186" spans="1:21" x14ac:dyDescent="0.2">
      <c r="A186" s="62"/>
      <c r="B186" s="45">
        <f t="shared" si="39"/>
        <v>175</v>
      </c>
      <c r="C186" s="51" t="e">
        <f>IF(B186&lt;C$4,C$1,D185-L186+N186)</f>
        <v>#DIV/0!</v>
      </c>
      <c r="D186" s="47" t="e">
        <f t="shared" si="40"/>
        <v>#DIV/0!</v>
      </c>
      <c r="E186" s="48">
        <f t="shared" si="41"/>
        <v>0</v>
      </c>
      <c r="F186" s="50">
        <f t="shared" si="42"/>
        <v>0</v>
      </c>
      <c r="G186" s="50">
        <f t="shared" si="51"/>
        <v>0</v>
      </c>
      <c r="H186" s="51" t="e">
        <f t="shared" si="43"/>
        <v>#DIV/0!</v>
      </c>
      <c r="I186" s="52" t="e">
        <f>IF(AND(C$7="Y",$B186&lt;=C$4),0,IF(AND(C$7="Y",$B186&gt;C$4),(1-U186)*C$2*D185/12,IF(AND($C$7="N",C$4&gt;0),(1-U186)*D185*C$2/12, (1-U186)*D185*C$2/12)))</f>
        <v>#DIV/0!</v>
      </c>
      <c r="J186" s="57" t="e">
        <f t="shared" si="44"/>
        <v>#DIV/0!</v>
      </c>
      <c r="K186" s="51" t="e">
        <f t="shared" si="45"/>
        <v>#DIV/0!</v>
      </c>
      <c r="L186" s="49" t="e">
        <f>IF(AND(C$7="Y",$B186&lt;=$C$4),0,IF(AND(C$7="N",C$4&gt;0,B186&lt;=C$4),0,U186*D185))</f>
        <v>#DIV/0!</v>
      </c>
      <c r="M186" s="49">
        <f t="shared" si="53"/>
        <v>0</v>
      </c>
      <c r="N186" s="49">
        <f t="shared" si="52"/>
        <v>0</v>
      </c>
      <c r="O186" s="48" t="e">
        <f t="shared" si="46"/>
        <v>#DIV/0!</v>
      </c>
      <c r="P186" s="38" t="e">
        <f>O186*(1/((1+P$9)^(B186/12)))</f>
        <v>#DIV/0!</v>
      </c>
      <c r="Q186" s="53"/>
      <c r="R186" s="53">
        <f t="shared" si="47"/>
        <v>0.12</v>
      </c>
      <c r="S186" s="53">
        <f t="shared" si="48"/>
        <v>1.0596241035318976E-2</v>
      </c>
      <c r="T186" s="53">
        <f t="shared" si="49"/>
        <v>0.05</v>
      </c>
      <c r="U186" s="53">
        <f t="shared" si="50"/>
        <v>4.2653187775606449E-3</v>
      </c>
    </row>
    <row r="187" spans="1:21" x14ac:dyDescent="0.2">
      <c r="A187" s="62"/>
      <c r="B187" s="45">
        <f t="shared" si="39"/>
        <v>176</v>
      </c>
      <c r="C187" s="51" t="e">
        <f>IF(B187&lt;C$4,C$1,D186-L187+N187)</f>
        <v>#DIV/0!</v>
      </c>
      <c r="D187" s="47" t="e">
        <f t="shared" si="40"/>
        <v>#DIV/0!</v>
      </c>
      <c r="E187" s="48">
        <f t="shared" si="41"/>
        <v>0</v>
      </c>
      <c r="F187" s="50">
        <f t="shared" si="42"/>
        <v>0</v>
      </c>
      <c r="G187" s="50">
        <f t="shared" si="51"/>
        <v>0</v>
      </c>
      <c r="H187" s="51" t="e">
        <f t="shared" si="43"/>
        <v>#DIV/0!</v>
      </c>
      <c r="I187" s="52" t="e">
        <f>IF(AND(C$7="Y",$B187&lt;=C$4),0,IF(AND(C$7="Y",$B187&gt;C$4),(1-U187)*C$2*D186/12,IF(AND($C$7="N",C$4&gt;0),(1-U187)*D186*C$2/12, (1-U187)*D186*C$2/12)))</f>
        <v>#DIV/0!</v>
      </c>
      <c r="J187" s="57" t="e">
        <f t="shared" si="44"/>
        <v>#DIV/0!</v>
      </c>
      <c r="K187" s="51" t="e">
        <f t="shared" si="45"/>
        <v>#DIV/0!</v>
      </c>
      <c r="L187" s="49" t="e">
        <f>IF(AND(C$7="Y",$B187&lt;=$C$4),0,IF(AND(C$7="N",C$4&gt;0,B187&lt;=C$4),0,U187*D186))</f>
        <v>#DIV/0!</v>
      </c>
      <c r="M187" s="49">
        <f t="shared" si="53"/>
        <v>0</v>
      </c>
      <c r="N187" s="49">
        <f t="shared" si="52"/>
        <v>0</v>
      </c>
      <c r="O187" s="48" t="e">
        <f t="shared" si="46"/>
        <v>#DIV/0!</v>
      </c>
      <c r="P187" s="38" t="e">
        <f>O187*(1/((1+P$9)^(B187/12)))</f>
        <v>#DIV/0!</v>
      </c>
      <c r="Q187" s="53"/>
      <c r="R187" s="53">
        <f t="shared" si="47"/>
        <v>0.12</v>
      </c>
      <c r="S187" s="53">
        <f t="shared" si="48"/>
        <v>1.0596241035318976E-2</v>
      </c>
      <c r="T187" s="53">
        <f t="shared" si="49"/>
        <v>0.05</v>
      </c>
      <c r="U187" s="53">
        <f t="shared" si="50"/>
        <v>4.2653187775606449E-3</v>
      </c>
    </row>
    <row r="188" spans="1:21" x14ac:dyDescent="0.2">
      <c r="A188" s="62"/>
      <c r="B188" s="45">
        <f t="shared" si="39"/>
        <v>177</v>
      </c>
      <c r="C188" s="51" t="e">
        <f>IF(B188&lt;C$4,C$1,D187-L188+N188)</f>
        <v>#DIV/0!</v>
      </c>
      <c r="D188" s="47" t="e">
        <f t="shared" si="40"/>
        <v>#DIV/0!</v>
      </c>
      <c r="E188" s="48">
        <f t="shared" si="41"/>
        <v>0</v>
      </c>
      <c r="F188" s="50">
        <f t="shared" si="42"/>
        <v>0</v>
      </c>
      <c r="G188" s="50">
        <f t="shared" si="51"/>
        <v>0</v>
      </c>
      <c r="H188" s="51" t="e">
        <f t="shared" si="43"/>
        <v>#DIV/0!</v>
      </c>
      <c r="I188" s="52" t="e">
        <f>IF(AND(C$7="Y",$B188&lt;=C$4),0,IF(AND(C$7="Y",$B188&gt;C$4),(1-U188)*C$2*D187/12,IF(AND($C$7="N",C$4&gt;0),(1-U188)*D187*C$2/12, (1-U188)*D187*C$2/12)))</f>
        <v>#DIV/0!</v>
      </c>
      <c r="J188" s="57" t="e">
        <f t="shared" si="44"/>
        <v>#DIV/0!</v>
      </c>
      <c r="K188" s="51" t="e">
        <f t="shared" si="45"/>
        <v>#DIV/0!</v>
      </c>
      <c r="L188" s="49" t="e">
        <f>IF(AND(C$7="Y",$B188&lt;=$C$4),0,IF(AND(C$7="N",C$4&gt;0,B188&lt;=C$4),0,U188*D187))</f>
        <v>#DIV/0!</v>
      </c>
      <c r="M188" s="49">
        <f t="shared" si="53"/>
        <v>0</v>
      </c>
      <c r="N188" s="49">
        <f t="shared" si="52"/>
        <v>0</v>
      </c>
      <c r="O188" s="48" t="e">
        <f t="shared" si="46"/>
        <v>#DIV/0!</v>
      </c>
      <c r="P188" s="38" t="e">
        <f>O188*(1/((1+P$9)^(B188/12)))</f>
        <v>#DIV/0!</v>
      </c>
      <c r="Q188" s="53"/>
      <c r="R188" s="53">
        <f t="shared" si="47"/>
        <v>0.12</v>
      </c>
      <c r="S188" s="53">
        <f t="shared" si="48"/>
        <v>1.0596241035318976E-2</v>
      </c>
      <c r="T188" s="53">
        <f t="shared" si="49"/>
        <v>0.05</v>
      </c>
      <c r="U188" s="53">
        <f t="shared" si="50"/>
        <v>4.2653187775606449E-3</v>
      </c>
    </row>
    <row r="189" spans="1:21" x14ac:dyDescent="0.2">
      <c r="A189" s="62"/>
      <c r="B189" s="45">
        <f t="shared" si="39"/>
        <v>178</v>
      </c>
      <c r="C189" s="51" t="e">
        <f>IF(B189&lt;C$4,C$1,D188-L189+N189)</f>
        <v>#DIV/0!</v>
      </c>
      <c r="D189" s="47" t="e">
        <f t="shared" si="40"/>
        <v>#DIV/0!</v>
      </c>
      <c r="E189" s="48">
        <f t="shared" si="41"/>
        <v>0</v>
      </c>
      <c r="F189" s="50">
        <f t="shared" si="42"/>
        <v>0</v>
      </c>
      <c r="G189" s="50">
        <f t="shared" si="51"/>
        <v>0</v>
      </c>
      <c r="H189" s="51" t="e">
        <f t="shared" si="43"/>
        <v>#DIV/0!</v>
      </c>
      <c r="I189" s="52" t="e">
        <f>IF(AND(C$7="Y",$B189&lt;=C$4),0,IF(AND(C$7="Y",$B189&gt;C$4),(1-U189)*C$2*D188/12,IF(AND($C$7="N",C$4&gt;0),(1-U189)*D188*C$2/12, (1-U189)*D188*C$2/12)))</f>
        <v>#DIV/0!</v>
      </c>
      <c r="J189" s="57" t="e">
        <f t="shared" si="44"/>
        <v>#DIV/0!</v>
      </c>
      <c r="K189" s="51" t="e">
        <f t="shared" si="45"/>
        <v>#DIV/0!</v>
      </c>
      <c r="L189" s="49" t="e">
        <f>IF(AND(C$7="Y",$B189&lt;=$C$4),0,IF(AND(C$7="N",C$4&gt;0,B189&lt;=C$4),0,U189*D188))</f>
        <v>#DIV/0!</v>
      </c>
      <c r="M189" s="49">
        <f t="shared" si="53"/>
        <v>0</v>
      </c>
      <c r="N189" s="49">
        <f t="shared" si="52"/>
        <v>0</v>
      </c>
      <c r="O189" s="48" t="e">
        <f t="shared" si="46"/>
        <v>#DIV/0!</v>
      </c>
      <c r="P189" s="38" t="e">
        <f>O189*(1/((1+P$9)^(B189/12)))</f>
        <v>#DIV/0!</v>
      </c>
      <c r="Q189" s="53"/>
      <c r="R189" s="53">
        <f t="shared" si="47"/>
        <v>0.12</v>
      </c>
      <c r="S189" s="53">
        <f t="shared" si="48"/>
        <v>1.0596241035318976E-2</v>
      </c>
      <c r="T189" s="53">
        <f t="shared" si="49"/>
        <v>0.05</v>
      </c>
      <c r="U189" s="53">
        <f t="shared" si="50"/>
        <v>4.2653187775606449E-3</v>
      </c>
    </row>
    <row r="190" spans="1:21" x14ac:dyDescent="0.2">
      <c r="A190" s="62"/>
      <c r="B190" s="45">
        <f t="shared" si="39"/>
        <v>179</v>
      </c>
      <c r="C190" s="51" t="e">
        <f>IF(B190&lt;C$4,C$1,D189-L190+N190)</f>
        <v>#DIV/0!</v>
      </c>
      <c r="D190" s="47" t="e">
        <f t="shared" si="40"/>
        <v>#DIV/0!</v>
      </c>
      <c r="E190" s="48">
        <f t="shared" si="41"/>
        <v>0</v>
      </c>
      <c r="F190" s="50">
        <f t="shared" si="42"/>
        <v>0</v>
      </c>
      <c r="G190" s="50">
        <f t="shared" si="51"/>
        <v>0</v>
      </c>
      <c r="H190" s="51" t="e">
        <f t="shared" si="43"/>
        <v>#DIV/0!</v>
      </c>
      <c r="I190" s="52" t="e">
        <f>IF(AND(C$7="Y",$B190&lt;=C$4),0,IF(AND(C$7="Y",$B190&gt;C$4),(1-U190)*C$2*D189/12,IF(AND($C$7="N",C$4&gt;0),(1-U190)*D189*C$2/12, (1-U190)*D189*C$2/12)))</f>
        <v>#DIV/0!</v>
      </c>
      <c r="J190" s="57" t="e">
        <f t="shared" si="44"/>
        <v>#DIV/0!</v>
      </c>
      <c r="K190" s="51" t="e">
        <f t="shared" si="45"/>
        <v>#DIV/0!</v>
      </c>
      <c r="L190" s="49" t="e">
        <f>IF(AND(C$7="Y",$B190&lt;=$C$4),0,IF(AND(C$7="N",C$4&gt;0,B190&lt;=C$4),0,U190*D189))</f>
        <v>#DIV/0!</v>
      </c>
      <c r="M190" s="49">
        <f t="shared" si="53"/>
        <v>0</v>
      </c>
      <c r="N190" s="49">
        <f t="shared" si="52"/>
        <v>0</v>
      </c>
      <c r="O190" s="48" t="e">
        <f t="shared" si="46"/>
        <v>#DIV/0!</v>
      </c>
      <c r="P190" s="38" t="e">
        <f>O190*(1/((1+P$9)^(B190/12)))</f>
        <v>#DIV/0!</v>
      </c>
      <c r="Q190" s="53"/>
      <c r="R190" s="53">
        <f t="shared" si="47"/>
        <v>0.12</v>
      </c>
      <c r="S190" s="53">
        <f t="shared" si="48"/>
        <v>1.0596241035318976E-2</v>
      </c>
      <c r="T190" s="53">
        <f t="shared" si="49"/>
        <v>0.05</v>
      </c>
      <c r="U190" s="53">
        <f t="shared" si="50"/>
        <v>4.2653187775606449E-3</v>
      </c>
    </row>
    <row r="191" spans="1:21" x14ac:dyDescent="0.2">
      <c r="A191" s="62"/>
      <c r="B191" s="45">
        <f t="shared" si="39"/>
        <v>180</v>
      </c>
      <c r="C191" s="51" t="e">
        <f>IF(B191&lt;C$4,C$1,D190-L191+N191)</f>
        <v>#DIV/0!</v>
      </c>
      <c r="D191" s="47" t="e">
        <f t="shared" si="40"/>
        <v>#DIV/0!</v>
      </c>
      <c r="E191" s="48">
        <f t="shared" si="41"/>
        <v>0</v>
      </c>
      <c r="F191" s="50">
        <f t="shared" si="42"/>
        <v>0</v>
      </c>
      <c r="G191" s="50">
        <f t="shared" si="51"/>
        <v>0</v>
      </c>
      <c r="H191" s="51" t="e">
        <f t="shared" si="43"/>
        <v>#DIV/0!</v>
      </c>
      <c r="I191" s="52" t="e">
        <f>IF(AND(C$7="Y",$B191&lt;=C$4),0,IF(AND(C$7="Y",$B191&gt;C$4),(1-U191)*C$2*D190/12,IF(AND($C$7="N",C$4&gt;0),(1-U191)*D190*C$2/12, (1-U191)*D190*C$2/12)))</f>
        <v>#DIV/0!</v>
      </c>
      <c r="J191" s="57" t="e">
        <f t="shared" si="44"/>
        <v>#DIV/0!</v>
      </c>
      <c r="K191" s="51" t="e">
        <f t="shared" si="45"/>
        <v>#DIV/0!</v>
      </c>
      <c r="L191" s="49" t="e">
        <f>IF(AND(C$7="Y",$B191&lt;=$C$4),0,IF(AND(C$7="N",C$4&gt;0,B191&lt;=C$4),0,U191*D190))</f>
        <v>#DIV/0!</v>
      </c>
      <c r="M191" s="49">
        <f t="shared" si="53"/>
        <v>0</v>
      </c>
      <c r="N191" s="49">
        <f t="shared" si="52"/>
        <v>0</v>
      </c>
      <c r="O191" s="48" t="e">
        <f t="shared" si="46"/>
        <v>#DIV/0!</v>
      </c>
      <c r="P191" s="38" t="e">
        <f>O191*(1/((1+P$9)^(B191/12)))</f>
        <v>#DIV/0!</v>
      </c>
      <c r="Q191" s="53"/>
      <c r="R191" s="53">
        <f t="shared" si="47"/>
        <v>0.12</v>
      </c>
      <c r="S191" s="53">
        <f t="shared" si="48"/>
        <v>1.0596241035318976E-2</v>
      </c>
      <c r="T191" s="53">
        <f t="shared" si="49"/>
        <v>0.05</v>
      </c>
      <c r="U191" s="53">
        <f t="shared" si="50"/>
        <v>4.2653187775606449E-3</v>
      </c>
    </row>
    <row r="192" spans="1:21" x14ac:dyDescent="0.2">
      <c r="A192" s="62"/>
      <c r="B192" s="45">
        <f t="shared" si="39"/>
        <v>181</v>
      </c>
      <c r="C192" s="51" t="e">
        <f>IF(B192&lt;C$4,C$1,D191-L192+N192)</f>
        <v>#DIV/0!</v>
      </c>
      <c r="D192" s="47" t="e">
        <f t="shared" si="40"/>
        <v>#DIV/0!</v>
      </c>
      <c r="E192" s="48">
        <f t="shared" si="41"/>
        <v>0</v>
      </c>
      <c r="F192" s="50">
        <f t="shared" si="42"/>
        <v>0</v>
      </c>
      <c r="G192" s="50">
        <f t="shared" si="51"/>
        <v>0</v>
      </c>
      <c r="H192" s="51" t="e">
        <f t="shared" si="43"/>
        <v>#DIV/0!</v>
      </c>
      <c r="I192" s="52" t="e">
        <f>IF(AND(C$7="Y",$B192&lt;=C$4),0,IF(AND(C$7="Y",$B192&gt;C$4),(1-U192)*C$2*D191/12,IF(AND($C$7="N",C$4&gt;0),(1-U192)*D191*C$2/12, (1-U192)*D191*C$2/12)))</f>
        <v>#DIV/0!</v>
      </c>
      <c r="J192" s="57" t="e">
        <f t="shared" si="44"/>
        <v>#DIV/0!</v>
      </c>
      <c r="K192" s="51" t="e">
        <f t="shared" si="45"/>
        <v>#DIV/0!</v>
      </c>
      <c r="L192" s="49" t="e">
        <f>IF(AND(C$7="Y",$B192&lt;=$C$4),0,IF(AND(C$7="N",C$4&gt;0,B192&lt;=C$4),0,U192*D191))</f>
        <v>#DIV/0!</v>
      </c>
      <c r="M192" s="49">
        <f t="shared" si="53"/>
        <v>0</v>
      </c>
      <c r="N192" s="49">
        <f t="shared" si="52"/>
        <v>0</v>
      </c>
      <c r="O192" s="48" t="e">
        <f t="shared" si="46"/>
        <v>#DIV/0!</v>
      </c>
      <c r="P192" s="38" t="e">
        <f>O192*(1/((1+P$9)^(B192/12)))</f>
        <v>#DIV/0!</v>
      </c>
      <c r="Q192" s="53"/>
      <c r="R192" s="53">
        <f t="shared" si="47"/>
        <v>0.12</v>
      </c>
      <c r="S192" s="53">
        <f t="shared" si="48"/>
        <v>1.0596241035318976E-2</v>
      </c>
      <c r="T192" s="53">
        <f t="shared" si="49"/>
        <v>0.05</v>
      </c>
      <c r="U192" s="53">
        <f t="shared" si="50"/>
        <v>4.2653187775606449E-3</v>
      </c>
    </row>
    <row r="193" spans="1:21" x14ac:dyDescent="0.2">
      <c r="A193" s="62"/>
      <c r="B193" s="45">
        <f t="shared" si="39"/>
        <v>182</v>
      </c>
      <c r="C193" s="51" t="e">
        <f>IF(B193&lt;C$4,C$1,D192-L193+N193)</f>
        <v>#DIV/0!</v>
      </c>
      <c r="D193" s="47" t="e">
        <f t="shared" si="40"/>
        <v>#DIV/0!</v>
      </c>
      <c r="E193" s="48">
        <f t="shared" si="41"/>
        <v>0</v>
      </c>
      <c r="F193" s="50">
        <f t="shared" si="42"/>
        <v>0</v>
      </c>
      <c r="G193" s="50">
        <f t="shared" si="51"/>
        <v>0</v>
      </c>
      <c r="H193" s="51" t="e">
        <f t="shared" si="43"/>
        <v>#DIV/0!</v>
      </c>
      <c r="I193" s="52" t="e">
        <f>IF(AND(C$7="Y",$B193&lt;=C$4),0,IF(AND(C$7="Y",$B193&gt;C$4),(1-U193)*C$2*D192/12,IF(AND($C$7="N",C$4&gt;0),(1-U193)*D192*C$2/12, (1-U193)*D192*C$2/12)))</f>
        <v>#DIV/0!</v>
      </c>
      <c r="J193" s="57" t="e">
        <f t="shared" si="44"/>
        <v>#DIV/0!</v>
      </c>
      <c r="K193" s="51" t="e">
        <f t="shared" si="45"/>
        <v>#DIV/0!</v>
      </c>
      <c r="L193" s="49" t="e">
        <f>IF(AND(C$7="Y",$B193&lt;=$C$4),0,IF(AND(C$7="N",C$4&gt;0,B193&lt;=C$4),0,U193*D192))</f>
        <v>#DIV/0!</v>
      </c>
      <c r="M193" s="49">
        <f t="shared" si="53"/>
        <v>0</v>
      </c>
      <c r="N193" s="49">
        <f t="shared" si="52"/>
        <v>0</v>
      </c>
      <c r="O193" s="48" t="e">
        <f t="shared" si="46"/>
        <v>#DIV/0!</v>
      </c>
      <c r="P193" s="38" t="e">
        <f>O193*(1/((1+P$9)^(B193/12)))</f>
        <v>#DIV/0!</v>
      </c>
      <c r="Q193" s="53"/>
      <c r="R193" s="53">
        <f t="shared" si="47"/>
        <v>0.12</v>
      </c>
      <c r="S193" s="53">
        <f t="shared" si="48"/>
        <v>1.0596241035318976E-2</v>
      </c>
      <c r="T193" s="53">
        <f t="shared" si="49"/>
        <v>0.05</v>
      </c>
      <c r="U193" s="53">
        <f t="shared" si="50"/>
        <v>4.2653187775606449E-3</v>
      </c>
    </row>
    <row r="194" spans="1:21" x14ac:dyDescent="0.2">
      <c r="A194" s="62"/>
      <c r="B194" s="45">
        <f t="shared" si="39"/>
        <v>183</v>
      </c>
      <c r="C194" s="51" t="e">
        <f>IF(B194&lt;C$4,C$1,D193-L194+N194)</f>
        <v>#DIV/0!</v>
      </c>
      <c r="D194" s="47" t="e">
        <f t="shared" si="40"/>
        <v>#DIV/0!</v>
      </c>
      <c r="E194" s="48">
        <f t="shared" si="41"/>
        <v>0</v>
      </c>
      <c r="F194" s="50">
        <f t="shared" si="42"/>
        <v>0</v>
      </c>
      <c r="G194" s="50">
        <f t="shared" si="51"/>
        <v>0</v>
      </c>
      <c r="H194" s="51" t="e">
        <f t="shared" si="43"/>
        <v>#DIV/0!</v>
      </c>
      <c r="I194" s="52" t="e">
        <f>IF(AND(C$7="Y",$B194&lt;=C$4),0,IF(AND(C$7="Y",$B194&gt;C$4),(1-U194)*C$2*D193/12,IF(AND($C$7="N",C$4&gt;0),(1-U194)*D193*C$2/12, (1-U194)*D193*C$2/12)))</f>
        <v>#DIV/0!</v>
      </c>
      <c r="J194" s="57" t="e">
        <f t="shared" si="44"/>
        <v>#DIV/0!</v>
      </c>
      <c r="K194" s="51" t="e">
        <f t="shared" si="45"/>
        <v>#DIV/0!</v>
      </c>
      <c r="L194" s="49" t="e">
        <f>IF(AND(C$7="Y",$B194&lt;=$C$4),0,IF(AND(C$7="N",C$4&gt;0,B194&lt;=C$4),0,U194*D193))</f>
        <v>#DIV/0!</v>
      </c>
      <c r="M194" s="49">
        <f t="shared" si="53"/>
        <v>0</v>
      </c>
      <c r="N194" s="49">
        <f t="shared" si="52"/>
        <v>0</v>
      </c>
      <c r="O194" s="48" t="e">
        <f t="shared" si="46"/>
        <v>#DIV/0!</v>
      </c>
      <c r="P194" s="38" t="e">
        <f>O194*(1/((1+P$9)^(B194/12)))</f>
        <v>#DIV/0!</v>
      </c>
      <c r="Q194" s="53"/>
      <c r="R194" s="53">
        <f t="shared" si="47"/>
        <v>0.12</v>
      </c>
      <c r="S194" s="53">
        <f t="shared" si="48"/>
        <v>1.0596241035318976E-2</v>
      </c>
      <c r="T194" s="53">
        <f t="shared" si="49"/>
        <v>0.05</v>
      </c>
      <c r="U194" s="53">
        <f t="shared" si="50"/>
        <v>4.2653187775606449E-3</v>
      </c>
    </row>
    <row r="195" spans="1:21" x14ac:dyDescent="0.2">
      <c r="A195" s="62"/>
      <c r="B195" s="45">
        <f t="shared" si="39"/>
        <v>184</v>
      </c>
      <c r="C195" s="51" t="e">
        <f>IF(B195&lt;C$4,C$1,D194-L195+N195)</f>
        <v>#DIV/0!</v>
      </c>
      <c r="D195" s="47" t="e">
        <f t="shared" si="40"/>
        <v>#DIV/0!</v>
      </c>
      <c r="E195" s="48">
        <f t="shared" si="41"/>
        <v>0</v>
      </c>
      <c r="F195" s="50">
        <f t="shared" si="42"/>
        <v>0</v>
      </c>
      <c r="G195" s="50">
        <f t="shared" si="51"/>
        <v>0</v>
      </c>
      <c r="H195" s="51" t="e">
        <f t="shared" si="43"/>
        <v>#DIV/0!</v>
      </c>
      <c r="I195" s="52" t="e">
        <f>IF(AND(C$7="Y",$B195&lt;=C$4),0,IF(AND(C$7="Y",$B195&gt;C$4),(1-U195)*C$2*D194/12,IF(AND($C$7="N",C$4&gt;0),(1-U195)*D194*C$2/12, (1-U195)*D194*C$2/12)))</f>
        <v>#DIV/0!</v>
      </c>
      <c r="J195" s="57" t="e">
        <f t="shared" si="44"/>
        <v>#DIV/0!</v>
      </c>
      <c r="K195" s="51" t="e">
        <f t="shared" si="45"/>
        <v>#DIV/0!</v>
      </c>
      <c r="L195" s="49" t="e">
        <f>IF(AND(C$7="Y",$B195&lt;=$C$4),0,IF(AND(C$7="N",C$4&gt;0,B195&lt;=C$4),0,U195*D194))</f>
        <v>#DIV/0!</v>
      </c>
      <c r="M195" s="49">
        <f t="shared" si="53"/>
        <v>0</v>
      </c>
      <c r="N195" s="49">
        <f t="shared" si="52"/>
        <v>0</v>
      </c>
      <c r="O195" s="48" t="e">
        <f t="shared" si="46"/>
        <v>#DIV/0!</v>
      </c>
      <c r="P195" s="38" t="e">
        <f>O195*(1/((1+P$9)^(B195/12)))</f>
        <v>#DIV/0!</v>
      </c>
      <c r="Q195" s="53"/>
      <c r="R195" s="53">
        <f t="shared" si="47"/>
        <v>0.12</v>
      </c>
      <c r="S195" s="53">
        <f t="shared" si="48"/>
        <v>1.0596241035318976E-2</v>
      </c>
      <c r="T195" s="53">
        <f t="shared" si="49"/>
        <v>0.05</v>
      </c>
      <c r="U195" s="53">
        <f t="shared" si="50"/>
        <v>4.2653187775606449E-3</v>
      </c>
    </row>
    <row r="196" spans="1:21" x14ac:dyDescent="0.2">
      <c r="A196" s="62"/>
      <c r="B196" s="45">
        <f t="shared" si="39"/>
        <v>185</v>
      </c>
      <c r="C196" s="51" t="e">
        <f>IF(B196&lt;C$4,C$1,D195-L196+N196)</f>
        <v>#DIV/0!</v>
      </c>
      <c r="D196" s="47" t="e">
        <f t="shared" si="40"/>
        <v>#DIV/0!</v>
      </c>
      <c r="E196" s="48">
        <f t="shared" si="41"/>
        <v>0</v>
      </c>
      <c r="F196" s="50">
        <f t="shared" si="42"/>
        <v>0</v>
      </c>
      <c r="G196" s="50">
        <f t="shared" si="51"/>
        <v>0</v>
      </c>
      <c r="H196" s="51" t="e">
        <f t="shared" si="43"/>
        <v>#DIV/0!</v>
      </c>
      <c r="I196" s="52" t="e">
        <f>IF(AND(C$7="Y",$B196&lt;=C$4),0,IF(AND(C$7="Y",$B196&gt;C$4),(1-U196)*C$2*D195/12,IF(AND($C$7="N",C$4&gt;0),(1-U196)*D195*C$2/12, (1-U196)*D195*C$2/12)))</f>
        <v>#DIV/0!</v>
      </c>
      <c r="J196" s="57" t="e">
        <f t="shared" si="44"/>
        <v>#DIV/0!</v>
      </c>
      <c r="K196" s="51" t="e">
        <f t="shared" si="45"/>
        <v>#DIV/0!</v>
      </c>
      <c r="L196" s="49" t="e">
        <f>IF(AND(C$7="Y",$B196&lt;=$C$4),0,IF(AND(C$7="N",C$4&gt;0,B196&lt;=C$4),0,U196*D195))</f>
        <v>#DIV/0!</v>
      </c>
      <c r="M196" s="49">
        <f t="shared" si="53"/>
        <v>0</v>
      </c>
      <c r="N196" s="49">
        <f t="shared" si="52"/>
        <v>0</v>
      </c>
      <c r="O196" s="48" t="e">
        <f t="shared" si="46"/>
        <v>#DIV/0!</v>
      </c>
      <c r="P196" s="38" t="e">
        <f>O196*(1/((1+P$9)^(B196/12)))</f>
        <v>#DIV/0!</v>
      </c>
      <c r="Q196" s="53"/>
      <c r="R196" s="53">
        <f t="shared" si="47"/>
        <v>0.12</v>
      </c>
      <c r="S196" s="53">
        <f t="shared" si="48"/>
        <v>1.0596241035318976E-2</v>
      </c>
      <c r="T196" s="53">
        <f t="shared" si="49"/>
        <v>0.05</v>
      </c>
      <c r="U196" s="53">
        <f t="shared" si="50"/>
        <v>4.2653187775606449E-3</v>
      </c>
    </row>
    <row r="197" spans="1:21" x14ac:dyDescent="0.2">
      <c r="A197" s="62"/>
      <c r="B197" s="45">
        <f t="shared" si="39"/>
        <v>186</v>
      </c>
      <c r="C197" s="51" t="e">
        <f>IF(B197&lt;C$4,C$1,D196-L197+N197)</f>
        <v>#DIV/0!</v>
      </c>
      <c r="D197" s="47" t="e">
        <f t="shared" si="40"/>
        <v>#DIV/0!</v>
      </c>
      <c r="E197" s="48">
        <f t="shared" si="41"/>
        <v>0</v>
      </c>
      <c r="F197" s="50">
        <f t="shared" si="42"/>
        <v>0</v>
      </c>
      <c r="G197" s="50">
        <f t="shared" si="51"/>
        <v>0</v>
      </c>
      <c r="H197" s="51" t="e">
        <f t="shared" si="43"/>
        <v>#DIV/0!</v>
      </c>
      <c r="I197" s="52" t="e">
        <f>IF(AND(C$7="Y",$B197&lt;=C$4),0,IF(AND(C$7="Y",$B197&gt;C$4),(1-U197)*C$2*D196/12,IF(AND($C$7="N",C$4&gt;0),(1-U197)*D196*C$2/12, (1-U197)*D196*C$2/12)))</f>
        <v>#DIV/0!</v>
      </c>
      <c r="J197" s="57" t="e">
        <f t="shared" si="44"/>
        <v>#DIV/0!</v>
      </c>
      <c r="K197" s="51" t="e">
        <f t="shared" si="45"/>
        <v>#DIV/0!</v>
      </c>
      <c r="L197" s="49" t="e">
        <f>IF(AND(C$7="Y",$B197&lt;=$C$4),0,IF(AND(C$7="N",C$4&gt;0,B197&lt;=C$4),0,U197*D196))</f>
        <v>#DIV/0!</v>
      </c>
      <c r="M197" s="49">
        <f t="shared" si="53"/>
        <v>0</v>
      </c>
      <c r="N197" s="49">
        <f t="shared" si="52"/>
        <v>0</v>
      </c>
      <c r="O197" s="48" t="e">
        <f t="shared" si="46"/>
        <v>#DIV/0!</v>
      </c>
      <c r="P197" s="38" t="e">
        <f>O197*(1/((1+P$9)^(B197/12)))</f>
        <v>#DIV/0!</v>
      </c>
      <c r="Q197" s="53"/>
      <c r="R197" s="53">
        <f t="shared" si="47"/>
        <v>0.12</v>
      </c>
      <c r="S197" s="53">
        <f t="shared" si="48"/>
        <v>1.0596241035318976E-2</v>
      </c>
      <c r="T197" s="53">
        <f t="shared" si="49"/>
        <v>0.05</v>
      </c>
      <c r="U197" s="53">
        <f t="shared" si="50"/>
        <v>4.2653187775606449E-3</v>
      </c>
    </row>
    <row r="198" spans="1:21" x14ac:dyDescent="0.2">
      <c r="A198" s="62"/>
      <c r="B198" s="45">
        <f t="shared" si="39"/>
        <v>187</v>
      </c>
      <c r="C198" s="51" t="e">
        <f>IF(B198&lt;C$4,C$1,D197-L198+N198)</f>
        <v>#DIV/0!</v>
      </c>
      <c r="D198" s="47" t="e">
        <f t="shared" si="40"/>
        <v>#DIV/0!</v>
      </c>
      <c r="E198" s="48">
        <f t="shared" si="41"/>
        <v>0</v>
      </c>
      <c r="F198" s="50">
        <f t="shared" si="42"/>
        <v>0</v>
      </c>
      <c r="G198" s="50">
        <f t="shared" si="51"/>
        <v>0</v>
      </c>
      <c r="H198" s="51" t="e">
        <f t="shared" si="43"/>
        <v>#DIV/0!</v>
      </c>
      <c r="I198" s="52" t="e">
        <f>IF(AND(C$7="Y",$B198&lt;=C$4),0,IF(AND(C$7="Y",$B198&gt;C$4),(1-U198)*C$2*D197/12,IF(AND($C$7="N",C$4&gt;0),(1-U198)*D197*C$2/12, (1-U198)*D197*C$2/12)))</f>
        <v>#DIV/0!</v>
      </c>
      <c r="J198" s="57" t="e">
        <f t="shared" si="44"/>
        <v>#DIV/0!</v>
      </c>
      <c r="K198" s="51" t="e">
        <f t="shared" si="45"/>
        <v>#DIV/0!</v>
      </c>
      <c r="L198" s="49" t="e">
        <f>IF(AND(C$7="Y",$B198&lt;=$C$4),0,IF(AND(C$7="N",C$4&gt;0,B198&lt;=C$4),0,U198*D197))</f>
        <v>#DIV/0!</v>
      </c>
      <c r="M198" s="49">
        <f t="shared" si="53"/>
        <v>0</v>
      </c>
      <c r="N198" s="49">
        <f t="shared" si="52"/>
        <v>0</v>
      </c>
      <c r="O198" s="48" t="e">
        <f t="shared" si="46"/>
        <v>#DIV/0!</v>
      </c>
      <c r="P198" s="38" t="e">
        <f>O198*(1/((1+P$9)^(B198/12)))</f>
        <v>#DIV/0!</v>
      </c>
      <c r="Q198" s="53"/>
      <c r="R198" s="53">
        <f t="shared" si="47"/>
        <v>0.12</v>
      </c>
      <c r="S198" s="53">
        <f t="shared" si="48"/>
        <v>1.0596241035318976E-2</v>
      </c>
      <c r="T198" s="53">
        <f t="shared" si="49"/>
        <v>0.05</v>
      </c>
      <c r="U198" s="53">
        <f t="shared" si="50"/>
        <v>4.2653187775606449E-3</v>
      </c>
    </row>
    <row r="199" spans="1:21" x14ac:dyDescent="0.2">
      <c r="A199" s="62"/>
      <c r="B199" s="45">
        <f t="shared" si="39"/>
        <v>188</v>
      </c>
      <c r="C199" s="51" t="e">
        <f>IF(B199&lt;C$4,C$1,D198-L199+N199)</f>
        <v>#DIV/0!</v>
      </c>
      <c r="D199" s="47" t="e">
        <f t="shared" si="40"/>
        <v>#DIV/0!</v>
      </c>
      <c r="E199" s="48">
        <f t="shared" si="41"/>
        <v>0</v>
      </c>
      <c r="F199" s="50">
        <f t="shared" si="42"/>
        <v>0</v>
      </c>
      <c r="G199" s="50">
        <f t="shared" si="51"/>
        <v>0</v>
      </c>
      <c r="H199" s="51" t="e">
        <f t="shared" si="43"/>
        <v>#DIV/0!</v>
      </c>
      <c r="I199" s="52" t="e">
        <f>IF(AND(C$7="Y",$B199&lt;=C$4),0,IF(AND(C$7="Y",$B199&gt;C$4),(1-U199)*C$2*D198/12,IF(AND($C$7="N",C$4&gt;0),(1-U199)*D198*C$2/12, (1-U199)*D198*C$2/12)))</f>
        <v>#DIV/0!</v>
      </c>
      <c r="J199" s="57" t="e">
        <f t="shared" si="44"/>
        <v>#DIV/0!</v>
      </c>
      <c r="K199" s="51" t="e">
        <f t="shared" si="45"/>
        <v>#DIV/0!</v>
      </c>
      <c r="L199" s="49" t="e">
        <f>IF(AND(C$7="Y",$B199&lt;=$C$4),0,IF(AND(C$7="N",C$4&gt;0,B199&lt;=C$4),0,U199*D198))</f>
        <v>#DIV/0!</v>
      </c>
      <c r="M199" s="49">
        <f t="shared" si="53"/>
        <v>0</v>
      </c>
      <c r="N199" s="49">
        <f t="shared" si="52"/>
        <v>0</v>
      </c>
      <c r="O199" s="48" t="e">
        <f t="shared" si="46"/>
        <v>#DIV/0!</v>
      </c>
      <c r="P199" s="38" t="e">
        <f>O199*(1/((1+P$9)^(B199/12)))</f>
        <v>#DIV/0!</v>
      </c>
      <c r="Q199" s="53"/>
      <c r="R199" s="53">
        <f t="shared" si="47"/>
        <v>0.12</v>
      </c>
      <c r="S199" s="53">
        <f t="shared" si="48"/>
        <v>1.0596241035318976E-2</v>
      </c>
      <c r="T199" s="53">
        <f t="shared" si="49"/>
        <v>0.05</v>
      </c>
      <c r="U199" s="53">
        <f t="shared" si="50"/>
        <v>4.2653187775606449E-3</v>
      </c>
    </row>
    <row r="200" spans="1:21" x14ac:dyDescent="0.2">
      <c r="A200" s="62"/>
      <c r="B200" s="45">
        <f t="shared" si="39"/>
        <v>189</v>
      </c>
      <c r="C200" s="51" t="e">
        <f>IF(B200&lt;C$4,C$1,D199-L200+N200)</f>
        <v>#DIV/0!</v>
      </c>
      <c r="D200" s="47" t="e">
        <f t="shared" si="40"/>
        <v>#DIV/0!</v>
      </c>
      <c r="E200" s="48">
        <f t="shared" si="41"/>
        <v>0</v>
      </c>
      <c r="F200" s="50">
        <f t="shared" si="42"/>
        <v>0</v>
      </c>
      <c r="G200" s="50">
        <f t="shared" si="51"/>
        <v>0</v>
      </c>
      <c r="H200" s="51" t="e">
        <f t="shared" si="43"/>
        <v>#DIV/0!</v>
      </c>
      <c r="I200" s="52" t="e">
        <f>IF(AND(C$7="Y",$B200&lt;=C$4),0,IF(AND(C$7="Y",$B200&gt;C$4),(1-U200)*C$2*D199/12,IF(AND($C$7="N",C$4&gt;0),(1-U200)*D199*C$2/12, (1-U200)*D199*C$2/12)))</f>
        <v>#DIV/0!</v>
      </c>
      <c r="J200" s="57" t="e">
        <f t="shared" si="44"/>
        <v>#DIV/0!</v>
      </c>
      <c r="K200" s="51" t="e">
        <f t="shared" si="45"/>
        <v>#DIV/0!</v>
      </c>
      <c r="L200" s="49" t="e">
        <f>IF(AND(C$7="Y",$B200&lt;=$C$4),0,IF(AND(C$7="N",C$4&gt;0,B200&lt;=C$4),0,U200*D199))</f>
        <v>#DIV/0!</v>
      </c>
      <c r="M200" s="49">
        <f t="shared" si="53"/>
        <v>0</v>
      </c>
      <c r="N200" s="49">
        <f t="shared" si="52"/>
        <v>0</v>
      </c>
      <c r="O200" s="48" t="e">
        <f t="shared" si="46"/>
        <v>#DIV/0!</v>
      </c>
      <c r="P200" s="38" t="e">
        <f>O200*(1/((1+P$9)^(B200/12)))</f>
        <v>#DIV/0!</v>
      </c>
      <c r="Q200" s="53"/>
      <c r="R200" s="53">
        <f t="shared" si="47"/>
        <v>0.12</v>
      </c>
      <c r="S200" s="53">
        <f t="shared" si="48"/>
        <v>1.0596241035318976E-2</v>
      </c>
      <c r="T200" s="53">
        <f t="shared" si="49"/>
        <v>0.05</v>
      </c>
      <c r="U200" s="53">
        <f t="shared" si="50"/>
        <v>4.2653187775606449E-3</v>
      </c>
    </row>
    <row r="201" spans="1:21" x14ac:dyDescent="0.2">
      <c r="A201" s="62"/>
      <c r="B201" s="45">
        <f t="shared" si="39"/>
        <v>190</v>
      </c>
      <c r="C201" s="51" t="e">
        <f>IF(B201&lt;C$4,C$1,D200-L201+N201)</f>
        <v>#DIV/0!</v>
      </c>
      <c r="D201" s="47" t="e">
        <f t="shared" si="40"/>
        <v>#DIV/0!</v>
      </c>
      <c r="E201" s="48">
        <f t="shared" si="41"/>
        <v>0</v>
      </c>
      <c r="F201" s="50">
        <f t="shared" si="42"/>
        <v>0</v>
      </c>
      <c r="G201" s="50">
        <f t="shared" si="51"/>
        <v>0</v>
      </c>
      <c r="H201" s="51" t="e">
        <f t="shared" si="43"/>
        <v>#DIV/0!</v>
      </c>
      <c r="I201" s="52" t="e">
        <f>IF(AND(C$7="Y",$B201&lt;=C$4),0,IF(AND(C$7="Y",$B201&gt;C$4),(1-U201)*C$2*D200/12,IF(AND($C$7="N",C$4&gt;0),(1-U201)*D200*C$2/12, (1-U201)*D200*C$2/12)))</f>
        <v>#DIV/0!</v>
      </c>
      <c r="J201" s="57" t="e">
        <f t="shared" si="44"/>
        <v>#DIV/0!</v>
      </c>
      <c r="K201" s="51" t="e">
        <f t="shared" si="45"/>
        <v>#DIV/0!</v>
      </c>
      <c r="L201" s="49" t="e">
        <f>IF(AND(C$7="Y",$B201&lt;=$C$4),0,IF(AND(C$7="N",C$4&gt;0,B201&lt;=C$4),0,U201*D200))</f>
        <v>#DIV/0!</v>
      </c>
      <c r="M201" s="49">
        <f t="shared" si="53"/>
        <v>0</v>
      </c>
      <c r="N201" s="49">
        <f t="shared" si="52"/>
        <v>0</v>
      </c>
      <c r="O201" s="48" t="e">
        <f t="shared" si="46"/>
        <v>#DIV/0!</v>
      </c>
      <c r="P201" s="38" t="e">
        <f>O201*(1/((1+P$9)^(B201/12)))</f>
        <v>#DIV/0!</v>
      </c>
      <c r="Q201" s="53"/>
      <c r="R201" s="53">
        <f t="shared" si="47"/>
        <v>0.12</v>
      </c>
      <c r="S201" s="53">
        <f t="shared" si="48"/>
        <v>1.0596241035318976E-2</v>
      </c>
      <c r="T201" s="53">
        <f t="shared" si="49"/>
        <v>0.05</v>
      </c>
      <c r="U201" s="53">
        <f t="shared" si="50"/>
        <v>4.2653187775606449E-3</v>
      </c>
    </row>
    <row r="202" spans="1:21" x14ac:dyDescent="0.2">
      <c r="A202" s="62"/>
      <c r="B202" s="45">
        <f t="shared" si="39"/>
        <v>191</v>
      </c>
      <c r="C202" s="51" t="e">
        <f>IF(B202&lt;C$4,C$1,D201-L202+N202)</f>
        <v>#DIV/0!</v>
      </c>
      <c r="D202" s="47" t="e">
        <f t="shared" si="40"/>
        <v>#DIV/0!</v>
      </c>
      <c r="E202" s="48">
        <f t="shared" si="41"/>
        <v>0</v>
      </c>
      <c r="F202" s="50">
        <f t="shared" si="42"/>
        <v>0</v>
      </c>
      <c r="G202" s="50">
        <f t="shared" si="51"/>
        <v>0</v>
      </c>
      <c r="H202" s="51" t="e">
        <f t="shared" si="43"/>
        <v>#DIV/0!</v>
      </c>
      <c r="I202" s="52" t="e">
        <f>IF(AND(C$7="Y",$B202&lt;=C$4),0,IF(AND(C$7="Y",$B202&gt;C$4),(1-U202)*C$2*D201/12,IF(AND($C$7="N",C$4&gt;0),(1-U202)*D201*C$2/12, (1-U202)*D201*C$2/12)))</f>
        <v>#DIV/0!</v>
      </c>
      <c r="J202" s="57" t="e">
        <f t="shared" si="44"/>
        <v>#DIV/0!</v>
      </c>
      <c r="K202" s="51" t="e">
        <f t="shared" si="45"/>
        <v>#DIV/0!</v>
      </c>
      <c r="L202" s="49" t="e">
        <f>IF(AND(C$7="Y",$B202&lt;=$C$4),0,IF(AND(C$7="N",C$4&gt;0,B202&lt;=C$4),0,U202*D201))</f>
        <v>#DIV/0!</v>
      </c>
      <c r="M202" s="49">
        <f t="shared" si="53"/>
        <v>0</v>
      </c>
      <c r="N202" s="49">
        <f t="shared" si="52"/>
        <v>0</v>
      </c>
      <c r="O202" s="48" t="e">
        <f t="shared" si="46"/>
        <v>#DIV/0!</v>
      </c>
      <c r="P202" s="38" t="e">
        <f>O202*(1/((1+P$9)^(B202/12)))</f>
        <v>#DIV/0!</v>
      </c>
      <c r="Q202" s="53"/>
      <c r="R202" s="53">
        <f t="shared" si="47"/>
        <v>0.12</v>
      </c>
      <c r="S202" s="53">
        <f t="shared" si="48"/>
        <v>1.0596241035318976E-2</v>
      </c>
      <c r="T202" s="53">
        <f t="shared" si="49"/>
        <v>0.05</v>
      </c>
      <c r="U202" s="53">
        <f t="shared" si="50"/>
        <v>4.2653187775606449E-3</v>
      </c>
    </row>
    <row r="203" spans="1:21" x14ac:dyDescent="0.2">
      <c r="A203" s="62"/>
      <c r="B203" s="45">
        <f t="shared" si="39"/>
        <v>192</v>
      </c>
      <c r="C203" s="51" t="e">
        <f>IF(B203&lt;C$4,C$1,D202-L203+N203)</f>
        <v>#DIV/0!</v>
      </c>
      <c r="D203" s="47" t="e">
        <f t="shared" si="40"/>
        <v>#DIV/0!</v>
      </c>
      <c r="E203" s="48">
        <f t="shared" si="41"/>
        <v>0</v>
      </c>
      <c r="F203" s="50">
        <f t="shared" si="42"/>
        <v>0</v>
      </c>
      <c r="G203" s="50">
        <f t="shared" si="51"/>
        <v>0</v>
      </c>
      <c r="H203" s="51" t="e">
        <f t="shared" si="43"/>
        <v>#DIV/0!</v>
      </c>
      <c r="I203" s="52" t="e">
        <f>IF(AND(C$7="Y",$B203&lt;=C$4),0,IF(AND(C$7="Y",$B203&gt;C$4),(1-U203)*C$2*D202/12,IF(AND($C$7="N",C$4&gt;0),(1-U203)*D202*C$2/12, (1-U203)*D202*C$2/12)))</f>
        <v>#DIV/0!</v>
      </c>
      <c r="J203" s="57" t="e">
        <f t="shared" si="44"/>
        <v>#DIV/0!</v>
      </c>
      <c r="K203" s="51" t="e">
        <f t="shared" si="45"/>
        <v>#DIV/0!</v>
      </c>
      <c r="L203" s="49" t="e">
        <f>IF(AND(C$7="Y",$B203&lt;=$C$4),0,IF(AND(C$7="N",C$4&gt;0,B203&lt;=C$4),0,U203*D202))</f>
        <v>#DIV/0!</v>
      </c>
      <c r="M203" s="49">
        <f t="shared" si="53"/>
        <v>0</v>
      </c>
      <c r="N203" s="49">
        <f t="shared" si="52"/>
        <v>0</v>
      </c>
      <c r="O203" s="48" t="e">
        <f t="shared" si="46"/>
        <v>#DIV/0!</v>
      </c>
      <c r="P203" s="38" t="e">
        <f>O203*(1/((1+P$9)^(B203/12)))</f>
        <v>#DIV/0!</v>
      </c>
      <c r="Q203" s="53"/>
      <c r="R203" s="53">
        <f t="shared" si="47"/>
        <v>0.12</v>
      </c>
      <c r="S203" s="53">
        <f t="shared" si="48"/>
        <v>1.0596241035318976E-2</v>
      </c>
      <c r="T203" s="53">
        <f t="shared" si="49"/>
        <v>0.05</v>
      </c>
      <c r="U203" s="53">
        <f t="shared" si="50"/>
        <v>4.2653187775606449E-3</v>
      </c>
    </row>
    <row r="204" spans="1:21" x14ac:dyDescent="0.2">
      <c r="A204" s="62"/>
      <c r="B204" s="45">
        <f t="shared" si="39"/>
        <v>193</v>
      </c>
      <c r="C204" s="51" t="e">
        <f>IF(B204&lt;C$4,C$1,D203-L204+N204)</f>
        <v>#DIV/0!</v>
      </c>
      <c r="D204" s="47" t="e">
        <f t="shared" si="40"/>
        <v>#DIV/0!</v>
      </c>
      <c r="E204" s="48">
        <f t="shared" si="41"/>
        <v>0</v>
      </c>
      <c r="F204" s="50">
        <f t="shared" si="42"/>
        <v>0</v>
      </c>
      <c r="G204" s="50">
        <f t="shared" si="51"/>
        <v>0</v>
      </c>
      <c r="H204" s="51" t="e">
        <f t="shared" si="43"/>
        <v>#DIV/0!</v>
      </c>
      <c r="I204" s="52" t="e">
        <f>IF(AND(C$7="Y",$B204&lt;=C$4),0,IF(AND(C$7="Y",$B204&gt;C$4),(1-U204)*C$2*D203/12,IF(AND($C$7="N",C$4&gt;0),(1-U204)*D203*C$2/12, (1-U204)*D203*C$2/12)))</f>
        <v>#DIV/0!</v>
      </c>
      <c r="J204" s="57" t="e">
        <f t="shared" si="44"/>
        <v>#DIV/0!</v>
      </c>
      <c r="K204" s="51" t="e">
        <f t="shared" si="45"/>
        <v>#DIV/0!</v>
      </c>
      <c r="L204" s="49" t="e">
        <f>IF(AND(C$7="Y",$B204&lt;=$C$4),0,IF(AND(C$7="N",C$4&gt;0,B204&lt;=C$4),0,U204*D203))</f>
        <v>#DIV/0!</v>
      </c>
      <c r="M204" s="49">
        <f t="shared" si="53"/>
        <v>0</v>
      </c>
      <c r="N204" s="49">
        <f t="shared" si="52"/>
        <v>0</v>
      </c>
      <c r="O204" s="48" t="e">
        <f t="shared" si="46"/>
        <v>#DIV/0!</v>
      </c>
      <c r="P204" s="38" t="e">
        <f>O204*(1/((1+P$9)^(B204/12)))</f>
        <v>#DIV/0!</v>
      </c>
      <c r="Q204" s="53"/>
      <c r="R204" s="53">
        <f t="shared" si="47"/>
        <v>0.12</v>
      </c>
      <c r="S204" s="53">
        <f t="shared" si="48"/>
        <v>1.0596241035318976E-2</v>
      </c>
      <c r="T204" s="53">
        <f t="shared" si="49"/>
        <v>0.05</v>
      </c>
      <c r="U204" s="53">
        <f t="shared" si="50"/>
        <v>4.2653187775606449E-3</v>
      </c>
    </row>
    <row r="205" spans="1:21" x14ac:dyDescent="0.2">
      <c r="A205" s="62"/>
      <c r="B205" s="45">
        <f t="shared" ref="B205:B220" si="54">B204+1</f>
        <v>194</v>
      </c>
      <c r="C205" s="51" t="e">
        <f>IF(B205&lt;C$4,C$1,D204-L205+N205)</f>
        <v>#DIV/0!</v>
      </c>
      <c r="D205" s="47" t="e">
        <f t="shared" ref="D205:D216" si="55">(D204-J205)*(1-S205-U205)</f>
        <v>#DIV/0!</v>
      </c>
      <c r="E205" s="48">
        <f t="shared" ref="E205:E216" si="56">IF(AND($C$7="Y",B205&lt;=$C$4),D204*C$2/12-G205,0)</f>
        <v>0</v>
      </c>
      <c r="F205" s="50">
        <f t="shared" ref="F205:F216" si="57">IF(AND($C$7="Y",B205&lt;=C$4),E205+F204,0)</f>
        <v>0</v>
      </c>
      <c r="G205" s="50">
        <f t="shared" si="51"/>
        <v>0</v>
      </c>
      <c r="H205" s="51" t="e">
        <f t="shared" ref="H205:H216" si="58">IF(AND($B205&lt;=$C$4,C$7="Y"),0,IF(AND(C$7="N",C$4&gt;0,B205&lt;=C$4),0,(D204)*C$2/12/(1-(1/(1+C$2/12))^(C$3+C$4-B205+1))))</f>
        <v>#DIV/0!</v>
      </c>
      <c r="I205" s="52" t="e">
        <f>IF(AND(C$7="Y",$B205&lt;=C$4),0,IF(AND(C$7="Y",$B205&gt;C$4),(1-U205)*C$2*D204/12,IF(AND($C$7="N",C$4&gt;0),(1-U205)*D204*C$2/12, (1-U205)*D204*C$2/12)))</f>
        <v>#DIV/0!</v>
      </c>
      <c r="J205" s="57" t="e">
        <f t="shared" ref="J205:J216" si="59">IF(AND($B205&lt;=$C$4,C$7="Y"),0,IF(AND(C$7="N",C$4&gt;0,B205&lt;=C$4),0,H205-I205-D204*U205*C$2/12))</f>
        <v>#DIV/0!</v>
      </c>
      <c r="K205" s="51" t="e">
        <f t="shared" ref="K205:K232" si="60">(D204-D205)-L205+L205*(1-N$9)</f>
        <v>#DIV/0!</v>
      </c>
      <c r="L205" s="49" t="e">
        <f>IF(AND(C$7="Y",$B205&lt;=$C$4),0,IF(AND(C$7="N",C$4&gt;0,B205&lt;=C$4),0,U205*D204))</f>
        <v>#DIV/0!</v>
      </c>
      <c r="M205" s="49">
        <f t="shared" si="53"/>
        <v>0</v>
      </c>
      <c r="N205" s="49">
        <f t="shared" si="52"/>
        <v>0</v>
      </c>
      <c r="O205" s="48" t="e">
        <f t="shared" ref="O205:O232" si="61">I205+K205</f>
        <v>#DIV/0!</v>
      </c>
      <c r="P205" s="38" t="e">
        <f>O205*(1/((1+P$9)^(B205/12)))</f>
        <v>#DIV/0!</v>
      </c>
      <c r="Q205" s="53"/>
      <c r="R205" s="53">
        <f t="shared" ref="R205:R216" si="62">R$9</f>
        <v>0.12</v>
      </c>
      <c r="S205" s="53">
        <f t="shared" ref="S205:S216" si="63">1-(1-R205)^(1/12)</f>
        <v>1.0596241035318976E-2</v>
      </c>
      <c r="T205" s="53">
        <f t="shared" ref="T205:T216" si="64">T$9</f>
        <v>0.05</v>
      </c>
      <c r="U205" s="53">
        <f t="shared" si="50"/>
        <v>4.2653187775606449E-3</v>
      </c>
    </row>
    <row r="206" spans="1:21" x14ac:dyDescent="0.2">
      <c r="A206" s="62"/>
      <c r="B206" s="45">
        <f t="shared" si="54"/>
        <v>195</v>
      </c>
      <c r="C206" s="51" t="e">
        <f>IF(B206&lt;C$4,C$1,D205-L206+N206)</f>
        <v>#DIV/0!</v>
      </c>
      <c r="D206" s="47" t="e">
        <f t="shared" si="55"/>
        <v>#DIV/0!</v>
      </c>
      <c r="E206" s="48">
        <f t="shared" si="56"/>
        <v>0</v>
      </c>
      <c r="F206" s="50">
        <f t="shared" si="57"/>
        <v>0</v>
      </c>
      <c r="G206" s="50">
        <f t="shared" si="51"/>
        <v>0</v>
      </c>
      <c r="H206" s="51" t="e">
        <f t="shared" si="58"/>
        <v>#DIV/0!</v>
      </c>
      <c r="I206" s="52" t="e">
        <f>IF(AND(C$7="Y",$B206&lt;=C$4),0,IF(AND(C$7="Y",$B206&gt;C$4),(1-U206)*C$2*D205/12,IF(AND($C$7="N",C$4&gt;0),(1-U206)*D205*C$2/12, (1-U206)*D205*C$2/12)))</f>
        <v>#DIV/0!</v>
      </c>
      <c r="J206" s="57" t="e">
        <f t="shared" si="59"/>
        <v>#DIV/0!</v>
      </c>
      <c r="K206" s="51" t="e">
        <f t="shared" si="60"/>
        <v>#DIV/0!</v>
      </c>
      <c r="L206" s="49" t="e">
        <f>IF(AND(C$7="Y",$B206&lt;=$C$4),0,IF(AND(C$7="N",C$4&gt;0,B206&lt;=C$4),0,U206*D205))</f>
        <v>#DIV/0!</v>
      </c>
      <c r="M206" s="49">
        <f t="shared" si="53"/>
        <v>0</v>
      </c>
      <c r="N206" s="49">
        <f t="shared" si="52"/>
        <v>0</v>
      </c>
      <c r="O206" s="48" t="e">
        <f t="shared" si="61"/>
        <v>#DIV/0!</v>
      </c>
      <c r="P206" s="38" t="e">
        <f>O206*(1/((1+P$9)^(B206/12)))</f>
        <v>#DIV/0!</v>
      </c>
      <c r="Q206" s="53"/>
      <c r="R206" s="53">
        <f t="shared" si="62"/>
        <v>0.12</v>
      </c>
      <c r="S206" s="53">
        <f t="shared" si="63"/>
        <v>1.0596241035318976E-2</v>
      </c>
      <c r="T206" s="53">
        <f t="shared" si="64"/>
        <v>0.05</v>
      </c>
      <c r="U206" s="53">
        <f t="shared" ref="U206:U216" si="65">1-(1-T206)^(1/12)</f>
        <v>4.2653187775606449E-3</v>
      </c>
    </row>
    <row r="207" spans="1:21" x14ac:dyDescent="0.2">
      <c r="A207" s="62"/>
      <c r="B207" s="45">
        <f t="shared" si="54"/>
        <v>196</v>
      </c>
      <c r="C207" s="51" t="e">
        <f>IF(B207&lt;C$4,C$1,D206-L207+N207)</f>
        <v>#DIV/0!</v>
      </c>
      <c r="D207" s="47" t="e">
        <f t="shared" si="55"/>
        <v>#DIV/0!</v>
      </c>
      <c r="E207" s="48">
        <f t="shared" si="56"/>
        <v>0</v>
      </c>
      <c r="F207" s="50">
        <f t="shared" si="57"/>
        <v>0</v>
      </c>
      <c r="G207" s="50">
        <f t="shared" ref="G207:G216" si="66">IF($B207&lt;=$C$4,C$6,0)</f>
        <v>0</v>
      </c>
      <c r="H207" s="51" t="e">
        <f t="shared" si="58"/>
        <v>#DIV/0!</v>
      </c>
      <c r="I207" s="52" t="e">
        <f>IF(AND(C$7="Y",$B207&lt;=C$4),0,IF(AND(C$7="Y",$B207&gt;C$4),(1-U207)*C$2*D206/12,IF(AND($C$7="N",C$4&gt;0),(1-U207)*D206*C$2/12, (1-U207)*D206*C$2/12)))</f>
        <v>#DIV/0!</v>
      </c>
      <c r="J207" s="57" t="e">
        <f t="shared" si="59"/>
        <v>#DIV/0!</v>
      </c>
      <c r="K207" s="51" t="e">
        <f t="shared" si="60"/>
        <v>#DIV/0!</v>
      </c>
      <c r="L207" s="49" t="e">
        <f>IF(AND(C$7="Y",$B207&lt;=$C$4),0,IF(AND(C$7="N",C$4&gt;0,B207&lt;=C$4),0,U207*D206))</f>
        <v>#DIV/0!</v>
      </c>
      <c r="M207" s="49">
        <f t="shared" si="53"/>
        <v>0</v>
      </c>
      <c r="N207" s="49">
        <f t="shared" si="52"/>
        <v>0</v>
      </c>
      <c r="O207" s="48" t="e">
        <f t="shared" si="61"/>
        <v>#DIV/0!</v>
      </c>
      <c r="P207" s="38" t="e">
        <f>O207*(1/((1+P$9)^(B207/12)))</f>
        <v>#DIV/0!</v>
      </c>
      <c r="Q207" s="53"/>
      <c r="R207" s="53">
        <f t="shared" si="62"/>
        <v>0.12</v>
      </c>
      <c r="S207" s="53">
        <f t="shared" si="63"/>
        <v>1.0596241035318976E-2</v>
      </c>
      <c r="T207" s="53">
        <f t="shared" si="64"/>
        <v>0.05</v>
      </c>
      <c r="U207" s="53">
        <f t="shared" si="65"/>
        <v>4.2653187775606449E-3</v>
      </c>
    </row>
    <row r="208" spans="1:21" x14ac:dyDescent="0.2">
      <c r="A208" s="62"/>
      <c r="B208" s="45">
        <f t="shared" si="54"/>
        <v>197</v>
      </c>
      <c r="C208" s="51" t="e">
        <f>IF(B208&lt;C$4,C$1,D207-L208+N208)</f>
        <v>#DIV/0!</v>
      </c>
      <c r="D208" s="47" t="e">
        <f t="shared" si="55"/>
        <v>#DIV/0!</v>
      </c>
      <c r="E208" s="48">
        <f t="shared" si="56"/>
        <v>0</v>
      </c>
      <c r="F208" s="50">
        <f t="shared" si="57"/>
        <v>0</v>
      </c>
      <c r="G208" s="50">
        <f t="shared" si="66"/>
        <v>0</v>
      </c>
      <c r="H208" s="51" t="e">
        <f t="shared" si="58"/>
        <v>#DIV/0!</v>
      </c>
      <c r="I208" s="52" t="e">
        <f>IF(AND(C$7="Y",$B208&lt;=C$4),0,IF(AND(C$7="Y",$B208&gt;C$4),(1-U208)*C$2*D207/12,IF(AND($C$7="N",C$4&gt;0),(1-U208)*D207*C$2/12, (1-U208)*D207*C$2/12)))</f>
        <v>#DIV/0!</v>
      </c>
      <c r="J208" s="57" t="e">
        <f t="shared" si="59"/>
        <v>#DIV/0!</v>
      </c>
      <c r="K208" s="51" t="e">
        <f t="shared" si="60"/>
        <v>#DIV/0!</v>
      </c>
      <c r="L208" s="49" t="e">
        <f>IF(AND(C$7="Y",$B208&lt;=$C$4),0,IF(AND(C$7="N",C$4&gt;0,B208&lt;=C$4),0,U208*D207))</f>
        <v>#DIV/0!</v>
      </c>
      <c r="M208" s="49">
        <f t="shared" si="53"/>
        <v>0</v>
      </c>
      <c r="N208" s="49">
        <f t="shared" si="52"/>
        <v>0</v>
      </c>
      <c r="O208" s="48" t="e">
        <f t="shared" si="61"/>
        <v>#DIV/0!</v>
      </c>
      <c r="P208" s="38" t="e">
        <f>O208*(1/((1+P$9)^(B208/12)))</f>
        <v>#DIV/0!</v>
      </c>
      <c r="Q208" s="53"/>
      <c r="R208" s="53">
        <f t="shared" si="62"/>
        <v>0.12</v>
      </c>
      <c r="S208" s="53">
        <f t="shared" si="63"/>
        <v>1.0596241035318976E-2</v>
      </c>
      <c r="T208" s="53">
        <f t="shared" si="64"/>
        <v>0.05</v>
      </c>
      <c r="U208" s="53">
        <f t="shared" si="65"/>
        <v>4.2653187775606449E-3</v>
      </c>
    </row>
    <row r="209" spans="1:21" x14ac:dyDescent="0.2">
      <c r="A209" s="62"/>
      <c r="B209" s="45">
        <f t="shared" si="54"/>
        <v>198</v>
      </c>
      <c r="C209" s="51" t="e">
        <f>IF(B209&lt;C$4,C$1,D208-L209+N209)</f>
        <v>#DIV/0!</v>
      </c>
      <c r="D209" s="47" t="e">
        <f t="shared" si="55"/>
        <v>#DIV/0!</v>
      </c>
      <c r="E209" s="48">
        <f t="shared" si="56"/>
        <v>0</v>
      </c>
      <c r="F209" s="50">
        <f t="shared" si="57"/>
        <v>0</v>
      </c>
      <c r="G209" s="50">
        <f t="shared" si="66"/>
        <v>0</v>
      </c>
      <c r="H209" s="51" t="e">
        <f t="shared" si="58"/>
        <v>#DIV/0!</v>
      </c>
      <c r="I209" s="52" t="e">
        <f>IF(AND(C$7="Y",$B209&lt;=C$4),0,IF(AND(C$7="Y",$B209&gt;C$4),(1-U209)*C$2*D208/12,IF(AND($C$7="N",C$4&gt;0),(1-U209)*D208*C$2/12, (1-U209)*D208*C$2/12)))</f>
        <v>#DIV/0!</v>
      </c>
      <c r="J209" s="57" t="e">
        <f t="shared" si="59"/>
        <v>#DIV/0!</v>
      </c>
      <c r="K209" s="51" t="e">
        <f t="shared" si="60"/>
        <v>#DIV/0!</v>
      </c>
      <c r="L209" s="49" t="e">
        <f>IF(AND(C$7="Y",$B209&lt;=$C$4),0,IF(AND(C$7="N",C$4&gt;0,B209&lt;=C$4),0,U209*D208))</f>
        <v>#DIV/0!</v>
      </c>
      <c r="M209" s="49">
        <f t="shared" si="53"/>
        <v>0</v>
      </c>
      <c r="N209" s="49">
        <f t="shared" si="52"/>
        <v>0</v>
      </c>
      <c r="O209" s="48" t="e">
        <f t="shared" si="61"/>
        <v>#DIV/0!</v>
      </c>
      <c r="P209" s="38" t="e">
        <f>O209*(1/((1+P$9)^(B209/12)))</f>
        <v>#DIV/0!</v>
      </c>
      <c r="Q209" s="53"/>
      <c r="R209" s="53">
        <f t="shared" si="62"/>
        <v>0.12</v>
      </c>
      <c r="S209" s="53">
        <f t="shared" si="63"/>
        <v>1.0596241035318976E-2</v>
      </c>
      <c r="T209" s="53">
        <f t="shared" si="64"/>
        <v>0.05</v>
      </c>
      <c r="U209" s="53">
        <f t="shared" si="65"/>
        <v>4.2653187775606449E-3</v>
      </c>
    </row>
    <row r="210" spans="1:21" x14ac:dyDescent="0.2">
      <c r="A210" s="62"/>
      <c r="B210" s="45">
        <f t="shared" si="54"/>
        <v>199</v>
      </c>
      <c r="C210" s="51" t="e">
        <f>IF(B210&lt;C$4,C$1,D209-L210+N210)</f>
        <v>#DIV/0!</v>
      </c>
      <c r="D210" s="47" t="e">
        <f t="shared" si="55"/>
        <v>#DIV/0!</v>
      </c>
      <c r="E210" s="48">
        <f t="shared" si="56"/>
        <v>0</v>
      </c>
      <c r="F210" s="50">
        <f t="shared" si="57"/>
        <v>0</v>
      </c>
      <c r="G210" s="50">
        <f t="shared" si="66"/>
        <v>0</v>
      </c>
      <c r="H210" s="51" t="e">
        <f t="shared" si="58"/>
        <v>#DIV/0!</v>
      </c>
      <c r="I210" s="52" t="e">
        <f>IF(AND(C$7="Y",$B210&lt;=C$4),0,IF(AND(C$7="Y",$B210&gt;C$4),(1-U210)*C$2*D209/12,IF(AND($C$7="N",C$4&gt;0),(1-U210)*D209*C$2/12, (1-U210)*D209*C$2/12)))</f>
        <v>#DIV/0!</v>
      </c>
      <c r="J210" s="57" t="e">
        <f t="shared" si="59"/>
        <v>#DIV/0!</v>
      </c>
      <c r="K210" s="51" t="e">
        <f t="shared" si="60"/>
        <v>#DIV/0!</v>
      </c>
      <c r="L210" s="49" t="e">
        <f>IF(AND(C$7="Y",$B210&lt;=$C$4),0,IF(AND(C$7="N",C$4&gt;0,B210&lt;=C$4),0,U210*D209))</f>
        <v>#DIV/0!</v>
      </c>
      <c r="M210" s="49">
        <f t="shared" si="53"/>
        <v>0</v>
      </c>
      <c r="N210" s="49">
        <f t="shared" si="52"/>
        <v>0</v>
      </c>
      <c r="O210" s="48" t="e">
        <f t="shared" si="61"/>
        <v>#DIV/0!</v>
      </c>
      <c r="P210" s="38" t="e">
        <f>O210*(1/((1+P$9)^(B210/12)))</f>
        <v>#DIV/0!</v>
      </c>
      <c r="Q210" s="53"/>
      <c r="R210" s="53">
        <f t="shared" si="62"/>
        <v>0.12</v>
      </c>
      <c r="S210" s="53">
        <f t="shared" si="63"/>
        <v>1.0596241035318976E-2</v>
      </c>
      <c r="T210" s="53">
        <f t="shared" si="64"/>
        <v>0.05</v>
      </c>
      <c r="U210" s="53">
        <f t="shared" si="65"/>
        <v>4.2653187775606449E-3</v>
      </c>
    </row>
    <row r="211" spans="1:21" x14ac:dyDescent="0.2">
      <c r="A211" s="62"/>
      <c r="B211" s="45">
        <f t="shared" si="54"/>
        <v>200</v>
      </c>
      <c r="C211" s="51" t="e">
        <f>IF(B211&lt;C$4,C$1,D210-L211+N211)</f>
        <v>#DIV/0!</v>
      </c>
      <c r="D211" s="47" t="e">
        <f t="shared" si="55"/>
        <v>#DIV/0!</v>
      </c>
      <c r="E211" s="48">
        <f t="shared" si="56"/>
        <v>0</v>
      </c>
      <c r="F211" s="50">
        <f t="shared" si="57"/>
        <v>0</v>
      </c>
      <c r="G211" s="50">
        <f t="shared" si="66"/>
        <v>0</v>
      </c>
      <c r="H211" s="51" t="e">
        <f t="shared" si="58"/>
        <v>#DIV/0!</v>
      </c>
      <c r="I211" s="52" t="e">
        <f>IF(AND(C$7="Y",$B211&lt;=C$4),0,IF(AND(C$7="Y",$B211&gt;C$4),(1-U211)*C$2*D210/12,IF(AND($C$7="N",C$4&gt;0),(1-U211)*D210*C$2/12, (1-U211)*D210*C$2/12)))</f>
        <v>#DIV/0!</v>
      </c>
      <c r="J211" s="57" t="e">
        <f t="shared" si="59"/>
        <v>#DIV/0!</v>
      </c>
      <c r="K211" s="51" t="e">
        <f t="shared" si="60"/>
        <v>#DIV/0!</v>
      </c>
      <c r="L211" s="49" t="e">
        <f>IF(AND(C$7="Y",$B211&lt;=$C$4),0,IF(AND(C$7="N",C$4&gt;0,B211&lt;=C$4),0,U211*D210))</f>
        <v>#DIV/0!</v>
      </c>
      <c r="M211" s="49">
        <f t="shared" si="53"/>
        <v>0</v>
      </c>
      <c r="N211" s="49">
        <f t="shared" si="52"/>
        <v>0</v>
      </c>
      <c r="O211" s="48" t="e">
        <f t="shared" si="61"/>
        <v>#DIV/0!</v>
      </c>
      <c r="P211" s="38" t="e">
        <f>O211*(1/((1+P$9)^(B211/12)))</f>
        <v>#DIV/0!</v>
      </c>
      <c r="Q211" s="53"/>
      <c r="R211" s="53">
        <f t="shared" si="62"/>
        <v>0.12</v>
      </c>
      <c r="S211" s="53">
        <f t="shared" si="63"/>
        <v>1.0596241035318976E-2</v>
      </c>
      <c r="T211" s="53">
        <f t="shared" si="64"/>
        <v>0.05</v>
      </c>
      <c r="U211" s="53">
        <f t="shared" si="65"/>
        <v>4.2653187775606449E-3</v>
      </c>
    </row>
    <row r="212" spans="1:21" x14ac:dyDescent="0.2">
      <c r="A212" s="62"/>
      <c r="B212" s="45">
        <f t="shared" si="54"/>
        <v>201</v>
      </c>
      <c r="C212" s="51" t="e">
        <f>IF(B212&lt;C$4,C$1,D211-L212+N212)</f>
        <v>#DIV/0!</v>
      </c>
      <c r="D212" s="47" t="e">
        <f t="shared" si="55"/>
        <v>#DIV/0!</v>
      </c>
      <c r="E212" s="48">
        <f t="shared" si="56"/>
        <v>0</v>
      </c>
      <c r="F212" s="50">
        <f t="shared" si="57"/>
        <v>0</v>
      </c>
      <c r="G212" s="50">
        <f t="shared" si="66"/>
        <v>0</v>
      </c>
      <c r="H212" s="51" t="e">
        <f t="shared" si="58"/>
        <v>#DIV/0!</v>
      </c>
      <c r="I212" s="52" t="e">
        <f>IF(AND(C$7="Y",$B212&lt;=C$4),0,IF(AND(C$7="Y",$B212&gt;C$4),(1-U212)*C$2*D211/12,IF(AND($C$7="N",C$4&gt;0),(1-U212)*D211*C$2/12, (1-U212)*D211*C$2/12)))</f>
        <v>#DIV/0!</v>
      </c>
      <c r="J212" s="57" t="e">
        <f t="shared" si="59"/>
        <v>#DIV/0!</v>
      </c>
      <c r="K212" s="51" t="e">
        <f t="shared" si="60"/>
        <v>#DIV/0!</v>
      </c>
      <c r="L212" s="49" t="e">
        <f>IF(AND(C$7="Y",$B212&lt;=$C$4),0,IF(AND(C$7="N",C$4&gt;0,B212&lt;=C$4),0,U212*D211))</f>
        <v>#DIV/0!</v>
      </c>
      <c r="M212" s="49">
        <f t="shared" si="53"/>
        <v>0</v>
      </c>
      <c r="N212" s="49">
        <f t="shared" si="52"/>
        <v>0</v>
      </c>
      <c r="O212" s="48" t="e">
        <f t="shared" si="61"/>
        <v>#DIV/0!</v>
      </c>
      <c r="P212" s="38" t="e">
        <f>O212*(1/((1+P$9)^(B212/12)))</f>
        <v>#DIV/0!</v>
      </c>
      <c r="Q212" s="53"/>
      <c r="R212" s="53">
        <f t="shared" si="62"/>
        <v>0.12</v>
      </c>
      <c r="S212" s="53">
        <f t="shared" si="63"/>
        <v>1.0596241035318976E-2</v>
      </c>
      <c r="T212" s="53">
        <f t="shared" si="64"/>
        <v>0.05</v>
      </c>
      <c r="U212" s="53">
        <f t="shared" si="65"/>
        <v>4.2653187775606449E-3</v>
      </c>
    </row>
    <row r="213" spans="1:21" x14ac:dyDescent="0.2">
      <c r="A213" s="62"/>
      <c r="B213" s="45">
        <f t="shared" si="54"/>
        <v>202</v>
      </c>
      <c r="C213" s="51" t="e">
        <f>IF(B213&lt;C$4,C$1,D212-L213+N213)</f>
        <v>#DIV/0!</v>
      </c>
      <c r="D213" s="47" t="e">
        <f t="shared" si="55"/>
        <v>#DIV/0!</v>
      </c>
      <c r="E213" s="48">
        <f t="shared" si="56"/>
        <v>0</v>
      </c>
      <c r="F213" s="50">
        <f t="shared" si="57"/>
        <v>0</v>
      </c>
      <c r="G213" s="50">
        <f t="shared" si="66"/>
        <v>0</v>
      </c>
      <c r="H213" s="51" t="e">
        <f t="shared" si="58"/>
        <v>#DIV/0!</v>
      </c>
      <c r="I213" s="52" t="e">
        <f>IF(AND(C$7="Y",$B213&lt;=C$4),0,IF(AND(C$7="Y",$B213&gt;C$4),(1-U213)*C$2*D212/12,IF(AND($C$7="N",C$4&gt;0),(1-U213)*D212*C$2/12, (1-U213)*D212*C$2/12)))</f>
        <v>#DIV/0!</v>
      </c>
      <c r="J213" s="57" t="e">
        <f t="shared" si="59"/>
        <v>#DIV/0!</v>
      </c>
      <c r="K213" s="51" t="e">
        <f t="shared" si="60"/>
        <v>#DIV/0!</v>
      </c>
      <c r="L213" s="49" t="e">
        <f>IF(AND(C$7="Y",$B213&lt;=$C$4),0,IF(AND(C$7="N",C$4&gt;0,B213&lt;=C$4),0,U213*D212))</f>
        <v>#DIV/0!</v>
      </c>
      <c r="M213" s="49">
        <f t="shared" si="53"/>
        <v>0</v>
      </c>
      <c r="N213" s="49">
        <f t="shared" si="52"/>
        <v>0</v>
      </c>
      <c r="O213" s="48" t="e">
        <f t="shared" si="61"/>
        <v>#DIV/0!</v>
      </c>
      <c r="P213" s="38" t="e">
        <f>O213*(1/((1+P$9)^(B213/12)))</f>
        <v>#DIV/0!</v>
      </c>
      <c r="Q213" s="53"/>
      <c r="R213" s="53">
        <f t="shared" si="62"/>
        <v>0.12</v>
      </c>
      <c r="S213" s="53">
        <f t="shared" si="63"/>
        <v>1.0596241035318976E-2</v>
      </c>
      <c r="T213" s="53">
        <f t="shared" si="64"/>
        <v>0.05</v>
      </c>
      <c r="U213" s="53">
        <f t="shared" si="65"/>
        <v>4.2653187775606449E-3</v>
      </c>
    </row>
    <row r="214" spans="1:21" x14ac:dyDescent="0.2">
      <c r="A214" s="62"/>
      <c r="B214" s="45">
        <f t="shared" si="54"/>
        <v>203</v>
      </c>
      <c r="C214" s="51" t="e">
        <f>IF(B214&lt;C$4,C$1,D213-L214+N214)</f>
        <v>#DIV/0!</v>
      </c>
      <c r="D214" s="47" t="e">
        <f t="shared" si="55"/>
        <v>#DIV/0!</v>
      </c>
      <c r="E214" s="48">
        <f t="shared" si="56"/>
        <v>0</v>
      </c>
      <c r="F214" s="50">
        <f t="shared" si="57"/>
        <v>0</v>
      </c>
      <c r="G214" s="50">
        <f t="shared" si="66"/>
        <v>0</v>
      </c>
      <c r="H214" s="51" t="e">
        <f t="shared" si="58"/>
        <v>#DIV/0!</v>
      </c>
      <c r="I214" s="52" t="e">
        <f>IF(AND(C$7="Y",$B214&lt;=C$4),0,IF(AND(C$7="Y",$B214&gt;C$4),(1-U214)*C$2*D213/12,IF(AND($C$7="N",C$4&gt;0),(1-U214)*D213*C$2/12, (1-U214)*D213*C$2/12)))</f>
        <v>#DIV/0!</v>
      </c>
      <c r="J214" s="57" t="e">
        <f t="shared" si="59"/>
        <v>#DIV/0!</v>
      </c>
      <c r="K214" s="51" t="e">
        <f t="shared" si="60"/>
        <v>#DIV/0!</v>
      </c>
      <c r="L214" s="49" t="e">
        <f>IF(AND(C$7="Y",$B214&lt;=$C$4),0,IF(AND(C$7="N",C$4&gt;0,B214&lt;=C$4),0,U214*D213))</f>
        <v>#DIV/0!</v>
      </c>
      <c r="M214" s="49">
        <f t="shared" si="53"/>
        <v>0</v>
      </c>
      <c r="N214" s="49">
        <f t="shared" si="52"/>
        <v>0</v>
      </c>
      <c r="O214" s="48" t="e">
        <f t="shared" si="61"/>
        <v>#DIV/0!</v>
      </c>
      <c r="P214" s="38" t="e">
        <f>O214*(1/((1+P$9)^(B214/12)))</f>
        <v>#DIV/0!</v>
      </c>
      <c r="Q214" s="53"/>
      <c r="R214" s="53">
        <f t="shared" si="62"/>
        <v>0.12</v>
      </c>
      <c r="S214" s="53">
        <f t="shared" si="63"/>
        <v>1.0596241035318976E-2</v>
      </c>
      <c r="T214" s="53">
        <f t="shared" si="64"/>
        <v>0.05</v>
      </c>
      <c r="U214" s="53">
        <f t="shared" si="65"/>
        <v>4.2653187775606449E-3</v>
      </c>
    </row>
    <row r="215" spans="1:21" x14ac:dyDescent="0.2">
      <c r="A215" s="62"/>
      <c r="B215" s="45">
        <f t="shared" si="54"/>
        <v>204</v>
      </c>
      <c r="C215" s="51" t="e">
        <f>IF(B215&lt;C$4,C$1,D214-L215+N215)</f>
        <v>#DIV/0!</v>
      </c>
      <c r="D215" s="47" t="e">
        <f t="shared" si="55"/>
        <v>#DIV/0!</v>
      </c>
      <c r="E215" s="48">
        <f t="shared" si="56"/>
        <v>0</v>
      </c>
      <c r="F215" s="50">
        <f t="shared" si="57"/>
        <v>0</v>
      </c>
      <c r="G215" s="50">
        <f t="shared" si="66"/>
        <v>0</v>
      </c>
      <c r="H215" s="51" t="e">
        <f t="shared" si="58"/>
        <v>#DIV/0!</v>
      </c>
      <c r="I215" s="52" t="e">
        <f>IF(AND(C$7="Y",$B215&lt;=C$4),0,IF(AND(C$7="Y",$B215&gt;C$4),(1-U215)*C$2*D214/12,IF(AND($C$7="N",C$4&gt;0),(1-U215)*D214*C$2/12, (1-U215)*D214*C$2/12)))</f>
        <v>#DIV/0!</v>
      </c>
      <c r="J215" s="57" t="e">
        <f t="shared" si="59"/>
        <v>#DIV/0!</v>
      </c>
      <c r="K215" s="51" t="e">
        <f t="shared" si="60"/>
        <v>#DIV/0!</v>
      </c>
      <c r="L215" s="49" t="e">
        <f>IF(AND(C$7="Y",$B215&lt;=$C$4),0,IF(AND(C$7="N",C$4&gt;0,B215&lt;=C$4),0,U215*D214))</f>
        <v>#DIV/0!</v>
      </c>
      <c r="M215" s="49">
        <f t="shared" si="53"/>
        <v>0</v>
      </c>
      <c r="N215" s="49">
        <f t="shared" si="52"/>
        <v>0</v>
      </c>
      <c r="O215" s="48" t="e">
        <f t="shared" si="61"/>
        <v>#DIV/0!</v>
      </c>
      <c r="P215" s="38" t="e">
        <f>O215*(1/((1+P$9)^(B215/12)))</f>
        <v>#DIV/0!</v>
      </c>
      <c r="Q215" s="53"/>
      <c r="R215" s="53">
        <f t="shared" si="62"/>
        <v>0.12</v>
      </c>
      <c r="S215" s="53">
        <f t="shared" si="63"/>
        <v>1.0596241035318976E-2</v>
      </c>
      <c r="T215" s="53">
        <f t="shared" si="64"/>
        <v>0.05</v>
      </c>
      <c r="U215" s="53">
        <f t="shared" si="65"/>
        <v>4.2653187775606449E-3</v>
      </c>
    </row>
    <row r="216" spans="1:21" x14ac:dyDescent="0.2">
      <c r="A216" s="62"/>
      <c r="B216" s="45">
        <f t="shared" si="54"/>
        <v>205</v>
      </c>
      <c r="C216" s="51" t="e">
        <f>IF(B216&lt;C$4,C$1,D215-L216+N216)</f>
        <v>#DIV/0!</v>
      </c>
      <c r="D216" s="47" t="e">
        <f t="shared" si="55"/>
        <v>#DIV/0!</v>
      </c>
      <c r="E216" s="48">
        <f t="shared" si="56"/>
        <v>0</v>
      </c>
      <c r="F216" s="50">
        <f t="shared" si="57"/>
        <v>0</v>
      </c>
      <c r="G216" s="50">
        <f t="shared" si="66"/>
        <v>0</v>
      </c>
      <c r="H216" s="51" t="e">
        <f t="shared" si="58"/>
        <v>#DIV/0!</v>
      </c>
      <c r="I216" s="52" t="e">
        <f>IF(AND(C$7="Y",$B216&lt;=C$4),0,IF(AND(C$7="Y",$B216&gt;C$4),(1-U216)*C$2*D215/12,IF(AND($C$7="N",C$4&gt;0),(1-U216)*D215*C$2/12, (1-U216)*D215*C$2/12)))</f>
        <v>#DIV/0!</v>
      </c>
      <c r="J216" s="57" t="e">
        <f t="shared" si="59"/>
        <v>#DIV/0!</v>
      </c>
      <c r="K216" s="51" t="e">
        <f t="shared" si="60"/>
        <v>#DIV/0!</v>
      </c>
      <c r="L216" s="49" t="e">
        <f>IF(AND(C$7="Y",$B216&lt;=$C$4),0,IF(AND(C$7="N",C$4&gt;0,B216&lt;=C$4),0,U216*D215))</f>
        <v>#DIV/0!</v>
      </c>
      <c r="M216" s="49">
        <f t="shared" si="53"/>
        <v>0</v>
      </c>
      <c r="N216" s="49">
        <f t="shared" si="52"/>
        <v>0</v>
      </c>
      <c r="O216" s="48" t="e">
        <f t="shared" si="61"/>
        <v>#DIV/0!</v>
      </c>
      <c r="P216" s="38" t="e">
        <f>O216*(1/((1+P$9)^(B216/12)))</f>
        <v>#DIV/0!</v>
      </c>
      <c r="Q216" s="53"/>
      <c r="R216" s="53">
        <f t="shared" si="62"/>
        <v>0.12</v>
      </c>
      <c r="S216" s="53">
        <f t="shared" si="63"/>
        <v>1.0596241035318976E-2</v>
      </c>
      <c r="T216" s="53">
        <f t="shared" si="64"/>
        <v>0.05</v>
      </c>
      <c r="U216" s="53">
        <f t="shared" si="65"/>
        <v>4.2653187775606449E-3</v>
      </c>
    </row>
    <row r="217" spans="1:21" x14ac:dyDescent="0.2">
      <c r="A217" s="62"/>
      <c r="B217" s="45">
        <f t="shared" si="54"/>
        <v>206</v>
      </c>
      <c r="C217" s="49"/>
      <c r="D217" s="46"/>
      <c r="E217" s="61"/>
      <c r="F217" s="50"/>
      <c r="G217" s="50"/>
      <c r="H217" s="51"/>
      <c r="I217" s="51"/>
      <c r="J217" s="51"/>
      <c r="K217" s="51" t="e">
        <f t="shared" si="60"/>
        <v>#DIV/0!</v>
      </c>
      <c r="L217" s="49" t="e">
        <f>IF(AND(C$7="Y",$B217&lt;=$C$4),0,IF(AND(C$7="N",C$4&gt;0,B217&lt;=C$4),0,U217*D216))</f>
        <v>#DIV/0!</v>
      </c>
      <c r="M217" s="49">
        <f t="shared" si="53"/>
        <v>0</v>
      </c>
      <c r="N217" s="49">
        <f t="shared" si="52"/>
        <v>0</v>
      </c>
      <c r="O217" s="48" t="e">
        <f t="shared" si="61"/>
        <v>#DIV/0!</v>
      </c>
      <c r="P217" s="38" t="e">
        <f>O217*(1/((1+P$9)^(B217/12)))</f>
        <v>#DIV/0!</v>
      </c>
      <c r="Q217" s="53"/>
      <c r="R217" s="53"/>
      <c r="S217" s="53"/>
    </row>
    <row r="218" spans="1:21" x14ac:dyDescent="0.2">
      <c r="A218" s="62"/>
      <c r="B218" s="45">
        <f t="shared" si="54"/>
        <v>207</v>
      </c>
      <c r="C218" s="49"/>
      <c r="D218" s="46"/>
      <c r="E218" s="61"/>
      <c r="F218" s="50"/>
      <c r="G218" s="56"/>
      <c r="H218" s="51"/>
      <c r="I218" s="51">
        <f>IF($B217&lt;=25,0,C$2*D217/12)</f>
        <v>0</v>
      </c>
      <c r="J218" s="51">
        <f>H218-I218</f>
        <v>0</v>
      </c>
      <c r="K218" s="51">
        <f t="shared" si="60"/>
        <v>0</v>
      </c>
      <c r="L218" s="49">
        <f>IF(AND(C$7="Y",$B218&lt;=$C$4),0,IF(AND(C$7="N",C$4&gt;0,B218&lt;=C$4),0,U218*D217))</f>
        <v>0</v>
      </c>
      <c r="M218" s="49">
        <f t="shared" si="53"/>
        <v>0</v>
      </c>
      <c r="N218" s="49">
        <f t="shared" si="52"/>
        <v>0</v>
      </c>
      <c r="O218" s="48">
        <f t="shared" si="61"/>
        <v>0</v>
      </c>
      <c r="P218" s="38">
        <f>O218*(1/((1+P$9)^(B218/12)))</f>
        <v>0</v>
      </c>
      <c r="Q218" s="53"/>
      <c r="R218" s="53" t="e">
        <f>INDEX(#REF!,MATCH(#REF!,#REF!,0),MATCH(ActiveCDR,#REF!,0))%</f>
        <v>#REF!</v>
      </c>
      <c r="S218" s="53" t="e">
        <f>1-(1-R218)^(1/12)</f>
        <v>#REF!</v>
      </c>
    </row>
    <row r="219" spans="1:21" x14ac:dyDescent="0.2">
      <c r="A219" s="62"/>
      <c r="B219" s="45">
        <f t="shared" si="54"/>
        <v>208</v>
      </c>
      <c r="C219" s="49"/>
      <c r="D219" s="46"/>
      <c r="E219" s="61"/>
      <c r="F219" s="50"/>
      <c r="G219" s="56"/>
      <c r="H219" s="51"/>
      <c r="I219" s="51">
        <f>IF($B218&lt;=25,0,C$2*D218/12)</f>
        <v>0</v>
      </c>
      <c r="J219" s="51">
        <f>H219-I219</f>
        <v>0</v>
      </c>
      <c r="K219" s="51">
        <f t="shared" si="60"/>
        <v>0</v>
      </c>
      <c r="L219" s="49">
        <f>IF(AND(C$7="Y",$B219&lt;=$C$4),0,IF(AND(C$7="N",C$4&gt;0,B219&lt;=C$4),0,U219*D218))</f>
        <v>0</v>
      </c>
      <c r="M219" s="49">
        <f t="shared" si="53"/>
        <v>0</v>
      </c>
      <c r="N219" s="49">
        <f t="shared" si="52"/>
        <v>0</v>
      </c>
      <c r="O219" s="48">
        <f t="shared" si="61"/>
        <v>0</v>
      </c>
      <c r="P219" s="38">
        <f>O219*(1/((1+P$9)^(B219/12)))</f>
        <v>0</v>
      </c>
      <c r="Q219" s="53"/>
      <c r="R219" s="53" t="e">
        <f>INDEX(#REF!,MATCH(#REF!,#REF!,0),MATCH(ActiveCDR,#REF!,0))%</f>
        <v>#REF!</v>
      </c>
      <c r="S219" s="53" t="e">
        <f t="shared" ref="S219:S221" si="67">1-(1-R219)^(1/12)</f>
        <v>#REF!</v>
      </c>
    </row>
    <row r="220" spans="1:21" x14ac:dyDescent="0.2">
      <c r="A220" s="62"/>
      <c r="B220" s="45">
        <f t="shared" si="54"/>
        <v>209</v>
      </c>
      <c r="C220" s="49"/>
      <c r="D220" s="46"/>
      <c r="E220" s="61"/>
      <c r="F220" s="50"/>
      <c r="G220" s="56"/>
      <c r="H220" s="51"/>
      <c r="I220" s="51">
        <f>IF($B219&lt;=25,0,C$2*D219/12)</f>
        <v>0</v>
      </c>
      <c r="J220" s="51">
        <f>H220-I220</f>
        <v>0</v>
      </c>
      <c r="K220" s="51">
        <f t="shared" si="60"/>
        <v>0</v>
      </c>
      <c r="L220" s="49">
        <f>IF(AND(C$7="Y",$B220&lt;=$C$4),0,IF(AND(C$7="N",C$4&gt;0,B220&lt;=C$4),0,U220*D219))</f>
        <v>0</v>
      </c>
      <c r="M220" s="49">
        <f t="shared" si="53"/>
        <v>0</v>
      </c>
      <c r="N220" s="49">
        <f t="shared" si="52"/>
        <v>0</v>
      </c>
      <c r="O220" s="48">
        <f t="shared" si="61"/>
        <v>0</v>
      </c>
      <c r="P220" s="38">
        <f>O220*(1/((1+P$9)^(B220/12)))</f>
        <v>0</v>
      </c>
      <c r="Q220" s="53"/>
      <c r="R220" s="53" t="e">
        <f>INDEX(#REF!,MATCH(#REF!,#REF!,0),MATCH(ActiveCDR,#REF!,0))%</f>
        <v>#REF!</v>
      </c>
      <c r="S220" s="53" t="e">
        <f t="shared" si="67"/>
        <v>#REF!</v>
      </c>
    </row>
    <row r="221" spans="1:21" x14ac:dyDescent="0.2">
      <c r="A221" s="62"/>
      <c r="B221" s="45"/>
      <c r="C221" s="49"/>
      <c r="D221" s="46"/>
      <c r="E221" s="61"/>
      <c r="F221" s="50"/>
      <c r="G221" s="56"/>
      <c r="H221" s="51"/>
      <c r="I221" s="51">
        <f>IF($B220&lt;=25,0,C$2*D220/12)</f>
        <v>0</v>
      </c>
      <c r="J221" s="51">
        <f>H221-I221</f>
        <v>0</v>
      </c>
      <c r="K221" s="51">
        <f t="shared" si="60"/>
        <v>0</v>
      </c>
      <c r="L221" s="49">
        <f>IF(AND(C$7="Y",$B221&lt;=$C$4),0,IF(AND(C$7="N",C$4&gt;0,B221&lt;=C$4),0,U221*D220))</f>
        <v>0</v>
      </c>
      <c r="M221" s="49">
        <f t="shared" si="53"/>
        <v>0</v>
      </c>
      <c r="N221" s="49">
        <f t="shared" si="52"/>
        <v>0</v>
      </c>
      <c r="O221" s="48">
        <f t="shared" si="61"/>
        <v>0</v>
      </c>
      <c r="P221" s="38">
        <f>O221*(1/((1+P$9)^(B221/12)))</f>
        <v>0</v>
      </c>
      <c r="Q221" s="53"/>
      <c r="R221" s="53" t="e">
        <f>INDEX(#REF!,MATCH(#REF!,#REF!,0),MATCH(ActiveCDR,#REF!,0))%</f>
        <v>#REF!</v>
      </c>
      <c r="S221" s="53" t="e">
        <f t="shared" si="67"/>
        <v>#REF!</v>
      </c>
    </row>
    <row r="222" spans="1:21" x14ac:dyDescent="0.2">
      <c r="A222" s="62"/>
      <c r="B222" s="45"/>
      <c r="C222" s="49"/>
      <c r="D222" s="46"/>
      <c r="E222" s="61"/>
      <c r="F222" s="50"/>
      <c r="G222" s="56"/>
      <c r="H222" s="51"/>
      <c r="I222" s="51">
        <f>IF($B221&lt;=25,0,C$2*D221/12)</f>
        <v>0</v>
      </c>
      <c r="J222" s="51">
        <f>H222-I222</f>
        <v>0</v>
      </c>
      <c r="K222" s="51">
        <f t="shared" si="60"/>
        <v>0</v>
      </c>
      <c r="L222" s="49">
        <f>IF(AND(C$7="Y",$B222&lt;=$C$4),0,IF(AND(C$7="N",C$4&gt;0,B222&lt;=C$4),0,U222*D221))</f>
        <v>0</v>
      </c>
      <c r="M222" s="49">
        <f t="shared" si="53"/>
        <v>0</v>
      </c>
      <c r="N222" s="49">
        <f t="shared" si="52"/>
        <v>0</v>
      </c>
      <c r="O222" s="48">
        <f t="shared" si="61"/>
        <v>0</v>
      </c>
      <c r="P222" s="38">
        <f>O222*(1/((1+P$9)^(B222/12)))</f>
        <v>0</v>
      </c>
      <c r="Q222" s="53"/>
      <c r="R222" s="53"/>
      <c r="S222" s="53"/>
    </row>
    <row r="223" spans="1:21" x14ac:dyDescent="0.2">
      <c r="A223" s="62"/>
      <c r="B223" s="45"/>
      <c r="C223" s="49"/>
      <c r="D223" s="46"/>
      <c r="E223" s="61"/>
      <c r="F223" s="50"/>
      <c r="G223" s="56"/>
      <c r="H223" s="51"/>
      <c r="I223" s="51">
        <f>IF($B222&lt;=25,0,C$2*D222/12)</f>
        <v>0</v>
      </c>
      <c r="J223" s="51">
        <f>H223-I223</f>
        <v>0</v>
      </c>
      <c r="K223" s="51">
        <f t="shared" si="60"/>
        <v>0</v>
      </c>
      <c r="L223" s="49">
        <f>IF(AND(C$7="Y",$B223&lt;=$C$4),0,IF(AND(C$7="N",C$4&gt;0,B223&lt;=C$4),0,U223*D222))</f>
        <v>0</v>
      </c>
      <c r="M223" s="49">
        <f t="shared" si="53"/>
        <v>0</v>
      </c>
      <c r="N223" s="49">
        <f t="shared" si="52"/>
        <v>0</v>
      </c>
      <c r="O223" s="48">
        <f t="shared" si="61"/>
        <v>0</v>
      </c>
      <c r="P223" s="38">
        <f>O223*(1/((1+P$9)^(B223/12)))</f>
        <v>0</v>
      </c>
      <c r="Q223" s="53"/>
      <c r="R223" s="53"/>
      <c r="S223" s="53"/>
    </row>
    <row r="224" spans="1:21" x14ac:dyDescent="0.2">
      <c r="A224" s="62"/>
      <c r="B224" s="45"/>
      <c r="C224" s="49"/>
      <c r="D224" s="46"/>
      <c r="E224" s="61"/>
      <c r="F224" s="50"/>
      <c r="G224" s="56"/>
      <c r="H224" s="51"/>
      <c r="I224" s="51">
        <f>IF($B223&lt;=25,0,C$2*D223/12)</f>
        <v>0</v>
      </c>
      <c r="J224" s="51">
        <f>H224-I224</f>
        <v>0</v>
      </c>
      <c r="K224" s="51">
        <f t="shared" si="60"/>
        <v>0</v>
      </c>
      <c r="L224" s="49">
        <f>IF(AND(C$7="Y",$B224&lt;=$C$4),0,IF(AND(C$7="N",C$4&gt;0,B224&lt;=C$4),0,U224*D223))</f>
        <v>0</v>
      </c>
      <c r="M224" s="49">
        <f t="shared" si="53"/>
        <v>0</v>
      </c>
      <c r="N224" s="49">
        <f t="shared" ref="N224:N232" si="68">IFERROR((1-$N$9)*L220,0)</f>
        <v>0</v>
      </c>
      <c r="O224" s="48">
        <f t="shared" si="61"/>
        <v>0</v>
      </c>
      <c r="P224" s="38">
        <f>O224*(1/((1+P$9)^(B224/12)))</f>
        <v>0</v>
      </c>
      <c r="Q224" s="53"/>
      <c r="R224" s="53"/>
      <c r="S224" s="53"/>
    </row>
    <row r="225" spans="1:19" x14ac:dyDescent="0.2">
      <c r="A225" s="62"/>
      <c r="B225" s="45"/>
      <c r="C225" s="49"/>
      <c r="D225" s="46"/>
      <c r="E225" s="61"/>
      <c r="F225" s="50"/>
      <c r="G225" s="56"/>
      <c r="H225" s="51"/>
      <c r="I225" s="51">
        <f>IF($B224&lt;=25,0,C$2*D224/12)</f>
        <v>0</v>
      </c>
      <c r="J225" s="51">
        <f>H225-I225</f>
        <v>0</v>
      </c>
      <c r="K225" s="51">
        <f t="shared" si="60"/>
        <v>0</v>
      </c>
      <c r="L225" s="49">
        <f>IF(AND(C$7="Y",$B225&lt;=$C$4),0,IF(AND(C$7="N",C$4&gt;0,B225&lt;=C$4),0,U225*D224))</f>
        <v>0</v>
      </c>
      <c r="M225" s="49">
        <f t="shared" si="53"/>
        <v>0</v>
      </c>
      <c r="N225" s="49">
        <f t="shared" si="68"/>
        <v>0</v>
      </c>
      <c r="O225" s="48">
        <f t="shared" si="61"/>
        <v>0</v>
      </c>
      <c r="P225" s="38">
        <f>O225*(1/((1+P$9)^(B225/12)))</f>
        <v>0</v>
      </c>
      <c r="Q225" s="53"/>
      <c r="R225" s="53"/>
      <c r="S225" s="53"/>
    </row>
    <row r="226" spans="1:19" x14ac:dyDescent="0.2">
      <c r="A226" s="62"/>
      <c r="B226" s="45"/>
      <c r="C226" s="49"/>
      <c r="D226" s="46"/>
      <c r="E226" s="61"/>
      <c r="F226" s="50"/>
      <c r="G226" s="56"/>
      <c r="H226" s="51"/>
      <c r="I226" s="51">
        <f>IF($B225&lt;=25,0,C$2*D225/12)</f>
        <v>0</v>
      </c>
      <c r="J226" s="51">
        <f>H226-I226</f>
        <v>0</v>
      </c>
      <c r="K226" s="51">
        <f t="shared" si="60"/>
        <v>0</v>
      </c>
      <c r="L226" s="49">
        <f>IF(AND(C$7="Y",$B226&lt;=$C$4),0,IF(AND(C$7="N",C$4&gt;0,B226&lt;=C$4),0,U226*D225))</f>
        <v>0</v>
      </c>
      <c r="M226" s="49">
        <f t="shared" si="53"/>
        <v>0</v>
      </c>
      <c r="N226" s="49">
        <f t="shared" si="68"/>
        <v>0</v>
      </c>
      <c r="O226" s="48">
        <f t="shared" si="61"/>
        <v>0</v>
      </c>
      <c r="P226" s="38">
        <f>O226*(1/((1+P$9)^(B226/12)))</f>
        <v>0</v>
      </c>
      <c r="Q226" s="53"/>
      <c r="R226" s="53"/>
      <c r="S226" s="53"/>
    </row>
    <row r="227" spans="1:19" x14ac:dyDescent="0.2">
      <c r="A227" s="62"/>
      <c r="B227" s="45"/>
      <c r="C227" s="49"/>
      <c r="D227" s="46"/>
      <c r="E227" s="61"/>
      <c r="F227" s="50"/>
      <c r="G227" s="56"/>
      <c r="H227" s="51"/>
      <c r="I227" s="51">
        <f>IF($B226&lt;=25,0,C$2*D226/12)</f>
        <v>0</v>
      </c>
      <c r="J227" s="51">
        <f>H227-I227</f>
        <v>0</v>
      </c>
      <c r="K227" s="51">
        <f t="shared" si="60"/>
        <v>0</v>
      </c>
      <c r="L227" s="49">
        <f>IF(AND(C$7="Y",$B227&lt;=$C$4),0,IF(AND(C$7="N",C$4&gt;0,B227&lt;=C$4),0,U227*D226))</f>
        <v>0</v>
      </c>
      <c r="M227" s="49">
        <f t="shared" si="53"/>
        <v>0</v>
      </c>
      <c r="N227" s="49">
        <f t="shared" si="68"/>
        <v>0</v>
      </c>
      <c r="O227" s="48">
        <f t="shared" si="61"/>
        <v>0</v>
      </c>
      <c r="P227" s="38">
        <f>O227*(1/((1+P$9)^(B227/12)))</f>
        <v>0</v>
      </c>
      <c r="Q227" s="53"/>
      <c r="R227" s="53"/>
      <c r="S227" s="53"/>
    </row>
    <row r="228" spans="1:19" x14ac:dyDescent="0.2">
      <c r="A228" s="62"/>
      <c r="B228" s="45"/>
      <c r="C228" s="49"/>
      <c r="D228" s="46"/>
      <c r="E228" s="61"/>
      <c r="F228" s="50"/>
      <c r="G228" s="56"/>
      <c r="H228" s="51"/>
      <c r="I228" s="51">
        <f>IF($B227&lt;=25,0,C$2*D227/12)</f>
        <v>0</v>
      </c>
      <c r="J228" s="51">
        <f>H228-I228</f>
        <v>0</v>
      </c>
      <c r="K228" s="51">
        <f t="shared" si="60"/>
        <v>0</v>
      </c>
      <c r="L228" s="49">
        <f>IF(AND(C$7="Y",$B228&lt;=$C$4),0,IF(AND(C$7="N",C$4&gt;0,B228&lt;=C$4),0,U228*D227))</f>
        <v>0</v>
      </c>
      <c r="M228" s="49">
        <f t="shared" si="53"/>
        <v>0</v>
      </c>
      <c r="N228" s="49">
        <f t="shared" si="68"/>
        <v>0</v>
      </c>
      <c r="O228" s="48">
        <f t="shared" si="61"/>
        <v>0</v>
      </c>
      <c r="P228" s="38">
        <f>O228*(1/((1+P$9)^(B228/12)))</f>
        <v>0</v>
      </c>
      <c r="Q228" s="53"/>
      <c r="R228" s="53"/>
      <c r="S228" s="53"/>
    </row>
    <row r="229" spans="1:19" x14ac:dyDescent="0.2">
      <c r="A229" s="62"/>
      <c r="B229" s="45"/>
      <c r="C229" s="49"/>
      <c r="D229" s="46"/>
      <c r="E229" s="61"/>
      <c r="F229" s="50"/>
      <c r="G229" s="56"/>
      <c r="H229" s="51"/>
      <c r="I229" s="51">
        <f>IF($B228&lt;=25,0,C$2*D228/12)</f>
        <v>0</v>
      </c>
      <c r="J229" s="51">
        <f>H229-I229</f>
        <v>0</v>
      </c>
      <c r="K229" s="51">
        <f t="shared" si="60"/>
        <v>0</v>
      </c>
      <c r="L229" s="49">
        <f>IF(AND(C$7="Y",$B229&lt;=$C$4),0,IF(AND(C$7="N",C$4&gt;0,B229&lt;=C$4),0,U229*D228))</f>
        <v>0</v>
      </c>
      <c r="M229" s="49">
        <f t="shared" si="53"/>
        <v>0</v>
      </c>
      <c r="N229" s="49">
        <f t="shared" si="68"/>
        <v>0</v>
      </c>
      <c r="O229" s="48">
        <f t="shared" si="61"/>
        <v>0</v>
      </c>
      <c r="P229" s="38">
        <f>O229*(1/((1+P$9)^(B229/12)))</f>
        <v>0</v>
      </c>
      <c r="Q229" s="53"/>
      <c r="R229" s="53"/>
      <c r="S229" s="53"/>
    </row>
    <row r="230" spans="1:19" x14ac:dyDescent="0.2">
      <c r="A230" s="62"/>
      <c r="B230" s="45"/>
      <c r="C230" s="49"/>
      <c r="D230" s="46"/>
      <c r="E230" s="61"/>
      <c r="F230" s="50"/>
      <c r="G230" s="56"/>
      <c r="H230" s="51"/>
      <c r="I230" s="51">
        <f>IF($B229&lt;=25,0,C$2*D229/12)</f>
        <v>0</v>
      </c>
      <c r="J230" s="51">
        <f>H230-I230</f>
        <v>0</v>
      </c>
      <c r="K230" s="51">
        <f t="shared" si="60"/>
        <v>0</v>
      </c>
      <c r="L230" s="49">
        <f>IF(AND(C$7="Y",$B230&lt;=$C$4),0,IF(AND(C$7="N",C$4&gt;0,B230&lt;=C$4),0,U230*D229))</f>
        <v>0</v>
      </c>
      <c r="M230" s="49">
        <f t="shared" si="53"/>
        <v>0</v>
      </c>
      <c r="N230" s="49">
        <f t="shared" si="68"/>
        <v>0</v>
      </c>
      <c r="O230" s="48">
        <f t="shared" si="61"/>
        <v>0</v>
      </c>
      <c r="P230" s="38">
        <f>O230*(1/((1+P$9)^(B230/12)))</f>
        <v>0</v>
      </c>
      <c r="Q230" s="53"/>
      <c r="R230" s="53"/>
      <c r="S230" s="53"/>
    </row>
    <row r="231" spans="1:19" x14ac:dyDescent="0.2">
      <c r="A231" s="62"/>
      <c r="B231" s="45"/>
      <c r="C231" s="49"/>
      <c r="D231" s="46"/>
      <c r="E231" s="61"/>
      <c r="F231" s="50"/>
      <c r="G231" s="56"/>
      <c r="H231" s="51"/>
      <c r="I231" s="51">
        <f>IF($B230&lt;=25,0,C$2*D230/12)</f>
        <v>0</v>
      </c>
      <c r="J231" s="51">
        <f>H231-I231</f>
        <v>0</v>
      </c>
      <c r="K231" s="51">
        <f t="shared" si="60"/>
        <v>0</v>
      </c>
      <c r="L231" s="49">
        <f>IF(AND(C$7="Y",$B231&lt;=$C$4),0,IF(AND(C$7="N",C$4&gt;0,B231&lt;=C$4),0,U231*D230))</f>
        <v>0</v>
      </c>
      <c r="M231" s="49">
        <f t="shared" si="53"/>
        <v>0</v>
      </c>
      <c r="N231" s="49">
        <f t="shared" si="68"/>
        <v>0</v>
      </c>
      <c r="O231" s="48">
        <f t="shared" si="61"/>
        <v>0</v>
      </c>
      <c r="P231" s="38">
        <f>O231*(1/((1+P$9)^(B231/12)))</f>
        <v>0</v>
      </c>
      <c r="Q231" s="53"/>
      <c r="R231" s="53"/>
      <c r="S231" s="53"/>
    </row>
    <row r="232" spans="1:19" x14ac:dyDescent="0.2">
      <c r="A232" s="62"/>
      <c r="B232" s="45"/>
      <c r="C232" s="49"/>
      <c r="D232" s="46"/>
      <c r="E232" s="61"/>
      <c r="F232" s="50"/>
      <c r="G232" s="56"/>
      <c r="H232" s="51"/>
      <c r="I232" s="51">
        <f>IF($B231&lt;=25,0,C$2*D231/12)</f>
        <v>0</v>
      </c>
      <c r="J232" s="51">
        <f>H232-I232</f>
        <v>0</v>
      </c>
      <c r="K232" s="51">
        <f t="shared" si="60"/>
        <v>0</v>
      </c>
      <c r="L232" s="49">
        <f>IF(AND(C$7="Y",$B232&lt;=$C$4),0,IF(AND(C$7="N",C$4&gt;0,B232&lt;=C$4),0,U232*D231))</f>
        <v>0</v>
      </c>
      <c r="M232" s="49">
        <f t="shared" si="53"/>
        <v>0</v>
      </c>
      <c r="N232" s="49">
        <f t="shared" si="68"/>
        <v>0</v>
      </c>
      <c r="O232" s="48">
        <f t="shared" si="61"/>
        <v>0</v>
      </c>
      <c r="P232" s="38">
        <f>O232*(1/((1+P$9)^(B232/12)))</f>
        <v>0</v>
      </c>
      <c r="Q232" s="53"/>
      <c r="R232" s="53"/>
      <c r="S232" s="5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TIE TO INTEX</vt:lpstr>
      <vt:lpstr>AmortizationModel (2)</vt:lpstr>
      <vt:lpstr>Sheet2</vt:lpstr>
      <vt:lpstr>Sheet4</vt:lpstr>
      <vt:lpstr>AmortizationModel (3)</vt:lpstr>
      <vt:lpstr>TIE TO INTEX (2)</vt:lpstr>
      <vt:lpstr>CDR</vt:lpstr>
      <vt:lpstr>bullet proof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 Zhang</dc:creator>
  <cp:lastModifiedBy>Coco Zhang</cp:lastModifiedBy>
  <dcterms:created xsi:type="dcterms:W3CDTF">2026-02-17T14:14:09Z</dcterms:created>
  <dcterms:modified xsi:type="dcterms:W3CDTF">2026-03-24T17:06:32Z</dcterms:modified>
</cp:coreProperties>
</file>